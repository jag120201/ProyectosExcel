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Jose\Desktop\"/>
    </mc:Choice>
  </mc:AlternateContent>
  <xr:revisionPtr revIDLastSave="0" documentId="13_ncr:1_{2B3A636A-AFE1-4E85-823A-C25796C04CC8}" xr6:coauthVersionLast="47" xr6:coauthVersionMax="47" xr10:uidLastSave="{00000000-0000-0000-0000-000000000000}"/>
  <bookViews>
    <workbookView xWindow="-28920" yWindow="-75" windowWidth="29040" windowHeight="15840" activeTab="3" xr2:uid="{7AEFFF0E-CC9B-4D93-9BCC-00D325CCDCDF}"/>
  </bookViews>
  <sheets>
    <sheet name="sales_data_sample" sheetId="2" r:id="rId1"/>
    <sheet name="Limpieza" sheetId="3" r:id="rId2"/>
    <sheet name="Tablas Dinámicas" sheetId="4" r:id="rId3"/>
    <sheet name="Dashboard" sheetId="5" r:id="rId4"/>
  </sheets>
  <definedNames>
    <definedName name="ExternalData_1" localSheetId="0" hidden="1">sales_data_sample!$A$1:$AA$2824</definedName>
    <definedName name="Slicer_MONTH_ID">#N/A</definedName>
    <definedName name="Slicer_QTR_ID">#N/A</definedName>
    <definedName name="Slicer_YEAR_ID">#N/A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29" i="4" l="1" a="1"/>
  <c r="P29" i="4" s="1"/>
  <c r="L22" i="4" a="1"/>
  <c r="L22" i="4" s="1"/>
  <c r="C8" i="3" a="1"/>
  <c r="C8" i="3" s="1"/>
  <c r="D8" i="3" a="1"/>
  <c r="D8" i="3" s="1"/>
  <c r="G8" i="3" a="1"/>
  <c r="G8" i="3" s="1"/>
  <c r="H8" i="3" a="1"/>
  <c r="H8" i="3" s="1"/>
  <c r="I8" i="3" a="1"/>
  <c r="I8" i="3" s="1"/>
  <c r="J8" i="3" a="1"/>
  <c r="J8" i="3" s="1"/>
  <c r="K8" i="3" a="1"/>
  <c r="K8" i="3" s="1"/>
  <c r="L8" i="3" a="1"/>
  <c r="L8" i="3" s="1"/>
  <c r="M8" i="3" a="1"/>
  <c r="M8" i="3" s="1"/>
  <c r="N8" i="3" a="1"/>
  <c r="N8" i="3" s="1"/>
  <c r="O8" i="3" a="1"/>
  <c r="O8" i="3" s="1"/>
  <c r="P8" i="3" a="1"/>
  <c r="P8" i="3" s="1"/>
  <c r="Q8" i="3" a="1"/>
  <c r="Q8" i="3" s="1"/>
  <c r="R8" i="3" a="1"/>
  <c r="R8" i="3" s="1"/>
  <c r="S8" i="3" a="1"/>
  <c r="S8" i="3" s="1"/>
  <c r="T8" i="3" a="1"/>
  <c r="T8" i="3" s="1"/>
  <c r="U8" i="3" a="1"/>
  <c r="U8" i="3" s="1"/>
  <c r="V8" i="3" a="1"/>
  <c r="V8" i="3" s="1"/>
  <c r="W8" i="3" a="1"/>
  <c r="W8" i="3" s="1"/>
  <c r="X8" i="3" a="1"/>
  <c r="X8" i="3" s="1"/>
  <c r="Y8" i="3" a="1"/>
  <c r="Y8" i="3" s="1"/>
  <c r="Z8" i="3" a="1"/>
  <c r="Z8" i="3" s="1"/>
  <c r="AB8" i="3" a="1"/>
  <c r="AB8" i="3" s="1"/>
  <c r="C4" i="3"/>
  <c r="D4" i="3"/>
  <c r="G4" i="3"/>
  <c r="H4" i="3"/>
  <c r="I4" i="3"/>
  <c r="J4" i="3"/>
  <c r="K4" i="3"/>
  <c r="L4" i="3"/>
  <c r="M4" i="3"/>
  <c r="N4" i="3"/>
  <c r="O4" i="3"/>
  <c r="P4" i="3"/>
  <c r="Q4" i="3"/>
  <c r="R4" i="3"/>
  <c r="S4" i="3"/>
  <c r="T4" i="3"/>
  <c r="U4" i="3"/>
  <c r="V4" i="3"/>
  <c r="W4" i="3"/>
  <c r="X4" i="3"/>
  <c r="Y4" i="3"/>
  <c r="Z4" i="3"/>
  <c r="AB4" i="3"/>
  <c r="E119" i="2"/>
  <c r="E134" i="2"/>
  <c r="E155" i="2"/>
  <c r="E162" i="2"/>
  <c r="E175" i="2"/>
  <c r="E241" i="2"/>
  <c r="E267" i="2"/>
  <c r="E305" i="2"/>
  <c r="E356" i="2"/>
  <c r="E395" i="2"/>
  <c r="E408" i="2"/>
  <c r="E449" i="2"/>
  <c r="E462" i="2"/>
  <c r="E475" i="2"/>
  <c r="E502" i="2"/>
  <c r="E528" i="2"/>
  <c r="E541" i="2"/>
  <c r="E552" i="2"/>
  <c r="E559" i="2"/>
  <c r="E566" i="2"/>
  <c r="E600" i="2"/>
  <c r="E601" i="2"/>
  <c r="E614" i="2"/>
  <c r="E640" i="2"/>
  <c r="E653" i="2"/>
  <c r="E681" i="2"/>
  <c r="E702" i="2"/>
  <c r="E703" i="2"/>
  <c r="E723" i="2"/>
  <c r="E729" i="2"/>
  <c r="E754" i="2"/>
  <c r="E775" i="2"/>
  <c r="E782" i="2"/>
  <c r="E804" i="2"/>
  <c r="E831" i="2"/>
  <c r="E857" i="2"/>
  <c r="E870" i="2"/>
  <c r="E881" i="2"/>
  <c r="E909" i="2"/>
  <c r="E936" i="2"/>
  <c r="E942" i="2"/>
  <c r="E948" i="2"/>
  <c r="E949" i="2"/>
  <c r="E962" i="2"/>
  <c r="E989" i="2"/>
  <c r="E1002" i="2"/>
  <c r="E1014" i="2"/>
  <c r="E1039" i="2"/>
  <c r="E1054" i="2"/>
  <c r="E1066" i="2"/>
  <c r="E1079" i="2"/>
  <c r="E1091" i="2"/>
  <c r="E1141" i="2"/>
  <c r="E1179" i="2"/>
  <c r="E1190" i="2"/>
  <c r="E1222" i="2"/>
  <c r="E1229" i="2"/>
  <c r="E1242" i="2"/>
  <c r="E1289" i="2"/>
  <c r="E1290" i="2"/>
  <c r="E1303" i="2"/>
  <c r="E1316" i="2"/>
  <c r="E1337" i="2"/>
  <c r="E1343" i="2"/>
  <c r="E1370" i="2"/>
  <c r="E1415" i="2"/>
  <c r="E1416" i="2"/>
  <c r="E1438" i="2"/>
  <c r="E1439" i="2"/>
  <c r="E1467" i="2"/>
  <c r="E1493" i="2"/>
  <c r="E1516" i="2"/>
  <c r="E1517" i="2"/>
  <c r="E1527" i="2"/>
  <c r="E1539" i="2"/>
  <c r="E1565" i="2"/>
  <c r="E1597" i="2"/>
  <c r="E1604" i="2"/>
  <c r="E1617" i="2"/>
  <c r="E1642" i="2"/>
  <c r="E1663" i="2"/>
  <c r="E1669" i="2"/>
  <c r="E1716" i="2"/>
  <c r="E1717" i="2"/>
  <c r="E1745" i="2"/>
  <c r="E1751" i="2"/>
  <c r="E1758" i="2"/>
  <c r="E1771" i="2"/>
  <c r="E1792" i="2"/>
  <c r="E1793" i="2"/>
  <c r="E1806" i="2"/>
  <c r="E1826" i="2"/>
  <c r="E1833" i="2"/>
  <c r="E1846" i="2"/>
  <c r="E1868" i="2"/>
  <c r="E1869" i="2"/>
  <c r="E1882" i="2"/>
  <c r="E1901" i="2"/>
  <c r="E1908" i="2"/>
  <c r="E1922" i="2"/>
  <c r="E1944" i="2"/>
  <c r="E1945" i="2"/>
  <c r="E1951" i="2"/>
  <c r="E1957" i="2"/>
  <c r="E1958" i="2"/>
  <c r="E1971" i="2"/>
  <c r="E1984" i="2"/>
  <c r="E2011" i="2"/>
  <c r="E2024" i="2"/>
  <c r="E2047" i="2"/>
  <c r="E2099" i="2"/>
  <c r="E2122" i="2"/>
  <c r="E2174" i="2"/>
  <c r="E2197" i="2"/>
  <c r="E2251" i="2"/>
  <c r="E2304" i="2"/>
  <c r="E2314" i="2"/>
  <c r="E2327" i="2"/>
  <c r="E2365" i="2"/>
  <c r="E2378" i="2"/>
  <c r="E2407" i="2"/>
  <c r="E2464" i="2"/>
  <c r="E2471" i="2"/>
  <c r="E2484" i="2"/>
  <c r="E2496" i="2"/>
  <c r="E2509" i="2"/>
  <c r="E2523" i="2"/>
  <c r="E2535" i="2"/>
  <c r="E2541" i="2"/>
  <c r="E2548" i="2"/>
  <c r="E2562" i="2"/>
  <c r="E2575" i="2"/>
  <c r="E2588" i="2"/>
  <c r="E2595" i="2"/>
  <c r="E2602" i="2"/>
  <c r="E2615" i="2"/>
  <c r="E2642" i="2"/>
  <c r="E2666" i="2"/>
  <c r="E2678" i="2"/>
  <c r="E2691" i="2"/>
  <c r="E2698" i="2"/>
  <c r="E2705" i="2"/>
  <c r="E2718" i="2"/>
  <c r="E2724" i="2"/>
  <c r="E2731" i="2"/>
  <c r="E2744" i="2"/>
  <c r="E2757" i="2"/>
  <c r="E2770" i="2"/>
  <c r="E2777" i="2"/>
  <c r="E2784" i="2"/>
  <c r="E2798" i="2"/>
  <c r="E2804" i="2"/>
  <c r="E2811" i="2"/>
  <c r="E2824" i="2"/>
  <c r="E113" i="2"/>
  <c r="E27" i="2"/>
  <c r="E55" i="2"/>
  <c r="E81" i="2"/>
  <c r="E107" i="2"/>
  <c r="Z2" i="2"/>
  <c r="Z3" i="2"/>
  <c r="Z4" i="2"/>
  <c r="Z5" i="2"/>
  <c r="Z6" i="2"/>
  <c r="Z7" i="2"/>
  <c r="Z8" i="2"/>
  <c r="Z9" i="2"/>
  <c r="Z10" i="2"/>
  <c r="Z11" i="2"/>
  <c r="Z12" i="2"/>
  <c r="Z13" i="2"/>
  <c r="Z14" i="2"/>
  <c r="Z15" i="2"/>
  <c r="Z16" i="2"/>
  <c r="Z17" i="2"/>
  <c r="Z18" i="2"/>
  <c r="Z19" i="2"/>
  <c r="Z20" i="2"/>
  <c r="Z21" i="2"/>
  <c r="Z22" i="2"/>
  <c r="Z23" i="2"/>
  <c r="Z24" i="2"/>
  <c r="Z25" i="2"/>
  <c r="Z26" i="2"/>
  <c r="Z27" i="2"/>
  <c r="Z28" i="2"/>
  <c r="Z29" i="2"/>
  <c r="Z30" i="2"/>
  <c r="Z31" i="2"/>
  <c r="Z32" i="2"/>
  <c r="Z33" i="2"/>
  <c r="Z34" i="2"/>
  <c r="Z35" i="2"/>
  <c r="Z36" i="2"/>
  <c r="Z37"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Z402" i="2"/>
  <c r="Z403" i="2"/>
  <c r="Z404" i="2"/>
  <c r="Z405" i="2"/>
  <c r="Z406" i="2"/>
  <c r="Z407" i="2"/>
  <c r="Z408" i="2"/>
  <c r="Z409" i="2"/>
  <c r="Z410" i="2"/>
  <c r="Z411" i="2"/>
  <c r="Z412" i="2"/>
  <c r="Z413" i="2"/>
  <c r="Z414" i="2"/>
  <c r="Z415" i="2"/>
  <c r="Z416" i="2"/>
  <c r="Z417" i="2"/>
  <c r="Z418" i="2"/>
  <c r="Z419" i="2"/>
  <c r="Z420" i="2"/>
  <c r="Z421" i="2"/>
  <c r="Z422" i="2"/>
  <c r="Z423" i="2"/>
  <c r="Z424" i="2"/>
  <c r="Z425" i="2"/>
  <c r="Z426" i="2"/>
  <c r="Z427" i="2"/>
  <c r="Z428" i="2"/>
  <c r="Z429" i="2"/>
  <c r="Z430" i="2"/>
  <c r="Z431" i="2"/>
  <c r="Z432" i="2"/>
  <c r="Z433" i="2"/>
  <c r="Z434" i="2"/>
  <c r="Z435" i="2"/>
  <c r="Z436" i="2"/>
  <c r="Z437" i="2"/>
  <c r="Z438" i="2"/>
  <c r="Z439" i="2"/>
  <c r="Z440" i="2"/>
  <c r="Z441" i="2"/>
  <c r="Z442" i="2"/>
  <c r="Z443" i="2"/>
  <c r="Z444" i="2"/>
  <c r="Z445" i="2"/>
  <c r="Z446" i="2"/>
  <c r="Z447" i="2"/>
  <c r="Z448" i="2"/>
  <c r="Z449" i="2"/>
  <c r="Z450" i="2"/>
  <c r="Z451" i="2"/>
  <c r="Z452" i="2"/>
  <c r="Z453" i="2"/>
  <c r="Z454" i="2"/>
  <c r="Z455" i="2"/>
  <c r="Z456" i="2"/>
  <c r="Z457" i="2"/>
  <c r="Z458" i="2"/>
  <c r="Z459" i="2"/>
  <c r="Z460" i="2"/>
  <c r="Z461" i="2"/>
  <c r="Z462" i="2"/>
  <c r="Z463" i="2"/>
  <c r="Z464" i="2"/>
  <c r="Z465" i="2"/>
  <c r="Z466" i="2"/>
  <c r="Z467" i="2"/>
  <c r="Z468" i="2"/>
  <c r="Z469" i="2"/>
  <c r="Z470" i="2"/>
  <c r="Z471" i="2"/>
  <c r="Z472" i="2"/>
  <c r="Z473" i="2"/>
  <c r="Z474" i="2"/>
  <c r="Z475" i="2"/>
  <c r="Z476" i="2"/>
  <c r="Z477" i="2"/>
  <c r="Z478" i="2"/>
  <c r="Z479" i="2"/>
  <c r="Z480" i="2"/>
  <c r="Z481" i="2"/>
  <c r="Z482" i="2"/>
  <c r="Z483" i="2"/>
  <c r="Z484" i="2"/>
  <c r="Z485" i="2"/>
  <c r="Z486" i="2"/>
  <c r="Z487" i="2"/>
  <c r="Z488" i="2"/>
  <c r="Z489" i="2"/>
  <c r="Z490" i="2"/>
  <c r="Z491" i="2"/>
  <c r="Z492" i="2"/>
  <c r="Z493" i="2"/>
  <c r="Z494" i="2"/>
  <c r="Z495" i="2"/>
  <c r="Z496" i="2"/>
  <c r="Z497" i="2"/>
  <c r="Z498" i="2"/>
  <c r="Z499" i="2"/>
  <c r="Z500" i="2"/>
  <c r="Z501" i="2"/>
  <c r="Z502" i="2"/>
  <c r="Z503" i="2"/>
  <c r="Z504" i="2"/>
  <c r="Z505" i="2"/>
  <c r="Z506" i="2"/>
  <c r="Z507" i="2"/>
  <c r="Z508" i="2"/>
  <c r="Z509" i="2"/>
  <c r="Z510" i="2"/>
  <c r="Z511" i="2"/>
  <c r="Z512" i="2"/>
  <c r="Z513" i="2"/>
  <c r="Z514" i="2"/>
  <c r="Z515" i="2"/>
  <c r="Z516" i="2"/>
  <c r="Z517" i="2"/>
  <c r="Z518" i="2"/>
  <c r="Z519" i="2"/>
  <c r="Z520" i="2"/>
  <c r="Z521" i="2"/>
  <c r="Z522" i="2"/>
  <c r="Z523" i="2"/>
  <c r="Z524" i="2"/>
  <c r="Z525" i="2"/>
  <c r="Z526" i="2"/>
  <c r="Z527" i="2"/>
  <c r="Z528" i="2"/>
  <c r="Z529" i="2"/>
  <c r="Z530" i="2"/>
  <c r="Z531" i="2"/>
  <c r="Z532" i="2"/>
  <c r="Z533" i="2"/>
  <c r="Z534" i="2"/>
  <c r="Z535" i="2"/>
  <c r="Z536" i="2"/>
  <c r="Z537" i="2"/>
  <c r="Z538" i="2"/>
  <c r="Z539" i="2"/>
  <c r="Z540" i="2"/>
  <c r="Z541" i="2"/>
  <c r="Z542" i="2"/>
  <c r="Z543" i="2"/>
  <c r="Z544" i="2"/>
  <c r="Z545" i="2"/>
  <c r="Z546" i="2"/>
  <c r="Z547" i="2"/>
  <c r="Z548" i="2"/>
  <c r="Z549" i="2"/>
  <c r="Z550" i="2"/>
  <c r="Z551" i="2"/>
  <c r="Z552" i="2"/>
  <c r="Z553" i="2"/>
  <c r="Z554" i="2"/>
  <c r="Z555" i="2"/>
  <c r="Z556" i="2"/>
  <c r="Z557" i="2"/>
  <c r="Z558" i="2"/>
  <c r="Z559" i="2"/>
  <c r="Z560" i="2"/>
  <c r="Z561" i="2"/>
  <c r="Z562" i="2"/>
  <c r="Z563" i="2"/>
  <c r="Z564" i="2"/>
  <c r="Z565" i="2"/>
  <c r="Z566" i="2"/>
  <c r="Z567" i="2"/>
  <c r="Z568" i="2"/>
  <c r="Z569" i="2"/>
  <c r="Z570" i="2"/>
  <c r="Z571" i="2"/>
  <c r="Z572" i="2"/>
  <c r="Z573" i="2"/>
  <c r="Z574" i="2"/>
  <c r="Z575" i="2"/>
  <c r="Z576" i="2"/>
  <c r="Z577" i="2"/>
  <c r="Z578" i="2"/>
  <c r="Z579" i="2"/>
  <c r="Z580" i="2"/>
  <c r="Z581" i="2"/>
  <c r="Z582" i="2"/>
  <c r="Z583" i="2"/>
  <c r="Z584" i="2"/>
  <c r="Z585" i="2"/>
  <c r="Z586" i="2"/>
  <c r="Z587" i="2"/>
  <c r="Z588" i="2"/>
  <c r="Z589" i="2"/>
  <c r="Z590" i="2"/>
  <c r="Z591" i="2"/>
  <c r="Z592" i="2"/>
  <c r="Z593" i="2"/>
  <c r="Z594" i="2"/>
  <c r="Z595" i="2"/>
  <c r="Z596" i="2"/>
  <c r="Z597" i="2"/>
  <c r="Z598" i="2"/>
  <c r="Z599" i="2"/>
  <c r="Z600" i="2"/>
  <c r="Z601" i="2"/>
  <c r="Z602" i="2"/>
  <c r="Z603" i="2"/>
  <c r="Z604" i="2"/>
  <c r="Z605" i="2"/>
  <c r="Z606" i="2"/>
  <c r="Z607" i="2"/>
  <c r="Z608" i="2"/>
  <c r="Z609" i="2"/>
  <c r="Z610" i="2"/>
  <c r="Z611" i="2"/>
  <c r="Z612" i="2"/>
  <c r="Z613" i="2"/>
  <c r="Z614" i="2"/>
  <c r="Z615" i="2"/>
  <c r="Z616" i="2"/>
  <c r="Z617" i="2"/>
  <c r="Z618" i="2"/>
  <c r="Z619" i="2"/>
  <c r="Z620" i="2"/>
  <c r="Z621" i="2"/>
  <c r="Z622" i="2"/>
  <c r="Z623" i="2"/>
  <c r="Z624" i="2"/>
  <c r="Z625" i="2"/>
  <c r="Z626" i="2"/>
  <c r="Z627" i="2"/>
  <c r="Z628" i="2"/>
  <c r="Z629" i="2"/>
  <c r="Z630" i="2"/>
  <c r="Z631" i="2"/>
  <c r="Z632" i="2"/>
  <c r="Z633" i="2"/>
  <c r="Z634" i="2"/>
  <c r="Z635" i="2"/>
  <c r="Z636" i="2"/>
  <c r="Z637" i="2"/>
  <c r="Z638" i="2"/>
  <c r="Z639" i="2"/>
  <c r="Z640" i="2"/>
  <c r="Z641" i="2"/>
  <c r="Z642" i="2"/>
  <c r="Z643" i="2"/>
  <c r="Z644" i="2"/>
  <c r="Z645" i="2"/>
  <c r="Z646" i="2"/>
  <c r="Z647" i="2"/>
  <c r="Z648" i="2"/>
  <c r="Z649" i="2"/>
  <c r="Z650" i="2"/>
  <c r="Z651" i="2"/>
  <c r="Z652" i="2"/>
  <c r="Z653" i="2"/>
  <c r="Z654" i="2"/>
  <c r="Z655" i="2"/>
  <c r="Z656" i="2"/>
  <c r="Z657" i="2"/>
  <c r="Z658" i="2"/>
  <c r="Z659" i="2"/>
  <c r="Z660" i="2"/>
  <c r="Z661" i="2"/>
  <c r="Z662" i="2"/>
  <c r="Z663" i="2"/>
  <c r="Z664" i="2"/>
  <c r="Z665" i="2"/>
  <c r="Z666" i="2"/>
  <c r="Z667" i="2"/>
  <c r="Z668" i="2"/>
  <c r="Z669" i="2"/>
  <c r="Z670" i="2"/>
  <c r="Z671" i="2"/>
  <c r="Z672" i="2"/>
  <c r="Z673" i="2"/>
  <c r="Z674" i="2"/>
  <c r="Z675" i="2"/>
  <c r="Z676" i="2"/>
  <c r="Z677" i="2"/>
  <c r="Z678" i="2"/>
  <c r="Z679" i="2"/>
  <c r="Z680" i="2"/>
  <c r="Z681" i="2"/>
  <c r="Z682" i="2"/>
  <c r="Z683" i="2"/>
  <c r="Z684" i="2"/>
  <c r="Z685" i="2"/>
  <c r="Z686" i="2"/>
  <c r="Z687" i="2"/>
  <c r="Z688" i="2"/>
  <c r="Z689" i="2"/>
  <c r="Z690" i="2"/>
  <c r="Z691" i="2"/>
  <c r="Z692" i="2"/>
  <c r="Z693" i="2"/>
  <c r="Z694" i="2"/>
  <c r="Z695" i="2"/>
  <c r="Z696" i="2"/>
  <c r="Z697" i="2"/>
  <c r="Z698" i="2"/>
  <c r="Z699" i="2"/>
  <c r="Z700" i="2"/>
  <c r="Z701" i="2"/>
  <c r="Z702" i="2"/>
  <c r="Z703" i="2"/>
  <c r="Z704" i="2"/>
  <c r="Z705" i="2"/>
  <c r="Z706" i="2"/>
  <c r="Z707" i="2"/>
  <c r="Z708" i="2"/>
  <c r="Z709" i="2"/>
  <c r="Z710" i="2"/>
  <c r="Z711" i="2"/>
  <c r="Z712" i="2"/>
  <c r="Z713" i="2"/>
  <c r="Z714" i="2"/>
  <c r="Z715" i="2"/>
  <c r="Z716" i="2"/>
  <c r="Z717" i="2"/>
  <c r="Z718" i="2"/>
  <c r="Z719" i="2"/>
  <c r="Z720" i="2"/>
  <c r="Z721" i="2"/>
  <c r="Z722" i="2"/>
  <c r="Z723" i="2"/>
  <c r="Z724" i="2"/>
  <c r="Z725" i="2"/>
  <c r="Z726" i="2"/>
  <c r="Z727" i="2"/>
  <c r="Z728" i="2"/>
  <c r="Z729" i="2"/>
  <c r="Z730" i="2"/>
  <c r="Z731" i="2"/>
  <c r="Z732" i="2"/>
  <c r="Z733" i="2"/>
  <c r="Z734" i="2"/>
  <c r="Z735" i="2"/>
  <c r="Z736" i="2"/>
  <c r="Z737" i="2"/>
  <c r="Z738" i="2"/>
  <c r="Z739" i="2"/>
  <c r="Z740" i="2"/>
  <c r="Z741" i="2"/>
  <c r="Z742" i="2"/>
  <c r="Z743" i="2"/>
  <c r="Z744" i="2"/>
  <c r="Z745" i="2"/>
  <c r="Z746" i="2"/>
  <c r="Z747" i="2"/>
  <c r="Z748" i="2"/>
  <c r="Z749" i="2"/>
  <c r="Z750" i="2"/>
  <c r="Z751" i="2"/>
  <c r="Z752" i="2"/>
  <c r="Z753" i="2"/>
  <c r="Z754" i="2"/>
  <c r="Z755" i="2"/>
  <c r="Z756" i="2"/>
  <c r="Z757" i="2"/>
  <c r="Z758" i="2"/>
  <c r="Z759" i="2"/>
  <c r="Z760" i="2"/>
  <c r="Z761" i="2"/>
  <c r="Z762" i="2"/>
  <c r="Z763" i="2"/>
  <c r="Z764" i="2"/>
  <c r="Z765" i="2"/>
  <c r="Z766" i="2"/>
  <c r="Z767" i="2"/>
  <c r="Z768" i="2"/>
  <c r="Z769" i="2"/>
  <c r="Z770" i="2"/>
  <c r="Z771" i="2"/>
  <c r="Z772" i="2"/>
  <c r="Z773" i="2"/>
  <c r="Z774" i="2"/>
  <c r="Z775" i="2"/>
  <c r="Z776" i="2"/>
  <c r="Z777" i="2"/>
  <c r="Z778" i="2"/>
  <c r="Z779" i="2"/>
  <c r="Z780" i="2"/>
  <c r="Z781" i="2"/>
  <c r="Z782" i="2"/>
  <c r="Z783" i="2"/>
  <c r="Z784" i="2"/>
  <c r="Z785" i="2"/>
  <c r="Z786" i="2"/>
  <c r="Z787" i="2"/>
  <c r="Z788" i="2"/>
  <c r="Z789" i="2"/>
  <c r="Z790" i="2"/>
  <c r="Z791" i="2"/>
  <c r="Z792" i="2"/>
  <c r="Z793" i="2"/>
  <c r="Z794" i="2"/>
  <c r="Z795" i="2"/>
  <c r="Z796" i="2"/>
  <c r="Z797" i="2"/>
  <c r="Z798" i="2"/>
  <c r="Z799" i="2"/>
  <c r="Z800" i="2"/>
  <c r="Z801" i="2"/>
  <c r="Z802" i="2"/>
  <c r="Z803" i="2"/>
  <c r="Z804" i="2"/>
  <c r="Z805" i="2"/>
  <c r="Z806" i="2"/>
  <c r="Z807" i="2"/>
  <c r="Z808" i="2"/>
  <c r="Z809" i="2"/>
  <c r="Z810" i="2"/>
  <c r="Z811" i="2"/>
  <c r="Z812" i="2"/>
  <c r="Z813" i="2"/>
  <c r="Z814" i="2"/>
  <c r="Z815" i="2"/>
  <c r="Z816" i="2"/>
  <c r="Z817" i="2"/>
  <c r="Z818" i="2"/>
  <c r="Z819" i="2"/>
  <c r="Z820" i="2"/>
  <c r="Z821" i="2"/>
  <c r="Z822" i="2"/>
  <c r="Z823" i="2"/>
  <c r="Z824" i="2"/>
  <c r="Z825" i="2"/>
  <c r="Z826" i="2"/>
  <c r="Z827" i="2"/>
  <c r="Z828" i="2"/>
  <c r="Z829" i="2"/>
  <c r="Z830" i="2"/>
  <c r="Z831" i="2"/>
  <c r="Z832" i="2"/>
  <c r="Z833" i="2"/>
  <c r="Z834" i="2"/>
  <c r="Z835" i="2"/>
  <c r="Z836" i="2"/>
  <c r="Z837" i="2"/>
  <c r="Z838" i="2"/>
  <c r="Z839" i="2"/>
  <c r="Z840" i="2"/>
  <c r="Z841" i="2"/>
  <c r="Z842" i="2"/>
  <c r="Z843" i="2"/>
  <c r="Z844" i="2"/>
  <c r="Z845" i="2"/>
  <c r="Z846" i="2"/>
  <c r="Z847" i="2"/>
  <c r="Z848" i="2"/>
  <c r="Z849" i="2"/>
  <c r="Z850" i="2"/>
  <c r="Z851" i="2"/>
  <c r="Z852" i="2"/>
  <c r="Z853" i="2"/>
  <c r="Z854" i="2"/>
  <c r="Z855" i="2"/>
  <c r="Z856" i="2"/>
  <c r="Z857" i="2"/>
  <c r="Z858" i="2"/>
  <c r="Z859" i="2"/>
  <c r="Z860" i="2"/>
  <c r="Z861" i="2"/>
  <c r="Z862" i="2"/>
  <c r="Z863" i="2"/>
  <c r="Z864" i="2"/>
  <c r="Z865" i="2"/>
  <c r="Z866" i="2"/>
  <c r="Z867" i="2"/>
  <c r="Z868" i="2"/>
  <c r="Z869" i="2"/>
  <c r="Z870" i="2"/>
  <c r="Z871" i="2"/>
  <c r="Z872" i="2"/>
  <c r="Z873" i="2"/>
  <c r="Z874" i="2"/>
  <c r="Z875" i="2"/>
  <c r="Z876" i="2"/>
  <c r="Z877" i="2"/>
  <c r="Z878" i="2"/>
  <c r="Z879" i="2"/>
  <c r="Z880" i="2"/>
  <c r="Z881" i="2"/>
  <c r="Z882" i="2"/>
  <c r="Z883" i="2"/>
  <c r="Z884" i="2"/>
  <c r="Z885" i="2"/>
  <c r="Z886" i="2"/>
  <c r="Z887" i="2"/>
  <c r="Z888" i="2"/>
  <c r="Z889" i="2"/>
  <c r="Z890" i="2"/>
  <c r="Z891" i="2"/>
  <c r="Z892" i="2"/>
  <c r="Z893" i="2"/>
  <c r="Z894" i="2"/>
  <c r="Z895" i="2"/>
  <c r="Z896" i="2"/>
  <c r="Z897" i="2"/>
  <c r="Z898" i="2"/>
  <c r="Z899" i="2"/>
  <c r="Z900" i="2"/>
  <c r="Z901" i="2"/>
  <c r="Z902" i="2"/>
  <c r="Z903" i="2"/>
  <c r="Z904" i="2"/>
  <c r="Z905" i="2"/>
  <c r="Z906" i="2"/>
  <c r="Z907" i="2"/>
  <c r="Z908" i="2"/>
  <c r="Z909" i="2"/>
  <c r="Z910" i="2"/>
  <c r="Z911" i="2"/>
  <c r="Z912" i="2"/>
  <c r="Z913" i="2"/>
  <c r="Z914" i="2"/>
  <c r="Z915" i="2"/>
  <c r="Z916" i="2"/>
  <c r="Z917" i="2"/>
  <c r="Z918" i="2"/>
  <c r="Z919" i="2"/>
  <c r="Z920" i="2"/>
  <c r="Z921" i="2"/>
  <c r="Z922" i="2"/>
  <c r="Z923" i="2"/>
  <c r="Z924" i="2"/>
  <c r="Z925" i="2"/>
  <c r="Z926" i="2"/>
  <c r="Z927" i="2"/>
  <c r="Z928" i="2"/>
  <c r="Z929" i="2"/>
  <c r="Z930" i="2"/>
  <c r="Z931" i="2"/>
  <c r="Z932" i="2"/>
  <c r="Z933" i="2"/>
  <c r="Z934" i="2"/>
  <c r="Z935" i="2"/>
  <c r="Z936" i="2"/>
  <c r="Z937" i="2"/>
  <c r="Z938" i="2"/>
  <c r="Z939" i="2"/>
  <c r="Z940" i="2"/>
  <c r="Z941" i="2"/>
  <c r="Z942" i="2"/>
  <c r="Z943" i="2"/>
  <c r="Z944" i="2"/>
  <c r="Z945" i="2"/>
  <c r="Z946" i="2"/>
  <c r="Z947" i="2"/>
  <c r="Z948" i="2"/>
  <c r="Z949" i="2"/>
  <c r="Z950" i="2"/>
  <c r="Z951" i="2"/>
  <c r="Z952" i="2"/>
  <c r="Z953" i="2"/>
  <c r="Z954" i="2"/>
  <c r="Z955" i="2"/>
  <c r="Z956" i="2"/>
  <c r="Z957" i="2"/>
  <c r="Z958" i="2"/>
  <c r="Z959" i="2"/>
  <c r="Z960" i="2"/>
  <c r="Z961" i="2"/>
  <c r="Z962" i="2"/>
  <c r="Z963" i="2"/>
  <c r="Z964" i="2"/>
  <c r="Z965" i="2"/>
  <c r="Z966" i="2"/>
  <c r="Z967" i="2"/>
  <c r="Z968" i="2"/>
  <c r="Z969" i="2"/>
  <c r="Z970" i="2"/>
  <c r="Z971" i="2"/>
  <c r="Z972" i="2"/>
  <c r="Z973" i="2"/>
  <c r="Z974" i="2"/>
  <c r="Z975" i="2"/>
  <c r="Z976" i="2"/>
  <c r="Z977" i="2"/>
  <c r="Z978" i="2"/>
  <c r="Z979" i="2"/>
  <c r="Z980" i="2"/>
  <c r="Z981" i="2"/>
  <c r="Z982" i="2"/>
  <c r="Z983" i="2"/>
  <c r="Z984" i="2"/>
  <c r="Z985" i="2"/>
  <c r="Z986" i="2"/>
  <c r="Z987" i="2"/>
  <c r="Z988" i="2"/>
  <c r="Z989" i="2"/>
  <c r="Z990" i="2"/>
  <c r="Z991" i="2"/>
  <c r="Z992" i="2"/>
  <c r="Z993" i="2"/>
  <c r="Z994" i="2"/>
  <c r="Z995" i="2"/>
  <c r="Z996" i="2"/>
  <c r="Z997" i="2"/>
  <c r="Z998" i="2"/>
  <c r="Z999" i="2"/>
  <c r="Z1000" i="2"/>
  <c r="Z1001" i="2"/>
  <c r="Z1002" i="2"/>
  <c r="Z1003" i="2"/>
  <c r="Z1004" i="2"/>
  <c r="Z1005" i="2"/>
  <c r="Z1006" i="2"/>
  <c r="Z1007" i="2"/>
  <c r="Z1008" i="2"/>
  <c r="Z1009" i="2"/>
  <c r="Z1010" i="2"/>
  <c r="Z1011" i="2"/>
  <c r="Z1012" i="2"/>
  <c r="Z1013" i="2"/>
  <c r="Z1014" i="2"/>
  <c r="Z1015" i="2"/>
  <c r="Z1016" i="2"/>
  <c r="Z1017" i="2"/>
  <c r="Z1018" i="2"/>
  <c r="Z1019" i="2"/>
  <c r="Z1020" i="2"/>
  <c r="Z1021" i="2"/>
  <c r="Z1022" i="2"/>
  <c r="Z1023" i="2"/>
  <c r="Z1024" i="2"/>
  <c r="Z1025" i="2"/>
  <c r="Z1026" i="2"/>
  <c r="Z1027" i="2"/>
  <c r="Z1028" i="2"/>
  <c r="Z1029" i="2"/>
  <c r="Z1030" i="2"/>
  <c r="Z1031" i="2"/>
  <c r="Z1032" i="2"/>
  <c r="Z1033" i="2"/>
  <c r="Z1034" i="2"/>
  <c r="Z1035" i="2"/>
  <c r="Z1036" i="2"/>
  <c r="Z1037" i="2"/>
  <c r="Z1038" i="2"/>
  <c r="Z1039" i="2"/>
  <c r="Z1040" i="2"/>
  <c r="Z1041" i="2"/>
  <c r="Z1042" i="2"/>
  <c r="Z1043" i="2"/>
  <c r="Z1044" i="2"/>
  <c r="Z1045" i="2"/>
  <c r="Z1046" i="2"/>
  <c r="Z1047" i="2"/>
  <c r="Z1048" i="2"/>
  <c r="Z1049" i="2"/>
  <c r="Z1050" i="2"/>
  <c r="Z1051" i="2"/>
  <c r="Z1052" i="2"/>
  <c r="Z1053" i="2"/>
  <c r="Z1054" i="2"/>
  <c r="Z1055" i="2"/>
  <c r="Z1056" i="2"/>
  <c r="Z1057" i="2"/>
  <c r="Z1058" i="2"/>
  <c r="Z1059" i="2"/>
  <c r="Z1060" i="2"/>
  <c r="Z1061" i="2"/>
  <c r="Z1062" i="2"/>
  <c r="Z1063" i="2"/>
  <c r="Z1064" i="2"/>
  <c r="Z1065" i="2"/>
  <c r="Z1066" i="2"/>
  <c r="Z1067" i="2"/>
  <c r="Z1068" i="2"/>
  <c r="Z1069" i="2"/>
  <c r="Z1070" i="2"/>
  <c r="Z1071" i="2"/>
  <c r="Z1072" i="2"/>
  <c r="Z1073" i="2"/>
  <c r="Z1074" i="2"/>
  <c r="Z1075" i="2"/>
  <c r="Z1076" i="2"/>
  <c r="Z1077" i="2"/>
  <c r="Z1078" i="2"/>
  <c r="Z1079" i="2"/>
  <c r="Z1080" i="2"/>
  <c r="Z1081" i="2"/>
  <c r="Z1082" i="2"/>
  <c r="Z1083" i="2"/>
  <c r="Z1084" i="2"/>
  <c r="Z1085" i="2"/>
  <c r="Z1086" i="2"/>
  <c r="Z1087" i="2"/>
  <c r="Z1088" i="2"/>
  <c r="Z1089" i="2"/>
  <c r="Z1090" i="2"/>
  <c r="Z1091" i="2"/>
  <c r="Z1092" i="2"/>
  <c r="Z1093" i="2"/>
  <c r="Z1094" i="2"/>
  <c r="Z1095" i="2"/>
  <c r="Z1096" i="2"/>
  <c r="Z1097" i="2"/>
  <c r="Z1098" i="2"/>
  <c r="Z1099" i="2"/>
  <c r="Z1100" i="2"/>
  <c r="Z1101" i="2"/>
  <c r="Z1102" i="2"/>
  <c r="Z1103" i="2"/>
  <c r="Z1104" i="2"/>
  <c r="Z1105" i="2"/>
  <c r="Z1106" i="2"/>
  <c r="Z1107" i="2"/>
  <c r="Z1108" i="2"/>
  <c r="Z1109" i="2"/>
  <c r="Z1110" i="2"/>
  <c r="Z1111" i="2"/>
  <c r="Z1112" i="2"/>
  <c r="Z1113" i="2"/>
  <c r="Z1114" i="2"/>
  <c r="Z1115" i="2"/>
  <c r="Z1116" i="2"/>
  <c r="Z1117" i="2"/>
  <c r="Z1118" i="2"/>
  <c r="Z1119" i="2"/>
  <c r="Z1120" i="2"/>
  <c r="Z1121" i="2"/>
  <c r="Z1122" i="2"/>
  <c r="Z1123" i="2"/>
  <c r="Z1124" i="2"/>
  <c r="Z1125" i="2"/>
  <c r="Z1126" i="2"/>
  <c r="Z1127" i="2"/>
  <c r="Z1128" i="2"/>
  <c r="Z1129" i="2"/>
  <c r="Z1130" i="2"/>
  <c r="Z1131" i="2"/>
  <c r="Z1132" i="2"/>
  <c r="Z1133" i="2"/>
  <c r="Z1134" i="2"/>
  <c r="Z1135" i="2"/>
  <c r="Z1136" i="2"/>
  <c r="Z1137" i="2"/>
  <c r="Z1138" i="2"/>
  <c r="Z1139" i="2"/>
  <c r="Z1140" i="2"/>
  <c r="Z1141" i="2"/>
  <c r="Z1142" i="2"/>
  <c r="Z1143" i="2"/>
  <c r="Z1144" i="2"/>
  <c r="Z1145" i="2"/>
  <c r="Z1146" i="2"/>
  <c r="Z1147" i="2"/>
  <c r="Z1148" i="2"/>
  <c r="Z1149" i="2"/>
  <c r="Z1150" i="2"/>
  <c r="Z1151" i="2"/>
  <c r="Z1152" i="2"/>
  <c r="Z1153" i="2"/>
  <c r="Z1154" i="2"/>
  <c r="Z1155" i="2"/>
  <c r="Z1156" i="2"/>
  <c r="Z1157" i="2"/>
  <c r="Z1158" i="2"/>
  <c r="Z1159" i="2"/>
  <c r="Z1160" i="2"/>
  <c r="Z1161" i="2"/>
  <c r="Z1162" i="2"/>
  <c r="Z1163" i="2"/>
  <c r="Z1164" i="2"/>
  <c r="Z1165" i="2"/>
  <c r="Z1166" i="2"/>
  <c r="Z1167" i="2"/>
  <c r="Z1168" i="2"/>
  <c r="Z1169" i="2"/>
  <c r="Z1170" i="2"/>
  <c r="Z1171" i="2"/>
  <c r="Z1172" i="2"/>
  <c r="Z1173" i="2"/>
  <c r="Z1174" i="2"/>
  <c r="Z1175" i="2"/>
  <c r="Z1176" i="2"/>
  <c r="Z1177" i="2"/>
  <c r="Z1178" i="2"/>
  <c r="Z1179" i="2"/>
  <c r="Z1180" i="2"/>
  <c r="Z1181" i="2"/>
  <c r="Z1182" i="2"/>
  <c r="Z1183" i="2"/>
  <c r="Z1184" i="2"/>
  <c r="Z1185" i="2"/>
  <c r="Z1186" i="2"/>
  <c r="Z1187" i="2"/>
  <c r="Z1188" i="2"/>
  <c r="Z1189" i="2"/>
  <c r="Z1190" i="2"/>
  <c r="Z1191" i="2"/>
  <c r="Z1192" i="2"/>
  <c r="Z1193" i="2"/>
  <c r="Z1194" i="2"/>
  <c r="Z1195" i="2"/>
  <c r="Z1196" i="2"/>
  <c r="Z1197" i="2"/>
  <c r="Z1198" i="2"/>
  <c r="Z1199" i="2"/>
  <c r="Z1200" i="2"/>
  <c r="Z1201" i="2"/>
  <c r="Z1202" i="2"/>
  <c r="Z1203" i="2"/>
  <c r="Z1204" i="2"/>
  <c r="Z1205" i="2"/>
  <c r="Z1206" i="2"/>
  <c r="Z1207" i="2"/>
  <c r="Z1208" i="2"/>
  <c r="Z1209" i="2"/>
  <c r="Z1210" i="2"/>
  <c r="Z1211" i="2"/>
  <c r="Z1212" i="2"/>
  <c r="Z1213" i="2"/>
  <c r="Z1214" i="2"/>
  <c r="Z1215" i="2"/>
  <c r="Z1216" i="2"/>
  <c r="Z1217" i="2"/>
  <c r="Z1218" i="2"/>
  <c r="Z1219" i="2"/>
  <c r="Z1220" i="2"/>
  <c r="Z1221" i="2"/>
  <c r="Z1222" i="2"/>
  <c r="Z1223" i="2"/>
  <c r="Z1224" i="2"/>
  <c r="Z1225" i="2"/>
  <c r="Z1226" i="2"/>
  <c r="Z1227" i="2"/>
  <c r="Z1228" i="2"/>
  <c r="Z1229" i="2"/>
  <c r="Z1230" i="2"/>
  <c r="Z1231" i="2"/>
  <c r="Z1232" i="2"/>
  <c r="Z1233" i="2"/>
  <c r="Z1234" i="2"/>
  <c r="Z1235" i="2"/>
  <c r="Z1236" i="2"/>
  <c r="Z1237" i="2"/>
  <c r="Z1238" i="2"/>
  <c r="Z1239" i="2"/>
  <c r="Z1240" i="2"/>
  <c r="Z1241" i="2"/>
  <c r="Z1242" i="2"/>
  <c r="Z1243" i="2"/>
  <c r="Z1244" i="2"/>
  <c r="Z1245" i="2"/>
  <c r="Z1246" i="2"/>
  <c r="Z1247" i="2"/>
  <c r="Z1248" i="2"/>
  <c r="Z1249" i="2"/>
  <c r="Z1250" i="2"/>
  <c r="Z1251" i="2"/>
  <c r="Z1252" i="2"/>
  <c r="Z1253" i="2"/>
  <c r="Z1254" i="2"/>
  <c r="Z1255" i="2"/>
  <c r="Z1256" i="2"/>
  <c r="Z1257" i="2"/>
  <c r="Z1258" i="2"/>
  <c r="Z1259" i="2"/>
  <c r="Z1260" i="2"/>
  <c r="Z1261" i="2"/>
  <c r="Z1262" i="2"/>
  <c r="Z1263" i="2"/>
  <c r="Z1264" i="2"/>
  <c r="Z1265" i="2"/>
  <c r="Z1266" i="2"/>
  <c r="Z1267" i="2"/>
  <c r="Z1268" i="2"/>
  <c r="Z1269" i="2"/>
  <c r="Z1270" i="2"/>
  <c r="Z1271" i="2"/>
  <c r="Z1272" i="2"/>
  <c r="Z1273" i="2"/>
  <c r="Z1274" i="2"/>
  <c r="Z1275" i="2"/>
  <c r="Z1276" i="2"/>
  <c r="Z1277" i="2"/>
  <c r="Z1278" i="2"/>
  <c r="Z1279" i="2"/>
  <c r="Z1280" i="2"/>
  <c r="Z1281" i="2"/>
  <c r="Z1282" i="2"/>
  <c r="Z1283" i="2"/>
  <c r="Z1284" i="2"/>
  <c r="Z1285" i="2"/>
  <c r="Z1286" i="2"/>
  <c r="Z1287" i="2"/>
  <c r="Z1288" i="2"/>
  <c r="Z1289" i="2"/>
  <c r="Z1290" i="2"/>
  <c r="Z1291" i="2"/>
  <c r="Z1292" i="2"/>
  <c r="Z1293" i="2"/>
  <c r="Z1294" i="2"/>
  <c r="Z1295" i="2"/>
  <c r="Z1296" i="2"/>
  <c r="Z1297" i="2"/>
  <c r="Z1298" i="2"/>
  <c r="Z1299" i="2"/>
  <c r="Z1300" i="2"/>
  <c r="Z1301" i="2"/>
  <c r="Z1302" i="2"/>
  <c r="Z1303" i="2"/>
  <c r="Z1304" i="2"/>
  <c r="Z1305" i="2"/>
  <c r="Z1306" i="2"/>
  <c r="Z1307" i="2"/>
  <c r="Z1308" i="2"/>
  <c r="Z1309" i="2"/>
  <c r="Z1310" i="2"/>
  <c r="Z1311" i="2"/>
  <c r="Z1312" i="2"/>
  <c r="Z1313" i="2"/>
  <c r="Z1314" i="2"/>
  <c r="Z1315" i="2"/>
  <c r="Z1316" i="2"/>
  <c r="Z1317" i="2"/>
  <c r="Z1318" i="2"/>
  <c r="Z1319" i="2"/>
  <c r="Z1320" i="2"/>
  <c r="Z1321" i="2"/>
  <c r="Z1322" i="2"/>
  <c r="Z1323" i="2"/>
  <c r="Z1324" i="2"/>
  <c r="Z1325" i="2"/>
  <c r="Z1326" i="2"/>
  <c r="Z1327" i="2"/>
  <c r="Z1328" i="2"/>
  <c r="Z1329" i="2"/>
  <c r="Z1330" i="2"/>
  <c r="Z1331" i="2"/>
  <c r="Z1332" i="2"/>
  <c r="Z1333" i="2"/>
  <c r="Z1334" i="2"/>
  <c r="Z1335" i="2"/>
  <c r="Z1336" i="2"/>
  <c r="Z1337" i="2"/>
  <c r="Z1338" i="2"/>
  <c r="Z1339" i="2"/>
  <c r="Z1340" i="2"/>
  <c r="Z1341" i="2"/>
  <c r="Z1342" i="2"/>
  <c r="Z1343" i="2"/>
  <c r="Z1344" i="2"/>
  <c r="Z1345" i="2"/>
  <c r="Z1346" i="2"/>
  <c r="Z1347" i="2"/>
  <c r="Z1348" i="2"/>
  <c r="Z1349" i="2"/>
  <c r="Z1350" i="2"/>
  <c r="Z1351" i="2"/>
  <c r="Z1352" i="2"/>
  <c r="Z1353" i="2"/>
  <c r="Z1354" i="2"/>
  <c r="Z1355" i="2"/>
  <c r="Z1356" i="2"/>
  <c r="Z1357" i="2"/>
  <c r="Z1358" i="2"/>
  <c r="Z1359" i="2"/>
  <c r="Z1360" i="2"/>
  <c r="Z1361" i="2"/>
  <c r="Z1362" i="2"/>
  <c r="Z1363" i="2"/>
  <c r="Z1364" i="2"/>
  <c r="Z1365" i="2"/>
  <c r="Z1366" i="2"/>
  <c r="Z1367" i="2"/>
  <c r="Z1368" i="2"/>
  <c r="Z1369" i="2"/>
  <c r="Z1370" i="2"/>
  <c r="Z1371" i="2"/>
  <c r="Z1372" i="2"/>
  <c r="Z1373" i="2"/>
  <c r="Z1374" i="2"/>
  <c r="Z1375" i="2"/>
  <c r="Z1376" i="2"/>
  <c r="Z1377" i="2"/>
  <c r="Z1378" i="2"/>
  <c r="Z1379" i="2"/>
  <c r="Z1380" i="2"/>
  <c r="Z1381" i="2"/>
  <c r="Z1382" i="2"/>
  <c r="Z1383" i="2"/>
  <c r="Z1384" i="2"/>
  <c r="Z1385" i="2"/>
  <c r="Z1386" i="2"/>
  <c r="Z1387" i="2"/>
  <c r="Z1388" i="2"/>
  <c r="Z1389" i="2"/>
  <c r="Z1390" i="2"/>
  <c r="Z1391" i="2"/>
  <c r="Z1392" i="2"/>
  <c r="Z1393" i="2"/>
  <c r="Z1394" i="2"/>
  <c r="Z1395" i="2"/>
  <c r="Z1396" i="2"/>
  <c r="Z1397" i="2"/>
  <c r="Z1398" i="2"/>
  <c r="Z1399" i="2"/>
  <c r="Z1400" i="2"/>
  <c r="Z1401" i="2"/>
  <c r="Z1402" i="2"/>
  <c r="Z1403" i="2"/>
  <c r="Z1404" i="2"/>
  <c r="Z1405" i="2"/>
  <c r="Z1406" i="2"/>
  <c r="Z1407" i="2"/>
  <c r="Z1408" i="2"/>
  <c r="Z1409" i="2"/>
  <c r="Z1410" i="2"/>
  <c r="Z1411" i="2"/>
  <c r="Z1412" i="2"/>
  <c r="Z1413" i="2"/>
  <c r="Z1414" i="2"/>
  <c r="Z1415" i="2"/>
  <c r="Z1416" i="2"/>
  <c r="Z1417" i="2"/>
  <c r="Z1418" i="2"/>
  <c r="Z1419" i="2"/>
  <c r="Z1420" i="2"/>
  <c r="Z1421" i="2"/>
  <c r="Z1422" i="2"/>
  <c r="Z1423" i="2"/>
  <c r="Z1424" i="2"/>
  <c r="Z1425" i="2"/>
  <c r="Z1426" i="2"/>
  <c r="Z1427" i="2"/>
  <c r="Z1428" i="2"/>
  <c r="Z1429" i="2"/>
  <c r="Z1430" i="2"/>
  <c r="Z1431" i="2"/>
  <c r="Z1432" i="2"/>
  <c r="Z1433" i="2"/>
  <c r="Z1434" i="2"/>
  <c r="Z1435" i="2"/>
  <c r="Z1436" i="2"/>
  <c r="Z1437" i="2"/>
  <c r="Z1438" i="2"/>
  <c r="Z1439" i="2"/>
  <c r="Z1440" i="2"/>
  <c r="Z1441" i="2"/>
  <c r="Z1442" i="2"/>
  <c r="Z1443" i="2"/>
  <c r="Z1444" i="2"/>
  <c r="Z1445" i="2"/>
  <c r="Z1446" i="2"/>
  <c r="Z1447" i="2"/>
  <c r="Z1448" i="2"/>
  <c r="Z1449" i="2"/>
  <c r="Z1450" i="2"/>
  <c r="Z1451" i="2"/>
  <c r="Z1452" i="2"/>
  <c r="Z1453" i="2"/>
  <c r="Z1454" i="2"/>
  <c r="Z1455" i="2"/>
  <c r="Z1456" i="2"/>
  <c r="Z1457" i="2"/>
  <c r="Z1458" i="2"/>
  <c r="Z1459" i="2"/>
  <c r="Z1460" i="2"/>
  <c r="Z1461" i="2"/>
  <c r="Z1462" i="2"/>
  <c r="Z1463" i="2"/>
  <c r="Z1464" i="2"/>
  <c r="Z1465" i="2"/>
  <c r="Z1466" i="2"/>
  <c r="Z1467" i="2"/>
  <c r="Z1468" i="2"/>
  <c r="Z1469" i="2"/>
  <c r="Z1470" i="2"/>
  <c r="Z1471" i="2"/>
  <c r="Z1472" i="2"/>
  <c r="Z1473" i="2"/>
  <c r="Z1474" i="2"/>
  <c r="Z1475" i="2"/>
  <c r="Z1476" i="2"/>
  <c r="Z1477" i="2"/>
  <c r="Z1478" i="2"/>
  <c r="Z1479" i="2"/>
  <c r="Z1480" i="2"/>
  <c r="Z1481" i="2"/>
  <c r="Z1482" i="2"/>
  <c r="Z1483" i="2"/>
  <c r="Z1484" i="2"/>
  <c r="Z1485" i="2"/>
  <c r="Z1486" i="2"/>
  <c r="Z1487" i="2"/>
  <c r="Z1488" i="2"/>
  <c r="Z1489" i="2"/>
  <c r="Z1490" i="2"/>
  <c r="Z1491" i="2"/>
  <c r="Z1492" i="2"/>
  <c r="Z1493" i="2"/>
  <c r="Z1494" i="2"/>
  <c r="Z1495" i="2"/>
  <c r="Z1496" i="2"/>
  <c r="Z1497" i="2"/>
  <c r="Z1498" i="2"/>
  <c r="Z1499" i="2"/>
  <c r="Z1500" i="2"/>
  <c r="Z1501" i="2"/>
  <c r="Z1502" i="2"/>
  <c r="Z1503" i="2"/>
  <c r="Z1504" i="2"/>
  <c r="Z1505" i="2"/>
  <c r="Z1506" i="2"/>
  <c r="Z1507" i="2"/>
  <c r="Z1508" i="2"/>
  <c r="Z1509" i="2"/>
  <c r="Z1510" i="2"/>
  <c r="Z1511" i="2"/>
  <c r="Z1512" i="2"/>
  <c r="Z1513" i="2"/>
  <c r="Z1514" i="2"/>
  <c r="Z1515" i="2"/>
  <c r="Z1516" i="2"/>
  <c r="Z1517" i="2"/>
  <c r="Z1518" i="2"/>
  <c r="Z1519" i="2"/>
  <c r="Z1520" i="2"/>
  <c r="Z1521" i="2"/>
  <c r="Z1522" i="2"/>
  <c r="Z1523" i="2"/>
  <c r="Z1524" i="2"/>
  <c r="Z1525" i="2"/>
  <c r="Z1526" i="2"/>
  <c r="Z1527" i="2"/>
  <c r="Z1528" i="2"/>
  <c r="Z1529" i="2"/>
  <c r="Z1530" i="2"/>
  <c r="Z1531" i="2"/>
  <c r="Z1532" i="2"/>
  <c r="Z1533" i="2"/>
  <c r="Z1534" i="2"/>
  <c r="Z1535" i="2"/>
  <c r="Z1536" i="2"/>
  <c r="Z1537" i="2"/>
  <c r="Z1538" i="2"/>
  <c r="Z1539" i="2"/>
  <c r="Z1540" i="2"/>
  <c r="Z1541" i="2"/>
  <c r="Z1542" i="2"/>
  <c r="Z1543" i="2"/>
  <c r="Z1544" i="2"/>
  <c r="Z1545" i="2"/>
  <c r="Z1546" i="2"/>
  <c r="Z1547" i="2"/>
  <c r="Z1548" i="2"/>
  <c r="Z1549" i="2"/>
  <c r="Z1550" i="2"/>
  <c r="Z1551" i="2"/>
  <c r="Z1552" i="2"/>
  <c r="Z1553" i="2"/>
  <c r="Z1554" i="2"/>
  <c r="Z1555" i="2"/>
  <c r="Z1556" i="2"/>
  <c r="Z1557" i="2"/>
  <c r="Z1558" i="2"/>
  <c r="Z1559" i="2"/>
  <c r="Z1560" i="2"/>
  <c r="Z1561" i="2"/>
  <c r="Z1562" i="2"/>
  <c r="Z1563" i="2"/>
  <c r="Z1564" i="2"/>
  <c r="Z1565" i="2"/>
  <c r="Z1566" i="2"/>
  <c r="Z1567" i="2"/>
  <c r="Z1568" i="2"/>
  <c r="Z1569" i="2"/>
  <c r="Z1570" i="2"/>
  <c r="Z1571" i="2"/>
  <c r="Z1572" i="2"/>
  <c r="Z1573" i="2"/>
  <c r="Z1574" i="2"/>
  <c r="Z1575" i="2"/>
  <c r="Z1576" i="2"/>
  <c r="Z1577" i="2"/>
  <c r="Z1578" i="2"/>
  <c r="Z1579" i="2"/>
  <c r="Z1580" i="2"/>
  <c r="Z1581" i="2"/>
  <c r="Z1582" i="2"/>
  <c r="Z1583" i="2"/>
  <c r="Z1584" i="2"/>
  <c r="Z1585" i="2"/>
  <c r="Z1586" i="2"/>
  <c r="Z1587" i="2"/>
  <c r="Z1588" i="2"/>
  <c r="Z1589" i="2"/>
  <c r="Z1590" i="2"/>
  <c r="Z1591" i="2"/>
  <c r="Z1592" i="2"/>
  <c r="Z1593" i="2"/>
  <c r="Z1594" i="2"/>
  <c r="Z1595" i="2"/>
  <c r="Z1596" i="2"/>
  <c r="Z1597" i="2"/>
  <c r="Z1598" i="2"/>
  <c r="Z1599" i="2"/>
  <c r="Z1600" i="2"/>
  <c r="Z1601" i="2"/>
  <c r="Z1602" i="2"/>
  <c r="Z1603" i="2"/>
  <c r="Z1604" i="2"/>
  <c r="Z1605" i="2"/>
  <c r="Z1606" i="2"/>
  <c r="Z1607" i="2"/>
  <c r="Z1608" i="2"/>
  <c r="Z1609" i="2"/>
  <c r="Z1610" i="2"/>
  <c r="Z1611" i="2"/>
  <c r="Z1612" i="2"/>
  <c r="Z1613" i="2"/>
  <c r="Z1614" i="2"/>
  <c r="Z1615" i="2"/>
  <c r="Z1616" i="2"/>
  <c r="Z1617" i="2"/>
  <c r="Z1618" i="2"/>
  <c r="Z1619" i="2"/>
  <c r="Z1620" i="2"/>
  <c r="Z1621" i="2"/>
  <c r="Z1622" i="2"/>
  <c r="Z1623" i="2"/>
  <c r="Z1624" i="2"/>
  <c r="Z1625" i="2"/>
  <c r="Z1626" i="2"/>
  <c r="Z1627" i="2"/>
  <c r="Z1628" i="2"/>
  <c r="Z1629" i="2"/>
  <c r="Z1630" i="2"/>
  <c r="Z1631" i="2"/>
  <c r="Z1632" i="2"/>
  <c r="Z1633" i="2"/>
  <c r="Z1634" i="2"/>
  <c r="Z1635" i="2"/>
  <c r="Z1636" i="2"/>
  <c r="Z1637" i="2"/>
  <c r="Z1638" i="2"/>
  <c r="Z1639" i="2"/>
  <c r="Z1640" i="2"/>
  <c r="Z1641" i="2"/>
  <c r="Z1642" i="2"/>
  <c r="Z1643" i="2"/>
  <c r="Z1644" i="2"/>
  <c r="Z1645" i="2"/>
  <c r="Z1646" i="2"/>
  <c r="Z1647" i="2"/>
  <c r="Z1648" i="2"/>
  <c r="Z1649" i="2"/>
  <c r="Z1650" i="2"/>
  <c r="Z1651" i="2"/>
  <c r="Z1652" i="2"/>
  <c r="Z1653" i="2"/>
  <c r="Z1654" i="2"/>
  <c r="Z1655" i="2"/>
  <c r="Z1656" i="2"/>
  <c r="Z1657" i="2"/>
  <c r="Z1658" i="2"/>
  <c r="Z1659" i="2"/>
  <c r="Z1660" i="2"/>
  <c r="Z1661" i="2"/>
  <c r="Z1662" i="2"/>
  <c r="Z1663" i="2"/>
  <c r="Z1664" i="2"/>
  <c r="Z1665" i="2"/>
  <c r="Z1666" i="2"/>
  <c r="Z1667" i="2"/>
  <c r="Z1668" i="2"/>
  <c r="Z1669" i="2"/>
  <c r="Z1670" i="2"/>
  <c r="Z1671" i="2"/>
  <c r="Z1672" i="2"/>
  <c r="Z1673" i="2"/>
  <c r="Z1674" i="2"/>
  <c r="Z1675" i="2"/>
  <c r="Z1676" i="2"/>
  <c r="Z1677" i="2"/>
  <c r="Z1678" i="2"/>
  <c r="Z1679" i="2"/>
  <c r="Z1680" i="2"/>
  <c r="Z1681" i="2"/>
  <c r="Z1682" i="2"/>
  <c r="Z1683" i="2"/>
  <c r="Z1684" i="2"/>
  <c r="Z1685" i="2"/>
  <c r="Z1686" i="2"/>
  <c r="Z1687" i="2"/>
  <c r="Z1688" i="2"/>
  <c r="Z1689" i="2"/>
  <c r="Z1690" i="2"/>
  <c r="Z1691" i="2"/>
  <c r="Z1692" i="2"/>
  <c r="Z1693" i="2"/>
  <c r="Z1694" i="2"/>
  <c r="Z1695" i="2"/>
  <c r="Z1696" i="2"/>
  <c r="Z1697" i="2"/>
  <c r="Z1698" i="2"/>
  <c r="Z1699" i="2"/>
  <c r="Z1700" i="2"/>
  <c r="Z1701" i="2"/>
  <c r="Z1702" i="2"/>
  <c r="Z1703" i="2"/>
  <c r="Z1704" i="2"/>
  <c r="Z1705" i="2"/>
  <c r="Z1706" i="2"/>
  <c r="Z1707" i="2"/>
  <c r="Z1708" i="2"/>
  <c r="Z1709" i="2"/>
  <c r="Z1710" i="2"/>
  <c r="Z1711" i="2"/>
  <c r="Z1712" i="2"/>
  <c r="Z1713" i="2"/>
  <c r="Z1714" i="2"/>
  <c r="Z1715" i="2"/>
  <c r="Z1716" i="2"/>
  <c r="Z1717" i="2"/>
  <c r="Z1718" i="2"/>
  <c r="Z1719" i="2"/>
  <c r="Z1720" i="2"/>
  <c r="Z1721" i="2"/>
  <c r="Z1722" i="2"/>
  <c r="Z1723" i="2"/>
  <c r="Z1724" i="2"/>
  <c r="Z1725" i="2"/>
  <c r="Z1726" i="2"/>
  <c r="Z1727" i="2"/>
  <c r="Z1728" i="2"/>
  <c r="Z1729" i="2"/>
  <c r="Z1730" i="2"/>
  <c r="Z1731" i="2"/>
  <c r="Z1732" i="2"/>
  <c r="Z1733" i="2"/>
  <c r="Z1734" i="2"/>
  <c r="Z1735" i="2"/>
  <c r="Z1736" i="2"/>
  <c r="Z1737" i="2"/>
  <c r="Z1738" i="2"/>
  <c r="Z1739" i="2"/>
  <c r="Z1740" i="2"/>
  <c r="Z1741" i="2"/>
  <c r="Z1742" i="2"/>
  <c r="Z1743" i="2"/>
  <c r="Z1744" i="2"/>
  <c r="Z1745" i="2"/>
  <c r="Z1746" i="2"/>
  <c r="Z1747" i="2"/>
  <c r="Z1748" i="2"/>
  <c r="Z1749" i="2"/>
  <c r="Z1750" i="2"/>
  <c r="Z1751" i="2"/>
  <c r="Z1752" i="2"/>
  <c r="Z1753" i="2"/>
  <c r="Z1754" i="2"/>
  <c r="Z1755" i="2"/>
  <c r="Z1756" i="2"/>
  <c r="Z1757" i="2"/>
  <c r="Z1758" i="2"/>
  <c r="Z1759" i="2"/>
  <c r="Z1760" i="2"/>
  <c r="Z1761" i="2"/>
  <c r="Z1762" i="2"/>
  <c r="Z1763" i="2"/>
  <c r="Z1764" i="2"/>
  <c r="Z1765" i="2"/>
  <c r="Z1766" i="2"/>
  <c r="Z1767" i="2"/>
  <c r="Z1768" i="2"/>
  <c r="Z1769" i="2"/>
  <c r="Z1770" i="2"/>
  <c r="Z1771" i="2"/>
  <c r="Z1772" i="2"/>
  <c r="Z1773" i="2"/>
  <c r="Z1774" i="2"/>
  <c r="Z1775" i="2"/>
  <c r="Z1776" i="2"/>
  <c r="Z1777" i="2"/>
  <c r="Z1778" i="2"/>
  <c r="Z1779" i="2"/>
  <c r="Z1780" i="2"/>
  <c r="Z1781" i="2"/>
  <c r="Z1782" i="2"/>
  <c r="Z1783" i="2"/>
  <c r="Z1784" i="2"/>
  <c r="Z1785" i="2"/>
  <c r="Z1786" i="2"/>
  <c r="Z1787" i="2"/>
  <c r="Z1788" i="2"/>
  <c r="Z1789" i="2"/>
  <c r="Z1790" i="2"/>
  <c r="Z1791" i="2"/>
  <c r="Z1792" i="2"/>
  <c r="Z1793" i="2"/>
  <c r="Z1794" i="2"/>
  <c r="Z1795" i="2"/>
  <c r="Z1796" i="2"/>
  <c r="Z1797" i="2"/>
  <c r="Z1798" i="2"/>
  <c r="Z1799" i="2"/>
  <c r="Z1800" i="2"/>
  <c r="Z1801" i="2"/>
  <c r="Z1802" i="2"/>
  <c r="Z1803" i="2"/>
  <c r="Z1804" i="2"/>
  <c r="Z1805" i="2"/>
  <c r="Z1806" i="2"/>
  <c r="Z1807" i="2"/>
  <c r="Z1808" i="2"/>
  <c r="Z1809" i="2"/>
  <c r="Z1810" i="2"/>
  <c r="Z1811" i="2"/>
  <c r="Z1812" i="2"/>
  <c r="Z1813" i="2"/>
  <c r="Z1814" i="2"/>
  <c r="Z1815" i="2"/>
  <c r="Z1816" i="2"/>
  <c r="Z1817" i="2"/>
  <c r="Z1818" i="2"/>
  <c r="Z1819" i="2"/>
  <c r="Z1820" i="2"/>
  <c r="Z1821" i="2"/>
  <c r="Z1822" i="2"/>
  <c r="Z1823" i="2"/>
  <c r="Z1824" i="2"/>
  <c r="Z1825" i="2"/>
  <c r="Z1826" i="2"/>
  <c r="Z1827" i="2"/>
  <c r="Z1828" i="2"/>
  <c r="Z1829" i="2"/>
  <c r="Z1830" i="2"/>
  <c r="Z1831" i="2"/>
  <c r="Z1832" i="2"/>
  <c r="Z1833" i="2"/>
  <c r="Z1834" i="2"/>
  <c r="Z1835" i="2"/>
  <c r="Z1836" i="2"/>
  <c r="Z1837" i="2"/>
  <c r="Z1838" i="2"/>
  <c r="Z1839" i="2"/>
  <c r="Z1840" i="2"/>
  <c r="Z1841" i="2"/>
  <c r="Z1842" i="2"/>
  <c r="Z1843" i="2"/>
  <c r="Z1844" i="2"/>
  <c r="Z1845" i="2"/>
  <c r="Z1846" i="2"/>
  <c r="Z1847" i="2"/>
  <c r="Z1848" i="2"/>
  <c r="Z1849" i="2"/>
  <c r="Z1850" i="2"/>
  <c r="Z1851" i="2"/>
  <c r="Z1852" i="2"/>
  <c r="Z1853" i="2"/>
  <c r="Z1854" i="2"/>
  <c r="Z1855" i="2"/>
  <c r="Z1856" i="2"/>
  <c r="Z1857" i="2"/>
  <c r="Z1858" i="2"/>
  <c r="Z1859" i="2"/>
  <c r="Z1860" i="2"/>
  <c r="Z1861" i="2"/>
  <c r="Z1862" i="2"/>
  <c r="Z1863" i="2"/>
  <c r="Z1864" i="2"/>
  <c r="Z1865" i="2"/>
  <c r="Z1866" i="2"/>
  <c r="Z1867" i="2"/>
  <c r="Z1868" i="2"/>
  <c r="Z1869" i="2"/>
  <c r="Z1870" i="2"/>
  <c r="Z1871" i="2"/>
  <c r="Z1872" i="2"/>
  <c r="Z1873" i="2"/>
  <c r="Z1874" i="2"/>
  <c r="Z1875" i="2"/>
  <c r="Z1876" i="2"/>
  <c r="Z1877" i="2"/>
  <c r="Z1878" i="2"/>
  <c r="Z1879" i="2"/>
  <c r="Z1880" i="2"/>
  <c r="Z1881" i="2"/>
  <c r="Z1882" i="2"/>
  <c r="Z1883" i="2"/>
  <c r="Z1884" i="2"/>
  <c r="Z1885" i="2"/>
  <c r="Z1886" i="2"/>
  <c r="Z1887" i="2"/>
  <c r="Z1888" i="2"/>
  <c r="Z1889" i="2"/>
  <c r="Z1890" i="2"/>
  <c r="Z1891" i="2"/>
  <c r="Z1892" i="2"/>
  <c r="Z1893" i="2"/>
  <c r="Z1894" i="2"/>
  <c r="Z1895" i="2"/>
  <c r="Z1896" i="2"/>
  <c r="Z1897" i="2"/>
  <c r="Z1898" i="2"/>
  <c r="Z1899" i="2"/>
  <c r="Z1900" i="2"/>
  <c r="Z1901" i="2"/>
  <c r="Z1902" i="2"/>
  <c r="Z1903" i="2"/>
  <c r="Z1904" i="2"/>
  <c r="Z1905" i="2"/>
  <c r="Z1906" i="2"/>
  <c r="Z1907" i="2"/>
  <c r="Z1908" i="2"/>
  <c r="Z1909" i="2"/>
  <c r="Z1910" i="2"/>
  <c r="Z1911" i="2"/>
  <c r="Z1912" i="2"/>
  <c r="Z1913" i="2"/>
  <c r="Z1914" i="2"/>
  <c r="Z1915" i="2"/>
  <c r="Z1916" i="2"/>
  <c r="Z1917" i="2"/>
  <c r="Z1918" i="2"/>
  <c r="Z1919" i="2"/>
  <c r="Z1920" i="2"/>
  <c r="Z1921" i="2"/>
  <c r="Z1922" i="2"/>
  <c r="Z1923" i="2"/>
  <c r="Z1924" i="2"/>
  <c r="Z1925" i="2"/>
  <c r="Z1926" i="2"/>
  <c r="Z1927" i="2"/>
  <c r="Z1928" i="2"/>
  <c r="Z1929" i="2"/>
  <c r="Z1930" i="2"/>
  <c r="Z1931" i="2"/>
  <c r="Z1932" i="2"/>
  <c r="Z1933" i="2"/>
  <c r="Z1934" i="2"/>
  <c r="Z1935" i="2"/>
  <c r="Z1936" i="2"/>
  <c r="Z1937" i="2"/>
  <c r="Z1938" i="2"/>
  <c r="Z1939" i="2"/>
  <c r="Z1940" i="2"/>
  <c r="Z1941" i="2"/>
  <c r="Z1942" i="2"/>
  <c r="Z1943" i="2"/>
  <c r="Z1944" i="2"/>
  <c r="Z1945" i="2"/>
  <c r="Z1946" i="2"/>
  <c r="Z1947" i="2"/>
  <c r="Z1948" i="2"/>
  <c r="Z1949" i="2"/>
  <c r="Z1950" i="2"/>
  <c r="Z1951" i="2"/>
  <c r="Z1952" i="2"/>
  <c r="Z1953" i="2"/>
  <c r="Z1954" i="2"/>
  <c r="Z1955" i="2"/>
  <c r="Z1956" i="2"/>
  <c r="Z1957" i="2"/>
  <c r="Z1958" i="2"/>
  <c r="Z1959" i="2"/>
  <c r="Z1960" i="2"/>
  <c r="Z1961" i="2"/>
  <c r="Z1962" i="2"/>
  <c r="Z1963" i="2"/>
  <c r="Z1964" i="2"/>
  <c r="Z1965" i="2"/>
  <c r="Z1966" i="2"/>
  <c r="Z1967" i="2"/>
  <c r="Z1968" i="2"/>
  <c r="Z1969" i="2"/>
  <c r="Z1970" i="2"/>
  <c r="Z1971" i="2"/>
  <c r="Z1972" i="2"/>
  <c r="Z1973" i="2"/>
  <c r="Z1974" i="2"/>
  <c r="Z1975" i="2"/>
  <c r="Z1976" i="2"/>
  <c r="Z1977" i="2"/>
  <c r="Z1978" i="2"/>
  <c r="Z1979" i="2"/>
  <c r="Z1980" i="2"/>
  <c r="Z1981" i="2"/>
  <c r="Z1982" i="2"/>
  <c r="Z1983" i="2"/>
  <c r="Z1984" i="2"/>
  <c r="Z1985" i="2"/>
  <c r="Z1986" i="2"/>
  <c r="Z1987" i="2"/>
  <c r="Z1988" i="2"/>
  <c r="Z1989" i="2"/>
  <c r="Z1990" i="2"/>
  <c r="Z1991" i="2"/>
  <c r="Z1992" i="2"/>
  <c r="Z1993" i="2"/>
  <c r="Z1994" i="2"/>
  <c r="Z1995" i="2"/>
  <c r="Z1996" i="2"/>
  <c r="Z1997" i="2"/>
  <c r="Z1998" i="2"/>
  <c r="Z1999" i="2"/>
  <c r="Z2000" i="2"/>
  <c r="Z2001" i="2"/>
  <c r="Z2002" i="2"/>
  <c r="Z2003" i="2"/>
  <c r="Z2004" i="2"/>
  <c r="Z2005" i="2"/>
  <c r="Z2006" i="2"/>
  <c r="Z2007" i="2"/>
  <c r="Z2008" i="2"/>
  <c r="Z2009" i="2"/>
  <c r="Z2010" i="2"/>
  <c r="Z2011" i="2"/>
  <c r="Z2012" i="2"/>
  <c r="Z2013" i="2"/>
  <c r="Z2014" i="2"/>
  <c r="Z2015" i="2"/>
  <c r="Z2016" i="2"/>
  <c r="Z2017" i="2"/>
  <c r="Z2018" i="2"/>
  <c r="Z2019" i="2"/>
  <c r="Z2020" i="2"/>
  <c r="Z2021" i="2"/>
  <c r="Z2022" i="2"/>
  <c r="Z2023" i="2"/>
  <c r="Z2024" i="2"/>
  <c r="Z2025" i="2"/>
  <c r="Z2026" i="2"/>
  <c r="Z2027" i="2"/>
  <c r="Z2028" i="2"/>
  <c r="Z2029" i="2"/>
  <c r="Z2030" i="2"/>
  <c r="Z2031" i="2"/>
  <c r="Z2032" i="2"/>
  <c r="Z2033" i="2"/>
  <c r="Z2034" i="2"/>
  <c r="Z2035" i="2"/>
  <c r="Z2036" i="2"/>
  <c r="Z2037" i="2"/>
  <c r="Z2038" i="2"/>
  <c r="Z2039" i="2"/>
  <c r="Z2040" i="2"/>
  <c r="Z2041" i="2"/>
  <c r="Z2042" i="2"/>
  <c r="Z2043" i="2"/>
  <c r="Z2044" i="2"/>
  <c r="Z2045" i="2"/>
  <c r="Z2046" i="2"/>
  <c r="Z2047" i="2"/>
  <c r="Z2048" i="2"/>
  <c r="Z2049" i="2"/>
  <c r="Z2050" i="2"/>
  <c r="Z2051" i="2"/>
  <c r="Z2052" i="2"/>
  <c r="Z2053" i="2"/>
  <c r="Z2054" i="2"/>
  <c r="Z2055" i="2"/>
  <c r="Z2056" i="2"/>
  <c r="Z2057" i="2"/>
  <c r="Z2058" i="2"/>
  <c r="Z2059" i="2"/>
  <c r="Z2060" i="2"/>
  <c r="Z2061" i="2"/>
  <c r="Z2062" i="2"/>
  <c r="Z2063" i="2"/>
  <c r="Z2064" i="2"/>
  <c r="Z2065" i="2"/>
  <c r="Z2066" i="2"/>
  <c r="Z2067" i="2"/>
  <c r="Z2068" i="2"/>
  <c r="Z2069" i="2"/>
  <c r="Z2070" i="2"/>
  <c r="Z2071" i="2"/>
  <c r="Z2072" i="2"/>
  <c r="Z2073" i="2"/>
  <c r="Z2074" i="2"/>
  <c r="Z2075" i="2"/>
  <c r="Z2076" i="2"/>
  <c r="Z2077" i="2"/>
  <c r="Z2078" i="2"/>
  <c r="Z2079" i="2"/>
  <c r="Z2080" i="2"/>
  <c r="Z2081" i="2"/>
  <c r="Z2082" i="2"/>
  <c r="Z2083" i="2"/>
  <c r="Z2084" i="2"/>
  <c r="Z2085" i="2"/>
  <c r="Z2086" i="2"/>
  <c r="Z2087" i="2"/>
  <c r="Z2088" i="2"/>
  <c r="Z2089" i="2"/>
  <c r="Z2090" i="2"/>
  <c r="Z2091" i="2"/>
  <c r="Z2092" i="2"/>
  <c r="Z2093" i="2"/>
  <c r="Z2094" i="2"/>
  <c r="Z2095" i="2"/>
  <c r="Z2096" i="2"/>
  <c r="Z2097" i="2"/>
  <c r="Z2098" i="2"/>
  <c r="Z2099" i="2"/>
  <c r="Z2100" i="2"/>
  <c r="Z2101" i="2"/>
  <c r="Z2102" i="2"/>
  <c r="Z2103" i="2"/>
  <c r="Z2104" i="2"/>
  <c r="Z2105" i="2"/>
  <c r="Z2106" i="2"/>
  <c r="Z2107" i="2"/>
  <c r="Z2108" i="2"/>
  <c r="Z2109" i="2"/>
  <c r="Z2110" i="2"/>
  <c r="Z2111" i="2"/>
  <c r="Z2112" i="2"/>
  <c r="Z2113" i="2"/>
  <c r="Z2114" i="2"/>
  <c r="Z2115" i="2"/>
  <c r="Z2116" i="2"/>
  <c r="Z2117" i="2"/>
  <c r="Z2118" i="2"/>
  <c r="Z2119" i="2"/>
  <c r="Z2120" i="2"/>
  <c r="Z2121" i="2"/>
  <c r="Z2122" i="2"/>
  <c r="Z2123" i="2"/>
  <c r="Z2124" i="2"/>
  <c r="Z2125" i="2"/>
  <c r="Z2126" i="2"/>
  <c r="Z2127" i="2"/>
  <c r="Z2128" i="2"/>
  <c r="Z2129" i="2"/>
  <c r="Z2130" i="2"/>
  <c r="Z2131" i="2"/>
  <c r="Z2132" i="2"/>
  <c r="Z2133" i="2"/>
  <c r="Z2134" i="2"/>
  <c r="Z2135" i="2"/>
  <c r="Z2136" i="2"/>
  <c r="Z2137" i="2"/>
  <c r="Z2138" i="2"/>
  <c r="Z2139" i="2"/>
  <c r="Z2140" i="2"/>
  <c r="Z2141" i="2"/>
  <c r="Z2142" i="2"/>
  <c r="Z2143" i="2"/>
  <c r="Z2144" i="2"/>
  <c r="Z2145" i="2"/>
  <c r="Z2146" i="2"/>
  <c r="Z2147" i="2"/>
  <c r="Z2148" i="2"/>
  <c r="Z2149" i="2"/>
  <c r="Z2150" i="2"/>
  <c r="Z2151" i="2"/>
  <c r="Z2152" i="2"/>
  <c r="Z2153" i="2"/>
  <c r="Z2154" i="2"/>
  <c r="Z2155" i="2"/>
  <c r="Z2156" i="2"/>
  <c r="Z2157" i="2"/>
  <c r="Z2158" i="2"/>
  <c r="Z2159" i="2"/>
  <c r="Z2160" i="2"/>
  <c r="Z2161" i="2"/>
  <c r="Z2162" i="2"/>
  <c r="Z2163" i="2"/>
  <c r="Z2164" i="2"/>
  <c r="Z2165" i="2"/>
  <c r="Z2166" i="2"/>
  <c r="Z2167" i="2"/>
  <c r="Z2168" i="2"/>
  <c r="Z2169" i="2"/>
  <c r="Z2170" i="2"/>
  <c r="Z2171" i="2"/>
  <c r="Z2172" i="2"/>
  <c r="Z2173" i="2"/>
  <c r="Z2174" i="2"/>
  <c r="Z2175" i="2"/>
  <c r="Z2176" i="2"/>
  <c r="Z2177" i="2"/>
  <c r="Z2178" i="2"/>
  <c r="Z2179" i="2"/>
  <c r="Z2180" i="2"/>
  <c r="Z2181" i="2"/>
  <c r="Z2182" i="2"/>
  <c r="Z2183" i="2"/>
  <c r="Z2184" i="2"/>
  <c r="Z2185" i="2"/>
  <c r="Z2186" i="2"/>
  <c r="Z2187" i="2"/>
  <c r="Z2188" i="2"/>
  <c r="Z2189" i="2"/>
  <c r="Z2190" i="2"/>
  <c r="Z2191" i="2"/>
  <c r="Z2192" i="2"/>
  <c r="Z2193" i="2"/>
  <c r="Z2194" i="2"/>
  <c r="Z2195" i="2"/>
  <c r="Z2196" i="2"/>
  <c r="Z2197" i="2"/>
  <c r="Z2198" i="2"/>
  <c r="Z2199" i="2"/>
  <c r="Z2200" i="2"/>
  <c r="Z2201" i="2"/>
  <c r="Z2202" i="2"/>
  <c r="Z2203" i="2"/>
  <c r="Z2204" i="2"/>
  <c r="Z2205" i="2"/>
  <c r="Z2206" i="2"/>
  <c r="Z2207" i="2"/>
  <c r="Z2208" i="2"/>
  <c r="Z2209" i="2"/>
  <c r="Z2210" i="2"/>
  <c r="Z2211" i="2"/>
  <c r="Z2212" i="2"/>
  <c r="Z2213" i="2"/>
  <c r="Z2214" i="2"/>
  <c r="Z2215" i="2"/>
  <c r="Z2216" i="2"/>
  <c r="Z2217" i="2"/>
  <c r="Z2218" i="2"/>
  <c r="Z2219" i="2"/>
  <c r="Z2220" i="2"/>
  <c r="Z2221" i="2"/>
  <c r="Z2222" i="2"/>
  <c r="Z2223" i="2"/>
  <c r="Z2224" i="2"/>
  <c r="Z2225" i="2"/>
  <c r="Z2226" i="2"/>
  <c r="Z2227" i="2"/>
  <c r="Z2228" i="2"/>
  <c r="Z2229" i="2"/>
  <c r="Z2230" i="2"/>
  <c r="Z2231" i="2"/>
  <c r="Z2232" i="2"/>
  <c r="Z2233" i="2"/>
  <c r="Z2234" i="2"/>
  <c r="Z2235" i="2"/>
  <c r="Z2236" i="2"/>
  <c r="Z2237" i="2"/>
  <c r="Z2238" i="2"/>
  <c r="Z2239" i="2"/>
  <c r="Z2240" i="2"/>
  <c r="Z2241" i="2"/>
  <c r="Z2242" i="2"/>
  <c r="Z2243" i="2"/>
  <c r="Z2244" i="2"/>
  <c r="Z2245" i="2"/>
  <c r="Z2246" i="2"/>
  <c r="Z2247" i="2"/>
  <c r="Z2248" i="2"/>
  <c r="Z2249" i="2"/>
  <c r="Z2250" i="2"/>
  <c r="Z2251" i="2"/>
  <c r="Z2252" i="2"/>
  <c r="Z2253" i="2"/>
  <c r="Z2254" i="2"/>
  <c r="Z2255" i="2"/>
  <c r="Z2256" i="2"/>
  <c r="Z2257" i="2"/>
  <c r="Z2258" i="2"/>
  <c r="Z2259" i="2"/>
  <c r="Z2260" i="2"/>
  <c r="Z2261" i="2"/>
  <c r="Z2262" i="2"/>
  <c r="Z2263" i="2"/>
  <c r="Z2264" i="2"/>
  <c r="Z2265" i="2"/>
  <c r="Z2266" i="2"/>
  <c r="Z2267" i="2"/>
  <c r="Z2268" i="2"/>
  <c r="Z2269" i="2"/>
  <c r="Z2270" i="2"/>
  <c r="Z2271" i="2"/>
  <c r="Z2272" i="2"/>
  <c r="Z2273" i="2"/>
  <c r="Z2274" i="2"/>
  <c r="Z2275" i="2"/>
  <c r="Z2276" i="2"/>
  <c r="Z2277" i="2"/>
  <c r="Z2278" i="2"/>
  <c r="Z2279" i="2"/>
  <c r="Z2280" i="2"/>
  <c r="Z2281" i="2"/>
  <c r="Z2282" i="2"/>
  <c r="Z2283" i="2"/>
  <c r="Z2284" i="2"/>
  <c r="Z2285" i="2"/>
  <c r="Z2286" i="2"/>
  <c r="Z2287" i="2"/>
  <c r="Z2288" i="2"/>
  <c r="Z2289" i="2"/>
  <c r="Z2290" i="2"/>
  <c r="Z2291" i="2"/>
  <c r="Z2292" i="2"/>
  <c r="Z2293" i="2"/>
  <c r="Z2294" i="2"/>
  <c r="Z2295" i="2"/>
  <c r="Z2296" i="2"/>
  <c r="Z2297" i="2"/>
  <c r="Z2298" i="2"/>
  <c r="Z2299" i="2"/>
  <c r="Z2300" i="2"/>
  <c r="Z2301" i="2"/>
  <c r="Z2302" i="2"/>
  <c r="Z2303" i="2"/>
  <c r="Z2304" i="2"/>
  <c r="Z2305" i="2"/>
  <c r="Z2306" i="2"/>
  <c r="Z2307" i="2"/>
  <c r="Z2308" i="2"/>
  <c r="Z2309" i="2"/>
  <c r="Z2310" i="2"/>
  <c r="Z2311" i="2"/>
  <c r="Z2312" i="2"/>
  <c r="Z2313" i="2"/>
  <c r="Z2314" i="2"/>
  <c r="Z2315" i="2"/>
  <c r="Z2316" i="2"/>
  <c r="Z2317" i="2"/>
  <c r="Z2318" i="2"/>
  <c r="Z2319" i="2"/>
  <c r="Z2320" i="2"/>
  <c r="Z2321" i="2"/>
  <c r="Z2322" i="2"/>
  <c r="Z2323" i="2"/>
  <c r="Z2324" i="2"/>
  <c r="Z2325" i="2"/>
  <c r="Z2326" i="2"/>
  <c r="Z2327" i="2"/>
  <c r="Z2328" i="2"/>
  <c r="Z2329" i="2"/>
  <c r="Z2330" i="2"/>
  <c r="Z2331" i="2"/>
  <c r="Z2332" i="2"/>
  <c r="Z2333" i="2"/>
  <c r="Z2334" i="2"/>
  <c r="Z2335" i="2"/>
  <c r="Z2336" i="2"/>
  <c r="Z2337" i="2"/>
  <c r="Z2338" i="2"/>
  <c r="Z2339" i="2"/>
  <c r="Z2340" i="2"/>
  <c r="Z2341" i="2"/>
  <c r="Z2342" i="2"/>
  <c r="Z2343" i="2"/>
  <c r="Z2344" i="2"/>
  <c r="Z2345" i="2"/>
  <c r="Z2346" i="2"/>
  <c r="Z2347" i="2"/>
  <c r="Z2348" i="2"/>
  <c r="Z2349" i="2"/>
  <c r="Z2350" i="2"/>
  <c r="Z2351" i="2"/>
  <c r="Z2352" i="2"/>
  <c r="Z2353" i="2"/>
  <c r="Z2354" i="2"/>
  <c r="Z2355" i="2"/>
  <c r="Z2356" i="2"/>
  <c r="Z2357" i="2"/>
  <c r="Z2358" i="2"/>
  <c r="Z2359" i="2"/>
  <c r="Z2360" i="2"/>
  <c r="Z2361" i="2"/>
  <c r="Z2362" i="2"/>
  <c r="Z2363" i="2"/>
  <c r="Z2364" i="2"/>
  <c r="Z2365" i="2"/>
  <c r="Z2366" i="2"/>
  <c r="Z2367" i="2"/>
  <c r="Z2368" i="2"/>
  <c r="Z2369" i="2"/>
  <c r="Z2370" i="2"/>
  <c r="Z2371" i="2"/>
  <c r="Z2372" i="2"/>
  <c r="Z2373" i="2"/>
  <c r="Z2374" i="2"/>
  <c r="Z2375" i="2"/>
  <c r="Z2376" i="2"/>
  <c r="Z2377" i="2"/>
  <c r="Z2378" i="2"/>
  <c r="Z2379" i="2"/>
  <c r="Z2380" i="2"/>
  <c r="Z2381" i="2"/>
  <c r="Z2382" i="2"/>
  <c r="Z2383" i="2"/>
  <c r="Z2384" i="2"/>
  <c r="Z2385" i="2"/>
  <c r="Z2386" i="2"/>
  <c r="Z2387" i="2"/>
  <c r="Z2388" i="2"/>
  <c r="Z2389" i="2"/>
  <c r="Z2390" i="2"/>
  <c r="Z2391" i="2"/>
  <c r="Z2392" i="2"/>
  <c r="Z2393" i="2"/>
  <c r="Z2394" i="2"/>
  <c r="Z2395" i="2"/>
  <c r="Z2396" i="2"/>
  <c r="Z2397" i="2"/>
  <c r="Z2398" i="2"/>
  <c r="Z2399" i="2"/>
  <c r="Z2400" i="2"/>
  <c r="Z2401" i="2"/>
  <c r="Z2402" i="2"/>
  <c r="Z2403" i="2"/>
  <c r="Z2404" i="2"/>
  <c r="Z2405" i="2"/>
  <c r="Z2406" i="2"/>
  <c r="Z2407" i="2"/>
  <c r="Z2408" i="2"/>
  <c r="Z2409" i="2"/>
  <c r="Z2410" i="2"/>
  <c r="Z2411" i="2"/>
  <c r="Z2412" i="2"/>
  <c r="Z2413" i="2"/>
  <c r="Z2414" i="2"/>
  <c r="Z2415" i="2"/>
  <c r="Z2416" i="2"/>
  <c r="Z2417" i="2"/>
  <c r="Z2418" i="2"/>
  <c r="Z2419" i="2"/>
  <c r="Z2420" i="2"/>
  <c r="Z2421" i="2"/>
  <c r="Z2422" i="2"/>
  <c r="Z2423" i="2"/>
  <c r="Z2424" i="2"/>
  <c r="Z2425" i="2"/>
  <c r="Z2426" i="2"/>
  <c r="Z2427" i="2"/>
  <c r="Z2428" i="2"/>
  <c r="Z2429" i="2"/>
  <c r="Z2430" i="2"/>
  <c r="Z2431" i="2"/>
  <c r="Z2432" i="2"/>
  <c r="Z2433" i="2"/>
  <c r="Z2434" i="2"/>
  <c r="Z2435" i="2"/>
  <c r="Z2436" i="2"/>
  <c r="Z2437" i="2"/>
  <c r="Z2438" i="2"/>
  <c r="Z2439" i="2"/>
  <c r="Z2440" i="2"/>
  <c r="Z2441" i="2"/>
  <c r="Z2442" i="2"/>
  <c r="Z2443" i="2"/>
  <c r="Z2444" i="2"/>
  <c r="Z2445" i="2"/>
  <c r="Z2446" i="2"/>
  <c r="Z2447" i="2"/>
  <c r="Z2448" i="2"/>
  <c r="Z2449" i="2"/>
  <c r="Z2450" i="2"/>
  <c r="Z2451" i="2"/>
  <c r="Z2452" i="2"/>
  <c r="Z2453" i="2"/>
  <c r="Z2454" i="2"/>
  <c r="Z2455" i="2"/>
  <c r="Z2456" i="2"/>
  <c r="Z2457" i="2"/>
  <c r="Z2458" i="2"/>
  <c r="Z2459" i="2"/>
  <c r="Z2460" i="2"/>
  <c r="Z2461" i="2"/>
  <c r="Z2462" i="2"/>
  <c r="Z2463" i="2"/>
  <c r="Z2464" i="2"/>
  <c r="Z2465" i="2"/>
  <c r="Z2466" i="2"/>
  <c r="Z2467" i="2"/>
  <c r="Z2468" i="2"/>
  <c r="Z2469" i="2"/>
  <c r="Z2470" i="2"/>
  <c r="Z2471" i="2"/>
  <c r="Z2472" i="2"/>
  <c r="Z2473" i="2"/>
  <c r="Z2474" i="2"/>
  <c r="Z2475" i="2"/>
  <c r="Z2476" i="2"/>
  <c r="Z2477" i="2"/>
  <c r="Z2478" i="2"/>
  <c r="Z2479" i="2"/>
  <c r="Z2480" i="2"/>
  <c r="Z2481" i="2"/>
  <c r="Z2482" i="2"/>
  <c r="Z2483" i="2"/>
  <c r="Z2484" i="2"/>
  <c r="Z2485" i="2"/>
  <c r="Z2486" i="2"/>
  <c r="Z2487" i="2"/>
  <c r="Z2488" i="2"/>
  <c r="Z2489" i="2"/>
  <c r="Z2490" i="2"/>
  <c r="Z2491" i="2"/>
  <c r="Z2492" i="2"/>
  <c r="Z2493" i="2"/>
  <c r="Z2494" i="2"/>
  <c r="Z2495" i="2"/>
  <c r="Z2496" i="2"/>
  <c r="Z2497" i="2"/>
  <c r="Z2498" i="2"/>
  <c r="Z2499" i="2"/>
  <c r="Z2500" i="2"/>
  <c r="Z2501" i="2"/>
  <c r="Z2502" i="2"/>
  <c r="Z2503" i="2"/>
  <c r="Z2504" i="2"/>
  <c r="Z2505" i="2"/>
  <c r="Z2506" i="2"/>
  <c r="Z2507" i="2"/>
  <c r="Z2508" i="2"/>
  <c r="Z2509" i="2"/>
  <c r="Z2510" i="2"/>
  <c r="Z2511" i="2"/>
  <c r="Z2512" i="2"/>
  <c r="Z2513" i="2"/>
  <c r="Z2514" i="2"/>
  <c r="Z2515" i="2"/>
  <c r="Z2516" i="2"/>
  <c r="Z2517" i="2"/>
  <c r="Z2518" i="2"/>
  <c r="Z2519" i="2"/>
  <c r="Z2520" i="2"/>
  <c r="Z2521" i="2"/>
  <c r="Z2522" i="2"/>
  <c r="Z2523" i="2"/>
  <c r="Z2524" i="2"/>
  <c r="Z2525" i="2"/>
  <c r="Z2526" i="2"/>
  <c r="Z2527" i="2"/>
  <c r="Z2528" i="2"/>
  <c r="Z2529" i="2"/>
  <c r="Z2530" i="2"/>
  <c r="Z2531" i="2"/>
  <c r="Z2532" i="2"/>
  <c r="Z2533" i="2"/>
  <c r="Z2534" i="2"/>
  <c r="Z2535" i="2"/>
  <c r="Z2536" i="2"/>
  <c r="Z2537" i="2"/>
  <c r="Z2538" i="2"/>
  <c r="Z2539" i="2"/>
  <c r="Z2540" i="2"/>
  <c r="Z2541" i="2"/>
  <c r="Z2542" i="2"/>
  <c r="Z2543" i="2"/>
  <c r="Z2544" i="2"/>
  <c r="Z2545" i="2"/>
  <c r="Z2546" i="2"/>
  <c r="Z2547" i="2"/>
  <c r="Z2548" i="2"/>
  <c r="Z2549" i="2"/>
  <c r="Z2550" i="2"/>
  <c r="Z2551" i="2"/>
  <c r="Z2552" i="2"/>
  <c r="Z2553" i="2"/>
  <c r="Z2554" i="2"/>
  <c r="Z2555" i="2"/>
  <c r="Z2556" i="2"/>
  <c r="Z2557" i="2"/>
  <c r="Z2558" i="2"/>
  <c r="Z2559" i="2"/>
  <c r="Z2560" i="2"/>
  <c r="Z2561" i="2"/>
  <c r="Z2562" i="2"/>
  <c r="Z2563" i="2"/>
  <c r="Z2564" i="2"/>
  <c r="Z2565" i="2"/>
  <c r="Z2566" i="2"/>
  <c r="Z2567" i="2"/>
  <c r="Z2568" i="2"/>
  <c r="Z2569" i="2"/>
  <c r="Z2570" i="2"/>
  <c r="Z2571" i="2"/>
  <c r="Z2572" i="2"/>
  <c r="Z2573" i="2"/>
  <c r="Z2574" i="2"/>
  <c r="Z2575" i="2"/>
  <c r="Z2576" i="2"/>
  <c r="Z2577" i="2"/>
  <c r="Z2578" i="2"/>
  <c r="Z2579" i="2"/>
  <c r="Z2580" i="2"/>
  <c r="Z2581" i="2"/>
  <c r="Z2582" i="2"/>
  <c r="Z2583" i="2"/>
  <c r="Z2584" i="2"/>
  <c r="Z2585" i="2"/>
  <c r="Z2586" i="2"/>
  <c r="Z2587" i="2"/>
  <c r="Z2588" i="2"/>
  <c r="Z2589" i="2"/>
  <c r="Z2590" i="2"/>
  <c r="Z2591" i="2"/>
  <c r="Z2592" i="2"/>
  <c r="Z2593" i="2"/>
  <c r="Z2594" i="2"/>
  <c r="Z2595" i="2"/>
  <c r="Z2596" i="2"/>
  <c r="Z2597" i="2"/>
  <c r="Z2598" i="2"/>
  <c r="Z2599" i="2"/>
  <c r="Z2600" i="2"/>
  <c r="Z2601" i="2"/>
  <c r="Z2602" i="2"/>
  <c r="Z2603" i="2"/>
  <c r="Z2604" i="2"/>
  <c r="Z2605" i="2"/>
  <c r="Z2606" i="2"/>
  <c r="Z2607" i="2"/>
  <c r="Z2608" i="2"/>
  <c r="Z2609" i="2"/>
  <c r="Z2610" i="2"/>
  <c r="Z2611" i="2"/>
  <c r="Z2612" i="2"/>
  <c r="Z2613" i="2"/>
  <c r="Z2614" i="2"/>
  <c r="Z2615" i="2"/>
  <c r="Z2616" i="2"/>
  <c r="Z2617" i="2"/>
  <c r="Z2618" i="2"/>
  <c r="Z2619" i="2"/>
  <c r="Z2620" i="2"/>
  <c r="Z2621" i="2"/>
  <c r="Z2622" i="2"/>
  <c r="Z2623" i="2"/>
  <c r="Z2624" i="2"/>
  <c r="Z2625" i="2"/>
  <c r="Z2626" i="2"/>
  <c r="Z2627" i="2"/>
  <c r="Z2628" i="2"/>
  <c r="Z2629" i="2"/>
  <c r="Z2630" i="2"/>
  <c r="Z2631" i="2"/>
  <c r="Z2632" i="2"/>
  <c r="Z2633" i="2"/>
  <c r="Z2634" i="2"/>
  <c r="Z2635" i="2"/>
  <c r="Z2636" i="2"/>
  <c r="Z2637" i="2"/>
  <c r="Z2638" i="2"/>
  <c r="Z2639" i="2"/>
  <c r="Z2640" i="2"/>
  <c r="Z2641" i="2"/>
  <c r="Z2642" i="2"/>
  <c r="Z2643" i="2"/>
  <c r="Z2644" i="2"/>
  <c r="Z2645" i="2"/>
  <c r="Z2646" i="2"/>
  <c r="Z2647" i="2"/>
  <c r="Z2648" i="2"/>
  <c r="Z2649" i="2"/>
  <c r="Z2650" i="2"/>
  <c r="Z2651" i="2"/>
  <c r="Z2652" i="2"/>
  <c r="Z2653" i="2"/>
  <c r="Z2654" i="2"/>
  <c r="Z2655" i="2"/>
  <c r="Z2656" i="2"/>
  <c r="Z2657" i="2"/>
  <c r="Z2658" i="2"/>
  <c r="Z2659" i="2"/>
  <c r="Z2660" i="2"/>
  <c r="Z2661" i="2"/>
  <c r="Z2662" i="2"/>
  <c r="Z2663" i="2"/>
  <c r="Z2664" i="2"/>
  <c r="Z2665" i="2"/>
  <c r="Z2666" i="2"/>
  <c r="Z2667" i="2"/>
  <c r="Z2668" i="2"/>
  <c r="Z2669" i="2"/>
  <c r="Z2670" i="2"/>
  <c r="Z2671" i="2"/>
  <c r="Z2672" i="2"/>
  <c r="Z2673" i="2"/>
  <c r="Z2674" i="2"/>
  <c r="Z2675" i="2"/>
  <c r="Z2676" i="2"/>
  <c r="Z2677" i="2"/>
  <c r="Z2678" i="2"/>
  <c r="Z2679" i="2"/>
  <c r="Z2680" i="2"/>
  <c r="Z2681" i="2"/>
  <c r="Z2682" i="2"/>
  <c r="Z2683" i="2"/>
  <c r="Z2684" i="2"/>
  <c r="Z2685" i="2"/>
  <c r="Z2686" i="2"/>
  <c r="Z2687" i="2"/>
  <c r="Z2688" i="2"/>
  <c r="Z2689" i="2"/>
  <c r="Z2690" i="2"/>
  <c r="Z2691" i="2"/>
  <c r="Z2692" i="2"/>
  <c r="Z2693" i="2"/>
  <c r="Z2694" i="2"/>
  <c r="Z2695" i="2"/>
  <c r="Z2696" i="2"/>
  <c r="Z2697" i="2"/>
  <c r="Z2698" i="2"/>
  <c r="Z2699" i="2"/>
  <c r="Z2700" i="2"/>
  <c r="Z2701" i="2"/>
  <c r="Z2702" i="2"/>
  <c r="Z2703" i="2"/>
  <c r="Z2704" i="2"/>
  <c r="Z2705" i="2"/>
  <c r="Z2706" i="2"/>
  <c r="Z2707" i="2"/>
  <c r="Z2708" i="2"/>
  <c r="Z2709" i="2"/>
  <c r="Z2710" i="2"/>
  <c r="Z2711" i="2"/>
  <c r="Z2712" i="2"/>
  <c r="Z2713" i="2"/>
  <c r="Z2714" i="2"/>
  <c r="Z2715" i="2"/>
  <c r="Z2716" i="2"/>
  <c r="Z2717" i="2"/>
  <c r="Z2718" i="2"/>
  <c r="Z2719" i="2"/>
  <c r="Z2720" i="2"/>
  <c r="Z2721" i="2"/>
  <c r="Z2722" i="2"/>
  <c r="Z2723" i="2"/>
  <c r="Z2724" i="2"/>
  <c r="Z2725" i="2"/>
  <c r="Z2726" i="2"/>
  <c r="Z2727" i="2"/>
  <c r="Z2728" i="2"/>
  <c r="Z2729" i="2"/>
  <c r="Z2730" i="2"/>
  <c r="Z2731" i="2"/>
  <c r="Z2732" i="2"/>
  <c r="Z2733" i="2"/>
  <c r="Z2734" i="2"/>
  <c r="Z2735" i="2"/>
  <c r="Z2736" i="2"/>
  <c r="Z2737" i="2"/>
  <c r="Z2738" i="2"/>
  <c r="Z2739" i="2"/>
  <c r="Z2740" i="2"/>
  <c r="Z2741" i="2"/>
  <c r="Z2742" i="2"/>
  <c r="Z2743" i="2"/>
  <c r="Z2744" i="2"/>
  <c r="Z2745" i="2"/>
  <c r="Z2746" i="2"/>
  <c r="Z2747" i="2"/>
  <c r="Z2748" i="2"/>
  <c r="Z2749" i="2"/>
  <c r="Z2750" i="2"/>
  <c r="Z2751" i="2"/>
  <c r="Z2752" i="2"/>
  <c r="Z2753" i="2"/>
  <c r="Z2754" i="2"/>
  <c r="Z2755" i="2"/>
  <c r="Z2756" i="2"/>
  <c r="Z2757" i="2"/>
  <c r="Z2758" i="2"/>
  <c r="Z2759" i="2"/>
  <c r="Z2760" i="2"/>
  <c r="Z2761" i="2"/>
  <c r="Z2762" i="2"/>
  <c r="Z2763" i="2"/>
  <c r="Z2764" i="2"/>
  <c r="Z2765" i="2"/>
  <c r="Z2766" i="2"/>
  <c r="Z2767" i="2"/>
  <c r="Z2768" i="2"/>
  <c r="Z2769" i="2"/>
  <c r="Z2770" i="2"/>
  <c r="Z2771" i="2"/>
  <c r="Z2772" i="2"/>
  <c r="Z2773" i="2"/>
  <c r="Z2774" i="2"/>
  <c r="Z2775" i="2"/>
  <c r="Z2776" i="2"/>
  <c r="Z2777" i="2"/>
  <c r="Z2778" i="2"/>
  <c r="Z2779" i="2"/>
  <c r="Z2780" i="2"/>
  <c r="Z2781" i="2"/>
  <c r="Z2782" i="2"/>
  <c r="Z2783" i="2"/>
  <c r="Z2784" i="2"/>
  <c r="Z2785" i="2"/>
  <c r="Z2786" i="2"/>
  <c r="Z2787" i="2"/>
  <c r="Z2788" i="2"/>
  <c r="Z2789" i="2"/>
  <c r="Z2790" i="2"/>
  <c r="Z2791" i="2"/>
  <c r="Z2792" i="2"/>
  <c r="Z2793" i="2"/>
  <c r="Z2794" i="2"/>
  <c r="Z2795" i="2"/>
  <c r="Z2796" i="2"/>
  <c r="Z2797" i="2"/>
  <c r="Z2798" i="2"/>
  <c r="Z2799" i="2"/>
  <c r="Z2800" i="2"/>
  <c r="Z2801" i="2"/>
  <c r="Z2802" i="2"/>
  <c r="Z2803" i="2"/>
  <c r="Z2804" i="2"/>
  <c r="Z2805" i="2"/>
  <c r="Z2806" i="2"/>
  <c r="Z2807" i="2"/>
  <c r="Z2808" i="2"/>
  <c r="Z2809" i="2"/>
  <c r="Z2810" i="2"/>
  <c r="Z2811" i="2"/>
  <c r="Z2812" i="2"/>
  <c r="Z2813" i="2"/>
  <c r="Z2814" i="2"/>
  <c r="Z2815" i="2"/>
  <c r="Z2816" i="2"/>
  <c r="Z2817" i="2"/>
  <c r="Z2818" i="2"/>
  <c r="Z2819" i="2"/>
  <c r="Z2820" i="2"/>
  <c r="Z2821" i="2"/>
  <c r="Z2822" i="2"/>
  <c r="Z2823" i="2"/>
  <c r="Z2824" i="2"/>
  <c r="D2" i="2"/>
  <c r="D3" i="2"/>
  <c r="E3" i="2" s="1"/>
  <c r="D4" i="2"/>
  <c r="E4" i="2" s="1"/>
  <c r="D5" i="2"/>
  <c r="E5" i="2" s="1"/>
  <c r="D6" i="2"/>
  <c r="E6" i="2" s="1"/>
  <c r="D7" i="2"/>
  <c r="E7" i="2" s="1"/>
  <c r="D8" i="2"/>
  <c r="E8" i="2" s="1"/>
  <c r="D9" i="2"/>
  <c r="E9" i="2" s="1"/>
  <c r="D10" i="2"/>
  <c r="E10" i="2" s="1"/>
  <c r="D11" i="2"/>
  <c r="E11" i="2" s="1"/>
  <c r="D14" i="2"/>
  <c r="E14" i="2" s="1"/>
  <c r="D15" i="2"/>
  <c r="E15" i="2" s="1"/>
  <c r="D16" i="2"/>
  <c r="E16" i="2" s="1"/>
  <c r="D17" i="2"/>
  <c r="E17" i="2" s="1"/>
  <c r="D18" i="2"/>
  <c r="E18" i="2" s="1"/>
  <c r="D19" i="2"/>
  <c r="E19" i="2" s="1"/>
  <c r="D20" i="2"/>
  <c r="E20" i="2" s="1"/>
  <c r="D21" i="2"/>
  <c r="E21" i="2" s="1"/>
  <c r="D22" i="2"/>
  <c r="E22" i="2" s="1"/>
  <c r="D24" i="2"/>
  <c r="E24" i="2" s="1"/>
  <c r="D25" i="2"/>
  <c r="E25" i="2" s="1"/>
  <c r="D26" i="2"/>
  <c r="E26" i="2" s="1"/>
  <c r="D27" i="2"/>
  <c r="D28" i="2"/>
  <c r="E28" i="2" s="1"/>
  <c r="D29" i="2"/>
  <c r="E29" i="2" s="1"/>
  <c r="D30" i="2"/>
  <c r="E30" i="2" s="1"/>
  <c r="D31" i="2"/>
  <c r="E31" i="2" s="1"/>
  <c r="D32" i="2"/>
  <c r="E32" i="2" s="1"/>
  <c r="D34" i="2"/>
  <c r="E34" i="2" s="1"/>
  <c r="D35" i="2"/>
  <c r="E35" i="2" s="1"/>
  <c r="D36" i="2"/>
  <c r="E36" i="2" s="1"/>
  <c r="D37" i="2"/>
  <c r="E37" i="2" s="1"/>
  <c r="D38" i="2"/>
  <c r="E38" i="2" s="1"/>
  <c r="D39" i="2"/>
  <c r="E39" i="2" s="1"/>
  <c r="D40" i="2"/>
  <c r="E40" i="2" s="1"/>
  <c r="D41" i="2"/>
  <c r="E41" i="2" s="1"/>
  <c r="D43" i="2"/>
  <c r="E43" i="2" s="1"/>
  <c r="D44" i="2"/>
  <c r="E44" i="2" s="1"/>
  <c r="D45" i="2"/>
  <c r="E45" i="2" s="1"/>
  <c r="D46" i="2"/>
  <c r="E46" i="2" s="1"/>
  <c r="D47" i="2"/>
  <c r="E47" i="2" s="1"/>
  <c r="D48" i="2"/>
  <c r="E48" i="2" s="1"/>
  <c r="D50" i="2"/>
  <c r="E50" i="2" s="1"/>
  <c r="D51" i="2"/>
  <c r="E51" i="2" s="1"/>
  <c r="D52" i="2"/>
  <c r="E52" i="2" s="1"/>
  <c r="D54" i="2"/>
  <c r="E54" i="2" s="1"/>
  <c r="D55" i="2"/>
  <c r="D56" i="2"/>
  <c r="E56" i="2" s="1"/>
  <c r="D58" i="2"/>
  <c r="E58" i="2" s="1"/>
  <c r="D59" i="2"/>
  <c r="E59" i="2" s="1"/>
  <c r="D60" i="2"/>
  <c r="E60" i="2" s="1"/>
  <c r="D61" i="2"/>
  <c r="E61" i="2" s="1"/>
  <c r="D62" i="2"/>
  <c r="E62" i="2" s="1"/>
  <c r="D63" i="2"/>
  <c r="E63" i="2" s="1"/>
  <c r="D64" i="2"/>
  <c r="E64" i="2" s="1"/>
  <c r="D65" i="2"/>
  <c r="E65" i="2" s="1"/>
  <c r="D67" i="2"/>
  <c r="E67" i="2" s="1"/>
  <c r="D68" i="2"/>
  <c r="E68" i="2" s="1"/>
  <c r="D69" i="2"/>
  <c r="E69" i="2" s="1"/>
  <c r="D70" i="2"/>
  <c r="E70" i="2" s="1"/>
  <c r="D71" i="2"/>
  <c r="E71" i="2" s="1"/>
  <c r="D72" i="2"/>
  <c r="E72" i="2" s="1"/>
  <c r="D73" i="2"/>
  <c r="E73" i="2" s="1"/>
  <c r="D74" i="2"/>
  <c r="E74" i="2" s="1"/>
  <c r="D75" i="2"/>
  <c r="E75" i="2" s="1"/>
  <c r="D76" i="2"/>
  <c r="E76" i="2" s="1"/>
  <c r="D78" i="2"/>
  <c r="E78" i="2" s="1"/>
  <c r="D79" i="2"/>
  <c r="E79" i="2" s="1"/>
  <c r="D80" i="2"/>
  <c r="E80" i="2" s="1"/>
  <c r="D81" i="2"/>
  <c r="D82" i="2"/>
  <c r="E82" i="2" s="1"/>
  <c r="D84" i="2"/>
  <c r="E84" i="2" s="1"/>
  <c r="D85" i="2"/>
  <c r="E85" i="2" s="1"/>
  <c r="D86" i="2"/>
  <c r="E86" i="2" s="1"/>
  <c r="D87" i="2"/>
  <c r="E87" i="2" s="1"/>
  <c r="D88" i="2"/>
  <c r="E88" i="2" s="1"/>
  <c r="D89" i="2"/>
  <c r="E89" i="2" s="1"/>
  <c r="D90" i="2"/>
  <c r="E90" i="2" s="1"/>
  <c r="D91" i="2"/>
  <c r="E91" i="2" s="1"/>
  <c r="D94" i="2"/>
  <c r="E94" i="2" s="1"/>
  <c r="D95" i="2"/>
  <c r="E95" i="2" s="1"/>
  <c r="D96" i="2"/>
  <c r="E96" i="2" s="1"/>
  <c r="D97" i="2"/>
  <c r="E97" i="2" s="1"/>
  <c r="D98" i="2"/>
  <c r="E98" i="2" s="1"/>
  <c r="D99" i="2"/>
  <c r="E99" i="2" s="1"/>
  <c r="D100" i="2"/>
  <c r="E100" i="2" s="1"/>
  <c r="D101" i="2"/>
  <c r="E101" i="2" s="1"/>
  <c r="D102" i="2"/>
  <c r="E102" i="2" s="1"/>
  <c r="D103" i="2"/>
  <c r="E103" i="2" s="1"/>
  <c r="D104" i="2"/>
  <c r="E104" i="2" s="1"/>
  <c r="D105" i="2"/>
  <c r="E105" i="2" s="1"/>
  <c r="D106" i="2"/>
  <c r="E106" i="2" s="1"/>
  <c r="D107" i="2"/>
  <c r="D108" i="2"/>
  <c r="E108" i="2" s="1"/>
  <c r="D109" i="2"/>
  <c r="E109" i="2" s="1"/>
  <c r="D110" i="2"/>
  <c r="E110" i="2" s="1"/>
  <c r="D111" i="2"/>
  <c r="E111" i="2" s="1"/>
  <c r="D112" i="2"/>
  <c r="E112" i="2" s="1"/>
  <c r="D113" i="2"/>
  <c r="D114" i="2"/>
  <c r="E114" i="2" s="1"/>
  <c r="D115" i="2"/>
  <c r="E115" i="2" s="1"/>
  <c r="D116" i="2"/>
  <c r="E116" i="2" s="1"/>
  <c r="D117" i="2"/>
  <c r="E117" i="2" s="1"/>
  <c r="D118" i="2"/>
  <c r="E118" i="2" s="1"/>
  <c r="D119" i="2"/>
  <c r="D120" i="2"/>
  <c r="E120" i="2" s="1"/>
  <c r="D121" i="2"/>
  <c r="E121" i="2" s="1"/>
  <c r="D122" i="2"/>
  <c r="E122" i="2" s="1"/>
  <c r="D123" i="2"/>
  <c r="E123" i="2" s="1"/>
  <c r="D124" i="2"/>
  <c r="E124" i="2" s="1"/>
  <c r="D125" i="2"/>
  <c r="E125" i="2" s="1"/>
  <c r="D126" i="2"/>
  <c r="E126" i="2" s="1"/>
  <c r="D128" i="2"/>
  <c r="E128" i="2" s="1"/>
  <c r="D129" i="2"/>
  <c r="E129" i="2" s="1"/>
  <c r="D130" i="2"/>
  <c r="E130" i="2" s="1"/>
  <c r="D131" i="2"/>
  <c r="E131" i="2" s="1"/>
  <c r="D132" i="2"/>
  <c r="E132" i="2" s="1"/>
  <c r="D133" i="2"/>
  <c r="E133" i="2" s="1"/>
  <c r="D134" i="2"/>
  <c r="D135" i="2"/>
  <c r="E135" i="2" s="1"/>
  <c r="D136" i="2"/>
  <c r="E136" i="2" s="1"/>
  <c r="D137" i="2"/>
  <c r="E137" i="2" s="1"/>
  <c r="D138" i="2"/>
  <c r="E138" i="2" s="1"/>
  <c r="D139" i="2"/>
  <c r="E139" i="2" s="1"/>
  <c r="D140" i="2"/>
  <c r="E140" i="2" s="1"/>
  <c r="D141" i="2"/>
  <c r="E141" i="2" s="1"/>
  <c r="D142" i="2"/>
  <c r="E142" i="2" s="1"/>
  <c r="D143" i="2"/>
  <c r="E143" i="2" s="1"/>
  <c r="D144" i="2"/>
  <c r="E144" i="2" s="1"/>
  <c r="D146" i="2"/>
  <c r="E146" i="2" s="1"/>
  <c r="D147" i="2"/>
  <c r="E147" i="2" s="1"/>
  <c r="D150" i="2"/>
  <c r="E150" i="2" s="1"/>
  <c r="D151" i="2"/>
  <c r="E151" i="2" s="1"/>
  <c r="D152" i="2"/>
  <c r="E152" i="2" s="1"/>
  <c r="D153" i="2"/>
  <c r="E153" i="2" s="1"/>
  <c r="D154" i="2"/>
  <c r="E154" i="2" s="1"/>
  <c r="D155" i="2"/>
  <c r="D157" i="2"/>
  <c r="E157" i="2" s="1"/>
  <c r="D159" i="2"/>
  <c r="E159" i="2" s="1"/>
  <c r="D161" i="2"/>
  <c r="E161" i="2" s="1"/>
  <c r="D162" i="2"/>
  <c r="D163" i="2"/>
  <c r="E163" i="2" s="1"/>
  <c r="D164" i="2"/>
  <c r="E164" i="2" s="1"/>
  <c r="D165" i="2"/>
  <c r="E165" i="2" s="1"/>
  <c r="D166" i="2"/>
  <c r="E166" i="2" s="1"/>
  <c r="D167" i="2"/>
  <c r="E167" i="2" s="1"/>
  <c r="D169" i="2"/>
  <c r="E169" i="2" s="1"/>
  <c r="D170" i="2"/>
  <c r="E170" i="2" s="1"/>
  <c r="D171" i="2"/>
  <c r="E171" i="2" s="1"/>
  <c r="D172" i="2"/>
  <c r="E172" i="2" s="1"/>
  <c r="D173" i="2"/>
  <c r="E173" i="2" s="1"/>
  <c r="D174" i="2"/>
  <c r="E174" i="2" s="1"/>
  <c r="D175" i="2"/>
  <c r="D176" i="2"/>
  <c r="E176" i="2" s="1"/>
  <c r="D177" i="2"/>
  <c r="E177" i="2" s="1"/>
  <c r="D178" i="2"/>
  <c r="E178" i="2" s="1"/>
  <c r="D179" i="2"/>
  <c r="E179" i="2" s="1"/>
  <c r="D180" i="2"/>
  <c r="E180" i="2" s="1"/>
  <c r="D181" i="2"/>
  <c r="E181" i="2" s="1"/>
  <c r="D182" i="2"/>
  <c r="E182" i="2" s="1"/>
  <c r="D183" i="2"/>
  <c r="E183" i="2" s="1"/>
  <c r="D184" i="2"/>
  <c r="E184" i="2" s="1"/>
  <c r="D185" i="2"/>
  <c r="E185" i="2" s="1"/>
  <c r="D186" i="2"/>
  <c r="E186" i="2" s="1"/>
  <c r="D187" i="2"/>
  <c r="E187" i="2" s="1"/>
  <c r="D188" i="2"/>
  <c r="E188" i="2" s="1"/>
  <c r="D189" i="2"/>
  <c r="E189" i="2" s="1"/>
  <c r="D191" i="2"/>
  <c r="E191" i="2" s="1"/>
  <c r="D192" i="2"/>
  <c r="E192" i="2" s="1"/>
  <c r="D193" i="2"/>
  <c r="E193" i="2" s="1"/>
  <c r="D194" i="2"/>
  <c r="E194" i="2" s="1"/>
  <c r="D195" i="2"/>
  <c r="E195" i="2" s="1"/>
  <c r="D196" i="2"/>
  <c r="E196" i="2" s="1"/>
  <c r="D197" i="2"/>
  <c r="E197" i="2" s="1"/>
  <c r="D199" i="2"/>
  <c r="E199" i="2" s="1"/>
  <c r="D200" i="2"/>
  <c r="E200" i="2" s="1"/>
  <c r="D201" i="2"/>
  <c r="E201" i="2" s="1"/>
  <c r="D202" i="2"/>
  <c r="E202" i="2" s="1"/>
  <c r="D203" i="2"/>
  <c r="E203" i="2" s="1"/>
  <c r="D204" i="2"/>
  <c r="E204" i="2" s="1"/>
  <c r="D205" i="2"/>
  <c r="E205" i="2" s="1"/>
  <c r="D206" i="2"/>
  <c r="E206" i="2" s="1"/>
  <c r="D207" i="2"/>
  <c r="E207" i="2" s="1"/>
  <c r="D208" i="2"/>
  <c r="E208" i="2" s="1"/>
  <c r="D209" i="2"/>
  <c r="E209" i="2" s="1"/>
  <c r="D210" i="2"/>
  <c r="E210" i="2" s="1"/>
  <c r="D211" i="2"/>
  <c r="E211" i="2" s="1"/>
  <c r="D212" i="2"/>
  <c r="E212" i="2" s="1"/>
  <c r="D213" i="2"/>
  <c r="E213" i="2" s="1"/>
  <c r="D214" i="2"/>
  <c r="E214" i="2" s="1"/>
  <c r="D215" i="2"/>
  <c r="E215" i="2" s="1"/>
  <c r="D216" i="2"/>
  <c r="E216" i="2" s="1"/>
  <c r="D217" i="2"/>
  <c r="E217" i="2" s="1"/>
  <c r="D218" i="2"/>
  <c r="E218" i="2" s="1"/>
  <c r="D219" i="2"/>
  <c r="E219" i="2" s="1"/>
  <c r="D220" i="2"/>
  <c r="E220" i="2" s="1"/>
  <c r="D221" i="2"/>
  <c r="E221" i="2" s="1"/>
  <c r="D222" i="2"/>
  <c r="E222" i="2" s="1"/>
  <c r="D223" i="2"/>
  <c r="E223" i="2" s="1"/>
  <c r="D224" i="2"/>
  <c r="E224" i="2" s="1"/>
  <c r="D225" i="2"/>
  <c r="E225" i="2" s="1"/>
  <c r="D226" i="2"/>
  <c r="E226" i="2" s="1"/>
  <c r="D227" i="2"/>
  <c r="E227" i="2" s="1"/>
  <c r="D229" i="2"/>
  <c r="E229" i="2" s="1"/>
  <c r="D230" i="2"/>
  <c r="E230" i="2" s="1"/>
  <c r="D231" i="2"/>
  <c r="E231" i="2" s="1"/>
  <c r="D232" i="2"/>
  <c r="E232" i="2" s="1"/>
  <c r="D233" i="2"/>
  <c r="E233" i="2" s="1"/>
  <c r="D234" i="2"/>
  <c r="E234" i="2" s="1"/>
  <c r="D236" i="2"/>
  <c r="E236" i="2" s="1"/>
  <c r="D238" i="2"/>
  <c r="E238" i="2" s="1"/>
  <c r="D240" i="2"/>
  <c r="E240" i="2" s="1"/>
  <c r="D241" i="2"/>
  <c r="D242" i="2"/>
  <c r="E242" i="2" s="1"/>
  <c r="D243" i="2"/>
  <c r="E243" i="2" s="1"/>
  <c r="D244" i="2"/>
  <c r="E244" i="2" s="1"/>
  <c r="D245" i="2"/>
  <c r="E245" i="2" s="1"/>
  <c r="D246" i="2"/>
  <c r="E246" i="2" s="1"/>
  <c r="D248" i="2"/>
  <c r="E248" i="2" s="1"/>
  <c r="D249" i="2"/>
  <c r="E249" i="2" s="1"/>
  <c r="D250" i="2"/>
  <c r="E250" i="2" s="1"/>
  <c r="D251" i="2"/>
  <c r="E251" i="2" s="1"/>
  <c r="D252" i="2"/>
  <c r="E252" i="2" s="1"/>
  <c r="D254" i="2"/>
  <c r="E254" i="2" s="1"/>
  <c r="D255" i="2"/>
  <c r="E255" i="2" s="1"/>
  <c r="D256" i="2"/>
  <c r="E256" i="2" s="1"/>
  <c r="D257" i="2"/>
  <c r="E257" i="2" s="1"/>
  <c r="D258" i="2"/>
  <c r="E258" i="2" s="1"/>
  <c r="D259" i="2"/>
  <c r="E259" i="2" s="1"/>
  <c r="D261" i="2"/>
  <c r="E261" i="2" s="1"/>
  <c r="D262" i="2"/>
  <c r="E262" i="2" s="1"/>
  <c r="D263" i="2"/>
  <c r="E263" i="2" s="1"/>
  <c r="D264" i="2"/>
  <c r="E264" i="2" s="1"/>
  <c r="D265" i="2"/>
  <c r="E265" i="2" s="1"/>
  <c r="D266" i="2"/>
  <c r="E266" i="2" s="1"/>
  <c r="D267" i="2"/>
  <c r="D268" i="2"/>
  <c r="E268" i="2" s="1"/>
  <c r="D269" i="2"/>
  <c r="E269" i="2" s="1"/>
  <c r="D271" i="2"/>
  <c r="E271" i="2" s="1"/>
  <c r="D272" i="2"/>
  <c r="E272" i="2" s="1"/>
  <c r="D273" i="2"/>
  <c r="E273" i="2" s="1"/>
  <c r="D274" i="2"/>
  <c r="E274" i="2" s="1"/>
  <c r="D275" i="2"/>
  <c r="E275" i="2" s="1"/>
  <c r="D276" i="2"/>
  <c r="E276" i="2" s="1"/>
  <c r="D277" i="2"/>
  <c r="E277" i="2" s="1"/>
  <c r="D279" i="2"/>
  <c r="E279" i="2" s="1"/>
  <c r="D280" i="2"/>
  <c r="E280" i="2" s="1"/>
  <c r="D281" i="2"/>
  <c r="E281" i="2" s="1"/>
  <c r="D282" i="2"/>
  <c r="E282" i="2" s="1"/>
  <c r="D283" i="2"/>
  <c r="E283" i="2" s="1"/>
  <c r="D284" i="2"/>
  <c r="E284" i="2" s="1"/>
  <c r="D285" i="2"/>
  <c r="E285" i="2" s="1"/>
  <c r="D287" i="2"/>
  <c r="E287" i="2" s="1"/>
  <c r="D288" i="2"/>
  <c r="E288" i="2" s="1"/>
  <c r="D289" i="2"/>
  <c r="E289" i="2" s="1"/>
  <c r="D290" i="2"/>
  <c r="E290" i="2" s="1"/>
  <c r="D291" i="2"/>
  <c r="E291" i="2" s="1"/>
  <c r="D292" i="2"/>
  <c r="E292" i="2" s="1"/>
  <c r="D293" i="2"/>
  <c r="E293" i="2" s="1"/>
  <c r="D294" i="2"/>
  <c r="E294" i="2" s="1"/>
  <c r="D295" i="2"/>
  <c r="E295" i="2" s="1"/>
  <c r="D296" i="2"/>
  <c r="E296" i="2" s="1"/>
  <c r="D297" i="2"/>
  <c r="E297" i="2" s="1"/>
  <c r="D298" i="2"/>
  <c r="E298" i="2" s="1"/>
  <c r="D299" i="2"/>
  <c r="E299" i="2" s="1"/>
  <c r="D300" i="2"/>
  <c r="E300" i="2" s="1"/>
  <c r="D301" i="2"/>
  <c r="E301" i="2" s="1"/>
  <c r="D302" i="2"/>
  <c r="E302" i="2" s="1"/>
  <c r="D303" i="2"/>
  <c r="E303" i="2" s="1"/>
  <c r="D304" i="2"/>
  <c r="E304" i="2" s="1"/>
  <c r="D305" i="2"/>
  <c r="D306" i="2"/>
  <c r="E306" i="2" s="1"/>
  <c r="D307" i="2"/>
  <c r="E307" i="2" s="1"/>
  <c r="D308" i="2"/>
  <c r="E308" i="2" s="1"/>
  <c r="D309" i="2"/>
  <c r="E309" i="2" s="1"/>
  <c r="D310" i="2"/>
  <c r="E310" i="2" s="1"/>
  <c r="D311" i="2"/>
  <c r="E311" i="2" s="1"/>
  <c r="D312" i="2"/>
  <c r="E312" i="2" s="1"/>
  <c r="D313" i="2"/>
  <c r="E313" i="2" s="1"/>
  <c r="D314" i="2"/>
  <c r="E314" i="2" s="1"/>
  <c r="D315" i="2"/>
  <c r="E315" i="2" s="1"/>
  <c r="D316" i="2"/>
  <c r="E316" i="2" s="1"/>
  <c r="D317" i="2"/>
  <c r="E317" i="2" s="1"/>
  <c r="D318" i="2"/>
  <c r="E318" i="2" s="1"/>
  <c r="D319" i="2"/>
  <c r="E319" i="2" s="1"/>
  <c r="D321" i="2"/>
  <c r="E321" i="2" s="1"/>
  <c r="D322" i="2"/>
  <c r="E322" i="2" s="1"/>
  <c r="D323" i="2"/>
  <c r="E323" i="2" s="1"/>
  <c r="D324" i="2"/>
  <c r="E324" i="2" s="1"/>
  <c r="D325" i="2"/>
  <c r="E325" i="2" s="1"/>
  <c r="D326" i="2"/>
  <c r="E326" i="2" s="1"/>
  <c r="D327" i="2"/>
  <c r="E327" i="2" s="1"/>
  <c r="D329" i="2"/>
  <c r="E329" i="2" s="1"/>
  <c r="D330" i="2"/>
  <c r="E330" i="2" s="1"/>
  <c r="D331" i="2"/>
  <c r="E331" i="2" s="1"/>
  <c r="D332" i="2"/>
  <c r="E332" i="2" s="1"/>
  <c r="D333" i="2"/>
  <c r="E333" i="2" s="1"/>
  <c r="D334" i="2"/>
  <c r="E334" i="2" s="1"/>
  <c r="D335" i="2"/>
  <c r="E335" i="2" s="1"/>
  <c r="D336" i="2"/>
  <c r="E336" i="2" s="1"/>
  <c r="D337" i="2"/>
  <c r="E337" i="2" s="1"/>
  <c r="D339" i="2"/>
  <c r="E339" i="2" s="1"/>
  <c r="D340" i="2"/>
  <c r="E340" i="2" s="1"/>
  <c r="D341" i="2"/>
  <c r="E341" i="2" s="1"/>
  <c r="D342" i="2"/>
  <c r="E342" i="2" s="1"/>
  <c r="D343" i="2"/>
  <c r="E343" i="2" s="1"/>
  <c r="D344" i="2"/>
  <c r="E344" i="2" s="1"/>
  <c r="D345" i="2"/>
  <c r="E345" i="2" s="1"/>
  <c r="D346" i="2"/>
  <c r="E346" i="2" s="1"/>
  <c r="D347" i="2"/>
  <c r="E347" i="2" s="1"/>
  <c r="D348" i="2"/>
  <c r="E348" i="2" s="1"/>
  <c r="D350" i="2"/>
  <c r="E350" i="2" s="1"/>
  <c r="D351" i="2"/>
  <c r="E351" i="2" s="1"/>
  <c r="D352" i="2"/>
  <c r="E352" i="2" s="1"/>
  <c r="D353" i="2"/>
  <c r="E353" i="2" s="1"/>
  <c r="D354" i="2"/>
  <c r="E354" i="2" s="1"/>
  <c r="D355" i="2"/>
  <c r="E355" i="2" s="1"/>
  <c r="D356" i="2"/>
  <c r="D357" i="2"/>
  <c r="E357" i="2" s="1"/>
  <c r="D358" i="2"/>
  <c r="E358" i="2" s="1"/>
  <c r="D359" i="2"/>
  <c r="E359" i="2" s="1"/>
  <c r="D360" i="2"/>
  <c r="E360" i="2" s="1"/>
  <c r="D361" i="2"/>
  <c r="E361" i="2" s="1"/>
  <c r="D362" i="2"/>
  <c r="E362" i="2" s="1"/>
  <c r="D363" i="2"/>
  <c r="E363" i="2" s="1"/>
  <c r="D364" i="2"/>
  <c r="E364" i="2" s="1"/>
  <c r="D365" i="2"/>
  <c r="E365" i="2" s="1"/>
  <c r="D366" i="2"/>
  <c r="E366" i="2" s="1"/>
  <c r="D367" i="2"/>
  <c r="E367" i="2" s="1"/>
  <c r="D368" i="2"/>
  <c r="E368" i="2" s="1"/>
  <c r="D369" i="2"/>
  <c r="E369" i="2" s="1"/>
  <c r="D372" i="2"/>
  <c r="E372" i="2" s="1"/>
  <c r="D373" i="2"/>
  <c r="E373" i="2" s="1"/>
  <c r="D374" i="2"/>
  <c r="E374" i="2" s="1"/>
  <c r="D375" i="2"/>
  <c r="E375" i="2" s="1"/>
  <c r="D376" i="2"/>
  <c r="E376" i="2" s="1"/>
  <c r="D377" i="2"/>
  <c r="E377" i="2" s="1"/>
  <c r="D378" i="2"/>
  <c r="E378" i="2" s="1"/>
  <c r="D379" i="2"/>
  <c r="E379" i="2" s="1"/>
  <c r="D380" i="2"/>
  <c r="E380" i="2" s="1"/>
  <c r="D381" i="2"/>
  <c r="E381" i="2" s="1"/>
  <c r="D383" i="2"/>
  <c r="E383" i="2" s="1"/>
  <c r="D384" i="2"/>
  <c r="E384" i="2" s="1"/>
  <c r="D385" i="2"/>
  <c r="E385" i="2" s="1"/>
  <c r="D386" i="2"/>
  <c r="E386" i="2" s="1"/>
  <c r="D387" i="2"/>
  <c r="E387" i="2" s="1"/>
  <c r="D389" i="2"/>
  <c r="E389" i="2" s="1"/>
  <c r="D391" i="2"/>
  <c r="E391" i="2" s="1"/>
  <c r="D392" i="2"/>
  <c r="E392" i="2" s="1"/>
  <c r="D393" i="2"/>
  <c r="E393" i="2" s="1"/>
  <c r="D394" i="2"/>
  <c r="E394" i="2" s="1"/>
  <c r="D395" i="2"/>
  <c r="D396" i="2"/>
  <c r="E396" i="2" s="1"/>
  <c r="D397" i="2"/>
  <c r="E397" i="2" s="1"/>
  <c r="D398" i="2"/>
  <c r="E398" i="2" s="1"/>
  <c r="D399" i="2"/>
  <c r="E399" i="2" s="1"/>
  <c r="D400" i="2"/>
  <c r="E400" i="2" s="1"/>
  <c r="D401" i="2"/>
  <c r="E401" i="2" s="1"/>
  <c r="D402" i="2"/>
  <c r="E402" i="2" s="1"/>
  <c r="D403" i="2"/>
  <c r="E403" i="2" s="1"/>
  <c r="D404" i="2"/>
  <c r="E404" i="2" s="1"/>
  <c r="D405" i="2"/>
  <c r="E405" i="2" s="1"/>
  <c r="D406" i="2"/>
  <c r="E406" i="2" s="1"/>
  <c r="D407" i="2"/>
  <c r="E407" i="2" s="1"/>
  <c r="D408" i="2"/>
  <c r="D409" i="2"/>
  <c r="E409" i="2" s="1"/>
  <c r="D410" i="2"/>
  <c r="E410" i="2" s="1"/>
  <c r="D411" i="2"/>
  <c r="E411" i="2" s="1"/>
  <c r="D412" i="2"/>
  <c r="E412" i="2" s="1"/>
  <c r="D413" i="2"/>
  <c r="E413" i="2" s="1"/>
  <c r="D414" i="2"/>
  <c r="E414" i="2" s="1"/>
  <c r="D415" i="2"/>
  <c r="E415" i="2" s="1"/>
  <c r="D416" i="2"/>
  <c r="E416" i="2" s="1"/>
  <c r="D417" i="2"/>
  <c r="E417" i="2" s="1"/>
  <c r="D418" i="2"/>
  <c r="E418" i="2" s="1"/>
  <c r="D419" i="2"/>
  <c r="E419" i="2" s="1"/>
  <c r="D420" i="2"/>
  <c r="E420" i="2" s="1"/>
  <c r="D421" i="2"/>
  <c r="E421" i="2" s="1"/>
  <c r="D422" i="2"/>
  <c r="E422" i="2" s="1"/>
  <c r="D423" i="2"/>
  <c r="E423" i="2" s="1"/>
  <c r="D424" i="2"/>
  <c r="E424" i="2" s="1"/>
  <c r="D425" i="2"/>
  <c r="E425" i="2" s="1"/>
  <c r="D426" i="2"/>
  <c r="E426" i="2" s="1"/>
  <c r="D427" i="2"/>
  <c r="E427" i="2" s="1"/>
  <c r="D428" i="2"/>
  <c r="E428" i="2" s="1"/>
  <c r="D429" i="2"/>
  <c r="E429" i="2" s="1"/>
  <c r="D430" i="2"/>
  <c r="E430" i="2" s="1"/>
  <c r="D431" i="2"/>
  <c r="E431" i="2" s="1"/>
  <c r="D432" i="2"/>
  <c r="E432" i="2" s="1"/>
  <c r="D433" i="2"/>
  <c r="E433" i="2" s="1"/>
  <c r="D434" i="2"/>
  <c r="E434" i="2" s="1"/>
  <c r="D435" i="2"/>
  <c r="E435" i="2" s="1"/>
  <c r="D437" i="2"/>
  <c r="E437" i="2" s="1"/>
  <c r="D438" i="2"/>
  <c r="E438" i="2" s="1"/>
  <c r="D439" i="2"/>
  <c r="E439" i="2" s="1"/>
  <c r="D440" i="2"/>
  <c r="E440" i="2" s="1"/>
  <c r="D441" i="2"/>
  <c r="E441" i="2" s="1"/>
  <c r="D442" i="2"/>
  <c r="E442" i="2" s="1"/>
  <c r="D444" i="2"/>
  <c r="E444" i="2" s="1"/>
  <c r="D446" i="2"/>
  <c r="E446" i="2" s="1"/>
  <c r="D448" i="2"/>
  <c r="E448" i="2" s="1"/>
  <c r="D449" i="2"/>
  <c r="D450" i="2"/>
  <c r="E450" i="2" s="1"/>
  <c r="D451" i="2"/>
  <c r="E451" i="2" s="1"/>
  <c r="D452" i="2"/>
  <c r="E452" i="2" s="1"/>
  <c r="D454" i="2"/>
  <c r="E454" i="2" s="1"/>
  <c r="D455" i="2"/>
  <c r="E455" i="2" s="1"/>
  <c r="D456" i="2"/>
  <c r="E456" i="2" s="1"/>
  <c r="D457" i="2"/>
  <c r="E457" i="2" s="1"/>
  <c r="D459" i="2"/>
  <c r="E459" i="2" s="1"/>
  <c r="D460" i="2"/>
  <c r="E460" i="2" s="1"/>
  <c r="D461" i="2"/>
  <c r="E461" i="2" s="1"/>
  <c r="D462" i="2"/>
  <c r="D463" i="2"/>
  <c r="E463" i="2" s="1"/>
  <c r="D464" i="2"/>
  <c r="E464" i="2" s="1"/>
  <c r="D465" i="2"/>
  <c r="E465" i="2" s="1"/>
  <c r="D466" i="2"/>
  <c r="E466" i="2" s="1"/>
  <c r="D467" i="2"/>
  <c r="E467" i="2" s="1"/>
  <c r="D468" i="2"/>
  <c r="E468" i="2" s="1"/>
  <c r="D469" i="2"/>
  <c r="E469" i="2" s="1"/>
  <c r="D471" i="2"/>
  <c r="E471" i="2" s="1"/>
  <c r="D472" i="2"/>
  <c r="E472" i="2" s="1"/>
  <c r="D473" i="2"/>
  <c r="E473" i="2" s="1"/>
  <c r="D474" i="2"/>
  <c r="E474" i="2" s="1"/>
  <c r="D475" i="2"/>
  <c r="D476" i="2"/>
  <c r="E476" i="2" s="1"/>
  <c r="D478" i="2"/>
  <c r="E478" i="2" s="1"/>
  <c r="D481" i="2"/>
  <c r="E481" i="2" s="1"/>
  <c r="D482" i="2"/>
  <c r="E482" i="2" s="1"/>
  <c r="D483" i="2"/>
  <c r="E483" i="2" s="1"/>
  <c r="D484" i="2"/>
  <c r="E484" i="2" s="1"/>
  <c r="D485" i="2"/>
  <c r="E485" i="2" s="1"/>
  <c r="D486" i="2"/>
  <c r="E486" i="2" s="1"/>
  <c r="D487" i="2"/>
  <c r="E487" i="2" s="1"/>
  <c r="D488" i="2"/>
  <c r="E488" i="2" s="1"/>
  <c r="D489" i="2"/>
  <c r="E489" i="2" s="1"/>
  <c r="D490" i="2"/>
  <c r="E490" i="2" s="1"/>
  <c r="D491" i="2"/>
  <c r="E491" i="2" s="1"/>
  <c r="D492" i="2"/>
  <c r="E492" i="2" s="1"/>
  <c r="D493" i="2"/>
  <c r="E493" i="2" s="1"/>
  <c r="D494" i="2"/>
  <c r="E494" i="2" s="1"/>
  <c r="D495" i="2"/>
  <c r="E495" i="2" s="1"/>
  <c r="D496" i="2"/>
  <c r="E496" i="2" s="1"/>
  <c r="D497" i="2"/>
  <c r="E497" i="2" s="1"/>
  <c r="D498" i="2"/>
  <c r="E498" i="2" s="1"/>
  <c r="D499" i="2"/>
  <c r="E499" i="2" s="1"/>
  <c r="D500" i="2"/>
  <c r="E500" i="2" s="1"/>
  <c r="D502" i="2"/>
  <c r="D504" i="2"/>
  <c r="E504" i="2" s="1"/>
  <c r="D505" i="2"/>
  <c r="E505" i="2" s="1"/>
  <c r="D507" i="2"/>
  <c r="E507" i="2" s="1"/>
  <c r="D508" i="2"/>
  <c r="E508" i="2" s="1"/>
  <c r="D509" i="2"/>
  <c r="E509" i="2" s="1"/>
  <c r="D510" i="2"/>
  <c r="E510" i="2" s="1"/>
  <c r="D511" i="2"/>
  <c r="E511" i="2" s="1"/>
  <c r="D512" i="2"/>
  <c r="E512" i="2" s="1"/>
  <c r="D513" i="2"/>
  <c r="E513" i="2" s="1"/>
  <c r="D514" i="2"/>
  <c r="E514" i="2" s="1"/>
  <c r="D515" i="2"/>
  <c r="E515" i="2" s="1"/>
  <c r="D516" i="2"/>
  <c r="E516" i="2" s="1"/>
  <c r="D517" i="2"/>
  <c r="E517" i="2" s="1"/>
  <c r="D518" i="2"/>
  <c r="E518" i="2" s="1"/>
  <c r="D519" i="2"/>
  <c r="E519" i="2" s="1"/>
  <c r="D520" i="2"/>
  <c r="E520" i="2" s="1"/>
  <c r="D521" i="2"/>
  <c r="E521" i="2" s="1"/>
  <c r="D522" i="2"/>
  <c r="E522" i="2" s="1"/>
  <c r="D524" i="2"/>
  <c r="E524" i="2" s="1"/>
  <c r="D525" i="2"/>
  <c r="E525" i="2" s="1"/>
  <c r="D526" i="2"/>
  <c r="E526" i="2" s="1"/>
  <c r="D528" i="2"/>
  <c r="D529" i="2"/>
  <c r="E529" i="2" s="1"/>
  <c r="D530" i="2"/>
  <c r="E530" i="2" s="1"/>
  <c r="D531" i="2"/>
  <c r="E531" i="2" s="1"/>
  <c r="D533" i="2"/>
  <c r="E533" i="2" s="1"/>
  <c r="D534" i="2"/>
  <c r="E534" i="2" s="1"/>
  <c r="D535" i="2"/>
  <c r="E535" i="2" s="1"/>
  <c r="D536" i="2"/>
  <c r="E536" i="2" s="1"/>
  <c r="D538" i="2"/>
  <c r="E538" i="2" s="1"/>
  <c r="D539" i="2"/>
  <c r="E539" i="2" s="1"/>
  <c r="D540" i="2"/>
  <c r="E540" i="2" s="1"/>
  <c r="D541" i="2"/>
  <c r="D542" i="2"/>
  <c r="E542" i="2" s="1"/>
  <c r="D543" i="2"/>
  <c r="E543" i="2" s="1"/>
  <c r="D545" i="2"/>
  <c r="E545" i="2" s="1"/>
  <c r="D546" i="2"/>
  <c r="E546" i="2" s="1"/>
  <c r="D547" i="2"/>
  <c r="E547" i="2" s="1"/>
  <c r="D548" i="2"/>
  <c r="E548" i="2" s="1"/>
  <c r="D549" i="2"/>
  <c r="E549" i="2" s="1"/>
  <c r="D550" i="2"/>
  <c r="E550" i="2" s="1"/>
  <c r="D551" i="2"/>
  <c r="E551" i="2" s="1"/>
  <c r="D552" i="2"/>
  <c r="D553" i="2"/>
  <c r="E553" i="2" s="1"/>
  <c r="D554" i="2"/>
  <c r="E554" i="2" s="1"/>
  <c r="D555" i="2"/>
  <c r="E555" i="2" s="1"/>
  <c r="D556" i="2"/>
  <c r="E556" i="2" s="1"/>
  <c r="D557" i="2"/>
  <c r="E557" i="2" s="1"/>
  <c r="D558" i="2"/>
  <c r="E558" i="2" s="1"/>
  <c r="D559" i="2"/>
  <c r="D560" i="2"/>
  <c r="E560" i="2" s="1"/>
  <c r="D561" i="2"/>
  <c r="E561" i="2" s="1"/>
  <c r="D562" i="2"/>
  <c r="E562" i="2" s="1"/>
  <c r="D563" i="2"/>
  <c r="E563" i="2" s="1"/>
  <c r="D564" i="2"/>
  <c r="E564" i="2" s="1"/>
  <c r="D565" i="2"/>
  <c r="E565" i="2" s="1"/>
  <c r="D566" i="2"/>
  <c r="D567" i="2"/>
  <c r="E567" i="2" s="1"/>
  <c r="D568" i="2"/>
  <c r="E568" i="2" s="1"/>
  <c r="D569" i="2"/>
  <c r="E569" i="2" s="1"/>
  <c r="D570" i="2"/>
  <c r="E570" i="2" s="1"/>
  <c r="D571" i="2"/>
  <c r="E571" i="2" s="1"/>
  <c r="D572" i="2"/>
  <c r="E572" i="2" s="1"/>
  <c r="D573" i="2"/>
  <c r="E573" i="2" s="1"/>
  <c r="D574" i="2"/>
  <c r="E574" i="2" s="1"/>
  <c r="D575" i="2"/>
  <c r="E575" i="2" s="1"/>
  <c r="D576" i="2"/>
  <c r="E576" i="2" s="1"/>
  <c r="D577" i="2"/>
  <c r="E577" i="2" s="1"/>
  <c r="D578" i="2"/>
  <c r="E578" i="2" s="1"/>
  <c r="D579" i="2"/>
  <c r="E579" i="2" s="1"/>
  <c r="D580" i="2"/>
  <c r="E580" i="2" s="1"/>
  <c r="D581" i="2"/>
  <c r="E581" i="2" s="1"/>
  <c r="D582" i="2"/>
  <c r="E582" i="2" s="1"/>
  <c r="D583" i="2"/>
  <c r="E583" i="2" s="1"/>
  <c r="D584" i="2"/>
  <c r="E584" i="2" s="1"/>
  <c r="D585" i="2"/>
  <c r="E585" i="2" s="1"/>
  <c r="D586" i="2"/>
  <c r="E586" i="2" s="1"/>
  <c r="D587" i="2"/>
  <c r="E587" i="2" s="1"/>
  <c r="D589" i="2"/>
  <c r="E589" i="2" s="1"/>
  <c r="D590" i="2"/>
  <c r="E590" i="2" s="1"/>
  <c r="D591" i="2"/>
  <c r="E591" i="2" s="1"/>
  <c r="D592" i="2"/>
  <c r="E592" i="2" s="1"/>
  <c r="D594" i="2"/>
  <c r="E594" i="2" s="1"/>
  <c r="D595" i="2"/>
  <c r="E595" i="2" s="1"/>
  <c r="D596" i="2"/>
  <c r="E596" i="2" s="1"/>
  <c r="D597" i="2"/>
  <c r="E597" i="2" s="1"/>
  <c r="D598" i="2"/>
  <c r="E598" i="2" s="1"/>
  <c r="D599" i="2"/>
  <c r="E599" i="2" s="1"/>
  <c r="D600" i="2"/>
  <c r="D602" i="2"/>
  <c r="E602" i="2" s="1"/>
  <c r="D603" i="2"/>
  <c r="E603" i="2" s="1"/>
  <c r="D604" i="2"/>
  <c r="E604" i="2" s="1"/>
  <c r="D605" i="2"/>
  <c r="E605" i="2" s="1"/>
  <c r="D606" i="2"/>
  <c r="E606" i="2" s="1"/>
  <c r="D607" i="2"/>
  <c r="E607" i="2" s="1"/>
  <c r="D608" i="2"/>
  <c r="E608" i="2" s="1"/>
  <c r="D609" i="2"/>
  <c r="E609" i="2" s="1"/>
  <c r="D610" i="2"/>
  <c r="E610" i="2" s="1"/>
  <c r="D611" i="2"/>
  <c r="E611" i="2" s="1"/>
  <c r="D612" i="2"/>
  <c r="E612" i="2" s="1"/>
  <c r="D613" i="2"/>
  <c r="E613" i="2" s="1"/>
  <c r="D614" i="2"/>
  <c r="D615" i="2"/>
  <c r="E615" i="2" s="1"/>
  <c r="D616" i="2"/>
  <c r="E616" i="2" s="1"/>
  <c r="D617" i="2"/>
  <c r="E617" i="2" s="1"/>
  <c r="D618" i="2"/>
  <c r="E618" i="2" s="1"/>
  <c r="D619" i="2"/>
  <c r="E619" i="2" s="1"/>
  <c r="D620" i="2"/>
  <c r="E620" i="2" s="1"/>
  <c r="D621" i="2"/>
  <c r="E621" i="2" s="1"/>
  <c r="D623" i="2"/>
  <c r="E623" i="2" s="1"/>
  <c r="D624" i="2"/>
  <c r="E624" i="2" s="1"/>
  <c r="D625" i="2"/>
  <c r="E625" i="2" s="1"/>
  <c r="D626" i="2"/>
  <c r="E626" i="2" s="1"/>
  <c r="D627" i="2"/>
  <c r="E627" i="2" s="1"/>
  <c r="D628" i="2"/>
  <c r="E628" i="2" s="1"/>
  <c r="D629" i="2"/>
  <c r="E629" i="2" s="1"/>
  <c r="D630" i="2"/>
  <c r="E630" i="2" s="1"/>
  <c r="D632" i="2"/>
  <c r="E632" i="2" s="1"/>
  <c r="D633" i="2"/>
  <c r="E633" i="2" s="1"/>
  <c r="D634" i="2"/>
  <c r="E634" i="2" s="1"/>
  <c r="D635" i="2"/>
  <c r="E635" i="2" s="1"/>
  <c r="D637" i="2"/>
  <c r="E637" i="2" s="1"/>
  <c r="D638" i="2"/>
  <c r="E638" i="2" s="1"/>
  <c r="D639" i="2"/>
  <c r="E639" i="2" s="1"/>
  <c r="D640" i="2"/>
  <c r="D641" i="2"/>
  <c r="E641" i="2" s="1"/>
  <c r="D642" i="2"/>
  <c r="E642" i="2" s="1"/>
  <c r="D643" i="2"/>
  <c r="E643" i="2" s="1"/>
  <c r="D644" i="2"/>
  <c r="E644" i="2" s="1"/>
  <c r="D645" i="2"/>
  <c r="E645" i="2" s="1"/>
  <c r="D646" i="2"/>
  <c r="E646" i="2" s="1"/>
  <c r="D647" i="2"/>
  <c r="E647" i="2" s="1"/>
  <c r="D649" i="2"/>
  <c r="E649" i="2" s="1"/>
  <c r="D650" i="2"/>
  <c r="E650" i="2" s="1"/>
  <c r="D651" i="2"/>
  <c r="E651" i="2" s="1"/>
  <c r="D652" i="2"/>
  <c r="E652" i="2" s="1"/>
  <c r="D653" i="2"/>
  <c r="D654" i="2"/>
  <c r="E654" i="2" s="1"/>
  <c r="D655" i="2"/>
  <c r="E655" i="2" s="1"/>
  <c r="D658" i="2"/>
  <c r="E658" i="2" s="1"/>
  <c r="D659" i="2"/>
  <c r="E659" i="2" s="1"/>
  <c r="D660" i="2"/>
  <c r="E660" i="2" s="1"/>
  <c r="D661" i="2"/>
  <c r="E661" i="2" s="1"/>
  <c r="D662" i="2"/>
  <c r="E662" i="2" s="1"/>
  <c r="D663" i="2"/>
  <c r="E663" i="2" s="1"/>
  <c r="D664" i="2"/>
  <c r="E664" i="2" s="1"/>
  <c r="D665" i="2"/>
  <c r="E665" i="2" s="1"/>
  <c r="D666" i="2"/>
  <c r="E666" i="2" s="1"/>
  <c r="D667" i="2"/>
  <c r="E667" i="2" s="1"/>
  <c r="D669" i="2"/>
  <c r="E669" i="2" s="1"/>
  <c r="D670" i="2"/>
  <c r="E670" i="2" s="1"/>
  <c r="D671" i="2"/>
  <c r="E671" i="2" s="1"/>
  <c r="D672" i="2"/>
  <c r="E672" i="2" s="1"/>
  <c r="D673" i="2"/>
  <c r="E673" i="2" s="1"/>
  <c r="D675" i="2"/>
  <c r="E675" i="2" s="1"/>
  <c r="D677" i="2"/>
  <c r="E677" i="2" s="1"/>
  <c r="D678" i="2"/>
  <c r="E678" i="2" s="1"/>
  <c r="D679" i="2"/>
  <c r="E679" i="2" s="1"/>
  <c r="D680" i="2"/>
  <c r="E680" i="2" s="1"/>
  <c r="D681" i="2"/>
  <c r="D682" i="2"/>
  <c r="E682" i="2" s="1"/>
  <c r="D683" i="2"/>
  <c r="E683" i="2" s="1"/>
  <c r="D684" i="2"/>
  <c r="E684" i="2" s="1"/>
  <c r="D685" i="2"/>
  <c r="E685" i="2" s="1"/>
  <c r="D686" i="2"/>
  <c r="E686" i="2" s="1"/>
  <c r="D687" i="2"/>
  <c r="E687" i="2" s="1"/>
  <c r="D688" i="2"/>
  <c r="E688" i="2" s="1"/>
  <c r="D689" i="2"/>
  <c r="E689" i="2" s="1"/>
  <c r="D691" i="2"/>
  <c r="E691" i="2" s="1"/>
  <c r="D692" i="2"/>
  <c r="E692" i="2" s="1"/>
  <c r="D693" i="2"/>
  <c r="E693" i="2" s="1"/>
  <c r="D694" i="2"/>
  <c r="E694" i="2" s="1"/>
  <c r="D696" i="2"/>
  <c r="E696" i="2" s="1"/>
  <c r="D697" i="2"/>
  <c r="E697" i="2" s="1"/>
  <c r="D698" i="2"/>
  <c r="E698" i="2" s="1"/>
  <c r="D699" i="2"/>
  <c r="E699" i="2" s="1"/>
  <c r="D700" i="2"/>
  <c r="E700" i="2" s="1"/>
  <c r="D701" i="2"/>
  <c r="E701" i="2" s="1"/>
  <c r="D702" i="2"/>
  <c r="D704" i="2"/>
  <c r="E704" i="2" s="1"/>
  <c r="D705" i="2"/>
  <c r="E705" i="2" s="1"/>
  <c r="D707" i="2"/>
  <c r="E707" i="2" s="1"/>
  <c r="D708" i="2"/>
  <c r="E708" i="2" s="1"/>
  <c r="D709" i="2"/>
  <c r="E709" i="2" s="1"/>
  <c r="D710" i="2"/>
  <c r="E710" i="2" s="1"/>
  <c r="D711" i="2"/>
  <c r="E711" i="2" s="1"/>
  <c r="D712" i="2"/>
  <c r="E712" i="2" s="1"/>
  <c r="D713" i="2"/>
  <c r="E713" i="2" s="1"/>
  <c r="D714" i="2"/>
  <c r="E714" i="2" s="1"/>
  <c r="D715" i="2"/>
  <c r="E715" i="2" s="1"/>
  <c r="D717" i="2"/>
  <c r="E717" i="2" s="1"/>
  <c r="D718" i="2"/>
  <c r="E718" i="2" s="1"/>
  <c r="D719" i="2"/>
  <c r="E719" i="2" s="1"/>
  <c r="D720" i="2"/>
  <c r="E720" i="2" s="1"/>
  <c r="D721" i="2"/>
  <c r="E721" i="2" s="1"/>
  <c r="D723" i="2"/>
  <c r="D725" i="2"/>
  <c r="E725" i="2" s="1"/>
  <c r="D727" i="2"/>
  <c r="E727" i="2" s="1"/>
  <c r="D728" i="2"/>
  <c r="E728" i="2" s="1"/>
  <c r="D729" i="2"/>
  <c r="D730" i="2"/>
  <c r="E730" i="2" s="1"/>
  <c r="D731" i="2"/>
  <c r="E731" i="2" s="1"/>
  <c r="D732" i="2"/>
  <c r="E732" i="2" s="1"/>
  <c r="D733" i="2"/>
  <c r="E733" i="2" s="1"/>
  <c r="D734" i="2"/>
  <c r="E734" i="2" s="1"/>
  <c r="D735" i="2"/>
  <c r="E735" i="2" s="1"/>
  <c r="D736" i="2"/>
  <c r="E736" i="2" s="1"/>
  <c r="D737" i="2"/>
  <c r="E737" i="2" s="1"/>
  <c r="D739" i="2"/>
  <c r="E739" i="2" s="1"/>
  <c r="D740" i="2"/>
  <c r="E740" i="2" s="1"/>
  <c r="D741" i="2"/>
  <c r="E741" i="2" s="1"/>
  <c r="D742" i="2"/>
  <c r="E742" i="2" s="1"/>
  <c r="D744" i="2"/>
  <c r="E744" i="2" s="1"/>
  <c r="D745" i="2"/>
  <c r="E745" i="2" s="1"/>
  <c r="D746" i="2"/>
  <c r="E746" i="2" s="1"/>
  <c r="D747" i="2"/>
  <c r="E747" i="2" s="1"/>
  <c r="D748" i="2"/>
  <c r="E748" i="2" s="1"/>
  <c r="D749" i="2"/>
  <c r="E749" i="2" s="1"/>
  <c r="D750" i="2"/>
  <c r="E750" i="2" s="1"/>
  <c r="D751" i="2"/>
  <c r="E751" i="2" s="1"/>
  <c r="D752" i="2"/>
  <c r="E752" i="2" s="1"/>
  <c r="D755" i="2"/>
  <c r="E755" i="2" s="1"/>
  <c r="D756" i="2"/>
  <c r="E756" i="2" s="1"/>
  <c r="D757" i="2"/>
  <c r="E757" i="2" s="1"/>
  <c r="D758" i="2"/>
  <c r="E758" i="2" s="1"/>
  <c r="D759" i="2"/>
  <c r="E759" i="2" s="1"/>
  <c r="D760" i="2"/>
  <c r="E760" i="2" s="1"/>
  <c r="D761" i="2"/>
  <c r="E761" i="2" s="1"/>
  <c r="D762" i="2"/>
  <c r="E762" i="2" s="1"/>
  <c r="D763" i="2"/>
  <c r="E763" i="2" s="1"/>
  <c r="D764" i="2"/>
  <c r="E764" i="2" s="1"/>
  <c r="D766" i="2"/>
  <c r="E766" i="2" s="1"/>
  <c r="D767" i="2"/>
  <c r="E767" i="2" s="1"/>
  <c r="D769" i="2"/>
  <c r="E769" i="2" s="1"/>
  <c r="D770" i="2"/>
  <c r="E770" i="2" s="1"/>
  <c r="D771" i="2"/>
  <c r="E771" i="2" s="1"/>
  <c r="D772" i="2"/>
  <c r="E772" i="2" s="1"/>
  <c r="D773" i="2"/>
  <c r="E773" i="2" s="1"/>
  <c r="D774" i="2"/>
  <c r="E774" i="2" s="1"/>
  <c r="D775" i="2"/>
  <c r="D777" i="2"/>
  <c r="E777" i="2" s="1"/>
  <c r="D779" i="2"/>
  <c r="E779" i="2" s="1"/>
  <c r="D781" i="2"/>
  <c r="E781" i="2" s="1"/>
  <c r="D782" i="2"/>
  <c r="D783" i="2"/>
  <c r="E783" i="2" s="1"/>
  <c r="D785" i="2"/>
  <c r="E785" i="2" s="1"/>
  <c r="D786" i="2"/>
  <c r="E786" i="2" s="1"/>
  <c r="D787" i="2"/>
  <c r="E787" i="2" s="1"/>
  <c r="D788" i="2"/>
  <c r="E788" i="2" s="1"/>
  <c r="D790" i="2"/>
  <c r="E790" i="2" s="1"/>
  <c r="D791" i="2"/>
  <c r="E791" i="2" s="1"/>
  <c r="D792" i="2"/>
  <c r="E792" i="2" s="1"/>
  <c r="D793" i="2"/>
  <c r="E793" i="2" s="1"/>
  <c r="D794" i="2"/>
  <c r="E794" i="2" s="1"/>
  <c r="D796" i="2"/>
  <c r="E796" i="2" s="1"/>
  <c r="D797" i="2"/>
  <c r="E797" i="2" s="1"/>
  <c r="D798" i="2"/>
  <c r="E798" i="2" s="1"/>
  <c r="D799" i="2"/>
  <c r="E799" i="2" s="1"/>
  <c r="D800" i="2"/>
  <c r="E800" i="2" s="1"/>
  <c r="D801" i="2"/>
  <c r="E801" i="2" s="1"/>
  <c r="D802" i="2"/>
  <c r="E802" i="2" s="1"/>
  <c r="D803" i="2"/>
  <c r="E803" i="2" s="1"/>
  <c r="D804" i="2"/>
  <c r="D805" i="2"/>
  <c r="E805" i="2" s="1"/>
  <c r="D806" i="2"/>
  <c r="E806" i="2" s="1"/>
  <c r="D808" i="2"/>
  <c r="E808" i="2" s="1"/>
  <c r="D809" i="2"/>
  <c r="E809" i="2" s="1"/>
  <c r="D810" i="2"/>
  <c r="E810" i="2" s="1"/>
  <c r="D811" i="2"/>
  <c r="E811" i="2" s="1"/>
  <c r="D812" i="2"/>
  <c r="E812" i="2" s="1"/>
  <c r="D813" i="2"/>
  <c r="E813" i="2" s="1"/>
  <c r="D814" i="2"/>
  <c r="E814" i="2" s="1"/>
  <c r="D815" i="2"/>
  <c r="E815" i="2" s="1"/>
  <c r="D817" i="2"/>
  <c r="E817" i="2" s="1"/>
  <c r="D818" i="2"/>
  <c r="E818" i="2" s="1"/>
  <c r="D819" i="2"/>
  <c r="E819" i="2" s="1"/>
  <c r="D820" i="2"/>
  <c r="E820" i="2" s="1"/>
  <c r="D821" i="2"/>
  <c r="E821" i="2" s="1"/>
  <c r="D822" i="2"/>
  <c r="E822" i="2" s="1"/>
  <c r="D823" i="2"/>
  <c r="E823" i="2" s="1"/>
  <c r="D824" i="2"/>
  <c r="E824" i="2" s="1"/>
  <c r="D825" i="2"/>
  <c r="E825" i="2" s="1"/>
  <c r="D826" i="2"/>
  <c r="E826" i="2" s="1"/>
  <c r="D827" i="2"/>
  <c r="E827" i="2" s="1"/>
  <c r="D828" i="2"/>
  <c r="E828" i="2" s="1"/>
  <c r="D829" i="2"/>
  <c r="E829" i="2" s="1"/>
  <c r="D830" i="2"/>
  <c r="E830" i="2" s="1"/>
  <c r="D831" i="2"/>
  <c r="D832" i="2"/>
  <c r="E832" i="2" s="1"/>
  <c r="D833" i="2"/>
  <c r="E833" i="2" s="1"/>
  <c r="D836" i="2"/>
  <c r="E836" i="2" s="1"/>
  <c r="D837" i="2"/>
  <c r="E837" i="2" s="1"/>
  <c r="D838" i="2"/>
  <c r="E838" i="2" s="1"/>
  <c r="D839" i="2"/>
  <c r="E839" i="2" s="1"/>
  <c r="D840" i="2"/>
  <c r="E840" i="2" s="1"/>
  <c r="D841" i="2"/>
  <c r="E841" i="2" s="1"/>
  <c r="D842" i="2"/>
  <c r="E842" i="2" s="1"/>
  <c r="D843" i="2"/>
  <c r="E843" i="2" s="1"/>
  <c r="D844" i="2"/>
  <c r="E844" i="2" s="1"/>
  <c r="D845" i="2"/>
  <c r="E845" i="2" s="1"/>
  <c r="D846" i="2"/>
  <c r="E846" i="2" s="1"/>
  <c r="D847" i="2"/>
  <c r="E847" i="2" s="1"/>
  <c r="D848" i="2"/>
  <c r="E848" i="2" s="1"/>
  <c r="D849" i="2"/>
  <c r="E849" i="2" s="1"/>
  <c r="D850" i="2"/>
  <c r="E850" i="2" s="1"/>
  <c r="D851" i="2"/>
  <c r="E851" i="2" s="1"/>
  <c r="D853" i="2"/>
  <c r="E853" i="2" s="1"/>
  <c r="D854" i="2"/>
  <c r="E854" i="2" s="1"/>
  <c r="D855" i="2"/>
  <c r="E855" i="2" s="1"/>
  <c r="D856" i="2"/>
  <c r="E856" i="2" s="1"/>
  <c r="D857" i="2"/>
  <c r="D858" i="2"/>
  <c r="E858" i="2" s="1"/>
  <c r="D859" i="2"/>
  <c r="E859" i="2" s="1"/>
  <c r="D860" i="2"/>
  <c r="E860" i="2" s="1"/>
  <c r="D862" i="2"/>
  <c r="E862" i="2" s="1"/>
  <c r="D863" i="2"/>
  <c r="E863" i="2" s="1"/>
  <c r="D864" i="2"/>
  <c r="E864" i="2" s="1"/>
  <c r="D865" i="2"/>
  <c r="E865" i="2" s="1"/>
  <c r="D867" i="2"/>
  <c r="E867" i="2" s="1"/>
  <c r="D868" i="2"/>
  <c r="E868" i="2" s="1"/>
  <c r="D869" i="2"/>
  <c r="E869" i="2" s="1"/>
  <c r="D870" i="2"/>
  <c r="D871" i="2"/>
  <c r="E871" i="2" s="1"/>
  <c r="D872" i="2"/>
  <c r="E872" i="2" s="1"/>
  <c r="D873" i="2"/>
  <c r="E873" i="2" s="1"/>
  <c r="D874" i="2"/>
  <c r="E874" i="2" s="1"/>
  <c r="D875" i="2"/>
  <c r="E875" i="2" s="1"/>
  <c r="D876" i="2"/>
  <c r="E876" i="2" s="1"/>
  <c r="D877" i="2"/>
  <c r="E877" i="2" s="1"/>
  <c r="D878" i="2"/>
  <c r="E878" i="2" s="1"/>
  <c r="D879" i="2"/>
  <c r="E879" i="2" s="1"/>
  <c r="D880" i="2"/>
  <c r="E880" i="2" s="1"/>
  <c r="D881" i="2"/>
  <c r="D882" i="2"/>
  <c r="E882" i="2" s="1"/>
  <c r="D883" i="2"/>
  <c r="E883" i="2" s="1"/>
  <c r="D884" i="2"/>
  <c r="E884" i="2" s="1"/>
  <c r="D885" i="2"/>
  <c r="E885" i="2" s="1"/>
  <c r="D887" i="2"/>
  <c r="E887" i="2" s="1"/>
  <c r="D889" i="2"/>
  <c r="E889" i="2" s="1"/>
  <c r="D890" i="2"/>
  <c r="E890" i="2" s="1"/>
  <c r="D891" i="2"/>
  <c r="E891" i="2" s="1"/>
  <c r="D892" i="2"/>
  <c r="E892" i="2" s="1"/>
  <c r="D893" i="2"/>
  <c r="E893" i="2" s="1"/>
  <c r="D894" i="2"/>
  <c r="E894" i="2" s="1"/>
  <c r="D895" i="2"/>
  <c r="E895" i="2" s="1"/>
  <c r="D896" i="2"/>
  <c r="E896" i="2" s="1"/>
  <c r="D898" i="2"/>
  <c r="E898" i="2" s="1"/>
  <c r="D899" i="2"/>
  <c r="E899" i="2" s="1"/>
  <c r="D900" i="2"/>
  <c r="E900" i="2" s="1"/>
  <c r="D901" i="2"/>
  <c r="E901" i="2" s="1"/>
  <c r="D902" i="2"/>
  <c r="E902" i="2" s="1"/>
  <c r="D903" i="2"/>
  <c r="E903" i="2" s="1"/>
  <c r="D905" i="2"/>
  <c r="E905" i="2" s="1"/>
  <c r="D906" i="2"/>
  <c r="E906" i="2" s="1"/>
  <c r="D907" i="2"/>
  <c r="E907" i="2" s="1"/>
  <c r="D909" i="2"/>
  <c r="D910" i="2"/>
  <c r="E910" i="2" s="1"/>
  <c r="D911" i="2"/>
  <c r="E911" i="2" s="1"/>
  <c r="D912" i="2"/>
  <c r="E912" i="2" s="1"/>
  <c r="D914" i="2"/>
  <c r="E914" i="2" s="1"/>
  <c r="D916" i="2"/>
  <c r="E916" i="2" s="1"/>
  <c r="D917" i="2"/>
  <c r="E917" i="2" s="1"/>
  <c r="D918" i="2"/>
  <c r="E918" i="2" s="1"/>
  <c r="D919" i="2"/>
  <c r="E919" i="2" s="1"/>
  <c r="D920" i="2"/>
  <c r="E920" i="2" s="1"/>
  <c r="D921" i="2"/>
  <c r="E921" i="2" s="1"/>
  <c r="D922" i="2"/>
  <c r="E922" i="2" s="1"/>
  <c r="D923" i="2"/>
  <c r="E923" i="2" s="1"/>
  <c r="D924" i="2"/>
  <c r="E924" i="2" s="1"/>
  <c r="D925" i="2"/>
  <c r="E925" i="2" s="1"/>
  <c r="D926" i="2"/>
  <c r="E926" i="2" s="1"/>
  <c r="D927" i="2"/>
  <c r="E927" i="2" s="1"/>
  <c r="D928" i="2"/>
  <c r="E928" i="2" s="1"/>
  <c r="D929" i="2"/>
  <c r="E929" i="2" s="1"/>
  <c r="D930" i="2"/>
  <c r="E930" i="2" s="1"/>
  <c r="D932" i="2"/>
  <c r="E932" i="2" s="1"/>
  <c r="D933" i="2"/>
  <c r="E933" i="2" s="1"/>
  <c r="D934" i="2"/>
  <c r="E934" i="2" s="1"/>
  <c r="D935" i="2"/>
  <c r="E935" i="2" s="1"/>
  <c r="D936" i="2"/>
  <c r="D937" i="2"/>
  <c r="E937" i="2" s="1"/>
  <c r="D938" i="2"/>
  <c r="E938" i="2" s="1"/>
  <c r="D939" i="2"/>
  <c r="E939" i="2" s="1"/>
  <c r="D940" i="2"/>
  <c r="E940" i="2" s="1"/>
  <c r="D941" i="2"/>
  <c r="E941" i="2" s="1"/>
  <c r="D942" i="2"/>
  <c r="D943" i="2"/>
  <c r="E943" i="2" s="1"/>
  <c r="D944" i="2"/>
  <c r="E944" i="2" s="1"/>
  <c r="D945" i="2"/>
  <c r="E945" i="2" s="1"/>
  <c r="D946" i="2"/>
  <c r="E946" i="2" s="1"/>
  <c r="D947" i="2"/>
  <c r="E947" i="2" s="1"/>
  <c r="D948" i="2"/>
  <c r="D949" i="2"/>
  <c r="D950" i="2"/>
  <c r="E950" i="2" s="1"/>
  <c r="D951" i="2"/>
  <c r="E951" i="2" s="1"/>
  <c r="D952" i="2"/>
  <c r="E952" i="2" s="1"/>
  <c r="D953" i="2"/>
  <c r="E953" i="2" s="1"/>
  <c r="D954" i="2"/>
  <c r="E954" i="2" s="1"/>
  <c r="D955" i="2"/>
  <c r="E955" i="2" s="1"/>
  <c r="D956" i="2"/>
  <c r="E956" i="2" s="1"/>
  <c r="D957" i="2"/>
  <c r="E957" i="2" s="1"/>
  <c r="D958" i="2"/>
  <c r="E958" i="2" s="1"/>
  <c r="D959" i="2"/>
  <c r="E959" i="2" s="1"/>
  <c r="D960" i="2"/>
  <c r="E960" i="2" s="1"/>
  <c r="D961" i="2"/>
  <c r="E961" i="2" s="1"/>
  <c r="D962" i="2"/>
  <c r="D963" i="2"/>
  <c r="E963" i="2" s="1"/>
  <c r="D964" i="2"/>
  <c r="E964" i="2" s="1"/>
  <c r="D965" i="2"/>
  <c r="E965" i="2" s="1"/>
  <c r="D967" i="2"/>
  <c r="E967" i="2" s="1"/>
  <c r="D969" i="2"/>
  <c r="E969" i="2" s="1"/>
  <c r="D970" i="2"/>
  <c r="E970" i="2" s="1"/>
  <c r="D971" i="2"/>
  <c r="E971" i="2" s="1"/>
  <c r="D972" i="2"/>
  <c r="E972" i="2" s="1"/>
  <c r="D973" i="2"/>
  <c r="E973" i="2" s="1"/>
  <c r="D974" i="2"/>
  <c r="E974" i="2" s="1"/>
  <c r="D975" i="2"/>
  <c r="E975" i="2" s="1"/>
  <c r="D976" i="2"/>
  <c r="E976" i="2" s="1"/>
  <c r="D978" i="2"/>
  <c r="E978" i="2" s="1"/>
  <c r="D979" i="2"/>
  <c r="E979" i="2" s="1"/>
  <c r="D980" i="2"/>
  <c r="E980" i="2" s="1"/>
  <c r="D981" i="2"/>
  <c r="E981" i="2" s="1"/>
  <c r="D982" i="2"/>
  <c r="E982" i="2" s="1"/>
  <c r="D983" i="2"/>
  <c r="E983" i="2" s="1"/>
  <c r="D985" i="2"/>
  <c r="E985" i="2" s="1"/>
  <c r="D986" i="2"/>
  <c r="E986" i="2" s="1"/>
  <c r="D987" i="2"/>
  <c r="E987" i="2" s="1"/>
  <c r="D988" i="2"/>
  <c r="E988" i="2" s="1"/>
  <c r="D989" i="2"/>
  <c r="D990" i="2"/>
  <c r="E990" i="2" s="1"/>
  <c r="D991" i="2"/>
  <c r="E991" i="2" s="1"/>
  <c r="D992" i="2"/>
  <c r="E992" i="2" s="1"/>
  <c r="D993" i="2"/>
  <c r="E993" i="2" s="1"/>
  <c r="D994" i="2"/>
  <c r="E994" i="2" s="1"/>
  <c r="D995" i="2"/>
  <c r="E995" i="2" s="1"/>
  <c r="D996" i="2"/>
  <c r="E996" i="2" s="1"/>
  <c r="D997" i="2"/>
  <c r="E997" i="2" s="1"/>
  <c r="D998" i="2"/>
  <c r="E998" i="2" s="1"/>
  <c r="D999" i="2"/>
  <c r="E999" i="2" s="1"/>
  <c r="D1000" i="2"/>
  <c r="E1000" i="2" s="1"/>
  <c r="D1001" i="2"/>
  <c r="E1001" i="2" s="1"/>
  <c r="D1002" i="2"/>
  <c r="D1003" i="2"/>
  <c r="E1003" i="2" s="1"/>
  <c r="D1004" i="2"/>
  <c r="E1004" i="2" s="1"/>
  <c r="D1005" i="2"/>
  <c r="E1005" i="2" s="1"/>
  <c r="D1006" i="2"/>
  <c r="E1006" i="2" s="1"/>
  <c r="D1007" i="2"/>
  <c r="E1007" i="2" s="1"/>
  <c r="D1008" i="2"/>
  <c r="E1008" i="2" s="1"/>
  <c r="D1009" i="2"/>
  <c r="E1009" i="2" s="1"/>
  <c r="D1010" i="2"/>
  <c r="E1010" i="2" s="1"/>
  <c r="D1011" i="2"/>
  <c r="E1011" i="2" s="1"/>
  <c r="D1012" i="2"/>
  <c r="E1012" i="2" s="1"/>
  <c r="D1013" i="2"/>
  <c r="E1013" i="2" s="1"/>
  <c r="D1014" i="2"/>
  <c r="D1015" i="2"/>
  <c r="E1015" i="2" s="1"/>
  <c r="D1016" i="2"/>
  <c r="E1016" i="2" s="1"/>
  <c r="D1017" i="2"/>
  <c r="E1017" i="2" s="1"/>
  <c r="D1018" i="2"/>
  <c r="E1018" i="2" s="1"/>
  <c r="D1020" i="2"/>
  <c r="E1020" i="2" s="1"/>
  <c r="D1021" i="2"/>
  <c r="E1021" i="2" s="1"/>
  <c r="D1023" i="2"/>
  <c r="E1023" i="2" s="1"/>
  <c r="D1024" i="2"/>
  <c r="E1024" i="2" s="1"/>
  <c r="D1025" i="2"/>
  <c r="E1025" i="2" s="1"/>
  <c r="D1026" i="2"/>
  <c r="E1026" i="2" s="1"/>
  <c r="D1027" i="2"/>
  <c r="E1027" i="2" s="1"/>
  <c r="D1028" i="2"/>
  <c r="E1028" i="2" s="1"/>
  <c r="D1029" i="2"/>
  <c r="E1029" i="2" s="1"/>
  <c r="D1030" i="2"/>
  <c r="E1030" i="2" s="1"/>
  <c r="D1031" i="2"/>
  <c r="E1031" i="2" s="1"/>
  <c r="D1032" i="2"/>
  <c r="E1032" i="2" s="1"/>
  <c r="D1033" i="2"/>
  <c r="E1033" i="2" s="1"/>
  <c r="D1034" i="2"/>
  <c r="E1034" i="2" s="1"/>
  <c r="D1035" i="2"/>
  <c r="E1035" i="2" s="1"/>
  <c r="D1036" i="2"/>
  <c r="E1036" i="2" s="1"/>
  <c r="D1037" i="2"/>
  <c r="E1037" i="2" s="1"/>
  <c r="D1038" i="2"/>
  <c r="E1038" i="2" s="1"/>
  <c r="D1039" i="2"/>
  <c r="D1041" i="2"/>
  <c r="E1041" i="2" s="1"/>
  <c r="D1042" i="2"/>
  <c r="E1042" i="2" s="1"/>
  <c r="D1043" i="2"/>
  <c r="E1043" i="2" s="1"/>
  <c r="D1044" i="2"/>
  <c r="E1044" i="2" s="1"/>
  <c r="D1045" i="2"/>
  <c r="E1045" i="2" s="1"/>
  <c r="D1046" i="2"/>
  <c r="E1046" i="2" s="1"/>
  <c r="D1047" i="2"/>
  <c r="E1047" i="2" s="1"/>
  <c r="D1048" i="2"/>
  <c r="E1048" i="2" s="1"/>
  <c r="D1049" i="2"/>
  <c r="E1049" i="2" s="1"/>
  <c r="D1050" i="2"/>
  <c r="E1050" i="2" s="1"/>
  <c r="D1051" i="2"/>
  <c r="E1051" i="2" s="1"/>
  <c r="D1053" i="2"/>
  <c r="E1053" i="2" s="1"/>
  <c r="D1054" i="2"/>
  <c r="D1057" i="2"/>
  <c r="E1057" i="2" s="1"/>
  <c r="D1058" i="2"/>
  <c r="E1058" i="2" s="1"/>
  <c r="D1060" i="2"/>
  <c r="E1060" i="2" s="1"/>
  <c r="D1061" i="2"/>
  <c r="E1061" i="2" s="1"/>
  <c r="D1062" i="2"/>
  <c r="E1062" i="2" s="1"/>
  <c r="D1063" i="2"/>
  <c r="E1063" i="2" s="1"/>
  <c r="D1064" i="2"/>
  <c r="E1064" i="2" s="1"/>
  <c r="D1065" i="2"/>
  <c r="E1065" i="2" s="1"/>
  <c r="D1066" i="2"/>
  <c r="D1067" i="2"/>
  <c r="E1067" i="2" s="1"/>
  <c r="D1068" i="2"/>
  <c r="E1068" i="2" s="1"/>
  <c r="D1069" i="2"/>
  <c r="E1069" i="2" s="1"/>
  <c r="D1070" i="2"/>
  <c r="E1070" i="2" s="1"/>
  <c r="D1071" i="2"/>
  <c r="E1071" i="2" s="1"/>
  <c r="D1072" i="2"/>
  <c r="E1072" i="2" s="1"/>
  <c r="D1073" i="2"/>
  <c r="E1073" i="2" s="1"/>
  <c r="D1074" i="2"/>
  <c r="E1074" i="2" s="1"/>
  <c r="D1075" i="2"/>
  <c r="E1075" i="2" s="1"/>
  <c r="D1076" i="2"/>
  <c r="E1076" i="2" s="1"/>
  <c r="D1077" i="2"/>
  <c r="E1077" i="2" s="1"/>
  <c r="D1078" i="2"/>
  <c r="E1078" i="2" s="1"/>
  <c r="D1079" i="2"/>
  <c r="D1080" i="2"/>
  <c r="E1080" i="2" s="1"/>
  <c r="D1081" i="2"/>
  <c r="E1081" i="2" s="1"/>
  <c r="D1082" i="2"/>
  <c r="E1082" i="2" s="1"/>
  <c r="D1083" i="2"/>
  <c r="E1083" i="2" s="1"/>
  <c r="D1084" i="2"/>
  <c r="E1084" i="2" s="1"/>
  <c r="D1085" i="2"/>
  <c r="E1085" i="2" s="1"/>
  <c r="D1086" i="2"/>
  <c r="E1086" i="2" s="1"/>
  <c r="D1087" i="2"/>
  <c r="E1087" i="2" s="1"/>
  <c r="D1088" i="2"/>
  <c r="E1088" i="2" s="1"/>
  <c r="D1089" i="2"/>
  <c r="E1089" i="2" s="1"/>
  <c r="D1090" i="2"/>
  <c r="E1090" i="2" s="1"/>
  <c r="D1091" i="2"/>
  <c r="D1092" i="2"/>
  <c r="E1092" i="2" s="1"/>
  <c r="D1093" i="2"/>
  <c r="E1093" i="2" s="1"/>
  <c r="D1094" i="2"/>
  <c r="E1094" i="2" s="1"/>
  <c r="D1095" i="2"/>
  <c r="E1095" i="2" s="1"/>
  <c r="D1096" i="2"/>
  <c r="E1096" i="2" s="1"/>
  <c r="D1098" i="2"/>
  <c r="E1098" i="2" s="1"/>
  <c r="D1099" i="2"/>
  <c r="E1099" i="2" s="1"/>
  <c r="D1100" i="2"/>
  <c r="E1100" i="2" s="1"/>
  <c r="D1101" i="2"/>
  <c r="E1101" i="2" s="1"/>
  <c r="D1102" i="2"/>
  <c r="E1102" i="2" s="1"/>
  <c r="D1103" i="2"/>
  <c r="E1103" i="2" s="1"/>
  <c r="D1104" i="2"/>
  <c r="E1104" i="2" s="1"/>
  <c r="D1105" i="2"/>
  <c r="E1105" i="2" s="1"/>
  <c r="D1106" i="2"/>
  <c r="E1106" i="2" s="1"/>
  <c r="D1107" i="2"/>
  <c r="E1107" i="2" s="1"/>
  <c r="D1108" i="2"/>
  <c r="E1108" i="2" s="1"/>
  <c r="D1109" i="2"/>
  <c r="E1109" i="2" s="1"/>
  <c r="D1111" i="2"/>
  <c r="E1111" i="2" s="1"/>
  <c r="D1113" i="2"/>
  <c r="E1113" i="2" s="1"/>
  <c r="D1114" i="2"/>
  <c r="E1114" i="2" s="1"/>
  <c r="D1115" i="2"/>
  <c r="E1115" i="2" s="1"/>
  <c r="D1116" i="2"/>
  <c r="E1116" i="2" s="1"/>
  <c r="D1117" i="2"/>
  <c r="E1117" i="2" s="1"/>
  <c r="D1118" i="2"/>
  <c r="E1118" i="2" s="1"/>
  <c r="D1120" i="2"/>
  <c r="E1120" i="2" s="1"/>
  <c r="D1122" i="2"/>
  <c r="E1122" i="2" s="1"/>
  <c r="D1123" i="2"/>
  <c r="E1123" i="2" s="1"/>
  <c r="D1124" i="2"/>
  <c r="E1124" i="2" s="1"/>
  <c r="D1125" i="2"/>
  <c r="E1125" i="2" s="1"/>
  <c r="D1126" i="2"/>
  <c r="E1126" i="2" s="1"/>
  <c r="D1127" i="2"/>
  <c r="E1127" i="2" s="1"/>
  <c r="D1128" i="2"/>
  <c r="E1128" i="2" s="1"/>
  <c r="D1129" i="2"/>
  <c r="E1129" i="2" s="1"/>
  <c r="D1130" i="2"/>
  <c r="E1130" i="2" s="1"/>
  <c r="D1131" i="2"/>
  <c r="E1131" i="2" s="1"/>
  <c r="D1132" i="2"/>
  <c r="E1132" i="2" s="1"/>
  <c r="D1133" i="2"/>
  <c r="E1133" i="2" s="1"/>
  <c r="D1134" i="2"/>
  <c r="E1134" i="2" s="1"/>
  <c r="D1135" i="2"/>
  <c r="E1135" i="2" s="1"/>
  <c r="D1137" i="2"/>
  <c r="E1137" i="2" s="1"/>
  <c r="D1138" i="2"/>
  <c r="E1138" i="2" s="1"/>
  <c r="D1139" i="2"/>
  <c r="E1139" i="2" s="1"/>
  <c r="D1140" i="2"/>
  <c r="E1140" i="2" s="1"/>
  <c r="D1141" i="2"/>
  <c r="D1142" i="2"/>
  <c r="E1142" i="2" s="1"/>
  <c r="D1143" i="2"/>
  <c r="E1143" i="2" s="1"/>
  <c r="D1144" i="2"/>
  <c r="E1144" i="2" s="1"/>
  <c r="D1145" i="2"/>
  <c r="E1145" i="2" s="1"/>
  <c r="D1146" i="2"/>
  <c r="E1146" i="2" s="1"/>
  <c r="D1148" i="2"/>
  <c r="E1148" i="2" s="1"/>
  <c r="D1149" i="2"/>
  <c r="E1149" i="2" s="1"/>
  <c r="D1150" i="2"/>
  <c r="E1150" i="2" s="1"/>
  <c r="D1151" i="2"/>
  <c r="E1151" i="2" s="1"/>
  <c r="D1152" i="2"/>
  <c r="E1152" i="2" s="1"/>
  <c r="D1153" i="2"/>
  <c r="E1153" i="2" s="1"/>
  <c r="D1154" i="2"/>
  <c r="E1154" i="2" s="1"/>
  <c r="D1155" i="2"/>
  <c r="E1155" i="2" s="1"/>
  <c r="D1156" i="2"/>
  <c r="E1156" i="2" s="1"/>
  <c r="D1157" i="2"/>
  <c r="E1157" i="2" s="1"/>
  <c r="D1158" i="2"/>
  <c r="E1158" i="2" s="1"/>
  <c r="D1159" i="2"/>
  <c r="E1159" i="2" s="1"/>
  <c r="D1160" i="2"/>
  <c r="E1160" i="2" s="1"/>
  <c r="D1161" i="2"/>
  <c r="E1161" i="2" s="1"/>
  <c r="D1163" i="2"/>
  <c r="E1163" i="2" s="1"/>
  <c r="D1164" i="2"/>
  <c r="E1164" i="2" s="1"/>
  <c r="D1165" i="2"/>
  <c r="E1165" i="2" s="1"/>
  <c r="D1166" i="2"/>
  <c r="E1166" i="2" s="1"/>
  <c r="D1167" i="2"/>
  <c r="E1167" i="2" s="1"/>
  <c r="D1168" i="2"/>
  <c r="E1168" i="2" s="1"/>
  <c r="D1169" i="2"/>
  <c r="E1169" i="2" s="1"/>
  <c r="D1171" i="2"/>
  <c r="E1171" i="2" s="1"/>
  <c r="D1172" i="2"/>
  <c r="E1172" i="2" s="1"/>
  <c r="D1173" i="2"/>
  <c r="E1173" i="2" s="1"/>
  <c r="D1174" i="2"/>
  <c r="E1174" i="2" s="1"/>
  <c r="D1176" i="2"/>
  <c r="E1176" i="2" s="1"/>
  <c r="D1177" i="2"/>
  <c r="E1177" i="2" s="1"/>
  <c r="D1178" i="2"/>
  <c r="E1178" i="2" s="1"/>
  <c r="D1179" i="2"/>
  <c r="D1180" i="2"/>
  <c r="E1180" i="2" s="1"/>
  <c r="D1181" i="2"/>
  <c r="E1181" i="2" s="1"/>
  <c r="D1182" i="2"/>
  <c r="E1182" i="2" s="1"/>
  <c r="D1183" i="2"/>
  <c r="E1183" i="2" s="1"/>
  <c r="D1184" i="2"/>
  <c r="E1184" i="2" s="1"/>
  <c r="D1185" i="2"/>
  <c r="E1185" i="2" s="1"/>
  <c r="D1186" i="2"/>
  <c r="E1186" i="2" s="1"/>
  <c r="D1187" i="2"/>
  <c r="E1187" i="2" s="1"/>
  <c r="D1188" i="2"/>
  <c r="E1188" i="2" s="1"/>
  <c r="D1189" i="2"/>
  <c r="E1189" i="2" s="1"/>
  <c r="D1190" i="2"/>
  <c r="D1191" i="2"/>
  <c r="E1191" i="2" s="1"/>
  <c r="D1192" i="2"/>
  <c r="E1192" i="2" s="1"/>
  <c r="D1193" i="2"/>
  <c r="E1193" i="2" s="1"/>
  <c r="D1194" i="2"/>
  <c r="E1194" i="2" s="1"/>
  <c r="D1195" i="2"/>
  <c r="E1195" i="2" s="1"/>
  <c r="D1196" i="2"/>
  <c r="E1196" i="2" s="1"/>
  <c r="D1198" i="2"/>
  <c r="E1198" i="2" s="1"/>
  <c r="D1199" i="2"/>
  <c r="E1199" i="2" s="1"/>
  <c r="D1200" i="2"/>
  <c r="E1200" i="2" s="1"/>
  <c r="D1201" i="2"/>
  <c r="E1201" i="2" s="1"/>
  <c r="D1203" i="2"/>
  <c r="E1203" i="2" s="1"/>
  <c r="D1204" i="2"/>
  <c r="E1204" i="2" s="1"/>
  <c r="D1205" i="2"/>
  <c r="E1205" i="2" s="1"/>
  <c r="D1206" i="2"/>
  <c r="E1206" i="2" s="1"/>
  <c r="D1207" i="2"/>
  <c r="E1207" i="2" s="1"/>
  <c r="D1208" i="2"/>
  <c r="E1208" i="2" s="1"/>
  <c r="D1210" i="2"/>
  <c r="E1210" i="2" s="1"/>
  <c r="D1212" i="2"/>
  <c r="E1212" i="2" s="1"/>
  <c r="D1213" i="2"/>
  <c r="E1213" i="2" s="1"/>
  <c r="D1214" i="2"/>
  <c r="E1214" i="2" s="1"/>
  <c r="D1215" i="2"/>
  <c r="E1215" i="2" s="1"/>
  <c r="D1216" i="2"/>
  <c r="E1216" i="2" s="1"/>
  <c r="D1217" i="2"/>
  <c r="E1217" i="2" s="1"/>
  <c r="D1218" i="2"/>
  <c r="E1218" i="2" s="1"/>
  <c r="D1219" i="2"/>
  <c r="E1219" i="2" s="1"/>
  <c r="D1220" i="2"/>
  <c r="E1220" i="2" s="1"/>
  <c r="D1221" i="2"/>
  <c r="E1221" i="2" s="1"/>
  <c r="D1222" i="2"/>
  <c r="D1223" i="2"/>
  <c r="E1223" i="2" s="1"/>
  <c r="D1224" i="2"/>
  <c r="E1224" i="2" s="1"/>
  <c r="D1225" i="2"/>
  <c r="E1225" i="2" s="1"/>
  <c r="D1226" i="2"/>
  <c r="E1226" i="2" s="1"/>
  <c r="D1227" i="2"/>
  <c r="E1227" i="2" s="1"/>
  <c r="D1228" i="2"/>
  <c r="E1228" i="2" s="1"/>
  <c r="D1229" i="2"/>
  <c r="D1230" i="2"/>
  <c r="E1230" i="2" s="1"/>
  <c r="D1231" i="2"/>
  <c r="E1231" i="2" s="1"/>
  <c r="D1232" i="2"/>
  <c r="E1232" i="2" s="1"/>
  <c r="D1233" i="2"/>
  <c r="E1233" i="2" s="1"/>
  <c r="D1234" i="2"/>
  <c r="E1234" i="2" s="1"/>
  <c r="D1235" i="2"/>
  <c r="E1235" i="2" s="1"/>
  <c r="D1236" i="2"/>
  <c r="E1236" i="2" s="1"/>
  <c r="D1237" i="2"/>
  <c r="E1237" i="2" s="1"/>
  <c r="D1238" i="2"/>
  <c r="E1238" i="2" s="1"/>
  <c r="D1239" i="2"/>
  <c r="E1239" i="2" s="1"/>
  <c r="D1240" i="2"/>
  <c r="E1240" i="2" s="1"/>
  <c r="D1241" i="2"/>
  <c r="E1241" i="2" s="1"/>
  <c r="D1242" i="2"/>
  <c r="D1243" i="2"/>
  <c r="E1243" i="2" s="1"/>
  <c r="D1244" i="2"/>
  <c r="E1244" i="2" s="1"/>
  <c r="D1246" i="2"/>
  <c r="E1246" i="2" s="1"/>
  <c r="D1247" i="2"/>
  <c r="E1247" i="2" s="1"/>
  <c r="D1248" i="2"/>
  <c r="E1248" i="2" s="1"/>
  <c r="D1249" i="2"/>
  <c r="E1249" i="2" s="1"/>
  <c r="D1250" i="2"/>
  <c r="E1250" i="2" s="1"/>
  <c r="D1251" i="2"/>
  <c r="E1251" i="2" s="1"/>
  <c r="D1252" i="2"/>
  <c r="E1252" i="2" s="1"/>
  <c r="D1254" i="2"/>
  <c r="E1254" i="2" s="1"/>
  <c r="D1255" i="2"/>
  <c r="E1255" i="2" s="1"/>
  <c r="D1256" i="2"/>
  <c r="E1256" i="2" s="1"/>
  <c r="D1257" i="2"/>
  <c r="E1257" i="2" s="1"/>
  <c r="D1258" i="2"/>
  <c r="E1258" i="2" s="1"/>
  <c r="D1259" i="2"/>
  <c r="E1259" i="2" s="1"/>
  <c r="D1260" i="2"/>
  <c r="E1260" i="2" s="1"/>
  <c r="D1264" i="2"/>
  <c r="E1264" i="2" s="1"/>
  <c r="D1265" i="2"/>
  <c r="E1265" i="2" s="1"/>
  <c r="D1266" i="2"/>
  <c r="E1266" i="2" s="1"/>
  <c r="D1267" i="2"/>
  <c r="E1267" i="2" s="1"/>
  <c r="D1268" i="2"/>
  <c r="E1268" i="2" s="1"/>
  <c r="D1269" i="2"/>
  <c r="E1269" i="2" s="1"/>
  <c r="D1270" i="2"/>
  <c r="E1270" i="2" s="1"/>
  <c r="D1271" i="2"/>
  <c r="E1271" i="2" s="1"/>
  <c r="D1273" i="2"/>
  <c r="E1273" i="2" s="1"/>
  <c r="D1274" i="2"/>
  <c r="E1274" i="2" s="1"/>
  <c r="D1275" i="2"/>
  <c r="E1275" i="2" s="1"/>
  <c r="D1276" i="2"/>
  <c r="E1276" i="2" s="1"/>
  <c r="D1278" i="2"/>
  <c r="E1278" i="2" s="1"/>
  <c r="D1279" i="2"/>
  <c r="E1279" i="2" s="1"/>
  <c r="D1280" i="2"/>
  <c r="E1280" i="2" s="1"/>
  <c r="D1281" i="2"/>
  <c r="E1281" i="2" s="1"/>
  <c r="D1283" i="2"/>
  <c r="E1283" i="2" s="1"/>
  <c r="D1284" i="2"/>
  <c r="E1284" i="2" s="1"/>
  <c r="D1285" i="2"/>
  <c r="E1285" i="2" s="1"/>
  <c r="D1286" i="2"/>
  <c r="E1286" i="2" s="1"/>
  <c r="D1287" i="2"/>
  <c r="E1287" i="2" s="1"/>
  <c r="D1288" i="2"/>
  <c r="E1288" i="2" s="1"/>
  <c r="D1289" i="2"/>
  <c r="D1291" i="2"/>
  <c r="E1291" i="2" s="1"/>
  <c r="D1292" i="2"/>
  <c r="E1292" i="2" s="1"/>
  <c r="D1293" i="2"/>
  <c r="E1293" i="2" s="1"/>
  <c r="D1294" i="2"/>
  <c r="E1294" i="2" s="1"/>
  <c r="D1295" i="2"/>
  <c r="E1295" i="2" s="1"/>
  <c r="D1296" i="2"/>
  <c r="E1296" i="2" s="1"/>
  <c r="D1297" i="2"/>
  <c r="E1297" i="2" s="1"/>
  <c r="D1298" i="2"/>
  <c r="E1298" i="2" s="1"/>
  <c r="D1299" i="2"/>
  <c r="E1299" i="2" s="1"/>
  <c r="D1300" i="2"/>
  <c r="E1300" i="2" s="1"/>
  <c r="D1301" i="2"/>
  <c r="E1301" i="2" s="1"/>
  <c r="D1302" i="2"/>
  <c r="E1302" i="2" s="1"/>
  <c r="D1303" i="2"/>
  <c r="D1304" i="2"/>
  <c r="E1304" i="2" s="1"/>
  <c r="D1305" i="2"/>
  <c r="E1305" i="2" s="1"/>
  <c r="D1306" i="2"/>
  <c r="E1306" i="2" s="1"/>
  <c r="D1307" i="2"/>
  <c r="E1307" i="2" s="1"/>
  <c r="D1308" i="2"/>
  <c r="E1308" i="2" s="1"/>
  <c r="D1309" i="2"/>
  <c r="E1309" i="2" s="1"/>
  <c r="D1310" i="2"/>
  <c r="E1310" i="2" s="1"/>
  <c r="D1312" i="2"/>
  <c r="E1312" i="2" s="1"/>
  <c r="D1313" i="2"/>
  <c r="E1313" i="2" s="1"/>
  <c r="D1314" i="2"/>
  <c r="E1314" i="2" s="1"/>
  <c r="D1315" i="2"/>
  <c r="E1315" i="2" s="1"/>
  <c r="D1316" i="2"/>
  <c r="D1317" i="2"/>
  <c r="E1317" i="2" s="1"/>
  <c r="D1318" i="2"/>
  <c r="E1318" i="2" s="1"/>
  <c r="D1319" i="2"/>
  <c r="E1319" i="2" s="1"/>
  <c r="D1320" i="2"/>
  <c r="E1320" i="2" s="1"/>
  <c r="D1321" i="2"/>
  <c r="E1321" i="2" s="1"/>
  <c r="D1322" i="2"/>
  <c r="E1322" i="2" s="1"/>
  <c r="D1323" i="2"/>
  <c r="E1323" i="2" s="1"/>
  <c r="D1324" i="2"/>
  <c r="E1324" i="2" s="1"/>
  <c r="D1325" i="2"/>
  <c r="E1325" i="2" s="1"/>
  <c r="D1326" i="2"/>
  <c r="E1326" i="2" s="1"/>
  <c r="D1328" i="2"/>
  <c r="E1328" i="2" s="1"/>
  <c r="D1329" i="2"/>
  <c r="E1329" i="2" s="1"/>
  <c r="D1332" i="2"/>
  <c r="E1332" i="2" s="1"/>
  <c r="D1333" i="2"/>
  <c r="E1333" i="2" s="1"/>
  <c r="D1334" i="2"/>
  <c r="E1334" i="2" s="1"/>
  <c r="D1335" i="2"/>
  <c r="E1335" i="2" s="1"/>
  <c r="D1336" i="2"/>
  <c r="E1336" i="2" s="1"/>
  <c r="D1337" i="2"/>
  <c r="D1339" i="2"/>
  <c r="E1339" i="2" s="1"/>
  <c r="D1341" i="2"/>
  <c r="E1341" i="2" s="1"/>
  <c r="D1342" i="2"/>
  <c r="E1342" i="2" s="1"/>
  <c r="D1343" i="2"/>
  <c r="D1344" i="2"/>
  <c r="E1344" i="2" s="1"/>
  <c r="D1345" i="2"/>
  <c r="E1345" i="2" s="1"/>
  <c r="D1346" i="2"/>
  <c r="E1346" i="2" s="1"/>
  <c r="D1347" i="2"/>
  <c r="E1347" i="2" s="1"/>
  <c r="D1348" i="2"/>
  <c r="E1348" i="2" s="1"/>
  <c r="D1349" i="2"/>
  <c r="E1349" i="2" s="1"/>
  <c r="D1350" i="2"/>
  <c r="E1350" i="2" s="1"/>
  <c r="D1351" i="2"/>
  <c r="E1351" i="2" s="1"/>
  <c r="D1352" i="2"/>
  <c r="E1352" i="2" s="1"/>
  <c r="D1353" i="2"/>
  <c r="E1353" i="2" s="1"/>
  <c r="D1354" i="2"/>
  <c r="E1354" i="2" s="1"/>
  <c r="D1355" i="2"/>
  <c r="E1355" i="2" s="1"/>
  <c r="D1356" i="2"/>
  <c r="E1356" i="2" s="1"/>
  <c r="D1357" i="2"/>
  <c r="E1357" i="2" s="1"/>
  <c r="D1359" i="2"/>
  <c r="E1359" i="2" s="1"/>
  <c r="D1360" i="2"/>
  <c r="E1360" i="2" s="1"/>
  <c r="D1361" i="2"/>
  <c r="E1361" i="2" s="1"/>
  <c r="D1362" i="2"/>
  <c r="E1362" i="2" s="1"/>
  <c r="D1364" i="2"/>
  <c r="E1364" i="2" s="1"/>
  <c r="D1365" i="2"/>
  <c r="E1365" i="2" s="1"/>
  <c r="D1366" i="2"/>
  <c r="E1366" i="2" s="1"/>
  <c r="D1368" i="2"/>
  <c r="E1368" i="2" s="1"/>
  <c r="D1369" i="2"/>
  <c r="E1369" i="2" s="1"/>
  <c r="D1370" i="2"/>
  <c r="D1371" i="2"/>
  <c r="E1371" i="2" s="1"/>
  <c r="D1372" i="2"/>
  <c r="E1372" i="2" s="1"/>
  <c r="D1373" i="2"/>
  <c r="E1373" i="2" s="1"/>
  <c r="D1374" i="2"/>
  <c r="E1374" i="2" s="1"/>
  <c r="D1375" i="2"/>
  <c r="E1375" i="2" s="1"/>
  <c r="D1377" i="2"/>
  <c r="E1377" i="2" s="1"/>
  <c r="D1378" i="2"/>
  <c r="E1378" i="2" s="1"/>
  <c r="D1379" i="2"/>
  <c r="E1379" i="2" s="1"/>
  <c r="D1380" i="2"/>
  <c r="E1380" i="2" s="1"/>
  <c r="D1381" i="2"/>
  <c r="E1381" i="2" s="1"/>
  <c r="D1382" i="2"/>
  <c r="E1382" i="2" s="1"/>
  <c r="D1383" i="2"/>
  <c r="E1383" i="2" s="1"/>
  <c r="D1384" i="2"/>
  <c r="E1384" i="2" s="1"/>
  <c r="D1385" i="2"/>
  <c r="E1385" i="2" s="1"/>
  <c r="D1386" i="2"/>
  <c r="E1386" i="2" s="1"/>
  <c r="D1387" i="2"/>
  <c r="E1387" i="2" s="1"/>
  <c r="D1389" i="2"/>
  <c r="E1389" i="2" s="1"/>
  <c r="D1391" i="2"/>
  <c r="E1391" i="2" s="1"/>
  <c r="D1392" i="2"/>
  <c r="E1392" i="2" s="1"/>
  <c r="D1393" i="2"/>
  <c r="E1393" i="2" s="1"/>
  <c r="D1394" i="2"/>
  <c r="E1394" i="2" s="1"/>
  <c r="D1395" i="2"/>
  <c r="E1395" i="2" s="1"/>
  <c r="D1396" i="2"/>
  <c r="E1396" i="2" s="1"/>
  <c r="D1398" i="2"/>
  <c r="E1398" i="2" s="1"/>
  <c r="D1399" i="2"/>
  <c r="E1399" i="2" s="1"/>
  <c r="D1400" i="2"/>
  <c r="E1400" i="2" s="1"/>
  <c r="D1401" i="2"/>
  <c r="E1401" i="2" s="1"/>
  <c r="D1403" i="2"/>
  <c r="E1403" i="2" s="1"/>
  <c r="D1404" i="2"/>
  <c r="E1404" i="2" s="1"/>
  <c r="D1405" i="2"/>
  <c r="E1405" i="2" s="1"/>
  <c r="D1407" i="2"/>
  <c r="E1407" i="2" s="1"/>
  <c r="D1409" i="2"/>
  <c r="E1409" i="2" s="1"/>
  <c r="D1410" i="2"/>
  <c r="E1410" i="2" s="1"/>
  <c r="D1411" i="2"/>
  <c r="E1411" i="2" s="1"/>
  <c r="D1412" i="2"/>
  <c r="E1412" i="2" s="1"/>
  <c r="D1413" i="2"/>
  <c r="E1413" i="2" s="1"/>
  <c r="D1414" i="2"/>
  <c r="E1414" i="2" s="1"/>
  <c r="D1415" i="2"/>
  <c r="D1417" i="2"/>
  <c r="E1417" i="2" s="1"/>
  <c r="D1418" i="2"/>
  <c r="E1418" i="2" s="1"/>
  <c r="D1420" i="2"/>
  <c r="E1420" i="2" s="1"/>
  <c r="D1421" i="2"/>
  <c r="E1421" i="2" s="1"/>
  <c r="D1422" i="2"/>
  <c r="E1422" i="2" s="1"/>
  <c r="D1423" i="2"/>
  <c r="E1423" i="2" s="1"/>
  <c r="D1425" i="2"/>
  <c r="E1425" i="2" s="1"/>
  <c r="D1426" i="2"/>
  <c r="E1426" i="2" s="1"/>
  <c r="D1427" i="2"/>
  <c r="E1427" i="2" s="1"/>
  <c r="D1429" i="2"/>
  <c r="E1429" i="2" s="1"/>
  <c r="D1431" i="2"/>
  <c r="E1431" i="2" s="1"/>
  <c r="D1432" i="2"/>
  <c r="E1432" i="2" s="1"/>
  <c r="D1433" i="2"/>
  <c r="E1433" i="2" s="1"/>
  <c r="D1434" i="2"/>
  <c r="E1434" i="2" s="1"/>
  <c r="D1435" i="2"/>
  <c r="E1435" i="2" s="1"/>
  <c r="D1436" i="2"/>
  <c r="E1436" i="2" s="1"/>
  <c r="D1437" i="2"/>
  <c r="E1437" i="2" s="1"/>
  <c r="D1438" i="2"/>
  <c r="D1440" i="2"/>
  <c r="E1440" i="2" s="1"/>
  <c r="D1443" i="2"/>
  <c r="E1443" i="2" s="1"/>
  <c r="D1444" i="2"/>
  <c r="E1444" i="2" s="1"/>
  <c r="D1445" i="2"/>
  <c r="E1445" i="2" s="1"/>
  <c r="D1446" i="2"/>
  <c r="E1446" i="2" s="1"/>
  <c r="D1447" i="2"/>
  <c r="E1447" i="2" s="1"/>
  <c r="D1448" i="2"/>
  <c r="E1448" i="2" s="1"/>
  <c r="D1449" i="2"/>
  <c r="E1449" i="2" s="1"/>
  <c r="D1451" i="2"/>
  <c r="E1451" i="2" s="1"/>
  <c r="D1452" i="2"/>
  <c r="E1452" i="2" s="1"/>
  <c r="D1454" i="2"/>
  <c r="E1454" i="2" s="1"/>
  <c r="D1455" i="2"/>
  <c r="E1455" i="2" s="1"/>
  <c r="D1456" i="2"/>
  <c r="E1456" i="2" s="1"/>
  <c r="D1457" i="2"/>
  <c r="E1457" i="2" s="1"/>
  <c r="D1458" i="2"/>
  <c r="E1458" i="2" s="1"/>
  <c r="D1460" i="2"/>
  <c r="E1460" i="2" s="1"/>
  <c r="D1462" i="2"/>
  <c r="E1462" i="2" s="1"/>
  <c r="D1463" i="2"/>
  <c r="E1463" i="2" s="1"/>
  <c r="D1464" i="2"/>
  <c r="E1464" i="2" s="1"/>
  <c r="D1465" i="2"/>
  <c r="E1465" i="2" s="1"/>
  <c r="D1466" i="2"/>
  <c r="E1466" i="2" s="1"/>
  <c r="D1467" i="2"/>
  <c r="D1468" i="2"/>
  <c r="E1468" i="2" s="1"/>
  <c r="D1470" i="2"/>
  <c r="E1470" i="2" s="1"/>
  <c r="D1471" i="2"/>
  <c r="E1471" i="2" s="1"/>
  <c r="D1472" i="2"/>
  <c r="E1472" i="2" s="1"/>
  <c r="D1473" i="2"/>
  <c r="E1473" i="2" s="1"/>
  <c r="D1474" i="2"/>
  <c r="E1474" i="2" s="1"/>
  <c r="D1475" i="2"/>
  <c r="E1475" i="2" s="1"/>
  <c r="D1476" i="2"/>
  <c r="E1476" i="2" s="1"/>
  <c r="D1477" i="2"/>
  <c r="E1477" i="2" s="1"/>
  <c r="D1480" i="2"/>
  <c r="E1480" i="2" s="1"/>
  <c r="D1481" i="2"/>
  <c r="E1481" i="2" s="1"/>
  <c r="D1482" i="2"/>
  <c r="E1482" i="2" s="1"/>
  <c r="D1483" i="2"/>
  <c r="E1483" i="2" s="1"/>
  <c r="D1484" i="2"/>
  <c r="E1484" i="2" s="1"/>
  <c r="D1485" i="2"/>
  <c r="E1485" i="2" s="1"/>
  <c r="D1486" i="2"/>
  <c r="E1486" i="2" s="1"/>
  <c r="D1487" i="2"/>
  <c r="E1487" i="2" s="1"/>
  <c r="D1488" i="2"/>
  <c r="E1488" i="2" s="1"/>
  <c r="D1489" i="2"/>
  <c r="E1489" i="2" s="1"/>
  <c r="D1490" i="2"/>
  <c r="E1490" i="2" s="1"/>
  <c r="D1491" i="2"/>
  <c r="E1491" i="2" s="1"/>
  <c r="D1492" i="2"/>
  <c r="E1492" i="2" s="1"/>
  <c r="D1493" i="2"/>
  <c r="D1494" i="2"/>
  <c r="E1494" i="2" s="1"/>
  <c r="D1495" i="2"/>
  <c r="E1495" i="2" s="1"/>
  <c r="D1496" i="2"/>
  <c r="E1496" i="2" s="1"/>
  <c r="D1498" i="2"/>
  <c r="E1498" i="2" s="1"/>
  <c r="D1499" i="2"/>
  <c r="E1499" i="2" s="1"/>
  <c r="D1500" i="2"/>
  <c r="E1500" i="2" s="1"/>
  <c r="D1501" i="2"/>
  <c r="E1501" i="2" s="1"/>
  <c r="D1503" i="2"/>
  <c r="E1503" i="2" s="1"/>
  <c r="D1504" i="2"/>
  <c r="E1504" i="2" s="1"/>
  <c r="D1505" i="2"/>
  <c r="E1505" i="2" s="1"/>
  <c r="D1506" i="2"/>
  <c r="E1506" i="2" s="1"/>
  <c r="D1507" i="2"/>
  <c r="E1507" i="2" s="1"/>
  <c r="D1509" i="2"/>
  <c r="E1509" i="2" s="1"/>
  <c r="D1510" i="2"/>
  <c r="E1510" i="2" s="1"/>
  <c r="D1511" i="2"/>
  <c r="E1511" i="2" s="1"/>
  <c r="D1512" i="2"/>
  <c r="E1512" i="2" s="1"/>
  <c r="D1513" i="2"/>
  <c r="E1513" i="2" s="1"/>
  <c r="D1514" i="2"/>
  <c r="E1514" i="2" s="1"/>
  <c r="D1515" i="2"/>
  <c r="E1515" i="2" s="1"/>
  <c r="D1516" i="2"/>
  <c r="D1518" i="2"/>
  <c r="E1518" i="2" s="1"/>
  <c r="D1520" i="2"/>
  <c r="E1520" i="2" s="1"/>
  <c r="D1521" i="2"/>
  <c r="E1521" i="2" s="1"/>
  <c r="D1522" i="2"/>
  <c r="E1522" i="2" s="1"/>
  <c r="D1523" i="2"/>
  <c r="E1523" i="2" s="1"/>
  <c r="D1525" i="2"/>
  <c r="E1525" i="2" s="1"/>
  <c r="D1526" i="2"/>
  <c r="E1526" i="2" s="1"/>
  <c r="D1527" i="2"/>
  <c r="D1528" i="2"/>
  <c r="E1528" i="2" s="1"/>
  <c r="D1529" i="2"/>
  <c r="E1529" i="2" s="1"/>
  <c r="D1531" i="2"/>
  <c r="E1531" i="2" s="1"/>
  <c r="D1532" i="2"/>
  <c r="E1532" i="2" s="1"/>
  <c r="D1533" i="2"/>
  <c r="E1533" i="2" s="1"/>
  <c r="D1534" i="2"/>
  <c r="E1534" i="2" s="1"/>
  <c r="D1535" i="2"/>
  <c r="E1535" i="2" s="1"/>
  <c r="D1536" i="2"/>
  <c r="E1536" i="2" s="1"/>
  <c r="D1537" i="2"/>
  <c r="E1537" i="2" s="1"/>
  <c r="D1538" i="2"/>
  <c r="E1538" i="2" s="1"/>
  <c r="D1539" i="2"/>
  <c r="D1540" i="2"/>
  <c r="E1540" i="2" s="1"/>
  <c r="D1541" i="2"/>
  <c r="E1541" i="2" s="1"/>
  <c r="D1542" i="2"/>
  <c r="E1542" i="2" s="1"/>
  <c r="D1543" i="2"/>
  <c r="E1543" i="2" s="1"/>
  <c r="D1544" i="2"/>
  <c r="E1544" i="2" s="1"/>
  <c r="D1545" i="2"/>
  <c r="E1545" i="2" s="1"/>
  <c r="D1546" i="2"/>
  <c r="E1546" i="2" s="1"/>
  <c r="D1547" i="2"/>
  <c r="E1547" i="2" s="1"/>
  <c r="D1548" i="2"/>
  <c r="E1548" i="2" s="1"/>
  <c r="D1549" i="2"/>
  <c r="E1549" i="2" s="1"/>
  <c r="D1550" i="2"/>
  <c r="E1550" i="2" s="1"/>
  <c r="D1551" i="2"/>
  <c r="E1551" i="2" s="1"/>
  <c r="D1552" i="2"/>
  <c r="E1552" i="2" s="1"/>
  <c r="D1553" i="2"/>
  <c r="E1553" i="2" s="1"/>
  <c r="D1555" i="2"/>
  <c r="E1555" i="2" s="1"/>
  <c r="D1556" i="2"/>
  <c r="E1556" i="2" s="1"/>
  <c r="D1557" i="2"/>
  <c r="E1557" i="2" s="1"/>
  <c r="D1558" i="2"/>
  <c r="E1558" i="2" s="1"/>
  <c r="D1559" i="2"/>
  <c r="E1559" i="2" s="1"/>
  <c r="D1560" i="2"/>
  <c r="E1560" i="2" s="1"/>
  <c r="D1561" i="2"/>
  <c r="E1561" i="2" s="1"/>
  <c r="D1562" i="2"/>
  <c r="E1562" i="2" s="1"/>
  <c r="D1566" i="2"/>
  <c r="E1566" i="2" s="1"/>
  <c r="D1568" i="2"/>
  <c r="E1568" i="2" s="1"/>
  <c r="D1569" i="2"/>
  <c r="E1569" i="2" s="1"/>
  <c r="D1570" i="2"/>
  <c r="E1570" i="2" s="1"/>
  <c r="D1571" i="2"/>
  <c r="E1571" i="2" s="1"/>
  <c r="D1572" i="2"/>
  <c r="E1572" i="2" s="1"/>
  <c r="D1573" i="2"/>
  <c r="E1573" i="2" s="1"/>
  <c r="D1574" i="2"/>
  <c r="E1574" i="2" s="1"/>
  <c r="D1575" i="2"/>
  <c r="E1575" i="2" s="1"/>
  <c r="D1577" i="2"/>
  <c r="E1577" i="2" s="1"/>
  <c r="D1578" i="2"/>
  <c r="E1578" i="2" s="1"/>
  <c r="D1579" i="2"/>
  <c r="E1579" i="2" s="1"/>
  <c r="D1580" i="2"/>
  <c r="E1580" i="2" s="1"/>
  <c r="D1581" i="2"/>
  <c r="E1581" i="2" s="1"/>
  <c r="D1583" i="2"/>
  <c r="E1583" i="2" s="1"/>
  <c r="D1584" i="2"/>
  <c r="E1584" i="2" s="1"/>
  <c r="D1585" i="2"/>
  <c r="E1585" i="2" s="1"/>
  <c r="D1586" i="2"/>
  <c r="E1586" i="2" s="1"/>
  <c r="D1587" i="2"/>
  <c r="E1587" i="2" s="1"/>
  <c r="D1588" i="2"/>
  <c r="E1588" i="2" s="1"/>
  <c r="D1589" i="2"/>
  <c r="E1589" i="2" s="1"/>
  <c r="D1590" i="2"/>
  <c r="E1590" i="2" s="1"/>
  <c r="D1591" i="2"/>
  <c r="E1591" i="2" s="1"/>
  <c r="D1592" i="2"/>
  <c r="E1592" i="2" s="1"/>
  <c r="D1593" i="2"/>
  <c r="E1593" i="2" s="1"/>
  <c r="D1594" i="2"/>
  <c r="E1594" i="2" s="1"/>
  <c r="D1595" i="2"/>
  <c r="E1595" i="2" s="1"/>
  <c r="D1596" i="2"/>
  <c r="E1596" i="2" s="1"/>
  <c r="D1597" i="2"/>
  <c r="D1598" i="2"/>
  <c r="E1598" i="2" s="1"/>
  <c r="D1599" i="2"/>
  <c r="E1599" i="2" s="1"/>
  <c r="D1600" i="2"/>
  <c r="E1600" i="2" s="1"/>
  <c r="D1601" i="2"/>
  <c r="E1601" i="2" s="1"/>
  <c r="D1602" i="2"/>
  <c r="E1602" i="2" s="1"/>
  <c r="D1603" i="2"/>
  <c r="E1603" i="2" s="1"/>
  <c r="D1604" i="2"/>
  <c r="D1605" i="2"/>
  <c r="E1605" i="2" s="1"/>
  <c r="D1606" i="2"/>
  <c r="E1606" i="2" s="1"/>
  <c r="D1607" i="2"/>
  <c r="E1607" i="2" s="1"/>
  <c r="D1608" i="2"/>
  <c r="E1608" i="2" s="1"/>
  <c r="D1609" i="2"/>
  <c r="E1609" i="2" s="1"/>
  <c r="D1610" i="2"/>
  <c r="E1610" i="2" s="1"/>
  <c r="D1611" i="2"/>
  <c r="E1611" i="2" s="1"/>
  <c r="D1613" i="2"/>
  <c r="E1613" i="2" s="1"/>
  <c r="D1614" i="2"/>
  <c r="E1614" i="2" s="1"/>
  <c r="D1615" i="2"/>
  <c r="E1615" i="2" s="1"/>
  <c r="D1616" i="2"/>
  <c r="E1616" i="2" s="1"/>
  <c r="D1617" i="2"/>
  <c r="D1618" i="2"/>
  <c r="E1618" i="2" s="1"/>
  <c r="D1619" i="2"/>
  <c r="E1619" i="2" s="1"/>
  <c r="D1620" i="2"/>
  <c r="E1620" i="2" s="1"/>
  <c r="D1621" i="2"/>
  <c r="E1621" i="2" s="1"/>
  <c r="D1622" i="2"/>
  <c r="E1622" i="2" s="1"/>
  <c r="D1623" i="2"/>
  <c r="E1623" i="2" s="1"/>
  <c r="D1624" i="2"/>
  <c r="E1624" i="2" s="1"/>
  <c r="D1625" i="2"/>
  <c r="E1625" i="2" s="1"/>
  <c r="D1626" i="2"/>
  <c r="E1626" i="2" s="1"/>
  <c r="D1627" i="2"/>
  <c r="E1627" i="2" s="1"/>
  <c r="D1628" i="2"/>
  <c r="E1628" i="2" s="1"/>
  <c r="D1629" i="2"/>
  <c r="E1629" i="2" s="1"/>
  <c r="D1630" i="2"/>
  <c r="E1630" i="2" s="1"/>
  <c r="D1631" i="2"/>
  <c r="E1631" i="2" s="1"/>
  <c r="D1632" i="2"/>
  <c r="E1632" i="2" s="1"/>
  <c r="D1633" i="2"/>
  <c r="E1633" i="2" s="1"/>
  <c r="D1634" i="2"/>
  <c r="E1634" i="2" s="1"/>
  <c r="D1635" i="2"/>
  <c r="E1635" i="2" s="1"/>
  <c r="D1636" i="2"/>
  <c r="E1636" i="2" s="1"/>
  <c r="D1637" i="2"/>
  <c r="E1637" i="2" s="1"/>
  <c r="D1638" i="2"/>
  <c r="E1638" i="2" s="1"/>
  <c r="D1639" i="2"/>
  <c r="E1639" i="2" s="1"/>
  <c r="D1640" i="2"/>
  <c r="E1640" i="2" s="1"/>
  <c r="D1642" i="2"/>
  <c r="D1643" i="2"/>
  <c r="E1643" i="2" s="1"/>
  <c r="D1644" i="2"/>
  <c r="E1644" i="2" s="1"/>
  <c r="D1645" i="2"/>
  <c r="E1645" i="2" s="1"/>
  <c r="D1646" i="2"/>
  <c r="E1646" i="2" s="1"/>
  <c r="D1647" i="2"/>
  <c r="E1647" i="2" s="1"/>
  <c r="D1648" i="2"/>
  <c r="E1648" i="2" s="1"/>
  <c r="D1649" i="2"/>
  <c r="E1649" i="2" s="1"/>
  <c r="D1650" i="2"/>
  <c r="E1650" i="2" s="1"/>
  <c r="D1651" i="2"/>
  <c r="E1651" i="2" s="1"/>
  <c r="D1652" i="2"/>
  <c r="E1652" i="2" s="1"/>
  <c r="D1654" i="2"/>
  <c r="E1654" i="2" s="1"/>
  <c r="D1655" i="2"/>
  <c r="E1655" i="2" s="1"/>
  <c r="D1657" i="2"/>
  <c r="E1657" i="2" s="1"/>
  <c r="D1658" i="2"/>
  <c r="E1658" i="2" s="1"/>
  <c r="D1659" i="2"/>
  <c r="E1659" i="2" s="1"/>
  <c r="D1660" i="2"/>
  <c r="E1660" i="2" s="1"/>
  <c r="D1661" i="2"/>
  <c r="E1661" i="2" s="1"/>
  <c r="D1663" i="2"/>
  <c r="D1664" i="2"/>
  <c r="E1664" i="2" s="1"/>
  <c r="D1665" i="2"/>
  <c r="E1665" i="2" s="1"/>
  <c r="D1666" i="2"/>
  <c r="E1666" i="2" s="1"/>
  <c r="D1667" i="2"/>
  <c r="E1667" i="2" s="1"/>
  <c r="D1668" i="2"/>
  <c r="E1668" i="2" s="1"/>
  <c r="D1669" i="2"/>
  <c r="D1670" i="2"/>
  <c r="E1670" i="2" s="1"/>
  <c r="D1671" i="2"/>
  <c r="E1671" i="2" s="1"/>
  <c r="D1672" i="2"/>
  <c r="E1672" i="2" s="1"/>
  <c r="D1673" i="2"/>
  <c r="E1673" i="2" s="1"/>
  <c r="D1674" i="2"/>
  <c r="E1674" i="2" s="1"/>
  <c r="D1676" i="2"/>
  <c r="E1676" i="2" s="1"/>
  <c r="D1677" i="2"/>
  <c r="E1677" i="2" s="1"/>
  <c r="D1678" i="2"/>
  <c r="E1678" i="2" s="1"/>
  <c r="D1679" i="2"/>
  <c r="E1679" i="2" s="1"/>
  <c r="D1681" i="2"/>
  <c r="E1681" i="2" s="1"/>
  <c r="D1682" i="2"/>
  <c r="E1682" i="2" s="1"/>
  <c r="D1683" i="2"/>
  <c r="E1683" i="2" s="1"/>
  <c r="D1684" i="2"/>
  <c r="E1684" i="2" s="1"/>
  <c r="D1685" i="2"/>
  <c r="E1685" i="2" s="1"/>
  <c r="D1686" i="2"/>
  <c r="E1686" i="2" s="1"/>
  <c r="D1688" i="2"/>
  <c r="E1688" i="2" s="1"/>
  <c r="D1689" i="2"/>
  <c r="E1689" i="2" s="1"/>
  <c r="D1690" i="2"/>
  <c r="E1690" i="2" s="1"/>
  <c r="D1691" i="2"/>
  <c r="E1691" i="2" s="1"/>
  <c r="D1692" i="2"/>
  <c r="E1692" i="2" s="1"/>
  <c r="D1693" i="2"/>
  <c r="E1693" i="2" s="1"/>
  <c r="D1694" i="2"/>
  <c r="E1694" i="2" s="1"/>
  <c r="D1695" i="2"/>
  <c r="E1695" i="2" s="1"/>
  <c r="D1696" i="2"/>
  <c r="E1696" i="2" s="1"/>
  <c r="D1698" i="2"/>
  <c r="E1698" i="2" s="1"/>
  <c r="D1699" i="2"/>
  <c r="E1699" i="2" s="1"/>
  <c r="D1700" i="2"/>
  <c r="E1700" i="2" s="1"/>
  <c r="D1701" i="2"/>
  <c r="E1701" i="2" s="1"/>
  <c r="D1703" i="2"/>
  <c r="E1703" i="2" s="1"/>
  <c r="D1704" i="2"/>
  <c r="E1704" i="2" s="1"/>
  <c r="D1705" i="2"/>
  <c r="E1705" i="2" s="1"/>
  <c r="D1707" i="2"/>
  <c r="E1707" i="2" s="1"/>
  <c r="D1709" i="2"/>
  <c r="E1709" i="2" s="1"/>
  <c r="D1710" i="2"/>
  <c r="E1710" i="2" s="1"/>
  <c r="D1711" i="2"/>
  <c r="E1711" i="2" s="1"/>
  <c r="D1712" i="2"/>
  <c r="E1712" i="2" s="1"/>
  <c r="D1713" i="2"/>
  <c r="E1713" i="2" s="1"/>
  <c r="D1714" i="2"/>
  <c r="E1714" i="2" s="1"/>
  <c r="D1715" i="2"/>
  <c r="E1715" i="2" s="1"/>
  <c r="D1716" i="2"/>
  <c r="D1718" i="2"/>
  <c r="E1718" i="2" s="1"/>
  <c r="D1719" i="2"/>
  <c r="E1719" i="2" s="1"/>
  <c r="D1721" i="2"/>
  <c r="E1721" i="2" s="1"/>
  <c r="D1722" i="2"/>
  <c r="E1722" i="2" s="1"/>
  <c r="D1723" i="2"/>
  <c r="E1723" i="2" s="1"/>
  <c r="D1724" i="2"/>
  <c r="E1724" i="2" s="1"/>
  <c r="D1725" i="2"/>
  <c r="E1725" i="2" s="1"/>
  <c r="D1726" i="2"/>
  <c r="E1726" i="2" s="1"/>
  <c r="D1727" i="2"/>
  <c r="E1727" i="2" s="1"/>
  <c r="D1728" i="2"/>
  <c r="E1728" i="2" s="1"/>
  <c r="D1729" i="2"/>
  <c r="E1729" i="2" s="1"/>
  <c r="D1730" i="2"/>
  <c r="E1730" i="2" s="1"/>
  <c r="D1732" i="2"/>
  <c r="E1732" i="2" s="1"/>
  <c r="D1733" i="2"/>
  <c r="E1733" i="2" s="1"/>
  <c r="D1734" i="2"/>
  <c r="E1734" i="2" s="1"/>
  <c r="D1735" i="2"/>
  <c r="E1735" i="2" s="1"/>
  <c r="D1736" i="2"/>
  <c r="E1736" i="2" s="1"/>
  <c r="D1738" i="2"/>
  <c r="E1738" i="2" s="1"/>
  <c r="D1740" i="2"/>
  <c r="E1740" i="2" s="1"/>
  <c r="D1741" i="2"/>
  <c r="E1741" i="2" s="1"/>
  <c r="D1742" i="2"/>
  <c r="E1742" i="2" s="1"/>
  <c r="D1743" i="2"/>
  <c r="E1743" i="2" s="1"/>
  <c r="D1744" i="2"/>
  <c r="E1744" i="2" s="1"/>
  <c r="D1745" i="2"/>
  <c r="D1746" i="2"/>
  <c r="E1746" i="2" s="1"/>
  <c r="D1747" i="2"/>
  <c r="E1747" i="2" s="1"/>
  <c r="D1748" i="2"/>
  <c r="E1748" i="2" s="1"/>
  <c r="D1749" i="2"/>
  <c r="E1749" i="2" s="1"/>
  <c r="D1750" i="2"/>
  <c r="E1750" i="2" s="1"/>
  <c r="D1751" i="2"/>
  <c r="D1752" i="2"/>
  <c r="E1752" i="2" s="1"/>
  <c r="D1753" i="2"/>
  <c r="E1753" i="2" s="1"/>
  <c r="D1754" i="2"/>
  <c r="E1754" i="2" s="1"/>
  <c r="D1755" i="2"/>
  <c r="E1755" i="2" s="1"/>
  <c r="D1756" i="2"/>
  <c r="E1756" i="2" s="1"/>
  <c r="D1757" i="2"/>
  <c r="E1757" i="2" s="1"/>
  <c r="D1758" i="2"/>
  <c r="D1759" i="2"/>
  <c r="E1759" i="2" s="1"/>
  <c r="D1760" i="2"/>
  <c r="E1760" i="2" s="1"/>
  <c r="D1761" i="2"/>
  <c r="E1761" i="2" s="1"/>
  <c r="D1762" i="2"/>
  <c r="E1762" i="2" s="1"/>
  <c r="D1763" i="2"/>
  <c r="E1763" i="2" s="1"/>
  <c r="D1764" i="2"/>
  <c r="E1764" i="2" s="1"/>
  <c r="D1765" i="2"/>
  <c r="E1765" i="2" s="1"/>
  <c r="D1766" i="2"/>
  <c r="E1766" i="2" s="1"/>
  <c r="D1767" i="2"/>
  <c r="E1767" i="2" s="1"/>
  <c r="D1768" i="2"/>
  <c r="E1768" i="2" s="1"/>
  <c r="D1769" i="2"/>
  <c r="E1769" i="2" s="1"/>
  <c r="D1770" i="2"/>
  <c r="E1770" i="2" s="1"/>
  <c r="D1771" i="2"/>
  <c r="D1772" i="2"/>
  <c r="E1772" i="2" s="1"/>
  <c r="D1773" i="2"/>
  <c r="E1773" i="2" s="1"/>
  <c r="D1775" i="2"/>
  <c r="E1775" i="2" s="1"/>
  <c r="D1776" i="2"/>
  <c r="E1776" i="2" s="1"/>
  <c r="D1777" i="2"/>
  <c r="E1777" i="2" s="1"/>
  <c r="D1778" i="2"/>
  <c r="E1778" i="2" s="1"/>
  <c r="D1780" i="2"/>
  <c r="E1780" i="2" s="1"/>
  <c r="D1781" i="2"/>
  <c r="E1781" i="2" s="1"/>
  <c r="D1782" i="2"/>
  <c r="E1782" i="2" s="1"/>
  <c r="D1784" i="2"/>
  <c r="E1784" i="2" s="1"/>
  <c r="D1786" i="2"/>
  <c r="E1786" i="2" s="1"/>
  <c r="D1787" i="2"/>
  <c r="E1787" i="2" s="1"/>
  <c r="D1788" i="2"/>
  <c r="E1788" i="2" s="1"/>
  <c r="D1789" i="2"/>
  <c r="E1789" i="2" s="1"/>
  <c r="D1790" i="2"/>
  <c r="E1790" i="2" s="1"/>
  <c r="D1791" i="2"/>
  <c r="E1791" i="2" s="1"/>
  <c r="D1792" i="2"/>
  <c r="D1794" i="2"/>
  <c r="E1794" i="2" s="1"/>
  <c r="D1795" i="2"/>
  <c r="E1795" i="2" s="1"/>
  <c r="D1796" i="2"/>
  <c r="E1796" i="2" s="1"/>
  <c r="D1797" i="2"/>
  <c r="E1797" i="2" s="1"/>
  <c r="D1798" i="2"/>
  <c r="E1798" i="2" s="1"/>
  <c r="D1799" i="2"/>
  <c r="E1799" i="2" s="1"/>
  <c r="D1800" i="2"/>
  <c r="E1800" i="2" s="1"/>
  <c r="D1801" i="2"/>
  <c r="E1801" i="2" s="1"/>
  <c r="D1802" i="2"/>
  <c r="E1802" i="2" s="1"/>
  <c r="D1803" i="2"/>
  <c r="E1803" i="2" s="1"/>
  <c r="D1804" i="2"/>
  <c r="E1804" i="2" s="1"/>
  <c r="D1805" i="2"/>
  <c r="E1805" i="2" s="1"/>
  <c r="D1806" i="2"/>
  <c r="D1807" i="2"/>
  <c r="E1807" i="2" s="1"/>
  <c r="D1808" i="2"/>
  <c r="E1808" i="2" s="1"/>
  <c r="D1809" i="2"/>
  <c r="E1809" i="2" s="1"/>
  <c r="D1810" i="2"/>
  <c r="E1810" i="2" s="1"/>
  <c r="D1811" i="2"/>
  <c r="E1811" i="2" s="1"/>
  <c r="D1812" i="2"/>
  <c r="E1812" i="2" s="1"/>
  <c r="D1813" i="2"/>
  <c r="E1813" i="2" s="1"/>
  <c r="D1815" i="2"/>
  <c r="E1815" i="2" s="1"/>
  <c r="D1816" i="2"/>
  <c r="E1816" i="2" s="1"/>
  <c r="D1817" i="2"/>
  <c r="E1817" i="2" s="1"/>
  <c r="D1818" i="2"/>
  <c r="E1818" i="2" s="1"/>
  <c r="D1819" i="2"/>
  <c r="E1819" i="2" s="1"/>
  <c r="D1820" i="2"/>
  <c r="E1820" i="2" s="1"/>
  <c r="D1821" i="2"/>
  <c r="E1821" i="2" s="1"/>
  <c r="D1822" i="2"/>
  <c r="E1822" i="2" s="1"/>
  <c r="D1823" i="2"/>
  <c r="E1823" i="2" s="1"/>
  <c r="D1824" i="2"/>
  <c r="E1824" i="2" s="1"/>
  <c r="D1825" i="2"/>
  <c r="E1825" i="2" s="1"/>
  <c r="D1826" i="2"/>
  <c r="D1827" i="2"/>
  <c r="E1827" i="2" s="1"/>
  <c r="D1828" i="2"/>
  <c r="E1828" i="2" s="1"/>
  <c r="D1829" i="2"/>
  <c r="E1829" i="2" s="1"/>
  <c r="D1830" i="2"/>
  <c r="E1830" i="2" s="1"/>
  <c r="D1831" i="2"/>
  <c r="E1831" i="2" s="1"/>
  <c r="D1832" i="2"/>
  <c r="E1832" i="2" s="1"/>
  <c r="D1833" i="2"/>
  <c r="D1834" i="2"/>
  <c r="E1834" i="2" s="1"/>
  <c r="D1835" i="2"/>
  <c r="E1835" i="2" s="1"/>
  <c r="D1836" i="2"/>
  <c r="E1836" i="2" s="1"/>
  <c r="D1837" i="2"/>
  <c r="E1837" i="2" s="1"/>
  <c r="D1838" i="2"/>
  <c r="E1838" i="2" s="1"/>
  <c r="D1839" i="2"/>
  <c r="E1839" i="2" s="1"/>
  <c r="D1840" i="2"/>
  <c r="E1840" i="2" s="1"/>
  <c r="D1841" i="2"/>
  <c r="E1841" i="2" s="1"/>
  <c r="D1842" i="2"/>
  <c r="E1842" i="2" s="1"/>
  <c r="D1843" i="2"/>
  <c r="E1843" i="2" s="1"/>
  <c r="D1844" i="2"/>
  <c r="E1844" i="2" s="1"/>
  <c r="D1845" i="2"/>
  <c r="E1845" i="2" s="1"/>
  <c r="D1846" i="2"/>
  <c r="D1847" i="2"/>
  <c r="E1847" i="2" s="1"/>
  <c r="D1848" i="2"/>
  <c r="E1848" i="2" s="1"/>
  <c r="D1850" i="2"/>
  <c r="E1850" i="2" s="1"/>
  <c r="D1851" i="2"/>
  <c r="E1851" i="2" s="1"/>
  <c r="D1852" i="2"/>
  <c r="E1852" i="2" s="1"/>
  <c r="D1853" i="2"/>
  <c r="E1853" i="2" s="1"/>
  <c r="D1855" i="2"/>
  <c r="E1855" i="2" s="1"/>
  <c r="D1856" i="2"/>
  <c r="E1856" i="2" s="1"/>
  <c r="D1857" i="2"/>
  <c r="E1857" i="2" s="1"/>
  <c r="D1859" i="2"/>
  <c r="E1859" i="2" s="1"/>
  <c r="D1861" i="2"/>
  <c r="E1861" i="2" s="1"/>
  <c r="D1862" i="2"/>
  <c r="E1862" i="2" s="1"/>
  <c r="D1863" i="2"/>
  <c r="E1863" i="2" s="1"/>
  <c r="D1864" i="2"/>
  <c r="E1864" i="2" s="1"/>
  <c r="D1865" i="2"/>
  <c r="E1865" i="2" s="1"/>
  <c r="D1866" i="2"/>
  <c r="E1866" i="2" s="1"/>
  <c r="D1867" i="2"/>
  <c r="E1867" i="2" s="1"/>
  <c r="D1868" i="2"/>
  <c r="D1870" i="2"/>
  <c r="E1870" i="2" s="1"/>
  <c r="D1871" i="2"/>
  <c r="E1871" i="2" s="1"/>
  <c r="D1872" i="2"/>
  <c r="E1872" i="2" s="1"/>
  <c r="D1873" i="2"/>
  <c r="E1873" i="2" s="1"/>
  <c r="D1874" i="2"/>
  <c r="E1874" i="2" s="1"/>
  <c r="D1876" i="2"/>
  <c r="E1876" i="2" s="1"/>
  <c r="D1877" i="2"/>
  <c r="E1877" i="2" s="1"/>
  <c r="D1878" i="2"/>
  <c r="E1878" i="2" s="1"/>
  <c r="D1879" i="2"/>
  <c r="E1879" i="2" s="1"/>
  <c r="D1880" i="2"/>
  <c r="E1880" i="2" s="1"/>
  <c r="D1881" i="2"/>
  <c r="E1881" i="2" s="1"/>
  <c r="D1882" i="2"/>
  <c r="D1883" i="2"/>
  <c r="E1883" i="2" s="1"/>
  <c r="D1884" i="2"/>
  <c r="E1884" i="2" s="1"/>
  <c r="D1885" i="2"/>
  <c r="E1885" i="2" s="1"/>
  <c r="D1886" i="2"/>
  <c r="E1886" i="2" s="1"/>
  <c r="D1887" i="2"/>
  <c r="E1887" i="2" s="1"/>
  <c r="D1888" i="2"/>
  <c r="E1888" i="2" s="1"/>
  <c r="D1889" i="2"/>
  <c r="E1889" i="2" s="1"/>
  <c r="D1891" i="2"/>
  <c r="E1891" i="2" s="1"/>
  <c r="D1892" i="2"/>
  <c r="E1892" i="2" s="1"/>
  <c r="D1893" i="2"/>
  <c r="E1893" i="2" s="1"/>
  <c r="D1894" i="2"/>
  <c r="E1894" i="2" s="1"/>
  <c r="D1895" i="2"/>
  <c r="E1895" i="2" s="1"/>
  <c r="D1896" i="2"/>
  <c r="E1896" i="2" s="1"/>
  <c r="D1897" i="2"/>
  <c r="E1897" i="2" s="1"/>
  <c r="D1898" i="2"/>
  <c r="E1898" i="2" s="1"/>
  <c r="D1899" i="2"/>
  <c r="E1899" i="2" s="1"/>
  <c r="D1900" i="2"/>
  <c r="E1900" i="2" s="1"/>
  <c r="D1901" i="2"/>
  <c r="D1902" i="2"/>
  <c r="E1902" i="2" s="1"/>
  <c r="D1903" i="2"/>
  <c r="E1903" i="2" s="1"/>
  <c r="D1904" i="2"/>
  <c r="E1904" i="2" s="1"/>
  <c r="D1905" i="2"/>
  <c r="E1905" i="2" s="1"/>
  <c r="D1906" i="2"/>
  <c r="E1906" i="2" s="1"/>
  <c r="D1907" i="2"/>
  <c r="E1907" i="2" s="1"/>
  <c r="D1908" i="2"/>
  <c r="D1909" i="2"/>
  <c r="E1909" i="2" s="1"/>
  <c r="D1910" i="2"/>
  <c r="E1910" i="2" s="1"/>
  <c r="D1911" i="2"/>
  <c r="E1911" i="2" s="1"/>
  <c r="D1912" i="2"/>
  <c r="E1912" i="2" s="1"/>
  <c r="D1913" i="2"/>
  <c r="E1913" i="2" s="1"/>
  <c r="D1914" i="2"/>
  <c r="E1914" i="2" s="1"/>
  <c r="D1915" i="2"/>
  <c r="E1915" i="2" s="1"/>
  <c r="D1916" i="2"/>
  <c r="E1916" i="2" s="1"/>
  <c r="D1918" i="2"/>
  <c r="E1918" i="2" s="1"/>
  <c r="D1919" i="2"/>
  <c r="E1919" i="2" s="1"/>
  <c r="D1920" i="2"/>
  <c r="E1920" i="2" s="1"/>
  <c r="D1921" i="2"/>
  <c r="E1921" i="2" s="1"/>
  <c r="D1922" i="2"/>
  <c r="D1923" i="2"/>
  <c r="E1923" i="2" s="1"/>
  <c r="D1924" i="2"/>
  <c r="E1924" i="2" s="1"/>
  <c r="D1926" i="2"/>
  <c r="E1926" i="2" s="1"/>
  <c r="D1927" i="2"/>
  <c r="E1927" i="2" s="1"/>
  <c r="D1928" i="2"/>
  <c r="E1928" i="2" s="1"/>
  <c r="D1929" i="2"/>
  <c r="E1929" i="2" s="1"/>
  <c r="D1931" i="2"/>
  <c r="E1931" i="2" s="1"/>
  <c r="D1932" i="2"/>
  <c r="E1932" i="2" s="1"/>
  <c r="D1933" i="2"/>
  <c r="E1933" i="2" s="1"/>
  <c r="D1935" i="2"/>
  <c r="E1935" i="2" s="1"/>
  <c r="D1937" i="2"/>
  <c r="E1937" i="2" s="1"/>
  <c r="D1938" i="2"/>
  <c r="E1938" i="2" s="1"/>
  <c r="D1939" i="2"/>
  <c r="E1939" i="2" s="1"/>
  <c r="D1940" i="2"/>
  <c r="E1940" i="2" s="1"/>
  <c r="D1941" i="2"/>
  <c r="E1941" i="2" s="1"/>
  <c r="D1942" i="2"/>
  <c r="E1942" i="2" s="1"/>
  <c r="D1943" i="2"/>
  <c r="E1943" i="2" s="1"/>
  <c r="D1944" i="2"/>
  <c r="D1946" i="2"/>
  <c r="E1946" i="2" s="1"/>
  <c r="D1947" i="2"/>
  <c r="E1947" i="2" s="1"/>
  <c r="D1948" i="2"/>
  <c r="E1948" i="2" s="1"/>
  <c r="D1949" i="2"/>
  <c r="E1949" i="2" s="1"/>
  <c r="D1950" i="2"/>
  <c r="E1950" i="2" s="1"/>
  <c r="D1951" i="2"/>
  <c r="D1952" i="2"/>
  <c r="E1952" i="2" s="1"/>
  <c r="D1953" i="2"/>
  <c r="E1953" i="2" s="1"/>
  <c r="D1954" i="2"/>
  <c r="E1954" i="2" s="1"/>
  <c r="D1955" i="2"/>
  <c r="E1955" i="2" s="1"/>
  <c r="D1956" i="2"/>
  <c r="E1956" i="2" s="1"/>
  <c r="D1957" i="2"/>
  <c r="D1958" i="2"/>
  <c r="D1959" i="2"/>
  <c r="E1959" i="2" s="1"/>
  <c r="D1960" i="2"/>
  <c r="E1960" i="2" s="1"/>
  <c r="D1961" i="2"/>
  <c r="E1961" i="2" s="1"/>
  <c r="D1962" i="2"/>
  <c r="E1962" i="2" s="1"/>
  <c r="D1963" i="2"/>
  <c r="E1963" i="2" s="1"/>
  <c r="D1964" i="2"/>
  <c r="E1964" i="2" s="1"/>
  <c r="D1965" i="2"/>
  <c r="E1965" i="2" s="1"/>
  <c r="D1966" i="2"/>
  <c r="E1966" i="2" s="1"/>
  <c r="D1967" i="2"/>
  <c r="E1967" i="2" s="1"/>
  <c r="D1968" i="2"/>
  <c r="E1968" i="2" s="1"/>
  <c r="D1969" i="2"/>
  <c r="E1969" i="2" s="1"/>
  <c r="D1970" i="2"/>
  <c r="E1970" i="2" s="1"/>
  <c r="D1971" i="2"/>
  <c r="D1972" i="2"/>
  <c r="E1972" i="2" s="1"/>
  <c r="D1973" i="2"/>
  <c r="E1973" i="2" s="1"/>
  <c r="D1974" i="2"/>
  <c r="E1974" i="2" s="1"/>
  <c r="D1975" i="2"/>
  <c r="E1975" i="2" s="1"/>
  <c r="D1976" i="2"/>
  <c r="E1976" i="2" s="1"/>
  <c r="D1977" i="2"/>
  <c r="E1977" i="2" s="1"/>
  <c r="D1978" i="2"/>
  <c r="E1978" i="2" s="1"/>
  <c r="D1979" i="2"/>
  <c r="E1979" i="2" s="1"/>
  <c r="D1980" i="2"/>
  <c r="E1980" i="2" s="1"/>
  <c r="D1981" i="2"/>
  <c r="E1981" i="2" s="1"/>
  <c r="D1982" i="2"/>
  <c r="E1982" i="2" s="1"/>
  <c r="D1983" i="2"/>
  <c r="E1983" i="2" s="1"/>
  <c r="D1984" i="2"/>
  <c r="D1985" i="2"/>
  <c r="E1985" i="2" s="1"/>
  <c r="D1986" i="2"/>
  <c r="E1986" i="2" s="1"/>
  <c r="D1987" i="2"/>
  <c r="E1987" i="2" s="1"/>
  <c r="D1988" i="2"/>
  <c r="E1988" i="2" s="1"/>
  <c r="D1989" i="2"/>
  <c r="E1989" i="2" s="1"/>
  <c r="D1990" i="2"/>
  <c r="E1990" i="2" s="1"/>
  <c r="D1991" i="2"/>
  <c r="E1991" i="2" s="1"/>
  <c r="D1993" i="2"/>
  <c r="E1993" i="2" s="1"/>
  <c r="D1994" i="2"/>
  <c r="E1994" i="2" s="1"/>
  <c r="D1995" i="2"/>
  <c r="E1995" i="2" s="1"/>
  <c r="D1996" i="2"/>
  <c r="E1996" i="2" s="1"/>
  <c r="D1997" i="2"/>
  <c r="E1997" i="2" s="1"/>
  <c r="D1998" i="2"/>
  <c r="E1998" i="2" s="1"/>
  <c r="D1999" i="2"/>
  <c r="E1999" i="2" s="1"/>
  <c r="D2000" i="2"/>
  <c r="E2000" i="2" s="1"/>
  <c r="D2001" i="2"/>
  <c r="E2001" i="2" s="1"/>
  <c r="D2002" i="2"/>
  <c r="E2002" i="2" s="1"/>
  <c r="D2003" i="2"/>
  <c r="E2003" i="2" s="1"/>
  <c r="D2004" i="2"/>
  <c r="E2004" i="2" s="1"/>
  <c r="D2005" i="2"/>
  <c r="E2005" i="2" s="1"/>
  <c r="D2006" i="2"/>
  <c r="E2006" i="2" s="1"/>
  <c r="D2007" i="2"/>
  <c r="E2007" i="2" s="1"/>
  <c r="D2008" i="2"/>
  <c r="E2008" i="2" s="1"/>
  <c r="D2009" i="2"/>
  <c r="E2009" i="2" s="1"/>
  <c r="D2010" i="2"/>
  <c r="E2010" i="2" s="1"/>
  <c r="D2011" i="2"/>
  <c r="D2012" i="2"/>
  <c r="E2012" i="2" s="1"/>
  <c r="D2013" i="2"/>
  <c r="E2013" i="2" s="1"/>
  <c r="D2014" i="2"/>
  <c r="E2014" i="2" s="1"/>
  <c r="D2015" i="2"/>
  <c r="E2015" i="2" s="1"/>
  <c r="D2016" i="2"/>
  <c r="E2016" i="2" s="1"/>
  <c r="D2017" i="2"/>
  <c r="E2017" i="2" s="1"/>
  <c r="D2018" i="2"/>
  <c r="E2018" i="2" s="1"/>
  <c r="D2019" i="2"/>
  <c r="E2019" i="2" s="1"/>
  <c r="D2021" i="2"/>
  <c r="E2021" i="2" s="1"/>
  <c r="D2022" i="2"/>
  <c r="E2022" i="2" s="1"/>
  <c r="D2023" i="2"/>
  <c r="E2023" i="2" s="1"/>
  <c r="D2024" i="2"/>
  <c r="D2025" i="2"/>
  <c r="E2025" i="2" s="1"/>
  <c r="D2026" i="2"/>
  <c r="E2026" i="2" s="1"/>
  <c r="D2027" i="2"/>
  <c r="E2027" i="2" s="1"/>
  <c r="D2028" i="2"/>
  <c r="E2028" i="2" s="1"/>
  <c r="D2029" i="2"/>
  <c r="E2029" i="2" s="1"/>
  <c r="D2030" i="2"/>
  <c r="E2030" i="2" s="1"/>
  <c r="D2031" i="2"/>
  <c r="E2031" i="2" s="1"/>
  <c r="D2032" i="2"/>
  <c r="E2032" i="2" s="1"/>
  <c r="D2033" i="2"/>
  <c r="E2033" i="2" s="1"/>
  <c r="D2035" i="2"/>
  <c r="E2035" i="2" s="1"/>
  <c r="D2036" i="2"/>
  <c r="E2036" i="2" s="1"/>
  <c r="D2038" i="2"/>
  <c r="E2038" i="2" s="1"/>
  <c r="D2040" i="2"/>
  <c r="E2040" i="2" s="1"/>
  <c r="D2041" i="2"/>
  <c r="E2041" i="2" s="1"/>
  <c r="D2042" i="2"/>
  <c r="E2042" i="2" s="1"/>
  <c r="D2043" i="2"/>
  <c r="E2043" i="2" s="1"/>
  <c r="D2044" i="2"/>
  <c r="E2044" i="2" s="1"/>
  <c r="D2045" i="2"/>
  <c r="E2045" i="2" s="1"/>
  <c r="D2046" i="2"/>
  <c r="E2046" i="2" s="1"/>
  <c r="D2048" i="2"/>
  <c r="E2048" i="2" s="1"/>
  <c r="D2051" i="2"/>
  <c r="E2051" i="2" s="1"/>
  <c r="D2052" i="2"/>
  <c r="E2052" i="2" s="1"/>
  <c r="D2053" i="2"/>
  <c r="E2053" i="2" s="1"/>
  <c r="D2054" i="2"/>
  <c r="E2054" i="2" s="1"/>
  <c r="D2055" i="2"/>
  <c r="E2055" i="2" s="1"/>
  <c r="D2056" i="2"/>
  <c r="E2056" i="2" s="1"/>
  <c r="D2057" i="2"/>
  <c r="E2057" i="2" s="1"/>
  <c r="D2059" i="2"/>
  <c r="E2059" i="2" s="1"/>
  <c r="D2060" i="2"/>
  <c r="E2060" i="2" s="1"/>
  <c r="D2061" i="2"/>
  <c r="E2061" i="2" s="1"/>
  <c r="D2062" i="2"/>
  <c r="E2062" i="2" s="1"/>
  <c r="D2063" i="2"/>
  <c r="E2063" i="2" s="1"/>
  <c r="D2064" i="2"/>
  <c r="E2064" i="2" s="1"/>
  <c r="D2065" i="2"/>
  <c r="E2065" i="2" s="1"/>
  <c r="D2066" i="2"/>
  <c r="E2066" i="2" s="1"/>
  <c r="D2067" i="2"/>
  <c r="E2067" i="2" s="1"/>
  <c r="D2069" i="2"/>
  <c r="E2069" i="2" s="1"/>
  <c r="D2070" i="2"/>
  <c r="E2070" i="2" s="1"/>
  <c r="D2071" i="2"/>
  <c r="E2071" i="2" s="1"/>
  <c r="D2072" i="2"/>
  <c r="E2072" i="2" s="1"/>
  <c r="D2073" i="2"/>
  <c r="E2073" i="2" s="1"/>
  <c r="D2074" i="2"/>
  <c r="E2074" i="2" s="1"/>
  <c r="D2075" i="2"/>
  <c r="E2075" i="2" s="1"/>
  <c r="D2076" i="2"/>
  <c r="E2076" i="2" s="1"/>
  <c r="D2078" i="2"/>
  <c r="E2078" i="2" s="1"/>
  <c r="D2080" i="2"/>
  <c r="E2080" i="2" s="1"/>
  <c r="D2081" i="2"/>
  <c r="E2081" i="2" s="1"/>
  <c r="D2082" i="2"/>
  <c r="E2082" i="2" s="1"/>
  <c r="D2083" i="2"/>
  <c r="E2083" i="2" s="1"/>
  <c r="D2084" i="2"/>
  <c r="E2084" i="2" s="1"/>
  <c r="D2085" i="2"/>
  <c r="E2085" i="2" s="1"/>
  <c r="D2086" i="2"/>
  <c r="E2086" i="2" s="1"/>
  <c r="D2087" i="2"/>
  <c r="E2087" i="2" s="1"/>
  <c r="D2088" i="2"/>
  <c r="E2088" i="2" s="1"/>
  <c r="D2089" i="2"/>
  <c r="E2089" i="2" s="1"/>
  <c r="D2090" i="2"/>
  <c r="E2090" i="2" s="1"/>
  <c r="D2091" i="2"/>
  <c r="E2091" i="2" s="1"/>
  <c r="D2092" i="2"/>
  <c r="E2092" i="2" s="1"/>
  <c r="D2094" i="2"/>
  <c r="E2094" i="2" s="1"/>
  <c r="D2095" i="2"/>
  <c r="E2095" i="2" s="1"/>
  <c r="D2096" i="2"/>
  <c r="E2096" i="2" s="1"/>
  <c r="D2097" i="2"/>
  <c r="E2097" i="2" s="1"/>
  <c r="D2098" i="2"/>
  <c r="E2098" i="2" s="1"/>
  <c r="D2099" i="2"/>
  <c r="D2100" i="2"/>
  <c r="E2100" i="2" s="1"/>
  <c r="D2102" i="2"/>
  <c r="E2102" i="2" s="1"/>
  <c r="D2103" i="2"/>
  <c r="E2103" i="2" s="1"/>
  <c r="D2104" i="2"/>
  <c r="E2104" i="2" s="1"/>
  <c r="D2105" i="2"/>
  <c r="E2105" i="2" s="1"/>
  <c r="D2107" i="2"/>
  <c r="E2107" i="2" s="1"/>
  <c r="D2108" i="2"/>
  <c r="E2108" i="2" s="1"/>
  <c r="D2109" i="2"/>
  <c r="E2109" i="2" s="1"/>
  <c r="D2110" i="2"/>
  <c r="E2110" i="2" s="1"/>
  <c r="D2111" i="2"/>
  <c r="E2111" i="2" s="1"/>
  <c r="D2113" i="2"/>
  <c r="E2113" i="2" s="1"/>
  <c r="D2114" i="2"/>
  <c r="E2114" i="2" s="1"/>
  <c r="D2115" i="2"/>
  <c r="E2115" i="2" s="1"/>
  <c r="D2116" i="2"/>
  <c r="E2116" i="2" s="1"/>
  <c r="D2117" i="2"/>
  <c r="E2117" i="2" s="1"/>
  <c r="D2119" i="2"/>
  <c r="E2119" i="2" s="1"/>
  <c r="D2120" i="2"/>
  <c r="E2120" i="2" s="1"/>
  <c r="D2121" i="2"/>
  <c r="E2121" i="2" s="1"/>
  <c r="D2122" i="2"/>
  <c r="D2123" i="2"/>
  <c r="E2123" i="2" s="1"/>
  <c r="D2124" i="2"/>
  <c r="E2124" i="2" s="1"/>
  <c r="D2125" i="2"/>
  <c r="E2125" i="2" s="1"/>
  <c r="D2126" i="2"/>
  <c r="E2126" i="2" s="1"/>
  <c r="D2127" i="2"/>
  <c r="E2127" i="2" s="1"/>
  <c r="D2128" i="2"/>
  <c r="E2128" i="2" s="1"/>
  <c r="D2130" i="2"/>
  <c r="E2130" i="2" s="1"/>
  <c r="D2131" i="2"/>
  <c r="E2131" i="2" s="1"/>
  <c r="D2132" i="2"/>
  <c r="E2132" i="2" s="1"/>
  <c r="D2133" i="2"/>
  <c r="E2133" i="2" s="1"/>
  <c r="D2134" i="2"/>
  <c r="E2134" i="2" s="1"/>
  <c r="D2135" i="2"/>
  <c r="E2135" i="2" s="1"/>
  <c r="D2136" i="2"/>
  <c r="E2136" i="2" s="1"/>
  <c r="D2137" i="2"/>
  <c r="E2137" i="2" s="1"/>
  <c r="D2138" i="2"/>
  <c r="E2138" i="2" s="1"/>
  <c r="D2139" i="2"/>
  <c r="E2139" i="2" s="1"/>
  <c r="D2140" i="2"/>
  <c r="E2140" i="2" s="1"/>
  <c r="D2142" i="2"/>
  <c r="E2142" i="2" s="1"/>
  <c r="D2143" i="2"/>
  <c r="E2143" i="2" s="1"/>
  <c r="D2144" i="2"/>
  <c r="E2144" i="2" s="1"/>
  <c r="D2145" i="2"/>
  <c r="E2145" i="2" s="1"/>
  <c r="D2146" i="2"/>
  <c r="E2146" i="2" s="1"/>
  <c r="D2147" i="2"/>
  <c r="E2147" i="2" s="1"/>
  <c r="D2148" i="2"/>
  <c r="E2148" i="2" s="1"/>
  <c r="D2149" i="2"/>
  <c r="E2149" i="2" s="1"/>
  <c r="D2150" i="2"/>
  <c r="E2150" i="2" s="1"/>
  <c r="D2151" i="2"/>
  <c r="E2151" i="2" s="1"/>
  <c r="D2152" i="2"/>
  <c r="E2152" i="2" s="1"/>
  <c r="D2153" i="2"/>
  <c r="E2153" i="2" s="1"/>
  <c r="D2154" i="2"/>
  <c r="E2154" i="2" s="1"/>
  <c r="D2155" i="2"/>
  <c r="E2155" i="2" s="1"/>
  <c r="D2156" i="2"/>
  <c r="E2156" i="2" s="1"/>
  <c r="D2157" i="2"/>
  <c r="E2157" i="2" s="1"/>
  <c r="D2159" i="2"/>
  <c r="E2159" i="2" s="1"/>
  <c r="D2160" i="2"/>
  <c r="E2160" i="2" s="1"/>
  <c r="D2163" i="2"/>
  <c r="E2163" i="2" s="1"/>
  <c r="D2164" i="2"/>
  <c r="E2164" i="2" s="1"/>
  <c r="D2165" i="2"/>
  <c r="E2165" i="2" s="1"/>
  <c r="D2166" i="2"/>
  <c r="E2166" i="2" s="1"/>
  <c r="D2168" i="2"/>
  <c r="E2168" i="2" s="1"/>
  <c r="D2169" i="2"/>
  <c r="E2169" i="2" s="1"/>
  <c r="D2170" i="2"/>
  <c r="E2170" i="2" s="1"/>
  <c r="D2171" i="2"/>
  <c r="E2171" i="2" s="1"/>
  <c r="D2172" i="2"/>
  <c r="E2172" i="2" s="1"/>
  <c r="D2173" i="2"/>
  <c r="E2173" i="2" s="1"/>
  <c r="D2174" i="2"/>
  <c r="D2175" i="2"/>
  <c r="E2175" i="2" s="1"/>
  <c r="D2177" i="2"/>
  <c r="E2177" i="2" s="1"/>
  <c r="D2178" i="2"/>
  <c r="E2178" i="2" s="1"/>
  <c r="D2179" i="2"/>
  <c r="E2179" i="2" s="1"/>
  <c r="D2180" i="2"/>
  <c r="E2180" i="2" s="1"/>
  <c r="D2181" i="2"/>
  <c r="E2181" i="2" s="1"/>
  <c r="D2183" i="2"/>
  <c r="E2183" i="2" s="1"/>
  <c r="D2184" i="2"/>
  <c r="E2184" i="2" s="1"/>
  <c r="D2185" i="2"/>
  <c r="E2185" i="2" s="1"/>
  <c r="D2186" i="2"/>
  <c r="E2186" i="2" s="1"/>
  <c r="D2187" i="2"/>
  <c r="E2187" i="2" s="1"/>
  <c r="D2189" i="2"/>
  <c r="E2189" i="2" s="1"/>
  <c r="D2190" i="2"/>
  <c r="E2190" i="2" s="1"/>
  <c r="D2191" i="2"/>
  <c r="E2191" i="2" s="1"/>
  <c r="D2192" i="2"/>
  <c r="E2192" i="2" s="1"/>
  <c r="D2193" i="2"/>
  <c r="E2193" i="2" s="1"/>
  <c r="D2194" i="2"/>
  <c r="E2194" i="2" s="1"/>
  <c r="D2195" i="2"/>
  <c r="E2195" i="2" s="1"/>
  <c r="D2196" i="2"/>
  <c r="E2196" i="2" s="1"/>
  <c r="D2197" i="2"/>
  <c r="D2198" i="2"/>
  <c r="E2198" i="2" s="1"/>
  <c r="D2199" i="2"/>
  <c r="E2199" i="2" s="1"/>
  <c r="D2200" i="2"/>
  <c r="E2200" i="2" s="1"/>
  <c r="D2201" i="2"/>
  <c r="E2201" i="2" s="1"/>
  <c r="D2202" i="2"/>
  <c r="E2202" i="2" s="1"/>
  <c r="D2203" i="2"/>
  <c r="E2203" i="2" s="1"/>
  <c r="D2205" i="2"/>
  <c r="E2205" i="2" s="1"/>
  <c r="D2206" i="2"/>
  <c r="E2206" i="2" s="1"/>
  <c r="D2207" i="2"/>
  <c r="E2207" i="2" s="1"/>
  <c r="D2208" i="2"/>
  <c r="E2208" i="2" s="1"/>
  <c r="D2210" i="2"/>
  <c r="E2210" i="2" s="1"/>
  <c r="D2211" i="2"/>
  <c r="E2211" i="2" s="1"/>
  <c r="D2212" i="2"/>
  <c r="E2212" i="2" s="1"/>
  <c r="D2213" i="2"/>
  <c r="E2213" i="2" s="1"/>
  <c r="D2214" i="2"/>
  <c r="E2214" i="2" s="1"/>
  <c r="D2215" i="2"/>
  <c r="E2215" i="2" s="1"/>
  <c r="D2217" i="2"/>
  <c r="E2217" i="2" s="1"/>
  <c r="D2218" i="2"/>
  <c r="E2218" i="2" s="1"/>
  <c r="D2219" i="2"/>
  <c r="E2219" i="2" s="1"/>
  <c r="D2220" i="2"/>
  <c r="E2220" i="2" s="1"/>
  <c r="D2221" i="2"/>
  <c r="E2221" i="2" s="1"/>
  <c r="D2222" i="2"/>
  <c r="E2222" i="2" s="1"/>
  <c r="D2223" i="2"/>
  <c r="E2223" i="2" s="1"/>
  <c r="D2224" i="2"/>
  <c r="E2224" i="2" s="1"/>
  <c r="D2225" i="2"/>
  <c r="E2225" i="2" s="1"/>
  <c r="D2227" i="2"/>
  <c r="E2227" i="2" s="1"/>
  <c r="D2228" i="2"/>
  <c r="E2228" i="2" s="1"/>
  <c r="D2229" i="2"/>
  <c r="E2229" i="2" s="1"/>
  <c r="D2230" i="2"/>
  <c r="E2230" i="2" s="1"/>
  <c r="D2231" i="2"/>
  <c r="E2231" i="2" s="1"/>
  <c r="D2232" i="2"/>
  <c r="E2232" i="2" s="1"/>
  <c r="D2233" i="2"/>
  <c r="E2233" i="2" s="1"/>
  <c r="D2234" i="2"/>
  <c r="E2234" i="2" s="1"/>
  <c r="D2235" i="2"/>
  <c r="E2235" i="2" s="1"/>
  <c r="D2236" i="2"/>
  <c r="E2236" i="2" s="1"/>
  <c r="D2238" i="2"/>
  <c r="E2238" i="2" s="1"/>
  <c r="D2239" i="2"/>
  <c r="E2239" i="2" s="1"/>
  <c r="D2240" i="2"/>
  <c r="E2240" i="2" s="1"/>
  <c r="D2241" i="2"/>
  <c r="E2241" i="2" s="1"/>
  <c r="D2242" i="2"/>
  <c r="E2242" i="2" s="1"/>
  <c r="D2243" i="2"/>
  <c r="E2243" i="2" s="1"/>
  <c r="D2244" i="2"/>
  <c r="E2244" i="2" s="1"/>
  <c r="D2246" i="2"/>
  <c r="E2246" i="2" s="1"/>
  <c r="D2247" i="2"/>
  <c r="E2247" i="2" s="1"/>
  <c r="D2248" i="2"/>
  <c r="E2248" i="2" s="1"/>
  <c r="D2249" i="2"/>
  <c r="E2249" i="2" s="1"/>
  <c r="D2250" i="2"/>
  <c r="E2250" i="2" s="1"/>
  <c r="D2251" i="2"/>
  <c r="D2252" i="2"/>
  <c r="E2252" i="2" s="1"/>
  <c r="D2253" i="2"/>
  <c r="E2253" i="2" s="1"/>
  <c r="D2255" i="2"/>
  <c r="E2255" i="2" s="1"/>
  <c r="D2256" i="2"/>
  <c r="E2256" i="2" s="1"/>
  <c r="D2257" i="2"/>
  <c r="E2257" i="2" s="1"/>
  <c r="D2258" i="2"/>
  <c r="E2258" i="2" s="1"/>
  <c r="D2259" i="2"/>
  <c r="E2259" i="2" s="1"/>
  <c r="D2260" i="2"/>
  <c r="E2260" i="2" s="1"/>
  <c r="D2261" i="2"/>
  <c r="E2261" i="2" s="1"/>
  <c r="D2263" i="2"/>
  <c r="E2263" i="2" s="1"/>
  <c r="D2264" i="2"/>
  <c r="E2264" i="2" s="1"/>
  <c r="D2265" i="2"/>
  <c r="E2265" i="2" s="1"/>
  <c r="D2266" i="2"/>
  <c r="E2266" i="2" s="1"/>
  <c r="D2267" i="2"/>
  <c r="E2267" i="2" s="1"/>
  <c r="D2268" i="2"/>
  <c r="E2268" i="2" s="1"/>
  <c r="D2269" i="2"/>
  <c r="E2269" i="2" s="1"/>
  <c r="D2270" i="2"/>
  <c r="E2270" i="2" s="1"/>
  <c r="D2271" i="2"/>
  <c r="E2271" i="2" s="1"/>
  <c r="D2272" i="2"/>
  <c r="E2272" i="2" s="1"/>
  <c r="D2273" i="2"/>
  <c r="E2273" i="2" s="1"/>
  <c r="D2274" i="2"/>
  <c r="E2274" i="2" s="1"/>
  <c r="D2275" i="2"/>
  <c r="E2275" i="2" s="1"/>
  <c r="D2276" i="2"/>
  <c r="E2276" i="2" s="1"/>
  <c r="D2277" i="2"/>
  <c r="E2277" i="2" s="1"/>
  <c r="D2278" i="2"/>
  <c r="E2278" i="2" s="1"/>
  <c r="D2279" i="2"/>
  <c r="E2279" i="2" s="1"/>
  <c r="D2280" i="2"/>
  <c r="E2280" i="2" s="1"/>
  <c r="D2281" i="2"/>
  <c r="E2281" i="2" s="1"/>
  <c r="D2282" i="2"/>
  <c r="E2282" i="2" s="1"/>
  <c r="D2283" i="2"/>
  <c r="E2283" i="2" s="1"/>
  <c r="D2284" i="2"/>
  <c r="E2284" i="2" s="1"/>
  <c r="D2285" i="2"/>
  <c r="E2285" i="2" s="1"/>
  <c r="D2286" i="2"/>
  <c r="E2286" i="2" s="1"/>
  <c r="D2287" i="2"/>
  <c r="E2287" i="2" s="1"/>
  <c r="D2289" i="2"/>
  <c r="E2289" i="2" s="1"/>
  <c r="D2290" i="2"/>
  <c r="E2290" i="2" s="1"/>
  <c r="D2291" i="2"/>
  <c r="E2291" i="2" s="1"/>
  <c r="D2293" i="2"/>
  <c r="E2293" i="2" s="1"/>
  <c r="D2294" i="2"/>
  <c r="E2294" i="2" s="1"/>
  <c r="D2295" i="2"/>
  <c r="E2295" i="2" s="1"/>
  <c r="D2296" i="2"/>
  <c r="E2296" i="2" s="1"/>
  <c r="D2298" i="2"/>
  <c r="E2298" i="2" s="1"/>
  <c r="D2299" i="2"/>
  <c r="E2299" i="2" s="1"/>
  <c r="D2300" i="2"/>
  <c r="E2300" i="2" s="1"/>
  <c r="D2302" i="2"/>
  <c r="E2302" i="2" s="1"/>
  <c r="D2303" i="2"/>
  <c r="E2303" i="2" s="1"/>
  <c r="D2304" i="2"/>
  <c r="D2305" i="2"/>
  <c r="E2305" i="2" s="1"/>
  <c r="D2307" i="2"/>
  <c r="E2307" i="2" s="1"/>
  <c r="D2308" i="2"/>
  <c r="E2308" i="2" s="1"/>
  <c r="D2309" i="2"/>
  <c r="E2309" i="2" s="1"/>
  <c r="D2310" i="2"/>
  <c r="E2310" i="2" s="1"/>
  <c r="D2312" i="2"/>
  <c r="E2312" i="2" s="1"/>
  <c r="D2313" i="2"/>
  <c r="E2313" i="2" s="1"/>
  <c r="D2314" i="2"/>
  <c r="D2315" i="2"/>
  <c r="E2315" i="2" s="1"/>
  <c r="D2316" i="2"/>
  <c r="E2316" i="2" s="1"/>
  <c r="D2318" i="2"/>
  <c r="E2318" i="2" s="1"/>
  <c r="D2319" i="2"/>
  <c r="E2319" i="2" s="1"/>
  <c r="D2320" i="2"/>
  <c r="E2320" i="2" s="1"/>
  <c r="D2321" i="2"/>
  <c r="E2321" i="2" s="1"/>
  <c r="D2322" i="2"/>
  <c r="E2322" i="2" s="1"/>
  <c r="D2324" i="2"/>
  <c r="E2324" i="2" s="1"/>
  <c r="D2325" i="2"/>
  <c r="E2325" i="2" s="1"/>
  <c r="D2326" i="2"/>
  <c r="E2326" i="2" s="1"/>
  <c r="D2327" i="2"/>
  <c r="D2328" i="2"/>
  <c r="E2328" i="2" s="1"/>
  <c r="D2329" i="2"/>
  <c r="E2329" i="2" s="1"/>
  <c r="D2330" i="2"/>
  <c r="E2330" i="2" s="1"/>
  <c r="D2331" i="2"/>
  <c r="E2331" i="2" s="1"/>
  <c r="D2332" i="2"/>
  <c r="E2332" i="2" s="1"/>
  <c r="D2333" i="2"/>
  <c r="E2333" i="2" s="1"/>
  <c r="D2335" i="2"/>
  <c r="E2335" i="2" s="1"/>
  <c r="D2336" i="2"/>
  <c r="E2336" i="2" s="1"/>
  <c r="D2337" i="2"/>
  <c r="E2337" i="2" s="1"/>
  <c r="D2338" i="2"/>
  <c r="E2338" i="2" s="1"/>
  <c r="D2340" i="2"/>
  <c r="E2340" i="2" s="1"/>
  <c r="D2341" i="2"/>
  <c r="E2341" i="2" s="1"/>
  <c r="D2342" i="2"/>
  <c r="E2342" i="2" s="1"/>
  <c r="D2343" i="2"/>
  <c r="E2343" i="2" s="1"/>
  <c r="D2344" i="2"/>
  <c r="E2344" i="2" s="1"/>
  <c r="D2345" i="2"/>
  <c r="E2345" i="2" s="1"/>
  <c r="D2347" i="2"/>
  <c r="E2347" i="2" s="1"/>
  <c r="D2348" i="2"/>
  <c r="E2348" i="2" s="1"/>
  <c r="D2349" i="2"/>
  <c r="E2349" i="2" s="1"/>
  <c r="D2350" i="2"/>
  <c r="E2350" i="2" s="1"/>
  <c r="D2351" i="2"/>
  <c r="E2351" i="2" s="1"/>
  <c r="D2352" i="2"/>
  <c r="E2352" i="2" s="1"/>
  <c r="D2353" i="2"/>
  <c r="E2353" i="2" s="1"/>
  <c r="D2354" i="2"/>
  <c r="E2354" i="2" s="1"/>
  <c r="D2356" i="2"/>
  <c r="E2356" i="2" s="1"/>
  <c r="D2357" i="2"/>
  <c r="E2357" i="2" s="1"/>
  <c r="D2358" i="2"/>
  <c r="E2358" i="2" s="1"/>
  <c r="D2359" i="2"/>
  <c r="E2359" i="2" s="1"/>
  <c r="D2360" i="2"/>
  <c r="E2360" i="2" s="1"/>
  <c r="D2361" i="2"/>
  <c r="E2361" i="2" s="1"/>
  <c r="D2363" i="2"/>
  <c r="E2363" i="2" s="1"/>
  <c r="D2364" i="2"/>
  <c r="E2364" i="2" s="1"/>
  <c r="D2365" i="2"/>
  <c r="D2366" i="2"/>
  <c r="E2366" i="2" s="1"/>
  <c r="D2367" i="2"/>
  <c r="E2367" i="2" s="1"/>
  <c r="D2368" i="2"/>
  <c r="E2368" i="2" s="1"/>
  <c r="D2369" i="2"/>
  <c r="E2369" i="2" s="1"/>
  <c r="D2370" i="2"/>
  <c r="E2370" i="2" s="1"/>
  <c r="D2371" i="2"/>
  <c r="E2371" i="2" s="1"/>
  <c r="D2372" i="2"/>
  <c r="E2372" i="2" s="1"/>
  <c r="D2373" i="2"/>
  <c r="E2373" i="2" s="1"/>
  <c r="D2375" i="2"/>
  <c r="E2375" i="2" s="1"/>
  <c r="D2376" i="2"/>
  <c r="E2376" i="2" s="1"/>
  <c r="D2377" i="2"/>
  <c r="E2377" i="2" s="1"/>
  <c r="D2378" i="2"/>
  <c r="D2379" i="2"/>
  <c r="E2379" i="2" s="1"/>
  <c r="D2380" i="2"/>
  <c r="E2380" i="2" s="1"/>
  <c r="D2383" i="2"/>
  <c r="E2383" i="2" s="1"/>
  <c r="D2384" i="2"/>
  <c r="E2384" i="2" s="1"/>
  <c r="D2385" i="2"/>
  <c r="E2385" i="2" s="1"/>
  <c r="D2386" i="2"/>
  <c r="E2386" i="2" s="1"/>
  <c r="D2387" i="2"/>
  <c r="E2387" i="2" s="1"/>
  <c r="D2388" i="2"/>
  <c r="E2388" i="2" s="1"/>
  <c r="D2389" i="2"/>
  <c r="E2389" i="2" s="1"/>
  <c r="D2391" i="2"/>
  <c r="E2391" i="2" s="1"/>
  <c r="D2392" i="2"/>
  <c r="E2392" i="2" s="1"/>
  <c r="D2394" i="2"/>
  <c r="E2394" i="2" s="1"/>
  <c r="D2395" i="2"/>
  <c r="E2395" i="2" s="1"/>
  <c r="D2396" i="2"/>
  <c r="E2396" i="2" s="1"/>
  <c r="D2397" i="2"/>
  <c r="E2397" i="2" s="1"/>
  <c r="D2398" i="2"/>
  <c r="E2398" i="2" s="1"/>
  <c r="D2399" i="2"/>
  <c r="E2399" i="2" s="1"/>
  <c r="D2400" i="2"/>
  <c r="E2400" i="2" s="1"/>
  <c r="D2401" i="2"/>
  <c r="E2401" i="2" s="1"/>
  <c r="D2402" i="2"/>
  <c r="E2402" i="2" s="1"/>
  <c r="D2403" i="2"/>
  <c r="E2403" i="2" s="1"/>
  <c r="D2404" i="2"/>
  <c r="E2404" i="2" s="1"/>
  <c r="D2405" i="2"/>
  <c r="E2405" i="2" s="1"/>
  <c r="D2406" i="2"/>
  <c r="E2406" i="2" s="1"/>
  <c r="D2407" i="2"/>
  <c r="D2408" i="2"/>
  <c r="E2408" i="2" s="1"/>
  <c r="D2409" i="2"/>
  <c r="E2409" i="2" s="1"/>
  <c r="D2411" i="2"/>
  <c r="E2411" i="2" s="1"/>
  <c r="D2412" i="2"/>
  <c r="E2412" i="2" s="1"/>
  <c r="D2413" i="2"/>
  <c r="E2413" i="2" s="1"/>
  <c r="D2414" i="2"/>
  <c r="E2414" i="2" s="1"/>
  <c r="D2415" i="2"/>
  <c r="E2415" i="2" s="1"/>
  <c r="D2416" i="2"/>
  <c r="E2416" i="2" s="1"/>
  <c r="D2417" i="2"/>
  <c r="E2417" i="2" s="1"/>
  <c r="D2419" i="2"/>
  <c r="E2419" i="2" s="1"/>
  <c r="D2420" i="2"/>
  <c r="E2420" i="2" s="1"/>
  <c r="D2421" i="2"/>
  <c r="E2421" i="2" s="1"/>
  <c r="D2422" i="2"/>
  <c r="E2422" i="2" s="1"/>
  <c r="D2423" i="2"/>
  <c r="E2423" i="2" s="1"/>
  <c r="D2424" i="2"/>
  <c r="E2424" i="2" s="1"/>
  <c r="D2425" i="2"/>
  <c r="E2425" i="2" s="1"/>
  <c r="D2426" i="2"/>
  <c r="E2426" i="2" s="1"/>
  <c r="D2428" i="2"/>
  <c r="E2428" i="2" s="1"/>
  <c r="D2429" i="2"/>
  <c r="E2429" i="2" s="1"/>
  <c r="D2430" i="2"/>
  <c r="E2430" i="2" s="1"/>
  <c r="D2431" i="2"/>
  <c r="E2431" i="2" s="1"/>
  <c r="D2432" i="2"/>
  <c r="E2432" i="2" s="1"/>
  <c r="D2433" i="2"/>
  <c r="E2433" i="2" s="1"/>
  <c r="D2434" i="2"/>
  <c r="E2434" i="2" s="1"/>
  <c r="D2435" i="2"/>
  <c r="E2435" i="2" s="1"/>
  <c r="D2436" i="2"/>
  <c r="E2436" i="2" s="1"/>
  <c r="D2437" i="2"/>
  <c r="E2437" i="2" s="1"/>
  <c r="D2438" i="2"/>
  <c r="E2438" i="2" s="1"/>
  <c r="D2440" i="2"/>
  <c r="E2440" i="2" s="1"/>
  <c r="D2441" i="2"/>
  <c r="E2441" i="2" s="1"/>
  <c r="D2442" i="2"/>
  <c r="E2442" i="2" s="1"/>
  <c r="D2443" i="2"/>
  <c r="E2443" i="2" s="1"/>
  <c r="D2445" i="2"/>
  <c r="E2445" i="2" s="1"/>
  <c r="D2446" i="2"/>
  <c r="E2446" i="2" s="1"/>
  <c r="D2447" i="2"/>
  <c r="E2447" i="2" s="1"/>
  <c r="D2448" i="2"/>
  <c r="E2448" i="2" s="1"/>
  <c r="D2449" i="2"/>
  <c r="E2449" i="2" s="1"/>
  <c r="D2450" i="2"/>
  <c r="E2450" i="2" s="1"/>
  <c r="D2452" i="2"/>
  <c r="E2452" i="2" s="1"/>
  <c r="D2453" i="2"/>
  <c r="E2453" i="2" s="1"/>
  <c r="D2454" i="2"/>
  <c r="E2454" i="2" s="1"/>
  <c r="D2455" i="2"/>
  <c r="E2455" i="2" s="1"/>
  <c r="D2456" i="2"/>
  <c r="E2456" i="2" s="1"/>
  <c r="D2457" i="2"/>
  <c r="E2457" i="2" s="1"/>
  <c r="D2458" i="2"/>
  <c r="E2458" i="2" s="1"/>
  <c r="D2459" i="2"/>
  <c r="E2459" i="2" s="1"/>
  <c r="D2460" i="2"/>
  <c r="E2460" i="2" s="1"/>
  <c r="D2461" i="2"/>
  <c r="E2461" i="2" s="1"/>
  <c r="D2462" i="2"/>
  <c r="E2462" i="2" s="1"/>
  <c r="D2463" i="2"/>
  <c r="E2463" i="2" s="1"/>
  <c r="D2464" i="2"/>
  <c r="D2465" i="2"/>
  <c r="E2465" i="2" s="1"/>
  <c r="D2466" i="2"/>
  <c r="E2466" i="2" s="1"/>
  <c r="D2467" i="2"/>
  <c r="E2467" i="2" s="1"/>
  <c r="D2468" i="2"/>
  <c r="E2468" i="2" s="1"/>
  <c r="D2469" i="2"/>
  <c r="E2469" i="2" s="1"/>
  <c r="D2470" i="2"/>
  <c r="E2470" i="2" s="1"/>
  <c r="D2471" i="2"/>
  <c r="D2472" i="2"/>
  <c r="E2472" i="2" s="1"/>
  <c r="D2473" i="2"/>
  <c r="E2473" i="2" s="1"/>
  <c r="D2474" i="2"/>
  <c r="E2474" i="2" s="1"/>
  <c r="D2475" i="2"/>
  <c r="E2475" i="2" s="1"/>
  <c r="D2476" i="2"/>
  <c r="E2476" i="2" s="1"/>
  <c r="D2477" i="2"/>
  <c r="E2477" i="2" s="1"/>
  <c r="D2478" i="2"/>
  <c r="E2478" i="2" s="1"/>
  <c r="D2479" i="2"/>
  <c r="E2479" i="2" s="1"/>
  <c r="D2480" i="2"/>
  <c r="E2480" i="2" s="1"/>
  <c r="D2481" i="2"/>
  <c r="E2481" i="2" s="1"/>
  <c r="D2482" i="2"/>
  <c r="E2482" i="2" s="1"/>
  <c r="D2483" i="2"/>
  <c r="E2483" i="2" s="1"/>
  <c r="D2484" i="2"/>
  <c r="D2485" i="2"/>
  <c r="E2485" i="2" s="1"/>
  <c r="D2487" i="2"/>
  <c r="E2487" i="2" s="1"/>
  <c r="D2488" i="2"/>
  <c r="E2488" i="2" s="1"/>
  <c r="D2489" i="2"/>
  <c r="E2489" i="2" s="1"/>
  <c r="D2490" i="2"/>
  <c r="E2490" i="2" s="1"/>
  <c r="D2491" i="2"/>
  <c r="E2491" i="2" s="1"/>
  <c r="D2492" i="2"/>
  <c r="E2492" i="2" s="1"/>
  <c r="D2494" i="2"/>
  <c r="E2494" i="2" s="1"/>
  <c r="D2495" i="2"/>
  <c r="E2495" i="2" s="1"/>
  <c r="D2496" i="2"/>
  <c r="D2497" i="2"/>
  <c r="E2497" i="2" s="1"/>
  <c r="D2498" i="2"/>
  <c r="E2498" i="2" s="1"/>
  <c r="D2499" i="2"/>
  <c r="E2499" i="2" s="1"/>
  <c r="D2500" i="2"/>
  <c r="E2500" i="2" s="1"/>
  <c r="D2501" i="2"/>
  <c r="E2501" i="2" s="1"/>
  <c r="D2502" i="2"/>
  <c r="E2502" i="2" s="1"/>
  <c r="D2503" i="2"/>
  <c r="E2503" i="2" s="1"/>
  <c r="D2504" i="2"/>
  <c r="E2504" i="2" s="1"/>
  <c r="D2506" i="2"/>
  <c r="E2506" i="2" s="1"/>
  <c r="D2507" i="2"/>
  <c r="E2507" i="2" s="1"/>
  <c r="D2508" i="2"/>
  <c r="E2508" i="2" s="1"/>
  <c r="D2509" i="2"/>
  <c r="D2510" i="2"/>
  <c r="E2510" i="2" s="1"/>
  <c r="D2511" i="2"/>
  <c r="E2511" i="2" s="1"/>
  <c r="D2512" i="2"/>
  <c r="E2512" i="2" s="1"/>
  <c r="D2513" i="2"/>
  <c r="E2513" i="2" s="1"/>
  <c r="D2514" i="2"/>
  <c r="E2514" i="2" s="1"/>
  <c r="D2515" i="2"/>
  <c r="E2515" i="2" s="1"/>
  <c r="D2516" i="2"/>
  <c r="E2516" i="2" s="1"/>
  <c r="D2517" i="2"/>
  <c r="E2517" i="2" s="1"/>
  <c r="D2518" i="2"/>
  <c r="E2518" i="2" s="1"/>
  <c r="D2519" i="2"/>
  <c r="E2519" i="2" s="1"/>
  <c r="D2520" i="2"/>
  <c r="E2520" i="2" s="1"/>
  <c r="D2521" i="2"/>
  <c r="E2521" i="2" s="1"/>
  <c r="D2522" i="2"/>
  <c r="E2522" i="2" s="1"/>
  <c r="D2523" i="2"/>
  <c r="D2524" i="2"/>
  <c r="E2524" i="2" s="1"/>
  <c r="D2525" i="2"/>
  <c r="E2525" i="2" s="1"/>
  <c r="D2526" i="2"/>
  <c r="E2526" i="2" s="1"/>
  <c r="D2527" i="2"/>
  <c r="E2527" i="2" s="1"/>
  <c r="D2528" i="2"/>
  <c r="E2528" i="2" s="1"/>
  <c r="D2529" i="2"/>
  <c r="E2529" i="2" s="1"/>
  <c r="D2531" i="2"/>
  <c r="E2531" i="2" s="1"/>
  <c r="D2532" i="2"/>
  <c r="E2532" i="2" s="1"/>
  <c r="D2533" i="2"/>
  <c r="E2533" i="2" s="1"/>
  <c r="D2534" i="2"/>
  <c r="E2534" i="2" s="1"/>
  <c r="D2535" i="2"/>
  <c r="D2536" i="2"/>
  <c r="E2536" i="2" s="1"/>
  <c r="D2537" i="2"/>
  <c r="E2537" i="2" s="1"/>
  <c r="D2538" i="2"/>
  <c r="E2538" i="2" s="1"/>
  <c r="D2539" i="2"/>
  <c r="E2539" i="2" s="1"/>
  <c r="D2540" i="2"/>
  <c r="E2540" i="2" s="1"/>
  <c r="D2541" i="2"/>
  <c r="D2542" i="2"/>
  <c r="E2542" i="2" s="1"/>
  <c r="D2543" i="2"/>
  <c r="E2543" i="2" s="1"/>
  <c r="D2544" i="2"/>
  <c r="E2544" i="2" s="1"/>
  <c r="D2545" i="2"/>
  <c r="E2545" i="2" s="1"/>
  <c r="D2546" i="2"/>
  <c r="E2546" i="2" s="1"/>
  <c r="D2547" i="2"/>
  <c r="E2547" i="2" s="1"/>
  <c r="D2548" i="2"/>
  <c r="D2549" i="2"/>
  <c r="E2549" i="2" s="1"/>
  <c r="D2550" i="2"/>
  <c r="E2550" i="2" s="1"/>
  <c r="D2551" i="2"/>
  <c r="E2551" i="2" s="1"/>
  <c r="D2552" i="2"/>
  <c r="E2552" i="2" s="1"/>
  <c r="D2553" i="2"/>
  <c r="E2553" i="2" s="1"/>
  <c r="D2554" i="2"/>
  <c r="E2554" i="2" s="1"/>
  <c r="D2555" i="2"/>
  <c r="E2555" i="2" s="1"/>
  <c r="D2556" i="2"/>
  <c r="E2556" i="2" s="1"/>
  <c r="D2558" i="2"/>
  <c r="E2558" i="2" s="1"/>
  <c r="D2559" i="2"/>
  <c r="E2559" i="2" s="1"/>
  <c r="D2560" i="2"/>
  <c r="E2560" i="2" s="1"/>
  <c r="D2561" i="2"/>
  <c r="E2561" i="2" s="1"/>
  <c r="D2562" i="2"/>
  <c r="D2563" i="2"/>
  <c r="E2563" i="2" s="1"/>
  <c r="D2565" i="2"/>
  <c r="E2565" i="2" s="1"/>
  <c r="D2566" i="2"/>
  <c r="E2566" i="2" s="1"/>
  <c r="D2567" i="2"/>
  <c r="E2567" i="2" s="1"/>
  <c r="D2568" i="2"/>
  <c r="E2568" i="2" s="1"/>
  <c r="D2569" i="2"/>
  <c r="E2569" i="2" s="1"/>
  <c r="D2570" i="2"/>
  <c r="E2570" i="2" s="1"/>
  <c r="D2571" i="2"/>
  <c r="E2571" i="2" s="1"/>
  <c r="D2572" i="2"/>
  <c r="E2572" i="2" s="1"/>
  <c r="D2573" i="2"/>
  <c r="E2573" i="2" s="1"/>
  <c r="D2574" i="2"/>
  <c r="E2574" i="2" s="1"/>
  <c r="D2575" i="2"/>
  <c r="D2576" i="2"/>
  <c r="E2576" i="2" s="1"/>
  <c r="D2577" i="2"/>
  <c r="E2577" i="2" s="1"/>
  <c r="D2578" i="2"/>
  <c r="E2578" i="2" s="1"/>
  <c r="D2579" i="2"/>
  <c r="E2579" i="2" s="1"/>
  <c r="D2580" i="2"/>
  <c r="E2580" i="2" s="1"/>
  <c r="D2581" i="2"/>
  <c r="E2581" i="2" s="1"/>
  <c r="D2582" i="2"/>
  <c r="E2582" i="2" s="1"/>
  <c r="D2583" i="2"/>
  <c r="E2583" i="2" s="1"/>
  <c r="D2585" i="2"/>
  <c r="E2585" i="2" s="1"/>
  <c r="D2586" i="2"/>
  <c r="E2586" i="2" s="1"/>
  <c r="D2587" i="2"/>
  <c r="E2587" i="2" s="1"/>
  <c r="D2588" i="2"/>
  <c r="D2589" i="2"/>
  <c r="E2589" i="2" s="1"/>
  <c r="D2590" i="2"/>
  <c r="E2590" i="2" s="1"/>
  <c r="D2591" i="2"/>
  <c r="E2591" i="2" s="1"/>
  <c r="D2592" i="2"/>
  <c r="E2592" i="2" s="1"/>
  <c r="D2593" i="2"/>
  <c r="E2593" i="2" s="1"/>
  <c r="D2594" i="2"/>
  <c r="E2594" i="2" s="1"/>
  <c r="D2595" i="2"/>
  <c r="D2596" i="2"/>
  <c r="E2596" i="2" s="1"/>
  <c r="D2597" i="2"/>
  <c r="E2597" i="2" s="1"/>
  <c r="D2598" i="2"/>
  <c r="E2598" i="2" s="1"/>
  <c r="D2599" i="2"/>
  <c r="E2599" i="2" s="1"/>
  <c r="D2600" i="2"/>
  <c r="E2600" i="2" s="1"/>
  <c r="D2601" i="2"/>
  <c r="E2601" i="2" s="1"/>
  <c r="D2602" i="2"/>
  <c r="D2603" i="2"/>
  <c r="E2603" i="2" s="1"/>
  <c r="D2604" i="2"/>
  <c r="E2604" i="2" s="1"/>
  <c r="D2605" i="2"/>
  <c r="E2605" i="2" s="1"/>
  <c r="D2606" i="2"/>
  <c r="E2606" i="2" s="1"/>
  <c r="D2607" i="2"/>
  <c r="E2607" i="2" s="1"/>
  <c r="D2608" i="2"/>
  <c r="E2608" i="2" s="1"/>
  <c r="D2609" i="2"/>
  <c r="E2609" i="2" s="1"/>
  <c r="D2610" i="2"/>
  <c r="E2610" i="2" s="1"/>
  <c r="D2611" i="2"/>
  <c r="E2611" i="2" s="1"/>
  <c r="D2612" i="2"/>
  <c r="E2612" i="2" s="1"/>
  <c r="D2613" i="2"/>
  <c r="E2613" i="2" s="1"/>
  <c r="D2614" i="2"/>
  <c r="E2614" i="2" s="1"/>
  <c r="D2615" i="2"/>
  <c r="D2616" i="2"/>
  <c r="E2616" i="2" s="1"/>
  <c r="D2617" i="2"/>
  <c r="E2617" i="2" s="1"/>
  <c r="D2618" i="2"/>
  <c r="E2618" i="2" s="1"/>
  <c r="D2619" i="2"/>
  <c r="E2619" i="2" s="1"/>
  <c r="D2620" i="2"/>
  <c r="E2620" i="2" s="1"/>
  <c r="D2621" i="2"/>
  <c r="E2621" i="2" s="1"/>
  <c r="D2622" i="2"/>
  <c r="E2622" i="2" s="1"/>
  <c r="D2623" i="2"/>
  <c r="E2623" i="2" s="1"/>
  <c r="D2624" i="2"/>
  <c r="E2624" i="2" s="1"/>
  <c r="D2625" i="2"/>
  <c r="E2625" i="2" s="1"/>
  <c r="D2627" i="2"/>
  <c r="E2627" i="2" s="1"/>
  <c r="D2628" i="2"/>
  <c r="E2628" i="2" s="1"/>
  <c r="D2629" i="2"/>
  <c r="E2629" i="2" s="1"/>
  <c r="D2631" i="2"/>
  <c r="E2631" i="2" s="1"/>
  <c r="D2632" i="2"/>
  <c r="E2632" i="2" s="1"/>
  <c r="D2633" i="2"/>
  <c r="E2633" i="2" s="1"/>
  <c r="D2634" i="2"/>
  <c r="E2634" i="2" s="1"/>
  <c r="D2636" i="2"/>
  <c r="E2636" i="2" s="1"/>
  <c r="D2637" i="2"/>
  <c r="E2637" i="2" s="1"/>
  <c r="D2638" i="2"/>
  <c r="E2638" i="2" s="1"/>
  <c r="D2639" i="2"/>
  <c r="E2639" i="2" s="1"/>
  <c r="D2640" i="2"/>
  <c r="E2640" i="2" s="1"/>
  <c r="D2641" i="2"/>
  <c r="E2641" i="2" s="1"/>
  <c r="D2642" i="2"/>
  <c r="D2643" i="2"/>
  <c r="E2643" i="2" s="1"/>
  <c r="D2645" i="2"/>
  <c r="E2645" i="2" s="1"/>
  <c r="D2646" i="2"/>
  <c r="E2646" i="2" s="1"/>
  <c r="D2647" i="2"/>
  <c r="E2647" i="2" s="1"/>
  <c r="D2648" i="2"/>
  <c r="E2648" i="2" s="1"/>
  <c r="D2649" i="2"/>
  <c r="E2649" i="2" s="1"/>
  <c r="D2651" i="2"/>
  <c r="E2651" i="2" s="1"/>
  <c r="D2652" i="2"/>
  <c r="E2652" i="2" s="1"/>
  <c r="D2653" i="2"/>
  <c r="E2653" i="2" s="1"/>
  <c r="D2654" i="2"/>
  <c r="E2654" i="2" s="1"/>
  <c r="D2655" i="2"/>
  <c r="E2655" i="2" s="1"/>
  <c r="D2657" i="2"/>
  <c r="E2657" i="2" s="1"/>
  <c r="D2658" i="2"/>
  <c r="E2658" i="2" s="1"/>
  <c r="D2659" i="2"/>
  <c r="E2659" i="2" s="1"/>
  <c r="D2660" i="2"/>
  <c r="E2660" i="2" s="1"/>
  <c r="D2661" i="2"/>
  <c r="E2661" i="2" s="1"/>
  <c r="D2663" i="2"/>
  <c r="E2663" i="2" s="1"/>
  <c r="D2664" i="2"/>
  <c r="E2664" i="2" s="1"/>
  <c r="D2665" i="2"/>
  <c r="E2665" i="2" s="1"/>
  <c r="D2666" i="2"/>
  <c r="D2667" i="2"/>
  <c r="E2667" i="2" s="1"/>
  <c r="D2668" i="2"/>
  <c r="E2668" i="2" s="1"/>
  <c r="D2670" i="2"/>
  <c r="E2670" i="2" s="1"/>
  <c r="D2671" i="2"/>
  <c r="E2671" i="2" s="1"/>
  <c r="D2672" i="2"/>
  <c r="E2672" i="2" s="1"/>
  <c r="D2673" i="2"/>
  <c r="E2673" i="2" s="1"/>
  <c r="D2674" i="2"/>
  <c r="E2674" i="2" s="1"/>
  <c r="D2676" i="2"/>
  <c r="E2676" i="2" s="1"/>
  <c r="D2677" i="2"/>
  <c r="E2677" i="2" s="1"/>
  <c r="D2678" i="2"/>
  <c r="D2679" i="2"/>
  <c r="E2679" i="2" s="1"/>
  <c r="D2680" i="2"/>
  <c r="E2680" i="2" s="1"/>
  <c r="D2681" i="2"/>
  <c r="E2681" i="2" s="1"/>
  <c r="D2682" i="2"/>
  <c r="E2682" i="2" s="1"/>
  <c r="D2683" i="2"/>
  <c r="E2683" i="2" s="1"/>
  <c r="D2684" i="2"/>
  <c r="E2684" i="2" s="1"/>
  <c r="D2685" i="2"/>
  <c r="E2685" i="2" s="1"/>
  <c r="D2686" i="2"/>
  <c r="E2686" i="2" s="1"/>
  <c r="D2688" i="2"/>
  <c r="E2688" i="2" s="1"/>
  <c r="D2689" i="2"/>
  <c r="E2689" i="2" s="1"/>
  <c r="D2690" i="2"/>
  <c r="E2690" i="2" s="1"/>
  <c r="D2691" i="2"/>
  <c r="D2692" i="2"/>
  <c r="E2692" i="2" s="1"/>
  <c r="D2693" i="2"/>
  <c r="E2693" i="2" s="1"/>
  <c r="D2694" i="2"/>
  <c r="E2694" i="2" s="1"/>
  <c r="D2695" i="2"/>
  <c r="E2695" i="2" s="1"/>
  <c r="D2696" i="2"/>
  <c r="E2696" i="2" s="1"/>
  <c r="D2697" i="2"/>
  <c r="E2697" i="2" s="1"/>
  <c r="D2698" i="2"/>
  <c r="D2699" i="2"/>
  <c r="E2699" i="2" s="1"/>
  <c r="D2700" i="2"/>
  <c r="E2700" i="2" s="1"/>
  <c r="D2701" i="2"/>
  <c r="E2701" i="2" s="1"/>
  <c r="D2702" i="2"/>
  <c r="E2702" i="2" s="1"/>
  <c r="D2703" i="2"/>
  <c r="E2703" i="2" s="1"/>
  <c r="D2704" i="2"/>
  <c r="E2704" i="2" s="1"/>
  <c r="D2705" i="2"/>
  <c r="D2706" i="2"/>
  <c r="E2706" i="2" s="1"/>
  <c r="D2707" i="2"/>
  <c r="E2707" i="2" s="1"/>
  <c r="D2708" i="2"/>
  <c r="E2708" i="2" s="1"/>
  <c r="D2709" i="2"/>
  <c r="E2709" i="2" s="1"/>
  <c r="D2710" i="2"/>
  <c r="E2710" i="2" s="1"/>
  <c r="D2711" i="2"/>
  <c r="E2711" i="2" s="1"/>
  <c r="D2712" i="2"/>
  <c r="E2712" i="2" s="1"/>
  <c r="D2714" i="2"/>
  <c r="E2714" i="2" s="1"/>
  <c r="D2715" i="2"/>
  <c r="E2715" i="2" s="1"/>
  <c r="D2716" i="2"/>
  <c r="E2716" i="2" s="1"/>
  <c r="D2717" i="2"/>
  <c r="E2717" i="2" s="1"/>
  <c r="D2718" i="2"/>
  <c r="D2719" i="2"/>
  <c r="E2719" i="2" s="1"/>
  <c r="D2720" i="2"/>
  <c r="E2720" i="2" s="1"/>
  <c r="D2721" i="2"/>
  <c r="E2721" i="2" s="1"/>
  <c r="D2722" i="2"/>
  <c r="E2722" i="2" s="1"/>
  <c r="D2723" i="2"/>
  <c r="E2723" i="2" s="1"/>
  <c r="D2724" i="2"/>
  <c r="D2725" i="2"/>
  <c r="E2725" i="2" s="1"/>
  <c r="D2726" i="2"/>
  <c r="E2726" i="2" s="1"/>
  <c r="D2727" i="2"/>
  <c r="E2727" i="2" s="1"/>
  <c r="D2728" i="2"/>
  <c r="E2728" i="2" s="1"/>
  <c r="D2729" i="2"/>
  <c r="E2729" i="2" s="1"/>
  <c r="D2730" i="2"/>
  <c r="E2730" i="2" s="1"/>
  <c r="D2731" i="2"/>
  <c r="D2732" i="2"/>
  <c r="E2732" i="2" s="1"/>
  <c r="D2733" i="2"/>
  <c r="E2733" i="2" s="1"/>
  <c r="D2734" i="2"/>
  <c r="E2734" i="2" s="1"/>
  <c r="D2735" i="2"/>
  <c r="E2735" i="2" s="1"/>
  <c r="D2736" i="2"/>
  <c r="E2736" i="2" s="1"/>
  <c r="D2737" i="2"/>
  <c r="E2737" i="2" s="1"/>
  <c r="D2738" i="2"/>
  <c r="E2738" i="2" s="1"/>
  <c r="D2740" i="2"/>
  <c r="E2740" i="2" s="1"/>
  <c r="D2741" i="2"/>
  <c r="E2741" i="2" s="1"/>
  <c r="D2742" i="2"/>
  <c r="E2742" i="2" s="1"/>
  <c r="D2743" i="2"/>
  <c r="E2743" i="2" s="1"/>
  <c r="D2744" i="2"/>
  <c r="D2745" i="2"/>
  <c r="E2745" i="2" s="1"/>
  <c r="D2746" i="2"/>
  <c r="E2746" i="2" s="1"/>
  <c r="D2747" i="2"/>
  <c r="E2747" i="2" s="1"/>
  <c r="D2748" i="2"/>
  <c r="E2748" i="2" s="1"/>
  <c r="D2749" i="2"/>
  <c r="E2749" i="2" s="1"/>
  <c r="D2750" i="2"/>
  <c r="E2750" i="2" s="1"/>
  <c r="D2751" i="2"/>
  <c r="E2751" i="2" s="1"/>
  <c r="D2752" i="2"/>
  <c r="E2752" i="2" s="1"/>
  <c r="D2753" i="2"/>
  <c r="E2753" i="2" s="1"/>
  <c r="D2754" i="2"/>
  <c r="E2754" i="2" s="1"/>
  <c r="D2755" i="2"/>
  <c r="E2755" i="2" s="1"/>
  <c r="D2756" i="2"/>
  <c r="E2756" i="2" s="1"/>
  <c r="D2757" i="2"/>
  <c r="D2758" i="2"/>
  <c r="E2758" i="2" s="1"/>
  <c r="D2759" i="2"/>
  <c r="E2759" i="2" s="1"/>
  <c r="D2760" i="2"/>
  <c r="E2760" i="2" s="1"/>
  <c r="D2761" i="2"/>
  <c r="E2761" i="2" s="1"/>
  <c r="D2762" i="2"/>
  <c r="E2762" i="2" s="1"/>
  <c r="D2763" i="2"/>
  <c r="E2763" i="2" s="1"/>
  <c r="D2764" i="2"/>
  <c r="E2764" i="2" s="1"/>
  <c r="D2765" i="2"/>
  <c r="E2765" i="2" s="1"/>
  <c r="D2767" i="2"/>
  <c r="E2767" i="2" s="1"/>
  <c r="D2768" i="2"/>
  <c r="E2768" i="2" s="1"/>
  <c r="D2769" i="2"/>
  <c r="E2769" i="2" s="1"/>
  <c r="D2770" i="2"/>
  <c r="D2771" i="2"/>
  <c r="E2771" i="2" s="1"/>
  <c r="D2772" i="2"/>
  <c r="E2772" i="2" s="1"/>
  <c r="D2773" i="2"/>
  <c r="E2773" i="2" s="1"/>
  <c r="D2774" i="2"/>
  <c r="E2774" i="2" s="1"/>
  <c r="D2775" i="2"/>
  <c r="E2775" i="2" s="1"/>
  <c r="D2776" i="2"/>
  <c r="E2776" i="2" s="1"/>
  <c r="D2777" i="2"/>
  <c r="D2778" i="2"/>
  <c r="E2778" i="2" s="1"/>
  <c r="D2779" i="2"/>
  <c r="E2779" i="2" s="1"/>
  <c r="D2780" i="2"/>
  <c r="E2780" i="2" s="1"/>
  <c r="D2781" i="2"/>
  <c r="E2781" i="2" s="1"/>
  <c r="D2782" i="2"/>
  <c r="E2782" i="2" s="1"/>
  <c r="D2783" i="2"/>
  <c r="E2783" i="2" s="1"/>
  <c r="D2784" i="2"/>
  <c r="D2785" i="2"/>
  <c r="E2785" i="2" s="1"/>
  <c r="D2786" i="2"/>
  <c r="E2786" i="2" s="1"/>
  <c r="D2787" i="2"/>
  <c r="E2787" i="2" s="1"/>
  <c r="D2788" i="2"/>
  <c r="E2788" i="2" s="1"/>
  <c r="D2789" i="2"/>
  <c r="E2789" i="2" s="1"/>
  <c r="D2790" i="2"/>
  <c r="E2790" i="2" s="1"/>
  <c r="D2791" i="2"/>
  <c r="E2791" i="2" s="1"/>
  <c r="D2792" i="2"/>
  <c r="E2792" i="2" s="1"/>
  <c r="D2794" i="2"/>
  <c r="E2794" i="2" s="1"/>
  <c r="D2795" i="2"/>
  <c r="E2795" i="2" s="1"/>
  <c r="D2796" i="2"/>
  <c r="E2796" i="2" s="1"/>
  <c r="D2797" i="2"/>
  <c r="E2797" i="2" s="1"/>
  <c r="D2798" i="2"/>
  <c r="D2799" i="2"/>
  <c r="E2799" i="2" s="1"/>
  <c r="D2800" i="2"/>
  <c r="E2800" i="2" s="1"/>
  <c r="D2801" i="2"/>
  <c r="E2801" i="2" s="1"/>
  <c r="D2802" i="2"/>
  <c r="E2802" i="2" s="1"/>
  <c r="D2803" i="2"/>
  <c r="E2803" i="2" s="1"/>
  <c r="D2804" i="2"/>
  <c r="D2805" i="2"/>
  <c r="E2805" i="2" s="1"/>
  <c r="D2806" i="2"/>
  <c r="E2806" i="2" s="1"/>
  <c r="D2807" i="2"/>
  <c r="E2807" i="2" s="1"/>
  <c r="D2808" i="2"/>
  <c r="E2808" i="2" s="1"/>
  <c r="D2809" i="2"/>
  <c r="E2809" i="2" s="1"/>
  <c r="D2810" i="2"/>
  <c r="E2810" i="2" s="1"/>
  <c r="D2811" i="2"/>
  <c r="D2812" i="2"/>
  <c r="E2812" i="2" s="1"/>
  <c r="D2813" i="2"/>
  <c r="E2813" i="2" s="1"/>
  <c r="D2814" i="2"/>
  <c r="E2814" i="2" s="1"/>
  <c r="D2815" i="2"/>
  <c r="E2815" i="2" s="1"/>
  <c r="D2816" i="2"/>
  <c r="E2816" i="2" s="1"/>
  <c r="D2817" i="2"/>
  <c r="E2817" i="2" s="1"/>
  <c r="D2818" i="2"/>
  <c r="E2818" i="2" s="1"/>
  <c r="D2820" i="2"/>
  <c r="E2820" i="2" s="1"/>
  <c r="D2821" i="2"/>
  <c r="E2821" i="2" s="1"/>
  <c r="D2822" i="2"/>
  <c r="E2822" i="2" s="1"/>
  <c r="D2823" i="2"/>
  <c r="E2823" i="2" s="1"/>
  <c r="D2824" i="2"/>
  <c r="B8" i="3" a="1"/>
  <c r="B8" i="3" s="1"/>
  <c r="B4" i="3"/>
  <c r="D12" i="2"/>
  <c r="E12" i="2" s="1"/>
  <c r="D13" i="2"/>
  <c r="E13" i="2" s="1"/>
  <c r="D23" i="2"/>
  <c r="E23" i="2" s="1"/>
  <c r="D33" i="2"/>
  <c r="E33" i="2" s="1"/>
  <c r="D42" i="2"/>
  <c r="E42" i="2" s="1"/>
  <c r="D49" i="2"/>
  <c r="E49" i="2" s="1"/>
  <c r="D53" i="2"/>
  <c r="E53" i="2" s="1"/>
  <c r="D57" i="2"/>
  <c r="E57" i="2" s="1"/>
  <c r="D66" i="2"/>
  <c r="E66" i="2" s="1"/>
  <c r="D77" i="2"/>
  <c r="E77" i="2" s="1"/>
  <c r="D83" i="2"/>
  <c r="E83" i="2" s="1"/>
  <c r="D92" i="2"/>
  <c r="E92" i="2" s="1"/>
  <c r="D93" i="2"/>
  <c r="E93" i="2" s="1"/>
  <c r="D127" i="2"/>
  <c r="E127" i="2" s="1"/>
  <c r="D145" i="2"/>
  <c r="E145" i="2" s="1"/>
  <c r="D148" i="2"/>
  <c r="E148" i="2" s="1"/>
  <c r="D149" i="2"/>
  <c r="E149" i="2" s="1"/>
  <c r="D156" i="2"/>
  <c r="E156" i="2" s="1"/>
  <c r="D158" i="2"/>
  <c r="E158" i="2" s="1"/>
  <c r="D160" i="2"/>
  <c r="E160" i="2" s="1"/>
  <c r="D168" i="2"/>
  <c r="E168" i="2" s="1"/>
  <c r="D190" i="2"/>
  <c r="E190" i="2" s="1"/>
  <c r="D198" i="2"/>
  <c r="E198" i="2" s="1"/>
  <c r="D228" i="2"/>
  <c r="E228" i="2" s="1"/>
  <c r="D235" i="2"/>
  <c r="E235" i="2" s="1"/>
  <c r="D237" i="2"/>
  <c r="E237" i="2" s="1"/>
  <c r="D239" i="2"/>
  <c r="E239" i="2" s="1"/>
  <c r="D247" i="2"/>
  <c r="E247" i="2" s="1"/>
  <c r="D253" i="2"/>
  <c r="E253" i="2" s="1"/>
  <c r="D260" i="2"/>
  <c r="E260" i="2" s="1"/>
  <c r="D270" i="2"/>
  <c r="E270" i="2" s="1"/>
  <c r="D278" i="2"/>
  <c r="E278" i="2" s="1"/>
  <c r="D286" i="2"/>
  <c r="E286" i="2" s="1"/>
  <c r="D320" i="2"/>
  <c r="E320" i="2" s="1"/>
  <c r="D328" i="2"/>
  <c r="E328" i="2" s="1"/>
  <c r="D338" i="2"/>
  <c r="E338" i="2" s="1"/>
  <c r="D349" i="2"/>
  <c r="E349" i="2" s="1"/>
  <c r="D370" i="2"/>
  <c r="E370" i="2" s="1"/>
  <c r="D371" i="2"/>
  <c r="E371" i="2" s="1"/>
  <c r="D382" i="2"/>
  <c r="E382" i="2" s="1"/>
  <c r="D388" i="2"/>
  <c r="E388" i="2" s="1"/>
  <c r="D390" i="2"/>
  <c r="E390" i="2" s="1"/>
  <c r="D436" i="2"/>
  <c r="E436" i="2" s="1"/>
  <c r="D443" i="2"/>
  <c r="E443" i="2" s="1"/>
  <c r="D445" i="2"/>
  <c r="E445" i="2" s="1"/>
  <c r="D447" i="2"/>
  <c r="E447" i="2" s="1"/>
  <c r="D453" i="2"/>
  <c r="E453" i="2" s="1"/>
  <c r="D458" i="2"/>
  <c r="E458" i="2" s="1"/>
  <c r="D470" i="2"/>
  <c r="E470" i="2" s="1"/>
  <c r="D477" i="2"/>
  <c r="E477" i="2" s="1"/>
  <c r="D479" i="2"/>
  <c r="E479" i="2" s="1"/>
  <c r="D480" i="2"/>
  <c r="E480" i="2" s="1"/>
  <c r="D501" i="2"/>
  <c r="E501" i="2" s="1"/>
  <c r="D503" i="2"/>
  <c r="E503" i="2" s="1"/>
  <c r="D506" i="2"/>
  <c r="E506" i="2" s="1"/>
  <c r="D523" i="2"/>
  <c r="E523" i="2" s="1"/>
  <c r="D527" i="2"/>
  <c r="E527" i="2" s="1"/>
  <c r="D532" i="2"/>
  <c r="E532" i="2" s="1"/>
  <c r="D537" i="2"/>
  <c r="E537" i="2" s="1"/>
  <c r="D544" i="2"/>
  <c r="E544" i="2" s="1"/>
  <c r="D588" i="2"/>
  <c r="E588" i="2" s="1"/>
  <c r="D593" i="2"/>
  <c r="E593" i="2" s="1"/>
  <c r="D601" i="2"/>
  <c r="D622" i="2"/>
  <c r="E622" i="2" s="1"/>
  <c r="D631" i="2"/>
  <c r="E631" i="2" s="1"/>
  <c r="D636" i="2"/>
  <c r="E636" i="2" s="1"/>
  <c r="D648" i="2"/>
  <c r="E648" i="2" s="1"/>
  <c r="D656" i="2"/>
  <c r="E656" i="2" s="1"/>
  <c r="D657" i="2"/>
  <c r="E657" i="2" s="1"/>
  <c r="D668" i="2"/>
  <c r="E668" i="2" s="1"/>
  <c r="D674" i="2"/>
  <c r="E674" i="2" s="1"/>
  <c r="D676" i="2"/>
  <c r="E676" i="2" s="1"/>
  <c r="D690" i="2"/>
  <c r="E690" i="2" s="1"/>
  <c r="D695" i="2"/>
  <c r="E695" i="2" s="1"/>
  <c r="D703" i="2"/>
  <c r="D706" i="2"/>
  <c r="E706" i="2" s="1"/>
  <c r="D716" i="2"/>
  <c r="E716" i="2" s="1"/>
  <c r="D722" i="2"/>
  <c r="E722" i="2" s="1"/>
  <c r="D724" i="2"/>
  <c r="E724" i="2" s="1"/>
  <c r="D726" i="2"/>
  <c r="E726" i="2" s="1"/>
  <c r="D738" i="2"/>
  <c r="E738" i="2" s="1"/>
  <c r="D743" i="2"/>
  <c r="E743" i="2" s="1"/>
  <c r="D753" i="2"/>
  <c r="E753" i="2" s="1"/>
  <c r="D754" i="2"/>
  <c r="D765" i="2"/>
  <c r="E765" i="2" s="1"/>
  <c r="D768" i="2"/>
  <c r="E768" i="2" s="1"/>
  <c r="D776" i="2"/>
  <c r="E776" i="2" s="1"/>
  <c r="D778" i="2"/>
  <c r="E778" i="2" s="1"/>
  <c r="D780" i="2"/>
  <c r="E780" i="2" s="1"/>
  <c r="D784" i="2"/>
  <c r="E784" i="2" s="1"/>
  <c r="D789" i="2"/>
  <c r="E789" i="2" s="1"/>
  <c r="D795" i="2"/>
  <c r="E795" i="2" s="1"/>
  <c r="D807" i="2"/>
  <c r="E807" i="2" s="1"/>
  <c r="D816" i="2"/>
  <c r="E816" i="2" s="1"/>
  <c r="D834" i="2"/>
  <c r="E834" i="2" s="1"/>
  <c r="D835" i="2"/>
  <c r="E835" i="2" s="1"/>
  <c r="D852" i="2"/>
  <c r="E852" i="2" s="1"/>
  <c r="D861" i="2"/>
  <c r="E861" i="2" s="1"/>
  <c r="D866" i="2"/>
  <c r="E866" i="2" s="1"/>
  <c r="D886" i="2"/>
  <c r="E886" i="2" s="1"/>
  <c r="D888" i="2"/>
  <c r="E888" i="2" s="1"/>
  <c r="D897" i="2"/>
  <c r="E897" i="2" s="1"/>
  <c r="D904" i="2"/>
  <c r="E904" i="2" s="1"/>
  <c r="D908" i="2"/>
  <c r="E908" i="2" s="1"/>
  <c r="D913" i="2"/>
  <c r="E913" i="2" s="1"/>
  <c r="D915" i="2"/>
  <c r="E915" i="2" s="1"/>
  <c r="D931" i="2"/>
  <c r="E931" i="2" s="1"/>
  <c r="D966" i="2"/>
  <c r="E966" i="2" s="1"/>
  <c r="D968" i="2"/>
  <c r="E968" i="2" s="1"/>
  <c r="D977" i="2"/>
  <c r="E977" i="2" s="1"/>
  <c r="D984" i="2"/>
  <c r="E984" i="2" s="1"/>
  <c r="D1019" i="2"/>
  <c r="E1019" i="2" s="1"/>
  <c r="D1022" i="2"/>
  <c r="E1022" i="2" s="1"/>
  <c r="D1040" i="2"/>
  <c r="E1040" i="2" s="1"/>
  <c r="D1052" i="2"/>
  <c r="E1052" i="2" s="1"/>
  <c r="D1055" i="2"/>
  <c r="E1055" i="2" s="1"/>
  <c r="D1056" i="2"/>
  <c r="E1056" i="2" s="1"/>
  <c r="D1059" i="2"/>
  <c r="E1059" i="2" s="1"/>
  <c r="D1097" i="2"/>
  <c r="E1097" i="2" s="1"/>
  <c r="D1110" i="2"/>
  <c r="E1110" i="2" s="1"/>
  <c r="D1112" i="2"/>
  <c r="E1112" i="2" s="1"/>
  <c r="D1119" i="2"/>
  <c r="E1119" i="2" s="1"/>
  <c r="D1121" i="2"/>
  <c r="E1121" i="2" s="1"/>
  <c r="D1136" i="2"/>
  <c r="E1136" i="2" s="1"/>
  <c r="D1147" i="2"/>
  <c r="E1147" i="2" s="1"/>
  <c r="D1162" i="2"/>
  <c r="E1162" i="2" s="1"/>
  <c r="D1170" i="2"/>
  <c r="E1170" i="2" s="1"/>
  <c r="D1175" i="2"/>
  <c r="E1175" i="2" s="1"/>
  <c r="D1197" i="2"/>
  <c r="E1197" i="2" s="1"/>
  <c r="D1202" i="2"/>
  <c r="E1202" i="2" s="1"/>
  <c r="D1209" i="2"/>
  <c r="E1209" i="2" s="1"/>
  <c r="D1211" i="2"/>
  <c r="E1211" i="2" s="1"/>
  <c r="D1245" i="2"/>
  <c r="E1245" i="2" s="1"/>
  <c r="D1253" i="2"/>
  <c r="E1253" i="2" s="1"/>
  <c r="D1261" i="2"/>
  <c r="E1261" i="2" s="1"/>
  <c r="D1262" i="2"/>
  <c r="E1262" i="2" s="1"/>
  <c r="D1263" i="2"/>
  <c r="E1263" i="2" s="1"/>
  <c r="D1272" i="2"/>
  <c r="E1272" i="2" s="1"/>
  <c r="D1277" i="2"/>
  <c r="E1277" i="2" s="1"/>
  <c r="D1282" i="2"/>
  <c r="E1282" i="2" s="1"/>
  <c r="D1290" i="2"/>
  <c r="D1311" i="2"/>
  <c r="E1311" i="2" s="1"/>
  <c r="D1327" i="2"/>
  <c r="E1327" i="2" s="1"/>
  <c r="D1330" i="2"/>
  <c r="E1330" i="2" s="1"/>
  <c r="D1331" i="2"/>
  <c r="E1331" i="2" s="1"/>
  <c r="D1338" i="2"/>
  <c r="E1338" i="2" s="1"/>
  <c r="D1340" i="2"/>
  <c r="E1340" i="2" s="1"/>
  <c r="D1358" i="2"/>
  <c r="E1358" i="2" s="1"/>
  <c r="D1363" i="2"/>
  <c r="E1363" i="2" s="1"/>
  <c r="D1367" i="2"/>
  <c r="E1367" i="2" s="1"/>
  <c r="D1376" i="2"/>
  <c r="E1376" i="2" s="1"/>
  <c r="D1388" i="2"/>
  <c r="E1388" i="2" s="1"/>
  <c r="D1390" i="2"/>
  <c r="E1390" i="2" s="1"/>
  <c r="D1397" i="2"/>
  <c r="E1397" i="2" s="1"/>
  <c r="D1402" i="2"/>
  <c r="E1402" i="2" s="1"/>
  <c r="D1406" i="2"/>
  <c r="E1406" i="2" s="1"/>
  <c r="D1408" i="2"/>
  <c r="E1408" i="2" s="1"/>
  <c r="D1416" i="2"/>
  <c r="D1419" i="2"/>
  <c r="E1419" i="2" s="1"/>
  <c r="D1424" i="2"/>
  <c r="E1424" i="2" s="1"/>
  <c r="D1428" i="2"/>
  <c r="E1428" i="2" s="1"/>
  <c r="D1430" i="2"/>
  <c r="E1430" i="2" s="1"/>
  <c r="D1439" i="2"/>
  <c r="D1441" i="2"/>
  <c r="E1441" i="2" s="1"/>
  <c r="D1442" i="2"/>
  <c r="E1442" i="2" s="1"/>
  <c r="D1450" i="2"/>
  <c r="E1450" i="2" s="1"/>
  <c r="D1453" i="2"/>
  <c r="E1453" i="2" s="1"/>
  <c r="D1459" i="2"/>
  <c r="E1459" i="2" s="1"/>
  <c r="D1461" i="2"/>
  <c r="E1461" i="2" s="1"/>
  <c r="D1469" i="2"/>
  <c r="E1469" i="2" s="1"/>
  <c r="D1478" i="2"/>
  <c r="E1478" i="2" s="1"/>
  <c r="D1479" i="2"/>
  <c r="E1479" i="2" s="1"/>
  <c r="D1497" i="2"/>
  <c r="E1497" i="2" s="1"/>
  <c r="D1502" i="2"/>
  <c r="E1502" i="2" s="1"/>
  <c r="D1508" i="2"/>
  <c r="E1508" i="2" s="1"/>
  <c r="D1517" i="2"/>
  <c r="D1519" i="2"/>
  <c r="E1519" i="2" s="1"/>
  <c r="D1524" i="2"/>
  <c r="E1524" i="2" s="1"/>
  <c r="D1530" i="2"/>
  <c r="E1530" i="2" s="1"/>
  <c r="D1554" i="2"/>
  <c r="E1554" i="2" s="1"/>
  <c r="D1563" i="2"/>
  <c r="E1563" i="2" s="1"/>
  <c r="D1564" i="2"/>
  <c r="E1564" i="2" s="1"/>
  <c r="D1565" i="2"/>
  <c r="D1567" i="2"/>
  <c r="E1567" i="2" s="1"/>
  <c r="D1576" i="2"/>
  <c r="E1576" i="2" s="1"/>
  <c r="D1582" i="2"/>
  <c r="E1582" i="2" s="1"/>
  <c r="D1612" i="2"/>
  <c r="E1612" i="2" s="1"/>
  <c r="D1641" i="2"/>
  <c r="E1641" i="2" s="1"/>
  <c r="D1653" i="2"/>
  <c r="E1653" i="2" s="1"/>
  <c r="D1656" i="2"/>
  <c r="E1656" i="2" s="1"/>
  <c r="D1662" i="2"/>
  <c r="E1662" i="2" s="1"/>
  <c r="D1675" i="2"/>
  <c r="E1675" i="2" s="1"/>
  <c r="D1680" i="2"/>
  <c r="E1680" i="2" s="1"/>
  <c r="D1687" i="2"/>
  <c r="E1687" i="2" s="1"/>
  <c r="D1697" i="2"/>
  <c r="E1697" i="2" s="1"/>
  <c r="D1702" i="2"/>
  <c r="E1702" i="2" s="1"/>
  <c r="D1706" i="2"/>
  <c r="E1706" i="2" s="1"/>
  <c r="D1708" i="2"/>
  <c r="E1708" i="2" s="1"/>
  <c r="D1717" i="2"/>
  <c r="D1720" i="2"/>
  <c r="E1720" i="2" s="1"/>
  <c r="D1731" i="2"/>
  <c r="E1731" i="2" s="1"/>
  <c r="D1737" i="2"/>
  <c r="E1737" i="2" s="1"/>
  <c r="D1739" i="2"/>
  <c r="E1739" i="2" s="1"/>
  <c r="D1774" i="2"/>
  <c r="E1774" i="2" s="1"/>
  <c r="D1779" i="2"/>
  <c r="E1779" i="2" s="1"/>
  <c r="D1783" i="2"/>
  <c r="E1783" i="2" s="1"/>
  <c r="D1785" i="2"/>
  <c r="E1785" i="2" s="1"/>
  <c r="D1793" i="2"/>
  <c r="D1814" i="2"/>
  <c r="E1814" i="2" s="1"/>
  <c r="D1849" i="2"/>
  <c r="E1849" i="2" s="1"/>
  <c r="D1854" i="2"/>
  <c r="E1854" i="2" s="1"/>
  <c r="D1858" i="2"/>
  <c r="E1858" i="2" s="1"/>
  <c r="D1860" i="2"/>
  <c r="E1860" i="2" s="1"/>
  <c r="D1869" i="2"/>
  <c r="D1875" i="2"/>
  <c r="E1875" i="2" s="1"/>
  <c r="D1890" i="2"/>
  <c r="E1890" i="2" s="1"/>
  <c r="D1917" i="2"/>
  <c r="E1917" i="2" s="1"/>
  <c r="D1925" i="2"/>
  <c r="E1925" i="2" s="1"/>
  <c r="D1930" i="2"/>
  <c r="E1930" i="2" s="1"/>
  <c r="D1934" i="2"/>
  <c r="E1934" i="2" s="1"/>
  <c r="D1936" i="2"/>
  <c r="E1936" i="2" s="1"/>
  <c r="D1945" i="2"/>
  <c r="D1992" i="2"/>
  <c r="E1992" i="2" s="1"/>
  <c r="D2020" i="2"/>
  <c r="E2020" i="2" s="1"/>
  <c r="D2034" i="2"/>
  <c r="E2034" i="2" s="1"/>
  <c r="D2037" i="2"/>
  <c r="E2037" i="2" s="1"/>
  <c r="D2039" i="2"/>
  <c r="E2039" i="2" s="1"/>
  <c r="D2047" i="2"/>
  <c r="D2049" i="2"/>
  <c r="E2049" i="2" s="1"/>
  <c r="D2050" i="2"/>
  <c r="E2050" i="2" s="1"/>
  <c r="D2058" i="2"/>
  <c r="E2058" i="2" s="1"/>
  <c r="D2068" i="2"/>
  <c r="E2068" i="2" s="1"/>
  <c r="D2077" i="2"/>
  <c r="E2077" i="2" s="1"/>
  <c r="D2079" i="2"/>
  <c r="E2079" i="2" s="1"/>
  <c r="D2093" i="2"/>
  <c r="E2093" i="2" s="1"/>
  <c r="D2101" i="2"/>
  <c r="E2101" i="2" s="1"/>
  <c r="D2106" i="2"/>
  <c r="E2106" i="2" s="1"/>
  <c r="D2112" i="2"/>
  <c r="E2112" i="2" s="1"/>
  <c r="D2118" i="2"/>
  <c r="E2118" i="2" s="1"/>
  <c r="D2129" i="2"/>
  <c r="E2129" i="2" s="1"/>
  <c r="D2141" i="2"/>
  <c r="E2141" i="2" s="1"/>
  <c r="D2158" i="2"/>
  <c r="E2158" i="2" s="1"/>
  <c r="D2161" i="2"/>
  <c r="E2161" i="2" s="1"/>
  <c r="D2162" i="2"/>
  <c r="E2162" i="2" s="1"/>
  <c r="D2167" i="2"/>
  <c r="E2167" i="2" s="1"/>
  <c r="D2176" i="2"/>
  <c r="E2176" i="2" s="1"/>
  <c r="D2182" i="2"/>
  <c r="E2182" i="2" s="1"/>
  <c r="D2188" i="2"/>
  <c r="E2188" i="2" s="1"/>
  <c r="D2204" i="2"/>
  <c r="E2204" i="2" s="1"/>
  <c r="D2209" i="2"/>
  <c r="E2209" i="2" s="1"/>
  <c r="D2216" i="2"/>
  <c r="E2216" i="2" s="1"/>
  <c r="D2226" i="2"/>
  <c r="E2226" i="2" s="1"/>
  <c r="D2237" i="2"/>
  <c r="E2237" i="2" s="1"/>
  <c r="D2245" i="2"/>
  <c r="E2245" i="2" s="1"/>
  <c r="D2254" i="2"/>
  <c r="E2254" i="2" s="1"/>
  <c r="D2262" i="2"/>
  <c r="E2262" i="2" s="1"/>
  <c r="D2288" i="2"/>
  <c r="E2288" i="2" s="1"/>
  <c r="D2292" i="2"/>
  <c r="E2292" i="2" s="1"/>
  <c r="D2297" i="2"/>
  <c r="E2297" i="2" s="1"/>
  <c r="D2301" i="2"/>
  <c r="E2301" i="2" s="1"/>
  <c r="D2306" i="2"/>
  <c r="E2306" i="2" s="1"/>
  <c r="D2311" i="2"/>
  <c r="E2311" i="2" s="1"/>
  <c r="D2317" i="2"/>
  <c r="E2317" i="2" s="1"/>
  <c r="D2323" i="2"/>
  <c r="E2323" i="2" s="1"/>
  <c r="D2334" i="2"/>
  <c r="E2334" i="2" s="1"/>
  <c r="D2339" i="2"/>
  <c r="E2339" i="2" s="1"/>
  <c r="D2346" i="2"/>
  <c r="E2346" i="2" s="1"/>
  <c r="D2355" i="2"/>
  <c r="E2355" i="2" s="1"/>
  <c r="D2362" i="2"/>
  <c r="E2362" i="2" s="1"/>
  <c r="D2374" i="2"/>
  <c r="E2374" i="2" s="1"/>
  <c r="D2381" i="2"/>
  <c r="E2381" i="2" s="1"/>
  <c r="D2382" i="2"/>
  <c r="E2382" i="2" s="1"/>
  <c r="D2390" i="2"/>
  <c r="E2390" i="2" s="1"/>
  <c r="D2393" i="2"/>
  <c r="E2393" i="2" s="1"/>
  <c r="D2410" i="2"/>
  <c r="E2410" i="2" s="1"/>
  <c r="D2418" i="2"/>
  <c r="E2418" i="2" s="1"/>
  <c r="D2427" i="2"/>
  <c r="E2427" i="2" s="1"/>
  <c r="D2439" i="2"/>
  <c r="E2439" i="2" s="1"/>
  <c r="D2444" i="2"/>
  <c r="E2444" i="2" s="1"/>
  <c r="D2451" i="2"/>
  <c r="E2451" i="2" s="1"/>
  <c r="D2486" i="2"/>
  <c r="E2486" i="2" s="1"/>
  <c r="D2493" i="2"/>
  <c r="E2493" i="2" s="1"/>
  <c r="D2505" i="2"/>
  <c r="E2505" i="2" s="1"/>
  <c r="D2530" i="2"/>
  <c r="E2530" i="2" s="1"/>
  <c r="D2557" i="2"/>
  <c r="E2557" i="2" s="1"/>
  <c r="D2564" i="2"/>
  <c r="E2564" i="2" s="1"/>
  <c r="D2584" i="2"/>
  <c r="E2584" i="2" s="1"/>
  <c r="D2626" i="2"/>
  <c r="E2626" i="2" s="1"/>
  <c r="D2630" i="2"/>
  <c r="E2630" i="2" s="1"/>
  <c r="D2635" i="2"/>
  <c r="E2635" i="2" s="1"/>
  <c r="D2644" i="2"/>
  <c r="E2644" i="2" s="1"/>
  <c r="D2650" i="2"/>
  <c r="E2650" i="2" s="1"/>
  <c r="D2656" i="2"/>
  <c r="E2656" i="2" s="1"/>
  <c r="D2662" i="2"/>
  <c r="E2662" i="2" s="1"/>
  <c r="D2669" i="2"/>
  <c r="E2669" i="2" s="1"/>
  <c r="D2675" i="2"/>
  <c r="E2675" i="2" s="1"/>
  <c r="D2687" i="2"/>
  <c r="E2687" i="2" s="1"/>
  <c r="D2713" i="2"/>
  <c r="E2713" i="2" s="1"/>
  <c r="D2739" i="2"/>
  <c r="E2739" i="2" s="1"/>
  <c r="D2766" i="2"/>
  <c r="E2766" i="2" s="1"/>
  <c r="D2793" i="2"/>
  <c r="E2793" i="2" s="1"/>
  <c r="D2819" i="2"/>
  <c r="E2819" i="2" s="1"/>
  <c r="S6" i="4"/>
  <c r="B21" i="4"/>
  <c r="C6" i="4"/>
  <c r="B33" i="4"/>
  <c r="I13" i="4"/>
  <c r="B6" i="4"/>
  <c r="E4" i="3" l="1"/>
  <c r="E8" i="3" a="1"/>
  <c r="E8" i="3" s="1"/>
  <c r="AA4" i="3"/>
  <c r="AA8" i="3" a="1"/>
  <c r="AA8" i="3" s="1"/>
  <c r="E2" i="2"/>
  <c r="F4" i="3" l="1"/>
  <c r="D2" i="3" s="1"/>
  <c r="F8" i="3" a="1"/>
  <c r="F8" i="3" s="1"/>
  <c r="D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E040BB-9FB9-42AE-B127-7AD1F05B5126}" keepAlive="1" name="Query - sales_data_sample" description="Connection to the 'sales_data_sample' query in the workbook." type="5" refreshedVersion="8" background="1" saveData="1">
    <dbPr connection="Provider=Microsoft.Mashup.OleDb.1;Data Source=$Workbook$;Location=sales_data_sample;Extended Properties=&quot;&quot;" command="SELECT * FROM [sales_data_sampl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<sst xmlns="http://schemas.openxmlformats.org/spreadsheetml/2006/main" count="45318" uniqueCount="1039">
  <si>
    <t>ORDERNUMBER</t>
  </si>
  <si>
    <t>QUANTITYORDERED</t>
  </si>
  <si>
    <t>PRICEEACH</t>
  </si>
  <si>
    <t>ORDERLINENUMBER</t>
  </si>
  <si>
    <t>SALES</t>
  </si>
  <si>
    <t>ORDERDATE</t>
  </si>
  <si>
    <t>STATUS</t>
  </si>
  <si>
    <t>QTR_ID</t>
  </si>
  <si>
    <t>MONTH_ID</t>
  </si>
  <si>
    <t>YEAR_ID</t>
  </si>
  <si>
    <t>PRODUCTLINE</t>
  </si>
  <si>
    <t>MSRP</t>
  </si>
  <si>
    <t>PRODUCTCODE</t>
  </si>
  <si>
    <t>CUSTOMERNAME</t>
  </si>
  <si>
    <t>PHONE</t>
  </si>
  <si>
    <t>ADDRESSLINE1</t>
  </si>
  <si>
    <t>ADDRESSLINE2</t>
  </si>
  <si>
    <t>CITY</t>
  </si>
  <si>
    <t>STATE</t>
  </si>
  <si>
    <t>POSTALCODE</t>
  </si>
  <si>
    <t>COUNTRY</t>
  </si>
  <si>
    <t>TERRITORY</t>
  </si>
  <si>
    <t>CONTACTLASTNAME</t>
  </si>
  <si>
    <t>CONTACTFIRSTNAME</t>
  </si>
  <si>
    <t>DEALSIZE</t>
  </si>
  <si>
    <t>2/24/2003 0:00</t>
  </si>
  <si>
    <t>Shipped</t>
  </si>
  <si>
    <t>Motorcycles</t>
  </si>
  <si>
    <t>S10_1678</t>
  </si>
  <si>
    <t>Land of Toys Inc.</t>
  </si>
  <si>
    <t>2125557818</t>
  </si>
  <si>
    <t>897 Long Airport Avenue</t>
  </si>
  <si>
    <t/>
  </si>
  <si>
    <t>NYC</t>
  </si>
  <si>
    <t>NY</t>
  </si>
  <si>
    <t>10022</t>
  </si>
  <si>
    <t>USA</t>
  </si>
  <si>
    <t>NA</t>
  </si>
  <si>
    <t>Yu</t>
  </si>
  <si>
    <t>Kwai</t>
  </si>
  <si>
    <t>Small</t>
  </si>
  <si>
    <t>5/7/2003 0:00</t>
  </si>
  <si>
    <t>Reims Collectables</t>
  </si>
  <si>
    <t>26.47.1555</t>
  </si>
  <si>
    <t>59 rue de l'Abbaye</t>
  </si>
  <si>
    <t>Reims</t>
  </si>
  <si>
    <t>51100</t>
  </si>
  <si>
    <t>France</t>
  </si>
  <si>
    <t>EMEA</t>
  </si>
  <si>
    <t>Henriot</t>
  </si>
  <si>
    <t>Paul</t>
  </si>
  <si>
    <t>7/1/2003 0:00</t>
  </si>
  <si>
    <t>Lyon Souveniers</t>
  </si>
  <si>
    <t>+33 1 46 62 7555</t>
  </si>
  <si>
    <t>27 rue du Colonel Pierre Avia</t>
  </si>
  <si>
    <t>Paris</t>
  </si>
  <si>
    <t>75508</t>
  </si>
  <si>
    <t>Da Cunha</t>
  </si>
  <si>
    <t>Daniel</t>
  </si>
  <si>
    <t>Medium</t>
  </si>
  <si>
    <t>8/25/2003 0:00</t>
  </si>
  <si>
    <t>Toys4GrownUps.com</t>
  </si>
  <si>
    <t>6265557265</t>
  </si>
  <si>
    <t>78934 Hillside Dr.</t>
  </si>
  <si>
    <t>Pasadena</t>
  </si>
  <si>
    <t>CA</t>
  </si>
  <si>
    <t>90003</t>
  </si>
  <si>
    <t>Young</t>
  </si>
  <si>
    <t>Julie</t>
  </si>
  <si>
    <t>10/10/2003 0:00</t>
  </si>
  <si>
    <t>Corporate Gift Ideas Co.</t>
  </si>
  <si>
    <t>6505551386</t>
  </si>
  <si>
    <t>7734 Strong St.</t>
  </si>
  <si>
    <t>San Francisco</t>
  </si>
  <si>
    <t>Brown</t>
  </si>
  <si>
    <t>10/28/2003 0:00</t>
  </si>
  <si>
    <t>Technics Stores Inc.</t>
  </si>
  <si>
    <t>6505556809</t>
  </si>
  <si>
    <t>9408 Furth Circle</t>
  </si>
  <si>
    <t>Burlingame</t>
  </si>
  <si>
    <t>94217</t>
  </si>
  <si>
    <t>Hirano</t>
  </si>
  <si>
    <t>Juri</t>
  </si>
  <si>
    <t>11/11/2003 0:00</t>
  </si>
  <si>
    <t>Daedalus Designs Imports</t>
  </si>
  <si>
    <t>20.16.1555</t>
  </si>
  <si>
    <t>184, chausse de Tournai</t>
  </si>
  <si>
    <t>Lille</t>
  </si>
  <si>
    <t>59000</t>
  </si>
  <si>
    <t>Rance</t>
  </si>
  <si>
    <t>Martine</t>
  </si>
  <si>
    <t>11/18/2003 0:00</t>
  </si>
  <si>
    <t>Herkku Gifts</t>
  </si>
  <si>
    <t>+47 2267 3215</t>
  </si>
  <si>
    <t>Drammen 121, PR 744 Sentrum</t>
  </si>
  <si>
    <t>Bergen</t>
  </si>
  <si>
    <t>N 5804</t>
  </si>
  <si>
    <t>Norway</t>
  </si>
  <si>
    <t>Oeztan</t>
  </si>
  <si>
    <t>Veysel</t>
  </si>
  <si>
    <t>12/1/2003 0:00</t>
  </si>
  <si>
    <t>Mini Wheels Co.</t>
  </si>
  <si>
    <t>6505555787</t>
  </si>
  <si>
    <t>5557 North Pendale Street</t>
  </si>
  <si>
    <t>Murphy</t>
  </si>
  <si>
    <t>1/15/2004 0:00</t>
  </si>
  <si>
    <t>Auto Canal Petit</t>
  </si>
  <si>
    <t>(1) 47.55.6555</t>
  </si>
  <si>
    <t>25, rue Lauriston</t>
  </si>
  <si>
    <t>75016</t>
  </si>
  <si>
    <t>Perrier</t>
  </si>
  <si>
    <t>Dominique</t>
  </si>
  <si>
    <t>2/20/2004 0:00</t>
  </si>
  <si>
    <t>Australian Collectors, Co.</t>
  </si>
  <si>
    <t>03 9520 4555</t>
  </si>
  <si>
    <t>636 St Kilda Road</t>
  </si>
  <si>
    <t>Level 3</t>
  </si>
  <si>
    <t>Melbourne</t>
  </si>
  <si>
    <t>Victoria</t>
  </si>
  <si>
    <t>3004</t>
  </si>
  <si>
    <t>Australia</t>
  </si>
  <si>
    <t>APAC</t>
  </si>
  <si>
    <t>Ferguson</t>
  </si>
  <si>
    <t>Peter</t>
  </si>
  <si>
    <t>4/5/2004 0:00</t>
  </si>
  <si>
    <t>Vitachrome Inc.</t>
  </si>
  <si>
    <t>2125551500</t>
  </si>
  <si>
    <t>2678 Kingston Rd.</t>
  </si>
  <si>
    <t>Suite 101</t>
  </si>
  <si>
    <t>Frick</t>
  </si>
  <si>
    <t>Michael</t>
  </si>
  <si>
    <t>5/18/2004 0:00</t>
  </si>
  <si>
    <t>Tekni Collectables Inc.</t>
  </si>
  <si>
    <t>2015559350</t>
  </si>
  <si>
    <t>7476 Moss Rd.</t>
  </si>
  <si>
    <t>Newark</t>
  </si>
  <si>
    <t>NJ</t>
  </si>
  <si>
    <t>94019</t>
  </si>
  <si>
    <t>William</t>
  </si>
  <si>
    <t>6/28/2004 0:00</t>
  </si>
  <si>
    <t>Gift Depot Inc.</t>
  </si>
  <si>
    <t>2035552570</t>
  </si>
  <si>
    <t>25593 South Bay Ln.</t>
  </si>
  <si>
    <t>Bridgewater</t>
  </si>
  <si>
    <t>CT</t>
  </si>
  <si>
    <t>97562</t>
  </si>
  <si>
    <t>King</t>
  </si>
  <si>
    <t>7/23/2004 0:00</t>
  </si>
  <si>
    <t>La Rochelle Gifts</t>
  </si>
  <si>
    <t>40.67.8555</t>
  </si>
  <si>
    <t>67, rue des Cinquante Otages</t>
  </si>
  <si>
    <t>Nantes</t>
  </si>
  <si>
    <t>44000</t>
  </si>
  <si>
    <t>Labrune</t>
  </si>
  <si>
    <t>Janine</t>
  </si>
  <si>
    <t>8/27/2004 0:00</t>
  </si>
  <si>
    <t>Marta's Replicas Co.</t>
  </si>
  <si>
    <t>6175558555</t>
  </si>
  <si>
    <t>39323 Spinnaker Dr.</t>
  </si>
  <si>
    <t>Cambridge</t>
  </si>
  <si>
    <t>MA</t>
  </si>
  <si>
    <t>51247</t>
  </si>
  <si>
    <t>Hernandez</t>
  </si>
  <si>
    <t>Marta</t>
  </si>
  <si>
    <t>9/30/2004 0:00</t>
  </si>
  <si>
    <t>Toys of Finland, Co.</t>
  </si>
  <si>
    <t>90-224 8555</t>
  </si>
  <si>
    <t>Keskuskatu 45</t>
  </si>
  <si>
    <t>Helsinki</t>
  </si>
  <si>
    <t>21240</t>
  </si>
  <si>
    <t>Finland</t>
  </si>
  <si>
    <t>Karttunen</t>
  </si>
  <si>
    <t>Matti</t>
  </si>
  <si>
    <t>10/15/2004 0:00</t>
  </si>
  <si>
    <t>Baane Mini Imports</t>
  </si>
  <si>
    <t>07-98 9555</t>
  </si>
  <si>
    <t>Erling Skakkes gate 78</t>
  </si>
  <si>
    <t>Stavern</t>
  </si>
  <si>
    <t>4110</t>
  </si>
  <si>
    <t>Bergulfsen</t>
  </si>
  <si>
    <t>Jonas</t>
  </si>
  <si>
    <t>11/2/2004 0:00</t>
  </si>
  <si>
    <t>Diecast Classics Inc.</t>
  </si>
  <si>
    <t>2155551555</t>
  </si>
  <si>
    <t>7586 Pompton St.</t>
  </si>
  <si>
    <t>Allentown</t>
  </si>
  <si>
    <t>PA</t>
  </si>
  <si>
    <t>70267</t>
  </si>
  <si>
    <t>Kyung</t>
  </si>
  <si>
    <t>11/15/2004 0:00</t>
  </si>
  <si>
    <t>11/24/2004 0:00</t>
  </si>
  <si>
    <t>Salzburg Collectables</t>
  </si>
  <si>
    <t>6562-9555</t>
  </si>
  <si>
    <t>Geislweg 14</t>
  </si>
  <si>
    <t>Salzburg</t>
  </si>
  <si>
    <t>5020</t>
  </si>
  <si>
    <t>Austria</t>
  </si>
  <si>
    <t>Pipps</t>
  </si>
  <si>
    <t>Georg</t>
  </si>
  <si>
    <t>Large</t>
  </si>
  <si>
    <t>12/17/2004 0:00</t>
  </si>
  <si>
    <t>Souveniers And Things Co.</t>
  </si>
  <si>
    <t>+61 2 9495 8555</t>
  </si>
  <si>
    <t>Monitor Money Building, 815 Pacific Hwy</t>
  </si>
  <si>
    <t>Level 6</t>
  </si>
  <si>
    <t>Chatswood</t>
  </si>
  <si>
    <t>NSW</t>
  </si>
  <si>
    <t>2067</t>
  </si>
  <si>
    <t>Huxley</t>
  </si>
  <si>
    <t>Adrian</t>
  </si>
  <si>
    <t>2/3/2005 0:00</t>
  </si>
  <si>
    <t>3/3/2005 0:00</t>
  </si>
  <si>
    <t>FunGiftIdeas.com</t>
  </si>
  <si>
    <t>5085552555</t>
  </si>
  <si>
    <t>1785 First Street</t>
  </si>
  <si>
    <t>New Bedford</t>
  </si>
  <si>
    <t>50553</t>
  </si>
  <si>
    <t>Benitez</t>
  </si>
  <si>
    <t>Violeta</t>
  </si>
  <si>
    <t>4/8/2005 0:00</t>
  </si>
  <si>
    <t>UK Collectables, Ltd.</t>
  </si>
  <si>
    <t>(171) 555-2282</t>
  </si>
  <si>
    <t>Berkeley Gardens 12  Brewery</t>
  </si>
  <si>
    <t>Liverpool</t>
  </si>
  <si>
    <t>WX1 6LT</t>
  </si>
  <si>
    <t>UK</t>
  </si>
  <si>
    <t>Devon</t>
  </si>
  <si>
    <t>Elizabeth</t>
  </si>
  <si>
    <t>5/13/2005 0:00</t>
  </si>
  <si>
    <t>Disputed</t>
  </si>
  <si>
    <t>Euro Shopping Channel</t>
  </si>
  <si>
    <t>(91) 555 94 44</t>
  </si>
  <si>
    <t>C/ Moralzarzal, 86</t>
  </si>
  <si>
    <t>Madrid</t>
  </si>
  <si>
    <t>28034</t>
  </si>
  <si>
    <t>Spain</t>
  </si>
  <si>
    <t>Freyre</t>
  </si>
  <si>
    <t>Diego</t>
  </si>
  <si>
    <t>1/29/2003 0:00</t>
  </si>
  <si>
    <t>Classic Cars</t>
  </si>
  <si>
    <t>S10_1949</t>
  </si>
  <si>
    <t>3/24/2003 0:00</t>
  </si>
  <si>
    <t>Volvo Model Replicas, Co</t>
  </si>
  <si>
    <t>0921-12 3555</t>
  </si>
  <si>
    <t>Berguvsv„gen  8</t>
  </si>
  <si>
    <t>Lule</t>
  </si>
  <si>
    <t>S-958 22</t>
  </si>
  <si>
    <t>Sweden</t>
  </si>
  <si>
    <t>Berglund</t>
  </si>
  <si>
    <t>Christina</t>
  </si>
  <si>
    <t>5/28/2003 0:00</t>
  </si>
  <si>
    <t>Corrida Auto Replicas, Ltd</t>
  </si>
  <si>
    <t>(91) 555 22 82</t>
  </si>
  <si>
    <t>C/ Araquil, 67</t>
  </si>
  <si>
    <t>28023</t>
  </si>
  <si>
    <t>Sommer</t>
  </si>
  <si>
    <t>Mart¡n</t>
  </si>
  <si>
    <t>7/24/2003 0:00</t>
  </si>
  <si>
    <t>9/19/2003 0:00</t>
  </si>
  <si>
    <t>Dragon Souveniers, Ltd.</t>
  </si>
  <si>
    <t>+65 221 7555</t>
  </si>
  <si>
    <t>Bronz Sok., Bronz Apt. 3/6 Tesvikiye</t>
  </si>
  <si>
    <t>Singapore</t>
  </si>
  <si>
    <t>79903</t>
  </si>
  <si>
    <t>Japan</t>
  </si>
  <si>
    <t>Natividad</t>
  </si>
  <si>
    <t>Eric</t>
  </si>
  <si>
    <t>10/20/2003 0:00</t>
  </si>
  <si>
    <t>Classic Legends Inc.</t>
  </si>
  <si>
    <t>2125558493</t>
  </si>
  <si>
    <t>5905 Pompton St.</t>
  </si>
  <si>
    <t>Suite 750</t>
  </si>
  <si>
    <t>Maria</t>
  </si>
  <si>
    <t>11/6/2003 0:00</t>
  </si>
  <si>
    <t>Australian Gift Network, Co</t>
  </si>
  <si>
    <t>61-7-3844-6555</t>
  </si>
  <si>
    <t>31 Duncan St. West End</t>
  </si>
  <si>
    <t>South Brisbane</t>
  </si>
  <si>
    <t>Queensland</t>
  </si>
  <si>
    <t>4101</t>
  </si>
  <si>
    <t>Calaghan</t>
  </si>
  <si>
    <t>Tony</t>
  </si>
  <si>
    <t>11/13/2003 0:00</t>
  </si>
  <si>
    <t>Classic Gift Ideas, Inc</t>
  </si>
  <si>
    <t>2155554695</t>
  </si>
  <si>
    <t>782 First Street</t>
  </si>
  <si>
    <t>Philadelphia</t>
  </si>
  <si>
    <t>71270</t>
  </si>
  <si>
    <t>Cervantes</t>
  </si>
  <si>
    <t>Francisca</t>
  </si>
  <si>
    <t>11/25/2003 0:00</t>
  </si>
  <si>
    <t>Saveley &amp; Henriot, Co.</t>
  </si>
  <si>
    <t>78.32.5555</t>
  </si>
  <si>
    <t>2, rue du Commerce</t>
  </si>
  <si>
    <t>Lyon</t>
  </si>
  <si>
    <t>69004</t>
  </si>
  <si>
    <t>Saveley</t>
  </si>
  <si>
    <t>Mary</t>
  </si>
  <si>
    <t>12/5/2003 0:00</t>
  </si>
  <si>
    <t>Canadian Gift Exchange Network</t>
  </si>
  <si>
    <t>(604) 555-3392</t>
  </si>
  <si>
    <t>1900 Oak St.</t>
  </si>
  <si>
    <t>Vancouver</t>
  </si>
  <si>
    <t>BC</t>
  </si>
  <si>
    <t>V3F 2K1</t>
  </si>
  <si>
    <t>Canada</t>
  </si>
  <si>
    <t>Tannamuri</t>
  </si>
  <si>
    <t>Yoshi</t>
  </si>
  <si>
    <t>1/29/2004 0:00</t>
  </si>
  <si>
    <t>West Coast Collectables Co.</t>
  </si>
  <si>
    <t>3105553722</t>
  </si>
  <si>
    <t>3675 Furth Circle</t>
  </si>
  <si>
    <t>Burbank</t>
  </si>
  <si>
    <t>Thompson</t>
  </si>
  <si>
    <t>Steve</t>
  </si>
  <si>
    <t>3/10/2004 0:00</t>
  </si>
  <si>
    <t>Cambridge Collectables Co.</t>
  </si>
  <si>
    <t>6175555555</t>
  </si>
  <si>
    <t>4658 Baden Av.</t>
  </si>
  <si>
    <t>Tseng</t>
  </si>
  <si>
    <t>5/4/2004 0:00</t>
  </si>
  <si>
    <t>Super Scale Inc.</t>
  </si>
  <si>
    <t>2035559545</t>
  </si>
  <si>
    <t>567 North Pendale Street</t>
  </si>
  <si>
    <t>New Haven</t>
  </si>
  <si>
    <t>97823</t>
  </si>
  <si>
    <t>Leslie</t>
  </si>
  <si>
    <t>6/15/2004 0:00</t>
  </si>
  <si>
    <t>Tokyo Collectables, Ltd</t>
  </si>
  <si>
    <t>+81 3 3584 0555</t>
  </si>
  <si>
    <t>2-2-8 Roppongi</t>
  </si>
  <si>
    <t>Minato-ku</t>
  </si>
  <si>
    <t>Tokyo</t>
  </si>
  <si>
    <t>106-0032</t>
  </si>
  <si>
    <t>Shimamura</t>
  </si>
  <si>
    <t>Akiko</t>
  </si>
  <si>
    <t>7/19/2004 0:00</t>
  </si>
  <si>
    <t>8/17/2004 0:00</t>
  </si>
  <si>
    <t>Amica Models &amp; Co.</t>
  </si>
  <si>
    <t>011-4988555</t>
  </si>
  <si>
    <t>Via Monte Bianco 34</t>
  </si>
  <si>
    <t>Torino</t>
  </si>
  <si>
    <t>10100</t>
  </si>
  <si>
    <t>Italy</t>
  </si>
  <si>
    <t>Accorti</t>
  </si>
  <si>
    <t>Paolo</t>
  </si>
  <si>
    <t>9/8/2004 0:00</t>
  </si>
  <si>
    <t>Scandinavian Gift Ideas</t>
  </si>
  <si>
    <t>0695-34 6555</t>
  </si>
  <si>
    <t>?kergatan 24</t>
  </si>
  <si>
    <t>Boras</t>
  </si>
  <si>
    <t>S-844 67</t>
  </si>
  <si>
    <t>Larsson</t>
  </si>
  <si>
    <t>10/11/2004 0:00</t>
  </si>
  <si>
    <t>Auto Assoc. &amp; Cie.</t>
  </si>
  <si>
    <t>30.59.8555</t>
  </si>
  <si>
    <t>67, avenue de l'Europe</t>
  </si>
  <si>
    <t>Versailles</t>
  </si>
  <si>
    <t>78000</t>
  </si>
  <si>
    <t>Tonini</t>
  </si>
  <si>
    <t>10/21/2004 0:00</t>
  </si>
  <si>
    <t>Mini Gifts Distributors Ltd.</t>
  </si>
  <si>
    <t>4155551450</t>
  </si>
  <si>
    <t>5677 Strong St.</t>
  </si>
  <si>
    <t>San Rafael</t>
  </si>
  <si>
    <t>Nelson</t>
  </si>
  <si>
    <t>Valarie</t>
  </si>
  <si>
    <t>11/4/2004 0:00</t>
  </si>
  <si>
    <t>Online Diecast Creations Co.</t>
  </si>
  <si>
    <t>6035558647</t>
  </si>
  <si>
    <t>2304 Long Airport Avenue</t>
  </si>
  <si>
    <t>Nashua</t>
  </si>
  <si>
    <t>NH</t>
  </si>
  <si>
    <t>62005</t>
  </si>
  <si>
    <t>11/18/2004 0:00</t>
  </si>
  <si>
    <t>11/29/2004 0:00</t>
  </si>
  <si>
    <t>12/10/2004 0:00</t>
  </si>
  <si>
    <t>1/20/2005 0:00</t>
  </si>
  <si>
    <t>Collectables For Less Inc.</t>
  </si>
  <si>
    <t>7825 Douglas Av.</t>
  </si>
  <si>
    <t>Brickhaven</t>
  </si>
  <si>
    <t>58339</t>
  </si>
  <si>
    <t>Allen</t>
  </si>
  <si>
    <t>2/17/2005 0:00</t>
  </si>
  <si>
    <t>3/9/2005 0:00</t>
  </si>
  <si>
    <t>Anna's Decorations, Ltd</t>
  </si>
  <si>
    <t>02 9936 8555</t>
  </si>
  <si>
    <t>201 Miller Street</t>
  </si>
  <si>
    <t>Level 15</t>
  </si>
  <si>
    <t>North Sydney</t>
  </si>
  <si>
    <t>2060</t>
  </si>
  <si>
    <t>O'Hara</t>
  </si>
  <si>
    <t>Anna</t>
  </si>
  <si>
    <t>5/1/2005 0:00</t>
  </si>
  <si>
    <t>Quebec Home Shopping Network</t>
  </si>
  <si>
    <t>(514) 555-8054</t>
  </si>
  <si>
    <t>43 rue St. Laurent</t>
  </si>
  <si>
    <t>Montreal</t>
  </si>
  <si>
    <t>Quebec</t>
  </si>
  <si>
    <t>H1J 1C3</t>
  </si>
  <si>
    <t>Fresnisre</t>
  </si>
  <si>
    <t>Jean</t>
  </si>
  <si>
    <t>5/31/2005 0:00</t>
  </si>
  <si>
    <t>In Process</t>
  </si>
  <si>
    <t>S10_2016</t>
  </si>
  <si>
    <t>4/29/2003 0:00</t>
  </si>
  <si>
    <t>1/12/2004 0:00</t>
  </si>
  <si>
    <t>Osaka Souveniers Co.</t>
  </si>
  <si>
    <t>+81 06 6342 5555</t>
  </si>
  <si>
    <t>Dojima Avanza 4F, 1-6-20 Dojima, Kita-ku</t>
  </si>
  <si>
    <t>Osaka</t>
  </si>
  <si>
    <t>530-0003</t>
  </si>
  <si>
    <t>Kentary</t>
  </si>
  <si>
    <t>Mory</t>
  </si>
  <si>
    <t>4/3/2004 0:00</t>
  </si>
  <si>
    <t>Motor Mint Distributors Inc.</t>
  </si>
  <si>
    <t>2155559857</t>
  </si>
  <si>
    <t>11328 Douglas Av.</t>
  </si>
  <si>
    <t>Rosa</t>
  </si>
  <si>
    <t>9/27/2004 0:00</t>
  </si>
  <si>
    <t>Atelier graphique</t>
  </si>
  <si>
    <t>40.32.2555</t>
  </si>
  <si>
    <t>54, rue Royale</t>
  </si>
  <si>
    <t>Schmitt</t>
  </si>
  <si>
    <t>Carine</t>
  </si>
  <si>
    <t>Mini Classics</t>
  </si>
  <si>
    <t>9145554562</t>
  </si>
  <si>
    <t>3758 North Pendale Street</t>
  </si>
  <si>
    <t>White Plains</t>
  </si>
  <si>
    <t>24067</t>
  </si>
  <si>
    <t>11/23/2004 0:00</t>
  </si>
  <si>
    <t>2/2/2005 0:00</t>
  </si>
  <si>
    <t>4/7/2005 0:00</t>
  </si>
  <si>
    <t>S10_4698</t>
  </si>
  <si>
    <t>1/5/2005 0:00</t>
  </si>
  <si>
    <t>2/11/2003 0:00</t>
  </si>
  <si>
    <t>S10_4757</t>
  </si>
  <si>
    <t>Danish Wholesale Imports</t>
  </si>
  <si>
    <t>31 12 3555</t>
  </si>
  <si>
    <t>Vinb'ltet 34</t>
  </si>
  <si>
    <t>Kobenhavn</t>
  </si>
  <si>
    <t>1734</t>
  </si>
  <si>
    <t>Denmark</t>
  </si>
  <si>
    <t>Petersen</t>
  </si>
  <si>
    <t>Jytte</t>
  </si>
  <si>
    <t>4/28/2003 0:00</t>
  </si>
  <si>
    <t>6/12/2003 0:00</t>
  </si>
  <si>
    <t>Stylish Desk Decors, Co.</t>
  </si>
  <si>
    <t>(171) 555-0297</t>
  </si>
  <si>
    <t>35 King George</t>
  </si>
  <si>
    <t>London</t>
  </si>
  <si>
    <t>WX3 6FW</t>
  </si>
  <si>
    <t>Ann</t>
  </si>
  <si>
    <t>8/10/2003 0:00</t>
  </si>
  <si>
    <t>Mini Creations Ltd.</t>
  </si>
  <si>
    <t>5085559555</t>
  </si>
  <si>
    <t>4575 Hillside Dr.</t>
  </si>
  <si>
    <t>Tam</t>
  </si>
  <si>
    <t>Wing C</t>
  </si>
  <si>
    <t>10/6/2003 0:00</t>
  </si>
  <si>
    <t>10/23/2003 0:00</t>
  </si>
  <si>
    <t>Cancelled</t>
  </si>
  <si>
    <t>11/8/2003 0:00</t>
  </si>
  <si>
    <t>Alpha Cognac</t>
  </si>
  <si>
    <t>61.77.6555</t>
  </si>
  <si>
    <t>1 rue Alsace-Lorraine</t>
  </si>
  <si>
    <t>Toulouse</t>
  </si>
  <si>
    <t>31000</t>
  </si>
  <si>
    <t>Roulet</t>
  </si>
  <si>
    <t>Annette</t>
  </si>
  <si>
    <t>11/14/2003 0:00</t>
  </si>
  <si>
    <t>Double Decker Gift Stores, Ltd</t>
  </si>
  <si>
    <t>(171) 555-7555</t>
  </si>
  <si>
    <t>120 Hanover Sq.</t>
  </si>
  <si>
    <t>WA1 1DP</t>
  </si>
  <si>
    <t>Hardy</t>
  </si>
  <si>
    <t>Thomas</t>
  </si>
  <si>
    <t>11/26/2003 0:00</t>
  </si>
  <si>
    <t>Enaco Distributors</t>
  </si>
  <si>
    <t>(93) 203 4555</t>
  </si>
  <si>
    <t>Rambla de Catalu¤a, 23</t>
  </si>
  <si>
    <t>Barcelona</t>
  </si>
  <si>
    <t>8022</t>
  </si>
  <si>
    <t>Saavedra</t>
  </si>
  <si>
    <t>Eduardo</t>
  </si>
  <si>
    <t>1/9/2004 0:00</t>
  </si>
  <si>
    <t>Men 'R' US Retailers, Ltd.</t>
  </si>
  <si>
    <t>2155554369</t>
  </si>
  <si>
    <t>6047 Douglas Av.</t>
  </si>
  <si>
    <t>Los Angeles</t>
  </si>
  <si>
    <t>Chandler</t>
  </si>
  <si>
    <t>2/19/2004 0:00</t>
  </si>
  <si>
    <t>Collectable Mini Designs Co.</t>
  </si>
  <si>
    <t>7605558146</t>
  </si>
  <si>
    <t>361 Furth Circle</t>
  </si>
  <si>
    <t>San Diego</t>
  </si>
  <si>
    <t>91217</t>
  </si>
  <si>
    <t>5/7/2004 0:00</t>
  </si>
  <si>
    <t>6/17/2004 0:00</t>
  </si>
  <si>
    <t>7/21/2004 0:00</t>
  </si>
  <si>
    <t>Petit Auto</t>
  </si>
  <si>
    <t>(02) 5554 67</t>
  </si>
  <si>
    <t>Rue Joseph-Bens 532</t>
  </si>
  <si>
    <t>Bruxelles</t>
  </si>
  <si>
    <t>B-1180</t>
  </si>
  <si>
    <t>Belgium</t>
  </si>
  <si>
    <t>Dewey</t>
  </si>
  <si>
    <t>Catherine</t>
  </si>
  <si>
    <t>8/20/2004 0:00</t>
  </si>
  <si>
    <t>Royal Canadian Collectables, Ltd.</t>
  </si>
  <si>
    <t>(604) 555-4555</t>
  </si>
  <si>
    <t>23 Tsawassen Blvd.</t>
  </si>
  <si>
    <t>Tsawassen</t>
  </si>
  <si>
    <t>T2F 8M4</t>
  </si>
  <si>
    <t>Lincoln</t>
  </si>
  <si>
    <t>9/10/2004 0:00</t>
  </si>
  <si>
    <t>Gifts4AllAges.com</t>
  </si>
  <si>
    <t>6175559555</t>
  </si>
  <si>
    <t>8616 Spinnaker Dr.</t>
  </si>
  <si>
    <t>Boston</t>
  </si>
  <si>
    <t>51003</t>
  </si>
  <si>
    <t>Yoshido</t>
  </si>
  <si>
    <t>10/14/2004 0:00</t>
  </si>
  <si>
    <t>11/1/2004 0:00</t>
  </si>
  <si>
    <t>giftsbymail.co.uk</t>
  </si>
  <si>
    <t>(198) 555-8888</t>
  </si>
  <si>
    <t>Garden House Crowther Way</t>
  </si>
  <si>
    <t>Cowes</t>
  </si>
  <si>
    <t>Isle of Wight</t>
  </si>
  <si>
    <t>PO31 7PJ</t>
  </si>
  <si>
    <t>Bennett</t>
  </si>
  <si>
    <t>Helen</t>
  </si>
  <si>
    <t>11/5/2004 0:00</t>
  </si>
  <si>
    <t>11/21/2004 0:00</t>
  </si>
  <si>
    <t>12/2/2004 0:00</t>
  </si>
  <si>
    <t>12/15/2004 0:00</t>
  </si>
  <si>
    <t>1/31/2005 0:00</t>
  </si>
  <si>
    <t>Oulu Toy Supplies, Inc.</t>
  </si>
  <si>
    <t>981-443655</t>
  </si>
  <si>
    <t>Torikatu 38</t>
  </si>
  <si>
    <t>Oulu</t>
  </si>
  <si>
    <t>90110</t>
  </si>
  <si>
    <t>Koskitalo</t>
  </si>
  <si>
    <t>Pirkko</t>
  </si>
  <si>
    <t>2/23/2005 0:00</t>
  </si>
  <si>
    <t>3/17/2005 0:00</t>
  </si>
  <si>
    <t>4/1/2005 0:00</t>
  </si>
  <si>
    <t>The Sharp Gifts Warehouse</t>
  </si>
  <si>
    <t>4085553659</t>
  </si>
  <si>
    <t>3086 Ingle Ln.</t>
  </si>
  <si>
    <t>San Jose</t>
  </si>
  <si>
    <t>Sue</t>
  </si>
  <si>
    <t>5/6/2005 0:00</t>
  </si>
  <si>
    <t>On Hold</t>
  </si>
  <si>
    <t>S10_4962</t>
  </si>
  <si>
    <t>4/1/2003 0:00</t>
  </si>
  <si>
    <t>La Corne D'abondance, Co.</t>
  </si>
  <si>
    <t>(1) 42.34.2555</t>
  </si>
  <si>
    <t>265, boulevard Charonne</t>
  </si>
  <si>
    <t>75012</t>
  </si>
  <si>
    <t>Bertrand</t>
  </si>
  <si>
    <t>Marie</t>
  </si>
  <si>
    <t>10/21/2003 0:00</t>
  </si>
  <si>
    <t>Resolved</t>
  </si>
  <si>
    <t>Mini Auto Werke</t>
  </si>
  <si>
    <t>7675-3555</t>
  </si>
  <si>
    <t>Kirchgasse 6</t>
  </si>
  <si>
    <t>Graz</t>
  </si>
  <si>
    <t>8010</t>
  </si>
  <si>
    <t>Mendel</t>
  </si>
  <si>
    <t>Roland</t>
  </si>
  <si>
    <t>12/9/2003 0:00</t>
  </si>
  <si>
    <t>Diecast Collectables</t>
  </si>
  <si>
    <t>6175552555</t>
  </si>
  <si>
    <t>6251 Ingle Ln.</t>
  </si>
  <si>
    <t>Franco</t>
  </si>
  <si>
    <t>2/4/2004 0:00</t>
  </si>
  <si>
    <t>Handji Gifts&amp; Co</t>
  </si>
  <si>
    <t>+65 224 1555</t>
  </si>
  <si>
    <t>Village Close - 106 Linden Road Sandown</t>
  </si>
  <si>
    <t>2nd Floor</t>
  </si>
  <si>
    <t>69045</t>
  </si>
  <si>
    <t>Victorino</t>
  </si>
  <si>
    <t>Wendy</t>
  </si>
  <si>
    <t>3/11/2004 0:00</t>
  </si>
  <si>
    <t>8/19/2004 0:00</t>
  </si>
  <si>
    <t>10/13/2004 0:00</t>
  </si>
  <si>
    <t>10/22/2004 0:00</t>
  </si>
  <si>
    <t>11/19/2004 0:00</t>
  </si>
  <si>
    <t>3/3/2003 0:00</t>
  </si>
  <si>
    <t>S12_1099</t>
  </si>
  <si>
    <t>Cruz &amp; Sons Co.</t>
  </si>
  <si>
    <t>+63 2 555 3587</t>
  </si>
  <si>
    <t>15 McCallum Street - NatWest Center #13-03</t>
  </si>
  <si>
    <t>Makati City</t>
  </si>
  <si>
    <t>1227 MM</t>
  </si>
  <si>
    <t>Philippines</t>
  </si>
  <si>
    <t>Cruz</t>
  </si>
  <si>
    <t>Arnold</t>
  </si>
  <si>
    <t>5/8/2003 0:00</t>
  </si>
  <si>
    <t>Marseille Mini Autos</t>
  </si>
  <si>
    <t>91.24.4555</t>
  </si>
  <si>
    <t>12, rue des Bouchers</t>
  </si>
  <si>
    <t>Marseille</t>
  </si>
  <si>
    <t>13008</t>
  </si>
  <si>
    <t>Lebihan</t>
  </si>
  <si>
    <t>Laurence</t>
  </si>
  <si>
    <t>7/2/2003 0:00</t>
  </si>
  <si>
    <t>9/5/2003 0:00</t>
  </si>
  <si>
    <t>11/4/2003 0:00</t>
  </si>
  <si>
    <t>11/12/2003 0:00</t>
  </si>
  <si>
    <t>11/20/2003 0:00</t>
  </si>
  <si>
    <t>Toms Spezialitten, Ltd</t>
  </si>
  <si>
    <t>0221-5554327</t>
  </si>
  <si>
    <t>Mehrheimerstr. 369</t>
  </si>
  <si>
    <t>Koln</t>
  </si>
  <si>
    <t>50739</t>
  </si>
  <si>
    <t>Germany</t>
  </si>
  <si>
    <t>Pfalzheim</t>
  </si>
  <si>
    <t>Henriette</t>
  </si>
  <si>
    <t>12/2/2003 0:00</t>
  </si>
  <si>
    <t>2/22/2004 0:00</t>
  </si>
  <si>
    <t>Vida Sport, Ltd</t>
  </si>
  <si>
    <t>0897-034555</t>
  </si>
  <si>
    <t>Grenzacherweg 237</t>
  </si>
  <si>
    <t>Gensve</t>
  </si>
  <si>
    <t>1203</t>
  </si>
  <si>
    <t>Switzerland</t>
  </si>
  <si>
    <t>Holz</t>
  </si>
  <si>
    <t>4/9/2004 0:00</t>
  </si>
  <si>
    <t>6/1/2004 0:00</t>
  </si>
  <si>
    <t>7/6/2004 0:00</t>
  </si>
  <si>
    <t>L'ordine Souveniers</t>
  </si>
  <si>
    <t>0522-556555</t>
  </si>
  <si>
    <t>Strada Provinciale 124</t>
  </si>
  <si>
    <t>Reggio Emilia</t>
  </si>
  <si>
    <t>42100</t>
  </si>
  <si>
    <t>Moroni</t>
  </si>
  <si>
    <t>Maurizio</t>
  </si>
  <si>
    <t>8/2/2004 0:00</t>
  </si>
  <si>
    <t>Online Mini Collectables</t>
  </si>
  <si>
    <t>6175557555</t>
  </si>
  <si>
    <t>7635 Spinnaker Dr.</t>
  </si>
  <si>
    <t>Barajas</t>
  </si>
  <si>
    <t>Miguel</t>
  </si>
  <si>
    <t>8/30/2004 0:00</t>
  </si>
  <si>
    <t>10/4/2003 0:00</t>
  </si>
  <si>
    <t>Blauer See Auto, Co.</t>
  </si>
  <si>
    <t>+49 69 66 90 2555</t>
  </si>
  <si>
    <t>Lyonerstr. 34</t>
  </si>
  <si>
    <t>Frankfurt</t>
  </si>
  <si>
    <t>60528</t>
  </si>
  <si>
    <t>Keitel</t>
  </si>
  <si>
    <t>10/16/2004 0:00</t>
  </si>
  <si>
    <t>11/3/2004 0:00</t>
  </si>
  <si>
    <t>1/6/2005 0:00</t>
  </si>
  <si>
    <t>Suominen Souveniers</t>
  </si>
  <si>
    <t>+358 9 8045 555</t>
  </si>
  <si>
    <t>Software Engineering Center, SEC Oy</t>
  </si>
  <si>
    <t>Espoo</t>
  </si>
  <si>
    <t>FIN-02271</t>
  </si>
  <si>
    <t>Suominen</t>
  </si>
  <si>
    <t>Kalle</t>
  </si>
  <si>
    <t>5/17/2005 0:00</t>
  </si>
  <si>
    <t>S12_1108</t>
  </si>
  <si>
    <t>4/16/2003 0:00</t>
  </si>
  <si>
    <t>6/3/2003 0:00</t>
  </si>
  <si>
    <t>Muscle Machine Inc</t>
  </si>
  <si>
    <t>2125557413</t>
  </si>
  <si>
    <t>4092 Furth Circle</t>
  </si>
  <si>
    <t>Suite 400</t>
  </si>
  <si>
    <t>Jeff</t>
  </si>
  <si>
    <t>8/8/2003 0:00</t>
  </si>
  <si>
    <t>9/28/2003 0:00</t>
  </si>
  <si>
    <t>10/22/2003 0:00</t>
  </si>
  <si>
    <t>1/2/2004 0:00</t>
  </si>
  <si>
    <t>2/12/2004 0:00</t>
  </si>
  <si>
    <t>Clover Collections, Co.</t>
  </si>
  <si>
    <t>+353 1862 1555</t>
  </si>
  <si>
    <t>25 Maiden Lane</t>
  </si>
  <si>
    <t>Floor No. 4</t>
  </si>
  <si>
    <t>Dublin</t>
  </si>
  <si>
    <t>2</t>
  </si>
  <si>
    <t>Ireland</t>
  </si>
  <si>
    <t>Cassidy</t>
  </si>
  <si>
    <t>Dean</t>
  </si>
  <si>
    <t>3/19/2004 0:00</t>
  </si>
  <si>
    <t>CAF Imports</t>
  </si>
  <si>
    <t>+34 913 728 555</t>
  </si>
  <si>
    <t>Merchants House, 27-30 Merchant's Quay</t>
  </si>
  <si>
    <t>Fernandez</t>
  </si>
  <si>
    <t>Jesus</t>
  </si>
  <si>
    <t>5/5/2004 0:00</t>
  </si>
  <si>
    <t>7/20/2004 0:00</t>
  </si>
  <si>
    <t>9/9/2004 0:00</t>
  </si>
  <si>
    <t>AV Stores, Co.</t>
  </si>
  <si>
    <t>(171) 555-1555</t>
  </si>
  <si>
    <t>Fauntleroy Circus</t>
  </si>
  <si>
    <t>Manchester</t>
  </si>
  <si>
    <t>EC2 5NT</t>
  </si>
  <si>
    <t>Ashworth</t>
  </si>
  <si>
    <t>Heintze Collectables</t>
  </si>
  <si>
    <t>86 21 3555</t>
  </si>
  <si>
    <t>Smagsloget 45</t>
  </si>
  <si>
    <t>Aaarhus</t>
  </si>
  <si>
    <t>8200</t>
  </si>
  <si>
    <t>Ibsen</t>
  </si>
  <si>
    <t>Palle</t>
  </si>
  <si>
    <t>11/20/2004 0:00</t>
  </si>
  <si>
    <t>1/23/2005 0:00</t>
  </si>
  <si>
    <t>5/5/2005 0:00</t>
  </si>
  <si>
    <t>Trucks and Buses</t>
  </si>
  <si>
    <t>S12_1666</t>
  </si>
  <si>
    <t>3/26/2003 0:00</t>
  </si>
  <si>
    <t>2/2/2004 0:00</t>
  </si>
  <si>
    <t>S12_2823</t>
  </si>
  <si>
    <t>2/21/2004 0:00</t>
  </si>
  <si>
    <t>Microscale Inc.</t>
  </si>
  <si>
    <t>2125551957</t>
  </si>
  <si>
    <t>5290 North Pendale Street</t>
  </si>
  <si>
    <t>Suite 200</t>
  </si>
  <si>
    <t>Kuo</t>
  </si>
  <si>
    <t>Kee</t>
  </si>
  <si>
    <t>1/31/2003 0:00</t>
  </si>
  <si>
    <t>S12_3148</t>
  </si>
  <si>
    <t>3/15/2004 0:00</t>
  </si>
  <si>
    <t>1/26/2005 0:00</t>
  </si>
  <si>
    <t>S12_3380</t>
  </si>
  <si>
    <t>10/11/2003 0:00</t>
  </si>
  <si>
    <t>1/16/2004 0:00</t>
  </si>
  <si>
    <t>2/8/2005 0:00</t>
  </si>
  <si>
    <t>Boards &amp; Toys Co.</t>
  </si>
  <si>
    <t>3105552373</t>
  </si>
  <si>
    <t>4097 Douglas Av.</t>
  </si>
  <si>
    <t>Glendale</t>
  </si>
  <si>
    <t>92561</t>
  </si>
  <si>
    <t>S12_3891</t>
  </si>
  <si>
    <t>12/1/2004 0:00</t>
  </si>
  <si>
    <t>3/23/2005 0:00</t>
  </si>
  <si>
    <t>S12_3990</t>
  </si>
  <si>
    <t>2/9/2005 0:00</t>
  </si>
  <si>
    <t>S12_4473</t>
  </si>
  <si>
    <t>4/4/2003 0:00</t>
  </si>
  <si>
    <t>8/1/2003 0:00</t>
  </si>
  <si>
    <t>9/21/2003 0:00</t>
  </si>
  <si>
    <t>Iberia Gift Imports, Corp.</t>
  </si>
  <si>
    <t>(95) 555 82 82</t>
  </si>
  <si>
    <t>C/ Romero, 33</t>
  </si>
  <si>
    <t>Sevilla</t>
  </si>
  <si>
    <t>41101</t>
  </si>
  <si>
    <t>Roel</t>
  </si>
  <si>
    <t>Jose Pedro</t>
  </si>
  <si>
    <t>2/10/2004 0:00</t>
  </si>
  <si>
    <t>Signal Collectibles Ltd.</t>
  </si>
  <si>
    <t>4155554312</t>
  </si>
  <si>
    <t>2793 Furth Circle</t>
  </si>
  <si>
    <t>Brisbane</t>
  </si>
  <si>
    <t>Taylor</t>
  </si>
  <si>
    <t>5/3/2005 0:00</t>
  </si>
  <si>
    <t>S12_4675</t>
  </si>
  <si>
    <t>4/12/2004 0:00</t>
  </si>
  <si>
    <t>8/4/2004 0:00</t>
  </si>
  <si>
    <t>4/14/2005 0:00</t>
  </si>
  <si>
    <t>Mini Caravy</t>
  </si>
  <si>
    <t>88.60.1555</t>
  </si>
  <si>
    <t>24, place Kluber</t>
  </si>
  <si>
    <t>Strasbourg</t>
  </si>
  <si>
    <t>67000</t>
  </si>
  <si>
    <t>Citeaux</t>
  </si>
  <si>
    <t>Frederique</t>
  </si>
  <si>
    <t>S18_1097</t>
  </si>
  <si>
    <t>3/10/2003 0:00</t>
  </si>
  <si>
    <t>S18_1129</t>
  </si>
  <si>
    <t>7/4/2003 0:00</t>
  </si>
  <si>
    <t>9/11/2003 0:00</t>
  </si>
  <si>
    <t>10/17/2003 0:00</t>
  </si>
  <si>
    <t>11/5/2003 0:00</t>
  </si>
  <si>
    <t>4/13/2004 0:00</t>
  </si>
  <si>
    <t>8/6/2004 0:00</t>
  </si>
  <si>
    <t>Signal Gift Stores</t>
  </si>
  <si>
    <t>7025551838</t>
  </si>
  <si>
    <t>8489 Strong St.</t>
  </si>
  <si>
    <t>Las Vegas</t>
  </si>
  <si>
    <t>NV</t>
  </si>
  <si>
    <t>83030</t>
  </si>
  <si>
    <t>10/5/2003 0:00</t>
  </si>
  <si>
    <t>Norway Gifts By Mail, Co.</t>
  </si>
  <si>
    <t>+47 2212 1555</t>
  </si>
  <si>
    <t>Drammensveien 126 A, PB 744 Sentrum</t>
  </si>
  <si>
    <t>Oslo</t>
  </si>
  <si>
    <t>N 0106</t>
  </si>
  <si>
    <t>Klaeboe</t>
  </si>
  <si>
    <t>Jan</t>
  </si>
  <si>
    <t>11/17/2004 0:00</t>
  </si>
  <si>
    <t>12/9/2004 0:00</t>
  </si>
  <si>
    <t>1/7/2005 0:00</t>
  </si>
  <si>
    <t>3/4/2005 0:00</t>
  </si>
  <si>
    <t>4/15/2005 0:00</t>
  </si>
  <si>
    <t>1/10/2003 0:00</t>
  </si>
  <si>
    <t>Vintage Cars</t>
  </si>
  <si>
    <t>S18_1342</t>
  </si>
  <si>
    <t>3/25/2003 0:00</t>
  </si>
  <si>
    <t>5/21/2003 0:00</t>
  </si>
  <si>
    <t>7/16/2003 0:00</t>
  </si>
  <si>
    <t>9/12/2003 0:00</t>
  </si>
  <si>
    <t>10/18/2003 0:00</t>
  </si>
  <si>
    <t>Rovelli Gifts</t>
  </si>
  <si>
    <t>035-640555</t>
  </si>
  <si>
    <t>Via Ludovico il Moro 22</t>
  </si>
  <si>
    <t>Bergamo</t>
  </si>
  <si>
    <t>24100</t>
  </si>
  <si>
    <t>Rovelli</t>
  </si>
  <si>
    <t>Giovanni</t>
  </si>
  <si>
    <t>11/21/2003 0:00</t>
  </si>
  <si>
    <t>Australian Collectables, Ltd</t>
  </si>
  <si>
    <t>61-9-3844-6555</t>
  </si>
  <si>
    <t>7 Allen Street</t>
  </si>
  <si>
    <t>Glen Waverly</t>
  </si>
  <si>
    <t>3150</t>
  </si>
  <si>
    <t>Connery</t>
  </si>
  <si>
    <t>Sean</t>
  </si>
  <si>
    <t>12/3/2003 0:00</t>
  </si>
  <si>
    <t>3/2/2004 0:00</t>
  </si>
  <si>
    <t>4/29/2004 0:00</t>
  </si>
  <si>
    <t>6/8/2004 0:00</t>
  </si>
  <si>
    <t>9/3/2004 0:00</t>
  </si>
  <si>
    <t>2/16/2005 0:00</t>
  </si>
  <si>
    <t>5/30/2005 0:00</t>
  </si>
  <si>
    <t>S18_1367</t>
  </si>
  <si>
    <t>3/18/2003 0:00</t>
  </si>
  <si>
    <t>S18_1589</t>
  </si>
  <si>
    <t>5/20/2003 0:00</t>
  </si>
  <si>
    <t>7/10/2003 0:00</t>
  </si>
  <si>
    <t>2/26/2004 0:00</t>
  </si>
  <si>
    <t>9/1/2004 0:00</t>
  </si>
  <si>
    <t>1/12/2005 0:00</t>
  </si>
  <si>
    <t>2/10/2005 0:00</t>
  </si>
  <si>
    <t>4/22/2005 0:00</t>
  </si>
  <si>
    <t>2/17/2003 0:00</t>
  </si>
  <si>
    <t>Planes</t>
  </si>
  <si>
    <t>S18_1662</t>
  </si>
  <si>
    <t>6/16/2003 0:00</t>
  </si>
  <si>
    <t>Gift Ideas Corp.</t>
  </si>
  <si>
    <t>2035554407</t>
  </si>
  <si>
    <t>2440 Pompton St.</t>
  </si>
  <si>
    <t>97561</t>
  </si>
  <si>
    <t>Lewis</t>
  </si>
  <si>
    <t>Dan</t>
  </si>
  <si>
    <t>11/27/2003 0:00</t>
  </si>
  <si>
    <t>5/11/2004 0:00</t>
  </si>
  <si>
    <t>6/24/2004 0:00</t>
  </si>
  <si>
    <t>8/21/2004 0:00</t>
  </si>
  <si>
    <t>9/15/2004 0:00</t>
  </si>
  <si>
    <t>Bavarian Collectables Imports, Co.</t>
  </si>
  <si>
    <t>+49 89 61 08 9555</t>
  </si>
  <si>
    <t>Hansastr. 15</t>
  </si>
  <si>
    <t>Munich</t>
  </si>
  <si>
    <t>80686</t>
  </si>
  <si>
    <t>Donnermeyer</t>
  </si>
  <si>
    <t>11/10/2004 0:00</t>
  </si>
  <si>
    <t>11/22/2004 0:00</t>
  </si>
  <si>
    <t>Royale Belge</t>
  </si>
  <si>
    <t>(071) 23 67 2555</t>
  </si>
  <si>
    <t>Boulevard Tirou, 255</t>
  </si>
  <si>
    <t>Charleroi</t>
  </si>
  <si>
    <t>B-6000</t>
  </si>
  <si>
    <t>Cartrain</t>
  </si>
  <si>
    <t>Pascale</t>
  </si>
  <si>
    <t>12/3/2004 0:00</t>
  </si>
  <si>
    <t>3/1/2005 0:00</t>
  </si>
  <si>
    <t>3/30/2005 0:00</t>
  </si>
  <si>
    <t>5/10/2005 0:00</t>
  </si>
  <si>
    <t>1/6/2003 0:00</t>
  </si>
  <si>
    <t>S18_1749</t>
  </si>
  <si>
    <t>1/26/2004 0:00</t>
  </si>
  <si>
    <t>11/25/2004 0:00</t>
  </si>
  <si>
    <t>5/29/2005 0:00</t>
  </si>
  <si>
    <t>S18_1889</t>
  </si>
  <si>
    <t>S18_1984</t>
  </si>
  <si>
    <t>1/10/2005 0:00</t>
  </si>
  <si>
    <t>S18_2238</t>
  </si>
  <si>
    <t>S18_2248</t>
  </si>
  <si>
    <t>10/6/2004 0:00</t>
  </si>
  <si>
    <t>S18_2319</t>
  </si>
  <si>
    <t>2/22/2005 0:00</t>
  </si>
  <si>
    <t>1/9/2003 0:00</t>
  </si>
  <si>
    <t>S18_2325</t>
  </si>
  <si>
    <t>4/26/2004 0:00</t>
  </si>
  <si>
    <t>4/23/2005 0:00</t>
  </si>
  <si>
    <t>S18_2432</t>
  </si>
  <si>
    <t>S18_2581</t>
  </si>
  <si>
    <t>6/27/2003 0:00</t>
  </si>
  <si>
    <t>4/2/2004 0:00</t>
  </si>
  <si>
    <t>9/16/2004 0:00</t>
  </si>
  <si>
    <t>12/4/2004 0:00</t>
  </si>
  <si>
    <t>4/3/2005 0:00</t>
  </si>
  <si>
    <t>S18_2625</t>
  </si>
  <si>
    <t>S18_2795</t>
  </si>
  <si>
    <t>6/4/2004 0:00</t>
  </si>
  <si>
    <t>S18_2870</t>
  </si>
  <si>
    <t>S18_2949</t>
  </si>
  <si>
    <t>6/14/2004 0:00</t>
  </si>
  <si>
    <t>S18_2957</t>
  </si>
  <si>
    <t>7/16/2004 0:00</t>
  </si>
  <si>
    <t>3/10/2005 0:00</t>
  </si>
  <si>
    <t>Ships</t>
  </si>
  <si>
    <t>S18_3029</t>
  </si>
  <si>
    <t>Auto-Moto Classics Inc.</t>
  </si>
  <si>
    <t>6175558428</t>
  </si>
  <si>
    <t>16780 Pompton St.</t>
  </si>
  <si>
    <t>S18_3136</t>
  </si>
  <si>
    <t>S18_3140</t>
  </si>
  <si>
    <t>6/6/2003 0:00</t>
  </si>
  <si>
    <t>11/7/2003 0:00</t>
  </si>
  <si>
    <t>2/18/2004 0:00</t>
  </si>
  <si>
    <t>3/20/2004 0:00</t>
  </si>
  <si>
    <t>S18_3232</t>
  </si>
  <si>
    <t>3/15/2005 0:00</t>
  </si>
  <si>
    <t>Trains</t>
  </si>
  <si>
    <t>S18_3259</t>
  </si>
  <si>
    <t>11/9/2004 0:00</t>
  </si>
  <si>
    <t>S18_3278</t>
  </si>
  <si>
    <t>5/26/2004 0:00</t>
  </si>
  <si>
    <t>7/2/2004 0:00</t>
  </si>
  <si>
    <t>S18_3320</t>
  </si>
  <si>
    <t>9/7/2004 0:00</t>
  </si>
  <si>
    <t>S18_3482</t>
  </si>
  <si>
    <t>11/16/2004 0:00</t>
  </si>
  <si>
    <t>12/7/2004 0:00</t>
  </si>
  <si>
    <t>S18_3685</t>
  </si>
  <si>
    <t>S18_3782</t>
  </si>
  <si>
    <t>9/3/2003 0:00</t>
  </si>
  <si>
    <t>6/30/2004 0:00</t>
  </si>
  <si>
    <t>8/28/2004 0:00</t>
  </si>
  <si>
    <t>S18_3856</t>
  </si>
  <si>
    <t>5/8/2004 0:00</t>
  </si>
  <si>
    <t>11/12/2004 0:00</t>
  </si>
  <si>
    <t>5/9/2005 0:00</t>
  </si>
  <si>
    <t>S18_4027</t>
  </si>
  <si>
    <t>9/25/2003 0:00</t>
  </si>
  <si>
    <t>S18_4409</t>
  </si>
  <si>
    <t>1/22/2004 0:00</t>
  </si>
  <si>
    <t>S18_4522</t>
  </si>
  <si>
    <t>10/29/2004 0:00</t>
  </si>
  <si>
    <t>S18_4600</t>
  </si>
  <si>
    <t>S18_4668</t>
  </si>
  <si>
    <t>S18_4721</t>
  </si>
  <si>
    <t>S18_4933</t>
  </si>
  <si>
    <t>7/7/2004 0:00</t>
  </si>
  <si>
    <t>8/9/2004 0:00</t>
  </si>
  <si>
    <t>S24_1046</t>
  </si>
  <si>
    <t>S24_1444</t>
  </si>
  <si>
    <t>S24_1578</t>
  </si>
  <si>
    <t>S24_1628</t>
  </si>
  <si>
    <t>S24_1785</t>
  </si>
  <si>
    <t>S24_1937</t>
  </si>
  <si>
    <t>S24_2000</t>
  </si>
  <si>
    <t>S24_2011</t>
  </si>
  <si>
    <t>S24_2022</t>
  </si>
  <si>
    <t>S24_2300</t>
  </si>
  <si>
    <t>S24_2360</t>
  </si>
  <si>
    <t>11/19/2003 0:00</t>
  </si>
  <si>
    <t>S24_2766</t>
  </si>
  <si>
    <t>1/19/2005 0:00</t>
  </si>
  <si>
    <t>S24_2840</t>
  </si>
  <si>
    <t>S24_2841</t>
  </si>
  <si>
    <t>S24_2887</t>
  </si>
  <si>
    <t>S24_2972</t>
  </si>
  <si>
    <t>S24_3151</t>
  </si>
  <si>
    <t>10/2/2003 0:00</t>
  </si>
  <si>
    <t>3/29/2004 0:00</t>
  </si>
  <si>
    <t>S24_3191</t>
  </si>
  <si>
    <t>S24_3371</t>
  </si>
  <si>
    <t>S24_3420</t>
  </si>
  <si>
    <t>S24_3432</t>
  </si>
  <si>
    <t>S24_3816</t>
  </si>
  <si>
    <t>2/28/2005 0:00</t>
  </si>
  <si>
    <t>S24_3856</t>
  </si>
  <si>
    <t>S24_3949</t>
  </si>
  <si>
    <t>S24_3969</t>
  </si>
  <si>
    <t>4/20/2004 0:00</t>
  </si>
  <si>
    <t>S24_4048</t>
  </si>
  <si>
    <t>S24_4258</t>
  </si>
  <si>
    <t>S24_4278</t>
  </si>
  <si>
    <t>S24_4620</t>
  </si>
  <si>
    <t>S32_1268</t>
  </si>
  <si>
    <t>S32_1374</t>
  </si>
  <si>
    <t>3/2/2005 0:00</t>
  </si>
  <si>
    <t>S32_2206</t>
  </si>
  <si>
    <t>S32_2509</t>
  </si>
  <si>
    <t>S32_3207</t>
  </si>
  <si>
    <t>4/11/2003 0:00</t>
  </si>
  <si>
    <t>S32_3522</t>
  </si>
  <si>
    <t>S32_4289</t>
  </si>
  <si>
    <t>8/13/2003 0:00</t>
  </si>
  <si>
    <t>S32_4485</t>
  </si>
  <si>
    <t>S50_1341</t>
  </si>
  <si>
    <t>10/8/2003 0:00</t>
  </si>
  <si>
    <t>S50_1392</t>
  </si>
  <si>
    <t>S50_1514</t>
  </si>
  <si>
    <t>S50_4713</t>
  </si>
  <si>
    <t>S700_1138</t>
  </si>
  <si>
    <t>S700_1691</t>
  </si>
  <si>
    <t>S700_1938</t>
  </si>
  <si>
    <t>3/28/2005 0:00</t>
  </si>
  <si>
    <t>S700_2047</t>
  </si>
  <si>
    <t>S700_2466</t>
  </si>
  <si>
    <t>S700_2610</t>
  </si>
  <si>
    <t>S700_2824</t>
  </si>
  <si>
    <t>S700_2834</t>
  </si>
  <si>
    <t>S700_3167</t>
  </si>
  <si>
    <t>S700_3505</t>
  </si>
  <si>
    <t>4/21/2003 0:00</t>
  </si>
  <si>
    <t>S700_3962</t>
  </si>
  <si>
    <t>S700_4002</t>
  </si>
  <si>
    <t>S72_1253</t>
  </si>
  <si>
    <t>S72_3212</t>
  </si>
  <si>
    <t>CELDAS VACIAS</t>
  </si>
  <si>
    <t>CELDAS ERRORES</t>
  </si>
  <si>
    <t>Sum of SALES</t>
  </si>
  <si>
    <t>Row Labels</t>
  </si>
  <si>
    <t>Grand Total</t>
  </si>
  <si>
    <t>CONTACTFULLNAME</t>
  </si>
  <si>
    <t>VENTAS MENSUALES</t>
  </si>
  <si>
    <t>VENTAS POR LINEA DE PRODUCTOS</t>
  </si>
  <si>
    <t>TOP 10 CLIENTES</t>
  </si>
  <si>
    <t>VENTAS POR PAISES</t>
  </si>
  <si>
    <t xml:space="preserve"> PROMEDIO POR PEDIDO</t>
  </si>
  <si>
    <t>VENTAS TOTALES ESPERADAS</t>
  </si>
  <si>
    <t>NETSALES</t>
  </si>
  <si>
    <t>Sum of NETSALES</t>
  </si>
  <si>
    <t>Average of NETSALES</t>
  </si>
  <si>
    <t>(All)</t>
  </si>
  <si>
    <t>VENTAS CANCELADAS</t>
  </si>
  <si>
    <t>(Multiple Items)</t>
  </si>
  <si>
    <t>VENTAS PENDIENTES</t>
  </si>
  <si>
    <t>Linea de producto</t>
  </si>
  <si>
    <t>Ventas</t>
  </si>
  <si>
    <t>Cliente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</si>
</sst>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_-[$$-409]* #,##0_ ;_-[$$-409]* \-#,##0\ ;_-[$$-409]* &quot;-&quot;??_ ;_-@_ "/>
  </numFmts>
  <fonts count="2" x14ac:knownFonts="1">
    <font>
      <sz val="11"/>
      <color theme="1"/>
      <name val="Aptos Narrow"/>
      <family val="2"/>
      <scheme val="minor"/>
    </font>
    <font>
      <b/>
      <sz val="11"/>
      <color theme="0"/>
      <name val="Aptos Narrow"/>
      <family val="2"/>
      <scheme val="minor"/>
    </font>
  </fonts>
  <fills count="4">
    <fill>
      <patternFill patternType="none"/>
    </fill>
    <fill>
      <patternFill patternType="gray125"/>
    </fill>
    <fill>
      <patternFill patternType="solid">
        <fgColor theme="4"/>
        <bgColor theme="4"/>
      </patternFill>
    </fill>
    <fill>
      <patternFill patternType="solid">
        <fgColor theme="0"/>
        <bgColor indexed="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0" borderId="0" xfId="0" applyAlignment="1">
      <alignment horizontal="left"/>
    </xf>
    <xf numFmtId="0" fontId="0" fillId="3" borderId="0" xfId="0" applyFill="1" applyBorder="1"/>
    <xf numFmtId="0" fontId="0" fillId="0" borderId="0" xfId="0" pivotButton="1"/>
    <xf numFmtId="0" fontId="0" fillId="0" borderId="0" xfId="0" applyAlignment="1">
      <alignment horizontal="left" indent="1"/>
    </xf>
    <xf numFmtId="2" fontId="0" fillId="0" borderId="0" xfId="0" applyNumberFormat="1"/>
    <xf numFmtId="1" fontId="0" fillId="0" borderId="0" xfId="0" applyNumberFormat="1"/>
    <xf numFmtId="14" fontId="0" fillId="0" borderId="0" xfId="0" applyNumberFormat="1"/>
    <xf numFmtId="164" fontId="0" fillId="0" borderId="0" xfId="0" applyNumberFormat="1"/>
    <xf numFmtId="14" fontId="1" fillId="2" borderId="2" xfId="0" applyNumberFormat="1" applyFont="1" applyFill="1" applyBorder="1"/>
    <xf numFmtId="0" fontId="0" fillId="3" borderId="0" xfId="0" applyFill="1"/>
    <xf numFmtId="165" fontId="0" fillId="0" borderId="0" xfId="0" applyNumberFormat="1"/>
    <xf numFmtId="165" fontId="0" fillId="3" borderId="0" xfId="0" applyNumberFormat="1" applyFill="1"/>
    <xf numFmtId="0" fontId="0" fillId="3" borderId="0" xfId="0" applyFill="1" applyAlignment="1">
      <alignment horizontal="left"/>
    </xf>
  </cellXfs>
  <cellStyles count="1">
    <cellStyle name="Normal" xfId="0" builtinId="0"/>
  </cellStyles>
  <dxfs count="131">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1" formatCode="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1" formatCode="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1" formatCode="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1" formatCode="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1" formatCode="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1" formatCode="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1" formatCode="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1" formatCode="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1" formatCode="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 formatCode="0"/>
    </dxf>
    <dxf>
      <numFmt numFmtId="165" formatCode="_-[$$-409]* #,##0_ ;_-[$$-409]* \-#,##0\ ;_-[$$-409]* &quot;-&quot;??_ ;_-@_ "/>
    </dxf>
    <dxf>
      <numFmt numFmtId="1" formatCode="0"/>
    </dxf>
    <dxf>
      <numFmt numFmtId="2" formatCode="0.00"/>
    </dxf>
    <dxf>
      <numFmt numFmtId="165" formatCode="_-[$$-409]* #,##0_ ;_-[$$-409]* \-#,##0\ ;_-[$$-409]* &quot;-&quot;??_ ;_-@_ "/>
    </dxf>
    <dxf>
      <numFmt numFmtId="165" formatCode="_-[$$-409]* #,##0_ ;_-[$$-409]* \-#,##0\ ;_-[$$-409]* &quot;-&quot;??_ ;_-@_ "/>
    </dxf>
    <dxf>
      <numFmt numFmtId="165" formatCode="_-[$$-409]* #,##0_ ;_-[$$-409]* \-#,##0\ ;_-[$$-409]* &quot;-&quot;??_ ;_-@_ "/>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800]dddd\,\ mmmm\ dd\,\ yyyy"/>
    </dxf>
    <dxf>
      <numFmt numFmtId="2" formatCode="0.00"/>
    </dxf>
    <dxf>
      <numFmt numFmtId="0" formatCode="General"/>
    </dxf>
  </dxfs>
  <tableStyles count="0" defaultTableStyle="TableStyleMedium2" defaultPivotStyle="PivotStyleLight16"/>
  <colors>
    <mruColors>
      <color rgb="FF1EF2A1"/>
      <color rgb="FF387A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Dinámicas!VENTAS MENSUALES</c:name>
    <c:fmtId val="2"/>
  </c:pivotSource>
  <c:chart>
    <c:autoTitleDeleted val="1"/>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ln w="28575" cap="rnd">
            <a:solidFill>
              <a:srgbClr val="1EF2A1"/>
            </a:solidFill>
            <a:round/>
          </a:ln>
          <a:effectLst/>
        </c:spPr>
        <c:marker>
          <c:symbol val="none"/>
        </c:marker>
        <c:dLbl>
          <c:idx val="0"/>
          <c:delete val="1"/>
          <c:extLst>
            <c:ext xmlns:c15="http://schemas.microsoft.com/office/drawing/2012/chart" uri="{CE6537A1-D6FC-4f65-9D91-7224C49458BB}"/>
          </c:extLst>
        </c:dLbl>
      </c:pivotFmt>
      <c:pivotFmt>
        <c:idx val="4"/>
      </c:pivotFmt>
    </c:pivotFmts>
    <c:plotArea>
      <c:layout>
        <c:manualLayout>
          <c:layoutTarget val="inner"/>
          <c:xMode val="edge"/>
          <c:yMode val="edge"/>
          <c:x val="0.14041229666752827"/>
          <c:y val="0.2582353714343556"/>
          <c:w val="0.82947344640952481"/>
          <c:h val="0.52232349760543795"/>
        </c:manualLayout>
      </c:layout>
      <c:lineChart>
        <c:grouping val="standard"/>
        <c:varyColors val="0"/>
        <c:ser>
          <c:idx val="0"/>
          <c:order val="0"/>
          <c:tx>
            <c:strRef>
              <c:f>'Tablas Dinámicas'!$G$3</c:f>
              <c:strCache>
                <c:ptCount val="1"/>
                <c:pt idx="0">
                  <c:v>Total</c:v>
                </c:pt>
              </c:strCache>
            </c:strRef>
          </c:tx>
          <c:spPr>
            <a:ln w="28575" cap="rnd">
              <a:solidFill>
                <a:srgbClr val="1EF2A1"/>
              </a:solidFill>
              <a:round/>
            </a:ln>
            <a:effectLst/>
          </c:spPr>
          <c:marker>
            <c:symbol val="none"/>
          </c:marker>
          <c:cat>
            <c:multiLvlStrRef>
              <c:f>'Tablas Dinámicas'!$F$4:$F$36</c:f>
              <c:multiLvlStrCache>
                <c:ptCount val="29"/>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pt idx="24">
                    <c:v>1</c:v>
                  </c:pt>
                  <c:pt idx="25">
                    <c:v>2</c:v>
                  </c:pt>
                  <c:pt idx="26">
                    <c:v>3</c:v>
                  </c:pt>
                  <c:pt idx="27">
                    <c:v>4</c:v>
                  </c:pt>
                  <c:pt idx="28">
                    <c:v>5</c:v>
                  </c:pt>
                </c:lvl>
                <c:lvl>
                  <c:pt idx="0">
                    <c:v>2003</c:v>
                  </c:pt>
                  <c:pt idx="12">
                    <c:v>2004</c:v>
                  </c:pt>
                  <c:pt idx="24">
                    <c:v>2005</c:v>
                  </c:pt>
                </c:lvl>
              </c:multiLvlStrCache>
            </c:multiLvlStrRef>
          </c:cat>
          <c:val>
            <c:numRef>
              <c:f>'Tablas Dinámicas'!$G$4:$G$36</c:f>
              <c:numCache>
                <c:formatCode>General</c:formatCode>
                <c:ptCount val="29"/>
                <c:pt idx="0">
                  <c:v>2884220</c:v>
                </c:pt>
                <c:pt idx="1">
                  <c:v>5664467</c:v>
                </c:pt>
                <c:pt idx="2">
                  <c:v>5702942</c:v>
                </c:pt>
                <c:pt idx="3">
                  <c:v>7297685</c:v>
                </c:pt>
                <c:pt idx="4">
                  <c:v>7164658</c:v>
                </c:pt>
                <c:pt idx="5">
                  <c:v>6746608</c:v>
                </c:pt>
                <c:pt idx="6">
                  <c:v>4772387</c:v>
                </c:pt>
                <c:pt idx="7">
                  <c:v>7753733</c:v>
                </c:pt>
                <c:pt idx="8">
                  <c:v>8085582</c:v>
                </c:pt>
                <c:pt idx="9">
                  <c:v>14662810</c:v>
                </c:pt>
                <c:pt idx="10">
                  <c:v>33906213</c:v>
                </c:pt>
                <c:pt idx="11">
                  <c:v>7923741</c:v>
                </c:pt>
                <c:pt idx="12">
                  <c:v>11956735</c:v>
                </c:pt>
                <c:pt idx="13">
                  <c:v>10885216</c:v>
                </c:pt>
                <c:pt idx="14">
                  <c:v>5115133</c:v>
                </c:pt>
                <c:pt idx="15">
                  <c:v>7755065</c:v>
                </c:pt>
                <c:pt idx="16">
                  <c:v>6099104</c:v>
                </c:pt>
                <c:pt idx="17">
                  <c:v>7795283</c:v>
                </c:pt>
                <c:pt idx="18">
                  <c:v>12020421</c:v>
                </c:pt>
                <c:pt idx="19">
                  <c:v>14905226</c:v>
                </c:pt>
                <c:pt idx="20">
                  <c:v>9670140</c:v>
                </c:pt>
                <c:pt idx="21">
                  <c:v>17492302</c:v>
                </c:pt>
                <c:pt idx="22">
                  <c:v>36235091</c:v>
                </c:pt>
                <c:pt idx="23">
                  <c:v>12250964</c:v>
                </c:pt>
                <c:pt idx="24">
                  <c:v>12058534</c:v>
                </c:pt>
                <c:pt idx="25">
                  <c:v>9468069</c:v>
                </c:pt>
                <c:pt idx="26">
                  <c:v>13880484</c:v>
                </c:pt>
                <c:pt idx="27">
                  <c:v>3806284</c:v>
                </c:pt>
                <c:pt idx="28">
                  <c:v>4855283</c:v>
                </c:pt>
              </c:numCache>
            </c:numRef>
          </c:val>
          <c:smooth val="0"/>
          <c:extLst>
            <c:ext xmlns:c16="http://schemas.microsoft.com/office/drawing/2014/chart" uri="{C3380CC4-5D6E-409C-BE32-E72D297353CC}">
              <c16:uniqueId val="{00000001-C2E4-4B89-A15A-12DE5C376B6E}"/>
            </c:ext>
          </c:extLst>
        </c:ser>
        <c:dLbls>
          <c:showLegendKey val="0"/>
          <c:showVal val="0"/>
          <c:showCatName val="0"/>
          <c:showSerName val="0"/>
          <c:showPercent val="0"/>
          <c:showBubbleSize val="0"/>
        </c:dLbls>
        <c:smooth val="0"/>
        <c:axId val="2127198624"/>
        <c:axId val="2127202464"/>
      </c:lineChart>
      <c:catAx>
        <c:axId val="21271986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s-ES"/>
          </a:p>
        </c:txPr>
        <c:crossAx val="2127202464"/>
        <c:crosses val="autoZero"/>
        <c:auto val="1"/>
        <c:lblAlgn val="ctr"/>
        <c:lblOffset val="100"/>
        <c:noMultiLvlLbl val="0"/>
      </c:catAx>
      <c:valAx>
        <c:axId val="2127202464"/>
        <c:scaling>
          <c:orientation val="minMax"/>
        </c:scaling>
        <c:delete val="0"/>
        <c:axPos val="l"/>
        <c:numFmt formatCode="General" sourceLinked="1"/>
        <c:majorTickMark val="out"/>
        <c:minorTickMark val="none"/>
        <c:tickLblPos val="nextTo"/>
        <c:spPr>
          <a:noFill/>
          <a:ln>
            <a:noFill/>
          </a:ln>
          <a:effectLst/>
        </c:spPr>
        <c:txPr>
          <a:bodyPr rot="-60000000" vert="horz"/>
          <a:lstStyle/>
          <a:p>
            <a:pPr>
              <a:defRPr/>
            </a:pPr>
            <a:endParaRPr lang="es-ES"/>
          </a:p>
        </c:txPr>
        <c:crossAx val="2127198624"/>
        <c:crosses val="autoZero"/>
        <c:crossBetween val="between"/>
      </c:valAx>
      <c:spPr>
        <a:noFill/>
      </c:spPr>
    </c:plotArea>
    <c:plotVisOnly val="1"/>
    <c:dispBlanksAs val="gap"/>
    <c:showDLblsOverMax val="0"/>
    <c:extLst/>
  </c:chart>
  <c:spPr>
    <a:noFill/>
    <a:ln>
      <a:noFill/>
    </a:ln>
  </c:spPr>
  <c:txPr>
    <a:bodyPr/>
    <a:lstStyle/>
    <a:p>
      <a:pPr algn="ctr">
        <a:defRPr lang="en-US" sz="900" b="0" i="0" u="none" strike="noStrike" kern="1200" baseline="0">
          <a:solidFill>
            <a:schemeClr val="tx1">
              <a:lumMod val="65000"/>
              <a:lumOff val="35000"/>
            </a:schemeClr>
          </a:solidFill>
          <a:latin typeface="+mn-lt"/>
          <a:ea typeface="+mn-ea"/>
          <a:cs typeface="+mn-cs"/>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Dinámicas!VENTAS POR LINEA PRODUCTOS</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EF2A1"/>
          </a:solidFill>
          <a:ln>
            <a:noFill/>
          </a:ln>
          <a:effectLst>
            <a:glow rad="63500">
              <a:schemeClr val="bg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456096193084991"/>
          <c:y val="0.11943438647407739"/>
          <c:w val="0.81839821460390005"/>
          <c:h val="0.66386802197015038"/>
        </c:manualLayout>
      </c:layout>
      <c:barChart>
        <c:barDir val="col"/>
        <c:grouping val="clustered"/>
        <c:varyColors val="0"/>
        <c:ser>
          <c:idx val="0"/>
          <c:order val="0"/>
          <c:tx>
            <c:strRef>
              <c:f>'Tablas Dinámicas'!$J$3</c:f>
              <c:strCache>
                <c:ptCount val="1"/>
                <c:pt idx="0">
                  <c:v>Total</c:v>
                </c:pt>
              </c:strCache>
            </c:strRef>
          </c:tx>
          <c:spPr>
            <a:solidFill>
              <a:srgbClr val="1EF2A1"/>
            </a:solidFill>
            <a:ln>
              <a:noFill/>
            </a:ln>
            <a:effectLst>
              <a:glow rad="63500">
                <a:schemeClr val="bg1">
                  <a:alpha val="40000"/>
                </a:schemeClr>
              </a:glow>
            </a:effectLst>
          </c:spPr>
          <c:invertIfNegative val="0"/>
          <c:cat>
            <c:strRef>
              <c:f>'Tablas Dinámicas'!$I$4:$I$11</c:f>
              <c:strCache>
                <c:ptCount val="7"/>
                <c:pt idx="0">
                  <c:v>Classic Cars</c:v>
                </c:pt>
                <c:pt idx="1">
                  <c:v>Vintage Cars</c:v>
                </c:pt>
                <c:pt idx="2">
                  <c:v>Planes</c:v>
                </c:pt>
                <c:pt idx="3">
                  <c:v>Motorcycles</c:v>
                </c:pt>
                <c:pt idx="4">
                  <c:v>Ships</c:v>
                </c:pt>
                <c:pt idx="5">
                  <c:v>Trucks and Buses</c:v>
                </c:pt>
                <c:pt idx="6">
                  <c:v>Trains</c:v>
                </c:pt>
              </c:strCache>
            </c:strRef>
          </c:cat>
          <c:val>
            <c:numRef>
              <c:f>'Tablas Dinámicas'!$J$4:$J$11</c:f>
              <c:numCache>
                <c:formatCode>_-[$$-409]* #,##0_ ;_-[$$-409]* \-#,##0\ ;_-[$$-409]* "-"??_ ;_-@_ </c:formatCode>
                <c:ptCount val="7"/>
                <c:pt idx="0">
                  <c:v>78878176</c:v>
                </c:pt>
                <c:pt idx="1">
                  <c:v>76441116</c:v>
                </c:pt>
                <c:pt idx="2">
                  <c:v>42291600</c:v>
                </c:pt>
                <c:pt idx="3">
                  <c:v>38933356</c:v>
                </c:pt>
                <c:pt idx="4">
                  <c:v>36865498</c:v>
                </c:pt>
                <c:pt idx="5">
                  <c:v>23632744</c:v>
                </c:pt>
                <c:pt idx="6">
                  <c:v>11771890</c:v>
                </c:pt>
              </c:numCache>
            </c:numRef>
          </c:val>
          <c:extLst>
            <c:ext xmlns:c16="http://schemas.microsoft.com/office/drawing/2014/chart" uri="{C3380CC4-5D6E-409C-BE32-E72D297353CC}">
              <c16:uniqueId val="{00000000-8A6F-4571-9237-6AC55F01D880}"/>
            </c:ext>
          </c:extLst>
        </c:ser>
        <c:dLbls>
          <c:showLegendKey val="0"/>
          <c:showVal val="0"/>
          <c:showCatName val="0"/>
          <c:showSerName val="0"/>
          <c:showPercent val="0"/>
          <c:showBubbleSize val="0"/>
        </c:dLbls>
        <c:gapWidth val="219"/>
        <c:overlap val="-27"/>
        <c:axId val="2127197664"/>
        <c:axId val="2127200544"/>
      </c:barChart>
      <c:catAx>
        <c:axId val="2127197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68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27200544"/>
        <c:crosses val="autoZero"/>
        <c:auto val="1"/>
        <c:lblAlgn val="ctr"/>
        <c:lblOffset val="100"/>
        <c:noMultiLvlLbl val="0"/>
      </c:catAx>
      <c:valAx>
        <c:axId val="2127200544"/>
        <c:scaling>
          <c:orientation val="minMax"/>
        </c:scaling>
        <c:delete val="0"/>
        <c:axPos val="l"/>
        <c:majorGridlines>
          <c:spPr>
            <a:ln w="9525" cap="flat" cmpd="sng" algn="ctr">
              <a:no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27197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749685664744598"/>
          <c:y val="1.4807314183920787E-2"/>
          <c:w val="0.49654748578828384"/>
          <c:h val="0.87817123763749538"/>
        </c:manualLayout>
      </c:layout>
      <c:barChart>
        <c:barDir val="bar"/>
        <c:grouping val="clustered"/>
        <c:varyColors val="0"/>
        <c:ser>
          <c:idx val="0"/>
          <c:order val="0"/>
          <c:spPr>
            <a:solidFill>
              <a:srgbClr val="1EF2A1"/>
            </a:solidFill>
            <a:ln>
              <a:noFill/>
            </a:ln>
            <a:effectLst>
              <a:glow rad="63500">
                <a:schemeClr val="bg1">
                  <a:alpha val="40000"/>
                </a:schemeClr>
              </a:glow>
            </a:effectLst>
          </c:spPr>
          <c:invertIfNegative val="0"/>
          <c:dPt>
            <c:idx val="18"/>
            <c:invertIfNegative val="0"/>
            <c:bubble3D val="0"/>
            <c:spPr>
              <a:solidFill>
                <a:srgbClr val="1EF2A1"/>
              </a:solidFill>
              <a:ln>
                <a:noFill/>
              </a:ln>
              <a:effectLst>
                <a:glow rad="63500">
                  <a:schemeClr val="bg1">
                    <a:alpha val="40000"/>
                  </a:schemeClr>
                </a:glow>
              </a:effectLst>
            </c:spPr>
            <c:extLst>
              <c:ext xmlns:c16="http://schemas.microsoft.com/office/drawing/2014/chart" uri="{C3380CC4-5D6E-409C-BE32-E72D297353CC}">
                <c16:uniqueId val="{00000001-CAC0-429D-8441-57DCD90CD8F0}"/>
              </c:ext>
            </c:extLst>
          </c:dPt>
          <c:cat>
            <c:strRef>
              <c:f>'Tablas Dinámicas'!$P$29:$P$47</c:f>
              <c:strCache>
                <c:ptCount val="19"/>
                <c:pt idx="0">
                  <c:v>Australia</c:v>
                </c:pt>
                <c:pt idx="1">
                  <c:v>Austria</c:v>
                </c:pt>
                <c:pt idx="2">
                  <c:v>Belgium</c:v>
                </c:pt>
                <c:pt idx="3">
                  <c:v>Canada</c:v>
                </c:pt>
                <c:pt idx="4">
                  <c:v>Denmark</c:v>
                </c:pt>
                <c:pt idx="5">
                  <c:v>Finland</c:v>
                </c:pt>
                <c:pt idx="6">
                  <c:v>France</c:v>
                </c:pt>
                <c:pt idx="7">
                  <c:v>Germany</c:v>
                </c:pt>
                <c:pt idx="8">
                  <c:v>Ireland</c:v>
                </c:pt>
                <c:pt idx="9">
                  <c:v>Italy</c:v>
                </c:pt>
                <c:pt idx="10">
                  <c:v>Japan</c:v>
                </c:pt>
                <c:pt idx="11">
                  <c:v>Norway</c:v>
                </c:pt>
                <c:pt idx="12">
                  <c:v>Philippines</c:v>
                </c:pt>
                <c:pt idx="13">
                  <c:v>Singapore</c:v>
                </c:pt>
                <c:pt idx="14">
                  <c:v>Spain</c:v>
                </c:pt>
                <c:pt idx="15">
                  <c:v>Sweden</c:v>
                </c:pt>
                <c:pt idx="16">
                  <c:v>Switzerland</c:v>
                </c:pt>
                <c:pt idx="17">
                  <c:v>UK</c:v>
                </c:pt>
                <c:pt idx="18">
                  <c:v>USA</c:v>
                </c:pt>
              </c:strCache>
            </c:strRef>
          </c:cat>
          <c:val>
            <c:numRef>
              <c:f>'Tablas Dinámicas'!$Q$29:$Q$47</c:f>
              <c:numCache>
                <c:formatCode>_-[$$-409]* #,##0_ ;_-[$$-409]* \-#,##0\ ;_-[$$-409]* "-"??_ ;_-@_ </c:formatCode>
                <c:ptCount val="19"/>
                <c:pt idx="0">
                  <c:v>16103148</c:v>
                </c:pt>
                <c:pt idx="1">
                  <c:v>7262341</c:v>
                </c:pt>
                <c:pt idx="2">
                  <c:v>3460624</c:v>
                </c:pt>
                <c:pt idx="3">
                  <c:v>9076790</c:v>
                </c:pt>
                <c:pt idx="4">
                  <c:v>6168078</c:v>
                </c:pt>
                <c:pt idx="5">
                  <c:v>11062943</c:v>
                </c:pt>
                <c:pt idx="6">
                  <c:v>37062209</c:v>
                </c:pt>
                <c:pt idx="7">
                  <c:v>6254894</c:v>
                </c:pt>
                <c:pt idx="8">
                  <c:v>1093228</c:v>
                </c:pt>
                <c:pt idx="9">
                  <c:v>11626629</c:v>
                </c:pt>
                <c:pt idx="10">
                  <c:v>7190407</c:v>
                </c:pt>
                <c:pt idx="11">
                  <c:v>7015473</c:v>
                </c:pt>
                <c:pt idx="12">
                  <c:v>3782017</c:v>
                </c:pt>
                <c:pt idx="13">
                  <c:v>7913243</c:v>
                </c:pt>
                <c:pt idx="14">
                  <c:v>39149977</c:v>
                </c:pt>
                <c:pt idx="15">
                  <c:v>3530536</c:v>
                </c:pt>
                <c:pt idx="16">
                  <c:v>3434091</c:v>
                </c:pt>
                <c:pt idx="17">
                  <c:v>20077235</c:v>
                </c:pt>
                <c:pt idx="18">
                  <c:v>107550517</c:v>
                </c:pt>
              </c:numCache>
            </c:numRef>
          </c:val>
          <c:extLst>
            <c:ext xmlns:c16="http://schemas.microsoft.com/office/drawing/2014/chart" uri="{C3380CC4-5D6E-409C-BE32-E72D297353CC}">
              <c16:uniqueId val="{00000002-CAC0-429D-8441-57DCD90CD8F0}"/>
            </c:ext>
          </c:extLst>
        </c:ser>
        <c:dLbls>
          <c:showLegendKey val="0"/>
          <c:showVal val="0"/>
          <c:showCatName val="0"/>
          <c:showSerName val="0"/>
          <c:showPercent val="0"/>
          <c:showBubbleSize val="0"/>
        </c:dLbls>
        <c:gapWidth val="182"/>
        <c:axId val="1657348031"/>
        <c:axId val="1657348991"/>
      </c:barChart>
      <c:catAx>
        <c:axId val="1657348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1" u="none" strike="noStrike" kern="1200" baseline="0">
                <a:solidFill>
                  <a:schemeClr val="tx1">
                    <a:lumMod val="65000"/>
                    <a:lumOff val="35000"/>
                  </a:schemeClr>
                </a:solidFill>
                <a:latin typeface="+mn-lt"/>
                <a:ea typeface="+mn-ea"/>
                <a:cs typeface="+mn-cs"/>
              </a:defRPr>
            </a:pPr>
            <a:endParaRPr lang="es-ES"/>
          </a:p>
        </c:txPr>
        <c:crossAx val="1657348991"/>
        <c:crosses val="autoZero"/>
        <c:auto val="1"/>
        <c:lblAlgn val="ctr"/>
        <c:lblOffset val="100"/>
        <c:noMultiLvlLbl val="0"/>
      </c:catAx>
      <c:valAx>
        <c:axId val="1657348991"/>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18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65734803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4115326583401271"/>
          <c:y val="2.5909705280745137E-2"/>
          <c:w val="0.45756222038416311"/>
          <c:h val="0.84204505686789155"/>
        </c:manualLayout>
      </c:layout>
      <c:barChart>
        <c:barDir val="bar"/>
        <c:grouping val="clustered"/>
        <c:varyColors val="0"/>
        <c:ser>
          <c:idx val="0"/>
          <c:order val="0"/>
          <c:spPr>
            <a:solidFill>
              <a:srgbClr val="1EF2A1"/>
            </a:solidFill>
            <a:ln>
              <a:noFill/>
            </a:ln>
            <a:effectLst>
              <a:glow rad="63500">
                <a:schemeClr val="bg1">
                  <a:alpha val="40000"/>
                </a:schemeClr>
              </a:glow>
            </a:effectLst>
          </c:spPr>
          <c:invertIfNegative val="0"/>
          <c:cat>
            <c:strRef>
              <c:f>'Tablas Dinámicas'!$L$22:$L$31</c:f>
              <c:strCache>
                <c:ptCount val="10"/>
                <c:pt idx="0">
                  <c:v>Euro Shopping Channel</c:v>
                </c:pt>
                <c:pt idx="1">
                  <c:v>Mini Gifts Distributors Ltd.</c:v>
                </c:pt>
                <c:pt idx="2">
                  <c:v>AV Stores, Co.</c:v>
                </c:pt>
                <c:pt idx="3">
                  <c:v>Rovelli Gifts</c:v>
                </c:pt>
                <c:pt idx="4">
                  <c:v>Reims Collectables</c:v>
                </c:pt>
                <c:pt idx="5">
                  <c:v>Salzburg Collectables</c:v>
                </c:pt>
                <c:pt idx="6">
                  <c:v>Australian Collectors, Co.</c:v>
                </c:pt>
                <c:pt idx="7">
                  <c:v>Saveley &amp; Henriot, Co.</c:v>
                </c:pt>
                <c:pt idx="8">
                  <c:v>Muscle Machine Inc</c:v>
                </c:pt>
                <c:pt idx="9">
                  <c:v>La Rochelle Gifts</c:v>
                </c:pt>
              </c:strCache>
            </c:strRef>
          </c:cat>
          <c:val>
            <c:numRef>
              <c:f>'Tablas Dinámicas'!$M$22:$M$31</c:f>
              <c:numCache>
                <c:formatCode>General</c:formatCode>
                <c:ptCount val="10"/>
                <c:pt idx="0">
                  <c:v>28759043</c:v>
                </c:pt>
                <c:pt idx="1">
                  <c:v>18956639</c:v>
                </c:pt>
                <c:pt idx="2">
                  <c:v>7791641</c:v>
                </c:pt>
                <c:pt idx="3">
                  <c:v>6707998</c:v>
                </c:pt>
                <c:pt idx="4">
                  <c:v>5925157</c:v>
                </c:pt>
                <c:pt idx="5">
                  <c:v>5552121</c:v>
                </c:pt>
                <c:pt idx="6">
                  <c:v>5173315</c:v>
                </c:pt>
                <c:pt idx="7">
                  <c:v>5165326</c:v>
                </c:pt>
                <c:pt idx="8">
                  <c:v>5131576</c:v>
                </c:pt>
                <c:pt idx="9">
                  <c:v>5027015</c:v>
                </c:pt>
              </c:numCache>
            </c:numRef>
          </c:val>
          <c:extLst>
            <c:ext xmlns:c16="http://schemas.microsoft.com/office/drawing/2014/chart" uri="{C3380CC4-5D6E-409C-BE32-E72D297353CC}">
              <c16:uniqueId val="{00000000-7EE4-49C8-8CCD-29CEE274D270}"/>
            </c:ext>
          </c:extLst>
        </c:ser>
        <c:dLbls>
          <c:showLegendKey val="0"/>
          <c:showVal val="0"/>
          <c:showCatName val="0"/>
          <c:showSerName val="0"/>
          <c:showPercent val="0"/>
          <c:showBubbleSize val="0"/>
        </c:dLbls>
        <c:gapWidth val="182"/>
        <c:axId val="1695126703"/>
        <c:axId val="1695141103"/>
      </c:barChart>
      <c:catAx>
        <c:axId val="16951267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1" u="none" strike="noStrike" kern="1200" baseline="0">
                <a:solidFill>
                  <a:schemeClr val="tx1">
                    <a:lumMod val="65000"/>
                    <a:lumOff val="35000"/>
                  </a:schemeClr>
                </a:solidFill>
                <a:latin typeface="Aptos" panose="020B0004020202020204" pitchFamily="34" charset="0"/>
                <a:ea typeface="+mn-ea"/>
                <a:cs typeface="+mn-cs"/>
              </a:defRPr>
            </a:pPr>
            <a:endParaRPr lang="es-ES"/>
          </a:p>
        </c:txPr>
        <c:crossAx val="1695141103"/>
        <c:crosses val="autoZero"/>
        <c:auto val="1"/>
        <c:lblAlgn val="ctr"/>
        <c:lblOffset val="100"/>
        <c:noMultiLvlLbl val="0"/>
      </c:catAx>
      <c:valAx>
        <c:axId val="169514110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695126703"/>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181244</xdr:colOff>
      <xdr:row>1</xdr:row>
      <xdr:rowOff>53511</xdr:rowOff>
    </xdr:from>
    <xdr:to>
      <xdr:col>23</xdr:col>
      <xdr:colOff>391426</xdr:colOff>
      <xdr:row>34</xdr:row>
      <xdr:rowOff>160426</xdr:rowOff>
    </xdr:to>
    <xdr:grpSp>
      <xdr:nvGrpSpPr>
        <xdr:cNvPr id="2" name="Group 1">
          <a:extLst>
            <a:ext uri="{FF2B5EF4-FFF2-40B4-BE49-F238E27FC236}">
              <a16:creationId xmlns:a16="http://schemas.microsoft.com/office/drawing/2014/main" id="{0FC0A534-9721-5FB4-D892-65A850CDF472}"/>
            </a:ext>
          </a:extLst>
        </xdr:cNvPr>
        <xdr:cNvGrpSpPr/>
      </xdr:nvGrpSpPr>
      <xdr:grpSpPr>
        <a:xfrm>
          <a:off x="181244" y="246151"/>
          <a:ext cx="14240828" cy="6464050"/>
          <a:chOff x="149138" y="192640"/>
          <a:chExt cx="14240828" cy="6464050"/>
        </a:xfrm>
      </xdr:grpSpPr>
      <xdr:sp macro="" textlink="">
        <xdr:nvSpPr>
          <xdr:cNvPr id="29" name="Rectangle: Rounded Corners 28">
            <a:extLst>
              <a:ext uri="{FF2B5EF4-FFF2-40B4-BE49-F238E27FC236}">
                <a16:creationId xmlns:a16="http://schemas.microsoft.com/office/drawing/2014/main" id="{8EF2E521-CE38-5B39-858E-EFAC9952F091}"/>
              </a:ext>
            </a:extLst>
          </xdr:cNvPr>
          <xdr:cNvSpPr/>
        </xdr:nvSpPr>
        <xdr:spPr>
          <a:xfrm>
            <a:off x="216445" y="192640"/>
            <a:ext cx="14173521" cy="6464050"/>
          </a:xfrm>
          <a:prstGeom prst="roundRect">
            <a:avLst/>
          </a:prstGeom>
          <a:gradFill>
            <a:gsLst>
              <a:gs pos="32000">
                <a:schemeClr val="accent3">
                  <a:lumMod val="40000"/>
                  <a:lumOff val="60000"/>
                </a:schemeClr>
              </a:gs>
              <a:gs pos="64000">
                <a:schemeClr val="accent1">
                  <a:lumMod val="45000"/>
                  <a:lumOff val="55000"/>
                </a:schemeClr>
              </a:gs>
              <a:gs pos="94000">
                <a:schemeClr val="accent1">
                  <a:lumMod val="45000"/>
                  <a:lumOff val="55000"/>
                </a:schemeClr>
              </a:gs>
            </a:gsLst>
            <a:lin ang="4800000" scaled="0"/>
          </a:gradFill>
          <a:ln cap="sq" cmpd="sng">
            <a:gradFill>
              <a:gsLst>
                <a:gs pos="32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miter lim="800000"/>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ES" sz="1100">
              <a:solidFill>
                <a:schemeClr val="lt1"/>
              </a:solidFill>
              <a:latin typeface="+mn-lt"/>
              <a:ea typeface="+mn-ea"/>
              <a:cs typeface="+mn-cs"/>
            </a:endParaRPr>
          </a:p>
        </xdr:txBody>
      </xdr:sp>
      <xdr:sp macro="" textlink="">
        <xdr:nvSpPr>
          <xdr:cNvPr id="38" name="Rectangle: Rounded Corners 37">
            <a:extLst>
              <a:ext uri="{FF2B5EF4-FFF2-40B4-BE49-F238E27FC236}">
                <a16:creationId xmlns:a16="http://schemas.microsoft.com/office/drawing/2014/main" id="{811A4D06-6603-4BC2-AD94-7CF11F3EACD8}"/>
              </a:ext>
            </a:extLst>
          </xdr:cNvPr>
          <xdr:cNvSpPr/>
        </xdr:nvSpPr>
        <xdr:spPr>
          <a:xfrm>
            <a:off x="603685" y="1876924"/>
            <a:ext cx="1662830" cy="852800"/>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ES" sz="1100">
              <a:solidFill>
                <a:schemeClr val="lt1"/>
              </a:solidFill>
              <a:latin typeface="+mn-lt"/>
              <a:ea typeface="+mn-ea"/>
              <a:cs typeface="+mn-cs"/>
            </a:endParaRPr>
          </a:p>
        </xdr:txBody>
      </xdr:sp>
      <xdr:sp macro="" textlink="">
        <xdr:nvSpPr>
          <xdr:cNvPr id="42" name="Rectangle: Rounded Corners 41">
            <a:extLst>
              <a:ext uri="{FF2B5EF4-FFF2-40B4-BE49-F238E27FC236}">
                <a16:creationId xmlns:a16="http://schemas.microsoft.com/office/drawing/2014/main" id="{AC6F4A89-500F-43EC-A782-B020E37BE6BB}"/>
              </a:ext>
            </a:extLst>
          </xdr:cNvPr>
          <xdr:cNvSpPr/>
        </xdr:nvSpPr>
        <xdr:spPr>
          <a:xfrm>
            <a:off x="603685" y="2960909"/>
            <a:ext cx="1662830" cy="852800"/>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ES" sz="1100">
              <a:solidFill>
                <a:schemeClr val="lt1"/>
              </a:solidFill>
              <a:latin typeface="+mn-lt"/>
              <a:ea typeface="+mn-ea"/>
              <a:cs typeface="+mn-cs"/>
            </a:endParaRPr>
          </a:p>
        </xdr:txBody>
      </xdr:sp>
      <xdr:sp macro="" textlink="">
        <xdr:nvSpPr>
          <xdr:cNvPr id="43" name="Rectangle: Rounded Corners 42">
            <a:extLst>
              <a:ext uri="{FF2B5EF4-FFF2-40B4-BE49-F238E27FC236}">
                <a16:creationId xmlns:a16="http://schemas.microsoft.com/office/drawing/2014/main" id="{B17BAD77-3442-4022-87B8-C3AF76181D90}"/>
              </a:ext>
            </a:extLst>
          </xdr:cNvPr>
          <xdr:cNvSpPr/>
        </xdr:nvSpPr>
        <xdr:spPr>
          <a:xfrm>
            <a:off x="610028" y="4016875"/>
            <a:ext cx="1662830" cy="852800"/>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ES" sz="1100">
              <a:solidFill>
                <a:schemeClr val="lt1"/>
              </a:solidFill>
              <a:latin typeface="+mn-lt"/>
              <a:ea typeface="+mn-ea"/>
              <a:cs typeface="+mn-cs"/>
            </a:endParaRPr>
          </a:p>
        </xdr:txBody>
      </xdr:sp>
      <xdr:sp macro="" textlink="">
        <xdr:nvSpPr>
          <xdr:cNvPr id="44" name="Rectangle: Rounded Corners 43">
            <a:extLst>
              <a:ext uri="{FF2B5EF4-FFF2-40B4-BE49-F238E27FC236}">
                <a16:creationId xmlns:a16="http://schemas.microsoft.com/office/drawing/2014/main" id="{1E0C4185-F55B-4E4C-B710-58BD7684A90D}"/>
              </a:ext>
            </a:extLst>
          </xdr:cNvPr>
          <xdr:cNvSpPr/>
        </xdr:nvSpPr>
        <xdr:spPr>
          <a:xfrm>
            <a:off x="610028" y="5113774"/>
            <a:ext cx="1662830" cy="852800"/>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ES" sz="1100">
              <a:solidFill>
                <a:schemeClr val="lt1"/>
              </a:solidFill>
              <a:latin typeface="+mn-lt"/>
              <a:ea typeface="+mn-ea"/>
              <a:cs typeface="+mn-cs"/>
            </a:endParaRPr>
          </a:p>
        </xdr:txBody>
      </xdr:sp>
      <xdr:sp macro="" textlink="">
        <xdr:nvSpPr>
          <xdr:cNvPr id="23" name="Rectangle: Rounded Corners 22">
            <a:extLst>
              <a:ext uri="{FF2B5EF4-FFF2-40B4-BE49-F238E27FC236}">
                <a16:creationId xmlns:a16="http://schemas.microsoft.com/office/drawing/2014/main" id="{7059220A-1889-4B5C-AF8E-5BF08F3B7EF3}"/>
              </a:ext>
            </a:extLst>
          </xdr:cNvPr>
          <xdr:cNvSpPr/>
        </xdr:nvSpPr>
        <xdr:spPr>
          <a:xfrm>
            <a:off x="2667462" y="870214"/>
            <a:ext cx="4721442" cy="2223979"/>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 textlink="">
        <xdr:nvSpPr>
          <xdr:cNvPr id="21" name="Rectangle: Rounded Corners 20">
            <a:extLst>
              <a:ext uri="{FF2B5EF4-FFF2-40B4-BE49-F238E27FC236}">
                <a16:creationId xmlns:a16="http://schemas.microsoft.com/office/drawing/2014/main" id="{2AA66C55-903B-4987-A610-150F0A4B73D1}"/>
              </a:ext>
            </a:extLst>
          </xdr:cNvPr>
          <xdr:cNvSpPr/>
        </xdr:nvSpPr>
        <xdr:spPr>
          <a:xfrm>
            <a:off x="10927819" y="466190"/>
            <a:ext cx="3212494" cy="5952804"/>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 textlink="">
        <xdr:nvSpPr>
          <xdr:cNvPr id="22" name="Rectangle: Rounded Corners 21">
            <a:extLst>
              <a:ext uri="{FF2B5EF4-FFF2-40B4-BE49-F238E27FC236}">
                <a16:creationId xmlns:a16="http://schemas.microsoft.com/office/drawing/2014/main" id="{FEDDB880-8B6A-449E-A35D-297B5543B64A}"/>
              </a:ext>
            </a:extLst>
          </xdr:cNvPr>
          <xdr:cNvSpPr/>
        </xdr:nvSpPr>
        <xdr:spPr>
          <a:xfrm>
            <a:off x="7550343" y="3181898"/>
            <a:ext cx="3313798" cy="3195256"/>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 textlink="">
        <xdr:nvSpPr>
          <xdr:cNvPr id="20" name="Rectangle: Rounded Corners 19">
            <a:extLst>
              <a:ext uri="{FF2B5EF4-FFF2-40B4-BE49-F238E27FC236}">
                <a16:creationId xmlns:a16="http://schemas.microsoft.com/office/drawing/2014/main" id="{9C8FAD71-6750-41D2-AB50-F1E8AA55DA96}"/>
              </a:ext>
            </a:extLst>
          </xdr:cNvPr>
          <xdr:cNvSpPr/>
        </xdr:nvSpPr>
        <xdr:spPr>
          <a:xfrm>
            <a:off x="7550344" y="439348"/>
            <a:ext cx="3303094" cy="2654847"/>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 textlink="">
        <xdr:nvSpPr>
          <xdr:cNvPr id="18" name="Rectangle: Rounded Corners 17">
            <a:extLst>
              <a:ext uri="{FF2B5EF4-FFF2-40B4-BE49-F238E27FC236}">
                <a16:creationId xmlns:a16="http://schemas.microsoft.com/office/drawing/2014/main" id="{41D2F269-E124-44BC-9B41-A4B33270EFCB}"/>
              </a:ext>
            </a:extLst>
          </xdr:cNvPr>
          <xdr:cNvSpPr/>
        </xdr:nvSpPr>
        <xdr:spPr>
          <a:xfrm>
            <a:off x="2661727" y="3181898"/>
            <a:ext cx="4727176" cy="3244052"/>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 textlink="">
        <xdr:nvSpPr>
          <xdr:cNvPr id="15" name="Rectangle: Rounded Corners 14">
            <a:extLst>
              <a:ext uri="{FF2B5EF4-FFF2-40B4-BE49-F238E27FC236}">
                <a16:creationId xmlns:a16="http://schemas.microsoft.com/office/drawing/2014/main" id="{3A8221C7-542A-926D-1F30-88C38FF8F891}"/>
              </a:ext>
            </a:extLst>
          </xdr:cNvPr>
          <xdr:cNvSpPr/>
        </xdr:nvSpPr>
        <xdr:spPr>
          <a:xfrm>
            <a:off x="610028" y="737288"/>
            <a:ext cx="1662830" cy="852800"/>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s-ES" sz="1100">
              <a:solidFill>
                <a:schemeClr val="lt1"/>
              </a:solidFill>
              <a:latin typeface="+mn-lt"/>
              <a:ea typeface="+mn-ea"/>
              <a:cs typeface="+mn-cs"/>
            </a:endParaRPr>
          </a:p>
        </xdr:txBody>
      </xdr:sp>
      <xdr:sp macro="" textlink="">
        <xdr:nvSpPr>
          <xdr:cNvPr id="3" name="Rectangle 2">
            <a:extLst>
              <a:ext uri="{FF2B5EF4-FFF2-40B4-BE49-F238E27FC236}">
                <a16:creationId xmlns:a16="http://schemas.microsoft.com/office/drawing/2014/main" id="{DFBD3E89-B1B4-E0EC-3A95-A8CCFAF4B81A}"/>
              </a:ext>
            </a:extLst>
          </xdr:cNvPr>
          <xdr:cNvSpPr/>
        </xdr:nvSpPr>
        <xdr:spPr>
          <a:xfrm>
            <a:off x="633276" y="1874154"/>
            <a:ext cx="1620534" cy="675312"/>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marL="0" indent="0" algn="ctr"/>
            <a:r>
              <a:rPr lang="es-ES" sz="1000" b="1" i="1" u="none" baseline="0">
                <a:solidFill>
                  <a:schemeClr val="bg2">
                    <a:lumMod val="50000"/>
                  </a:schemeClr>
                </a:solidFill>
                <a:latin typeface="Bahnschrift" panose="020B0502040204020203" pitchFamily="34" charset="0"/>
                <a:ea typeface="+mn-ea"/>
                <a:cs typeface="+mn-cs"/>
              </a:rPr>
              <a:t>VENTAS TOTALES</a:t>
            </a:r>
          </a:p>
        </xdr:txBody>
      </xdr:sp>
      <xdr:sp macro="" textlink="">
        <xdr:nvSpPr>
          <xdr:cNvPr id="4" name="Rectangle 3">
            <a:extLst>
              <a:ext uri="{FF2B5EF4-FFF2-40B4-BE49-F238E27FC236}">
                <a16:creationId xmlns:a16="http://schemas.microsoft.com/office/drawing/2014/main" id="{AFA813B4-DF58-484C-B7D7-EC724D32D41F}"/>
              </a:ext>
            </a:extLst>
          </xdr:cNvPr>
          <xdr:cNvSpPr/>
        </xdr:nvSpPr>
        <xdr:spPr>
          <a:xfrm>
            <a:off x="481810" y="5125861"/>
            <a:ext cx="1827514" cy="840713"/>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marL="0" indent="0" algn="ctr"/>
            <a:r>
              <a:rPr lang="es-ES" sz="1000" b="1" i="1" u="none" baseline="0">
                <a:solidFill>
                  <a:schemeClr val="bg2">
                    <a:lumMod val="50000"/>
                  </a:schemeClr>
                </a:solidFill>
                <a:latin typeface="Bahnschrift" panose="020B0502040204020203" pitchFamily="34" charset="0"/>
                <a:ea typeface="+mn-ea"/>
                <a:cs typeface="+mn-cs"/>
              </a:rPr>
              <a:t>VENTAS PROMEDIO</a:t>
            </a:r>
            <a:endParaRPr lang="es-ES" sz="1400" b="1" i="1" u="none">
              <a:solidFill>
                <a:schemeClr val="lt1"/>
              </a:solidFill>
              <a:latin typeface="+mn-lt"/>
              <a:ea typeface="+mn-ea"/>
              <a:cs typeface="+mn-cs"/>
            </a:endParaRPr>
          </a:p>
          <a:p>
            <a:pPr marL="0" indent="0" algn="l"/>
            <a:endParaRPr lang="es-ES" sz="1400" b="1" i="1" u="none">
              <a:solidFill>
                <a:schemeClr val="lt1"/>
              </a:solidFill>
              <a:latin typeface="+mn-lt"/>
              <a:ea typeface="+mn-ea"/>
              <a:cs typeface="+mn-cs"/>
            </a:endParaRPr>
          </a:p>
        </xdr:txBody>
      </xdr:sp>
      <xdr:sp macro="" textlink="">
        <xdr:nvSpPr>
          <xdr:cNvPr id="5" name="Rectangle 4">
            <a:extLst>
              <a:ext uri="{FF2B5EF4-FFF2-40B4-BE49-F238E27FC236}">
                <a16:creationId xmlns:a16="http://schemas.microsoft.com/office/drawing/2014/main" id="{D000A68A-9182-4974-99BD-3B4641051D3D}"/>
              </a:ext>
            </a:extLst>
          </xdr:cNvPr>
          <xdr:cNvSpPr/>
        </xdr:nvSpPr>
        <xdr:spPr>
          <a:xfrm>
            <a:off x="11038481" y="555340"/>
            <a:ext cx="3050140" cy="675312"/>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marL="0" indent="0" algn="ctr"/>
            <a:r>
              <a:rPr lang="es-ES" sz="1400" b="1" i="1" u="none" baseline="0">
                <a:solidFill>
                  <a:schemeClr val="bg2">
                    <a:lumMod val="50000"/>
                  </a:schemeClr>
                </a:solidFill>
                <a:latin typeface="Bahnschrift" panose="020B0502040204020203" pitchFamily="34" charset="0"/>
                <a:ea typeface="+mn-ea"/>
                <a:cs typeface="+mn-cs"/>
              </a:rPr>
              <a:t>VENTA TOTAL POR PAIS</a:t>
            </a:r>
          </a:p>
          <a:p>
            <a:pPr marL="0" indent="0" algn="ctr"/>
            <a:endParaRPr lang="es-ES" sz="1400" b="1" i="1" u="none" baseline="0">
              <a:solidFill>
                <a:schemeClr val="bg2">
                  <a:lumMod val="50000"/>
                </a:schemeClr>
              </a:solidFill>
              <a:latin typeface="Bahnschrift" panose="020B0502040204020203" pitchFamily="34" charset="0"/>
              <a:ea typeface="+mn-ea"/>
              <a:cs typeface="+mn-cs"/>
            </a:endParaRPr>
          </a:p>
          <a:p>
            <a:pPr marL="0" indent="0" algn="l"/>
            <a:endParaRPr lang="es-ES" sz="1400" b="1" i="1" u="none">
              <a:solidFill>
                <a:schemeClr val="lt1"/>
              </a:solidFill>
              <a:latin typeface="+mn-lt"/>
              <a:ea typeface="+mn-ea"/>
              <a:cs typeface="+mn-cs"/>
            </a:endParaRPr>
          </a:p>
        </xdr:txBody>
      </xdr:sp>
      <xdr:sp macro="" textlink="">
        <xdr:nvSpPr>
          <xdr:cNvPr id="6" name="Rectangle 5">
            <a:extLst>
              <a:ext uri="{FF2B5EF4-FFF2-40B4-BE49-F238E27FC236}">
                <a16:creationId xmlns:a16="http://schemas.microsoft.com/office/drawing/2014/main" id="{98474099-6529-4A64-969E-B121880B41EF}"/>
              </a:ext>
            </a:extLst>
          </xdr:cNvPr>
          <xdr:cNvSpPr/>
        </xdr:nvSpPr>
        <xdr:spPr>
          <a:xfrm>
            <a:off x="8425631" y="535182"/>
            <a:ext cx="1772934" cy="596972"/>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marL="0" indent="0" algn="ctr"/>
            <a:r>
              <a:rPr lang="es-ES" sz="1400" b="1" i="1" u="none" baseline="0">
                <a:solidFill>
                  <a:schemeClr val="bg2">
                    <a:lumMod val="50000"/>
                  </a:schemeClr>
                </a:solidFill>
                <a:latin typeface="Bahnschrift" panose="020B0502040204020203" pitchFamily="34" charset="0"/>
                <a:ea typeface="+mn-ea"/>
                <a:cs typeface="+mn-cs"/>
              </a:rPr>
              <a:t>TOP 10 CLIENTES</a:t>
            </a:r>
          </a:p>
          <a:p>
            <a:pPr marL="0" indent="0" algn="ctr"/>
            <a:endParaRPr lang="es-ES" sz="1400" b="1" i="1" u="none" baseline="0">
              <a:solidFill>
                <a:schemeClr val="bg2">
                  <a:lumMod val="50000"/>
                </a:schemeClr>
              </a:solidFill>
              <a:latin typeface="Bahnschrift" panose="020B0502040204020203" pitchFamily="34" charset="0"/>
              <a:ea typeface="+mn-ea"/>
              <a:cs typeface="+mn-cs"/>
            </a:endParaRPr>
          </a:p>
        </xdr:txBody>
      </xdr:sp>
      <xdr:sp macro="" textlink="">
        <xdr:nvSpPr>
          <xdr:cNvPr id="7" name="Rectangle 6">
            <a:extLst>
              <a:ext uri="{FF2B5EF4-FFF2-40B4-BE49-F238E27FC236}">
                <a16:creationId xmlns:a16="http://schemas.microsoft.com/office/drawing/2014/main" id="{AA3FCAAD-F254-4920-B719-595BD4AC3A53}"/>
              </a:ext>
            </a:extLst>
          </xdr:cNvPr>
          <xdr:cNvSpPr/>
        </xdr:nvSpPr>
        <xdr:spPr>
          <a:xfrm>
            <a:off x="3571863" y="713673"/>
            <a:ext cx="3138446" cy="722937"/>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r>
              <a:rPr lang="es-ES" sz="1400" b="1" i="1" u="none" baseline="0">
                <a:solidFill>
                  <a:schemeClr val="bg2">
                    <a:lumMod val="50000"/>
                  </a:schemeClr>
                </a:solidFill>
                <a:latin typeface="Bahnschrift" panose="020B0502040204020203" pitchFamily="34" charset="0"/>
                <a:ea typeface="+mn-ea"/>
                <a:cs typeface="+mn-cs"/>
              </a:rPr>
              <a:t>VENTAS POR LINEA DE PRODUCTOS</a:t>
            </a:r>
          </a:p>
        </xdr:txBody>
      </xdr:sp>
      <xdr:sp macro="" textlink="">
        <xdr:nvSpPr>
          <xdr:cNvPr id="8" name="Rectangle 7">
            <a:extLst>
              <a:ext uri="{FF2B5EF4-FFF2-40B4-BE49-F238E27FC236}">
                <a16:creationId xmlns:a16="http://schemas.microsoft.com/office/drawing/2014/main" id="{5F5A6AEC-06DD-4E3F-A46F-AC78D5874085}"/>
              </a:ext>
            </a:extLst>
          </xdr:cNvPr>
          <xdr:cNvSpPr/>
        </xdr:nvSpPr>
        <xdr:spPr>
          <a:xfrm>
            <a:off x="3864906" y="3237614"/>
            <a:ext cx="2325814" cy="454097"/>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marL="0" indent="0" algn="ctr"/>
            <a:r>
              <a:rPr lang="es-ES" sz="1400" b="1" i="1" u="none" baseline="0">
                <a:solidFill>
                  <a:schemeClr val="bg2">
                    <a:lumMod val="50000"/>
                  </a:schemeClr>
                </a:solidFill>
                <a:latin typeface="Bahnschrift" panose="020B0502040204020203" pitchFamily="34" charset="0"/>
                <a:ea typeface="+mn-ea"/>
                <a:cs typeface="+mn-cs"/>
              </a:rPr>
              <a:t>VENTAS EN EL TIEMPO</a:t>
            </a:r>
          </a:p>
          <a:p>
            <a:pPr marL="0" indent="0" algn="ctr"/>
            <a:endParaRPr lang="es-ES" sz="1400" b="1" i="1" u="none" baseline="0">
              <a:solidFill>
                <a:schemeClr val="bg2">
                  <a:lumMod val="50000"/>
                </a:schemeClr>
              </a:solidFill>
              <a:latin typeface="Bahnschrift" panose="020B0502040204020203" pitchFamily="34" charset="0"/>
              <a:ea typeface="+mn-ea"/>
              <a:cs typeface="+mn-cs"/>
            </a:endParaRPr>
          </a:p>
          <a:p>
            <a:pPr marL="0" indent="0" algn="l"/>
            <a:endParaRPr lang="es-ES" sz="1400" b="1" i="1" u="none">
              <a:solidFill>
                <a:schemeClr val="lt1"/>
              </a:solidFill>
              <a:latin typeface="+mn-lt"/>
              <a:ea typeface="+mn-ea"/>
              <a:cs typeface="+mn-cs"/>
            </a:endParaRPr>
          </a:p>
        </xdr:txBody>
      </xdr:sp>
      <xdr:sp macro="" textlink="">
        <xdr:nvSpPr>
          <xdr:cNvPr id="9" name="Rectangle 8">
            <a:extLst>
              <a:ext uri="{FF2B5EF4-FFF2-40B4-BE49-F238E27FC236}">
                <a16:creationId xmlns:a16="http://schemas.microsoft.com/office/drawing/2014/main" id="{5E8A9925-3294-4E7F-BA94-FC9BCEA662EC}"/>
              </a:ext>
            </a:extLst>
          </xdr:cNvPr>
          <xdr:cNvSpPr/>
        </xdr:nvSpPr>
        <xdr:spPr>
          <a:xfrm>
            <a:off x="633276" y="698047"/>
            <a:ext cx="1639582" cy="432904"/>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r>
              <a:rPr lang="es-ES" sz="1000" b="1" i="1" u="none" baseline="0">
                <a:solidFill>
                  <a:schemeClr val="bg2">
                    <a:lumMod val="50000"/>
                  </a:schemeClr>
                </a:solidFill>
                <a:latin typeface="Bahnschrift" panose="020B0502040204020203" pitchFamily="34" charset="0"/>
                <a:ea typeface="+mn-ea"/>
                <a:cs typeface="+mn-cs"/>
              </a:rPr>
              <a:t>VENTAS  NETAS</a:t>
            </a:r>
          </a:p>
          <a:p>
            <a:pPr algn="l"/>
            <a:endParaRPr lang="es-ES" sz="1400" b="1" i="1" u="none">
              <a:solidFill>
                <a:schemeClr val="bg2">
                  <a:lumMod val="50000"/>
                </a:schemeClr>
              </a:solidFill>
            </a:endParaRPr>
          </a:p>
        </xdr:txBody>
      </xdr:sp>
      <xdr:sp macro="" textlink="">
        <xdr:nvSpPr>
          <xdr:cNvPr id="10" name="Rectangle 9">
            <a:extLst>
              <a:ext uri="{FF2B5EF4-FFF2-40B4-BE49-F238E27FC236}">
                <a16:creationId xmlns:a16="http://schemas.microsoft.com/office/drawing/2014/main" id="{DD6983DD-76B0-4D9E-85AA-DCD8BE4E8346}"/>
              </a:ext>
            </a:extLst>
          </xdr:cNvPr>
          <xdr:cNvSpPr/>
        </xdr:nvSpPr>
        <xdr:spPr>
          <a:xfrm>
            <a:off x="534032" y="2960909"/>
            <a:ext cx="1839609" cy="269808"/>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marL="0" indent="0" algn="ctr"/>
            <a:r>
              <a:rPr lang="es-ES" sz="1000" b="1" i="1" u="none" baseline="0">
                <a:solidFill>
                  <a:schemeClr val="bg2">
                    <a:lumMod val="50000"/>
                  </a:schemeClr>
                </a:solidFill>
                <a:latin typeface="Bahnschrift" panose="020B0502040204020203" pitchFamily="34" charset="0"/>
                <a:ea typeface="+mn-ea"/>
                <a:cs typeface="+mn-cs"/>
              </a:rPr>
              <a:t>VENTAS CANCELADAS</a:t>
            </a:r>
          </a:p>
        </xdr:txBody>
      </xdr:sp>
      <xdr:sp macro="" textlink="'Tablas Dinámicas'!C6">
        <xdr:nvSpPr>
          <xdr:cNvPr id="12" name="Rectangle 11">
            <a:extLst>
              <a:ext uri="{FF2B5EF4-FFF2-40B4-BE49-F238E27FC236}">
                <a16:creationId xmlns:a16="http://schemas.microsoft.com/office/drawing/2014/main" id="{16F16043-DE51-A7FC-ECAA-33ED395B0D1B}"/>
              </a:ext>
            </a:extLst>
          </xdr:cNvPr>
          <xdr:cNvSpPr/>
        </xdr:nvSpPr>
        <xdr:spPr>
          <a:xfrm>
            <a:off x="149138" y="963202"/>
            <a:ext cx="2518324" cy="471007"/>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3EDCF11C-4F71-4B89-99C3-FB4B21341DB3}" type="TxLink">
              <a:rPr lang="en-US" sz="1400" b="0" i="0" u="none" strike="noStrike" baseline="0">
                <a:solidFill>
                  <a:srgbClr val="000000"/>
                </a:solidFill>
                <a:latin typeface="Aptos Narrow"/>
                <a:ea typeface="+mn-ea"/>
                <a:cs typeface="+mn-cs"/>
              </a:rPr>
              <a:pPr marL="0" indent="0" algn="ctr"/>
              <a:t> $308.814.380 </a:t>
            </a:fld>
            <a:endParaRPr lang="es-ES" sz="1400" b="0" i="0" u="none" strike="noStrike" baseline="0">
              <a:solidFill>
                <a:srgbClr val="000000"/>
              </a:solidFill>
              <a:latin typeface="Aptos Narrow"/>
              <a:ea typeface="+mn-ea"/>
              <a:cs typeface="+mn-cs"/>
            </a:endParaRPr>
          </a:p>
        </xdr:txBody>
      </xdr:sp>
      <xdr:sp macro="" textlink="">
        <xdr:nvSpPr>
          <xdr:cNvPr id="14" name="Rectangle 13">
            <a:extLst>
              <a:ext uri="{FF2B5EF4-FFF2-40B4-BE49-F238E27FC236}">
                <a16:creationId xmlns:a16="http://schemas.microsoft.com/office/drawing/2014/main" id="{3F436A3D-6577-4C52-84E3-A09C48B9C7B9}"/>
              </a:ext>
            </a:extLst>
          </xdr:cNvPr>
          <xdr:cNvSpPr/>
        </xdr:nvSpPr>
        <xdr:spPr>
          <a:xfrm>
            <a:off x="1117421" y="316471"/>
            <a:ext cx="4441646" cy="432904"/>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s-ES" sz="2000" b="1" i="1" u="sng"/>
              <a:t>DASH</a:t>
            </a:r>
            <a:r>
              <a:rPr lang="es-ES" sz="2000" b="1" i="1" u="sng" baseline="0"/>
              <a:t>BOARD DE ANÁLISIS DE VENTAS </a:t>
            </a:r>
            <a:endParaRPr lang="es-ES" sz="2000" b="1" i="1" u="sng"/>
          </a:p>
        </xdr:txBody>
      </xdr:sp>
      <xdr:sp macro="" textlink="'Tablas Dinámicas'!B6">
        <xdr:nvSpPr>
          <xdr:cNvPr id="24" name="Rectangle 23">
            <a:extLst>
              <a:ext uri="{FF2B5EF4-FFF2-40B4-BE49-F238E27FC236}">
                <a16:creationId xmlns:a16="http://schemas.microsoft.com/office/drawing/2014/main" id="{9A247E37-2840-486F-A472-06E13D343549}"/>
              </a:ext>
            </a:extLst>
          </xdr:cNvPr>
          <xdr:cNvSpPr/>
        </xdr:nvSpPr>
        <xdr:spPr>
          <a:xfrm>
            <a:off x="658455" y="1949069"/>
            <a:ext cx="1523404" cy="738994"/>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CCE83E2B-0235-40DA-B040-251FE060EF3E}" type="TxLink">
              <a:rPr lang="en-US" sz="1400" b="0" i="0" u="none" strike="noStrike" baseline="0">
                <a:solidFill>
                  <a:srgbClr val="000000"/>
                </a:solidFill>
                <a:latin typeface="Aptos Narrow"/>
                <a:ea typeface="+mn-ea"/>
                <a:cs typeface="+mn-cs"/>
              </a:rPr>
              <a:pPr marL="0" indent="0" algn="ctr"/>
              <a:t> $331.470.912 </a:t>
            </a:fld>
            <a:endParaRPr lang="es-ES" sz="1400" b="1" i="1" u="none" baseline="0">
              <a:solidFill>
                <a:schemeClr val="accent1"/>
              </a:solidFill>
              <a:latin typeface="Bahnschrift" panose="020B0502040204020203" pitchFamily="34" charset="0"/>
              <a:ea typeface="+mn-ea"/>
              <a:cs typeface="+mn-cs"/>
            </a:endParaRPr>
          </a:p>
        </xdr:txBody>
      </xdr:sp>
      <xdr:sp macro="" textlink="'Tablas Dinámicas'!B21">
        <xdr:nvSpPr>
          <xdr:cNvPr id="25" name="Rectangle 24">
            <a:extLst>
              <a:ext uri="{FF2B5EF4-FFF2-40B4-BE49-F238E27FC236}">
                <a16:creationId xmlns:a16="http://schemas.microsoft.com/office/drawing/2014/main" id="{48F40048-9C37-8E53-945A-7513C7FE92CE}"/>
              </a:ext>
            </a:extLst>
          </xdr:cNvPr>
          <xdr:cNvSpPr/>
        </xdr:nvSpPr>
        <xdr:spPr>
          <a:xfrm>
            <a:off x="1003090" y="3698269"/>
            <a:ext cx="781478" cy="318606"/>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E486022C-531D-4C5A-A4ED-F3EC9B836BA9}" type="TxLink">
              <a:rPr lang="en-US" sz="1100" b="0" i="0" u="none" strike="noStrike" baseline="0">
                <a:solidFill>
                  <a:srgbClr val="000000"/>
                </a:solidFill>
                <a:latin typeface="Aptos Narrow"/>
                <a:ea typeface="+mn-ea"/>
                <a:cs typeface="+mn-cs"/>
              </a:rPr>
              <a:pPr marL="0" indent="0" algn="ctr"/>
              <a:t> $7.991.317 </a:t>
            </a:fld>
            <a:endParaRPr lang="es-ES" sz="1100" b="0" i="0" u="none" strike="noStrike" baseline="0">
              <a:solidFill>
                <a:srgbClr val="000000"/>
              </a:solidFill>
              <a:latin typeface="Aptos Narrow"/>
              <a:ea typeface="+mn-ea"/>
              <a:cs typeface="+mn-cs"/>
            </a:endParaRPr>
          </a:p>
        </xdr:txBody>
      </xdr:sp>
      <xdr:sp macro="" textlink="'Tablas Dinámicas'!S6">
        <xdr:nvSpPr>
          <xdr:cNvPr id="26" name="Rectangle 25">
            <a:extLst>
              <a:ext uri="{FF2B5EF4-FFF2-40B4-BE49-F238E27FC236}">
                <a16:creationId xmlns:a16="http://schemas.microsoft.com/office/drawing/2014/main" id="{19ED04E0-5CEA-9BE6-CF65-138186CD552B}"/>
              </a:ext>
            </a:extLst>
          </xdr:cNvPr>
          <xdr:cNvSpPr/>
        </xdr:nvSpPr>
        <xdr:spPr>
          <a:xfrm>
            <a:off x="608948" y="5368101"/>
            <a:ext cx="1572911" cy="411112"/>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FD2AB725-21AE-40BB-9D83-AB41FA2315EC}" type="TxLink">
              <a:rPr lang="en-US" sz="1400" b="0" i="0" u="none" strike="noStrike" baseline="0">
                <a:solidFill>
                  <a:srgbClr val="000000"/>
                </a:solidFill>
                <a:latin typeface="Aptos Narrow"/>
                <a:ea typeface="+mn-ea"/>
                <a:cs typeface="+mn-cs"/>
              </a:rPr>
              <a:pPr marL="0" indent="0" algn="ctr"/>
              <a:t> $109.392 </a:t>
            </a:fld>
            <a:endParaRPr lang="es-ES" sz="1400" b="0" i="0" u="none" strike="noStrike" baseline="0">
              <a:solidFill>
                <a:srgbClr val="000000"/>
              </a:solidFill>
              <a:latin typeface="Aptos Narrow"/>
              <a:ea typeface="+mn-ea"/>
              <a:cs typeface="+mn-cs"/>
            </a:endParaRPr>
          </a:p>
        </xdr:txBody>
      </xdr:sp>
      <xdr:graphicFrame macro="">
        <xdr:nvGraphicFramePr>
          <xdr:cNvPr id="30" name="Chart 29">
            <a:extLst>
              <a:ext uri="{FF2B5EF4-FFF2-40B4-BE49-F238E27FC236}">
                <a16:creationId xmlns:a16="http://schemas.microsoft.com/office/drawing/2014/main" id="{14A3CD83-835E-486E-9CC8-54C774E75DBE}"/>
              </a:ext>
            </a:extLst>
          </xdr:cNvPr>
          <xdr:cNvGraphicFramePr>
            <a:graphicFrameLocks/>
          </xdr:cNvGraphicFramePr>
        </xdr:nvGraphicFramePr>
        <xdr:xfrm>
          <a:off x="2716102" y="2889608"/>
          <a:ext cx="4455853" cy="3450180"/>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28" name="Rectangle 27">
            <a:extLst>
              <a:ext uri="{FF2B5EF4-FFF2-40B4-BE49-F238E27FC236}">
                <a16:creationId xmlns:a16="http://schemas.microsoft.com/office/drawing/2014/main" id="{BC9FAEAB-54A0-4933-89E7-405AFBF556C6}"/>
              </a:ext>
            </a:extLst>
          </xdr:cNvPr>
          <xdr:cNvSpPr/>
        </xdr:nvSpPr>
        <xdr:spPr>
          <a:xfrm>
            <a:off x="527689" y="3934575"/>
            <a:ext cx="1811034" cy="539821"/>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r>
              <a:rPr lang="es-ES" sz="1000" b="1" i="1" u="none" baseline="0">
                <a:solidFill>
                  <a:schemeClr val="bg2">
                    <a:lumMod val="50000"/>
                  </a:schemeClr>
                </a:solidFill>
                <a:latin typeface="Bahnschrift" panose="020B0502040204020203" pitchFamily="34" charset="0"/>
                <a:ea typeface="+mn-ea"/>
                <a:cs typeface="+mn-cs"/>
              </a:rPr>
              <a:t>VENTAS PENDIENTES</a:t>
            </a:r>
          </a:p>
          <a:p>
            <a:pPr marL="0" indent="0" algn="ctr"/>
            <a:endParaRPr lang="es-ES" sz="1000" b="1" i="1" u="none" baseline="0">
              <a:solidFill>
                <a:schemeClr val="bg2">
                  <a:lumMod val="50000"/>
                </a:schemeClr>
              </a:solidFill>
              <a:latin typeface="Bahnschrift" panose="020B0502040204020203" pitchFamily="34" charset="0"/>
              <a:ea typeface="+mn-ea"/>
              <a:cs typeface="+mn-cs"/>
            </a:endParaRPr>
          </a:p>
        </xdr:txBody>
      </xdr:sp>
      <xdr:sp macro="" textlink="'Tablas Dinámicas'!B33">
        <xdr:nvSpPr>
          <xdr:cNvPr id="31" name="Rectangle 30">
            <a:extLst>
              <a:ext uri="{FF2B5EF4-FFF2-40B4-BE49-F238E27FC236}">
                <a16:creationId xmlns:a16="http://schemas.microsoft.com/office/drawing/2014/main" id="{5F4BC217-4985-4AEE-950B-0821448827E7}"/>
              </a:ext>
            </a:extLst>
          </xdr:cNvPr>
          <xdr:cNvSpPr/>
        </xdr:nvSpPr>
        <xdr:spPr>
          <a:xfrm>
            <a:off x="721189" y="4100892"/>
            <a:ext cx="1354859" cy="715119"/>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7F00353B-C1A6-47BE-AFCB-A6AECA8A1BA5}" type="TxLink">
              <a:rPr lang="en-US" sz="1400" b="0" i="0" u="none" strike="noStrike" baseline="0">
                <a:solidFill>
                  <a:srgbClr val="000000"/>
                </a:solidFill>
                <a:latin typeface="Aptos Narrow"/>
                <a:ea typeface="+mn-ea"/>
                <a:cs typeface="+mn-cs"/>
              </a:rPr>
              <a:pPr marL="0" indent="0" algn="ctr"/>
              <a:t> $14.665.215 </a:t>
            </a:fld>
            <a:endParaRPr lang="es-ES" sz="1400" b="0" i="0" u="none" strike="noStrike" baseline="0">
              <a:solidFill>
                <a:srgbClr val="000000"/>
              </a:solidFill>
              <a:latin typeface="Aptos Narrow"/>
              <a:ea typeface="+mn-ea"/>
              <a:cs typeface="+mn-cs"/>
            </a:endParaRPr>
          </a:p>
        </xdr:txBody>
      </xdr:sp>
      <xdr:sp macro="" textlink="'Tablas Dinámicas'!B21">
        <xdr:nvSpPr>
          <xdr:cNvPr id="34" name="Rectangle 33">
            <a:extLst>
              <a:ext uri="{FF2B5EF4-FFF2-40B4-BE49-F238E27FC236}">
                <a16:creationId xmlns:a16="http://schemas.microsoft.com/office/drawing/2014/main" id="{5849288D-B6C3-4670-90B3-4D28D58F0E23}"/>
              </a:ext>
            </a:extLst>
          </xdr:cNvPr>
          <xdr:cNvSpPr/>
        </xdr:nvSpPr>
        <xdr:spPr>
          <a:xfrm>
            <a:off x="889425" y="3237614"/>
            <a:ext cx="1064749" cy="340401"/>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9E5EF69F-5ADF-4EF5-A6DC-8F0D3BDE4334}" type="TxLink">
              <a:rPr lang="en-US" sz="1400" b="0" i="0" u="none" strike="noStrike" baseline="0">
                <a:solidFill>
                  <a:srgbClr val="000000"/>
                </a:solidFill>
                <a:latin typeface="Aptos Narrow"/>
                <a:ea typeface="+mn-ea"/>
                <a:cs typeface="+mn-cs"/>
              </a:rPr>
              <a:pPr marL="0" indent="0" algn="ctr"/>
              <a:t> $7.991.317 </a:t>
            </a:fld>
            <a:endParaRPr lang="es-ES" sz="1400" b="0" i="0" u="none" strike="noStrike" baseline="0">
              <a:solidFill>
                <a:srgbClr val="000000"/>
              </a:solidFill>
              <a:latin typeface="Aptos Narrow"/>
              <a:ea typeface="+mn-ea"/>
              <a:cs typeface="+mn-cs"/>
            </a:endParaRPr>
          </a:p>
        </xdr:txBody>
      </xdr:sp>
      <xdr:graphicFrame macro="">
        <xdr:nvGraphicFramePr>
          <xdr:cNvPr id="37" name="Chart 36">
            <a:extLst>
              <a:ext uri="{FF2B5EF4-FFF2-40B4-BE49-F238E27FC236}">
                <a16:creationId xmlns:a16="http://schemas.microsoft.com/office/drawing/2014/main" id="{0193E58A-0552-4D8C-BB17-91BEBCE91643}"/>
              </a:ext>
            </a:extLst>
          </xdr:cNvPr>
          <xdr:cNvGraphicFramePr>
            <a:graphicFrameLocks/>
          </xdr:cNvGraphicFramePr>
        </xdr:nvGraphicFramePr>
        <xdr:xfrm>
          <a:off x="2923075" y="1130951"/>
          <a:ext cx="3927846" cy="1935672"/>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39" name="Rectangle 38">
            <a:extLst>
              <a:ext uri="{FF2B5EF4-FFF2-40B4-BE49-F238E27FC236}">
                <a16:creationId xmlns:a16="http://schemas.microsoft.com/office/drawing/2014/main" id="{774EF7B5-2434-4756-92B4-82969D4BB1C2}"/>
              </a:ext>
            </a:extLst>
          </xdr:cNvPr>
          <xdr:cNvSpPr/>
        </xdr:nvSpPr>
        <xdr:spPr>
          <a:xfrm>
            <a:off x="7850877" y="3170409"/>
            <a:ext cx="2617279" cy="752393"/>
          </a:xfrm>
          <a:prstGeom prst="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r>
              <a:rPr lang="es-ES" sz="1400" b="1" i="1" u="none" baseline="0">
                <a:solidFill>
                  <a:schemeClr val="bg2">
                    <a:lumMod val="50000"/>
                  </a:schemeClr>
                </a:solidFill>
                <a:latin typeface="Bahnschrift" panose="020B0502040204020203" pitchFamily="34" charset="0"/>
                <a:ea typeface="+mn-ea"/>
                <a:cs typeface="+mn-cs"/>
              </a:rPr>
              <a:t> ANÁLISIS DEL</a:t>
            </a:r>
          </a:p>
          <a:p>
            <a:pPr marL="0" indent="0" algn="ctr"/>
            <a:r>
              <a:rPr lang="es-ES" sz="1400" b="1" i="1" u="none" baseline="0">
                <a:solidFill>
                  <a:schemeClr val="bg2">
                    <a:lumMod val="50000"/>
                  </a:schemeClr>
                </a:solidFill>
                <a:latin typeface="Bahnschrift" panose="020B0502040204020203" pitchFamily="34" charset="0"/>
                <a:ea typeface="+mn-ea"/>
                <a:cs typeface="+mn-cs"/>
              </a:rPr>
              <a:t>CONTROL DE LOS PEDIDOS</a:t>
            </a:r>
          </a:p>
          <a:p>
            <a:pPr marL="0" indent="0" algn="ctr"/>
            <a:endParaRPr lang="es-ES" sz="1000" b="1" i="1" u="none" baseline="0">
              <a:solidFill>
                <a:schemeClr val="bg2">
                  <a:lumMod val="50000"/>
                </a:schemeClr>
              </a:solidFill>
              <a:latin typeface="Bahnschrift" panose="020B0502040204020203" pitchFamily="34" charset="0"/>
              <a:ea typeface="+mn-ea"/>
              <a:cs typeface="+mn-cs"/>
            </a:endParaRPr>
          </a:p>
          <a:p>
            <a:pPr algn="l"/>
            <a:endParaRPr lang="es-ES" sz="1400" b="1" i="1" u="none">
              <a:solidFill>
                <a:schemeClr val="bg2">
                  <a:lumMod val="50000"/>
                </a:schemeClr>
              </a:solidFill>
            </a:endParaRPr>
          </a:p>
        </xdr:txBody>
      </xdr:sp>
      <mc:AlternateContent xmlns:mc="http://schemas.openxmlformats.org/markup-compatibility/2006">
        <mc:Choice xmlns:a14="http://schemas.microsoft.com/office/drawing/2010/main" Requires="a14">
          <xdr:graphicFrame macro="">
            <xdr:nvGraphicFramePr>
              <xdr:cNvPr id="40" name="AÑOS">
                <a:extLst>
                  <a:ext uri="{FF2B5EF4-FFF2-40B4-BE49-F238E27FC236}">
                    <a16:creationId xmlns:a16="http://schemas.microsoft.com/office/drawing/2014/main" id="{53DCCD49-0A75-4785-A1C8-86CDE189A4F7}"/>
                  </a:ext>
                </a:extLst>
              </xdr:cNvPr>
              <xdr:cNvGraphicFramePr>
                <a:graphicFrameLocks/>
              </xdr:cNvGraphicFramePr>
            </xdr:nvGraphicFramePr>
            <xdr:xfrm>
              <a:off x="7674871" y="3727914"/>
              <a:ext cx="1400956" cy="1594635"/>
            </xdr:xfrm>
            <a:graphic>
              <a:graphicData uri="http://schemas.microsoft.com/office/drawing/2010/slicer">
                <sle:slicer xmlns:sle="http://schemas.microsoft.com/office/drawing/2010/slicer" name="AÑOS"/>
              </a:graphicData>
            </a:graphic>
          </xdr:graphicFrame>
        </mc:Choice>
        <mc:Fallback>
          <xdr:sp macro="" textlink="">
            <xdr:nvSpPr>
              <xdr:cNvPr id="0" name=""/>
              <xdr:cNvSpPr>
                <a:spLocks noTextEdit="1"/>
              </xdr:cNvSpPr>
            </xdr:nvSpPr>
            <xdr:spPr>
              <a:xfrm>
                <a:off x="7706977" y="3781425"/>
                <a:ext cx="1400956" cy="1594635"/>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41" name="TRIMESTRE">
                <a:extLst>
                  <a:ext uri="{FF2B5EF4-FFF2-40B4-BE49-F238E27FC236}">
                    <a16:creationId xmlns:a16="http://schemas.microsoft.com/office/drawing/2014/main" id="{B5F71A66-FA7C-4C67-B8EE-7F9F137CE847}"/>
                  </a:ext>
                </a:extLst>
              </xdr:cNvPr>
              <xdr:cNvGraphicFramePr/>
            </xdr:nvGraphicFramePr>
            <xdr:xfrm>
              <a:off x="9218443" y="3738183"/>
              <a:ext cx="1463758" cy="1584366"/>
            </xdr:xfrm>
            <a:graphic>
              <a:graphicData uri="http://schemas.microsoft.com/office/drawing/2010/slicer">
                <sle:slicer xmlns:sle="http://schemas.microsoft.com/office/drawing/2010/slicer" name="TRIMESTRE"/>
              </a:graphicData>
            </a:graphic>
          </xdr:graphicFrame>
        </mc:Choice>
        <mc:Fallback>
          <xdr:sp macro="" textlink="">
            <xdr:nvSpPr>
              <xdr:cNvPr id="0" name=""/>
              <xdr:cNvSpPr>
                <a:spLocks noTextEdit="1"/>
              </xdr:cNvSpPr>
            </xdr:nvSpPr>
            <xdr:spPr>
              <a:xfrm>
                <a:off x="9250549" y="3791694"/>
                <a:ext cx="1463758" cy="1584366"/>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1" name="Chart 10">
            <a:extLst>
              <a:ext uri="{FF2B5EF4-FFF2-40B4-BE49-F238E27FC236}">
                <a16:creationId xmlns:a16="http://schemas.microsoft.com/office/drawing/2014/main" id="{2ECA238A-26B6-450A-9B95-DA418E397DCA}"/>
              </a:ext>
            </a:extLst>
          </xdr:cNvPr>
          <xdr:cNvGraphicFramePr>
            <a:graphicFrameLocks/>
          </xdr:cNvGraphicFramePr>
        </xdr:nvGraphicFramePr>
        <xdr:xfrm>
          <a:off x="10971164" y="840555"/>
          <a:ext cx="3189270" cy="5447443"/>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13" name="Chart 12">
            <a:extLst>
              <a:ext uri="{FF2B5EF4-FFF2-40B4-BE49-F238E27FC236}">
                <a16:creationId xmlns:a16="http://schemas.microsoft.com/office/drawing/2014/main" id="{2B76008F-63A2-46A8-B7C9-5E701505714B}"/>
              </a:ext>
            </a:extLst>
          </xdr:cNvPr>
          <xdr:cNvGraphicFramePr>
            <a:graphicFrameLocks/>
          </xdr:cNvGraphicFramePr>
        </xdr:nvGraphicFramePr>
        <xdr:xfrm>
          <a:off x="7550344" y="904769"/>
          <a:ext cx="3217476" cy="2161853"/>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mc:Choice xmlns:a14="http://schemas.microsoft.com/office/drawing/2010/main" Requires="a14">
          <xdr:graphicFrame macro="">
            <xdr:nvGraphicFramePr>
              <xdr:cNvPr id="32" name="MONTH_ID">
                <a:extLst>
                  <a:ext uri="{FF2B5EF4-FFF2-40B4-BE49-F238E27FC236}">
                    <a16:creationId xmlns:a16="http://schemas.microsoft.com/office/drawing/2014/main" id="{03EB529F-65B8-4411-BAD4-225BD0DAE8C1}"/>
                  </a:ext>
                </a:extLst>
              </xdr:cNvPr>
              <xdr:cNvGraphicFramePr>
                <a:graphicFrameLocks/>
              </xdr:cNvGraphicFramePr>
            </xdr:nvGraphicFramePr>
            <xdr:xfrm>
              <a:off x="7706977" y="5344534"/>
              <a:ext cx="2907113" cy="692089"/>
            </xdr:xfrm>
            <a:graphic>
              <a:graphicData uri="http://schemas.microsoft.com/office/drawing/2010/slicer">
                <sle:slicer xmlns:sle="http://schemas.microsoft.com/office/drawing/2010/slicer" name="MONTH_ID"/>
              </a:graphicData>
            </a:graphic>
          </xdr:graphicFrame>
        </mc:Choice>
        <mc:Fallback>
          <xdr:sp macro="" textlink="">
            <xdr:nvSpPr>
              <xdr:cNvPr id="0" name=""/>
              <xdr:cNvSpPr>
                <a:spLocks noTextEdit="1"/>
              </xdr:cNvSpPr>
            </xdr:nvSpPr>
            <xdr:spPr>
              <a:xfrm>
                <a:off x="7739083" y="5398045"/>
                <a:ext cx="2907113" cy="692089"/>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refreshedDate="46017.781181018516" createdVersion="8" refreshedVersion="8" minRefreshableVersion="3" recordCount="2823" xr:uid="{5F9DD3E8-65CF-441E-BC9B-2D106802EC36}">
  <cacheSource type="worksheet">
    <worksheetSource name="sales_data_sample"/>
  </cacheSource>
  <cacheFields count="27">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containsInteger="1" minValue="37" maxValue="9991"/>
    </cacheField>
    <cacheField name="SALES" numFmtId="0">
      <sharedItems containsSemiMixedTypes="0" containsString="0" containsNumber="1" containsInteger="1" minValue="600" maxValue="904816"/>
    </cacheField>
    <cacheField name="NETSALES" numFmtId="2">
      <sharedItems containsSemiMixedTypes="0" containsString="0" containsNumber="1" containsInteger="1" minValue="0" maxValue="904816"/>
    </cacheField>
    <cacheField name="ORDERLINENUMBER" numFmtId="0">
      <sharedItems containsSemiMixedTypes="0" containsString="0" containsNumber="1" containsInteger="1" minValue="1" maxValue="18"/>
    </cacheField>
    <cacheField name="ORDERDATE" numFmtId="164">
      <sharedItems/>
    </cacheField>
    <cacheField name="STATUS" numFmtId="0">
      <sharedItems count="6">
        <s v="Shipped"/>
        <s v="Disputed"/>
        <s v="In Process"/>
        <s v="Cancelled"/>
        <s v="On Hold"/>
        <s v="Resolved"/>
      </sharedItems>
    </cacheField>
    <cacheField name="QTR_ID" numFmtId="0">
      <sharedItems containsSemiMixedTypes="0" containsString="0" containsNumber="1" containsInteger="1" minValue="1" maxValue="4" count="4">
        <n v="1"/>
        <n v="2"/>
        <n v="3"/>
        <n v="4"/>
      </sharedItems>
    </cacheField>
    <cacheField name="MONTH_ID" numFmtId="0">
      <sharedItems containsSemiMixedTypes="0" containsString="0" containsNumber="1" containsInteger="1" minValue="1" maxValue="12" count="12">
        <n v="2"/>
        <n v="5"/>
        <n v="7"/>
        <n v="8"/>
        <n v="10"/>
        <n v="11"/>
        <n v="12"/>
        <n v="1"/>
        <n v="4"/>
        <n v="6"/>
        <n v="9"/>
        <n v="3"/>
      </sharedItems>
    </cacheField>
    <cacheField name="YEAR_ID" numFmtId="0">
      <sharedItems containsSemiMixedTypes="0" containsString="0" containsNumber="1" containsInteger="1" minValue="2003" maxValue="2005" count="3">
        <n v="2003"/>
        <n v="2004"/>
        <n v="2005"/>
      </sharedItems>
    </cacheField>
    <cacheField name="PRODUCTLINE" numFmtId="0">
      <sharedItems count="7">
        <s v="Motorcycles"/>
        <s v="Classic Cars"/>
        <s v="Trucks and Buses"/>
        <s v="Vintage Cars"/>
        <s v="Planes"/>
        <s v="Ships"/>
        <s v="Train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92">
        <s v="Land of Toys Inc."/>
        <s v="Reims Collectables"/>
        <s v="Lyon Souveniers"/>
        <s v="Toys4GrownUps.com"/>
        <s v="Corporate Gift Ideas Co."/>
        <s v="Technics Stores Inc."/>
        <s v="Daedalus Designs Imports"/>
        <s v="Herkku Gifts"/>
        <s v="Mini Wheels Co."/>
        <s v="Auto Canal Petit"/>
        <s v="Australian Collectors, Co."/>
        <s v="Vitachrome Inc."/>
        <s v="Tekni Collectables Inc."/>
        <s v="Gift Depot Inc."/>
        <s v="La Rochelle Gifts"/>
        <s v="Marta's Replicas Co."/>
        <s v="Toys of Finland, Co."/>
        <s v="Baane Mini Imports"/>
        <s v="Diecast Classics Inc."/>
        <s v="Salzburg Collectables"/>
        <s v="Souveniers And Things Co."/>
        <s v="FunGiftIdeas.com"/>
        <s v="UK Collectables, Ltd."/>
        <s v="Euro Shopping Channel"/>
        <s v="Volvo Model Replicas, Co"/>
        <s v="Corrida Auto Replicas, Ltd"/>
        <s v="Dragon Souveniers, Ltd."/>
        <s v="Classic Legends Inc."/>
        <s v="Australian Gift Network, Co"/>
        <s v="Classic Gift Ideas, Inc"/>
        <s v="Saveley &amp; Henriot, Co."/>
        <s v="Canadian Gift Exchange Network"/>
        <s v="West Coast Collectables Co."/>
        <s v="Cambridge Collectables Co."/>
        <s v="Super Scale Inc."/>
        <s v="Tokyo Collectables, Ltd"/>
        <s v="Amica Models &amp; Co."/>
        <s v="Scandinavian Gift Ideas"/>
        <s v="Auto Assoc. &amp; Cie."/>
        <s v="Mini Gifts Distributors Ltd."/>
        <s v="Online Diecast Creations Co."/>
        <s v="Collectables For Less Inc."/>
        <s v="Anna's Decorations, Ltd"/>
        <s v="Quebec Home Shopping Network"/>
        <s v="Osaka Souveniers Co."/>
        <s v="Motor Mint Distributors Inc."/>
        <s v="Atelier graphique"/>
        <s v="Mini Classics"/>
        <s v="Danish Wholesale Imports"/>
        <s v="Stylish Desk Decors, Co."/>
        <s v="Mini Creations Ltd."/>
        <s v="Alpha Cognac"/>
        <s v="Double Decker Gift Stores, Ltd"/>
        <s v="Enaco Distributors"/>
        <s v="Men 'R' US Retailers, Ltd."/>
        <s v="Collectable Mini Designs Co."/>
        <s v="Petit Auto"/>
        <s v="Royal Canadian Collectables, Ltd."/>
        <s v="Gifts4AllAges.com"/>
        <s v="giftsbymail.co.uk"/>
        <s v="Oulu Toy Supplies, Inc."/>
        <s v="The Sharp Gifts Warehouse"/>
        <s v="La Corne D'abondance, Co."/>
        <s v="Mini Auto Werke"/>
        <s v="Diecast Collectables"/>
        <s v="Handji Gifts&amp; Co"/>
        <s v="Cruz &amp; Sons Co."/>
        <s v="Marseille Mini Autos"/>
        <s v="Toms Spezialitten, Ltd"/>
        <s v="Vida Sport, Ltd"/>
        <s v="L'ordine Souveniers"/>
        <s v="Online Mini Collectables"/>
        <s v="Blauer See Auto, Co."/>
        <s v="Suominen Souveniers"/>
        <s v="Muscle Machine Inc"/>
        <s v="Clover Collections, Co."/>
        <s v="CAF Imports"/>
        <s v="AV Stores, Co."/>
        <s v="Heintze Collectables"/>
        <s v="Microscale Inc."/>
        <s v="Boards &amp; Toys Co."/>
        <s v="Iberia Gift Imports, Corp."/>
        <s v="Signal Collectibles Ltd."/>
        <s v="Mini Caravy"/>
        <s v="Signal Gift Stores"/>
        <s v="Norway Gifts By Mail, Co."/>
        <s v="Rovelli Gifts"/>
        <s v="Australian Collectables, Ltd"/>
        <s v="Gift Ideas Corp."/>
        <s v="Bavarian Collectables Imports, Co."/>
        <s v="Royale Belge"/>
        <s v="Auto-Moto Classics Inc."/>
      </sharedItems>
    </cacheField>
    <cacheField name="PHONE" numFmtId="0">
      <sharedItems/>
    </cacheField>
    <cacheField name="ADDRESSLINE1" numFmtId="0">
      <sharedItems/>
    </cacheField>
    <cacheField name="ADDRESSLINE2" numFmtId="0">
      <sharedItems/>
    </cacheField>
    <cacheField name="CITY" numFmtId="0">
      <sharedItems/>
    </cacheField>
    <cacheField name="STATE" numFmtId="0">
      <sharedItems/>
    </cacheField>
    <cacheField name="POSTALCODE" numFmtId="0">
      <sharedItems/>
    </cacheField>
    <cacheField name="COUNTRY" numFmtId="0">
      <sharedItems count="19">
        <s v="USA"/>
        <s v="France"/>
        <s v="Norway"/>
        <s v="Australia"/>
        <s v="Finland"/>
        <s v="Austria"/>
        <s v="UK"/>
        <s v="Spain"/>
        <s v="Sweden"/>
        <s v="Singapore"/>
        <s v="Canada"/>
        <s v="Japan"/>
        <s v="Italy"/>
        <s v="Denmark"/>
        <s v="Belgium"/>
        <s v="Philippines"/>
        <s v="Germany"/>
        <s v="Switzerland"/>
        <s v="Ireland"/>
      </sharedItems>
    </cacheField>
    <cacheField name="TERRITORY" numFmtId="0">
      <sharedItems/>
    </cacheField>
    <cacheField name="CONTACTLASTNAME" numFmtId="0">
      <sharedItems/>
    </cacheField>
    <cacheField name="CONTACTFIRSTNAME" numFmtId="0">
      <sharedItems/>
    </cacheField>
    <cacheField name="CONTACTFULLNAME" numFmtId="0">
      <sharedItems/>
    </cacheField>
    <cacheField name="DEALSIZE" numFmtId="0">
      <sharedItems/>
    </cacheField>
  </cacheFields>
  <extLst>
    <ext xmlns:x14="http://schemas.microsoft.com/office/spreadsheetml/2009/9/main" uri="{725AE2AE-9491-48be-B2B4-4EB974FC3084}">
      <x14:pivotCacheDefinition pivotCacheId="4311968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07"/>
    <n v="30"/>
    <n v="957"/>
    <n v="28710"/>
    <n v="28710"/>
    <n v="2"/>
    <s v="2/24/2003 0:00"/>
    <x v="0"/>
    <x v="0"/>
    <x v="0"/>
    <x v="0"/>
    <x v="0"/>
    <n v="95"/>
    <s v="S10_1678"/>
    <x v="0"/>
    <s v="2125557818"/>
    <s v="897 Long Airport Avenue"/>
    <s v=""/>
    <s v="NYC"/>
    <s v="NY"/>
    <s v="10022"/>
    <x v="0"/>
    <s v="NA"/>
    <s v="Yu"/>
    <s v="Kwai"/>
    <s v="Kwai, Yu"/>
    <s v="Small"/>
  </r>
  <r>
    <n v="10121"/>
    <n v="34"/>
    <n v="8135"/>
    <n v="276590"/>
    <n v="276590"/>
    <n v="5"/>
    <s v="5/7/2003 0:00"/>
    <x v="0"/>
    <x v="1"/>
    <x v="1"/>
    <x v="0"/>
    <x v="0"/>
    <n v="95"/>
    <s v="S10_1678"/>
    <x v="1"/>
    <s v="26.47.1555"/>
    <s v="59 rue de l'Abbaye"/>
    <s v=""/>
    <s v="Reims"/>
    <s v=""/>
    <s v="51100"/>
    <x v="1"/>
    <s v="EMEA"/>
    <s v="Henriot"/>
    <s v="Paul"/>
    <s v="Paul, Henriot"/>
    <s v="Small"/>
  </r>
  <r>
    <n v="10134"/>
    <n v="41"/>
    <n v="9474"/>
    <n v="388434"/>
    <n v="388434"/>
    <n v="2"/>
    <s v="7/1/2003 0:00"/>
    <x v="0"/>
    <x v="2"/>
    <x v="2"/>
    <x v="0"/>
    <x v="0"/>
    <n v="95"/>
    <s v="S10_1678"/>
    <x v="2"/>
    <s v="+33 1 46 62 7555"/>
    <s v="27 rue du Colonel Pierre Avia"/>
    <s v=""/>
    <s v="Paris"/>
    <s v=""/>
    <s v="75508"/>
    <x v="1"/>
    <s v="EMEA"/>
    <s v="Da Cunha"/>
    <s v="Daniel"/>
    <s v="Daniel, Da Cunha"/>
    <s v="Medium"/>
  </r>
  <r>
    <n v="10145"/>
    <n v="45"/>
    <n v="8326"/>
    <n v="374670"/>
    <n v="374670"/>
    <n v="6"/>
    <s v="8/25/2003 0:00"/>
    <x v="0"/>
    <x v="2"/>
    <x v="3"/>
    <x v="0"/>
    <x v="0"/>
    <n v="95"/>
    <s v="S10_1678"/>
    <x v="3"/>
    <s v="6265557265"/>
    <s v="78934 Hillside Dr."/>
    <s v=""/>
    <s v="Pasadena"/>
    <s v="CA"/>
    <s v="90003"/>
    <x v="0"/>
    <s v="NA"/>
    <s v="Young"/>
    <s v="Julie"/>
    <s v="Julie, Young"/>
    <s v="Medium"/>
  </r>
  <r>
    <n v="10159"/>
    <n v="49"/>
    <n v="100"/>
    <n v="4900"/>
    <n v="4900"/>
    <n v="14"/>
    <s v="10/10/2003 0:00"/>
    <x v="0"/>
    <x v="3"/>
    <x v="4"/>
    <x v="0"/>
    <x v="0"/>
    <n v="95"/>
    <s v="S10_1678"/>
    <x v="4"/>
    <s v="6505551386"/>
    <s v="7734 Strong St."/>
    <s v=""/>
    <s v="San Francisco"/>
    <s v="CA"/>
    <s v=""/>
    <x v="0"/>
    <s v="NA"/>
    <s v="Brown"/>
    <s v="Julie"/>
    <s v="Julie, Brown"/>
    <s v="Medium"/>
  </r>
  <r>
    <n v="10168"/>
    <n v="36"/>
    <n v="9666"/>
    <n v="347976"/>
    <n v="347976"/>
    <n v="1"/>
    <s v="10/28/2003 0:00"/>
    <x v="0"/>
    <x v="3"/>
    <x v="4"/>
    <x v="0"/>
    <x v="0"/>
    <n v="95"/>
    <s v="S10_1678"/>
    <x v="5"/>
    <s v="6505556809"/>
    <s v="9408 Furth Circle"/>
    <s v=""/>
    <s v="Burlingame"/>
    <s v="CA"/>
    <s v="94217"/>
    <x v="0"/>
    <s v="NA"/>
    <s v="Hirano"/>
    <s v="Juri"/>
    <s v="Juri, Hirano"/>
    <s v="Medium"/>
  </r>
  <r>
    <n v="10180"/>
    <n v="29"/>
    <n v="8613"/>
    <n v="249777"/>
    <n v="249777"/>
    <n v="9"/>
    <s v="11/11/2003 0:00"/>
    <x v="0"/>
    <x v="3"/>
    <x v="5"/>
    <x v="0"/>
    <x v="0"/>
    <n v="95"/>
    <s v="S10_1678"/>
    <x v="6"/>
    <s v="20.16.1555"/>
    <s v="184, chausse de Tournai"/>
    <s v=""/>
    <s v="Lille"/>
    <s v=""/>
    <s v="59000"/>
    <x v="1"/>
    <s v="EMEA"/>
    <s v="Rance"/>
    <s v="Martine"/>
    <s v="Martine, Rance"/>
    <s v="Small"/>
  </r>
  <r>
    <n v="10188"/>
    <n v="48"/>
    <n v="100"/>
    <n v="4800"/>
    <n v="4800"/>
    <n v="1"/>
    <s v="11/18/2003 0:00"/>
    <x v="0"/>
    <x v="3"/>
    <x v="5"/>
    <x v="0"/>
    <x v="0"/>
    <n v="95"/>
    <s v="S10_1678"/>
    <x v="7"/>
    <s v="+47 2267 3215"/>
    <s v="Drammen 121, PR 744 Sentrum"/>
    <s v=""/>
    <s v="Bergen"/>
    <s v=""/>
    <s v="N 5804"/>
    <x v="2"/>
    <s v="EMEA"/>
    <s v="Oeztan"/>
    <s v="Veysel"/>
    <s v="Veysel, Oeztan"/>
    <s v="Medium"/>
  </r>
  <r>
    <n v="10201"/>
    <n v="22"/>
    <n v="9857"/>
    <n v="216854"/>
    <n v="216854"/>
    <n v="2"/>
    <s v="12/1/2003 0:00"/>
    <x v="0"/>
    <x v="3"/>
    <x v="6"/>
    <x v="0"/>
    <x v="0"/>
    <n v="95"/>
    <s v="S10_1678"/>
    <x v="8"/>
    <s v="6505555787"/>
    <s v="5557 North Pendale Street"/>
    <s v=""/>
    <s v="San Francisco"/>
    <s v="CA"/>
    <s v=""/>
    <x v="0"/>
    <s v="NA"/>
    <s v="Murphy"/>
    <s v="Julie"/>
    <s v="Julie, Murphy"/>
    <s v="Small"/>
  </r>
  <r>
    <n v="10211"/>
    <n v="41"/>
    <n v="100"/>
    <n v="4100"/>
    <n v="4100"/>
    <n v="14"/>
    <s v="1/15/2004 0:00"/>
    <x v="0"/>
    <x v="0"/>
    <x v="7"/>
    <x v="1"/>
    <x v="0"/>
    <n v="95"/>
    <s v="S10_1678"/>
    <x v="9"/>
    <s v="(1) 47.55.6555"/>
    <s v="25, rue Lauriston"/>
    <s v=""/>
    <s v="Paris"/>
    <s v=""/>
    <s v="75016"/>
    <x v="1"/>
    <s v="EMEA"/>
    <s v="Perrier"/>
    <s v="Dominique"/>
    <s v="Dominique, Perrier"/>
    <s v="Medium"/>
  </r>
  <r>
    <n v="10223"/>
    <n v="37"/>
    <n v="100"/>
    <n v="3700"/>
    <n v="3700"/>
    <n v="1"/>
    <s v="2/20/2004 0:00"/>
    <x v="0"/>
    <x v="0"/>
    <x v="0"/>
    <x v="1"/>
    <x v="0"/>
    <n v="95"/>
    <s v="S10_1678"/>
    <x v="10"/>
    <s v="03 9520 4555"/>
    <s v="636 St Kilda Road"/>
    <s v="Level 3"/>
    <s v="Melbourne"/>
    <s v="Victoria"/>
    <s v="3004"/>
    <x v="3"/>
    <s v="APAC"/>
    <s v="Ferguson"/>
    <s v="Peter"/>
    <s v="Peter, Ferguson"/>
    <s v="Medium"/>
  </r>
  <r>
    <n v="10237"/>
    <n v="23"/>
    <n v="100"/>
    <n v="2300"/>
    <n v="2300"/>
    <n v="7"/>
    <s v="4/5/2004 0:00"/>
    <x v="0"/>
    <x v="1"/>
    <x v="8"/>
    <x v="1"/>
    <x v="0"/>
    <n v="95"/>
    <s v="S10_1678"/>
    <x v="11"/>
    <s v="2125551500"/>
    <s v="2678 Kingston Rd."/>
    <s v="Suite 101"/>
    <s v="NYC"/>
    <s v="NY"/>
    <s v="10022"/>
    <x v="0"/>
    <s v="NA"/>
    <s v="Frick"/>
    <s v="Michael"/>
    <s v="Michael, Frick"/>
    <s v="Small"/>
  </r>
  <r>
    <n v="10251"/>
    <n v="28"/>
    <n v="100"/>
    <n v="2800"/>
    <n v="2800"/>
    <n v="2"/>
    <s v="5/18/2004 0:00"/>
    <x v="0"/>
    <x v="1"/>
    <x v="1"/>
    <x v="1"/>
    <x v="0"/>
    <n v="95"/>
    <s v="S10_1678"/>
    <x v="12"/>
    <s v="2015559350"/>
    <s v="7476 Moss Rd."/>
    <s v=""/>
    <s v="Newark"/>
    <s v="NJ"/>
    <s v="94019"/>
    <x v="0"/>
    <s v="NA"/>
    <s v="Brown"/>
    <s v="William"/>
    <s v="William, Brown"/>
    <s v="Medium"/>
  </r>
  <r>
    <n v="10263"/>
    <n v="34"/>
    <n v="100"/>
    <n v="3400"/>
    <n v="3400"/>
    <n v="2"/>
    <s v="6/28/2004 0:00"/>
    <x v="0"/>
    <x v="1"/>
    <x v="9"/>
    <x v="1"/>
    <x v="0"/>
    <n v="95"/>
    <s v="S10_1678"/>
    <x v="13"/>
    <s v="2035552570"/>
    <s v="25593 South Bay Ln."/>
    <s v=""/>
    <s v="Bridgewater"/>
    <s v="CT"/>
    <s v="97562"/>
    <x v="0"/>
    <s v="NA"/>
    <s v="King"/>
    <s v="Julie"/>
    <s v="Julie, King"/>
    <s v="Medium"/>
  </r>
  <r>
    <n v="10275"/>
    <n v="45"/>
    <n v="9283"/>
    <n v="417735"/>
    <n v="417735"/>
    <n v="1"/>
    <s v="7/23/2004 0:00"/>
    <x v="0"/>
    <x v="2"/>
    <x v="2"/>
    <x v="1"/>
    <x v="0"/>
    <n v="95"/>
    <s v="S10_1678"/>
    <x v="14"/>
    <s v="40.67.8555"/>
    <s v="67, rue des Cinquante Otages"/>
    <s v=""/>
    <s v="Nantes"/>
    <s v=""/>
    <s v="44000"/>
    <x v="1"/>
    <s v="EMEA"/>
    <s v="Labrune"/>
    <s v="Janine"/>
    <s v="Janine, Labrune"/>
    <s v="Medium"/>
  </r>
  <r>
    <n v="10285"/>
    <n v="36"/>
    <n v="100"/>
    <n v="3600"/>
    <n v="3600"/>
    <n v="6"/>
    <s v="8/27/2004 0:00"/>
    <x v="0"/>
    <x v="2"/>
    <x v="3"/>
    <x v="1"/>
    <x v="0"/>
    <n v="95"/>
    <s v="S10_1678"/>
    <x v="15"/>
    <s v="6175558555"/>
    <s v="39323 Spinnaker Dr."/>
    <s v=""/>
    <s v="Cambridge"/>
    <s v="MA"/>
    <s v="51247"/>
    <x v="0"/>
    <s v="NA"/>
    <s v="Hernandez"/>
    <s v="Marta"/>
    <s v="Marta, Hernandez"/>
    <s v="Medium"/>
  </r>
  <r>
    <n v="10299"/>
    <n v="23"/>
    <n v="100"/>
    <n v="2300"/>
    <n v="2300"/>
    <n v="9"/>
    <s v="9/30/2004 0:00"/>
    <x v="0"/>
    <x v="2"/>
    <x v="10"/>
    <x v="1"/>
    <x v="0"/>
    <n v="95"/>
    <s v="S10_1678"/>
    <x v="16"/>
    <s v="90-224 8555"/>
    <s v="Keskuskatu 45"/>
    <s v=""/>
    <s v="Helsinki"/>
    <s v=""/>
    <s v="21240"/>
    <x v="4"/>
    <s v="EMEA"/>
    <s v="Karttunen"/>
    <s v="Matti"/>
    <s v="Matti, Karttunen"/>
    <s v="Small"/>
  </r>
  <r>
    <n v="10309"/>
    <n v="41"/>
    <n v="100"/>
    <n v="4100"/>
    <n v="4100"/>
    <n v="5"/>
    <s v="10/15/2004 0:00"/>
    <x v="0"/>
    <x v="3"/>
    <x v="4"/>
    <x v="1"/>
    <x v="0"/>
    <n v="95"/>
    <s v="S10_1678"/>
    <x v="17"/>
    <s v="07-98 9555"/>
    <s v="Erling Skakkes gate 78"/>
    <s v=""/>
    <s v="Stavern"/>
    <s v=""/>
    <s v="4110"/>
    <x v="2"/>
    <s v="EMEA"/>
    <s v="Bergulfsen"/>
    <s v="Jonas"/>
    <s v="Jonas, Bergulfsen"/>
    <s v="Medium"/>
  </r>
  <r>
    <n v="10318"/>
    <n v="46"/>
    <n v="9474"/>
    <n v="435804"/>
    <n v="435804"/>
    <n v="1"/>
    <s v="11/2/2004 0:00"/>
    <x v="0"/>
    <x v="3"/>
    <x v="5"/>
    <x v="1"/>
    <x v="0"/>
    <n v="95"/>
    <s v="S10_1678"/>
    <x v="18"/>
    <s v="2155551555"/>
    <s v="7586 Pompton St."/>
    <s v=""/>
    <s v="Allentown"/>
    <s v="PA"/>
    <s v="70267"/>
    <x v="0"/>
    <s v="NA"/>
    <s v="Yu"/>
    <s v="Kyung"/>
    <s v="Kyung, Yu"/>
    <s v="Medium"/>
  </r>
  <r>
    <n v="10329"/>
    <n v="42"/>
    <n v="100"/>
    <n v="4200"/>
    <n v="4200"/>
    <n v="1"/>
    <s v="11/15/2004 0:00"/>
    <x v="0"/>
    <x v="3"/>
    <x v="5"/>
    <x v="1"/>
    <x v="0"/>
    <n v="95"/>
    <s v="S10_1678"/>
    <x v="0"/>
    <s v="2125557818"/>
    <s v="897 Long Airport Avenue"/>
    <s v=""/>
    <s v="NYC"/>
    <s v="NY"/>
    <s v="10022"/>
    <x v="0"/>
    <s v="NA"/>
    <s v="Yu"/>
    <s v="Kwai"/>
    <s v="Kwai, Yu"/>
    <s v="Medium"/>
  </r>
  <r>
    <n v="10341"/>
    <n v="41"/>
    <n v="100"/>
    <n v="4100"/>
    <n v="4100"/>
    <n v="9"/>
    <s v="11/24/2004 0:00"/>
    <x v="0"/>
    <x v="3"/>
    <x v="5"/>
    <x v="1"/>
    <x v="0"/>
    <n v="95"/>
    <s v="S10_1678"/>
    <x v="19"/>
    <s v="6562-9555"/>
    <s v="Geislweg 14"/>
    <s v=""/>
    <s v="Salzburg"/>
    <s v=""/>
    <s v="5020"/>
    <x v="5"/>
    <s v="EMEA"/>
    <s v="Pipps"/>
    <s v="Georg"/>
    <s v="Georg, Pipps"/>
    <s v="Large"/>
  </r>
  <r>
    <n v="10361"/>
    <n v="20"/>
    <n v="7255"/>
    <n v="145100"/>
    <n v="145100"/>
    <n v="13"/>
    <s v="12/17/2004 0:00"/>
    <x v="0"/>
    <x v="3"/>
    <x v="6"/>
    <x v="1"/>
    <x v="0"/>
    <n v="95"/>
    <s v="S10_1678"/>
    <x v="20"/>
    <s v="+61 2 9495 8555"/>
    <s v="Monitor Money Building, 815 Pacific Hwy"/>
    <s v="Level 6"/>
    <s v="Chatswood"/>
    <s v="NSW"/>
    <s v="2067"/>
    <x v="3"/>
    <s v="APAC"/>
    <s v="Huxley"/>
    <s v="Adrian"/>
    <s v="Adrian, Huxley"/>
    <s v="Small"/>
  </r>
  <r>
    <n v="10375"/>
    <n v="21"/>
    <n v="3491"/>
    <n v="73311"/>
    <n v="73311"/>
    <n v="12"/>
    <s v="2/3/2005 0:00"/>
    <x v="0"/>
    <x v="0"/>
    <x v="0"/>
    <x v="2"/>
    <x v="0"/>
    <n v="95"/>
    <s v="S10_1678"/>
    <x v="14"/>
    <s v="40.67.8555"/>
    <s v="67, rue des Cinquante Otages"/>
    <s v=""/>
    <s v="Nantes"/>
    <s v=""/>
    <s v="44000"/>
    <x v="1"/>
    <s v="EMEA"/>
    <s v="Labrune"/>
    <s v="Janine"/>
    <s v="Janine, Labrune"/>
    <s v="Small"/>
  </r>
  <r>
    <n v="10388"/>
    <n v="42"/>
    <n v="7636"/>
    <n v="320712"/>
    <n v="320712"/>
    <n v="4"/>
    <s v="3/3/2005 0:00"/>
    <x v="0"/>
    <x v="0"/>
    <x v="11"/>
    <x v="2"/>
    <x v="0"/>
    <n v="95"/>
    <s v="S10_1678"/>
    <x v="21"/>
    <s v="5085552555"/>
    <s v="1785 First Street"/>
    <s v=""/>
    <s v="New Bedford"/>
    <s v="MA"/>
    <s v="50553"/>
    <x v="0"/>
    <s v="NA"/>
    <s v="Benitez"/>
    <s v="Violeta"/>
    <s v="Violeta, Benitez"/>
    <s v="Medium"/>
  </r>
  <r>
    <n v="10403"/>
    <n v="24"/>
    <n v="100"/>
    <n v="2400"/>
    <n v="2400"/>
    <n v="7"/>
    <s v="4/8/2005 0:00"/>
    <x v="0"/>
    <x v="1"/>
    <x v="8"/>
    <x v="2"/>
    <x v="0"/>
    <n v="95"/>
    <s v="S10_1678"/>
    <x v="22"/>
    <s v="(171) 555-2282"/>
    <s v="Berkeley Gardens 12  Brewery"/>
    <s v=""/>
    <s v="Liverpool"/>
    <s v=""/>
    <s v="WX1 6LT"/>
    <x v="6"/>
    <s v="EMEA"/>
    <s v="Devon"/>
    <s v="Elizabeth"/>
    <s v="Elizabeth, Devon"/>
    <s v="Small"/>
  </r>
  <r>
    <n v="10417"/>
    <n v="66"/>
    <n v="100"/>
    <n v="6600"/>
    <n v="0"/>
    <n v="2"/>
    <s v="5/13/2005 0:00"/>
    <x v="1"/>
    <x v="1"/>
    <x v="1"/>
    <x v="2"/>
    <x v="0"/>
    <n v="95"/>
    <s v="S10_1678"/>
    <x v="23"/>
    <s v="(91) 555 94 44"/>
    <s v="C/ Moralzarzal, 86"/>
    <s v=""/>
    <s v="Madrid"/>
    <s v=""/>
    <s v="28034"/>
    <x v="7"/>
    <s v="EMEA"/>
    <s v="Freyre"/>
    <s v="Diego"/>
    <s v="Diego, Freyre"/>
    <s v="Large"/>
  </r>
  <r>
    <n v="10103"/>
    <n v="26"/>
    <n v="100"/>
    <n v="2600"/>
    <n v="2600"/>
    <n v="11"/>
    <s v="1/29/2003 0:00"/>
    <x v="0"/>
    <x v="0"/>
    <x v="7"/>
    <x v="0"/>
    <x v="1"/>
    <n v="214"/>
    <s v="S10_1949"/>
    <x v="17"/>
    <s v="07-98 9555"/>
    <s v="Erling Skakkes gate 78"/>
    <s v=""/>
    <s v="Stavern"/>
    <s v=""/>
    <s v="4110"/>
    <x v="2"/>
    <s v="EMEA"/>
    <s v="Bergulfsen"/>
    <s v="Jonas"/>
    <s v="Jonas, Bergulfsen"/>
    <s v="Medium"/>
  </r>
  <r>
    <n v="10112"/>
    <n v="29"/>
    <n v="100"/>
    <n v="2900"/>
    <n v="2900"/>
    <n v="1"/>
    <s v="3/24/2003 0:00"/>
    <x v="0"/>
    <x v="0"/>
    <x v="11"/>
    <x v="0"/>
    <x v="1"/>
    <n v="214"/>
    <s v="S10_1949"/>
    <x v="24"/>
    <s v="0921-12 3555"/>
    <s v="Berguvsv„gen  8"/>
    <s v=""/>
    <s v="Lule"/>
    <s v=""/>
    <s v="S-958 22"/>
    <x v="8"/>
    <s v="EMEA"/>
    <s v="Berglund"/>
    <s v="Christina"/>
    <s v="Christina, Berglund"/>
    <s v="Large"/>
  </r>
  <r>
    <n v="10126"/>
    <n v="38"/>
    <n v="100"/>
    <n v="3800"/>
    <n v="3800"/>
    <n v="11"/>
    <s v="5/28/2003 0:00"/>
    <x v="0"/>
    <x v="1"/>
    <x v="1"/>
    <x v="0"/>
    <x v="1"/>
    <n v="214"/>
    <s v="S10_1949"/>
    <x v="25"/>
    <s v="(91) 555 22 82"/>
    <s v="C/ Araquil, 67"/>
    <s v=""/>
    <s v="Madrid"/>
    <s v=""/>
    <s v="28023"/>
    <x v="7"/>
    <s v="EMEA"/>
    <s v="Sommer"/>
    <s v="Mart¡n"/>
    <s v="Mart¡n, Sommer"/>
    <s v="Large"/>
  </r>
  <r>
    <n v="10140"/>
    <n v="37"/>
    <n v="100"/>
    <n v="3700"/>
    <n v="3700"/>
    <n v="11"/>
    <s v="7/24/2003 0:00"/>
    <x v="0"/>
    <x v="2"/>
    <x v="2"/>
    <x v="0"/>
    <x v="1"/>
    <n v="214"/>
    <s v="S10_1949"/>
    <x v="5"/>
    <s v="6505556809"/>
    <s v="9408 Furth Circle"/>
    <s v=""/>
    <s v="Burlingame"/>
    <s v="CA"/>
    <s v="94217"/>
    <x v="0"/>
    <s v="NA"/>
    <s v="Hirano"/>
    <s v="Juri"/>
    <s v="Juri, Hirano"/>
    <s v="Large"/>
  </r>
  <r>
    <n v="10150"/>
    <n v="45"/>
    <n v="100"/>
    <n v="4500"/>
    <n v="4500"/>
    <n v="8"/>
    <s v="9/19/2003 0:00"/>
    <x v="0"/>
    <x v="2"/>
    <x v="10"/>
    <x v="0"/>
    <x v="1"/>
    <n v="214"/>
    <s v="S10_1949"/>
    <x v="26"/>
    <s v="+65 221 7555"/>
    <s v="Bronz Sok., Bronz Apt. 3/6 Tesvikiye"/>
    <s v=""/>
    <s v="Singapore"/>
    <s v=""/>
    <s v="79903"/>
    <x v="9"/>
    <s v="Japan"/>
    <s v="Natividad"/>
    <s v="Eric"/>
    <s v="Eric, Natividad"/>
    <s v="Large"/>
  </r>
  <r>
    <n v="10163"/>
    <n v="21"/>
    <n v="100"/>
    <n v="2100"/>
    <n v="2100"/>
    <n v="1"/>
    <s v="10/20/2003 0:00"/>
    <x v="0"/>
    <x v="3"/>
    <x v="4"/>
    <x v="0"/>
    <x v="1"/>
    <n v="214"/>
    <s v="S10_1949"/>
    <x v="27"/>
    <s v="2125558493"/>
    <s v="5905 Pompton St."/>
    <s v="Suite 750"/>
    <s v="NYC"/>
    <s v="NY"/>
    <s v="10022"/>
    <x v="0"/>
    <s v="NA"/>
    <s v="Hernandez"/>
    <s v="Maria"/>
    <s v="Maria, Hernandez"/>
    <s v="Medium"/>
  </r>
  <r>
    <n v="10174"/>
    <n v="34"/>
    <n v="100"/>
    <n v="3400"/>
    <n v="3400"/>
    <n v="4"/>
    <s v="11/6/2003 0:00"/>
    <x v="0"/>
    <x v="3"/>
    <x v="5"/>
    <x v="0"/>
    <x v="1"/>
    <n v="214"/>
    <s v="S10_1949"/>
    <x v="28"/>
    <s v="61-7-3844-6555"/>
    <s v="31 Duncan St. West End"/>
    <s v=""/>
    <s v="South Brisbane"/>
    <s v="Queensland"/>
    <s v="4101"/>
    <x v="3"/>
    <s v="APAC"/>
    <s v="Calaghan"/>
    <s v="Tony"/>
    <s v="Tony, Calaghan"/>
    <s v="Large"/>
  </r>
  <r>
    <n v="10183"/>
    <n v="23"/>
    <n v="100"/>
    <n v="2300"/>
    <n v="2300"/>
    <n v="8"/>
    <s v="11/13/2003 0:00"/>
    <x v="0"/>
    <x v="3"/>
    <x v="5"/>
    <x v="0"/>
    <x v="1"/>
    <n v="214"/>
    <s v="S10_1949"/>
    <x v="29"/>
    <s v="2155554695"/>
    <s v="782 First Street"/>
    <s v=""/>
    <s v="Philadelphia"/>
    <s v="PA"/>
    <s v="71270"/>
    <x v="0"/>
    <s v="NA"/>
    <s v="Cervantes"/>
    <s v="Francisca"/>
    <s v="Francisca, Cervantes"/>
    <s v="Medium"/>
  </r>
  <r>
    <n v="10194"/>
    <n v="42"/>
    <n v="100"/>
    <n v="4200"/>
    <n v="4200"/>
    <n v="11"/>
    <s v="11/25/2003 0:00"/>
    <x v="0"/>
    <x v="3"/>
    <x v="5"/>
    <x v="0"/>
    <x v="1"/>
    <n v="214"/>
    <s v="S10_1949"/>
    <x v="30"/>
    <s v="78.32.5555"/>
    <s v="2, rue du Commerce"/>
    <s v=""/>
    <s v="Lyon"/>
    <s v=""/>
    <s v="69004"/>
    <x v="1"/>
    <s v="EMEA"/>
    <s v="Saveley"/>
    <s v="Mary"/>
    <s v="Mary, Saveley"/>
    <s v="Large"/>
  </r>
  <r>
    <n v="10206"/>
    <n v="47"/>
    <n v="100"/>
    <n v="4700"/>
    <n v="4700"/>
    <n v="6"/>
    <s v="12/5/2003 0:00"/>
    <x v="0"/>
    <x v="3"/>
    <x v="6"/>
    <x v="0"/>
    <x v="1"/>
    <n v="214"/>
    <s v="S10_1949"/>
    <x v="31"/>
    <s v="(604) 555-3392"/>
    <s v="1900 Oak St."/>
    <s v=""/>
    <s v="Vancouver"/>
    <s v="BC"/>
    <s v="V3F 2K1"/>
    <x v="10"/>
    <s v="NA"/>
    <s v="Tannamuri"/>
    <s v="Yoshi"/>
    <s v="Yoshi, Tannamuri"/>
    <s v="Large"/>
  </r>
  <r>
    <n v="10215"/>
    <n v="35"/>
    <n v="100"/>
    <n v="3500"/>
    <n v="3500"/>
    <n v="3"/>
    <s v="1/29/2004 0:00"/>
    <x v="0"/>
    <x v="0"/>
    <x v="7"/>
    <x v="1"/>
    <x v="1"/>
    <n v="214"/>
    <s v="S10_1949"/>
    <x v="32"/>
    <s v="3105553722"/>
    <s v="3675 Furth Circle"/>
    <s v=""/>
    <s v="Burbank"/>
    <s v="CA"/>
    <s v="94019"/>
    <x v="0"/>
    <s v="NA"/>
    <s v="Thompson"/>
    <s v="Steve"/>
    <s v="Steve, Thompson"/>
    <s v="Medium"/>
  </r>
  <r>
    <n v="10228"/>
    <n v="29"/>
    <n v="100"/>
    <n v="2900"/>
    <n v="2900"/>
    <n v="2"/>
    <s v="3/10/2004 0:00"/>
    <x v="0"/>
    <x v="0"/>
    <x v="11"/>
    <x v="1"/>
    <x v="1"/>
    <n v="214"/>
    <s v="S10_1949"/>
    <x v="33"/>
    <s v="6175555555"/>
    <s v="4658 Baden Av."/>
    <s v=""/>
    <s v="Cambridge"/>
    <s v="MA"/>
    <s v="51247"/>
    <x v="0"/>
    <s v="NA"/>
    <s v="Tseng"/>
    <s v="Kyung"/>
    <s v="Kyung, Tseng"/>
    <s v="Medium"/>
  </r>
  <r>
    <n v="10245"/>
    <n v="34"/>
    <n v="100"/>
    <n v="3400"/>
    <n v="3400"/>
    <n v="9"/>
    <s v="5/4/2004 0:00"/>
    <x v="0"/>
    <x v="1"/>
    <x v="1"/>
    <x v="1"/>
    <x v="1"/>
    <n v="214"/>
    <s v="S10_1949"/>
    <x v="34"/>
    <s v="2035559545"/>
    <s v="567 North Pendale Street"/>
    <s v=""/>
    <s v="New Haven"/>
    <s v="CT"/>
    <s v="97823"/>
    <x v="0"/>
    <s v="NA"/>
    <s v="Murphy"/>
    <s v="Leslie"/>
    <s v="Leslie, Murphy"/>
    <s v="Medium"/>
  </r>
  <r>
    <n v="10258"/>
    <n v="32"/>
    <n v="100"/>
    <n v="3200"/>
    <n v="3200"/>
    <n v="6"/>
    <s v="6/15/2004 0:00"/>
    <x v="0"/>
    <x v="1"/>
    <x v="9"/>
    <x v="1"/>
    <x v="1"/>
    <n v="214"/>
    <s v="S10_1949"/>
    <x v="35"/>
    <s v="+81 3 3584 0555"/>
    <s v="2-2-8 Roppongi"/>
    <s v=""/>
    <s v="Minato-ku"/>
    <s v="Tokyo"/>
    <s v="106-0032"/>
    <x v="11"/>
    <s v="Japan"/>
    <s v="Shimamura"/>
    <s v="Akiko"/>
    <s v="Akiko, Shimamura"/>
    <s v="Large"/>
  </r>
  <r>
    <n v="10270"/>
    <n v="21"/>
    <n v="100"/>
    <n v="2100"/>
    <n v="2100"/>
    <n v="9"/>
    <s v="7/19/2004 0:00"/>
    <x v="0"/>
    <x v="2"/>
    <x v="2"/>
    <x v="1"/>
    <x v="1"/>
    <n v="214"/>
    <s v="S10_1949"/>
    <x v="20"/>
    <s v="+61 2 9495 8555"/>
    <s v="Monitor Money Building, 815 Pacific Hwy"/>
    <s v="Level 6"/>
    <s v="Chatswood"/>
    <s v="NSW"/>
    <s v="2067"/>
    <x v="3"/>
    <s v="APAC"/>
    <s v="Huxley"/>
    <s v="Adrian"/>
    <s v="Adrian, Huxley"/>
    <s v="Medium"/>
  </r>
  <r>
    <n v="10280"/>
    <n v="34"/>
    <n v="100"/>
    <n v="3400"/>
    <n v="3400"/>
    <n v="2"/>
    <s v="8/17/2004 0:00"/>
    <x v="0"/>
    <x v="2"/>
    <x v="3"/>
    <x v="1"/>
    <x v="1"/>
    <n v="214"/>
    <s v="S10_1949"/>
    <x v="36"/>
    <s v="011-4988555"/>
    <s v="Via Monte Bianco 34"/>
    <s v=""/>
    <s v="Torino"/>
    <s v=""/>
    <s v="10100"/>
    <x v="12"/>
    <s v="EMEA"/>
    <s v="Accorti"/>
    <s v="Paolo"/>
    <s v="Paolo, Accorti"/>
    <s v="Large"/>
  </r>
  <r>
    <n v="10291"/>
    <n v="37"/>
    <n v="100"/>
    <n v="3700"/>
    <n v="3700"/>
    <n v="11"/>
    <s v="9/8/2004 0:00"/>
    <x v="0"/>
    <x v="2"/>
    <x v="10"/>
    <x v="1"/>
    <x v="1"/>
    <n v="214"/>
    <s v="S10_1949"/>
    <x v="37"/>
    <s v="0695-34 6555"/>
    <s v="?kergatan 24"/>
    <s v=""/>
    <s v="Boras"/>
    <s v=""/>
    <s v="S-844 67"/>
    <x v="8"/>
    <s v="EMEA"/>
    <s v="Larsson"/>
    <s v="Maria"/>
    <s v="Maria, Larsson"/>
    <s v="Large"/>
  </r>
  <r>
    <n v="10304"/>
    <n v="47"/>
    <n v="100"/>
    <n v="4700"/>
    <n v="4700"/>
    <n v="6"/>
    <s v="10/11/2004 0:00"/>
    <x v="0"/>
    <x v="3"/>
    <x v="4"/>
    <x v="1"/>
    <x v="1"/>
    <n v="214"/>
    <s v="S10_1949"/>
    <x v="38"/>
    <s v="30.59.8555"/>
    <s v="67, avenue de l'Europe"/>
    <s v=""/>
    <s v="Versailles"/>
    <s v=""/>
    <s v="78000"/>
    <x v="1"/>
    <s v="EMEA"/>
    <s v="Tonini"/>
    <s v="Daniel"/>
    <s v="Daniel, Tonini"/>
    <s v="Large"/>
  </r>
  <r>
    <n v="10312"/>
    <n v="48"/>
    <n v="100"/>
    <n v="4800"/>
    <n v="4800"/>
    <n v="3"/>
    <s v="10/21/2004 0:00"/>
    <x v="0"/>
    <x v="3"/>
    <x v="4"/>
    <x v="1"/>
    <x v="1"/>
    <n v="214"/>
    <s v="S10_1949"/>
    <x v="39"/>
    <s v="4155551450"/>
    <s v="5677 Strong St."/>
    <s v=""/>
    <s v="San Rafael"/>
    <s v="CA"/>
    <s v="97562"/>
    <x v="0"/>
    <s v="NA"/>
    <s v="Nelson"/>
    <s v="Valarie"/>
    <s v="Valarie, Nelson"/>
    <s v="Large"/>
  </r>
  <r>
    <n v="10322"/>
    <n v="40"/>
    <n v="100"/>
    <n v="4000"/>
    <n v="4000"/>
    <n v="1"/>
    <s v="11/4/2004 0:00"/>
    <x v="0"/>
    <x v="3"/>
    <x v="5"/>
    <x v="1"/>
    <x v="1"/>
    <n v="214"/>
    <s v="S10_1949"/>
    <x v="40"/>
    <s v="6035558647"/>
    <s v="2304 Long Airport Avenue"/>
    <s v=""/>
    <s v="Nashua"/>
    <s v="NH"/>
    <s v="62005"/>
    <x v="0"/>
    <s v="NA"/>
    <s v="Young"/>
    <s v="Valarie"/>
    <s v="Valarie, Young"/>
    <s v="Medium"/>
  </r>
  <r>
    <n v="10333"/>
    <n v="26"/>
    <n v="100"/>
    <n v="2600"/>
    <n v="2600"/>
    <n v="3"/>
    <s v="11/18/2004 0:00"/>
    <x v="0"/>
    <x v="3"/>
    <x v="5"/>
    <x v="1"/>
    <x v="1"/>
    <n v="214"/>
    <s v="S10_1949"/>
    <x v="8"/>
    <s v="6505555787"/>
    <s v="5557 North Pendale Street"/>
    <s v=""/>
    <s v="San Francisco"/>
    <s v="CA"/>
    <s v=""/>
    <x v="0"/>
    <s v="NA"/>
    <s v="Murphy"/>
    <s v="Julie"/>
    <s v="Julie, Murphy"/>
    <s v="Medium"/>
  </r>
  <r>
    <n v="10347"/>
    <n v="30"/>
    <n v="100"/>
    <n v="3000"/>
    <n v="3000"/>
    <n v="1"/>
    <s v="11/29/2004 0:00"/>
    <x v="0"/>
    <x v="3"/>
    <x v="5"/>
    <x v="1"/>
    <x v="1"/>
    <n v="214"/>
    <s v="S10_1949"/>
    <x v="10"/>
    <s v="03 9520 4555"/>
    <s v="636 St Kilda Road"/>
    <s v="Level 3"/>
    <s v="Melbourne"/>
    <s v="Victoria"/>
    <s v="3004"/>
    <x v="3"/>
    <s v="APAC"/>
    <s v="Ferguson"/>
    <s v="Peter"/>
    <s v="Peter, Ferguson"/>
    <s v="Medium"/>
  </r>
  <r>
    <n v="10357"/>
    <n v="32"/>
    <n v="100"/>
    <n v="3200"/>
    <n v="3200"/>
    <n v="10"/>
    <s v="12/10/2004 0:00"/>
    <x v="0"/>
    <x v="3"/>
    <x v="6"/>
    <x v="1"/>
    <x v="1"/>
    <n v="214"/>
    <s v="S10_1949"/>
    <x v="39"/>
    <s v="4155551450"/>
    <s v="5677 Strong St."/>
    <s v=""/>
    <s v="San Rafael"/>
    <s v="CA"/>
    <s v="97562"/>
    <x v="0"/>
    <s v="NA"/>
    <s v="Nelson"/>
    <s v="Valarie"/>
    <s v="Valarie, Nelson"/>
    <s v="Medium"/>
  </r>
  <r>
    <n v="10369"/>
    <n v="41"/>
    <n v="100"/>
    <n v="4100"/>
    <n v="4100"/>
    <n v="2"/>
    <s v="1/20/2005 0:00"/>
    <x v="0"/>
    <x v="0"/>
    <x v="7"/>
    <x v="2"/>
    <x v="1"/>
    <n v="214"/>
    <s v="S10_1949"/>
    <x v="41"/>
    <s v="6175558555"/>
    <s v="7825 Douglas Av."/>
    <s v=""/>
    <s v="Brickhaven"/>
    <s v="MA"/>
    <s v="58339"/>
    <x v="0"/>
    <s v="NA"/>
    <s v="Nelson"/>
    <s v="Allen"/>
    <s v="Allen, Nelson"/>
    <s v="Medium"/>
  </r>
  <r>
    <n v="10381"/>
    <n v="36"/>
    <n v="100"/>
    <n v="3600"/>
    <n v="3600"/>
    <n v="3"/>
    <s v="2/17/2005 0:00"/>
    <x v="0"/>
    <x v="0"/>
    <x v="0"/>
    <x v="2"/>
    <x v="1"/>
    <n v="214"/>
    <s v="S10_1949"/>
    <x v="4"/>
    <s v="6505551386"/>
    <s v="7734 Strong St."/>
    <s v=""/>
    <s v="San Francisco"/>
    <s v="CA"/>
    <s v=""/>
    <x v="0"/>
    <s v="NA"/>
    <s v="Brown"/>
    <s v="Julie"/>
    <s v="Julie, Brown"/>
    <s v="Large"/>
  </r>
  <r>
    <n v="10391"/>
    <n v="24"/>
    <n v="100"/>
    <n v="2400"/>
    <n v="2400"/>
    <n v="4"/>
    <s v="3/9/2005 0:00"/>
    <x v="0"/>
    <x v="0"/>
    <x v="11"/>
    <x v="2"/>
    <x v="1"/>
    <n v="214"/>
    <s v="S10_1949"/>
    <x v="42"/>
    <s v="02 9936 8555"/>
    <s v="201 Miller Street"/>
    <s v="Level 15"/>
    <s v="North Sydney"/>
    <s v="NSW"/>
    <s v="2060"/>
    <x v="3"/>
    <s v="APAC"/>
    <s v="O'Hara"/>
    <s v="Anna"/>
    <s v="Anna, O'Hara"/>
    <s v="Small"/>
  </r>
  <r>
    <n v="10411"/>
    <n v="23"/>
    <n v="100"/>
    <n v="2300"/>
    <n v="2300"/>
    <n v="9"/>
    <s v="5/1/2005 0:00"/>
    <x v="0"/>
    <x v="1"/>
    <x v="1"/>
    <x v="2"/>
    <x v="1"/>
    <n v="214"/>
    <s v="S10_1949"/>
    <x v="43"/>
    <s v="(514) 555-8054"/>
    <s v="43 rue St. Laurent"/>
    <s v=""/>
    <s v="Montreal"/>
    <s v="Quebec"/>
    <s v="H1J 1C3"/>
    <x v="10"/>
    <s v="NA"/>
    <s v="Fresnisre"/>
    <s v="Jean"/>
    <s v="Jean, Fresnisre"/>
    <s v="Medium"/>
  </r>
  <r>
    <n v="10424"/>
    <n v="50"/>
    <n v="100"/>
    <n v="5000"/>
    <n v="0"/>
    <n v="6"/>
    <s v="5/31/2005 0:00"/>
    <x v="2"/>
    <x v="1"/>
    <x v="1"/>
    <x v="2"/>
    <x v="1"/>
    <n v="214"/>
    <s v="S10_1949"/>
    <x v="23"/>
    <s v="(91) 555 94 44"/>
    <s v="C/ Moralzarzal, 86"/>
    <s v=""/>
    <s v="Madrid"/>
    <s v=""/>
    <s v="28034"/>
    <x v="7"/>
    <s v="EMEA"/>
    <s v="Freyre"/>
    <s v="Diego"/>
    <s v="Diego, Freyre"/>
    <s v="Large"/>
  </r>
  <r>
    <n v="10107"/>
    <n v="39"/>
    <n v="9991"/>
    <n v="389649"/>
    <n v="389649"/>
    <n v="5"/>
    <s v="2/24/2003 0:00"/>
    <x v="0"/>
    <x v="0"/>
    <x v="0"/>
    <x v="0"/>
    <x v="0"/>
    <n v="118"/>
    <s v="S10_2016"/>
    <x v="0"/>
    <s v="2125557818"/>
    <s v="897 Long Airport Avenue"/>
    <s v=""/>
    <s v="NYC"/>
    <s v="NY"/>
    <s v="10022"/>
    <x v="0"/>
    <s v="NA"/>
    <s v="Yu"/>
    <s v="Kwai"/>
    <s v="Kwai, Yu"/>
    <s v="Medium"/>
  </r>
  <r>
    <n v="10120"/>
    <n v="29"/>
    <n v="9634"/>
    <n v="279386"/>
    <n v="279386"/>
    <n v="3"/>
    <s v="4/29/2003 0:00"/>
    <x v="0"/>
    <x v="1"/>
    <x v="8"/>
    <x v="0"/>
    <x v="0"/>
    <n v="118"/>
    <s v="S10_2016"/>
    <x v="10"/>
    <s v="03 9520 4555"/>
    <s v="636 St Kilda Road"/>
    <s v="Level 3"/>
    <s v="Melbourne"/>
    <s v="Victoria"/>
    <s v="3004"/>
    <x v="3"/>
    <s v="APAC"/>
    <s v="Ferguson"/>
    <s v="Peter"/>
    <s v="Peter, Ferguson"/>
    <s v="Small"/>
  </r>
  <r>
    <n v="10134"/>
    <n v="27"/>
    <n v="100"/>
    <n v="2700"/>
    <n v="2700"/>
    <n v="5"/>
    <s v="7/1/2003 0:00"/>
    <x v="0"/>
    <x v="2"/>
    <x v="2"/>
    <x v="0"/>
    <x v="0"/>
    <n v="118"/>
    <s v="S10_2016"/>
    <x v="2"/>
    <s v="+33 1 46 62 7555"/>
    <s v="27 rue du Colonel Pierre Avia"/>
    <s v=""/>
    <s v="Paris"/>
    <s v=""/>
    <s v="75508"/>
    <x v="1"/>
    <s v="EMEA"/>
    <s v="Da Cunha"/>
    <s v="Daniel"/>
    <s v="Daniel, Da Cunha"/>
    <s v="Medium"/>
  </r>
  <r>
    <n v="10145"/>
    <n v="37"/>
    <n v="100"/>
    <n v="3700"/>
    <n v="3700"/>
    <n v="9"/>
    <s v="8/25/2003 0:00"/>
    <x v="0"/>
    <x v="2"/>
    <x v="3"/>
    <x v="0"/>
    <x v="0"/>
    <n v="118"/>
    <s v="S10_2016"/>
    <x v="3"/>
    <s v="6265557265"/>
    <s v="78934 Hillside Dr."/>
    <s v=""/>
    <s v="Pasadena"/>
    <s v="CA"/>
    <s v="90003"/>
    <x v="0"/>
    <s v="NA"/>
    <s v="Young"/>
    <s v="Julie"/>
    <s v="Julie, Young"/>
    <s v="Medium"/>
  </r>
  <r>
    <n v="10159"/>
    <n v="37"/>
    <n v="100"/>
    <n v="3700"/>
    <n v="3700"/>
    <n v="17"/>
    <s v="10/10/2003 0:00"/>
    <x v="0"/>
    <x v="3"/>
    <x v="4"/>
    <x v="0"/>
    <x v="0"/>
    <n v="118"/>
    <s v="S10_2016"/>
    <x v="4"/>
    <s v="6505551386"/>
    <s v="7734 Strong St."/>
    <s v=""/>
    <s v="San Francisco"/>
    <s v="CA"/>
    <s v=""/>
    <x v="0"/>
    <s v="NA"/>
    <s v="Brown"/>
    <s v="Julie"/>
    <s v="Julie, Brown"/>
    <s v="Medium"/>
  </r>
  <r>
    <n v="10168"/>
    <n v="27"/>
    <n v="100"/>
    <n v="2700"/>
    <n v="2700"/>
    <n v="4"/>
    <s v="10/28/2003 0:00"/>
    <x v="0"/>
    <x v="3"/>
    <x v="4"/>
    <x v="0"/>
    <x v="0"/>
    <n v="118"/>
    <s v="S10_2016"/>
    <x v="5"/>
    <s v="6505556809"/>
    <s v="9408 Furth Circle"/>
    <s v=""/>
    <s v="Burlingame"/>
    <s v="CA"/>
    <s v="94217"/>
    <x v="0"/>
    <s v="NA"/>
    <s v="Hirano"/>
    <s v="Juri"/>
    <s v="Juri, Hirano"/>
    <s v="Medium"/>
  </r>
  <r>
    <n v="10180"/>
    <n v="42"/>
    <n v="100"/>
    <n v="4200"/>
    <n v="4200"/>
    <n v="12"/>
    <s v="11/11/2003 0:00"/>
    <x v="0"/>
    <x v="3"/>
    <x v="5"/>
    <x v="0"/>
    <x v="0"/>
    <n v="118"/>
    <s v="S10_2016"/>
    <x v="6"/>
    <s v="20.16.1555"/>
    <s v="184, chausse de Tournai"/>
    <s v=""/>
    <s v="Lille"/>
    <s v=""/>
    <s v="59000"/>
    <x v="1"/>
    <s v="EMEA"/>
    <s v="Rance"/>
    <s v="Martine"/>
    <s v="Martine, Rance"/>
    <s v="Medium"/>
  </r>
  <r>
    <n v="10188"/>
    <n v="38"/>
    <n v="9634"/>
    <n v="366092"/>
    <n v="366092"/>
    <n v="4"/>
    <s v="11/18/2003 0:00"/>
    <x v="0"/>
    <x v="3"/>
    <x v="5"/>
    <x v="0"/>
    <x v="0"/>
    <n v="118"/>
    <s v="S10_2016"/>
    <x v="7"/>
    <s v="+47 2267 3215"/>
    <s v="Drammen 121, PR 744 Sentrum"/>
    <s v=""/>
    <s v="Bergen"/>
    <s v=""/>
    <s v="N 5804"/>
    <x v="2"/>
    <s v="EMEA"/>
    <s v="Oeztan"/>
    <s v="Veysel"/>
    <s v="Veysel, Oeztan"/>
    <s v="Medium"/>
  </r>
  <r>
    <n v="10201"/>
    <n v="24"/>
    <n v="100"/>
    <n v="2400"/>
    <n v="2400"/>
    <n v="5"/>
    <s v="12/1/2003 0:00"/>
    <x v="0"/>
    <x v="3"/>
    <x v="6"/>
    <x v="0"/>
    <x v="0"/>
    <n v="118"/>
    <s v="S10_2016"/>
    <x v="8"/>
    <s v="6505555787"/>
    <s v="5557 North Pendale Street"/>
    <s v=""/>
    <s v="San Francisco"/>
    <s v="CA"/>
    <s v=""/>
    <x v="0"/>
    <s v="NA"/>
    <s v="Murphy"/>
    <s v="Julie"/>
    <s v="Julie, Murphy"/>
    <s v="Medium"/>
  </r>
  <r>
    <n v="10210"/>
    <n v="23"/>
    <n v="100"/>
    <n v="2300"/>
    <n v="2300"/>
    <n v="2"/>
    <s v="1/12/2004 0:00"/>
    <x v="0"/>
    <x v="0"/>
    <x v="7"/>
    <x v="1"/>
    <x v="0"/>
    <n v="118"/>
    <s v="S10_2016"/>
    <x v="44"/>
    <s v="+81 06 6342 5555"/>
    <s v="Dojima Avanza 4F, 1-6-20 Dojima, Kita-ku"/>
    <s v=""/>
    <s v="Osaka"/>
    <s v="Osaka"/>
    <s v="530-0003"/>
    <x v="11"/>
    <s v="Japan"/>
    <s v="Kentary"/>
    <s v="Mory"/>
    <s v="Mory, Kentary"/>
    <s v="Medium"/>
  </r>
  <r>
    <n v="10223"/>
    <n v="47"/>
    <n v="100"/>
    <n v="4700"/>
    <n v="4700"/>
    <n v="4"/>
    <s v="2/20/2004 0:00"/>
    <x v="0"/>
    <x v="0"/>
    <x v="0"/>
    <x v="1"/>
    <x v="0"/>
    <n v="118"/>
    <s v="S10_2016"/>
    <x v="10"/>
    <s v="03 9520 4555"/>
    <s v="636 St Kilda Road"/>
    <s v="Level 3"/>
    <s v="Melbourne"/>
    <s v="Victoria"/>
    <s v="3004"/>
    <x v="3"/>
    <s v="APAC"/>
    <s v="Ferguson"/>
    <s v="Peter"/>
    <s v="Peter, Ferguson"/>
    <s v="Medium"/>
  </r>
  <r>
    <n v="10236"/>
    <n v="22"/>
    <n v="100"/>
    <n v="2200"/>
    <n v="2200"/>
    <n v="1"/>
    <s v="4/3/2004 0:00"/>
    <x v="0"/>
    <x v="1"/>
    <x v="8"/>
    <x v="1"/>
    <x v="0"/>
    <n v="118"/>
    <s v="S10_2016"/>
    <x v="45"/>
    <s v="2155559857"/>
    <s v="11328 Douglas Av."/>
    <s v=""/>
    <s v="Philadelphia"/>
    <s v="PA"/>
    <s v="71270"/>
    <x v="0"/>
    <s v="NA"/>
    <s v="Hernandez"/>
    <s v="Rosa"/>
    <s v="Rosa, Hernandez"/>
    <s v="Small"/>
  </r>
  <r>
    <n v="10251"/>
    <n v="44"/>
    <n v="100"/>
    <n v="4400"/>
    <n v="4400"/>
    <n v="5"/>
    <s v="5/18/2004 0:00"/>
    <x v="0"/>
    <x v="1"/>
    <x v="1"/>
    <x v="1"/>
    <x v="0"/>
    <n v="118"/>
    <s v="S10_2016"/>
    <x v="12"/>
    <s v="2015559350"/>
    <s v="7476 Moss Rd."/>
    <s v=""/>
    <s v="Newark"/>
    <s v="NJ"/>
    <s v="94019"/>
    <x v="0"/>
    <s v="NA"/>
    <s v="Brown"/>
    <s v="William"/>
    <s v="William, Brown"/>
    <s v="Medium"/>
  </r>
  <r>
    <n v="10263"/>
    <n v="40"/>
    <n v="100"/>
    <n v="4000"/>
    <n v="4000"/>
    <n v="5"/>
    <s v="6/28/2004 0:00"/>
    <x v="0"/>
    <x v="1"/>
    <x v="9"/>
    <x v="1"/>
    <x v="0"/>
    <n v="118"/>
    <s v="S10_2016"/>
    <x v="13"/>
    <s v="2035552570"/>
    <s v="25593 South Bay Ln."/>
    <s v=""/>
    <s v="Bridgewater"/>
    <s v="CT"/>
    <s v="97562"/>
    <x v="0"/>
    <s v="NA"/>
    <s v="King"/>
    <s v="Julie"/>
    <s v="Julie, King"/>
    <s v="Medium"/>
  </r>
  <r>
    <n v="10275"/>
    <n v="22"/>
    <n v="100"/>
    <n v="2200"/>
    <n v="2200"/>
    <n v="4"/>
    <s v="7/23/2004 0:00"/>
    <x v="0"/>
    <x v="2"/>
    <x v="2"/>
    <x v="1"/>
    <x v="0"/>
    <n v="118"/>
    <s v="S10_2016"/>
    <x v="14"/>
    <s v="40.67.8555"/>
    <s v="67, rue des Cinquante Otages"/>
    <s v=""/>
    <s v="Nantes"/>
    <s v=""/>
    <s v="44000"/>
    <x v="1"/>
    <s v="EMEA"/>
    <s v="Labrune"/>
    <s v="Janine"/>
    <s v="Janine, Labrune"/>
    <s v="Small"/>
  </r>
  <r>
    <n v="10285"/>
    <n v="47"/>
    <n v="100"/>
    <n v="4700"/>
    <n v="4700"/>
    <n v="9"/>
    <s v="8/27/2004 0:00"/>
    <x v="0"/>
    <x v="2"/>
    <x v="3"/>
    <x v="1"/>
    <x v="0"/>
    <n v="118"/>
    <s v="S10_2016"/>
    <x v="15"/>
    <s v="6175558555"/>
    <s v="39323 Spinnaker Dr."/>
    <s v=""/>
    <s v="Cambridge"/>
    <s v="MA"/>
    <s v="51247"/>
    <x v="0"/>
    <s v="NA"/>
    <s v="Hernandez"/>
    <s v="Marta"/>
    <s v="Marta, Hernandez"/>
    <s v="Medium"/>
  </r>
  <r>
    <n v="10298"/>
    <n v="39"/>
    <n v="9634"/>
    <n v="375726"/>
    <n v="375726"/>
    <n v="1"/>
    <s v="9/27/2004 0:00"/>
    <x v="0"/>
    <x v="2"/>
    <x v="10"/>
    <x v="1"/>
    <x v="0"/>
    <n v="118"/>
    <s v="S10_2016"/>
    <x v="46"/>
    <s v="40.32.2555"/>
    <s v="54, rue Royale"/>
    <s v=""/>
    <s v="Nantes"/>
    <s v=""/>
    <s v="44000"/>
    <x v="1"/>
    <s v="EMEA"/>
    <s v="Schmitt"/>
    <s v="Carine"/>
    <s v="Carine, Schmitt"/>
    <s v="Medium"/>
  </r>
  <r>
    <n v="10308"/>
    <n v="34"/>
    <n v="100"/>
    <n v="3400"/>
    <n v="3400"/>
    <n v="2"/>
    <s v="10/15/2004 0:00"/>
    <x v="0"/>
    <x v="3"/>
    <x v="4"/>
    <x v="1"/>
    <x v="0"/>
    <n v="118"/>
    <s v="S10_2016"/>
    <x v="47"/>
    <s v="9145554562"/>
    <s v="3758 North Pendale Street"/>
    <s v=""/>
    <s v="White Plains"/>
    <s v="NY"/>
    <s v="24067"/>
    <x v="0"/>
    <s v="NA"/>
    <s v="Frick"/>
    <s v="Steve"/>
    <s v="Steve, Frick"/>
    <s v="Medium"/>
  </r>
  <r>
    <n v="10318"/>
    <n v="45"/>
    <n v="100"/>
    <n v="4500"/>
    <n v="4500"/>
    <n v="4"/>
    <s v="11/2/2004 0:00"/>
    <x v="0"/>
    <x v="3"/>
    <x v="5"/>
    <x v="1"/>
    <x v="0"/>
    <n v="118"/>
    <s v="S10_2016"/>
    <x v="18"/>
    <s v="2155551555"/>
    <s v="7586 Pompton St."/>
    <s v=""/>
    <s v="Allentown"/>
    <s v="PA"/>
    <s v="70267"/>
    <x v="0"/>
    <s v="NA"/>
    <s v="Yu"/>
    <s v="Kyung"/>
    <s v="Kyung, Yu"/>
    <s v="Medium"/>
  </r>
  <r>
    <n v="10329"/>
    <n v="20"/>
    <n v="100"/>
    <n v="2000"/>
    <n v="2000"/>
    <n v="2"/>
    <s v="11/15/2004 0:00"/>
    <x v="0"/>
    <x v="3"/>
    <x v="5"/>
    <x v="1"/>
    <x v="0"/>
    <n v="118"/>
    <s v="S10_2016"/>
    <x v="0"/>
    <s v="2125557818"/>
    <s v="897 Long Airport Avenue"/>
    <s v=""/>
    <s v="NYC"/>
    <s v="NY"/>
    <s v="10022"/>
    <x v="0"/>
    <s v="NA"/>
    <s v="Yu"/>
    <s v="Kwai"/>
    <s v="Kwai, Yu"/>
    <s v="Medium"/>
  </r>
  <r>
    <n v="10339"/>
    <n v="40"/>
    <n v="6892"/>
    <n v="275680"/>
    <n v="275680"/>
    <n v="4"/>
    <s v="11/23/2004 0:00"/>
    <x v="0"/>
    <x v="3"/>
    <x v="5"/>
    <x v="1"/>
    <x v="0"/>
    <n v="118"/>
    <s v="S10_2016"/>
    <x v="35"/>
    <s v="+81 3 3584 0555"/>
    <s v="2-2-8 Roppongi"/>
    <s v=""/>
    <s v="Minato-ku"/>
    <s v="Tokyo"/>
    <s v="106-0032"/>
    <x v="11"/>
    <s v="Japan"/>
    <s v="Shimamura"/>
    <s v="Akiko"/>
    <s v="Akiko, Shimamura"/>
    <s v="Small"/>
  </r>
  <r>
    <n v="10361"/>
    <n v="26"/>
    <n v="5115"/>
    <n v="132990"/>
    <n v="132990"/>
    <n v="8"/>
    <s v="12/17/2004 0:00"/>
    <x v="0"/>
    <x v="3"/>
    <x v="6"/>
    <x v="1"/>
    <x v="0"/>
    <n v="118"/>
    <s v="S10_2016"/>
    <x v="20"/>
    <s v="+61 2 9495 8555"/>
    <s v="Monitor Money Building, 815 Pacific Hwy"/>
    <s v="Level 6"/>
    <s v="Chatswood"/>
    <s v="NSW"/>
    <s v="2067"/>
    <x v="3"/>
    <s v="APAC"/>
    <s v="Huxley"/>
    <s v="Adrian"/>
    <s v="Adrian, Huxley"/>
    <s v="Small"/>
  </r>
  <r>
    <n v="10374"/>
    <n v="39"/>
    <n v="100"/>
    <n v="3900"/>
    <n v="3900"/>
    <n v="5"/>
    <s v="2/2/2005 0:00"/>
    <x v="0"/>
    <x v="0"/>
    <x v="0"/>
    <x v="2"/>
    <x v="0"/>
    <n v="118"/>
    <s v="S10_2016"/>
    <x v="28"/>
    <s v="61-7-3844-6555"/>
    <s v="31 Duncan St. West End"/>
    <s v=""/>
    <s v="South Brisbane"/>
    <s v="Queensland"/>
    <s v="4101"/>
    <x v="3"/>
    <s v="APAC"/>
    <s v="Calaghan"/>
    <s v="Tony"/>
    <s v="Tony, Calaghan"/>
    <s v="Medium"/>
  </r>
  <r>
    <n v="10388"/>
    <n v="50"/>
    <n v="4451"/>
    <n v="222550"/>
    <n v="222550"/>
    <n v="5"/>
    <s v="3/3/2005 0:00"/>
    <x v="0"/>
    <x v="0"/>
    <x v="11"/>
    <x v="2"/>
    <x v="0"/>
    <n v="118"/>
    <s v="S10_2016"/>
    <x v="21"/>
    <s v="5085552555"/>
    <s v="1785 First Street"/>
    <s v=""/>
    <s v="New Bedford"/>
    <s v="MA"/>
    <s v="50553"/>
    <x v="0"/>
    <s v="NA"/>
    <s v="Benitez"/>
    <s v="Violeta"/>
    <s v="Violeta, Benitez"/>
    <s v="Small"/>
  </r>
  <r>
    <n v="10402"/>
    <n v="45"/>
    <n v="100"/>
    <n v="4500"/>
    <n v="4500"/>
    <n v="1"/>
    <s v="4/7/2005 0:00"/>
    <x v="0"/>
    <x v="1"/>
    <x v="8"/>
    <x v="2"/>
    <x v="0"/>
    <n v="118"/>
    <s v="S10_2016"/>
    <x v="9"/>
    <s v="(1) 47.55.6555"/>
    <s v="25, rue Lauriston"/>
    <s v=""/>
    <s v="Paris"/>
    <s v=""/>
    <s v="75016"/>
    <x v="1"/>
    <s v="EMEA"/>
    <s v="Perrier"/>
    <s v="Dominique"/>
    <s v="Dominique, Perrier"/>
    <s v="Medium"/>
  </r>
  <r>
    <n v="10417"/>
    <n v="45"/>
    <n v="100"/>
    <n v="4500"/>
    <n v="0"/>
    <n v="5"/>
    <s v="5/13/2005 0:00"/>
    <x v="1"/>
    <x v="1"/>
    <x v="1"/>
    <x v="2"/>
    <x v="0"/>
    <n v="118"/>
    <s v="S10_2016"/>
    <x v="23"/>
    <s v="(91) 555 94 44"/>
    <s v="C/ Moralzarzal, 86"/>
    <s v=""/>
    <s v="Madrid"/>
    <s v=""/>
    <s v="28034"/>
    <x v="7"/>
    <s v="EMEA"/>
    <s v="Freyre"/>
    <s v="Diego"/>
    <s v="Diego, Freyre"/>
    <s v="Medium"/>
  </r>
  <r>
    <n v="10107"/>
    <n v="27"/>
    <n v="100"/>
    <n v="2700"/>
    <n v="2700"/>
    <n v="4"/>
    <s v="2/24/2003 0:00"/>
    <x v="0"/>
    <x v="0"/>
    <x v="0"/>
    <x v="0"/>
    <x v="0"/>
    <n v="193"/>
    <s v="S10_4698"/>
    <x v="0"/>
    <s v="2125557818"/>
    <s v="897 Long Airport Avenue"/>
    <s v=""/>
    <s v="NYC"/>
    <s v="NY"/>
    <s v="10022"/>
    <x v="0"/>
    <s v="NA"/>
    <s v="Yu"/>
    <s v="Kwai"/>
    <s v="Kwai, Yu"/>
    <s v="Medium"/>
  </r>
  <r>
    <n v="10120"/>
    <n v="46"/>
    <n v="100"/>
    <n v="4600"/>
    <n v="4600"/>
    <n v="2"/>
    <s v="4/29/2003 0:00"/>
    <x v="0"/>
    <x v="1"/>
    <x v="8"/>
    <x v="0"/>
    <x v="0"/>
    <n v="193"/>
    <s v="S10_4698"/>
    <x v="10"/>
    <s v="03 9520 4555"/>
    <s v="636 St Kilda Road"/>
    <s v="Level 3"/>
    <s v="Melbourne"/>
    <s v="Victoria"/>
    <s v="3004"/>
    <x v="3"/>
    <s v="APAC"/>
    <s v="Ferguson"/>
    <s v="Peter"/>
    <s v="Peter, Ferguson"/>
    <s v="Large"/>
  </r>
  <r>
    <n v="10134"/>
    <n v="31"/>
    <n v="100"/>
    <n v="3100"/>
    <n v="3100"/>
    <n v="4"/>
    <s v="7/1/2003 0:00"/>
    <x v="0"/>
    <x v="2"/>
    <x v="2"/>
    <x v="0"/>
    <x v="0"/>
    <n v="193"/>
    <s v="S10_4698"/>
    <x v="2"/>
    <s v="+33 1 46 62 7555"/>
    <s v="27 rue du Colonel Pierre Avia"/>
    <s v=""/>
    <s v="Paris"/>
    <s v=""/>
    <s v="75508"/>
    <x v="1"/>
    <s v="EMEA"/>
    <s v="Da Cunha"/>
    <s v="Daniel"/>
    <s v="Daniel, Da Cunha"/>
    <s v="Large"/>
  </r>
  <r>
    <n v="10145"/>
    <n v="33"/>
    <n v="100"/>
    <n v="3300"/>
    <n v="3300"/>
    <n v="8"/>
    <s v="8/25/2003 0:00"/>
    <x v="0"/>
    <x v="2"/>
    <x v="3"/>
    <x v="0"/>
    <x v="0"/>
    <n v="193"/>
    <s v="S10_4698"/>
    <x v="3"/>
    <s v="6265557265"/>
    <s v="78934 Hillside Dr."/>
    <s v=""/>
    <s v="Pasadena"/>
    <s v="CA"/>
    <s v="90003"/>
    <x v="0"/>
    <s v="NA"/>
    <s v="Young"/>
    <s v="Julie"/>
    <s v="Julie, Young"/>
    <s v="Medium"/>
  </r>
  <r>
    <n v="10159"/>
    <n v="22"/>
    <n v="100"/>
    <n v="2200"/>
    <n v="2200"/>
    <n v="16"/>
    <s v="10/10/2003 0:00"/>
    <x v="0"/>
    <x v="3"/>
    <x v="4"/>
    <x v="0"/>
    <x v="0"/>
    <n v="193"/>
    <s v="S10_4698"/>
    <x v="4"/>
    <s v="6505551386"/>
    <s v="7734 Strong St."/>
    <s v=""/>
    <s v="San Francisco"/>
    <s v="CA"/>
    <s v=""/>
    <x v="0"/>
    <s v="NA"/>
    <s v="Brown"/>
    <s v="Julie"/>
    <s v="Julie, Brown"/>
    <s v="Medium"/>
  </r>
  <r>
    <n v="10168"/>
    <n v="20"/>
    <n v="100"/>
    <n v="2000"/>
    <n v="2000"/>
    <n v="3"/>
    <s v="10/28/2003 0:00"/>
    <x v="0"/>
    <x v="3"/>
    <x v="4"/>
    <x v="0"/>
    <x v="0"/>
    <n v="193"/>
    <s v="S10_4698"/>
    <x v="5"/>
    <s v="6505556809"/>
    <s v="9408 Furth Circle"/>
    <s v=""/>
    <s v="Burlingame"/>
    <s v="CA"/>
    <s v="94217"/>
    <x v="0"/>
    <s v="NA"/>
    <s v="Hirano"/>
    <s v="Juri"/>
    <s v="Juri, Hirano"/>
    <s v="Medium"/>
  </r>
  <r>
    <n v="10180"/>
    <n v="41"/>
    <n v="100"/>
    <n v="4100"/>
    <n v="4100"/>
    <n v="11"/>
    <s v="11/11/2003 0:00"/>
    <x v="0"/>
    <x v="3"/>
    <x v="5"/>
    <x v="0"/>
    <x v="0"/>
    <n v="193"/>
    <s v="S10_4698"/>
    <x v="6"/>
    <s v="20.16.1555"/>
    <s v="184, chausse de Tournai"/>
    <s v=""/>
    <s v="Lille"/>
    <s v=""/>
    <s v="59000"/>
    <x v="1"/>
    <s v="EMEA"/>
    <s v="Rance"/>
    <s v="Martine"/>
    <s v="Martine, Rance"/>
    <s v="Large"/>
  </r>
  <r>
    <n v="10188"/>
    <n v="45"/>
    <n v="100"/>
    <n v="4500"/>
    <n v="4500"/>
    <n v="3"/>
    <s v="11/18/2003 0:00"/>
    <x v="0"/>
    <x v="3"/>
    <x v="5"/>
    <x v="0"/>
    <x v="0"/>
    <n v="193"/>
    <s v="S10_4698"/>
    <x v="7"/>
    <s v="+47 2267 3215"/>
    <s v="Drammen 121, PR 744 Sentrum"/>
    <s v=""/>
    <s v="Bergen"/>
    <s v=""/>
    <s v="N 5804"/>
    <x v="2"/>
    <s v="EMEA"/>
    <s v="Oeztan"/>
    <s v="Veysel"/>
    <s v="Veysel, Oeztan"/>
    <s v="Large"/>
  </r>
  <r>
    <n v="10201"/>
    <n v="49"/>
    <n v="100"/>
    <n v="4900"/>
    <n v="4900"/>
    <n v="4"/>
    <s v="12/1/2003 0:00"/>
    <x v="0"/>
    <x v="3"/>
    <x v="6"/>
    <x v="0"/>
    <x v="0"/>
    <n v="193"/>
    <s v="S10_4698"/>
    <x v="8"/>
    <s v="6505555787"/>
    <s v="5557 North Pendale Street"/>
    <s v=""/>
    <s v="San Francisco"/>
    <s v="CA"/>
    <s v=""/>
    <x v="0"/>
    <s v="NA"/>
    <s v="Murphy"/>
    <s v="Julie"/>
    <s v="Julie, Murphy"/>
    <s v="Large"/>
  </r>
  <r>
    <n v="10210"/>
    <n v="34"/>
    <n v="100"/>
    <n v="3400"/>
    <n v="3400"/>
    <n v="1"/>
    <s v="1/12/2004 0:00"/>
    <x v="0"/>
    <x v="0"/>
    <x v="7"/>
    <x v="1"/>
    <x v="0"/>
    <n v="193"/>
    <s v="S10_4698"/>
    <x v="44"/>
    <s v="+81 06 6342 5555"/>
    <s v="Dojima Avanza 4F, 1-6-20 Dojima, Kita-ku"/>
    <s v=""/>
    <s v="Osaka"/>
    <s v="Osaka"/>
    <s v="530-0003"/>
    <x v="11"/>
    <s v="Japan"/>
    <s v="Kentary"/>
    <s v="Mory"/>
    <s v="Mory, Kentary"/>
    <s v="Medium"/>
  </r>
  <r>
    <n v="10223"/>
    <n v="49"/>
    <n v="100"/>
    <n v="4900"/>
    <n v="4900"/>
    <n v="3"/>
    <s v="2/20/2004 0:00"/>
    <x v="0"/>
    <x v="0"/>
    <x v="0"/>
    <x v="1"/>
    <x v="0"/>
    <n v="193"/>
    <s v="S10_4698"/>
    <x v="10"/>
    <s v="03 9520 4555"/>
    <s v="636 St Kilda Road"/>
    <s v="Level 3"/>
    <s v="Melbourne"/>
    <s v="Victoria"/>
    <s v="3004"/>
    <x v="3"/>
    <s v="APAC"/>
    <s v="Ferguson"/>
    <s v="Peter"/>
    <s v="Peter, Ferguson"/>
    <s v="Large"/>
  </r>
  <r>
    <n v="10237"/>
    <n v="39"/>
    <n v="100"/>
    <n v="3900"/>
    <n v="3900"/>
    <n v="9"/>
    <s v="4/5/2004 0:00"/>
    <x v="0"/>
    <x v="1"/>
    <x v="8"/>
    <x v="1"/>
    <x v="0"/>
    <n v="193"/>
    <s v="S10_4698"/>
    <x v="11"/>
    <s v="2125551500"/>
    <s v="2678 Kingston Rd."/>
    <s v="Suite 101"/>
    <s v="NYC"/>
    <s v="NY"/>
    <s v="10022"/>
    <x v="0"/>
    <s v="NA"/>
    <s v="Frick"/>
    <s v="Michael"/>
    <s v="Michael, Frick"/>
    <s v="Large"/>
  </r>
  <r>
    <n v="10251"/>
    <n v="43"/>
    <n v="100"/>
    <n v="4300"/>
    <n v="4300"/>
    <n v="4"/>
    <s v="5/18/2004 0:00"/>
    <x v="0"/>
    <x v="1"/>
    <x v="1"/>
    <x v="1"/>
    <x v="0"/>
    <n v="193"/>
    <s v="S10_4698"/>
    <x v="12"/>
    <s v="2015559350"/>
    <s v="7476 Moss Rd."/>
    <s v=""/>
    <s v="Newark"/>
    <s v="NJ"/>
    <s v="94019"/>
    <x v="0"/>
    <s v="NA"/>
    <s v="Brown"/>
    <s v="William"/>
    <s v="William, Brown"/>
    <s v="Large"/>
  </r>
  <r>
    <n v="10263"/>
    <n v="41"/>
    <n v="100"/>
    <n v="4100"/>
    <n v="4100"/>
    <n v="4"/>
    <s v="6/28/2004 0:00"/>
    <x v="0"/>
    <x v="1"/>
    <x v="9"/>
    <x v="1"/>
    <x v="0"/>
    <n v="193"/>
    <s v="S10_4698"/>
    <x v="13"/>
    <s v="2035552570"/>
    <s v="25593 South Bay Ln."/>
    <s v=""/>
    <s v="Bridgewater"/>
    <s v="CT"/>
    <s v="97562"/>
    <x v="0"/>
    <s v="NA"/>
    <s v="King"/>
    <s v="Julie"/>
    <s v="Julie, King"/>
    <s v="Large"/>
  </r>
  <r>
    <n v="10275"/>
    <n v="36"/>
    <n v="100"/>
    <n v="3600"/>
    <n v="3600"/>
    <n v="3"/>
    <s v="7/23/2004 0:00"/>
    <x v="0"/>
    <x v="2"/>
    <x v="2"/>
    <x v="1"/>
    <x v="0"/>
    <n v="193"/>
    <s v="S10_4698"/>
    <x v="14"/>
    <s v="40.67.8555"/>
    <s v="67, rue des Cinquante Otages"/>
    <s v=""/>
    <s v="Nantes"/>
    <s v=""/>
    <s v="44000"/>
    <x v="1"/>
    <s v="EMEA"/>
    <s v="Labrune"/>
    <s v="Janine"/>
    <s v="Janine, Labrune"/>
    <s v="Medium"/>
  </r>
  <r>
    <n v="10285"/>
    <n v="27"/>
    <n v="100"/>
    <n v="2700"/>
    <n v="2700"/>
    <n v="8"/>
    <s v="8/27/2004 0:00"/>
    <x v="0"/>
    <x v="2"/>
    <x v="3"/>
    <x v="1"/>
    <x v="0"/>
    <n v="193"/>
    <s v="S10_4698"/>
    <x v="15"/>
    <s v="6175558555"/>
    <s v="39323 Spinnaker Dr."/>
    <s v=""/>
    <s v="Cambridge"/>
    <s v="MA"/>
    <s v="51247"/>
    <x v="0"/>
    <s v="NA"/>
    <s v="Hernandez"/>
    <s v="Marta"/>
    <s v="Marta, Hernandez"/>
    <s v="Medium"/>
  </r>
  <r>
    <n v="10299"/>
    <n v="29"/>
    <n v="100"/>
    <n v="2900"/>
    <n v="2900"/>
    <n v="11"/>
    <s v="9/30/2004 0:00"/>
    <x v="0"/>
    <x v="2"/>
    <x v="10"/>
    <x v="1"/>
    <x v="0"/>
    <n v="193"/>
    <s v="S10_4698"/>
    <x v="16"/>
    <s v="90-224 8555"/>
    <s v="Keskuskatu 45"/>
    <s v=""/>
    <s v="Helsinki"/>
    <s v=""/>
    <s v="21240"/>
    <x v="4"/>
    <s v="EMEA"/>
    <s v="Karttunen"/>
    <s v="Matti"/>
    <s v="Matti, Karttunen"/>
    <s v="Medium"/>
  </r>
  <r>
    <n v="10308"/>
    <n v="20"/>
    <n v="100"/>
    <n v="2000"/>
    <n v="2000"/>
    <n v="1"/>
    <s v="10/15/2004 0:00"/>
    <x v="0"/>
    <x v="3"/>
    <x v="4"/>
    <x v="1"/>
    <x v="0"/>
    <n v="193"/>
    <s v="S10_4698"/>
    <x v="47"/>
    <s v="9145554562"/>
    <s v="3758 North Pendale Street"/>
    <s v=""/>
    <s v="White Plains"/>
    <s v="NY"/>
    <s v="24067"/>
    <x v="0"/>
    <s v="NA"/>
    <s v="Frick"/>
    <s v="Steve"/>
    <s v="Steve, Frick"/>
    <s v="Medium"/>
  </r>
  <r>
    <n v="10318"/>
    <n v="37"/>
    <n v="100"/>
    <n v="3700"/>
    <n v="3700"/>
    <n v="3"/>
    <s v="11/2/2004 0:00"/>
    <x v="0"/>
    <x v="3"/>
    <x v="5"/>
    <x v="1"/>
    <x v="0"/>
    <n v="193"/>
    <s v="S10_4698"/>
    <x v="18"/>
    <s v="2155551555"/>
    <s v="7586 Pompton St."/>
    <s v=""/>
    <s v="Allentown"/>
    <s v="PA"/>
    <s v="70267"/>
    <x v="0"/>
    <s v="NA"/>
    <s v="Yu"/>
    <s v="Kyung"/>
    <s v="Kyung, Yu"/>
    <s v="Large"/>
  </r>
  <r>
    <n v="10329"/>
    <n v="26"/>
    <n v="100"/>
    <n v="2600"/>
    <n v="2600"/>
    <n v="3"/>
    <s v="11/15/2004 0:00"/>
    <x v="0"/>
    <x v="3"/>
    <x v="5"/>
    <x v="1"/>
    <x v="0"/>
    <n v="193"/>
    <s v="S10_4698"/>
    <x v="0"/>
    <s v="2125557818"/>
    <s v="897 Long Airport Avenue"/>
    <s v=""/>
    <s v="NYC"/>
    <s v="NY"/>
    <s v="10022"/>
    <x v="0"/>
    <s v="NA"/>
    <s v="Yu"/>
    <s v="Kwai"/>
    <s v="Kwai, Yu"/>
    <s v="Medium"/>
  </r>
  <r>
    <n v="10339"/>
    <n v="39"/>
    <n v="7667"/>
    <n v="299013"/>
    <n v="299013"/>
    <n v="3"/>
    <s v="11/23/2004 0:00"/>
    <x v="0"/>
    <x v="3"/>
    <x v="5"/>
    <x v="1"/>
    <x v="0"/>
    <n v="193"/>
    <s v="S10_4698"/>
    <x v="35"/>
    <s v="+81 3 3584 0555"/>
    <s v="2-2-8 Roppongi"/>
    <s v=""/>
    <s v="Minato-ku"/>
    <s v="Tokyo"/>
    <s v="106-0032"/>
    <x v="11"/>
    <s v="Japan"/>
    <s v="Shimamura"/>
    <s v="Akiko"/>
    <s v="Akiko, Shimamura"/>
    <s v="Small"/>
  </r>
  <r>
    <n v="10362"/>
    <n v="22"/>
    <n v="100"/>
    <n v="2200"/>
    <n v="2200"/>
    <n v="4"/>
    <s v="1/5/2005 0:00"/>
    <x v="0"/>
    <x v="0"/>
    <x v="7"/>
    <x v="2"/>
    <x v="0"/>
    <n v="193"/>
    <s v="S10_4698"/>
    <x v="5"/>
    <s v="6505556809"/>
    <s v="9408 Furth Circle"/>
    <s v=""/>
    <s v="Burlingame"/>
    <s v="CA"/>
    <s v="94217"/>
    <x v="0"/>
    <s v="NA"/>
    <s v="Hirano"/>
    <s v="Juri"/>
    <s v="Juri, Hirano"/>
    <s v="Medium"/>
  </r>
  <r>
    <n v="10374"/>
    <n v="22"/>
    <n v="100"/>
    <n v="2200"/>
    <n v="2200"/>
    <n v="1"/>
    <s v="2/2/2005 0:00"/>
    <x v="0"/>
    <x v="0"/>
    <x v="0"/>
    <x v="2"/>
    <x v="0"/>
    <n v="193"/>
    <s v="S10_4698"/>
    <x v="28"/>
    <s v="61-7-3844-6555"/>
    <s v="31 Duncan St. West End"/>
    <s v=""/>
    <s v="South Brisbane"/>
    <s v="Queensland"/>
    <s v="4101"/>
    <x v="3"/>
    <s v="APAC"/>
    <s v="Calaghan"/>
    <s v="Tony"/>
    <s v="Tony, Calaghan"/>
    <s v="Medium"/>
  </r>
  <r>
    <n v="10388"/>
    <n v="21"/>
    <n v="8677"/>
    <n v="182217"/>
    <n v="182217"/>
    <n v="7"/>
    <s v="3/3/2005 0:00"/>
    <x v="0"/>
    <x v="0"/>
    <x v="11"/>
    <x v="2"/>
    <x v="0"/>
    <n v="193"/>
    <s v="S10_4698"/>
    <x v="21"/>
    <s v="5085552555"/>
    <s v="1785 First Street"/>
    <s v=""/>
    <s v="New Bedford"/>
    <s v="MA"/>
    <s v="50553"/>
    <x v="0"/>
    <s v="NA"/>
    <s v="Benitez"/>
    <s v="Violeta"/>
    <s v="Violeta, Benitez"/>
    <s v="Small"/>
  </r>
  <r>
    <n v="10403"/>
    <n v="66"/>
    <n v="100"/>
    <n v="6600"/>
    <n v="6600"/>
    <n v="9"/>
    <s v="4/8/2005 0:00"/>
    <x v="0"/>
    <x v="1"/>
    <x v="8"/>
    <x v="2"/>
    <x v="0"/>
    <n v="193"/>
    <s v="S10_4698"/>
    <x v="22"/>
    <s v="(171) 555-2282"/>
    <s v="Berkeley Gardens 12  Brewery"/>
    <s v=""/>
    <s v="Liverpool"/>
    <s v=""/>
    <s v="WX1 6LT"/>
    <x v="6"/>
    <s v="EMEA"/>
    <s v="Devon"/>
    <s v="Elizabeth"/>
    <s v="Elizabeth, Devon"/>
    <s v="Large"/>
  </r>
  <r>
    <n v="10417"/>
    <n v="56"/>
    <n v="100"/>
    <n v="5600"/>
    <n v="0"/>
    <n v="4"/>
    <s v="5/13/2005 0:00"/>
    <x v="1"/>
    <x v="1"/>
    <x v="1"/>
    <x v="2"/>
    <x v="0"/>
    <n v="193"/>
    <s v="S10_4698"/>
    <x v="23"/>
    <s v="(91) 555 94 44"/>
    <s v="C/ Moralzarzal, 86"/>
    <s v=""/>
    <s v="Madrid"/>
    <s v=""/>
    <s v="28034"/>
    <x v="7"/>
    <s v="EMEA"/>
    <s v="Freyre"/>
    <s v="Diego"/>
    <s v="Diego, Freyre"/>
    <s v="Large"/>
  </r>
  <r>
    <n v="10105"/>
    <n v="50"/>
    <n v="100"/>
    <n v="5000"/>
    <n v="5000"/>
    <n v="2"/>
    <s v="2/11/2003 0:00"/>
    <x v="0"/>
    <x v="0"/>
    <x v="0"/>
    <x v="0"/>
    <x v="1"/>
    <n v="136"/>
    <s v="S10_4757"/>
    <x v="48"/>
    <s v="31 12 3555"/>
    <s v="Vinb'ltet 34"/>
    <s v=""/>
    <s v="Kobenhavn"/>
    <s v=""/>
    <s v="1734"/>
    <x v="13"/>
    <s v="EMEA"/>
    <s v="Petersen"/>
    <s v="Jytte"/>
    <s v="Jytte, Petersen"/>
    <s v="Large"/>
  </r>
  <r>
    <n v="10119"/>
    <n v="46"/>
    <n v="100"/>
    <n v="4600"/>
    <n v="4600"/>
    <n v="11"/>
    <s v="4/28/2003 0:00"/>
    <x v="0"/>
    <x v="1"/>
    <x v="8"/>
    <x v="0"/>
    <x v="1"/>
    <n v="136"/>
    <s v="S10_4757"/>
    <x v="19"/>
    <s v="6562-9555"/>
    <s v="Geislweg 14"/>
    <s v=""/>
    <s v="Salzburg"/>
    <s v=""/>
    <s v="5020"/>
    <x v="5"/>
    <s v="EMEA"/>
    <s v="Pipps"/>
    <s v="Georg"/>
    <s v="Georg, Pipps"/>
    <s v="Medium"/>
  </r>
  <r>
    <n v="10129"/>
    <n v="33"/>
    <n v="100"/>
    <n v="3300"/>
    <n v="3300"/>
    <n v="2"/>
    <s v="6/12/2003 0:00"/>
    <x v="0"/>
    <x v="1"/>
    <x v="9"/>
    <x v="0"/>
    <x v="1"/>
    <n v="136"/>
    <s v="S10_4757"/>
    <x v="49"/>
    <s v="(171) 555-0297"/>
    <s v="35 King George"/>
    <s v=""/>
    <s v="London"/>
    <s v=""/>
    <s v="WX3 6FW"/>
    <x v="6"/>
    <s v="EMEA"/>
    <s v="Brown"/>
    <s v="Ann"/>
    <s v="Ann, Brown"/>
    <s v="Medium"/>
  </r>
  <r>
    <n v="10143"/>
    <n v="49"/>
    <n v="100"/>
    <n v="4900"/>
    <n v="4900"/>
    <n v="15"/>
    <s v="8/10/2003 0:00"/>
    <x v="0"/>
    <x v="2"/>
    <x v="3"/>
    <x v="0"/>
    <x v="1"/>
    <n v="136"/>
    <s v="S10_4757"/>
    <x v="50"/>
    <s v="5085559555"/>
    <s v="4575 Hillside Dr."/>
    <s v=""/>
    <s v="New Bedford"/>
    <s v="MA"/>
    <s v="50553"/>
    <x v="0"/>
    <s v="NA"/>
    <s v="Tam"/>
    <s v="Wing C"/>
    <s v="Wing C, Tam"/>
    <s v="Medium"/>
  </r>
  <r>
    <n v="10155"/>
    <n v="32"/>
    <n v="100"/>
    <n v="3200"/>
    <n v="3200"/>
    <n v="13"/>
    <s v="10/6/2003 0:00"/>
    <x v="0"/>
    <x v="3"/>
    <x v="4"/>
    <x v="0"/>
    <x v="1"/>
    <n v="136"/>
    <s v="S10_4757"/>
    <x v="16"/>
    <s v="90-224 8555"/>
    <s v="Keskuskatu 45"/>
    <s v=""/>
    <s v="Helsinki"/>
    <s v=""/>
    <s v="21240"/>
    <x v="4"/>
    <s v="EMEA"/>
    <s v="Karttunen"/>
    <s v="Matti"/>
    <s v="Matti, Karttunen"/>
    <s v="Medium"/>
  </r>
  <r>
    <n v="10167"/>
    <n v="44"/>
    <n v="100"/>
    <n v="4400"/>
    <n v="0"/>
    <n v="9"/>
    <s v="10/23/2003 0:00"/>
    <x v="3"/>
    <x v="3"/>
    <x v="4"/>
    <x v="0"/>
    <x v="1"/>
    <n v="136"/>
    <s v="S10_4757"/>
    <x v="37"/>
    <s v="0695-34 6555"/>
    <s v="?kergatan 24"/>
    <s v=""/>
    <s v="Boras"/>
    <s v=""/>
    <s v="S-844 67"/>
    <x v="8"/>
    <s v="EMEA"/>
    <s v="Larsson"/>
    <s v="Maria"/>
    <s v="Maria, Larsson"/>
    <s v="Medium"/>
  </r>
  <r>
    <n v="10178"/>
    <n v="24"/>
    <n v="100"/>
    <n v="2400"/>
    <n v="2400"/>
    <n v="12"/>
    <s v="11/8/2003 0:00"/>
    <x v="0"/>
    <x v="3"/>
    <x v="5"/>
    <x v="0"/>
    <x v="1"/>
    <n v="136"/>
    <s v="S10_4757"/>
    <x v="51"/>
    <s v="61.77.6555"/>
    <s v="1 rue Alsace-Lorraine"/>
    <s v=""/>
    <s v="Toulouse"/>
    <s v=""/>
    <s v="31000"/>
    <x v="1"/>
    <s v="EMEA"/>
    <s v="Roulet"/>
    <s v="Annette"/>
    <s v="Annette, Roulet"/>
    <s v="Medium"/>
  </r>
  <r>
    <n v="10186"/>
    <n v="26"/>
    <n v="100"/>
    <n v="2600"/>
    <n v="2600"/>
    <n v="9"/>
    <s v="11/14/2003 0:00"/>
    <x v="0"/>
    <x v="3"/>
    <x v="5"/>
    <x v="0"/>
    <x v="1"/>
    <n v="136"/>
    <s v="S10_4757"/>
    <x v="52"/>
    <s v="(171) 555-7555"/>
    <s v="120 Hanover Sq."/>
    <s v=""/>
    <s v="London"/>
    <s v=""/>
    <s v="WA1 1DP"/>
    <x v="6"/>
    <s v="EMEA"/>
    <s v="Hardy"/>
    <s v="Thomas"/>
    <s v="Thomas, Hardy"/>
    <s v="Medium"/>
  </r>
  <r>
    <n v="10197"/>
    <n v="45"/>
    <n v="100"/>
    <n v="4500"/>
    <n v="4500"/>
    <n v="6"/>
    <s v="11/26/2003 0:00"/>
    <x v="0"/>
    <x v="3"/>
    <x v="5"/>
    <x v="0"/>
    <x v="1"/>
    <n v="136"/>
    <s v="S10_4757"/>
    <x v="53"/>
    <s v="(93) 203 4555"/>
    <s v="Rambla de Catalu¤a, 23"/>
    <s v=""/>
    <s v="Barcelona"/>
    <s v=""/>
    <s v="8022"/>
    <x v="7"/>
    <s v="EMEA"/>
    <s v="Saavedra"/>
    <s v="Eduardo"/>
    <s v="Eduardo, Saavedra"/>
    <s v="Medium"/>
  </r>
  <r>
    <n v="10209"/>
    <n v="39"/>
    <n v="100"/>
    <n v="3900"/>
    <n v="3900"/>
    <n v="8"/>
    <s v="1/9/2004 0:00"/>
    <x v="0"/>
    <x v="0"/>
    <x v="7"/>
    <x v="1"/>
    <x v="1"/>
    <n v="136"/>
    <s v="S10_4757"/>
    <x v="54"/>
    <s v="2155554369"/>
    <s v="6047 Douglas Av."/>
    <s v=""/>
    <s v="Los Angeles"/>
    <s v="CA"/>
    <s v=""/>
    <x v="0"/>
    <s v="NA"/>
    <s v="Chandler"/>
    <s v="Michael"/>
    <s v="Michael, Chandler"/>
    <s v="Medium"/>
  </r>
  <r>
    <n v="10222"/>
    <n v="49"/>
    <n v="100"/>
    <n v="4900"/>
    <n v="4900"/>
    <n v="12"/>
    <s v="2/19/2004 0:00"/>
    <x v="0"/>
    <x v="0"/>
    <x v="0"/>
    <x v="1"/>
    <x v="1"/>
    <n v="136"/>
    <s v="S10_4757"/>
    <x v="55"/>
    <s v="7605558146"/>
    <s v="361 Furth Circle"/>
    <s v=""/>
    <s v="San Diego"/>
    <s v="CA"/>
    <s v="91217"/>
    <x v="0"/>
    <s v="NA"/>
    <s v="Thompson"/>
    <s v="Valarie"/>
    <s v="Valarie, Thompson"/>
    <s v="Medium"/>
  </r>
  <r>
    <n v="10248"/>
    <n v="20"/>
    <n v="100"/>
    <n v="2000"/>
    <n v="0"/>
    <n v="3"/>
    <s v="5/7/2004 0:00"/>
    <x v="3"/>
    <x v="1"/>
    <x v="1"/>
    <x v="1"/>
    <x v="1"/>
    <n v="136"/>
    <s v="S10_4757"/>
    <x v="0"/>
    <s v="2125557818"/>
    <s v="897 Long Airport Avenue"/>
    <s v=""/>
    <s v="NYC"/>
    <s v="NY"/>
    <s v="10022"/>
    <x v="0"/>
    <s v="NA"/>
    <s v="Yu"/>
    <s v="Kwai"/>
    <s v="Kwai, Yu"/>
    <s v="Small"/>
  </r>
  <r>
    <n v="10261"/>
    <n v="27"/>
    <n v="100"/>
    <n v="2700"/>
    <n v="2700"/>
    <n v="1"/>
    <s v="6/17/2004 0:00"/>
    <x v="0"/>
    <x v="1"/>
    <x v="9"/>
    <x v="1"/>
    <x v="1"/>
    <n v="136"/>
    <s v="S10_4757"/>
    <x v="43"/>
    <s v="(514) 555-8054"/>
    <s v="43 rue St. Laurent"/>
    <s v=""/>
    <s v="Montreal"/>
    <s v="Quebec"/>
    <s v="H1J 1C3"/>
    <x v="10"/>
    <s v="NA"/>
    <s v="Fresnisre"/>
    <s v="Jean"/>
    <s v="Jean, Fresnisre"/>
    <s v="Medium"/>
  </r>
  <r>
    <n v="10273"/>
    <n v="30"/>
    <n v="100"/>
    <n v="3000"/>
    <n v="3000"/>
    <n v="4"/>
    <s v="7/21/2004 0:00"/>
    <x v="0"/>
    <x v="2"/>
    <x v="2"/>
    <x v="1"/>
    <x v="1"/>
    <n v="136"/>
    <s v="S10_4757"/>
    <x v="56"/>
    <s v="(02) 5554 67"/>
    <s v="Rue Joseph-Bens 532"/>
    <s v=""/>
    <s v="Bruxelles"/>
    <s v=""/>
    <s v="B-1180"/>
    <x v="14"/>
    <s v="EMEA"/>
    <s v="Dewey"/>
    <s v="Catherine"/>
    <s v="Catherine, Dewey"/>
    <s v="Medium"/>
  </r>
  <r>
    <n v="10283"/>
    <n v="25"/>
    <n v="100"/>
    <n v="2500"/>
    <n v="2500"/>
    <n v="6"/>
    <s v="8/20/2004 0:00"/>
    <x v="0"/>
    <x v="2"/>
    <x v="3"/>
    <x v="1"/>
    <x v="1"/>
    <n v="136"/>
    <s v="S10_4757"/>
    <x v="57"/>
    <s v="(604) 555-4555"/>
    <s v="23 Tsawassen Blvd."/>
    <s v=""/>
    <s v="Tsawassen"/>
    <s v="BC"/>
    <s v="T2F 8M4"/>
    <x v="10"/>
    <s v="NA"/>
    <s v="Lincoln"/>
    <s v="Elizabeth"/>
    <s v="Elizabeth, Lincoln"/>
    <s v="Small"/>
  </r>
  <r>
    <n v="10295"/>
    <n v="24"/>
    <n v="100"/>
    <n v="2400"/>
    <n v="2400"/>
    <n v="1"/>
    <s v="9/10/2004 0:00"/>
    <x v="0"/>
    <x v="2"/>
    <x v="10"/>
    <x v="1"/>
    <x v="1"/>
    <n v="136"/>
    <s v="S10_4757"/>
    <x v="58"/>
    <s v="6175559555"/>
    <s v="8616 Spinnaker Dr."/>
    <s v=""/>
    <s v="Boston"/>
    <s v="MA"/>
    <s v="51003"/>
    <x v="0"/>
    <s v="NA"/>
    <s v="Yoshido"/>
    <s v="Juri"/>
    <s v="Juri, Yoshido"/>
    <s v="Medium"/>
  </r>
  <r>
    <n v="10307"/>
    <n v="22"/>
    <n v="100"/>
    <n v="2200"/>
    <n v="2200"/>
    <n v="9"/>
    <s v="10/14/2004 0:00"/>
    <x v="0"/>
    <x v="3"/>
    <x v="4"/>
    <x v="1"/>
    <x v="1"/>
    <n v="136"/>
    <s v="S10_4757"/>
    <x v="29"/>
    <s v="2155554695"/>
    <s v="782 First Street"/>
    <s v=""/>
    <s v="Philadelphia"/>
    <s v="PA"/>
    <s v="71270"/>
    <x v="0"/>
    <s v="NA"/>
    <s v="Cervantes"/>
    <s v="Francisca"/>
    <s v="Francisca, Cervantes"/>
    <s v="Small"/>
  </r>
  <r>
    <n v="10316"/>
    <n v="33"/>
    <n v="100"/>
    <n v="3300"/>
    <n v="3300"/>
    <n v="17"/>
    <s v="11/1/2004 0:00"/>
    <x v="0"/>
    <x v="3"/>
    <x v="5"/>
    <x v="1"/>
    <x v="1"/>
    <n v="136"/>
    <s v="S10_4757"/>
    <x v="59"/>
    <s v="(198) 555-8888"/>
    <s v="Garden House Crowther Way"/>
    <s v=""/>
    <s v="Cowes"/>
    <s v="Isle of Wight"/>
    <s v="PO31 7PJ"/>
    <x v="6"/>
    <s v="EMEA"/>
    <s v="Bennett"/>
    <s v="Helen"/>
    <s v="Helen, Bennett"/>
    <s v="Medium"/>
  </r>
  <r>
    <n v="10325"/>
    <n v="47"/>
    <n v="6493"/>
    <n v="305171"/>
    <n v="305171"/>
    <n v="6"/>
    <s v="11/5/2004 0:00"/>
    <x v="0"/>
    <x v="3"/>
    <x v="5"/>
    <x v="1"/>
    <x v="1"/>
    <n v="136"/>
    <s v="S10_4757"/>
    <x v="17"/>
    <s v="07-98 9555"/>
    <s v="Erling Skakkes gate 78"/>
    <s v=""/>
    <s v="Stavern"/>
    <s v=""/>
    <s v="4110"/>
    <x v="2"/>
    <s v="EMEA"/>
    <s v="Bergulfsen"/>
    <s v="Jonas"/>
    <s v="Jonas, Bergulfsen"/>
    <s v="Medium"/>
  </r>
  <r>
    <n v="10337"/>
    <n v="25"/>
    <n v="4805"/>
    <n v="120125"/>
    <n v="120125"/>
    <n v="8"/>
    <s v="11/21/2004 0:00"/>
    <x v="0"/>
    <x v="3"/>
    <x v="5"/>
    <x v="1"/>
    <x v="1"/>
    <n v="136"/>
    <s v="S10_4757"/>
    <x v="27"/>
    <s v="2125558493"/>
    <s v="5905 Pompton St."/>
    <s v="Suite 750"/>
    <s v="NYC"/>
    <s v="NY"/>
    <s v="10022"/>
    <x v="0"/>
    <s v="NA"/>
    <s v="Hernandez"/>
    <s v="Maria"/>
    <s v="Maria, Hernandez"/>
    <s v="Small"/>
  </r>
  <r>
    <n v="10350"/>
    <n v="26"/>
    <n v="7547"/>
    <n v="196222"/>
    <n v="196222"/>
    <n v="5"/>
    <s v="12/2/2004 0:00"/>
    <x v="0"/>
    <x v="3"/>
    <x v="6"/>
    <x v="1"/>
    <x v="1"/>
    <n v="136"/>
    <s v="S10_4757"/>
    <x v="23"/>
    <s v="(91) 555 94 44"/>
    <s v="C/ Moralzarzal, 86"/>
    <s v=""/>
    <s v="Madrid"/>
    <s v=""/>
    <s v="28034"/>
    <x v="7"/>
    <s v="EMEA"/>
    <s v="Freyre"/>
    <s v="Diego"/>
    <s v="Diego, Freyre"/>
    <s v="Small"/>
  </r>
  <r>
    <n v="10359"/>
    <n v="48"/>
    <n v="5468"/>
    <n v="262464"/>
    <n v="262464"/>
    <n v="6"/>
    <s v="12/15/2004 0:00"/>
    <x v="0"/>
    <x v="3"/>
    <x v="6"/>
    <x v="1"/>
    <x v="1"/>
    <n v="136"/>
    <s v="S10_4757"/>
    <x v="1"/>
    <s v="26.47.1555"/>
    <s v="59 rue de l'Abbaye"/>
    <s v=""/>
    <s v="Reims"/>
    <s v=""/>
    <s v="51100"/>
    <x v="1"/>
    <s v="EMEA"/>
    <s v="Henriot"/>
    <s v="Paul"/>
    <s v="Paul, Henriot"/>
    <s v="Small"/>
  </r>
  <r>
    <n v="10373"/>
    <n v="39"/>
    <n v="100"/>
    <n v="3900"/>
    <n v="3900"/>
    <n v="3"/>
    <s v="1/31/2005 0:00"/>
    <x v="0"/>
    <x v="0"/>
    <x v="7"/>
    <x v="2"/>
    <x v="1"/>
    <n v="136"/>
    <s v="S10_4757"/>
    <x v="60"/>
    <s v="981-443655"/>
    <s v="Torikatu 38"/>
    <s v=""/>
    <s v="Oulu"/>
    <s v=""/>
    <s v="90110"/>
    <x v="4"/>
    <s v="EMEA"/>
    <s v="Koskitalo"/>
    <s v="Pirkko"/>
    <s v="Pirkko, Koskitalo"/>
    <s v="Medium"/>
  </r>
  <r>
    <n v="10384"/>
    <n v="34"/>
    <n v="100"/>
    <n v="3400"/>
    <n v="3400"/>
    <n v="4"/>
    <s v="2/23/2005 0:00"/>
    <x v="0"/>
    <x v="0"/>
    <x v="0"/>
    <x v="2"/>
    <x v="1"/>
    <n v="136"/>
    <s v="S10_4757"/>
    <x v="4"/>
    <s v="6505551386"/>
    <s v="7734 Strong St."/>
    <s v=""/>
    <s v="San Francisco"/>
    <s v="CA"/>
    <s v=""/>
    <x v="0"/>
    <s v="NA"/>
    <s v="Brown"/>
    <s v="Julie"/>
    <s v="Julie, Brown"/>
    <s v="Medium"/>
  </r>
  <r>
    <n v="10395"/>
    <n v="32"/>
    <n v="100"/>
    <n v="3200"/>
    <n v="3200"/>
    <n v="2"/>
    <s v="3/17/2005 0:00"/>
    <x v="0"/>
    <x v="0"/>
    <x v="11"/>
    <x v="2"/>
    <x v="1"/>
    <n v="136"/>
    <s v="S10_4757"/>
    <x v="2"/>
    <s v="+33 1 46 62 7555"/>
    <s v="27 rue du Colonel Pierre Avia"/>
    <s v=""/>
    <s v="Paris"/>
    <s v=""/>
    <s v="75508"/>
    <x v="1"/>
    <s v="EMEA"/>
    <s v="Da Cunha"/>
    <s v="Daniel"/>
    <s v="Daniel, Da Cunha"/>
    <s v="Medium"/>
  </r>
  <r>
    <n v="10400"/>
    <n v="64"/>
    <n v="100"/>
    <n v="6400"/>
    <n v="6400"/>
    <n v="9"/>
    <s v="4/1/2005 0:00"/>
    <x v="0"/>
    <x v="1"/>
    <x v="8"/>
    <x v="2"/>
    <x v="1"/>
    <n v="136"/>
    <s v="S10_4757"/>
    <x v="61"/>
    <s v="4085553659"/>
    <s v="3086 Ingle Ln."/>
    <s v=""/>
    <s v="San Jose"/>
    <s v="CA"/>
    <s v="94217"/>
    <x v="0"/>
    <s v="NA"/>
    <s v="Frick"/>
    <s v="Sue"/>
    <s v="Sue, Frick"/>
    <s v="Large"/>
  </r>
  <r>
    <n v="10414"/>
    <n v="19"/>
    <n v="100"/>
    <n v="1900"/>
    <n v="0"/>
    <n v="3"/>
    <s v="5/6/2005 0:00"/>
    <x v="4"/>
    <x v="1"/>
    <x v="1"/>
    <x v="2"/>
    <x v="1"/>
    <n v="136"/>
    <s v="S10_4757"/>
    <x v="58"/>
    <s v="6175559555"/>
    <s v="8616 Spinnaker Dr."/>
    <s v=""/>
    <s v="Boston"/>
    <s v="MA"/>
    <s v="51003"/>
    <x v="0"/>
    <s v="NA"/>
    <s v="Yoshido"/>
    <s v="Juri"/>
    <s v="Juri, Yoshido"/>
    <s v="Small"/>
  </r>
  <r>
    <n v="10103"/>
    <n v="42"/>
    <n v="100"/>
    <n v="4200"/>
    <n v="4200"/>
    <n v="4"/>
    <s v="1/29/2003 0:00"/>
    <x v="0"/>
    <x v="0"/>
    <x v="7"/>
    <x v="0"/>
    <x v="1"/>
    <n v="147"/>
    <s v="S10_4962"/>
    <x v="17"/>
    <s v="07-98 9555"/>
    <s v="Erling Skakkes gate 78"/>
    <s v=""/>
    <s v="Stavern"/>
    <s v=""/>
    <s v="4110"/>
    <x v="2"/>
    <s v="EMEA"/>
    <s v="Bergulfsen"/>
    <s v="Jonas"/>
    <s v="Jonas, Bergulfsen"/>
    <s v="Medium"/>
  </r>
  <r>
    <n v="10114"/>
    <n v="31"/>
    <n v="100"/>
    <n v="3100"/>
    <n v="3100"/>
    <n v="8"/>
    <s v="4/1/2003 0:00"/>
    <x v="0"/>
    <x v="1"/>
    <x v="8"/>
    <x v="0"/>
    <x v="1"/>
    <n v="147"/>
    <s v="S10_4962"/>
    <x v="62"/>
    <s v="(1) 42.34.2555"/>
    <s v="265, boulevard Charonne"/>
    <s v=""/>
    <s v="Paris"/>
    <s v=""/>
    <s v="75012"/>
    <x v="1"/>
    <s v="EMEA"/>
    <s v="Bertrand"/>
    <s v="Marie"/>
    <s v="Marie, Bertrand"/>
    <s v="Medium"/>
  </r>
  <r>
    <n v="10126"/>
    <n v="22"/>
    <n v="100"/>
    <n v="2200"/>
    <n v="2200"/>
    <n v="4"/>
    <s v="5/28/2003 0:00"/>
    <x v="0"/>
    <x v="1"/>
    <x v="1"/>
    <x v="0"/>
    <x v="1"/>
    <n v="147"/>
    <s v="S10_4962"/>
    <x v="25"/>
    <s v="(91) 555 22 82"/>
    <s v="C/ Araquil, 67"/>
    <s v=""/>
    <s v="Madrid"/>
    <s v=""/>
    <s v="28023"/>
    <x v="7"/>
    <s v="EMEA"/>
    <s v="Sommer"/>
    <s v="Mart¡n"/>
    <s v="Mart¡n, Sommer"/>
    <s v="Medium"/>
  </r>
  <r>
    <n v="10140"/>
    <n v="26"/>
    <n v="100"/>
    <n v="2600"/>
    <n v="2600"/>
    <n v="4"/>
    <s v="7/24/2003 0:00"/>
    <x v="0"/>
    <x v="2"/>
    <x v="2"/>
    <x v="0"/>
    <x v="1"/>
    <n v="147"/>
    <s v="S10_4962"/>
    <x v="5"/>
    <s v="6505556809"/>
    <s v="9408 Furth Circle"/>
    <s v=""/>
    <s v="Burlingame"/>
    <s v="CA"/>
    <s v="94217"/>
    <x v="0"/>
    <s v="NA"/>
    <s v="Hirano"/>
    <s v="Juri"/>
    <s v="Juri, Hirano"/>
    <s v="Medium"/>
  </r>
  <r>
    <n v="10150"/>
    <n v="20"/>
    <n v="100"/>
    <n v="2000"/>
    <n v="2000"/>
    <n v="1"/>
    <s v="9/19/2003 0:00"/>
    <x v="0"/>
    <x v="2"/>
    <x v="10"/>
    <x v="0"/>
    <x v="1"/>
    <n v="147"/>
    <s v="S10_4962"/>
    <x v="26"/>
    <s v="+65 221 7555"/>
    <s v="Bronz Sok., Bronz Apt. 3/6 Tesvikiye"/>
    <s v=""/>
    <s v="Singapore"/>
    <s v=""/>
    <s v="79903"/>
    <x v="9"/>
    <s v="Japan"/>
    <s v="Natividad"/>
    <s v="Eric"/>
    <s v="Eric, Natividad"/>
    <s v="Medium"/>
  </r>
  <r>
    <n v="10164"/>
    <n v="21"/>
    <n v="100"/>
    <n v="2100"/>
    <n v="2100"/>
    <n v="2"/>
    <s v="10/21/2003 0:00"/>
    <x v="5"/>
    <x v="3"/>
    <x v="4"/>
    <x v="0"/>
    <x v="1"/>
    <n v="147"/>
    <s v="S10_4962"/>
    <x v="63"/>
    <s v="7675-3555"/>
    <s v="Kirchgasse 6"/>
    <s v=""/>
    <s v="Graz"/>
    <s v=""/>
    <s v="8010"/>
    <x v="5"/>
    <s v="EMEA"/>
    <s v="Mendel"/>
    <s v="Roland"/>
    <s v="Roland, Mendel"/>
    <s v="Medium"/>
  </r>
  <r>
    <n v="10175"/>
    <n v="33"/>
    <n v="100"/>
    <n v="3300"/>
    <n v="3300"/>
    <n v="9"/>
    <s v="11/6/2003 0:00"/>
    <x v="0"/>
    <x v="3"/>
    <x v="5"/>
    <x v="0"/>
    <x v="1"/>
    <n v="147"/>
    <s v="S10_4962"/>
    <x v="49"/>
    <s v="(171) 555-0297"/>
    <s v="35 King George"/>
    <s v=""/>
    <s v="London"/>
    <s v=""/>
    <s v="WX3 6FW"/>
    <x v="6"/>
    <s v="EMEA"/>
    <s v="Brown"/>
    <s v="Ann"/>
    <s v="Ann, Brown"/>
    <s v="Medium"/>
  </r>
  <r>
    <n v="10183"/>
    <n v="28"/>
    <n v="100"/>
    <n v="2800"/>
    <n v="2800"/>
    <n v="1"/>
    <s v="11/13/2003 0:00"/>
    <x v="0"/>
    <x v="3"/>
    <x v="5"/>
    <x v="0"/>
    <x v="1"/>
    <n v="147"/>
    <s v="S10_4962"/>
    <x v="29"/>
    <s v="2155554695"/>
    <s v="782 First Street"/>
    <s v=""/>
    <s v="Philadelphia"/>
    <s v="PA"/>
    <s v="71270"/>
    <x v="0"/>
    <s v="NA"/>
    <s v="Cervantes"/>
    <s v="Francisca"/>
    <s v="Francisca, Cervantes"/>
    <s v="Medium"/>
  </r>
  <r>
    <n v="10194"/>
    <n v="26"/>
    <n v="100"/>
    <n v="2600"/>
    <n v="2600"/>
    <n v="4"/>
    <s v="11/25/2003 0:00"/>
    <x v="0"/>
    <x v="3"/>
    <x v="5"/>
    <x v="0"/>
    <x v="1"/>
    <n v="147"/>
    <s v="S10_4962"/>
    <x v="30"/>
    <s v="78.32.5555"/>
    <s v="2, rue du Commerce"/>
    <s v=""/>
    <s v="Lyon"/>
    <s v=""/>
    <s v="69004"/>
    <x v="1"/>
    <s v="EMEA"/>
    <s v="Saveley"/>
    <s v="Mary"/>
    <s v="Mary, Saveley"/>
    <s v="Medium"/>
  </r>
  <r>
    <n v="10207"/>
    <n v="31"/>
    <n v="100"/>
    <n v="3100"/>
    <n v="3100"/>
    <n v="15"/>
    <s v="12/9/2003 0:00"/>
    <x v="0"/>
    <x v="3"/>
    <x v="6"/>
    <x v="0"/>
    <x v="1"/>
    <n v="147"/>
    <s v="S10_4962"/>
    <x v="64"/>
    <s v="6175552555"/>
    <s v="6251 Ingle Ln."/>
    <s v=""/>
    <s v="Boston"/>
    <s v="MA"/>
    <s v="51003"/>
    <x v="0"/>
    <s v="NA"/>
    <s v="Franco"/>
    <s v="Valarie"/>
    <s v="Valarie, Franco"/>
    <s v="Medium"/>
  </r>
  <r>
    <n v="10217"/>
    <n v="48"/>
    <n v="100"/>
    <n v="4800"/>
    <n v="4800"/>
    <n v="4"/>
    <s v="2/4/2004 0:00"/>
    <x v="0"/>
    <x v="0"/>
    <x v="0"/>
    <x v="1"/>
    <x v="1"/>
    <n v="147"/>
    <s v="S10_4962"/>
    <x v="65"/>
    <s v="+65 224 1555"/>
    <s v="Village Close - 106 Linden Road Sandown"/>
    <s v="2nd Floor"/>
    <s v="Singapore"/>
    <s v=""/>
    <s v="69045"/>
    <x v="9"/>
    <s v="APAC"/>
    <s v="Victorino"/>
    <s v="Wendy"/>
    <s v="Wendy, Victorino"/>
    <s v="Large"/>
  </r>
  <r>
    <n v="10229"/>
    <n v="50"/>
    <n v="100"/>
    <n v="5000"/>
    <n v="5000"/>
    <n v="9"/>
    <s v="3/11/2004 0:00"/>
    <x v="0"/>
    <x v="0"/>
    <x v="11"/>
    <x v="1"/>
    <x v="1"/>
    <n v="147"/>
    <s v="S10_4962"/>
    <x v="39"/>
    <s v="4155551450"/>
    <s v="5677 Strong St."/>
    <s v=""/>
    <s v="San Rafael"/>
    <s v="CA"/>
    <s v="97562"/>
    <x v="0"/>
    <s v="NA"/>
    <s v="Nelson"/>
    <s v="Valarie"/>
    <s v="Valarie, Nelson"/>
    <s v="Medium"/>
  </r>
  <r>
    <n v="10245"/>
    <n v="28"/>
    <n v="100"/>
    <n v="2800"/>
    <n v="2800"/>
    <n v="2"/>
    <s v="5/4/2004 0:00"/>
    <x v="0"/>
    <x v="1"/>
    <x v="1"/>
    <x v="1"/>
    <x v="1"/>
    <n v="147"/>
    <s v="S10_4962"/>
    <x v="34"/>
    <s v="2035559545"/>
    <s v="567 North Pendale Street"/>
    <s v=""/>
    <s v="New Haven"/>
    <s v="CT"/>
    <s v="97823"/>
    <x v="0"/>
    <s v="NA"/>
    <s v="Murphy"/>
    <s v="Leslie"/>
    <s v="Leslie, Murphy"/>
    <s v="Medium"/>
  </r>
  <r>
    <n v="10259"/>
    <n v="26"/>
    <n v="100"/>
    <n v="2600"/>
    <n v="2600"/>
    <n v="12"/>
    <s v="6/15/2004 0:00"/>
    <x v="0"/>
    <x v="1"/>
    <x v="9"/>
    <x v="1"/>
    <x v="1"/>
    <n v="147"/>
    <s v="S10_4962"/>
    <x v="65"/>
    <s v="+65 224 1555"/>
    <s v="Village Close - 106 Linden Road Sandown"/>
    <s v="2nd Floor"/>
    <s v="Singapore"/>
    <s v=""/>
    <s v="69045"/>
    <x v="9"/>
    <s v="APAC"/>
    <s v="Victorino"/>
    <s v="Wendy"/>
    <s v="Wendy, Victorino"/>
    <s v="Medium"/>
  </r>
  <r>
    <n v="10270"/>
    <n v="32"/>
    <n v="100"/>
    <n v="3200"/>
    <n v="3200"/>
    <n v="2"/>
    <s v="7/19/2004 0:00"/>
    <x v="0"/>
    <x v="2"/>
    <x v="2"/>
    <x v="1"/>
    <x v="1"/>
    <n v="147"/>
    <s v="S10_4962"/>
    <x v="20"/>
    <s v="+61 2 9495 8555"/>
    <s v="Monitor Money Building, 815 Pacific Hwy"/>
    <s v="Level 6"/>
    <s v="Chatswood"/>
    <s v="NSW"/>
    <s v="2067"/>
    <x v="3"/>
    <s v="APAC"/>
    <s v="Huxley"/>
    <s v="Adrian"/>
    <s v="Adrian, Huxley"/>
    <s v="Medium"/>
  </r>
  <r>
    <n v="10281"/>
    <n v="44"/>
    <n v="100"/>
    <n v="4400"/>
    <n v="4400"/>
    <n v="9"/>
    <s v="8/19/2004 0:00"/>
    <x v="0"/>
    <x v="2"/>
    <x v="3"/>
    <x v="1"/>
    <x v="1"/>
    <n v="147"/>
    <s v="S10_4962"/>
    <x v="18"/>
    <s v="2155551555"/>
    <s v="7586 Pompton St."/>
    <s v=""/>
    <s v="Allentown"/>
    <s v="PA"/>
    <s v="70267"/>
    <x v="0"/>
    <s v="NA"/>
    <s v="Yu"/>
    <s v="Kyung"/>
    <s v="Kyung, Yu"/>
    <s v="Large"/>
  </r>
  <r>
    <n v="10291"/>
    <n v="30"/>
    <n v="100"/>
    <n v="3000"/>
    <n v="3000"/>
    <n v="4"/>
    <s v="9/8/2004 0:00"/>
    <x v="0"/>
    <x v="2"/>
    <x v="10"/>
    <x v="1"/>
    <x v="1"/>
    <n v="147"/>
    <s v="S10_4962"/>
    <x v="37"/>
    <s v="0695-34 6555"/>
    <s v="?kergatan 24"/>
    <s v=""/>
    <s v="Boras"/>
    <s v=""/>
    <s v="S-844 67"/>
    <x v="8"/>
    <s v="EMEA"/>
    <s v="Larsson"/>
    <s v="Maria"/>
    <s v="Maria, Larsson"/>
    <s v="Medium"/>
  </r>
  <r>
    <n v="10305"/>
    <n v="38"/>
    <n v="100"/>
    <n v="3800"/>
    <n v="3800"/>
    <n v="13"/>
    <s v="10/13/2004 0:00"/>
    <x v="0"/>
    <x v="3"/>
    <x v="4"/>
    <x v="1"/>
    <x v="1"/>
    <n v="147"/>
    <s v="S10_4962"/>
    <x v="15"/>
    <s v="6175558555"/>
    <s v="39323 Spinnaker Dr."/>
    <s v=""/>
    <s v="Cambridge"/>
    <s v="MA"/>
    <s v="51247"/>
    <x v="0"/>
    <s v="NA"/>
    <s v="Hernandez"/>
    <s v="Marta"/>
    <s v="Marta, Hernandez"/>
    <s v="Medium"/>
  </r>
  <r>
    <n v="10313"/>
    <n v="40"/>
    <n v="100"/>
    <n v="4000"/>
    <n v="4000"/>
    <n v="7"/>
    <s v="10/22/2004 0:00"/>
    <x v="0"/>
    <x v="3"/>
    <x v="4"/>
    <x v="1"/>
    <x v="1"/>
    <n v="147"/>
    <s v="S10_4962"/>
    <x v="31"/>
    <s v="(604) 555-3392"/>
    <s v="1900 Oak St."/>
    <s v=""/>
    <s v="Vancouver"/>
    <s v="BC"/>
    <s v="V3F 2K1"/>
    <x v="10"/>
    <s v="NA"/>
    <s v="Tannamuri"/>
    <s v="Yoshi"/>
    <s v="Yoshi, Tannamuri"/>
    <s v="Medium"/>
  </r>
  <r>
    <n v="10322"/>
    <n v="46"/>
    <n v="6199"/>
    <n v="285154"/>
    <n v="285154"/>
    <n v="8"/>
    <s v="11/4/2004 0:00"/>
    <x v="0"/>
    <x v="3"/>
    <x v="5"/>
    <x v="1"/>
    <x v="1"/>
    <n v="147"/>
    <s v="S10_4962"/>
    <x v="40"/>
    <s v="6035558647"/>
    <s v="2304 Long Airport Avenue"/>
    <s v=""/>
    <s v="Nashua"/>
    <s v="NH"/>
    <s v="62005"/>
    <x v="0"/>
    <s v="NA"/>
    <s v="Young"/>
    <s v="Valarie"/>
    <s v="Valarie, Young"/>
    <s v="Small"/>
  </r>
  <r>
    <n v="10334"/>
    <n v="26"/>
    <n v="100"/>
    <n v="2600"/>
    <n v="0"/>
    <n v="2"/>
    <s v="11/19/2004 0:00"/>
    <x v="4"/>
    <x v="3"/>
    <x v="5"/>
    <x v="1"/>
    <x v="1"/>
    <n v="147"/>
    <s v="S10_4962"/>
    <x v="24"/>
    <s v="0921-12 3555"/>
    <s v="Berguvsv„gen  8"/>
    <s v=""/>
    <s v="Lule"/>
    <s v=""/>
    <s v="S-958 22"/>
    <x v="8"/>
    <s v="EMEA"/>
    <s v="Berglund"/>
    <s v="Christina"/>
    <s v="Christina, Berglund"/>
    <s v="Medium"/>
  </r>
  <r>
    <n v="10347"/>
    <n v="27"/>
    <n v="100"/>
    <n v="2700"/>
    <n v="2700"/>
    <n v="2"/>
    <s v="11/29/2004 0:00"/>
    <x v="0"/>
    <x v="3"/>
    <x v="5"/>
    <x v="1"/>
    <x v="1"/>
    <n v="147"/>
    <s v="S10_4962"/>
    <x v="10"/>
    <s v="03 9520 4555"/>
    <s v="636 St Kilda Road"/>
    <s v="Level 3"/>
    <s v="Melbourne"/>
    <s v="Victoria"/>
    <s v="3004"/>
    <x v="3"/>
    <s v="APAC"/>
    <s v="Ferguson"/>
    <s v="Peter"/>
    <s v="Peter, Ferguson"/>
    <s v="Medium"/>
  </r>
  <r>
    <n v="10357"/>
    <n v="43"/>
    <n v="100"/>
    <n v="4300"/>
    <n v="4300"/>
    <n v="9"/>
    <s v="12/10/2004 0:00"/>
    <x v="0"/>
    <x v="3"/>
    <x v="6"/>
    <x v="1"/>
    <x v="1"/>
    <n v="147"/>
    <s v="S10_4962"/>
    <x v="39"/>
    <s v="4155551450"/>
    <s v="5677 Strong St."/>
    <s v=""/>
    <s v="San Rafael"/>
    <s v="CA"/>
    <s v="97562"/>
    <x v="0"/>
    <s v="NA"/>
    <s v="Nelson"/>
    <s v="Valarie"/>
    <s v="Valarie, Nelson"/>
    <s v="Medium"/>
  </r>
  <r>
    <n v="10370"/>
    <n v="35"/>
    <n v="6563"/>
    <n v="229705"/>
    <n v="229705"/>
    <n v="4"/>
    <s v="1/20/2005 0:00"/>
    <x v="0"/>
    <x v="0"/>
    <x v="7"/>
    <x v="2"/>
    <x v="1"/>
    <n v="147"/>
    <s v="S10_4962"/>
    <x v="42"/>
    <s v="02 9936 8555"/>
    <s v="201 Miller Street"/>
    <s v="Level 15"/>
    <s v="North Sydney"/>
    <s v="NSW"/>
    <s v="2060"/>
    <x v="3"/>
    <s v="APAC"/>
    <s v="O'Hara"/>
    <s v="Anna"/>
    <s v="Anna, O'Hara"/>
    <s v="Small"/>
  </r>
  <r>
    <n v="10381"/>
    <n v="37"/>
    <n v="100"/>
    <n v="3700"/>
    <n v="3700"/>
    <n v="6"/>
    <s v="2/17/2005 0:00"/>
    <x v="0"/>
    <x v="0"/>
    <x v="0"/>
    <x v="2"/>
    <x v="1"/>
    <n v="147"/>
    <s v="S10_4962"/>
    <x v="4"/>
    <s v="6505551386"/>
    <s v="7734 Strong St."/>
    <s v=""/>
    <s v="San Francisco"/>
    <s v="CA"/>
    <s v=""/>
    <x v="0"/>
    <s v="NA"/>
    <s v="Brown"/>
    <s v="Julie"/>
    <s v="Julie, Brown"/>
    <s v="Medium"/>
  </r>
  <r>
    <n v="10391"/>
    <n v="37"/>
    <n v="469"/>
    <n v="17353"/>
    <n v="17353"/>
    <n v="7"/>
    <s v="3/9/2005 0:00"/>
    <x v="0"/>
    <x v="0"/>
    <x v="11"/>
    <x v="2"/>
    <x v="1"/>
    <n v="147"/>
    <s v="S10_4962"/>
    <x v="42"/>
    <s v="02 9936 8555"/>
    <s v="201 Miller Street"/>
    <s v="Level 15"/>
    <s v="North Sydney"/>
    <s v="NSW"/>
    <s v="2060"/>
    <x v="3"/>
    <s v="APAC"/>
    <s v="O'Hara"/>
    <s v="Anna"/>
    <s v="Anna, O'Hara"/>
    <s v="Small"/>
  </r>
  <r>
    <n v="10411"/>
    <n v="27"/>
    <n v="100"/>
    <n v="2700"/>
    <n v="2700"/>
    <n v="2"/>
    <s v="5/1/2005 0:00"/>
    <x v="0"/>
    <x v="1"/>
    <x v="1"/>
    <x v="2"/>
    <x v="1"/>
    <n v="147"/>
    <s v="S10_4962"/>
    <x v="43"/>
    <s v="(514) 555-8054"/>
    <s v="43 rue St. Laurent"/>
    <s v=""/>
    <s v="Montreal"/>
    <s v="Quebec"/>
    <s v="H1J 1C3"/>
    <x v="10"/>
    <s v="NA"/>
    <s v="Fresnisre"/>
    <s v="Jean"/>
    <s v="Jean, Fresnisre"/>
    <s v="Medium"/>
  </r>
  <r>
    <n v="10425"/>
    <n v="38"/>
    <n v="100"/>
    <n v="3800"/>
    <n v="0"/>
    <n v="12"/>
    <s v="5/31/2005 0:00"/>
    <x v="2"/>
    <x v="1"/>
    <x v="1"/>
    <x v="2"/>
    <x v="1"/>
    <n v="147"/>
    <s v="S10_4962"/>
    <x v="14"/>
    <s v="40.67.8555"/>
    <s v="67, rue des Cinquante Otages"/>
    <s v=""/>
    <s v="Nantes"/>
    <s v=""/>
    <s v="44000"/>
    <x v="1"/>
    <s v="EMEA"/>
    <s v="Labrune"/>
    <s v="Janine"/>
    <s v="Janine, Labrune"/>
    <s v="Medium"/>
  </r>
  <r>
    <n v="10108"/>
    <n v="33"/>
    <n v="100"/>
    <n v="3300"/>
    <n v="3300"/>
    <n v="6"/>
    <s v="3/3/2003 0:00"/>
    <x v="0"/>
    <x v="0"/>
    <x v="11"/>
    <x v="0"/>
    <x v="1"/>
    <n v="194"/>
    <s v="S12_1099"/>
    <x v="66"/>
    <s v="+63 2 555 3587"/>
    <s v="15 McCallum Street - NatWest Center #13-03"/>
    <s v=""/>
    <s v="Makati City"/>
    <s v=""/>
    <s v="1227 MM"/>
    <x v="15"/>
    <s v="Japan"/>
    <s v="Cruz"/>
    <s v="Arnold"/>
    <s v="Arnold, Cruz"/>
    <s v="Medium"/>
  </r>
  <r>
    <n v="10122"/>
    <n v="42"/>
    <n v="100"/>
    <n v="4200"/>
    <n v="4200"/>
    <n v="10"/>
    <s v="5/8/2003 0:00"/>
    <x v="0"/>
    <x v="1"/>
    <x v="1"/>
    <x v="0"/>
    <x v="1"/>
    <n v="194"/>
    <s v="S12_1099"/>
    <x v="67"/>
    <s v="91.24.4555"/>
    <s v="12, rue des Bouchers"/>
    <s v=""/>
    <s v="Marseille"/>
    <s v=""/>
    <s v="13008"/>
    <x v="1"/>
    <s v="EMEA"/>
    <s v="Lebihan"/>
    <s v="Laurence"/>
    <s v="Laurence, Lebihan"/>
    <s v="Large"/>
  </r>
  <r>
    <n v="10135"/>
    <n v="42"/>
    <n v="100"/>
    <n v="4200"/>
    <n v="4200"/>
    <n v="7"/>
    <s v="7/2/2003 0:00"/>
    <x v="0"/>
    <x v="2"/>
    <x v="2"/>
    <x v="0"/>
    <x v="1"/>
    <n v="194"/>
    <s v="S12_1099"/>
    <x v="39"/>
    <s v="4155551450"/>
    <s v="5677 Strong St."/>
    <s v=""/>
    <s v="San Rafael"/>
    <s v="CA"/>
    <s v="97562"/>
    <x v="0"/>
    <s v="NA"/>
    <s v="Nelson"/>
    <s v="Valarie"/>
    <s v="Valarie, Nelson"/>
    <s v="Large"/>
  </r>
  <r>
    <n v="10147"/>
    <n v="48"/>
    <n v="100"/>
    <n v="4800"/>
    <n v="4800"/>
    <n v="7"/>
    <s v="9/5/2003 0:00"/>
    <x v="0"/>
    <x v="2"/>
    <x v="10"/>
    <x v="0"/>
    <x v="1"/>
    <n v="194"/>
    <s v="S12_1099"/>
    <x v="41"/>
    <s v="6175558555"/>
    <s v="7825 Douglas Av."/>
    <s v=""/>
    <s v="Brickhaven"/>
    <s v="MA"/>
    <s v="58339"/>
    <x v="0"/>
    <s v="NA"/>
    <s v="Nelson"/>
    <s v="Allen"/>
    <s v="Allen, Nelson"/>
    <s v="Large"/>
  </r>
  <r>
    <n v="10159"/>
    <n v="41"/>
    <n v="100"/>
    <n v="4100"/>
    <n v="4100"/>
    <n v="2"/>
    <s v="10/10/2003 0:00"/>
    <x v="0"/>
    <x v="3"/>
    <x v="4"/>
    <x v="0"/>
    <x v="1"/>
    <n v="194"/>
    <s v="S12_1099"/>
    <x v="4"/>
    <s v="6505551386"/>
    <s v="7734 Strong St."/>
    <s v=""/>
    <s v="San Francisco"/>
    <s v="CA"/>
    <s v=""/>
    <x v="0"/>
    <s v="NA"/>
    <s v="Brown"/>
    <s v="Julie"/>
    <s v="Julie, Brown"/>
    <s v="Large"/>
  </r>
  <r>
    <n v="10169"/>
    <n v="30"/>
    <n v="100"/>
    <n v="3000"/>
    <n v="3000"/>
    <n v="2"/>
    <s v="11/4/2003 0:00"/>
    <x v="0"/>
    <x v="3"/>
    <x v="5"/>
    <x v="0"/>
    <x v="1"/>
    <n v="194"/>
    <s v="S12_1099"/>
    <x v="42"/>
    <s v="02 9936 8555"/>
    <s v="201 Miller Street"/>
    <s v="Level 15"/>
    <s v="North Sydney"/>
    <s v="NSW"/>
    <s v="2060"/>
    <x v="3"/>
    <s v="APAC"/>
    <s v="O'Hara"/>
    <s v="Anna"/>
    <s v="Anna, O'Hara"/>
    <s v="Medium"/>
  </r>
  <r>
    <n v="10181"/>
    <n v="27"/>
    <n v="100"/>
    <n v="2700"/>
    <n v="2700"/>
    <n v="14"/>
    <s v="11/12/2003 0:00"/>
    <x v="0"/>
    <x v="3"/>
    <x v="5"/>
    <x v="0"/>
    <x v="1"/>
    <n v="194"/>
    <s v="S12_1099"/>
    <x v="7"/>
    <s v="+47 2267 3215"/>
    <s v="Drammen 121, PR 744 Sentrum"/>
    <s v=""/>
    <s v="Bergen"/>
    <s v=""/>
    <s v="N 5804"/>
    <x v="2"/>
    <s v="EMEA"/>
    <s v="Oeztan"/>
    <s v="Veysel"/>
    <s v="Veysel, Oeztan"/>
    <s v="Medium"/>
  </r>
  <r>
    <n v="10191"/>
    <n v="21"/>
    <n v="100"/>
    <n v="2100"/>
    <n v="2100"/>
    <n v="3"/>
    <s v="11/20/2003 0:00"/>
    <x v="0"/>
    <x v="3"/>
    <x v="5"/>
    <x v="0"/>
    <x v="1"/>
    <n v="194"/>
    <s v="S12_1099"/>
    <x v="68"/>
    <s v="0221-5554327"/>
    <s v="Mehrheimerstr. 369"/>
    <s v=""/>
    <s v="Koln"/>
    <s v=""/>
    <s v="50739"/>
    <x v="16"/>
    <s v="EMEA"/>
    <s v="Pfalzheim"/>
    <s v="Henriette"/>
    <s v="Henriette, Pfalzheim"/>
    <s v="Medium"/>
  </r>
  <r>
    <n v="10203"/>
    <n v="20"/>
    <n v="100"/>
    <n v="2000"/>
    <n v="2000"/>
    <n v="8"/>
    <s v="12/2/2003 0:00"/>
    <x v="0"/>
    <x v="3"/>
    <x v="6"/>
    <x v="0"/>
    <x v="1"/>
    <n v="194"/>
    <s v="S12_1099"/>
    <x v="23"/>
    <s v="(91) 555 94 44"/>
    <s v="C/ Moralzarzal, 86"/>
    <s v=""/>
    <s v="Madrid"/>
    <s v=""/>
    <s v="28034"/>
    <x v="7"/>
    <s v="EMEA"/>
    <s v="Freyre"/>
    <s v="Diego"/>
    <s v="Diego, Freyre"/>
    <s v="Medium"/>
  </r>
  <r>
    <n v="10211"/>
    <n v="41"/>
    <n v="100"/>
    <n v="4100"/>
    <n v="4100"/>
    <n v="2"/>
    <s v="1/15/2004 0:00"/>
    <x v="0"/>
    <x v="0"/>
    <x v="7"/>
    <x v="1"/>
    <x v="1"/>
    <n v="194"/>
    <s v="S12_1099"/>
    <x v="9"/>
    <s v="(1) 47.55.6555"/>
    <s v="25, rue Lauriston"/>
    <s v=""/>
    <s v="Paris"/>
    <s v=""/>
    <s v="75016"/>
    <x v="1"/>
    <s v="EMEA"/>
    <s v="Perrier"/>
    <s v="Dominique"/>
    <s v="Dominique, Perrier"/>
    <s v="Large"/>
  </r>
  <r>
    <n v="10225"/>
    <n v="27"/>
    <n v="100"/>
    <n v="2700"/>
    <n v="2700"/>
    <n v="9"/>
    <s v="2/22/2004 0:00"/>
    <x v="0"/>
    <x v="0"/>
    <x v="0"/>
    <x v="1"/>
    <x v="1"/>
    <n v="194"/>
    <s v="S12_1099"/>
    <x v="69"/>
    <s v="0897-034555"/>
    <s v="Grenzacherweg 237"/>
    <s v=""/>
    <s v="Gensve"/>
    <s v=""/>
    <s v="1203"/>
    <x v="17"/>
    <s v="EMEA"/>
    <s v="Holz"/>
    <s v="Michael"/>
    <s v="Michael, Holz"/>
    <s v="Medium"/>
  </r>
  <r>
    <n v="10238"/>
    <n v="28"/>
    <n v="100"/>
    <n v="2800"/>
    <n v="2800"/>
    <n v="3"/>
    <s v="4/9/2004 0:00"/>
    <x v="0"/>
    <x v="1"/>
    <x v="8"/>
    <x v="1"/>
    <x v="1"/>
    <n v="194"/>
    <s v="S12_1099"/>
    <x v="48"/>
    <s v="31 12 3555"/>
    <s v="Vinb'ltet 34"/>
    <s v=""/>
    <s v="Kobenhavn"/>
    <s v=""/>
    <s v="1734"/>
    <x v="13"/>
    <s v="EMEA"/>
    <s v="Petersen"/>
    <s v="Jytte"/>
    <s v="Jytte, Petersen"/>
    <s v="Medium"/>
  </r>
  <r>
    <n v="10253"/>
    <n v="24"/>
    <n v="100"/>
    <n v="2400"/>
    <n v="0"/>
    <n v="13"/>
    <s v="6/1/2004 0:00"/>
    <x v="3"/>
    <x v="1"/>
    <x v="9"/>
    <x v="1"/>
    <x v="1"/>
    <n v="194"/>
    <s v="S12_1099"/>
    <x v="22"/>
    <s v="(171) 555-2282"/>
    <s v="Berkeley Gardens 12  Brewery"/>
    <s v=""/>
    <s v="Liverpool"/>
    <s v=""/>
    <s v="WX1 6LT"/>
    <x v="6"/>
    <s v="EMEA"/>
    <s v="Devon"/>
    <s v="Elizabeth"/>
    <s v="Elizabeth, Devon"/>
    <s v="Medium"/>
  </r>
  <r>
    <n v="10266"/>
    <n v="44"/>
    <n v="100"/>
    <n v="4400"/>
    <n v="4400"/>
    <n v="14"/>
    <s v="7/6/2004 0:00"/>
    <x v="0"/>
    <x v="2"/>
    <x v="2"/>
    <x v="1"/>
    <x v="1"/>
    <n v="194"/>
    <s v="S12_1099"/>
    <x v="70"/>
    <s v="0522-556555"/>
    <s v="Strada Provinciale 124"/>
    <s v=""/>
    <s v="Reggio Emilia"/>
    <s v=""/>
    <s v="42100"/>
    <x v="12"/>
    <s v="EMEA"/>
    <s v="Moroni"/>
    <s v="Maurizio"/>
    <s v="Maurizio, Moroni"/>
    <s v="Large"/>
  </r>
  <r>
    <n v="10276"/>
    <n v="50"/>
    <n v="100"/>
    <n v="5000"/>
    <n v="5000"/>
    <n v="3"/>
    <s v="8/2/2004 0:00"/>
    <x v="0"/>
    <x v="2"/>
    <x v="3"/>
    <x v="1"/>
    <x v="1"/>
    <n v="194"/>
    <s v="S12_1099"/>
    <x v="71"/>
    <s v="6175557555"/>
    <s v="7635 Spinnaker Dr."/>
    <s v=""/>
    <s v="Brickhaven"/>
    <s v="MA"/>
    <s v="58339"/>
    <x v="0"/>
    <s v="NA"/>
    <s v="Barajas"/>
    <s v="Miguel"/>
    <s v="Miguel, Barajas"/>
    <s v="Large"/>
  </r>
  <r>
    <n v="10287"/>
    <n v="21"/>
    <n v="100"/>
    <n v="2100"/>
    <n v="2100"/>
    <n v="12"/>
    <s v="8/30/2004 0:00"/>
    <x v="0"/>
    <x v="2"/>
    <x v="3"/>
    <x v="1"/>
    <x v="1"/>
    <n v="194"/>
    <s v="S12_1099"/>
    <x v="69"/>
    <s v="0897-034555"/>
    <s v="Grenzacherweg 237"/>
    <s v=""/>
    <s v="Gensve"/>
    <s v=""/>
    <s v="1203"/>
    <x v="17"/>
    <s v="EMEA"/>
    <s v="Holz"/>
    <s v="Michael"/>
    <s v="Michael, Holz"/>
    <s v="Medium"/>
  </r>
  <r>
    <n v="10300"/>
    <n v="33"/>
    <n v="100"/>
    <n v="3300"/>
    <n v="3300"/>
    <n v="5"/>
    <s v="10/4/2003 0:00"/>
    <x v="0"/>
    <x v="3"/>
    <x v="4"/>
    <x v="0"/>
    <x v="1"/>
    <n v="194"/>
    <s v="S12_1099"/>
    <x v="72"/>
    <s v="+49 69 66 90 2555"/>
    <s v="Lyonerstr. 34"/>
    <s v=""/>
    <s v="Frankfurt"/>
    <s v=""/>
    <s v="60528"/>
    <x v="16"/>
    <s v="EMEA"/>
    <s v="Keitel"/>
    <s v="Roland"/>
    <s v="Roland, Keitel"/>
    <s v="Medium"/>
  </r>
  <r>
    <n v="10310"/>
    <n v="33"/>
    <n v="100"/>
    <n v="3300"/>
    <n v="3300"/>
    <n v="10"/>
    <s v="10/16/2004 0:00"/>
    <x v="0"/>
    <x v="3"/>
    <x v="4"/>
    <x v="1"/>
    <x v="1"/>
    <n v="194"/>
    <s v="S12_1099"/>
    <x v="68"/>
    <s v="0221-5554327"/>
    <s v="Mehrheimerstr. 369"/>
    <s v=""/>
    <s v="Koln"/>
    <s v=""/>
    <s v="50739"/>
    <x v="16"/>
    <s v="EMEA"/>
    <s v="Pfalzheim"/>
    <s v="Henriette"/>
    <s v="Henriette, Pfalzheim"/>
    <s v="Medium"/>
  </r>
  <r>
    <n v="10320"/>
    <n v="31"/>
    <n v="100"/>
    <n v="3100"/>
    <n v="3100"/>
    <n v="3"/>
    <s v="11/3/2004 0:00"/>
    <x v="0"/>
    <x v="3"/>
    <x v="5"/>
    <x v="1"/>
    <x v="1"/>
    <n v="194"/>
    <s v="S12_1099"/>
    <x v="24"/>
    <s v="0921-12 3555"/>
    <s v="Berguvsv„gen  8"/>
    <s v=""/>
    <s v="Lule"/>
    <s v=""/>
    <s v="S-958 22"/>
    <x v="8"/>
    <s v="EMEA"/>
    <s v="Berglund"/>
    <s v="Christina"/>
    <s v="Christina, Berglund"/>
    <s v="Medium"/>
  </r>
  <r>
    <n v="10329"/>
    <n v="41"/>
    <n v="7147"/>
    <n v="293027"/>
    <n v="293027"/>
    <n v="5"/>
    <s v="11/15/2004 0:00"/>
    <x v="0"/>
    <x v="3"/>
    <x v="5"/>
    <x v="1"/>
    <x v="1"/>
    <n v="194"/>
    <s v="S12_1099"/>
    <x v="0"/>
    <s v="2125557818"/>
    <s v="897 Long Airport Avenue"/>
    <s v=""/>
    <s v="NYC"/>
    <s v="NY"/>
    <s v="10022"/>
    <x v="0"/>
    <s v="NA"/>
    <s v="Yu"/>
    <s v="Kwai"/>
    <s v="Kwai, Yu"/>
    <s v="Small"/>
  </r>
  <r>
    <n v="10341"/>
    <n v="45"/>
    <n v="7965"/>
    <n v="358425"/>
    <n v="358425"/>
    <n v="2"/>
    <s v="11/24/2004 0:00"/>
    <x v="0"/>
    <x v="3"/>
    <x v="5"/>
    <x v="1"/>
    <x v="1"/>
    <n v="194"/>
    <s v="S12_1099"/>
    <x v="19"/>
    <s v="6562-9555"/>
    <s v="Geislweg 14"/>
    <s v=""/>
    <s v="Salzburg"/>
    <s v=""/>
    <s v="5020"/>
    <x v="5"/>
    <s v="EMEA"/>
    <s v="Pipps"/>
    <s v="Georg"/>
    <s v="Georg, Pipps"/>
    <s v="Medium"/>
  </r>
  <r>
    <n v="10363"/>
    <n v="33"/>
    <n v="8539"/>
    <n v="281787"/>
    <n v="281787"/>
    <n v="3"/>
    <s v="1/6/2005 0:00"/>
    <x v="0"/>
    <x v="0"/>
    <x v="7"/>
    <x v="2"/>
    <x v="1"/>
    <n v="194"/>
    <s v="S12_1099"/>
    <x v="73"/>
    <s v="+358 9 8045 555"/>
    <s v="Software Engineering Center, SEC Oy"/>
    <s v=""/>
    <s v="Espoo"/>
    <s v=""/>
    <s v="FIN-02271"/>
    <x v="4"/>
    <s v="EMEA"/>
    <s v="Suominen"/>
    <s v="Kalle"/>
    <s v="Kalle, Suominen"/>
    <s v="Small"/>
  </r>
  <r>
    <n v="10375"/>
    <n v="45"/>
    <n v="76"/>
    <n v="3420"/>
    <n v="3420"/>
    <n v="7"/>
    <s v="2/3/2005 0:00"/>
    <x v="0"/>
    <x v="0"/>
    <x v="0"/>
    <x v="2"/>
    <x v="1"/>
    <n v="194"/>
    <s v="S12_1099"/>
    <x v="14"/>
    <s v="40.67.8555"/>
    <s v="67, rue des Cinquante Otages"/>
    <s v=""/>
    <s v="Nantes"/>
    <s v=""/>
    <s v="44000"/>
    <x v="1"/>
    <s v="EMEA"/>
    <s v="Labrune"/>
    <s v="Janine"/>
    <s v="Janine, Labrune"/>
    <s v="Medium"/>
  </r>
  <r>
    <n v="10389"/>
    <n v="26"/>
    <n v="9904"/>
    <n v="257504"/>
    <n v="257504"/>
    <n v="4"/>
    <s v="3/3/2005 0:00"/>
    <x v="0"/>
    <x v="0"/>
    <x v="11"/>
    <x v="2"/>
    <x v="1"/>
    <n v="194"/>
    <s v="S12_1099"/>
    <x v="37"/>
    <s v="0695-34 6555"/>
    <s v="?kergatan 24"/>
    <s v=""/>
    <s v="Boras"/>
    <s v=""/>
    <s v="S-844 67"/>
    <x v="8"/>
    <s v="EMEA"/>
    <s v="Larsson"/>
    <s v="Maria"/>
    <s v="Maria, Larsson"/>
    <s v="Small"/>
  </r>
  <r>
    <n v="10419"/>
    <n v="12"/>
    <n v="100"/>
    <n v="1200"/>
    <n v="1200"/>
    <n v="13"/>
    <s v="5/17/2005 0:00"/>
    <x v="0"/>
    <x v="1"/>
    <x v="1"/>
    <x v="2"/>
    <x v="1"/>
    <n v="194"/>
    <s v="S12_1099"/>
    <x v="19"/>
    <s v="6562-9555"/>
    <s v="Geislweg 14"/>
    <s v=""/>
    <s v="Salzburg"/>
    <s v=""/>
    <s v="5020"/>
    <x v="5"/>
    <s v="EMEA"/>
    <s v="Pipps"/>
    <s v="Georg"/>
    <s v="Georg, Pipps"/>
    <s v="Small"/>
  </r>
  <r>
    <n v="10105"/>
    <n v="41"/>
    <n v="100"/>
    <n v="4100"/>
    <n v="4100"/>
    <n v="15"/>
    <s v="2/11/2003 0:00"/>
    <x v="0"/>
    <x v="0"/>
    <x v="0"/>
    <x v="0"/>
    <x v="1"/>
    <n v="207"/>
    <s v="S12_1108"/>
    <x v="48"/>
    <s v="31 12 3555"/>
    <s v="Vinb'ltet 34"/>
    <s v=""/>
    <s v="Kobenhavn"/>
    <s v=""/>
    <s v="1734"/>
    <x v="13"/>
    <s v="EMEA"/>
    <s v="Petersen"/>
    <s v="Jytte"/>
    <s v="Jytte, Petersen"/>
    <s v="Large"/>
  </r>
  <r>
    <n v="10117"/>
    <n v="33"/>
    <n v="100"/>
    <n v="3300"/>
    <n v="3300"/>
    <n v="9"/>
    <s v="4/16/2003 0:00"/>
    <x v="0"/>
    <x v="1"/>
    <x v="8"/>
    <x v="0"/>
    <x v="1"/>
    <n v="207"/>
    <s v="S12_1108"/>
    <x v="26"/>
    <s v="+65 221 7555"/>
    <s v="Bronz Sok., Bronz Apt. 3/6 Tesvikiye"/>
    <s v=""/>
    <s v="Singapore"/>
    <s v=""/>
    <s v="79903"/>
    <x v="9"/>
    <s v="Japan"/>
    <s v="Natividad"/>
    <s v="Eric"/>
    <s v="Eric, Natividad"/>
    <s v="Medium"/>
  </r>
  <r>
    <n v="10127"/>
    <n v="46"/>
    <n v="100"/>
    <n v="4600"/>
    <n v="4600"/>
    <n v="2"/>
    <s v="6/3/2003 0:00"/>
    <x v="0"/>
    <x v="1"/>
    <x v="9"/>
    <x v="0"/>
    <x v="1"/>
    <n v="207"/>
    <s v="S12_1108"/>
    <x v="74"/>
    <s v="2125557413"/>
    <s v="4092 Furth Circle"/>
    <s v="Suite 400"/>
    <s v="NYC"/>
    <s v="NY"/>
    <s v="10022"/>
    <x v="0"/>
    <s v="NA"/>
    <s v="Young"/>
    <s v="Jeff"/>
    <s v="Jeff, Young"/>
    <s v="Large"/>
  </r>
  <r>
    <n v="10142"/>
    <n v="33"/>
    <n v="100"/>
    <n v="3300"/>
    <n v="3300"/>
    <n v="12"/>
    <s v="8/8/2003 0:00"/>
    <x v="0"/>
    <x v="2"/>
    <x v="3"/>
    <x v="0"/>
    <x v="1"/>
    <n v="207"/>
    <s v="S12_1108"/>
    <x v="39"/>
    <s v="4155551450"/>
    <s v="5677 Strong St."/>
    <s v=""/>
    <s v="San Rafael"/>
    <s v="CA"/>
    <s v="97562"/>
    <x v="0"/>
    <s v="NA"/>
    <s v="Nelson"/>
    <s v="Valarie"/>
    <s v="Valarie, Nelson"/>
    <s v="Large"/>
  </r>
  <r>
    <n v="10153"/>
    <n v="20"/>
    <n v="100"/>
    <n v="2000"/>
    <n v="2000"/>
    <n v="11"/>
    <s v="9/28/2003 0:00"/>
    <x v="0"/>
    <x v="2"/>
    <x v="10"/>
    <x v="0"/>
    <x v="1"/>
    <n v="207"/>
    <s v="S12_1108"/>
    <x v="23"/>
    <s v="(91) 555 94 44"/>
    <s v="C/ Moralzarzal, 86"/>
    <s v=""/>
    <s v="Madrid"/>
    <s v=""/>
    <s v="28034"/>
    <x v="7"/>
    <s v="EMEA"/>
    <s v="Freyre"/>
    <s v="Diego"/>
    <s v="Diego, Freyre"/>
    <s v="Medium"/>
  </r>
  <r>
    <n v="10165"/>
    <n v="44"/>
    <n v="100"/>
    <n v="4400"/>
    <n v="4400"/>
    <n v="3"/>
    <s v="10/22/2003 0:00"/>
    <x v="0"/>
    <x v="3"/>
    <x v="4"/>
    <x v="0"/>
    <x v="1"/>
    <n v="207"/>
    <s v="S12_1108"/>
    <x v="26"/>
    <s v="+65 221 7555"/>
    <s v="Bronz Sok., Bronz Apt. 3/6 Tesvikiye"/>
    <s v=""/>
    <s v="Singapore"/>
    <s v=""/>
    <s v="79903"/>
    <x v="9"/>
    <s v="Japan"/>
    <s v="Natividad"/>
    <s v="Eric"/>
    <s v="Eric, Natividad"/>
    <s v="Large"/>
  </r>
  <r>
    <n v="10176"/>
    <n v="33"/>
    <n v="100"/>
    <n v="3300"/>
    <n v="3300"/>
    <n v="2"/>
    <s v="11/6/2003 0:00"/>
    <x v="0"/>
    <x v="3"/>
    <x v="5"/>
    <x v="0"/>
    <x v="1"/>
    <n v="207"/>
    <s v="S12_1108"/>
    <x v="70"/>
    <s v="0522-556555"/>
    <s v="Strada Provinciale 124"/>
    <s v=""/>
    <s v="Reggio Emilia"/>
    <s v=""/>
    <s v="42100"/>
    <x v="12"/>
    <s v="EMEA"/>
    <s v="Moroni"/>
    <s v="Maurizio"/>
    <s v="Maurizio, Moroni"/>
    <s v="Large"/>
  </r>
  <r>
    <n v="10185"/>
    <n v="21"/>
    <n v="100"/>
    <n v="2100"/>
    <n v="2100"/>
    <n v="13"/>
    <s v="11/14/2003 0:00"/>
    <x v="0"/>
    <x v="3"/>
    <x v="5"/>
    <x v="0"/>
    <x v="1"/>
    <n v="207"/>
    <s v="S12_1108"/>
    <x v="50"/>
    <s v="5085559555"/>
    <s v="4575 Hillside Dr."/>
    <s v=""/>
    <s v="New Bedford"/>
    <s v="MA"/>
    <s v="50553"/>
    <x v="0"/>
    <s v="NA"/>
    <s v="Tam"/>
    <s v="Wing C"/>
    <s v="Wing C, Tam"/>
    <s v="Medium"/>
  </r>
  <r>
    <n v="10196"/>
    <n v="47"/>
    <n v="100"/>
    <n v="4700"/>
    <n v="4700"/>
    <n v="5"/>
    <s v="11/26/2003 0:00"/>
    <x v="0"/>
    <x v="3"/>
    <x v="5"/>
    <x v="0"/>
    <x v="1"/>
    <n v="207"/>
    <s v="S12_1108"/>
    <x v="34"/>
    <s v="2035559545"/>
    <s v="567 North Pendale Street"/>
    <s v=""/>
    <s v="New Haven"/>
    <s v="CT"/>
    <s v="97823"/>
    <x v="0"/>
    <s v="NA"/>
    <s v="Murphy"/>
    <s v="Leslie"/>
    <s v="Leslie, Murphy"/>
    <s v="Large"/>
  </r>
  <r>
    <n v="10208"/>
    <n v="46"/>
    <n v="100"/>
    <n v="4600"/>
    <n v="4600"/>
    <n v="13"/>
    <s v="1/2/2004 0:00"/>
    <x v="0"/>
    <x v="0"/>
    <x v="7"/>
    <x v="1"/>
    <x v="1"/>
    <n v="207"/>
    <s v="S12_1108"/>
    <x v="30"/>
    <s v="78.32.5555"/>
    <s v="2, rue du Commerce"/>
    <s v=""/>
    <s v="Lyon"/>
    <s v=""/>
    <s v="69004"/>
    <x v="1"/>
    <s v="EMEA"/>
    <s v="Saveley"/>
    <s v="Mary"/>
    <s v="Mary, Saveley"/>
    <s v="Large"/>
  </r>
  <r>
    <n v="10220"/>
    <n v="32"/>
    <n v="100"/>
    <n v="3200"/>
    <n v="3200"/>
    <n v="2"/>
    <s v="2/12/2004 0:00"/>
    <x v="0"/>
    <x v="0"/>
    <x v="0"/>
    <x v="1"/>
    <x v="1"/>
    <n v="207"/>
    <s v="S12_1108"/>
    <x v="75"/>
    <s v="+353 1862 1555"/>
    <s v="25 Maiden Lane"/>
    <s v="Floor No. 4"/>
    <s v="Dublin"/>
    <s v=""/>
    <s v="2"/>
    <x v="18"/>
    <s v="EMEA"/>
    <s v="Cassidy"/>
    <s v="Dean"/>
    <s v="Dean, Cassidy"/>
    <s v="Large"/>
  </r>
  <r>
    <n v="10231"/>
    <n v="42"/>
    <n v="100"/>
    <n v="4200"/>
    <n v="4200"/>
    <n v="2"/>
    <s v="3/19/2004 0:00"/>
    <x v="0"/>
    <x v="0"/>
    <x v="11"/>
    <x v="1"/>
    <x v="1"/>
    <n v="207"/>
    <s v="S12_1108"/>
    <x v="76"/>
    <s v="+34 913 728 555"/>
    <s v="Merchants House, 27-30 Merchant's Quay"/>
    <s v=""/>
    <s v="Madrid"/>
    <s v=""/>
    <s v="28023"/>
    <x v="7"/>
    <s v="EMEA"/>
    <s v="Fernandez"/>
    <s v="Jesus"/>
    <s v="Jesus, Fernandez"/>
    <s v="Large"/>
  </r>
  <r>
    <n v="10247"/>
    <n v="44"/>
    <n v="100"/>
    <n v="4400"/>
    <n v="4400"/>
    <n v="2"/>
    <s v="5/5/2004 0:00"/>
    <x v="0"/>
    <x v="1"/>
    <x v="1"/>
    <x v="1"/>
    <x v="1"/>
    <n v="207"/>
    <s v="S12_1108"/>
    <x v="73"/>
    <s v="+358 9 8045 555"/>
    <s v="Software Engineering Center, SEC Oy"/>
    <s v=""/>
    <s v="Espoo"/>
    <s v=""/>
    <s v="FIN-02271"/>
    <x v="4"/>
    <s v="EMEA"/>
    <s v="Suominen"/>
    <s v="Kalle"/>
    <s v="Kalle, Suominen"/>
    <s v="Large"/>
  </r>
  <r>
    <n v="10272"/>
    <n v="35"/>
    <n v="100"/>
    <n v="3500"/>
    <n v="3500"/>
    <n v="2"/>
    <s v="7/20/2004 0:00"/>
    <x v="0"/>
    <x v="2"/>
    <x v="2"/>
    <x v="1"/>
    <x v="1"/>
    <n v="207"/>
    <s v="S12_1108"/>
    <x v="18"/>
    <s v="2155551555"/>
    <s v="7586 Pompton St."/>
    <s v=""/>
    <s v="Allentown"/>
    <s v="PA"/>
    <s v="70267"/>
    <x v="0"/>
    <s v="NA"/>
    <s v="Yu"/>
    <s v="Kyung"/>
    <s v="Kyung, Yu"/>
    <s v="Medium"/>
  </r>
  <r>
    <n v="10282"/>
    <n v="41"/>
    <n v="100"/>
    <n v="4100"/>
    <n v="4100"/>
    <n v="5"/>
    <s v="8/20/2004 0:00"/>
    <x v="0"/>
    <x v="2"/>
    <x v="3"/>
    <x v="1"/>
    <x v="1"/>
    <n v="207"/>
    <s v="S12_1108"/>
    <x v="39"/>
    <s v="4155551450"/>
    <s v="5677 Strong St."/>
    <s v=""/>
    <s v="San Rafael"/>
    <s v="CA"/>
    <s v="97562"/>
    <x v="0"/>
    <s v="NA"/>
    <s v="Nelson"/>
    <s v="Valarie"/>
    <s v="Valarie, Nelson"/>
    <s v="Large"/>
  </r>
  <r>
    <n v="10293"/>
    <n v="46"/>
    <n v="100"/>
    <n v="4600"/>
    <n v="4600"/>
    <n v="8"/>
    <s v="9/9/2004 0:00"/>
    <x v="0"/>
    <x v="2"/>
    <x v="10"/>
    <x v="1"/>
    <x v="1"/>
    <n v="207"/>
    <s v="S12_1108"/>
    <x v="36"/>
    <s v="011-4988555"/>
    <s v="Via Monte Bianco 34"/>
    <s v=""/>
    <s v="Torino"/>
    <s v=""/>
    <s v="10100"/>
    <x v="12"/>
    <s v="EMEA"/>
    <s v="Accorti"/>
    <s v="Paolo"/>
    <s v="Paolo, Accorti"/>
    <s v="Large"/>
  </r>
  <r>
    <n v="10306"/>
    <n v="31"/>
    <n v="100"/>
    <n v="3100"/>
    <n v="3100"/>
    <n v="13"/>
    <s v="10/14/2004 0:00"/>
    <x v="0"/>
    <x v="3"/>
    <x v="4"/>
    <x v="1"/>
    <x v="1"/>
    <n v="207"/>
    <s v="S12_1108"/>
    <x v="77"/>
    <s v="(171) 555-1555"/>
    <s v="Fauntleroy Circus"/>
    <s v=""/>
    <s v="Manchester"/>
    <s v=""/>
    <s v="EC2 5NT"/>
    <x v="6"/>
    <s v="EMEA"/>
    <s v="Ashworth"/>
    <s v="Victoria"/>
    <s v="Victoria, Ashworth"/>
    <s v="Medium"/>
  </r>
  <r>
    <n v="10314"/>
    <n v="38"/>
    <n v="100"/>
    <n v="3800"/>
    <n v="3800"/>
    <n v="5"/>
    <s v="10/22/2004 0:00"/>
    <x v="0"/>
    <x v="3"/>
    <x v="4"/>
    <x v="1"/>
    <x v="1"/>
    <n v="207"/>
    <s v="S12_1108"/>
    <x v="78"/>
    <s v="86 21 3555"/>
    <s v="Smagsloget 45"/>
    <s v=""/>
    <s v="Aaarhus"/>
    <s v=""/>
    <s v="8200"/>
    <x v="13"/>
    <s v="EMEA"/>
    <s v="Ibsen"/>
    <s v="Palle"/>
    <s v="Palle, Ibsen"/>
    <s v="Large"/>
  </r>
  <r>
    <n v="10325"/>
    <n v="42"/>
    <n v="64"/>
    <n v="2688"/>
    <n v="2688"/>
    <n v="8"/>
    <s v="11/5/2004 0:00"/>
    <x v="0"/>
    <x v="3"/>
    <x v="5"/>
    <x v="1"/>
    <x v="1"/>
    <n v="207"/>
    <s v="S12_1108"/>
    <x v="17"/>
    <s v="07-98 9555"/>
    <s v="Erling Skakkes gate 78"/>
    <s v=""/>
    <s v="Stavern"/>
    <s v=""/>
    <s v="4110"/>
    <x v="2"/>
    <s v="EMEA"/>
    <s v="Bergulfsen"/>
    <s v="Jonas"/>
    <s v="Jonas, Bergulfsen"/>
    <s v="Small"/>
  </r>
  <r>
    <n v="10336"/>
    <n v="33"/>
    <n v="5722"/>
    <n v="188826"/>
    <n v="188826"/>
    <n v="10"/>
    <s v="11/20/2004 0:00"/>
    <x v="0"/>
    <x v="3"/>
    <x v="5"/>
    <x v="1"/>
    <x v="1"/>
    <n v="207"/>
    <s v="S12_1108"/>
    <x v="62"/>
    <s v="(1) 42.34.2555"/>
    <s v="265, boulevard Charonne"/>
    <s v=""/>
    <s v="Paris"/>
    <s v=""/>
    <s v="75012"/>
    <x v="1"/>
    <s v="EMEA"/>
    <s v="Bertrand"/>
    <s v="Marie"/>
    <s v="Marie, Bertrand"/>
    <s v="Small"/>
  </r>
  <r>
    <n v="10348"/>
    <n v="48"/>
    <n v="5236"/>
    <n v="251328"/>
    <n v="251328"/>
    <n v="8"/>
    <s v="11/1/2004 0:00"/>
    <x v="0"/>
    <x v="3"/>
    <x v="5"/>
    <x v="1"/>
    <x v="1"/>
    <n v="207"/>
    <s v="S12_1108"/>
    <x v="25"/>
    <s v="(91) 555 22 82"/>
    <s v="C/ Araquil, 67"/>
    <s v=""/>
    <s v="Madrid"/>
    <s v=""/>
    <s v="28023"/>
    <x v="7"/>
    <s v="EMEA"/>
    <s v="Sommer"/>
    <s v="Mart¡n"/>
    <s v="Mart¡n, Sommer"/>
    <s v="Small"/>
  </r>
  <r>
    <n v="10359"/>
    <n v="42"/>
    <n v="100"/>
    <n v="4200"/>
    <n v="4200"/>
    <n v="8"/>
    <s v="12/15/2004 0:00"/>
    <x v="0"/>
    <x v="3"/>
    <x v="6"/>
    <x v="1"/>
    <x v="1"/>
    <n v="207"/>
    <s v="S12_1108"/>
    <x v="1"/>
    <s v="26.47.1555"/>
    <s v="59 rue de l'Abbaye"/>
    <s v=""/>
    <s v="Reims"/>
    <s v=""/>
    <s v="51100"/>
    <x v="1"/>
    <s v="EMEA"/>
    <s v="Henriot"/>
    <s v="Paul"/>
    <s v="Paul, Henriot"/>
    <s v="Medium"/>
  </r>
  <r>
    <n v="10371"/>
    <n v="32"/>
    <n v="100"/>
    <n v="3200"/>
    <n v="3200"/>
    <n v="6"/>
    <s v="1/23/2005 0:00"/>
    <x v="0"/>
    <x v="0"/>
    <x v="7"/>
    <x v="2"/>
    <x v="1"/>
    <n v="207"/>
    <s v="S12_1108"/>
    <x v="39"/>
    <s v="4155551450"/>
    <s v="5677 Strong St."/>
    <s v=""/>
    <s v="San Rafael"/>
    <s v="CA"/>
    <s v="97562"/>
    <x v="0"/>
    <s v="NA"/>
    <s v="Nelson"/>
    <s v="Valarie"/>
    <s v="Valarie, Nelson"/>
    <s v="Medium"/>
  </r>
  <r>
    <n v="10382"/>
    <n v="34"/>
    <n v="100"/>
    <n v="3400"/>
    <n v="3400"/>
    <n v="10"/>
    <s v="2/17/2005 0:00"/>
    <x v="0"/>
    <x v="0"/>
    <x v="0"/>
    <x v="2"/>
    <x v="1"/>
    <n v="207"/>
    <s v="S12_1108"/>
    <x v="39"/>
    <s v="4155551450"/>
    <s v="5677 Strong St."/>
    <s v=""/>
    <s v="San Rafael"/>
    <s v="CA"/>
    <s v="97562"/>
    <x v="0"/>
    <s v="NA"/>
    <s v="Nelson"/>
    <s v="Valarie"/>
    <s v="Valarie, Nelson"/>
    <s v="Medium"/>
  </r>
  <r>
    <n v="10395"/>
    <n v="33"/>
    <n v="6912"/>
    <n v="228096"/>
    <n v="228096"/>
    <n v="1"/>
    <s v="3/17/2005 0:00"/>
    <x v="0"/>
    <x v="0"/>
    <x v="11"/>
    <x v="2"/>
    <x v="1"/>
    <n v="207"/>
    <s v="S12_1108"/>
    <x v="2"/>
    <s v="+33 1 46 62 7555"/>
    <s v="27 rue du Colonel Pierre Avia"/>
    <s v=""/>
    <s v="Paris"/>
    <s v=""/>
    <s v="75508"/>
    <x v="1"/>
    <s v="EMEA"/>
    <s v="Da Cunha"/>
    <s v="Daniel"/>
    <s v="Daniel, Da Cunha"/>
    <s v="Small"/>
  </r>
  <r>
    <n v="10413"/>
    <n v="36"/>
    <n v="100"/>
    <n v="3600"/>
    <n v="3600"/>
    <n v="2"/>
    <s v="5/5/2005 0:00"/>
    <x v="0"/>
    <x v="1"/>
    <x v="1"/>
    <x v="2"/>
    <x v="1"/>
    <n v="207"/>
    <s v="S12_1108"/>
    <x v="13"/>
    <s v="2035552570"/>
    <s v="25593 South Bay Ln."/>
    <s v=""/>
    <s v="Bridgewater"/>
    <s v="CT"/>
    <s v="97562"/>
    <x v="0"/>
    <s v="NA"/>
    <s v="King"/>
    <s v="Julie"/>
    <s v="Julie, King"/>
    <s v="Large"/>
  </r>
  <r>
    <n v="10103"/>
    <n v="27"/>
    <n v="100"/>
    <n v="2700"/>
    <n v="2700"/>
    <n v="8"/>
    <s v="1/29/2003 0:00"/>
    <x v="0"/>
    <x v="0"/>
    <x v="7"/>
    <x v="0"/>
    <x v="2"/>
    <n v="136"/>
    <s v="S12_1666"/>
    <x v="17"/>
    <s v="07-98 9555"/>
    <s v="Erling Skakkes gate 78"/>
    <s v=""/>
    <s v="Stavern"/>
    <s v=""/>
    <s v="4110"/>
    <x v="2"/>
    <s v="EMEA"/>
    <s v="Bergulfsen"/>
    <s v="Jonas"/>
    <s v="Jonas, Bergulfsen"/>
    <s v="Medium"/>
  </r>
  <r>
    <n v="10113"/>
    <n v="21"/>
    <n v="100"/>
    <n v="2100"/>
    <n v="2100"/>
    <n v="2"/>
    <s v="3/26/2003 0:00"/>
    <x v="0"/>
    <x v="0"/>
    <x v="11"/>
    <x v="0"/>
    <x v="2"/>
    <n v="136"/>
    <s v="S12_1666"/>
    <x v="39"/>
    <s v="4155551450"/>
    <s v="5677 Strong St."/>
    <s v=""/>
    <s v="San Rafael"/>
    <s v="CA"/>
    <s v="97562"/>
    <x v="0"/>
    <s v="NA"/>
    <s v="Nelson"/>
    <s v="Valarie"/>
    <s v="Valarie, Nelson"/>
    <s v="Medium"/>
  </r>
  <r>
    <n v="10126"/>
    <n v="21"/>
    <n v="100"/>
    <n v="2100"/>
    <n v="2100"/>
    <n v="8"/>
    <s v="5/28/2003 0:00"/>
    <x v="0"/>
    <x v="1"/>
    <x v="1"/>
    <x v="0"/>
    <x v="2"/>
    <n v="136"/>
    <s v="S12_1666"/>
    <x v="25"/>
    <s v="(91) 555 22 82"/>
    <s v="C/ Araquil, 67"/>
    <s v=""/>
    <s v="Madrid"/>
    <s v=""/>
    <s v="28023"/>
    <x v="7"/>
    <s v="EMEA"/>
    <s v="Sommer"/>
    <s v="Mart¡n"/>
    <s v="Mart¡n, Sommer"/>
    <s v="Small"/>
  </r>
  <r>
    <n v="10140"/>
    <n v="38"/>
    <n v="100"/>
    <n v="3800"/>
    <n v="3800"/>
    <n v="8"/>
    <s v="7/24/2003 0:00"/>
    <x v="0"/>
    <x v="2"/>
    <x v="2"/>
    <x v="0"/>
    <x v="2"/>
    <n v="136"/>
    <s v="S12_1666"/>
    <x v="5"/>
    <s v="6505556809"/>
    <s v="9408 Furth Circle"/>
    <s v=""/>
    <s v="Burlingame"/>
    <s v="CA"/>
    <s v="94217"/>
    <x v="0"/>
    <s v="NA"/>
    <s v="Hirano"/>
    <s v="Juri"/>
    <s v="Juri, Hirano"/>
    <s v="Medium"/>
  </r>
  <r>
    <n v="10150"/>
    <n v="30"/>
    <n v="100"/>
    <n v="3000"/>
    <n v="3000"/>
    <n v="5"/>
    <s v="9/19/2003 0:00"/>
    <x v="0"/>
    <x v="2"/>
    <x v="10"/>
    <x v="0"/>
    <x v="2"/>
    <n v="136"/>
    <s v="S12_1666"/>
    <x v="26"/>
    <s v="+65 221 7555"/>
    <s v="Bronz Sok., Bronz Apt. 3/6 Tesvikiye"/>
    <s v=""/>
    <s v="Singapore"/>
    <s v=""/>
    <s v="79903"/>
    <x v="9"/>
    <s v="Japan"/>
    <s v="Natividad"/>
    <s v="Eric"/>
    <s v="Eric, Natividad"/>
    <s v="Medium"/>
  </r>
  <r>
    <n v="10164"/>
    <n v="49"/>
    <n v="100"/>
    <n v="4900"/>
    <n v="4900"/>
    <n v="6"/>
    <s v="10/21/2003 0:00"/>
    <x v="5"/>
    <x v="3"/>
    <x v="4"/>
    <x v="0"/>
    <x v="2"/>
    <n v="136"/>
    <s v="S12_1666"/>
    <x v="63"/>
    <s v="7675-3555"/>
    <s v="Kirchgasse 6"/>
    <s v=""/>
    <s v="Graz"/>
    <s v=""/>
    <s v="8010"/>
    <x v="5"/>
    <s v="EMEA"/>
    <s v="Mendel"/>
    <s v="Roland"/>
    <s v="Roland, Mendel"/>
    <s v="Medium"/>
  </r>
  <r>
    <n v="10174"/>
    <n v="43"/>
    <n v="100"/>
    <n v="4300"/>
    <n v="4300"/>
    <n v="1"/>
    <s v="11/6/2003 0:00"/>
    <x v="0"/>
    <x v="3"/>
    <x v="5"/>
    <x v="0"/>
    <x v="2"/>
    <n v="136"/>
    <s v="S12_1666"/>
    <x v="28"/>
    <s v="61-7-3844-6555"/>
    <s v="31 Duncan St. West End"/>
    <s v=""/>
    <s v="South Brisbane"/>
    <s v="Queensland"/>
    <s v="4101"/>
    <x v="3"/>
    <s v="APAC"/>
    <s v="Calaghan"/>
    <s v="Tony"/>
    <s v="Tony, Calaghan"/>
    <s v="Medium"/>
  </r>
  <r>
    <n v="10183"/>
    <n v="41"/>
    <n v="100"/>
    <n v="4100"/>
    <n v="4100"/>
    <n v="5"/>
    <s v="11/13/2003 0:00"/>
    <x v="0"/>
    <x v="3"/>
    <x v="5"/>
    <x v="0"/>
    <x v="2"/>
    <n v="136"/>
    <s v="S12_1666"/>
    <x v="29"/>
    <s v="2155554695"/>
    <s v="782 First Street"/>
    <s v=""/>
    <s v="Philadelphia"/>
    <s v="PA"/>
    <s v="71270"/>
    <x v="0"/>
    <s v="NA"/>
    <s v="Cervantes"/>
    <s v="Francisca"/>
    <s v="Francisca, Cervantes"/>
    <s v="Medium"/>
  </r>
  <r>
    <n v="10194"/>
    <n v="38"/>
    <n v="100"/>
    <n v="3800"/>
    <n v="3800"/>
    <n v="8"/>
    <s v="11/25/2003 0:00"/>
    <x v="0"/>
    <x v="3"/>
    <x v="5"/>
    <x v="0"/>
    <x v="2"/>
    <n v="136"/>
    <s v="S12_1666"/>
    <x v="30"/>
    <s v="78.32.5555"/>
    <s v="2, rue du Commerce"/>
    <s v=""/>
    <s v="Lyon"/>
    <s v=""/>
    <s v="69004"/>
    <x v="1"/>
    <s v="EMEA"/>
    <s v="Saveley"/>
    <s v="Mary"/>
    <s v="Mary, Saveley"/>
    <s v="Medium"/>
  </r>
  <r>
    <n v="10206"/>
    <n v="28"/>
    <n v="100"/>
    <n v="2800"/>
    <n v="2800"/>
    <n v="3"/>
    <s v="12/5/2003 0:00"/>
    <x v="0"/>
    <x v="3"/>
    <x v="6"/>
    <x v="0"/>
    <x v="2"/>
    <n v="136"/>
    <s v="S12_1666"/>
    <x v="31"/>
    <s v="(604) 555-3392"/>
    <s v="1900 Oak St."/>
    <s v=""/>
    <s v="Vancouver"/>
    <s v="BC"/>
    <s v="V3F 2K1"/>
    <x v="10"/>
    <s v="NA"/>
    <s v="Tannamuri"/>
    <s v="Yoshi"/>
    <s v="Yoshi, Tannamuri"/>
    <s v="Medium"/>
  </r>
  <r>
    <n v="10216"/>
    <n v="43"/>
    <n v="100"/>
    <n v="4300"/>
    <n v="4300"/>
    <n v="1"/>
    <s v="2/2/2004 0:00"/>
    <x v="0"/>
    <x v="0"/>
    <x v="0"/>
    <x v="1"/>
    <x v="2"/>
    <n v="136"/>
    <s v="S12_1666"/>
    <x v="38"/>
    <s v="30.59.8555"/>
    <s v="67, avenue de l'Europe"/>
    <s v=""/>
    <s v="Versailles"/>
    <s v=""/>
    <s v="78000"/>
    <x v="1"/>
    <s v="EMEA"/>
    <s v="Tonini"/>
    <s v="Daniel"/>
    <s v="Daniel, Tonini"/>
    <s v="Medium"/>
  </r>
  <r>
    <n v="10229"/>
    <n v="25"/>
    <n v="100"/>
    <n v="2500"/>
    <n v="2500"/>
    <n v="13"/>
    <s v="3/11/2004 0:00"/>
    <x v="0"/>
    <x v="0"/>
    <x v="11"/>
    <x v="1"/>
    <x v="2"/>
    <n v="136"/>
    <s v="S12_1666"/>
    <x v="39"/>
    <s v="4155551450"/>
    <s v="5677 Strong St."/>
    <s v=""/>
    <s v="San Rafael"/>
    <s v="CA"/>
    <s v="97562"/>
    <x v="0"/>
    <s v="NA"/>
    <s v="Nelson"/>
    <s v="Valarie"/>
    <s v="Valarie, Nelson"/>
    <s v="Medium"/>
  </r>
  <r>
    <n v="10245"/>
    <n v="38"/>
    <n v="100"/>
    <n v="3800"/>
    <n v="3800"/>
    <n v="6"/>
    <s v="5/4/2004 0:00"/>
    <x v="0"/>
    <x v="1"/>
    <x v="1"/>
    <x v="1"/>
    <x v="2"/>
    <n v="136"/>
    <s v="S12_1666"/>
    <x v="34"/>
    <s v="2035559545"/>
    <s v="567 North Pendale Street"/>
    <s v=""/>
    <s v="New Haven"/>
    <s v="CT"/>
    <s v="97823"/>
    <x v="0"/>
    <s v="NA"/>
    <s v="Murphy"/>
    <s v="Leslie"/>
    <s v="Leslie, Murphy"/>
    <s v="Medium"/>
  </r>
  <r>
    <n v="10258"/>
    <n v="41"/>
    <n v="100"/>
    <n v="4100"/>
    <n v="4100"/>
    <n v="3"/>
    <s v="6/15/2004 0:00"/>
    <x v="0"/>
    <x v="1"/>
    <x v="9"/>
    <x v="1"/>
    <x v="2"/>
    <n v="136"/>
    <s v="S12_1666"/>
    <x v="35"/>
    <s v="+81 3 3584 0555"/>
    <s v="2-2-8 Roppongi"/>
    <s v=""/>
    <s v="Minato-ku"/>
    <s v="Tokyo"/>
    <s v="106-0032"/>
    <x v="11"/>
    <s v="Japan"/>
    <s v="Shimamura"/>
    <s v="Akiko"/>
    <s v="Akiko, Shimamura"/>
    <s v="Medium"/>
  </r>
  <r>
    <n v="10270"/>
    <n v="28"/>
    <n v="100"/>
    <n v="2800"/>
    <n v="2800"/>
    <n v="6"/>
    <s v="7/19/2004 0:00"/>
    <x v="0"/>
    <x v="2"/>
    <x v="2"/>
    <x v="1"/>
    <x v="2"/>
    <n v="136"/>
    <s v="S12_1666"/>
    <x v="20"/>
    <s v="+61 2 9495 8555"/>
    <s v="Monitor Money Building, 815 Pacific Hwy"/>
    <s v="Level 6"/>
    <s v="Chatswood"/>
    <s v="NSW"/>
    <s v="2067"/>
    <x v="3"/>
    <s v="APAC"/>
    <s v="Huxley"/>
    <s v="Adrian"/>
    <s v="Adrian, Huxley"/>
    <s v="Medium"/>
  </r>
  <r>
    <n v="10281"/>
    <n v="25"/>
    <n v="100"/>
    <n v="2500"/>
    <n v="2500"/>
    <n v="13"/>
    <s v="8/19/2004 0:00"/>
    <x v="0"/>
    <x v="2"/>
    <x v="3"/>
    <x v="1"/>
    <x v="2"/>
    <n v="136"/>
    <s v="S12_1666"/>
    <x v="18"/>
    <s v="2155551555"/>
    <s v="7586 Pompton St."/>
    <s v=""/>
    <s v="Allentown"/>
    <s v="PA"/>
    <s v="70267"/>
    <x v="0"/>
    <s v="NA"/>
    <s v="Yu"/>
    <s v="Kyung"/>
    <s v="Kyung, Yu"/>
    <s v="Small"/>
  </r>
  <r>
    <n v="10291"/>
    <n v="41"/>
    <n v="100"/>
    <n v="4100"/>
    <n v="4100"/>
    <n v="8"/>
    <s v="9/8/2004 0:00"/>
    <x v="0"/>
    <x v="2"/>
    <x v="10"/>
    <x v="1"/>
    <x v="2"/>
    <n v="136"/>
    <s v="S12_1666"/>
    <x v="37"/>
    <s v="0695-34 6555"/>
    <s v="?kergatan 24"/>
    <s v=""/>
    <s v="Boras"/>
    <s v=""/>
    <s v="S-844 67"/>
    <x v="8"/>
    <s v="EMEA"/>
    <s v="Larsson"/>
    <s v="Maria"/>
    <s v="Maria, Larsson"/>
    <s v="Medium"/>
  </r>
  <r>
    <n v="10304"/>
    <n v="39"/>
    <n v="100"/>
    <n v="3900"/>
    <n v="3900"/>
    <n v="3"/>
    <s v="10/11/2004 0:00"/>
    <x v="0"/>
    <x v="3"/>
    <x v="4"/>
    <x v="1"/>
    <x v="2"/>
    <n v="136"/>
    <s v="S12_1666"/>
    <x v="38"/>
    <s v="30.59.8555"/>
    <s v="67, avenue de l'Europe"/>
    <s v=""/>
    <s v="Versailles"/>
    <s v=""/>
    <s v="78000"/>
    <x v="1"/>
    <s v="EMEA"/>
    <s v="Tonini"/>
    <s v="Daniel"/>
    <s v="Daniel, Tonini"/>
    <s v="Medium"/>
  </r>
  <r>
    <n v="10313"/>
    <n v="21"/>
    <n v="100"/>
    <n v="2100"/>
    <n v="2100"/>
    <n v="11"/>
    <s v="10/22/2004 0:00"/>
    <x v="0"/>
    <x v="3"/>
    <x v="4"/>
    <x v="1"/>
    <x v="2"/>
    <n v="136"/>
    <s v="S12_1666"/>
    <x v="31"/>
    <s v="(604) 555-3392"/>
    <s v="1900 Oak St."/>
    <s v=""/>
    <s v="Vancouver"/>
    <s v="BC"/>
    <s v="V3F 2K1"/>
    <x v="10"/>
    <s v="NA"/>
    <s v="Tannamuri"/>
    <s v="Yoshi"/>
    <s v="Yoshi, Tannamuri"/>
    <s v="Small"/>
  </r>
  <r>
    <n v="10322"/>
    <n v="27"/>
    <n v="100"/>
    <n v="2700"/>
    <n v="2700"/>
    <n v="9"/>
    <s v="11/4/2004 0:00"/>
    <x v="0"/>
    <x v="3"/>
    <x v="5"/>
    <x v="1"/>
    <x v="2"/>
    <n v="136"/>
    <s v="S12_1666"/>
    <x v="40"/>
    <s v="6035558647"/>
    <s v="2304 Long Airport Avenue"/>
    <s v=""/>
    <s v="Nashua"/>
    <s v="NH"/>
    <s v="62005"/>
    <x v="0"/>
    <s v="NA"/>
    <s v="Young"/>
    <s v="Valarie"/>
    <s v="Valarie, Young"/>
    <s v="Medium"/>
  </r>
  <r>
    <n v="10333"/>
    <n v="33"/>
    <n v="9921"/>
    <n v="327393"/>
    <n v="327393"/>
    <n v="6"/>
    <s v="11/18/2004 0:00"/>
    <x v="0"/>
    <x v="3"/>
    <x v="5"/>
    <x v="1"/>
    <x v="2"/>
    <n v="136"/>
    <s v="S12_1666"/>
    <x v="8"/>
    <s v="6505555787"/>
    <s v="5557 North Pendale Street"/>
    <s v=""/>
    <s v="San Francisco"/>
    <s v="CA"/>
    <s v=""/>
    <x v="0"/>
    <s v="NA"/>
    <s v="Murphy"/>
    <s v="Julie"/>
    <s v="Julie, Murphy"/>
    <s v="Medium"/>
  </r>
  <r>
    <n v="10347"/>
    <n v="29"/>
    <n v="100"/>
    <n v="2900"/>
    <n v="2900"/>
    <n v="3"/>
    <s v="11/29/2004 0:00"/>
    <x v="0"/>
    <x v="3"/>
    <x v="5"/>
    <x v="1"/>
    <x v="2"/>
    <n v="136"/>
    <s v="S12_1666"/>
    <x v="10"/>
    <s v="03 9520 4555"/>
    <s v="636 St Kilda Road"/>
    <s v="Level 3"/>
    <s v="Melbourne"/>
    <s v="Victoria"/>
    <s v="3004"/>
    <x v="3"/>
    <s v="APAC"/>
    <s v="Ferguson"/>
    <s v="Peter"/>
    <s v="Peter, Ferguson"/>
    <s v="Medium"/>
  </r>
  <r>
    <n v="10357"/>
    <n v="49"/>
    <n v="100"/>
    <n v="4900"/>
    <n v="4900"/>
    <n v="8"/>
    <s v="12/10/2004 0:00"/>
    <x v="0"/>
    <x v="3"/>
    <x v="6"/>
    <x v="1"/>
    <x v="2"/>
    <n v="136"/>
    <s v="S12_1666"/>
    <x v="39"/>
    <s v="4155551450"/>
    <s v="5677 Strong St."/>
    <s v=""/>
    <s v="San Rafael"/>
    <s v="CA"/>
    <s v="97562"/>
    <x v="0"/>
    <s v="NA"/>
    <s v="Nelson"/>
    <s v="Valarie"/>
    <s v="Valarie, Nelson"/>
    <s v="Medium"/>
  </r>
  <r>
    <n v="10370"/>
    <n v="49"/>
    <n v="100"/>
    <n v="4900"/>
    <n v="4900"/>
    <n v="8"/>
    <s v="1/20/2005 0:00"/>
    <x v="0"/>
    <x v="0"/>
    <x v="7"/>
    <x v="2"/>
    <x v="2"/>
    <n v="136"/>
    <s v="S12_1666"/>
    <x v="42"/>
    <s v="02 9936 8555"/>
    <s v="201 Miller Street"/>
    <s v="Level 15"/>
    <s v="North Sydney"/>
    <s v="NSW"/>
    <s v="2060"/>
    <x v="3"/>
    <s v="APAC"/>
    <s v="O'Hara"/>
    <s v="Anna"/>
    <s v="Anna, O'Hara"/>
    <s v="Large"/>
  </r>
  <r>
    <n v="10381"/>
    <n v="20"/>
    <n v="100"/>
    <n v="2000"/>
    <n v="2000"/>
    <n v="1"/>
    <s v="2/17/2005 0:00"/>
    <x v="0"/>
    <x v="0"/>
    <x v="0"/>
    <x v="2"/>
    <x v="2"/>
    <n v="136"/>
    <s v="S12_1666"/>
    <x v="4"/>
    <s v="6505551386"/>
    <s v="7734 Strong St."/>
    <s v=""/>
    <s v="San Francisco"/>
    <s v="CA"/>
    <s v=""/>
    <x v="0"/>
    <s v="NA"/>
    <s v="Brown"/>
    <s v="Julie"/>
    <s v="Julie, Brown"/>
    <s v="Small"/>
  </r>
  <r>
    <n v="10391"/>
    <n v="39"/>
    <n v="632"/>
    <n v="24648"/>
    <n v="24648"/>
    <n v="9"/>
    <s v="3/9/2005 0:00"/>
    <x v="0"/>
    <x v="0"/>
    <x v="11"/>
    <x v="2"/>
    <x v="2"/>
    <n v="136"/>
    <s v="S12_1666"/>
    <x v="42"/>
    <s v="02 9936 8555"/>
    <s v="201 Miller Street"/>
    <s v="Level 15"/>
    <s v="North Sydney"/>
    <s v="NSW"/>
    <s v="2060"/>
    <x v="3"/>
    <s v="APAC"/>
    <s v="O'Hara"/>
    <s v="Anna"/>
    <s v="Anna, O'Hara"/>
    <s v="Small"/>
  </r>
  <r>
    <n v="10411"/>
    <n v="40"/>
    <n v="100"/>
    <n v="4000"/>
    <n v="4000"/>
    <n v="6"/>
    <s v="5/1/2005 0:00"/>
    <x v="0"/>
    <x v="1"/>
    <x v="1"/>
    <x v="2"/>
    <x v="2"/>
    <n v="136"/>
    <s v="S12_1666"/>
    <x v="43"/>
    <s v="(514) 555-8054"/>
    <s v="43 rue St. Laurent"/>
    <s v=""/>
    <s v="Montreal"/>
    <s v="Quebec"/>
    <s v="H1J 1C3"/>
    <x v="10"/>
    <s v="NA"/>
    <s v="Fresnisre"/>
    <s v="Jean"/>
    <s v="Jean, Fresnisre"/>
    <s v="Medium"/>
  </r>
  <r>
    <n v="10424"/>
    <n v="49"/>
    <n v="100"/>
    <n v="4900"/>
    <n v="0"/>
    <n v="3"/>
    <s v="5/31/2005 0:00"/>
    <x v="2"/>
    <x v="1"/>
    <x v="1"/>
    <x v="2"/>
    <x v="2"/>
    <n v="136"/>
    <s v="S12_1666"/>
    <x v="23"/>
    <s v="(91) 555 94 44"/>
    <s v="C/ Moralzarzal, 86"/>
    <s v=""/>
    <s v="Madrid"/>
    <s v=""/>
    <s v="28034"/>
    <x v="7"/>
    <s v="EMEA"/>
    <s v="Freyre"/>
    <s v="Diego"/>
    <s v="Diego, Freyre"/>
    <s v="Large"/>
  </r>
  <r>
    <n v="10107"/>
    <n v="21"/>
    <n v="100"/>
    <n v="2100"/>
    <n v="2100"/>
    <n v="1"/>
    <s v="2/24/2003 0:00"/>
    <x v="0"/>
    <x v="0"/>
    <x v="0"/>
    <x v="0"/>
    <x v="0"/>
    <n v="150"/>
    <s v="S12_2823"/>
    <x v="0"/>
    <s v="2125557818"/>
    <s v="897 Long Airport Avenue"/>
    <s v=""/>
    <s v="NYC"/>
    <s v="NY"/>
    <s v="10022"/>
    <x v="0"/>
    <s v="NA"/>
    <s v="Yu"/>
    <s v="Kwai"/>
    <s v="Kwai, Yu"/>
    <s v="Medium"/>
  </r>
  <r>
    <n v="10121"/>
    <n v="50"/>
    <n v="100"/>
    <n v="5000"/>
    <n v="5000"/>
    <n v="4"/>
    <s v="5/7/2003 0:00"/>
    <x v="0"/>
    <x v="1"/>
    <x v="1"/>
    <x v="0"/>
    <x v="0"/>
    <n v="150"/>
    <s v="S12_2823"/>
    <x v="1"/>
    <s v="26.47.1555"/>
    <s v="59 rue de l'Abbaye"/>
    <s v=""/>
    <s v="Reims"/>
    <s v=""/>
    <s v="51100"/>
    <x v="1"/>
    <s v="EMEA"/>
    <s v="Henriot"/>
    <s v="Paul"/>
    <s v="Paul, Henriot"/>
    <s v="Large"/>
  </r>
  <r>
    <n v="10134"/>
    <n v="20"/>
    <n v="100"/>
    <n v="2000"/>
    <n v="2000"/>
    <n v="1"/>
    <s v="7/1/2003 0:00"/>
    <x v="0"/>
    <x v="2"/>
    <x v="2"/>
    <x v="0"/>
    <x v="0"/>
    <n v="150"/>
    <s v="S12_2823"/>
    <x v="2"/>
    <s v="+33 1 46 62 7555"/>
    <s v="27 rue du Colonel Pierre Avia"/>
    <s v=""/>
    <s v="Paris"/>
    <s v=""/>
    <s v="75508"/>
    <x v="1"/>
    <s v="EMEA"/>
    <s v="Da Cunha"/>
    <s v="Daniel"/>
    <s v="Daniel, Da Cunha"/>
    <s v="Small"/>
  </r>
  <r>
    <n v="10145"/>
    <n v="49"/>
    <n v="100"/>
    <n v="4900"/>
    <n v="4900"/>
    <n v="5"/>
    <s v="8/25/2003 0:00"/>
    <x v="0"/>
    <x v="2"/>
    <x v="3"/>
    <x v="0"/>
    <x v="0"/>
    <n v="150"/>
    <s v="S12_2823"/>
    <x v="3"/>
    <s v="6265557265"/>
    <s v="78934 Hillside Dr."/>
    <s v=""/>
    <s v="Pasadena"/>
    <s v="CA"/>
    <s v="90003"/>
    <x v="0"/>
    <s v="NA"/>
    <s v="Young"/>
    <s v="Julie"/>
    <s v="Julie, Young"/>
    <s v="Large"/>
  </r>
  <r>
    <n v="10159"/>
    <n v="38"/>
    <n v="100"/>
    <n v="3800"/>
    <n v="3800"/>
    <n v="13"/>
    <s v="10/10/2003 0:00"/>
    <x v="0"/>
    <x v="3"/>
    <x v="4"/>
    <x v="0"/>
    <x v="0"/>
    <n v="150"/>
    <s v="S12_2823"/>
    <x v="4"/>
    <s v="6505551386"/>
    <s v="7734 Strong St."/>
    <s v=""/>
    <s v="San Francisco"/>
    <s v="CA"/>
    <s v=""/>
    <x v="0"/>
    <s v="NA"/>
    <s v="Brown"/>
    <s v="Julie"/>
    <s v="Julie, Brown"/>
    <s v="Medium"/>
  </r>
  <r>
    <n v="10169"/>
    <n v="35"/>
    <n v="100"/>
    <n v="3500"/>
    <n v="3500"/>
    <n v="13"/>
    <s v="11/4/2003 0:00"/>
    <x v="0"/>
    <x v="3"/>
    <x v="5"/>
    <x v="0"/>
    <x v="0"/>
    <n v="150"/>
    <s v="S12_2823"/>
    <x v="42"/>
    <s v="02 9936 8555"/>
    <s v="201 Miller Street"/>
    <s v="Level 15"/>
    <s v="North Sydney"/>
    <s v="NSW"/>
    <s v="2060"/>
    <x v="3"/>
    <s v="APAC"/>
    <s v="O'Hara"/>
    <s v="Anna"/>
    <s v="Anna, O'Hara"/>
    <s v="Medium"/>
  </r>
  <r>
    <n v="10180"/>
    <n v="40"/>
    <n v="100"/>
    <n v="4000"/>
    <n v="4000"/>
    <n v="8"/>
    <s v="11/11/2003 0:00"/>
    <x v="0"/>
    <x v="3"/>
    <x v="5"/>
    <x v="0"/>
    <x v="0"/>
    <n v="150"/>
    <s v="S12_2823"/>
    <x v="6"/>
    <s v="20.16.1555"/>
    <s v="184, chausse de Tournai"/>
    <s v=""/>
    <s v="Lille"/>
    <s v=""/>
    <s v="59000"/>
    <x v="1"/>
    <s v="EMEA"/>
    <s v="Rance"/>
    <s v="Martine"/>
    <s v="Martine, Rance"/>
    <s v="Medium"/>
  </r>
  <r>
    <n v="10189"/>
    <n v="28"/>
    <n v="100"/>
    <n v="2800"/>
    <n v="2800"/>
    <n v="1"/>
    <s v="11/18/2003 0:00"/>
    <x v="0"/>
    <x v="3"/>
    <x v="5"/>
    <x v="0"/>
    <x v="0"/>
    <n v="150"/>
    <s v="S12_2823"/>
    <x v="3"/>
    <s v="6265557265"/>
    <s v="78934 Hillside Dr."/>
    <s v=""/>
    <s v="Pasadena"/>
    <s v="CA"/>
    <s v="90003"/>
    <x v="0"/>
    <s v="NA"/>
    <s v="Young"/>
    <s v="Julie"/>
    <s v="Julie, Young"/>
    <s v="Medium"/>
  </r>
  <r>
    <n v="10201"/>
    <n v="25"/>
    <n v="100"/>
    <n v="2500"/>
    <n v="2500"/>
    <n v="1"/>
    <s v="12/1/2003 0:00"/>
    <x v="0"/>
    <x v="3"/>
    <x v="6"/>
    <x v="0"/>
    <x v="0"/>
    <n v="150"/>
    <s v="S12_2823"/>
    <x v="8"/>
    <s v="6505555787"/>
    <s v="5557 North Pendale Street"/>
    <s v=""/>
    <s v="San Francisco"/>
    <s v="CA"/>
    <s v=""/>
    <x v="0"/>
    <s v="NA"/>
    <s v="Murphy"/>
    <s v="Julie"/>
    <s v="Julie, Murphy"/>
    <s v="Medium"/>
  </r>
  <r>
    <n v="10211"/>
    <n v="36"/>
    <n v="100"/>
    <n v="3600"/>
    <n v="3600"/>
    <n v="13"/>
    <s v="1/15/2004 0:00"/>
    <x v="0"/>
    <x v="0"/>
    <x v="7"/>
    <x v="1"/>
    <x v="0"/>
    <n v="150"/>
    <s v="S12_2823"/>
    <x v="9"/>
    <s v="(1) 47.55.6555"/>
    <s v="25, rue Lauriston"/>
    <s v=""/>
    <s v="Paris"/>
    <s v=""/>
    <s v="75016"/>
    <x v="1"/>
    <s v="EMEA"/>
    <s v="Perrier"/>
    <s v="Dominique"/>
    <s v="Dominique, Perrier"/>
    <s v="Medium"/>
  </r>
  <r>
    <n v="10224"/>
    <n v="43"/>
    <n v="100"/>
    <n v="4300"/>
    <n v="4300"/>
    <n v="6"/>
    <s v="2/21/2004 0:00"/>
    <x v="0"/>
    <x v="0"/>
    <x v="0"/>
    <x v="1"/>
    <x v="0"/>
    <n v="150"/>
    <s v="S12_2823"/>
    <x v="6"/>
    <s v="20.16.1555"/>
    <s v="184, chausse de Tournai"/>
    <s v=""/>
    <s v="Lille"/>
    <s v=""/>
    <s v="59000"/>
    <x v="1"/>
    <s v="EMEA"/>
    <s v="Rance"/>
    <s v="Martine"/>
    <s v="Martine, Rance"/>
    <s v="Medium"/>
  </r>
  <r>
    <n v="10237"/>
    <n v="32"/>
    <n v="100"/>
    <n v="3200"/>
    <n v="3200"/>
    <n v="6"/>
    <s v="4/5/2004 0:00"/>
    <x v="0"/>
    <x v="1"/>
    <x v="8"/>
    <x v="1"/>
    <x v="0"/>
    <n v="150"/>
    <s v="S12_2823"/>
    <x v="11"/>
    <s v="2125551500"/>
    <s v="2678 Kingston Rd."/>
    <s v="Suite 101"/>
    <s v="NYC"/>
    <s v="NY"/>
    <s v="10022"/>
    <x v="0"/>
    <s v="NA"/>
    <s v="Frick"/>
    <s v="Michael"/>
    <s v="Michael, Frick"/>
    <s v="Medium"/>
  </r>
  <r>
    <n v="10251"/>
    <n v="46"/>
    <n v="100"/>
    <n v="4600"/>
    <n v="4600"/>
    <n v="1"/>
    <s v="5/18/2004 0:00"/>
    <x v="0"/>
    <x v="1"/>
    <x v="1"/>
    <x v="1"/>
    <x v="0"/>
    <n v="150"/>
    <s v="S12_2823"/>
    <x v="12"/>
    <s v="2015559350"/>
    <s v="7476 Moss Rd."/>
    <s v=""/>
    <s v="Newark"/>
    <s v="NJ"/>
    <s v="94019"/>
    <x v="0"/>
    <s v="NA"/>
    <s v="Brown"/>
    <s v="William"/>
    <s v="William, Brown"/>
    <s v="Large"/>
  </r>
  <r>
    <n v="10263"/>
    <n v="48"/>
    <n v="100"/>
    <n v="4800"/>
    <n v="4800"/>
    <n v="1"/>
    <s v="6/28/2004 0:00"/>
    <x v="0"/>
    <x v="1"/>
    <x v="9"/>
    <x v="1"/>
    <x v="0"/>
    <n v="150"/>
    <s v="S12_2823"/>
    <x v="13"/>
    <s v="2035552570"/>
    <s v="25593 South Bay Ln."/>
    <s v=""/>
    <s v="Bridgewater"/>
    <s v="CT"/>
    <s v="97562"/>
    <x v="0"/>
    <s v="NA"/>
    <s v="King"/>
    <s v="Julie"/>
    <s v="Julie, King"/>
    <s v="Medium"/>
  </r>
  <r>
    <n v="10276"/>
    <n v="43"/>
    <n v="100"/>
    <n v="4300"/>
    <n v="4300"/>
    <n v="14"/>
    <s v="8/2/2004 0:00"/>
    <x v="0"/>
    <x v="2"/>
    <x v="3"/>
    <x v="1"/>
    <x v="0"/>
    <n v="150"/>
    <s v="S12_2823"/>
    <x v="71"/>
    <s v="6175557555"/>
    <s v="7635 Spinnaker Dr."/>
    <s v=""/>
    <s v="Brickhaven"/>
    <s v="MA"/>
    <s v="58339"/>
    <x v="0"/>
    <s v="NA"/>
    <s v="Barajas"/>
    <s v="Miguel"/>
    <s v="Miguel, Barajas"/>
    <s v="Medium"/>
  </r>
  <r>
    <n v="10285"/>
    <n v="49"/>
    <n v="100"/>
    <n v="4900"/>
    <n v="4900"/>
    <n v="5"/>
    <s v="8/27/2004 0:00"/>
    <x v="0"/>
    <x v="2"/>
    <x v="3"/>
    <x v="1"/>
    <x v="0"/>
    <n v="150"/>
    <s v="S12_2823"/>
    <x v="15"/>
    <s v="6175558555"/>
    <s v="39323 Spinnaker Dr."/>
    <s v=""/>
    <s v="Cambridge"/>
    <s v="MA"/>
    <s v="51247"/>
    <x v="0"/>
    <s v="NA"/>
    <s v="Hernandez"/>
    <s v="Marta"/>
    <s v="Marta, Hernandez"/>
    <s v="Medium"/>
  </r>
  <r>
    <n v="10299"/>
    <n v="24"/>
    <n v="100"/>
    <n v="2400"/>
    <n v="2400"/>
    <n v="8"/>
    <s v="9/30/2004 0:00"/>
    <x v="0"/>
    <x v="2"/>
    <x v="10"/>
    <x v="1"/>
    <x v="0"/>
    <n v="150"/>
    <s v="S12_2823"/>
    <x v="16"/>
    <s v="90-224 8555"/>
    <s v="Keskuskatu 45"/>
    <s v=""/>
    <s v="Helsinki"/>
    <s v=""/>
    <s v="21240"/>
    <x v="4"/>
    <s v="EMEA"/>
    <s v="Karttunen"/>
    <s v="Matti"/>
    <s v="Matti, Karttunen"/>
    <s v="Medium"/>
  </r>
  <r>
    <n v="10309"/>
    <n v="26"/>
    <n v="100"/>
    <n v="2600"/>
    <n v="2600"/>
    <n v="4"/>
    <s v="10/15/2004 0:00"/>
    <x v="0"/>
    <x v="3"/>
    <x v="4"/>
    <x v="1"/>
    <x v="0"/>
    <n v="150"/>
    <s v="S12_2823"/>
    <x v="17"/>
    <s v="07-98 9555"/>
    <s v="Erling Skakkes gate 78"/>
    <s v=""/>
    <s v="Stavern"/>
    <s v=""/>
    <s v="4110"/>
    <x v="2"/>
    <s v="EMEA"/>
    <s v="Bergulfsen"/>
    <s v="Jonas"/>
    <s v="Jonas, Bergulfsen"/>
    <s v="Medium"/>
  </r>
  <r>
    <n v="10319"/>
    <n v="30"/>
    <n v="100"/>
    <n v="3000"/>
    <n v="3000"/>
    <n v="9"/>
    <s v="11/3/2004 0:00"/>
    <x v="0"/>
    <x v="3"/>
    <x v="5"/>
    <x v="1"/>
    <x v="0"/>
    <n v="150"/>
    <s v="S12_2823"/>
    <x v="79"/>
    <s v="2125551957"/>
    <s v="5290 North Pendale Street"/>
    <s v="Suite 200"/>
    <s v="NYC"/>
    <s v="NY"/>
    <s v="10022"/>
    <x v="0"/>
    <s v="NA"/>
    <s v="Kuo"/>
    <s v="Kee"/>
    <s v="Kee, Kuo"/>
    <s v="Medium"/>
  </r>
  <r>
    <n v="10329"/>
    <n v="24"/>
    <n v="100"/>
    <n v="2400"/>
    <n v="2400"/>
    <n v="6"/>
    <s v="11/15/2004 0:00"/>
    <x v="0"/>
    <x v="3"/>
    <x v="5"/>
    <x v="1"/>
    <x v="0"/>
    <n v="150"/>
    <s v="S12_2823"/>
    <x v="0"/>
    <s v="2125557818"/>
    <s v="897 Long Airport Avenue"/>
    <s v=""/>
    <s v="NYC"/>
    <s v="NY"/>
    <s v="10022"/>
    <x v="0"/>
    <s v="NA"/>
    <s v="Yu"/>
    <s v="Kwai"/>
    <s v="Kwai, Yu"/>
    <s v="Medium"/>
  </r>
  <r>
    <n v="10341"/>
    <n v="55"/>
    <n v="100"/>
    <n v="5500"/>
    <n v="5500"/>
    <n v="8"/>
    <s v="11/24/2004 0:00"/>
    <x v="0"/>
    <x v="3"/>
    <x v="5"/>
    <x v="1"/>
    <x v="0"/>
    <n v="150"/>
    <s v="S12_2823"/>
    <x v="19"/>
    <s v="6562-9555"/>
    <s v="Geislweg 14"/>
    <s v=""/>
    <s v="Salzburg"/>
    <s v=""/>
    <s v="5020"/>
    <x v="5"/>
    <s v="EMEA"/>
    <s v="Pipps"/>
    <s v="Georg"/>
    <s v="Georg, Pipps"/>
    <s v="Large"/>
  </r>
  <r>
    <n v="10362"/>
    <n v="22"/>
    <n v="100"/>
    <n v="2200"/>
    <n v="2200"/>
    <n v="1"/>
    <s v="1/5/2005 0:00"/>
    <x v="0"/>
    <x v="0"/>
    <x v="7"/>
    <x v="2"/>
    <x v="0"/>
    <n v="150"/>
    <s v="S12_2823"/>
    <x v="5"/>
    <s v="6505556809"/>
    <s v="9408 Furth Circle"/>
    <s v=""/>
    <s v="Burlingame"/>
    <s v="CA"/>
    <s v="94217"/>
    <x v="0"/>
    <s v="NA"/>
    <s v="Hirano"/>
    <s v="Juri"/>
    <s v="Juri, Hirano"/>
    <s v="Medium"/>
  </r>
  <r>
    <n v="10375"/>
    <n v="49"/>
    <n v="7892"/>
    <n v="386708"/>
    <n v="386708"/>
    <n v="13"/>
    <s v="2/3/2005 0:00"/>
    <x v="0"/>
    <x v="0"/>
    <x v="0"/>
    <x v="2"/>
    <x v="0"/>
    <n v="150"/>
    <s v="S12_2823"/>
    <x v="14"/>
    <s v="40.67.8555"/>
    <s v="67, rue des Cinquante Otages"/>
    <s v=""/>
    <s v="Nantes"/>
    <s v=""/>
    <s v="44000"/>
    <x v="1"/>
    <s v="EMEA"/>
    <s v="Labrune"/>
    <s v="Janine"/>
    <s v="Janine, Labrune"/>
    <s v="Medium"/>
  </r>
  <r>
    <n v="10388"/>
    <n v="44"/>
    <n v="100"/>
    <n v="4400"/>
    <n v="4400"/>
    <n v="6"/>
    <s v="3/3/2005 0:00"/>
    <x v="0"/>
    <x v="0"/>
    <x v="11"/>
    <x v="2"/>
    <x v="0"/>
    <n v="150"/>
    <s v="S12_2823"/>
    <x v="21"/>
    <s v="5085552555"/>
    <s v="1785 First Street"/>
    <s v=""/>
    <s v="New Bedford"/>
    <s v="MA"/>
    <s v="50553"/>
    <x v="0"/>
    <s v="NA"/>
    <s v="Benitez"/>
    <s v="Violeta"/>
    <s v="Violeta, Benitez"/>
    <s v="Medium"/>
  </r>
  <r>
    <n v="10403"/>
    <n v="66"/>
    <n v="100"/>
    <n v="6600"/>
    <n v="6600"/>
    <n v="6"/>
    <s v="4/8/2005 0:00"/>
    <x v="0"/>
    <x v="1"/>
    <x v="8"/>
    <x v="2"/>
    <x v="0"/>
    <n v="150"/>
    <s v="S12_2823"/>
    <x v="22"/>
    <s v="(171) 555-2282"/>
    <s v="Berkeley Gardens 12  Brewery"/>
    <s v=""/>
    <s v="Liverpool"/>
    <s v=""/>
    <s v="WX1 6LT"/>
    <x v="6"/>
    <s v="EMEA"/>
    <s v="Devon"/>
    <s v="Elizabeth"/>
    <s v="Elizabeth, Devon"/>
    <s v="Large"/>
  </r>
  <r>
    <n v="10417"/>
    <n v="21"/>
    <n v="100"/>
    <n v="2100"/>
    <n v="0"/>
    <n v="1"/>
    <s v="5/13/2005 0:00"/>
    <x v="1"/>
    <x v="1"/>
    <x v="1"/>
    <x v="2"/>
    <x v="0"/>
    <n v="150"/>
    <s v="S12_2823"/>
    <x v="23"/>
    <s v="(91) 555 94 44"/>
    <s v="C/ Moralzarzal, 86"/>
    <s v=""/>
    <s v="Madrid"/>
    <s v=""/>
    <s v="28034"/>
    <x v="7"/>
    <s v="EMEA"/>
    <s v="Freyre"/>
    <s v="Diego"/>
    <s v="Diego, Freyre"/>
    <s v="Medium"/>
  </r>
  <r>
    <n v="10104"/>
    <n v="34"/>
    <n v="100"/>
    <n v="3400"/>
    <n v="3400"/>
    <n v="1"/>
    <s v="1/31/2003 0:00"/>
    <x v="0"/>
    <x v="0"/>
    <x v="7"/>
    <x v="0"/>
    <x v="1"/>
    <n v="151"/>
    <s v="S12_3148"/>
    <x v="23"/>
    <s v="(91) 555 94 44"/>
    <s v="C/ Moralzarzal, 86"/>
    <s v=""/>
    <s v="Madrid"/>
    <s v=""/>
    <s v="28034"/>
    <x v="7"/>
    <s v="EMEA"/>
    <s v="Freyre"/>
    <s v="Diego"/>
    <s v="Diego, Freyre"/>
    <s v="Medium"/>
  </r>
  <r>
    <n v="10117"/>
    <n v="43"/>
    <n v="100"/>
    <n v="4300"/>
    <n v="4300"/>
    <n v="10"/>
    <s v="4/16/2003 0:00"/>
    <x v="0"/>
    <x v="1"/>
    <x v="8"/>
    <x v="0"/>
    <x v="1"/>
    <n v="151"/>
    <s v="S12_3148"/>
    <x v="26"/>
    <s v="+65 221 7555"/>
    <s v="Bronz Sok., Bronz Apt. 3/6 Tesvikiye"/>
    <s v=""/>
    <s v="Singapore"/>
    <s v=""/>
    <s v="79903"/>
    <x v="9"/>
    <s v="Japan"/>
    <s v="Natividad"/>
    <s v="Eric"/>
    <s v="Eric, Natividad"/>
    <s v="Medium"/>
  </r>
  <r>
    <n v="10127"/>
    <n v="46"/>
    <n v="100"/>
    <n v="4600"/>
    <n v="4600"/>
    <n v="3"/>
    <s v="6/3/2003 0:00"/>
    <x v="0"/>
    <x v="1"/>
    <x v="9"/>
    <x v="0"/>
    <x v="1"/>
    <n v="151"/>
    <s v="S12_3148"/>
    <x v="74"/>
    <s v="2125557413"/>
    <s v="4092 Furth Circle"/>
    <s v="Suite 400"/>
    <s v="NYC"/>
    <s v="NY"/>
    <s v="10022"/>
    <x v="0"/>
    <s v="NA"/>
    <s v="Young"/>
    <s v="Jeff"/>
    <s v="Jeff, Young"/>
    <s v="Large"/>
  </r>
  <r>
    <n v="10142"/>
    <n v="33"/>
    <n v="100"/>
    <n v="3300"/>
    <n v="3300"/>
    <n v="13"/>
    <s v="8/8/2003 0:00"/>
    <x v="0"/>
    <x v="2"/>
    <x v="3"/>
    <x v="0"/>
    <x v="1"/>
    <n v="151"/>
    <s v="S12_3148"/>
    <x v="39"/>
    <s v="4155551450"/>
    <s v="5677 Strong St."/>
    <s v=""/>
    <s v="San Rafael"/>
    <s v="CA"/>
    <s v="97562"/>
    <x v="0"/>
    <s v="NA"/>
    <s v="Nelson"/>
    <s v="Valarie"/>
    <s v="Valarie, Nelson"/>
    <s v="Medium"/>
  </r>
  <r>
    <n v="10153"/>
    <n v="42"/>
    <n v="100"/>
    <n v="4200"/>
    <n v="4200"/>
    <n v="12"/>
    <s v="9/28/2003 0:00"/>
    <x v="0"/>
    <x v="2"/>
    <x v="10"/>
    <x v="0"/>
    <x v="1"/>
    <n v="151"/>
    <s v="S12_3148"/>
    <x v="23"/>
    <s v="(91) 555 94 44"/>
    <s v="C/ Moralzarzal, 86"/>
    <s v=""/>
    <s v="Madrid"/>
    <s v=""/>
    <s v="28034"/>
    <x v="7"/>
    <s v="EMEA"/>
    <s v="Freyre"/>
    <s v="Diego"/>
    <s v="Diego, Freyre"/>
    <s v="Medium"/>
  </r>
  <r>
    <n v="10165"/>
    <n v="34"/>
    <n v="100"/>
    <n v="3400"/>
    <n v="3400"/>
    <n v="4"/>
    <s v="10/22/2003 0:00"/>
    <x v="0"/>
    <x v="3"/>
    <x v="4"/>
    <x v="0"/>
    <x v="1"/>
    <n v="151"/>
    <s v="S12_3148"/>
    <x v="26"/>
    <s v="+65 221 7555"/>
    <s v="Bronz Sok., Bronz Apt. 3/6 Tesvikiye"/>
    <s v=""/>
    <s v="Singapore"/>
    <s v=""/>
    <s v="79903"/>
    <x v="9"/>
    <s v="Japan"/>
    <s v="Natividad"/>
    <s v="Eric"/>
    <s v="Eric, Natividad"/>
    <s v="Medium"/>
  </r>
  <r>
    <n v="10176"/>
    <n v="47"/>
    <n v="100"/>
    <n v="4700"/>
    <n v="4700"/>
    <n v="3"/>
    <s v="11/6/2003 0:00"/>
    <x v="0"/>
    <x v="3"/>
    <x v="5"/>
    <x v="0"/>
    <x v="1"/>
    <n v="151"/>
    <s v="S12_3148"/>
    <x v="70"/>
    <s v="0522-556555"/>
    <s v="Strada Provinciale 124"/>
    <s v=""/>
    <s v="Reggio Emilia"/>
    <s v=""/>
    <s v="42100"/>
    <x v="12"/>
    <s v="EMEA"/>
    <s v="Moroni"/>
    <s v="Maurizio"/>
    <s v="Maurizio, Moroni"/>
    <s v="Large"/>
  </r>
  <r>
    <n v="10185"/>
    <n v="33"/>
    <n v="100"/>
    <n v="3300"/>
    <n v="3300"/>
    <n v="14"/>
    <s v="11/14/2003 0:00"/>
    <x v="0"/>
    <x v="3"/>
    <x v="5"/>
    <x v="0"/>
    <x v="1"/>
    <n v="151"/>
    <s v="S12_3148"/>
    <x v="50"/>
    <s v="5085559555"/>
    <s v="4575 Hillside Dr."/>
    <s v=""/>
    <s v="New Bedford"/>
    <s v="MA"/>
    <s v="50553"/>
    <x v="0"/>
    <s v="NA"/>
    <s v="Tam"/>
    <s v="Wing C"/>
    <s v="Wing C, Tam"/>
    <s v="Medium"/>
  </r>
  <r>
    <n v="10196"/>
    <n v="24"/>
    <n v="100"/>
    <n v="2400"/>
    <n v="2400"/>
    <n v="6"/>
    <s v="11/26/2003 0:00"/>
    <x v="0"/>
    <x v="3"/>
    <x v="5"/>
    <x v="0"/>
    <x v="1"/>
    <n v="151"/>
    <s v="S12_3148"/>
    <x v="34"/>
    <s v="2035559545"/>
    <s v="567 North Pendale Street"/>
    <s v=""/>
    <s v="New Haven"/>
    <s v="CT"/>
    <s v="97823"/>
    <x v="0"/>
    <s v="NA"/>
    <s v="Murphy"/>
    <s v="Leslie"/>
    <s v="Leslie, Murphy"/>
    <s v="Medium"/>
  </r>
  <r>
    <n v="10208"/>
    <n v="26"/>
    <n v="100"/>
    <n v="2600"/>
    <n v="2600"/>
    <n v="14"/>
    <s v="1/2/2004 0:00"/>
    <x v="0"/>
    <x v="0"/>
    <x v="7"/>
    <x v="1"/>
    <x v="1"/>
    <n v="151"/>
    <s v="S12_3148"/>
    <x v="30"/>
    <s v="78.32.5555"/>
    <s v="2, rue du Commerce"/>
    <s v=""/>
    <s v="Lyon"/>
    <s v=""/>
    <s v="69004"/>
    <x v="1"/>
    <s v="EMEA"/>
    <s v="Saveley"/>
    <s v="Mary"/>
    <s v="Mary, Saveley"/>
    <s v="Medium"/>
  </r>
  <r>
    <n v="10220"/>
    <n v="30"/>
    <n v="100"/>
    <n v="3000"/>
    <n v="3000"/>
    <n v="3"/>
    <s v="2/12/2004 0:00"/>
    <x v="0"/>
    <x v="0"/>
    <x v="0"/>
    <x v="1"/>
    <x v="1"/>
    <n v="151"/>
    <s v="S12_3148"/>
    <x v="75"/>
    <s v="+353 1862 1555"/>
    <s v="25 Maiden Lane"/>
    <s v="Floor No. 4"/>
    <s v="Dublin"/>
    <s v=""/>
    <s v="2"/>
    <x v="18"/>
    <s v="EMEA"/>
    <s v="Cassidy"/>
    <s v="Dean"/>
    <s v="Dean, Cassidy"/>
    <s v="Medium"/>
  </r>
  <r>
    <n v="10230"/>
    <n v="43"/>
    <n v="100"/>
    <n v="4300"/>
    <n v="4300"/>
    <n v="1"/>
    <s v="3/15/2004 0:00"/>
    <x v="0"/>
    <x v="0"/>
    <x v="11"/>
    <x v="1"/>
    <x v="1"/>
    <n v="151"/>
    <s v="S12_3148"/>
    <x v="72"/>
    <s v="+49 69 66 90 2555"/>
    <s v="Lyonerstr. 34"/>
    <s v=""/>
    <s v="Frankfurt"/>
    <s v=""/>
    <s v="60528"/>
    <x v="16"/>
    <s v="EMEA"/>
    <s v="Keitel"/>
    <s v="Roland"/>
    <s v="Roland, Keitel"/>
    <s v="Large"/>
  </r>
  <r>
    <n v="10247"/>
    <n v="25"/>
    <n v="100"/>
    <n v="2500"/>
    <n v="2500"/>
    <n v="3"/>
    <s v="5/5/2004 0:00"/>
    <x v="0"/>
    <x v="1"/>
    <x v="1"/>
    <x v="1"/>
    <x v="1"/>
    <n v="151"/>
    <s v="S12_3148"/>
    <x v="73"/>
    <s v="+358 9 8045 555"/>
    <s v="Software Engineering Center, SEC Oy"/>
    <s v=""/>
    <s v="Espoo"/>
    <s v=""/>
    <s v="FIN-02271"/>
    <x v="4"/>
    <s v="EMEA"/>
    <s v="Suominen"/>
    <s v="Kalle"/>
    <s v="Kalle, Suominen"/>
    <s v="Medium"/>
  </r>
  <r>
    <n v="10272"/>
    <n v="27"/>
    <n v="100"/>
    <n v="2700"/>
    <n v="2700"/>
    <n v="3"/>
    <s v="7/20/2004 0:00"/>
    <x v="0"/>
    <x v="2"/>
    <x v="2"/>
    <x v="1"/>
    <x v="1"/>
    <n v="151"/>
    <s v="S12_3148"/>
    <x v="18"/>
    <s v="2155551555"/>
    <s v="7586 Pompton St."/>
    <s v=""/>
    <s v="Allentown"/>
    <s v="PA"/>
    <s v="70267"/>
    <x v="0"/>
    <s v="NA"/>
    <s v="Yu"/>
    <s v="Kyung"/>
    <s v="Kyung, Yu"/>
    <s v="Medium"/>
  </r>
  <r>
    <n v="10282"/>
    <n v="27"/>
    <n v="100"/>
    <n v="2700"/>
    <n v="2700"/>
    <n v="6"/>
    <s v="8/20/2004 0:00"/>
    <x v="0"/>
    <x v="2"/>
    <x v="3"/>
    <x v="1"/>
    <x v="1"/>
    <n v="151"/>
    <s v="S12_3148"/>
    <x v="39"/>
    <s v="4155551450"/>
    <s v="5677 Strong St."/>
    <s v=""/>
    <s v="San Rafael"/>
    <s v="CA"/>
    <s v="97562"/>
    <x v="0"/>
    <s v="NA"/>
    <s v="Nelson"/>
    <s v="Valarie"/>
    <s v="Valarie, Nelson"/>
    <s v="Medium"/>
  </r>
  <r>
    <n v="10293"/>
    <n v="24"/>
    <n v="100"/>
    <n v="2400"/>
    <n v="2400"/>
    <n v="9"/>
    <s v="9/9/2004 0:00"/>
    <x v="0"/>
    <x v="2"/>
    <x v="10"/>
    <x v="1"/>
    <x v="1"/>
    <n v="151"/>
    <s v="S12_3148"/>
    <x v="36"/>
    <s v="011-4988555"/>
    <s v="Via Monte Bianco 34"/>
    <s v=""/>
    <s v="Torino"/>
    <s v=""/>
    <s v="10100"/>
    <x v="12"/>
    <s v="EMEA"/>
    <s v="Accorti"/>
    <s v="Paolo"/>
    <s v="Paolo, Accorti"/>
    <s v="Medium"/>
  </r>
  <r>
    <n v="10306"/>
    <n v="34"/>
    <n v="100"/>
    <n v="3400"/>
    <n v="3400"/>
    <n v="14"/>
    <s v="10/14/2004 0:00"/>
    <x v="0"/>
    <x v="3"/>
    <x v="4"/>
    <x v="1"/>
    <x v="1"/>
    <n v="151"/>
    <s v="S12_3148"/>
    <x v="77"/>
    <s v="(171) 555-1555"/>
    <s v="Fauntleroy Circus"/>
    <s v=""/>
    <s v="Manchester"/>
    <s v=""/>
    <s v="EC2 5NT"/>
    <x v="6"/>
    <s v="EMEA"/>
    <s v="Ashworth"/>
    <s v="Victoria"/>
    <s v="Victoria, Ashworth"/>
    <s v="Medium"/>
  </r>
  <r>
    <n v="10314"/>
    <n v="46"/>
    <n v="100"/>
    <n v="4600"/>
    <n v="4600"/>
    <n v="6"/>
    <s v="10/22/2004 0:00"/>
    <x v="0"/>
    <x v="3"/>
    <x v="4"/>
    <x v="1"/>
    <x v="1"/>
    <n v="151"/>
    <s v="S12_3148"/>
    <x v="78"/>
    <s v="86 21 3555"/>
    <s v="Smagsloget 45"/>
    <s v=""/>
    <s v="Aaarhus"/>
    <s v=""/>
    <s v="8200"/>
    <x v="13"/>
    <s v="EMEA"/>
    <s v="Ibsen"/>
    <s v="Palle"/>
    <s v="Palle, Ibsen"/>
    <s v="Medium"/>
  </r>
  <r>
    <n v="10324"/>
    <n v="27"/>
    <n v="5433"/>
    <n v="146691"/>
    <n v="146691"/>
    <n v="1"/>
    <s v="11/5/2004 0:00"/>
    <x v="0"/>
    <x v="3"/>
    <x v="5"/>
    <x v="1"/>
    <x v="1"/>
    <n v="151"/>
    <s v="S12_3148"/>
    <x v="11"/>
    <s v="2125551500"/>
    <s v="2678 Kingston Rd."/>
    <s v="Suite 101"/>
    <s v="NYC"/>
    <s v="NY"/>
    <s v="10022"/>
    <x v="0"/>
    <s v="NA"/>
    <s v="Frick"/>
    <s v="Michael"/>
    <s v="Michael, Frick"/>
    <s v="Small"/>
  </r>
  <r>
    <n v="10336"/>
    <n v="33"/>
    <n v="100"/>
    <n v="3300"/>
    <n v="3300"/>
    <n v="11"/>
    <s v="11/20/2004 0:00"/>
    <x v="0"/>
    <x v="3"/>
    <x v="5"/>
    <x v="1"/>
    <x v="1"/>
    <n v="151"/>
    <s v="S12_3148"/>
    <x v="62"/>
    <s v="(1) 42.34.2555"/>
    <s v="265, boulevard Charonne"/>
    <s v=""/>
    <s v="Paris"/>
    <s v=""/>
    <s v="75012"/>
    <x v="1"/>
    <s v="EMEA"/>
    <s v="Bertrand"/>
    <s v="Marie"/>
    <s v="Marie, Bertrand"/>
    <s v="Medium"/>
  </r>
  <r>
    <n v="10348"/>
    <n v="47"/>
    <n v="100"/>
    <n v="4700"/>
    <n v="4700"/>
    <n v="4"/>
    <s v="11/1/2004 0:00"/>
    <x v="0"/>
    <x v="3"/>
    <x v="5"/>
    <x v="1"/>
    <x v="1"/>
    <n v="151"/>
    <s v="S12_3148"/>
    <x v="25"/>
    <s v="(91) 555 22 82"/>
    <s v="C/ Araquil, 67"/>
    <s v=""/>
    <s v="Madrid"/>
    <s v=""/>
    <s v="28023"/>
    <x v="7"/>
    <s v="EMEA"/>
    <s v="Sommer"/>
    <s v="Mart¡n"/>
    <s v="Mart¡n, Sommer"/>
    <s v="Medium"/>
  </r>
  <r>
    <n v="10358"/>
    <n v="49"/>
    <n v="5534"/>
    <n v="271166"/>
    <n v="271166"/>
    <n v="5"/>
    <s v="12/10/2004 0:00"/>
    <x v="0"/>
    <x v="3"/>
    <x v="6"/>
    <x v="1"/>
    <x v="1"/>
    <n v="151"/>
    <s v="S12_3148"/>
    <x v="23"/>
    <s v="(91) 555 94 44"/>
    <s v="C/ Moralzarzal, 86"/>
    <s v=""/>
    <s v="Madrid"/>
    <s v=""/>
    <s v="28034"/>
    <x v="7"/>
    <s v="EMEA"/>
    <s v="Freyre"/>
    <s v="Diego"/>
    <s v="Diego, Freyre"/>
    <s v="Small"/>
  </r>
  <r>
    <n v="10372"/>
    <n v="40"/>
    <n v="100"/>
    <n v="4000"/>
    <n v="4000"/>
    <n v="4"/>
    <s v="1/26/2005 0:00"/>
    <x v="0"/>
    <x v="0"/>
    <x v="7"/>
    <x v="2"/>
    <x v="1"/>
    <n v="151"/>
    <s v="S12_3148"/>
    <x v="35"/>
    <s v="+81 3 3584 0555"/>
    <s v="2-2-8 Roppongi"/>
    <s v=""/>
    <s v="Minato-ku"/>
    <s v="Tokyo"/>
    <s v="106-0032"/>
    <x v="11"/>
    <s v="Japan"/>
    <s v="Shimamura"/>
    <s v="Akiko"/>
    <s v="Akiko, Shimamura"/>
    <s v="Medium"/>
  </r>
  <r>
    <n v="10382"/>
    <n v="37"/>
    <n v="100"/>
    <n v="3700"/>
    <n v="3700"/>
    <n v="11"/>
    <s v="2/17/2005 0:00"/>
    <x v="0"/>
    <x v="0"/>
    <x v="0"/>
    <x v="2"/>
    <x v="1"/>
    <n v="151"/>
    <s v="S12_3148"/>
    <x v="39"/>
    <s v="4155551450"/>
    <s v="5677 Strong St."/>
    <s v=""/>
    <s v="San Rafael"/>
    <s v="CA"/>
    <s v="97562"/>
    <x v="0"/>
    <s v="NA"/>
    <s v="Nelson"/>
    <s v="Valarie"/>
    <s v="Valarie, Nelson"/>
    <s v="Medium"/>
  </r>
  <r>
    <n v="10413"/>
    <n v="47"/>
    <n v="100"/>
    <n v="4700"/>
    <n v="4700"/>
    <n v="3"/>
    <s v="5/5/2005 0:00"/>
    <x v="0"/>
    <x v="1"/>
    <x v="1"/>
    <x v="2"/>
    <x v="1"/>
    <n v="151"/>
    <s v="S12_3148"/>
    <x v="13"/>
    <s v="2035552570"/>
    <s v="25593 South Bay Ln."/>
    <s v=""/>
    <s v="Bridgewater"/>
    <s v="CT"/>
    <s v="97562"/>
    <x v="0"/>
    <s v="NA"/>
    <s v="King"/>
    <s v="Julie"/>
    <s v="Julie, King"/>
    <s v="Large"/>
  </r>
  <r>
    <n v="10108"/>
    <n v="45"/>
    <n v="100"/>
    <n v="4500"/>
    <n v="4500"/>
    <n v="4"/>
    <s v="3/3/2003 0:00"/>
    <x v="0"/>
    <x v="0"/>
    <x v="11"/>
    <x v="0"/>
    <x v="1"/>
    <n v="117"/>
    <s v="S12_3380"/>
    <x v="66"/>
    <s v="+63 2 555 3587"/>
    <s v="15 McCallum Street - NatWest Center #13-03"/>
    <s v=""/>
    <s v="Makati City"/>
    <s v=""/>
    <s v="1227 MM"/>
    <x v="15"/>
    <s v="Japan"/>
    <s v="Cruz"/>
    <s v="Arnold"/>
    <s v="Arnold, Cruz"/>
    <s v="Medium"/>
  </r>
  <r>
    <n v="10122"/>
    <n v="37"/>
    <n v="9982"/>
    <n v="369334"/>
    <n v="369334"/>
    <n v="8"/>
    <s v="5/8/2003 0:00"/>
    <x v="0"/>
    <x v="1"/>
    <x v="1"/>
    <x v="0"/>
    <x v="1"/>
    <n v="117"/>
    <s v="S12_3380"/>
    <x v="67"/>
    <s v="91.24.4555"/>
    <s v="12, rue des Bouchers"/>
    <s v=""/>
    <s v="Marseille"/>
    <s v=""/>
    <s v="13008"/>
    <x v="1"/>
    <s v="EMEA"/>
    <s v="Lebihan"/>
    <s v="Laurence"/>
    <s v="Laurence, Lebihan"/>
    <s v="Medium"/>
  </r>
  <r>
    <n v="10135"/>
    <n v="48"/>
    <n v="100"/>
    <n v="4800"/>
    <n v="4800"/>
    <n v="5"/>
    <s v="7/2/2003 0:00"/>
    <x v="0"/>
    <x v="2"/>
    <x v="2"/>
    <x v="0"/>
    <x v="1"/>
    <n v="117"/>
    <s v="S12_3380"/>
    <x v="39"/>
    <s v="4155551450"/>
    <s v="5677 Strong St."/>
    <s v=""/>
    <s v="San Rafael"/>
    <s v="CA"/>
    <s v="97562"/>
    <x v="0"/>
    <s v="NA"/>
    <s v="Nelson"/>
    <s v="Valarie"/>
    <s v="Valarie, Nelson"/>
    <s v="Medium"/>
  </r>
  <r>
    <n v="10147"/>
    <n v="31"/>
    <n v="100"/>
    <n v="3100"/>
    <n v="3100"/>
    <n v="5"/>
    <s v="9/5/2003 0:00"/>
    <x v="0"/>
    <x v="2"/>
    <x v="10"/>
    <x v="0"/>
    <x v="1"/>
    <n v="117"/>
    <s v="S12_3380"/>
    <x v="41"/>
    <s v="6175558555"/>
    <s v="7825 Douglas Av."/>
    <s v=""/>
    <s v="Brickhaven"/>
    <s v="MA"/>
    <s v="58339"/>
    <x v="0"/>
    <s v="NA"/>
    <s v="Nelson"/>
    <s v="Allen"/>
    <s v="Allen, Nelson"/>
    <s v="Medium"/>
  </r>
  <r>
    <n v="10160"/>
    <n v="46"/>
    <n v="100"/>
    <n v="4600"/>
    <n v="4600"/>
    <n v="6"/>
    <s v="10/11/2003 0:00"/>
    <x v="0"/>
    <x v="3"/>
    <x v="4"/>
    <x v="0"/>
    <x v="1"/>
    <n v="117"/>
    <s v="S12_3380"/>
    <x v="54"/>
    <s v="2155554369"/>
    <s v="6047 Douglas Av."/>
    <s v=""/>
    <s v="Los Angeles"/>
    <s v="CA"/>
    <s v=""/>
    <x v="0"/>
    <s v="NA"/>
    <s v="Chandler"/>
    <s v="Michael"/>
    <s v="Michael, Chandler"/>
    <s v="Medium"/>
  </r>
  <r>
    <n v="10170"/>
    <n v="47"/>
    <n v="100"/>
    <n v="4700"/>
    <n v="4700"/>
    <n v="4"/>
    <s v="11/4/2003 0:00"/>
    <x v="0"/>
    <x v="3"/>
    <x v="5"/>
    <x v="0"/>
    <x v="1"/>
    <n v="117"/>
    <s v="S12_3380"/>
    <x v="63"/>
    <s v="7675-3555"/>
    <s v="Kirchgasse 6"/>
    <s v=""/>
    <s v="Graz"/>
    <s v=""/>
    <s v="8010"/>
    <x v="5"/>
    <s v="EMEA"/>
    <s v="Mendel"/>
    <s v="Roland"/>
    <s v="Roland, Mendel"/>
    <s v="Medium"/>
  </r>
  <r>
    <n v="10181"/>
    <n v="28"/>
    <n v="100"/>
    <n v="2800"/>
    <n v="2800"/>
    <n v="12"/>
    <s v="11/12/2003 0:00"/>
    <x v="0"/>
    <x v="3"/>
    <x v="5"/>
    <x v="0"/>
    <x v="1"/>
    <n v="117"/>
    <s v="S12_3380"/>
    <x v="7"/>
    <s v="+47 2267 3215"/>
    <s v="Drammen 121, PR 744 Sentrum"/>
    <s v=""/>
    <s v="Bergen"/>
    <s v=""/>
    <s v="N 5804"/>
    <x v="2"/>
    <s v="EMEA"/>
    <s v="Oeztan"/>
    <s v="Veysel"/>
    <s v="Veysel, Oeztan"/>
    <s v="Small"/>
  </r>
  <r>
    <n v="10191"/>
    <n v="40"/>
    <n v="100"/>
    <n v="4000"/>
    <n v="4000"/>
    <n v="1"/>
    <s v="11/20/2003 0:00"/>
    <x v="0"/>
    <x v="3"/>
    <x v="5"/>
    <x v="0"/>
    <x v="1"/>
    <n v="117"/>
    <s v="S12_3380"/>
    <x v="68"/>
    <s v="0221-5554327"/>
    <s v="Mehrheimerstr. 369"/>
    <s v=""/>
    <s v="Koln"/>
    <s v=""/>
    <s v="50739"/>
    <x v="16"/>
    <s v="EMEA"/>
    <s v="Pfalzheim"/>
    <s v="Henriette"/>
    <s v="Henriette, Pfalzheim"/>
    <s v="Medium"/>
  </r>
  <r>
    <n v="10203"/>
    <n v="20"/>
    <n v="100"/>
    <n v="2000"/>
    <n v="2000"/>
    <n v="6"/>
    <s v="12/2/2003 0:00"/>
    <x v="0"/>
    <x v="3"/>
    <x v="6"/>
    <x v="0"/>
    <x v="1"/>
    <n v="117"/>
    <s v="S12_3380"/>
    <x v="23"/>
    <s v="(91) 555 94 44"/>
    <s v="C/ Moralzarzal, 86"/>
    <s v=""/>
    <s v="Madrid"/>
    <s v=""/>
    <s v="28034"/>
    <x v="7"/>
    <s v="EMEA"/>
    <s v="Freyre"/>
    <s v="Diego"/>
    <s v="Diego, Freyre"/>
    <s v="Small"/>
  </r>
  <r>
    <n v="10212"/>
    <n v="39"/>
    <n v="100"/>
    <n v="3900"/>
    <n v="3900"/>
    <n v="16"/>
    <s v="1/16/2004 0:00"/>
    <x v="0"/>
    <x v="0"/>
    <x v="7"/>
    <x v="1"/>
    <x v="1"/>
    <n v="117"/>
    <s v="S12_3380"/>
    <x v="23"/>
    <s v="(91) 555 94 44"/>
    <s v="C/ Moralzarzal, 86"/>
    <s v=""/>
    <s v="Madrid"/>
    <s v=""/>
    <s v="28034"/>
    <x v="7"/>
    <s v="EMEA"/>
    <s v="Freyre"/>
    <s v="Diego"/>
    <s v="Diego, Freyre"/>
    <s v="Medium"/>
  </r>
  <r>
    <n v="10225"/>
    <n v="25"/>
    <n v="9982"/>
    <n v="249550"/>
    <n v="249550"/>
    <n v="7"/>
    <s v="2/22/2004 0:00"/>
    <x v="0"/>
    <x v="0"/>
    <x v="0"/>
    <x v="1"/>
    <x v="1"/>
    <n v="117"/>
    <s v="S12_3380"/>
    <x v="69"/>
    <s v="0897-034555"/>
    <s v="Grenzacherweg 237"/>
    <s v=""/>
    <s v="Gensve"/>
    <s v=""/>
    <s v="1203"/>
    <x v="17"/>
    <s v="EMEA"/>
    <s v="Holz"/>
    <s v="Michael"/>
    <s v="Michael, Holz"/>
    <s v="Small"/>
  </r>
  <r>
    <n v="10238"/>
    <n v="29"/>
    <n v="100"/>
    <n v="2900"/>
    <n v="2900"/>
    <n v="1"/>
    <s v="4/9/2004 0:00"/>
    <x v="0"/>
    <x v="1"/>
    <x v="8"/>
    <x v="1"/>
    <x v="1"/>
    <n v="117"/>
    <s v="S12_3380"/>
    <x v="48"/>
    <s v="31 12 3555"/>
    <s v="Vinb'ltet 34"/>
    <s v=""/>
    <s v="Kobenhavn"/>
    <s v=""/>
    <s v="1734"/>
    <x v="13"/>
    <s v="EMEA"/>
    <s v="Petersen"/>
    <s v="Jytte"/>
    <s v="Jytte, Petersen"/>
    <s v="Medium"/>
  </r>
  <r>
    <n v="10253"/>
    <n v="22"/>
    <n v="100"/>
    <n v="2200"/>
    <n v="0"/>
    <n v="11"/>
    <s v="6/1/2004 0:00"/>
    <x v="3"/>
    <x v="1"/>
    <x v="9"/>
    <x v="1"/>
    <x v="1"/>
    <n v="117"/>
    <s v="S12_3380"/>
    <x v="22"/>
    <s v="(171) 555-2282"/>
    <s v="Berkeley Gardens 12  Brewery"/>
    <s v=""/>
    <s v="Liverpool"/>
    <s v=""/>
    <s v="WX1 6LT"/>
    <x v="6"/>
    <s v="EMEA"/>
    <s v="Devon"/>
    <s v="Elizabeth"/>
    <s v="Elizabeth, Devon"/>
    <s v="Small"/>
  </r>
  <r>
    <n v="10266"/>
    <n v="22"/>
    <n v="100"/>
    <n v="2200"/>
    <n v="2200"/>
    <n v="12"/>
    <s v="7/6/2004 0:00"/>
    <x v="0"/>
    <x v="2"/>
    <x v="2"/>
    <x v="1"/>
    <x v="1"/>
    <n v="117"/>
    <s v="S12_3380"/>
    <x v="70"/>
    <s v="0522-556555"/>
    <s v="Strada Provinciale 124"/>
    <s v=""/>
    <s v="Reggio Emilia"/>
    <s v=""/>
    <s v="42100"/>
    <x v="12"/>
    <s v="EMEA"/>
    <s v="Moroni"/>
    <s v="Maurizio"/>
    <s v="Maurizio, Moroni"/>
    <s v="Small"/>
  </r>
  <r>
    <n v="10276"/>
    <n v="47"/>
    <n v="100"/>
    <n v="4700"/>
    <n v="4700"/>
    <n v="1"/>
    <s v="8/2/2004 0:00"/>
    <x v="0"/>
    <x v="2"/>
    <x v="3"/>
    <x v="1"/>
    <x v="1"/>
    <n v="117"/>
    <s v="S12_3380"/>
    <x v="71"/>
    <s v="6175557555"/>
    <s v="7635 Spinnaker Dr."/>
    <s v=""/>
    <s v="Brickhaven"/>
    <s v="MA"/>
    <s v="58339"/>
    <x v="0"/>
    <s v="NA"/>
    <s v="Barajas"/>
    <s v="Miguel"/>
    <s v="Miguel, Barajas"/>
    <s v="Medium"/>
  </r>
  <r>
    <n v="10287"/>
    <n v="45"/>
    <n v="100"/>
    <n v="4500"/>
    <n v="4500"/>
    <n v="10"/>
    <s v="8/30/2004 0:00"/>
    <x v="0"/>
    <x v="2"/>
    <x v="3"/>
    <x v="1"/>
    <x v="1"/>
    <n v="117"/>
    <s v="S12_3380"/>
    <x v="69"/>
    <s v="0897-034555"/>
    <s v="Grenzacherweg 237"/>
    <s v=""/>
    <s v="Gensve"/>
    <s v=""/>
    <s v="1203"/>
    <x v="17"/>
    <s v="EMEA"/>
    <s v="Holz"/>
    <s v="Michael"/>
    <s v="Michael, Holz"/>
    <s v="Medium"/>
  </r>
  <r>
    <n v="10300"/>
    <n v="29"/>
    <n v="100"/>
    <n v="2900"/>
    <n v="2900"/>
    <n v="3"/>
    <s v="10/4/2003 0:00"/>
    <x v="0"/>
    <x v="3"/>
    <x v="4"/>
    <x v="0"/>
    <x v="1"/>
    <n v="117"/>
    <s v="S12_3380"/>
    <x v="72"/>
    <s v="+49 69 66 90 2555"/>
    <s v="Lyonerstr. 34"/>
    <s v=""/>
    <s v="Frankfurt"/>
    <s v=""/>
    <s v="60528"/>
    <x v="16"/>
    <s v="EMEA"/>
    <s v="Keitel"/>
    <s v="Roland"/>
    <s v="Roland, Keitel"/>
    <s v="Medium"/>
  </r>
  <r>
    <n v="10310"/>
    <n v="24"/>
    <n v="100"/>
    <n v="2400"/>
    <n v="2400"/>
    <n v="8"/>
    <s v="10/16/2004 0:00"/>
    <x v="0"/>
    <x v="3"/>
    <x v="4"/>
    <x v="1"/>
    <x v="1"/>
    <n v="117"/>
    <s v="S12_3380"/>
    <x v="68"/>
    <s v="0221-5554327"/>
    <s v="Mehrheimerstr. 369"/>
    <s v=""/>
    <s v="Koln"/>
    <s v=""/>
    <s v="50739"/>
    <x v="16"/>
    <s v="EMEA"/>
    <s v="Pfalzheim"/>
    <s v="Henriette"/>
    <s v="Henriette, Pfalzheim"/>
    <s v="Medium"/>
  </r>
  <r>
    <n v="10320"/>
    <n v="35"/>
    <n v="100"/>
    <n v="3500"/>
    <n v="3500"/>
    <n v="1"/>
    <s v="11/3/2004 0:00"/>
    <x v="0"/>
    <x v="3"/>
    <x v="5"/>
    <x v="1"/>
    <x v="1"/>
    <n v="117"/>
    <s v="S12_3380"/>
    <x v="24"/>
    <s v="0921-12 3555"/>
    <s v="Berguvsv„gen  8"/>
    <s v=""/>
    <s v="Lule"/>
    <s v=""/>
    <s v="S-958 22"/>
    <x v="8"/>
    <s v="EMEA"/>
    <s v="Berglund"/>
    <s v="Christina"/>
    <s v="Christina, Berglund"/>
    <s v="Medium"/>
  </r>
  <r>
    <n v="10329"/>
    <n v="46"/>
    <n v="8363"/>
    <n v="384698"/>
    <n v="384698"/>
    <n v="13"/>
    <s v="11/15/2004 0:00"/>
    <x v="0"/>
    <x v="3"/>
    <x v="5"/>
    <x v="1"/>
    <x v="1"/>
    <n v="117"/>
    <s v="S12_3380"/>
    <x v="0"/>
    <s v="2125557818"/>
    <s v="897 Long Airport Avenue"/>
    <s v=""/>
    <s v="NYC"/>
    <s v="NY"/>
    <s v="10022"/>
    <x v="0"/>
    <s v="NA"/>
    <s v="Yu"/>
    <s v="Kwai"/>
    <s v="Kwai, Yu"/>
    <s v="Medium"/>
  </r>
  <r>
    <n v="10341"/>
    <n v="44"/>
    <n v="9593"/>
    <n v="422092"/>
    <n v="422092"/>
    <n v="1"/>
    <s v="11/24/2004 0:00"/>
    <x v="0"/>
    <x v="3"/>
    <x v="5"/>
    <x v="1"/>
    <x v="1"/>
    <n v="117"/>
    <s v="S12_3380"/>
    <x v="19"/>
    <s v="6562-9555"/>
    <s v="Geislweg 14"/>
    <s v=""/>
    <s v="Salzburg"/>
    <s v=""/>
    <s v="5020"/>
    <x v="5"/>
    <s v="EMEA"/>
    <s v="Pipps"/>
    <s v="Georg"/>
    <s v="Georg, Pipps"/>
    <s v="Medium"/>
  </r>
  <r>
    <n v="10363"/>
    <n v="34"/>
    <n v="9673"/>
    <n v="328882"/>
    <n v="328882"/>
    <n v="4"/>
    <s v="1/6/2005 0:00"/>
    <x v="0"/>
    <x v="0"/>
    <x v="7"/>
    <x v="2"/>
    <x v="1"/>
    <n v="117"/>
    <s v="S12_3380"/>
    <x v="73"/>
    <s v="+358 9 8045 555"/>
    <s v="Software Engineering Center, SEC Oy"/>
    <s v=""/>
    <s v="Espoo"/>
    <s v=""/>
    <s v="FIN-02271"/>
    <x v="4"/>
    <s v="EMEA"/>
    <s v="Suominen"/>
    <s v="Kalle"/>
    <s v="Kalle, Suominen"/>
    <s v="Medium"/>
  </r>
  <r>
    <n v="10376"/>
    <n v="35"/>
    <n v="100"/>
    <n v="3500"/>
    <n v="3500"/>
    <n v="1"/>
    <s v="2/8/2005 0:00"/>
    <x v="0"/>
    <x v="0"/>
    <x v="0"/>
    <x v="2"/>
    <x v="1"/>
    <n v="117"/>
    <s v="S12_3380"/>
    <x v="80"/>
    <s v="3105552373"/>
    <s v="4097 Douglas Av."/>
    <s v=""/>
    <s v="Glendale"/>
    <s v="CA"/>
    <s v="92561"/>
    <x v="0"/>
    <s v="NA"/>
    <s v="Young"/>
    <s v="Leslie"/>
    <s v="Leslie, Young"/>
    <s v="Medium"/>
  </r>
  <r>
    <n v="10389"/>
    <n v="25"/>
    <n v="7238"/>
    <n v="180950"/>
    <n v="180950"/>
    <n v="6"/>
    <s v="3/3/2005 0:00"/>
    <x v="0"/>
    <x v="0"/>
    <x v="11"/>
    <x v="2"/>
    <x v="1"/>
    <n v="117"/>
    <s v="S12_3380"/>
    <x v="37"/>
    <s v="0695-34 6555"/>
    <s v="?kergatan 24"/>
    <s v=""/>
    <s v="Boras"/>
    <s v=""/>
    <s v="S-844 67"/>
    <x v="8"/>
    <s v="EMEA"/>
    <s v="Larsson"/>
    <s v="Maria"/>
    <s v="Maria, Larsson"/>
    <s v="Small"/>
  </r>
  <r>
    <n v="10419"/>
    <n v="10"/>
    <n v="100"/>
    <n v="1000"/>
    <n v="1000"/>
    <n v="11"/>
    <s v="5/17/2005 0:00"/>
    <x v="0"/>
    <x v="1"/>
    <x v="1"/>
    <x v="2"/>
    <x v="1"/>
    <n v="117"/>
    <s v="S12_3380"/>
    <x v="19"/>
    <s v="6562-9555"/>
    <s v="Geislweg 14"/>
    <s v=""/>
    <s v="Salzburg"/>
    <s v=""/>
    <s v="5020"/>
    <x v="5"/>
    <s v="EMEA"/>
    <s v="Pipps"/>
    <s v="Georg"/>
    <s v="Georg, Pipps"/>
    <s v="Small"/>
  </r>
  <r>
    <n v="10105"/>
    <n v="29"/>
    <n v="100"/>
    <n v="2900"/>
    <n v="2900"/>
    <n v="14"/>
    <s v="2/11/2003 0:00"/>
    <x v="0"/>
    <x v="0"/>
    <x v="0"/>
    <x v="0"/>
    <x v="1"/>
    <n v="173"/>
    <s v="S12_3891"/>
    <x v="48"/>
    <s v="31 12 3555"/>
    <s v="Vinb'ltet 34"/>
    <s v=""/>
    <s v="Kobenhavn"/>
    <s v=""/>
    <s v="1734"/>
    <x v="13"/>
    <s v="EMEA"/>
    <s v="Petersen"/>
    <s v="Jytte"/>
    <s v="Jytte, Petersen"/>
    <s v="Medium"/>
  </r>
  <r>
    <n v="10117"/>
    <n v="39"/>
    <n v="100"/>
    <n v="3900"/>
    <n v="3900"/>
    <n v="8"/>
    <s v="4/16/2003 0:00"/>
    <x v="0"/>
    <x v="1"/>
    <x v="8"/>
    <x v="0"/>
    <x v="1"/>
    <n v="173"/>
    <s v="S12_3891"/>
    <x v="26"/>
    <s v="+65 221 7555"/>
    <s v="Bronz Sok., Bronz Apt. 3/6 Tesvikiye"/>
    <s v=""/>
    <s v="Singapore"/>
    <s v=""/>
    <s v="79903"/>
    <x v="9"/>
    <s v="Japan"/>
    <s v="Natividad"/>
    <s v="Eric"/>
    <s v="Eric, Natividad"/>
    <s v="Medium"/>
  </r>
  <r>
    <n v="10127"/>
    <n v="42"/>
    <n v="100"/>
    <n v="4200"/>
    <n v="4200"/>
    <n v="1"/>
    <s v="6/3/2003 0:00"/>
    <x v="0"/>
    <x v="1"/>
    <x v="9"/>
    <x v="0"/>
    <x v="1"/>
    <n v="173"/>
    <s v="S12_3891"/>
    <x v="74"/>
    <s v="2125557413"/>
    <s v="4092 Furth Circle"/>
    <s v="Suite 400"/>
    <s v="NYC"/>
    <s v="NY"/>
    <s v="10022"/>
    <x v="0"/>
    <s v="NA"/>
    <s v="Young"/>
    <s v="Jeff"/>
    <s v="Jeff, Young"/>
    <s v="Large"/>
  </r>
  <r>
    <n v="10142"/>
    <n v="46"/>
    <n v="100"/>
    <n v="4600"/>
    <n v="4600"/>
    <n v="11"/>
    <s v="8/8/2003 0:00"/>
    <x v="0"/>
    <x v="2"/>
    <x v="3"/>
    <x v="0"/>
    <x v="1"/>
    <n v="173"/>
    <s v="S12_3891"/>
    <x v="39"/>
    <s v="4155551450"/>
    <s v="5677 Strong St."/>
    <s v=""/>
    <s v="San Rafael"/>
    <s v="CA"/>
    <s v="97562"/>
    <x v="0"/>
    <s v="NA"/>
    <s v="Nelson"/>
    <s v="Valarie"/>
    <s v="Valarie, Nelson"/>
    <s v="Large"/>
  </r>
  <r>
    <n v="10153"/>
    <n v="49"/>
    <n v="100"/>
    <n v="4900"/>
    <n v="4900"/>
    <n v="10"/>
    <s v="9/28/2003 0:00"/>
    <x v="0"/>
    <x v="2"/>
    <x v="10"/>
    <x v="0"/>
    <x v="1"/>
    <n v="173"/>
    <s v="S12_3891"/>
    <x v="23"/>
    <s v="(91) 555 94 44"/>
    <s v="C/ Moralzarzal, 86"/>
    <s v=""/>
    <s v="Madrid"/>
    <s v=""/>
    <s v="28034"/>
    <x v="7"/>
    <s v="EMEA"/>
    <s v="Freyre"/>
    <s v="Diego"/>
    <s v="Diego, Freyre"/>
    <s v="Large"/>
  </r>
  <r>
    <n v="10165"/>
    <n v="27"/>
    <n v="100"/>
    <n v="2700"/>
    <n v="2700"/>
    <n v="2"/>
    <s v="10/22/2003 0:00"/>
    <x v="0"/>
    <x v="3"/>
    <x v="4"/>
    <x v="0"/>
    <x v="1"/>
    <n v="173"/>
    <s v="S12_3891"/>
    <x v="26"/>
    <s v="+65 221 7555"/>
    <s v="Bronz Sok., Bronz Apt. 3/6 Tesvikiye"/>
    <s v=""/>
    <s v="Singapore"/>
    <s v=""/>
    <s v="79903"/>
    <x v="9"/>
    <s v="Japan"/>
    <s v="Natividad"/>
    <s v="Eric"/>
    <s v="Eric, Natividad"/>
    <s v="Medium"/>
  </r>
  <r>
    <n v="10176"/>
    <n v="50"/>
    <n v="100"/>
    <n v="5000"/>
    <n v="5000"/>
    <n v="1"/>
    <s v="11/6/2003 0:00"/>
    <x v="0"/>
    <x v="3"/>
    <x v="5"/>
    <x v="0"/>
    <x v="1"/>
    <n v="173"/>
    <s v="S12_3891"/>
    <x v="70"/>
    <s v="0522-556555"/>
    <s v="Strada Provinciale 124"/>
    <s v=""/>
    <s v="Reggio Emilia"/>
    <s v=""/>
    <s v="42100"/>
    <x v="12"/>
    <s v="EMEA"/>
    <s v="Moroni"/>
    <s v="Maurizio"/>
    <s v="Maurizio, Moroni"/>
    <s v="Large"/>
  </r>
  <r>
    <n v="10185"/>
    <n v="43"/>
    <n v="100"/>
    <n v="4300"/>
    <n v="4300"/>
    <n v="12"/>
    <s v="11/14/2003 0:00"/>
    <x v="0"/>
    <x v="3"/>
    <x v="5"/>
    <x v="0"/>
    <x v="1"/>
    <n v="173"/>
    <s v="S12_3891"/>
    <x v="50"/>
    <s v="5085559555"/>
    <s v="4575 Hillside Dr."/>
    <s v=""/>
    <s v="New Bedford"/>
    <s v="MA"/>
    <s v="50553"/>
    <x v="0"/>
    <s v="NA"/>
    <s v="Tam"/>
    <s v="Wing C"/>
    <s v="Wing C, Tam"/>
    <s v="Large"/>
  </r>
  <r>
    <n v="10196"/>
    <n v="38"/>
    <n v="100"/>
    <n v="3800"/>
    <n v="3800"/>
    <n v="4"/>
    <s v="11/26/2003 0:00"/>
    <x v="0"/>
    <x v="3"/>
    <x v="5"/>
    <x v="0"/>
    <x v="1"/>
    <n v="173"/>
    <s v="S12_3891"/>
    <x v="34"/>
    <s v="2035559545"/>
    <s v="567 North Pendale Street"/>
    <s v=""/>
    <s v="New Haven"/>
    <s v="CT"/>
    <s v="97823"/>
    <x v="0"/>
    <s v="NA"/>
    <s v="Murphy"/>
    <s v="Leslie"/>
    <s v="Leslie, Murphy"/>
    <s v="Large"/>
  </r>
  <r>
    <n v="10208"/>
    <n v="20"/>
    <n v="100"/>
    <n v="2000"/>
    <n v="2000"/>
    <n v="12"/>
    <s v="1/2/2004 0:00"/>
    <x v="0"/>
    <x v="0"/>
    <x v="7"/>
    <x v="1"/>
    <x v="1"/>
    <n v="173"/>
    <s v="S12_3891"/>
    <x v="30"/>
    <s v="78.32.5555"/>
    <s v="2, rue du Commerce"/>
    <s v=""/>
    <s v="Lyon"/>
    <s v=""/>
    <s v="69004"/>
    <x v="1"/>
    <s v="EMEA"/>
    <s v="Saveley"/>
    <s v="Mary"/>
    <s v="Mary, Saveley"/>
    <s v="Medium"/>
  </r>
  <r>
    <n v="10220"/>
    <n v="27"/>
    <n v="100"/>
    <n v="2700"/>
    <n v="2700"/>
    <n v="1"/>
    <s v="2/12/2004 0:00"/>
    <x v="0"/>
    <x v="0"/>
    <x v="0"/>
    <x v="1"/>
    <x v="1"/>
    <n v="173"/>
    <s v="S12_3891"/>
    <x v="75"/>
    <s v="+353 1862 1555"/>
    <s v="25 Maiden Lane"/>
    <s v="Floor No. 4"/>
    <s v="Dublin"/>
    <s v=""/>
    <s v="2"/>
    <x v="18"/>
    <s v="EMEA"/>
    <s v="Cassidy"/>
    <s v="Dean"/>
    <s v="Dean, Cassidy"/>
    <s v="Medium"/>
  </r>
  <r>
    <n v="10231"/>
    <n v="49"/>
    <n v="100"/>
    <n v="4900"/>
    <n v="4900"/>
    <n v="1"/>
    <s v="3/19/2004 0:00"/>
    <x v="0"/>
    <x v="0"/>
    <x v="11"/>
    <x v="1"/>
    <x v="1"/>
    <n v="173"/>
    <s v="S12_3891"/>
    <x v="76"/>
    <s v="+34 913 728 555"/>
    <s v="Merchants House, 27-30 Merchant's Quay"/>
    <s v=""/>
    <s v="Madrid"/>
    <s v=""/>
    <s v="28023"/>
    <x v="7"/>
    <s v="EMEA"/>
    <s v="Fernandez"/>
    <s v="Jesus"/>
    <s v="Jesus, Fernandez"/>
    <s v="Medium"/>
  </r>
  <r>
    <n v="10247"/>
    <n v="27"/>
    <n v="100"/>
    <n v="2700"/>
    <n v="2700"/>
    <n v="1"/>
    <s v="5/5/2004 0:00"/>
    <x v="0"/>
    <x v="1"/>
    <x v="1"/>
    <x v="1"/>
    <x v="1"/>
    <n v="173"/>
    <s v="S12_3891"/>
    <x v="73"/>
    <s v="+358 9 8045 555"/>
    <s v="Software Engineering Center, SEC Oy"/>
    <s v=""/>
    <s v="Espoo"/>
    <s v=""/>
    <s v="FIN-02271"/>
    <x v="4"/>
    <s v="EMEA"/>
    <s v="Suominen"/>
    <s v="Kalle"/>
    <s v="Kalle, Suominen"/>
    <s v="Medium"/>
  </r>
  <r>
    <n v="10272"/>
    <n v="39"/>
    <n v="100"/>
    <n v="3900"/>
    <n v="3900"/>
    <n v="1"/>
    <s v="7/20/2004 0:00"/>
    <x v="0"/>
    <x v="2"/>
    <x v="2"/>
    <x v="1"/>
    <x v="1"/>
    <n v="173"/>
    <s v="S12_3891"/>
    <x v="18"/>
    <s v="2155551555"/>
    <s v="7586 Pompton St."/>
    <s v=""/>
    <s v="Allentown"/>
    <s v="PA"/>
    <s v="70267"/>
    <x v="0"/>
    <s v="NA"/>
    <s v="Yu"/>
    <s v="Kyung"/>
    <s v="Kyung, Yu"/>
    <s v="Large"/>
  </r>
  <r>
    <n v="10282"/>
    <n v="24"/>
    <n v="100"/>
    <n v="2400"/>
    <n v="2400"/>
    <n v="4"/>
    <s v="8/20/2004 0:00"/>
    <x v="0"/>
    <x v="2"/>
    <x v="3"/>
    <x v="1"/>
    <x v="1"/>
    <n v="173"/>
    <s v="S12_3891"/>
    <x v="39"/>
    <s v="4155551450"/>
    <s v="5677 Strong St."/>
    <s v=""/>
    <s v="San Rafael"/>
    <s v="CA"/>
    <s v="97562"/>
    <x v="0"/>
    <s v="NA"/>
    <s v="Nelson"/>
    <s v="Valarie"/>
    <s v="Valarie, Nelson"/>
    <s v="Medium"/>
  </r>
  <r>
    <n v="10293"/>
    <n v="45"/>
    <n v="100"/>
    <n v="4500"/>
    <n v="4500"/>
    <n v="7"/>
    <s v="9/9/2004 0:00"/>
    <x v="0"/>
    <x v="2"/>
    <x v="10"/>
    <x v="1"/>
    <x v="1"/>
    <n v="173"/>
    <s v="S12_3891"/>
    <x v="36"/>
    <s v="011-4988555"/>
    <s v="Via Monte Bianco 34"/>
    <s v=""/>
    <s v="Torino"/>
    <s v=""/>
    <s v="10100"/>
    <x v="12"/>
    <s v="EMEA"/>
    <s v="Accorti"/>
    <s v="Paolo"/>
    <s v="Paolo, Accorti"/>
    <s v="Large"/>
  </r>
  <r>
    <n v="10306"/>
    <n v="20"/>
    <n v="100"/>
    <n v="2000"/>
    <n v="2000"/>
    <n v="12"/>
    <s v="10/14/2004 0:00"/>
    <x v="0"/>
    <x v="3"/>
    <x v="4"/>
    <x v="1"/>
    <x v="1"/>
    <n v="173"/>
    <s v="S12_3891"/>
    <x v="77"/>
    <s v="(171) 555-1555"/>
    <s v="Fauntleroy Circus"/>
    <s v=""/>
    <s v="Manchester"/>
    <s v=""/>
    <s v="EC2 5NT"/>
    <x v="6"/>
    <s v="EMEA"/>
    <s v="Ashworth"/>
    <s v="Victoria"/>
    <s v="Victoria, Ashworth"/>
    <s v="Medium"/>
  </r>
  <r>
    <n v="10314"/>
    <n v="36"/>
    <n v="100"/>
    <n v="3600"/>
    <n v="3600"/>
    <n v="4"/>
    <s v="10/22/2004 0:00"/>
    <x v="0"/>
    <x v="3"/>
    <x v="4"/>
    <x v="1"/>
    <x v="1"/>
    <n v="173"/>
    <s v="S12_3891"/>
    <x v="78"/>
    <s v="86 21 3555"/>
    <s v="Smagsloget 45"/>
    <s v=""/>
    <s v="Aaarhus"/>
    <s v=""/>
    <s v="8200"/>
    <x v="13"/>
    <s v="EMEA"/>
    <s v="Ibsen"/>
    <s v="Palle"/>
    <s v="Palle, Ibsen"/>
    <s v="Medium"/>
  </r>
  <r>
    <n v="10325"/>
    <n v="24"/>
    <n v="100"/>
    <n v="2400"/>
    <n v="2400"/>
    <n v="1"/>
    <s v="11/5/2004 0:00"/>
    <x v="0"/>
    <x v="3"/>
    <x v="5"/>
    <x v="1"/>
    <x v="1"/>
    <n v="173"/>
    <s v="S12_3891"/>
    <x v="17"/>
    <s v="07-98 9555"/>
    <s v="Erling Skakkes gate 78"/>
    <s v=""/>
    <s v="Stavern"/>
    <s v=""/>
    <s v="4110"/>
    <x v="2"/>
    <s v="EMEA"/>
    <s v="Bergulfsen"/>
    <s v="Jonas"/>
    <s v="Jonas, Bergulfsen"/>
    <s v="Small"/>
  </r>
  <r>
    <n v="10336"/>
    <n v="49"/>
    <n v="6338"/>
    <n v="310562"/>
    <n v="310562"/>
    <n v="1"/>
    <s v="11/20/2004 0:00"/>
    <x v="0"/>
    <x v="3"/>
    <x v="5"/>
    <x v="1"/>
    <x v="1"/>
    <n v="173"/>
    <s v="S12_3891"/>
    <x v="62"/>
    <s v="(1) 42.34.2555"/>
    <s v="265, boulevard Charonne"/>
    <s v=""/>
    <s v="Paris"/>
    <s v=""/>
    <s v="75012"/>
    <x v="1"/>
    <s v="EMEA"/>
    <s v="Bertrand"/>
    <s v="Marie"/>
    <s v="Marie, Bertrand"/>
    <s v="Medium"/>
  </r>
  <r>
    <n v="10349"/>
    <n v="26"/>
    <n v="100"/>
    <n v="2600"/>
    <n v="2600"/>
    <n v="10"/>
    <s v="12/1/2004 0:00"/>
    <x v="0"/>
    <x v="3"/>
    <x v="6"/>
    <x v="1"/>
    <x v="1"/>
    <n v="173"/>
    <s v="S12_3891"/>
    <x v="74"/>
    <s v="2125557413"/>
    <s v="4092 Furth Circle"/>
    <s v="Suite 400"/>
    <s v="NYC"/>
    <s v="NY"/>
    <s v="10022"/>
    <x v="0"/>
    <s v="NA"/>
    <s v="Young"/>
    <s v="Jeff"/>
    <s v="Jeff, Young"/>
    <s v="Medium"/>
  </r>
  <r>
    <n v="10359"/>
    <n v="49"/>
    <n v="6209"/>
    <n v="304241"/>
    <n v="304241"/>
    <n v="5"/>
    <s v="12/15/2004 0:00"/>
    <x v="0"/>
    <x v="3"/>
    <x v="6"/>
    <x v="1"/>
    <x v="1"/>
    <n v="173"/>
    <s v="S12_3891"/>
    <x v="1"/>
    <s v="26.47.1555"/>
    <s v="59 rue de l'Abbaye"/>
    <s v=""/>
    <s v="Reims"/>
    <s v=""/>
    <s v="51100"/>
    <x v="1"/>
    <s v="EMEA"/>
    <s v="Henriot"/>
    <s v="Paul"/>
    <s v="Paul, Henriot"/>
    <s v="Medium"/>
  </r>
  <r>
    <n v="10372"/>
    <n v="34"/>
    <n v="100"/>
    <n v="3400"/>
    <n v="3400"/>
    <n v="1"/>
    <s v="1/26/2005 0:00"/>
    <x v="0"/>
    <x v="0"/>
    <x v="7"/>
    <x v="2"/>
    <x v="1"/>
    <n v="173"/>
    <s v="S12_3891"/>
    <x v="35"/>
    <s v="+81 3 3584 0555"/>
    <s v="2-2-8 Roppongi"/>
    <s v=""/>
    <s v="Minato-ku"/>
    <s v="Tokyo"/>
    <s v="106-0032"/>
    <x v="11"/>
    <s v="Japan"/>
    <s v="Shimamura"/>
    <s v="Akiko"/>
    <s v="Akiko, Shimamura"/>
    <s v="Medium"/>
  </r>
  <r>
    <n v="10382"/>
    <n v="34"/>
    <n v="9535"/>
    <n v="324190"/>
    <n v="324190"/>
    <n v="12"/>
    <s v="2/17/2005 0:00"/>
    <x v="0"/>
    <x v="0"/>
    <x v="0"/>
    <x v="2"/>
    <x v="1"/>
    <n v="173"/>
    <s v="S12_3891"/>
    <x v="39"/>
    <s v="4155551450"/>
    <s v="5677 Strong St."/>
    <s v=""/>
    <s v="San Rafael"/>
    <s v="CA"/>
    <s v="97562"/>
    <x v="0"/>
    <s v="NA"/>
    <s v="Nelson"/>
    <s v="Valarie"/>
    <s v="Valarie, Nelson"/>
    <s v="Medium"/>
  </r>
  <r>
    <n v="10396"/>
    <n v="33"/>
    <n v="100"/>
    <n v="3300"/>
    <n v="3300"/>
    <n v="3"/>
    <s v="3/23/2005 0:00"/>
    <x v="0"/>
    <x v="0"/>
    <x v="11"/>
    <x v="2"/>
    <x v="1"/>
    <n v="173"/>
    <s v="S12_3891"/>
    <x v="39"/>
    <s v="4155551450"/>
    <s v="5677 Strong St."/>
    <s v=""/>
    <s v="San Rafael"/>
    <s v="CA"/>
    <s v="97562"/>
    <x v="0"/>
    <s v="NA"/>
    <s v="Nelson"/>
    <s v="Valarie"/>
    <s v="Valarie, Nelson"/>
    <s v="Medium"/>
  </r>
  <r>
    <n v="10413"/>
    <n v="22"/>
    <n v="100"/>
    <n v="2200"/>
    <n v="2200"/>
    <n v="1"/>
    <s v="5/5/2005 0:00"/>
    <x v="0"/>
    <x v="1"/>
    <x v="1"/>
    <x v="2"/>
    <x v="1"/>
    <n v="173"/>
    <s v="S12_3891"/>
    <x v="13"/>
    <s v="2035552570"/>
    <s v="25593 South Bay Ln."/>
    <s v=""/>
    <s v="Bridgewater"/>
    <s v="CT"/>
    <s v="97562"/>
    <x v="0"/>
    <s v="NA"/>
    <s v="King"/>
    <s v="Julie"/>
    <s v="Julie, King"/>
    <s v="Medium"/>
  </r>
  <r>
    <n v="10108"/>
    <n v="39"/>
    <n v="8938"/>
    <n v="348582"/>
    <n v="348582"/>
    <n v="7"/>
    <s v="3/3/2003 0:00"/>
    <x v="0"/>
    <x v="0"/>
    <x v="11"/>
    <x v="0"/>
    <x v="1"/>
    <n v="79"/>
    <s v="S12_3990"/>
    <x v="66"/>
    <s v="+63 2 555 3587"/>
    <s v="15 McCallum Street - NatWest Center #13-03"/>
    <s v=""/>
    <s v="Makati City"/>
    <s v=""/>
    <s v="1227 MM"/>
    <x v="15"/>
    <s v="Japan"/>
    <s v="Cruz"/>
    <s v="Arnold"/>
    <s v="Arnold, Cruz"/>
    <s v="Medium"/>
  </r>
  <r>
    <n v="10122"/>
    <n v="32"/>
    <n v="6384"/>
    <n v="204288"/>
    <n v="204288"/>
    <n v="11"/>
    <s v="5/8/2003 0:00"/>
    <x v="0"/>
    <x v="1"/>
    <x v="1"/>
    <x v="0"/>
    <x v="1"/>
    <n v="79"/>
    <s v="S12_3990"/>
    <x v="67"/>
    <s v="91.24.4555"/>
    <s v="12, rue des Bouchers"/>
    <s v=""/>
    <s v="Marseille"/>
    <s v=""/>
    <s v="13008"/>
    <x v="1"/>
    <s v="EMEA"/>
    <s v="Lebihan"/>
    <s v="Laurence"/>
    <s v="Laurence, Lebihan"/>
    <s v="Small"/>
  </r>
  <r>
    <n v="10135"/>
    <n v="24"/>
    <n v="7501"/>
    <n v="180024"/>
    <n v="180024"/>
    <n v="8"/>
    <s v="7/2/2003 0:00"/>
    <x v="0"/>
    <x v="2"/>
    <x v="2"/>
    <x v="0"/>
    <x v="1"/>
    <n v="79"/>
    <s v="S12_3990"/>
    <x v="39"/>
    <s v="4155551450"/>
    <s v="5677 Strong St."/>
    <s v=""/>
    <s v="San Rafael"/>
    <s v="CA"/>
    <s v="97562"/>
    <x v="0"/>
    <s v="NA"/>
    <s v="Nelson"/>
    <s v="Valarie"/>
    <s v="Valarie, Nelson"/>
    <s v="Small"/>
  </r>
  <r>
    <n v="10147"/>
    <n v="21"/>
    <n v="6384"/>
    <n v="134064"/>
    <n v="134064"/>
    <n v="8"/>
    <s v="9/5/2003 0:00"/>
    <x v="0"/>
    <x v="2"/>
    <x v="10"/>
    <x v="0"/>
    <x v="1"/>
    <n v="79"/>
    <s v="S12_3990"/>
    <x v="41"/>
    <s v="6175558555"/>
    <s v="7825 Douglas Av."/>
    <s v=""/>
    <s v="Brickhaven"/>
    <s v="MA"/>
    <s v="58339"/>
    <x v="0"/>
    <s v="NA"/>
    <s v="Nelson"/>
    <s v="Allen"/>
    <s v="Allen, Nelson"/>
    <s v="Small"/>
  </r>
  <r>
    <n v="10159"/>
    <n v="24"/>
    <n v="7342"/>
    <n v="176208"/>
    <n v="176208"/>
    <n v="3"/>
    <s v="10/10/2003 0:00"/>
    <x v="0"/>
    <x v="3"/>
    <x v="4"/>
    <x v="0"/>
    <x v="1"/>
    <n v="79"/>
    <s v="S12_3990"/>
    <x v="4"/>
    <s v="6505551386"/>
    <s v="7734 Strong St."/>
    <s v=""/>
    <s v="San Francisco"/>
    <s v="CA"/>
    <s v=""/>
    <x v="0"/>
    <s v="NA"/>
    <s v="Brown"/>
    <s v="Julie"/>
    <s v="Julie, Brown"/>
    <s v="Small"/>
  </r>
  <r>
    <n v="10169"/>
    <n v="36"/>
    <n v="6384"/>
    <n v="229824"/>
    <n v="229824"/>
    <n v="3"/>
    <s v="11/4/2003 0:00"/>
    <x v="0"/>
    <x v="3"/>
    <x v="5"/>
    <x v="0"/>
    <x v="1"/>
    <n v="79"/>
    <s v="S12_3990"/>
    <x v="42"/>
    <s v="02 9936 8555"/>
    <s v="201 Miller Street"/>
    <s v="Level 15"/>
    <s v="North Sydney"/>
    <s v="NSW"/>
    <s v="2060"/>
    <x v="3"/>
    <s v="APAC"/>
    <s v="O'Hara"/>
    <s v="Anna"/>
    <s v="Anna, O'Hara"/>
    <s v="Small"/>
  </r>
  <r>
    <n v="10181"/>
    <n v="20"/>
    <n v="814"/>
    <n v="16280"/>
    <n v="16280"/>
    <n v="15"/>
    <s v="11/12/2003 0:00"/>
    <x v="0"/>
    <x v="3"/>
    <x v="5"/>
    <x v="0"/>
    <x v="1"/>
    <n v="79"/>
    <s v="S12_3990"/>
    <x v="7"/>
    <s v="+47 2267 3215"/>
    <s v="Drammen 121, PR 744 Sentrum"/>
    <s v=""/>
    <s v="Bergen"/>
    <s v=""/>
    <s v="N 5804"/>
    <x v="2"/>
    <s v="EMEA"/>
    <s v="Oeztan"/>
    <s v="Veysel"/>
    <s v="Veysel, Oeztan"/>
    <s v="Small"/>
  </r>
  <r>
    <n v="10191"/>
    <n v="30"/>
    <n v="6464"/>
    <n v="193920"/>
    <n v="193920"/>
    <n v="4"/>
    <s v="11/20/2003 0:00"/>
    <x v="0"/>
    <x v="3"/>
    <x v="5"/>
    <x v="0"/>
    <x v="1"/>
    <n v="79"/>
    <s v="S12_3990"/>
    <x v="68"/>
    <s v="0221-5554327"/>
    <s v="Mehrheimerstr. 369"/>
    <s v=""/>
    <s v="Koln"/>
    <s v=""/>
    <s v="50739"/>
    <x v="16"/>
    <s v="EMEA"/>
    <s v="Pfalzheim"/>
    <s v="Henriette"/>
    <s v="Henriette, Pfalzheim"/>
    <s v="Small"/>
  </r>
  <r>
    <n v="10203"/>
    <n v="44"/>
    <n v="8299"/>
    <n v="365156"/>
    <n v="365156"/>
    <n v="9"/>
    <s v="12/2/2003 0:00"/>
    <x v="0"/>
    <x v="3"/>
    <x v="6"/>
    <x v="0"/>
    <x v="1"/>
    <n v="79"/>
    <s v="S12_3990"/>
    <x v="23"/>
    <s v="(91) 555 94 44"/>
    <s v="C/ Moralzarzal, 86"/>
    <s v=""/>
    <s v="Madrid"/>
    <s v=""/>
    <s v="28034"/>
    <x v="7"/>
    <s v="EMEA"/>
    <s v="Freyre"/>
    <s v="Diego"/>
    <s v="Diego, Freyre"/>
    <s v="Medium"/>
  </r>
  <r>
    <n v="10211"/>
    <n v="28"/>
    <n v="9257"/>
    <n v="259196"/>
    <n v="259196"/>
    <n v="3"/>
    <s v="1/15/2004 0:00"/>
    <x v="0"/>
    <x v="0"/>
    <x v="7"/>
    <x v="1"/>
    <x v="1"/>
    <n v="79"/>
    <s v="S12_3990"/>
    <x v="9"/>
    <s v="(1) 47.55.6555"/>
    <s v="25, rue Lauriston"/>
    <s v=""/>
    <s v="Paris"/>
    <s v=""/>
    <s v="75016"/>
    <x v="1"/>
    <s v="EMEA"/>
    <s v="Perrier"/>
    <s v="Dominique"/>
    <s v="Dominique, Perrier"/>
    <s v="Small"/>
  </r>
  <r>
    <n v="10225"/>
    <n v="37"/>
    <n v="7741"/>
    <n v="286417"/>
    <n v="286417"/>
    <n v="10"/>
    <s v="2/22/2004 0:00"/>
    <x v="0"/>
    <x v="0"/>
    <x v="0"/>
    <x v="1"/>
    <x v="1"/>
    <n v="79"/>
    <s v="S12_3990"/>
    <x v="69"/>
    <s v="0897-034555"/>
    <s v="Grenzacherweg 237"/>
    <s v=""/>
    <s v="Gensve"/>
    <s v=""/>
    <s v="1203"/>
    <x v="17"/>
    <s v="EMEA"/>
    <s v="Holz"/>
    <s v="Michael"/>
    <s v="Michael, Holz"/>
    <s v="Small"/>
  </r>
  <r>
    <n v="10238"/>
    <n v="20"/>
    <n v="7421"/>
    <n v="148420"/>
    <n v="148420"/>
    <n v="4"/>
    <s v="4/9/2004 0:00"/>
    <x v="0"/>
    <x v="1"/>
    <x v="8"/>
    <x v="1"/>
    <x v="1"/>
    <n v="79"/>
    <s v="S12_3990"/>
    <x v="48"/>
    <s v="31 12 3555"/>
    <s v="Vinb'ltet 34"/>
    <s v=""/>
    <s v="Kobenhavn"/>
    <s v=""/>
    <s v="1734"/>
    <x v="13"/>
    <s v="EMEA"/>
    <s v="Petersen"/>
    <s v="Jytte"/>
    <s v="Jytte, Petersen"/>
    <s v="Small"/>
  </r>
  <r>
    <n v="10253"/>
    <n v="25"/>
    <n v="9017"/>
    <n v="225425"/>
    <n v="0"/>
    <n v="14"/>
    <s v="6/1/2004 0:00"/>
    <x v="3"/>
    <x v="1"/>
    <x v="9"/>
    <x v="1"/>
    <x v="1"/>
    <n v="79"/>
    <s v="S12_3990"/>
    <x v="22"/>
    <s v="(171) 555-2282"/>
    <s v="Berkeley Gardens 12  Brewery"/>
    <s v=""/>
    <s v="Liverpool"/>
    <s v=""/>
    <s v="WX1 6LT"/>
    <x v="6"/>
    <s v="EMEA"/>
    <s v="Devon"/>
    <s v="Elizabeth"/>
    <s v="Elizabeth, Devon"/>
    <s v="Small"/>
  </r>
  <r>
    <n v="10266"/>
    <n v="35"/>
    <n v="7661"/>
    <n v="268135"/>
    <n v="268135"/>
    <n v="15"/>
    <s v="7/6/2004 0:00"/>
    <x v="0"/>
    <x v="2"/>
    <x v="2"/>
    <x v="1"/>
    <x v="1"/>
    <n v="79"/>
    <s v="S12_3990"/>
    <x v="70"/>
    <s v="0522-556555"/>
    <s v="Strada Provinciale 124"/>
    <s v=""/>
    <s v="Reggio Emilia"/>
    <s v=""/>
    <s v="42100"/>
    <x v="12"/>
    <s v="EMEA"/>
    <s v="Moroni"/>
    <s v="Maurizio"/>
    <s v="Maurizio, Moroni"/>
    <s v="Small"/>
  </r>
  <r>
    <n v="10276"/>
    <n v="38"/>
    <n v="8379"/>
    <n v="318402"/>
    <n v="318402"/>
    <n v="4"/>
    <s v="8/2/2004 0:00"/>
    <x v="0"/>
    <x v="2"/>
    <x v="3"/>
    <x v="1"/>
    <x v="1"/>
    <n v="79"/>
    <s v="S12_3990"/>
    <x v="71"/>
    <s v="6175557555"/>
    <s v="7635 Spinnaker Dr."/>
    <s v=""/>
    <s v="Brickhaven"/>
    <s v="MA"/>
    <s v="58339"/>
    <x v="0"/>
    <s v="NA"/>
    <s v="Barajas"/>
    <s v="Miguel"/>
    <s v="Miguel, Barajas"/>
    <s v="Medium"/>
  </r>
  <r>
    <n v="10287"/>
    <n v="41"/>
    <n v="6943"/>
    <n v="284663"/>
    <n v="284663"/>
    <n v="13"/>
    <s v="8/30/2004 0:00"/>
    <x v="0"/>
    <x v="2"/>
    <x v="3"/>
    <x v="1"/>
    <x v="1"/>
    <n v="79"/>
    <s v="S12_3990"/>
    <x v="69"/>
    <s v="0897-034555"/>
    <s v="Grenzacherweg 237"/>
    <s v=""/>
    <s v="Gensve"/>
    <s v=""/>
    <s v="1203"/>
    <x v="17"/>
    <s v="EMEA"/>
    <s v="Holz"/>
    <s v="Michael"/>
    <s v="Michael, Holz"/>
    <s v="Small"/>
  </r>
  <r>
    <n v="10300"/>
    <n v="22"/>
    <n v="7661"/>
    <n v="168542"/>
    <n v="168542"/>
    <n v="6"/>
    <s v="10/4/2003 0:00"/>
    <x v="0"/>
    <x v="3"/>
    <x v="4"/>
    <x v="0"/>
    <x v="1"/>
    <n v="79"/>
    <s v="S12_3990"/>
    <x v="72"/>
    <s v="+49 69 66 90 2555"/>
    <s v="Lyonerstr. 34"/>
    <s v=""/>
    <s v="Frankfurt"/>
    <s v=""/>
    <s v="60528"/>
    <x v="16"/>
    <s v="EMEA"/>
    <s v="Keitel"/>
    <s v="Roland"/>
    <s v="Roland, Keitel"/>
    <s v="Small"/>
  </r>
  <r>
    <n v="10310"/>
    <n v="49"/>
    <n v="814"/>
    <n v="39886"/>
    <n v="39886"/>
    <n v="11"/>
    <s v="10/16/2004 0:00"/>
    <x v="0"/>
    <x v="3"/>
    <x v="4"/>
    <x v="1"/>
    <x v="1"/>
    <n v="79"/>
    <s v="S12_3990"/>
    <x v="68"/>
    <s v="0221-5554327"/>
    <s v="Mehrheimerstr. 369"/>
    <s v=""/>
    <s v="Koln"/>
    <s v=""/>
    <s v="50739"/>
    <x v="16"/>
    <s v="EMEA"/>
    <s v="Pfalzheim"/>
    <s v="Henriette"/>
    <s v="Henriette, Pfalzheim"/>
    <s v="Medium"/>
  </r>
  <r>
    <n v="10320"/>
    <n v="38"/>
    <n v="7342"/>
    <n v="278996"/>
    <n v="278996"/>
    <n v="4"/>
    <s v="11/3/2004 0:00"/>
    <x v="0"/>
    <x v="3"/>
    <x v="5"/>
    <x v="1"/>
    <x v="1"/>
    <n v="79"/>
    <s v="S12_3990"/>
    <x v="24"/>
    <s v="0921-12 3555"/>
    <s v="Berguvsv„gen  8"/>
    <s v=""/>
    <s v="Lule"/>
    <s v=""/>
    <s v="S-958 22"/>
    <x v="8"/>
    <s v="EMEA"/>
    <s v="Berglund"/>
    <s v="Christina"/>
    <s v="Christina, Berglund"/>
    <s v="Small"/>
  </r>
  <r>
    <n v="10329"/>
    <n v="33"/>
    <n v="100"/>
    <n v="3300"/>
    <n v="3300"/>
    <n v="14"/>
    <s v="11/15/2004 0:00"/>
    <x v="0"/>
    <x v="3"/>
    <x v="5"/>
    <x v="1"/>
    <x v="1"/>
    <n v="79"/>
    <s v="S12_3990"/>
    <x v="0"/>
    <s v="2125557818"/>
    <s v="897 Long Airport Avenue"/>
    <s v=""/>
    <s v="NYC"/>
    <s v="NY"/>
    <s v="10022"/>
    <x v="0"/>
    <s v="NA"/>
    <s v="Yu"/>
    <s v="Kwai"/>
    <s v="Kwai, Yu"/>
    <s v="Medium"/>
  </r>
  <r>
    <n v="10341"/>
    <n v="36"/>
    <n v="9356"/>
    <n v="336816"/>
    <n v="336816"/>
    <n v="10"/>
    <s v="11/24/2004 0:00"/>
    <x v="0"/>
    <x v="3"/>
    <x v="5"/>
    <x v="1"/>
    <x v="1"/>
    <n v="79"/>
    <s v="S12_3990"/>
    <x v="19"/>
    <s v="6562-9555"/>
    <s v="Geislweg 14"/>
    <s v=""/>
    <s v="Salzburg"/>
    <s v=""/>
    <s v="5020"/>
    <x v="5"/>
    <s v="EMEA"/>
    <s v="Pipps"/>
    <s v="Georg"/>
    <s v="Georg, Pipps"/>
    <s v="Medium"/>
  </r>
  <r>
    <n v="10363"/>
    <n v="34"/>
    <n v="8162"/>
    <n v="277508"/>
    <n v="277508"/>
    <n v="5"/>
    <s v="1/6/2005 0:00"/>
    <x v="0"/>
    <x v="0"/>
    <x v="7"/>
    <x v="2"/>
    <x v="1"/>
    <n v="79"/>
    <s v="S12_3990"/>
    <x v="73"/>
    <s v="+358 9 8045 555"/>
    <s v="Software Engineering Center, SEC Oy"/>
    <s v=""/>
    <s v="Espoo"/>
    <s v=""/>
    <s v="FIN-02271"/>
    <x v="4"/>
    <s v="EMEA"/>
    <s v="Suominen"/>
    <s v="Kalle"/>
    <s v="Kalle, Suominen"/>
    <s v="Small"/>
  </r>
  <r>
    <n v="10377"/>
    <n v="24"/>
    <n v="6783"/>
    <n v="162792"/>
    <n v="162792"/>
    <n v="5"/>
    <s v="2/9/2005 0:00"/>
    <x v="0"/>
    <x v="0"/>
    <x v="0"/>
    <x v="2"/>
    <x v="1"/>
    <n v="79"/>
    <s v="S12_3990"/>
    <x v="16"/>
    <s v="90-224 8555"/>
    <s v="Keskuskatu 45"/>
    <s v=""/>
    <s v="Helsinki"/>
    <s v=""/>
    <s v="21240"/>
    <x v="4"/>
    <s v="EMEA"/>
    <s v="Karttunen"/>
    <s v="Matti"/>
    <s v="Matti, Karttunen"/>
    <s v="Small"/>
  </r>
  <r>
    <n v="10389"/>
    <n v="36"/>
    <n v="7026"/>
    <n v="252936"/>
    <n v="252936"/>
    <n v="7"/>
    <s v="3/3/2005 0:00"/>
    <x v="0"/>
    <x v="0"/>
    <x v="11"/>
    <x v="2"/>
    <x v="1"/>
    <n v="79"/>
    <s v="S12_3990"/>
    <x v="37"/>
    <s v="0695-34 6555"/>
    <s v="?kergatan 24"/>
    <s v=""/>
    <s v="Boras"/>
    <s v=""/>
    <s v="S-844 67"/>
    <x v="8"/>
    <s v="EMEA"/>
    <s v="Larsson"/>
    <s v="Maria"/>
    <s v="Maria, Larsson"/>
    <s v="Small"/>
  </r>
  <r>
    <n v="10419"/>
    <n v="34"/>
    <n v="9017"/>
    <n v="306578"/>
    <n v="306578"/>
    <n v="14"/>
    <s v="5/17/2005 0:00"/>
    <x v="0"/>
    <x v="1"/>
    <x v="1"/>
    <x v="2"/>
    <x v="1"/>
    <n v="79"/>
    <s v="S12_3990"/>
    <x v="19"/>
    <s v="6562-9555"/>
    <s v="Geislweg 14"/>
    <s v=""/>
    <s v="Salzburg"/>
    <s v=""/>
    <s v="5020"/>
    <x v="5"/>
    <s v="EMEA"/>
    <s v="Pipps"/>
    <s v="Georg"/>
    <s v="Georg, Pipps"/>
    <s v="Medium"/>
  </r>
  <r>
    <n v="10104"/>
    <n v="41"/>
    <n v="100"/>
    <n v="4100"/>
    <n v="4100"/>
    <n v="9"/>
    <s v="1/31/2003 0:00"/>
    <x v="0"/>
    <x v="0"/>
    <x v="7"/>
    <x v="0"/>
    <x v="2"/>
    <n v="118"/>
    <s v="S12_4473"/>
    <x v="23"/>
    <s v="(91) 555 94 44"/>
    <s v="C/ Moralzarzal, 86"/>
    <s v=""/>
    <s v="Madrid"/>
    <s v=""/>
    <s v="28034"/>
    <x v="7"/>
    <s v="EMEA"/>
    <s v="Freyre"/>
    <s v="Diego"/>
    <s v="Diego, Freyre"/>
    <s v="Medium"/>
  </r>
  <r>
    <n v="10115"/>
    <n v="46"/>
    <n v="100"/>
    <n v="4600"/>
    <n v="4600"/>
    <n v="5"/>
    <s v="4/4/2003 0:00"/>
    <x v="0"/>
    <x v="1"/>
    <x v="8"/>
    <x v="0"/>
    <x v="2"/>
    <n v="118"/>
    <s v="S12_4473"/>
    <x v="27"/>
    <s v="2125558493"/>
    <s v="5905 Pompton St."/>
    <s v="Suite 750"/>
    <s v="NYC"/>
    <s v="NY"/>
    <s v="10022"/>
    <x v="0"/>
    <s v="NA"/>
    <s v="Hernandez"/>
    <s v="Maria"/>
    <s v="Maria, Hernandez"/>
    <s v="Medium"/>
  </r>
  <r>
    <n v="10127"/>
    <n v="24"/>
    <n v="100"/>
    <n v="2400"/>
    <n v="2400"/>
    <n v="11"/>
    <s v="6/3/2003 0:00"/>
    <x v="0"/>
    <x v="1"/>
    <x v="9"/>
    <x v="0"/>
    <x v="2"/>
    <n v="118"/>
    <s v="S12_4473"/>
    <x v="74"/>
    <s v="2125557413"/>
    <s v="4092 Furth Circle"/>
    <s v="Suite 400"/>
    <s v="NYC"/>
    <s v="NY"/>
    <s v="10022"/>
    <x v="0"/>
    <s v="NA"/>
    <s v="Young"/>
    <s v="Jeff"/>
    <s v="Jeff, Young"/>
    <s v="Small"/>
  </r>
  <r>
    <n v="10141"/>
    <n v="21"/>
    <n v="100"/>
    <n v="2100"/>
    <n v="2100"/>
    <n v="5"/>
    <s v="8/1/2003 0:00"/>
    <x v="0"/>
    <x v="2"/>
    <x v="3"/>
    <x v="0"/>
    <x v="2"/>
    <n v="118"/>
    <s v="S12_4473"/>
    <x v="73"/>
    <s v="+358 9 8045 555"/>
    <s v="Software Engineering Center, SEC Oy"/>
    <s v=""/>
    <s v="Espoo"/>
    <s v=""/>
    <s v="FIN-02271"/>
    <x v="4"/>
    <s v="EMEA"/>
    <s v="Suominen"/>
    <s v="Kalle"/>
    <s v="Kalle, Suominen"/>
    <s v="Small"/>
  </r>
  <r>
    <n v="10151"/>
    <n v="24"/>
    <n v="100"/>
    <n v="2400"/>
    <n v="2400"/>
    <n v="3"/>
    <s v="9/21/2003 0:00"/>
    <x v="0"/>
    <x v="2"/>
    <x v="10"/>
    <x v="0"/>
    <x v="2"/>
    <n v="118"/>
    <s v="S12_4473"/>
    <x v="60"/>
    <s v="981-443655"/>
    <s v="Torikatu 38"/>
    <s v=""/>
    <s v="Oulu"/>
    <s v=""/>
    <s v="90110"/>
    <x v="4"/>
    <s v="EMEA"/>
    <s v="Koskitalo"/>
    <s v="Pirkko"/>
    <s v="Pirkko, Koskitalo"/>
    <s v="Medium"/>
  </r>
  <r>
    <n v="10165"/>
    <n v="48"/>
    <n v="100"/>
    <n v="4800"/>
    <n v="4800"/>
    <n v="12"/>
    <s v="10/22/2003 0:00"/>
    <x v="0"/>
    <x v="3"/>
    <x v="4"/>
    <x v="0"/>
    <x v="2"/>
    <n v="118"/>
    <s v="S12_4473"/>
    <x v="26"/>
    <s v="+65 221 7555"/>
    <s v="Bronz Sok., Bronz Apt. 3/6 Tesvikiye"/>
    <s v=""/>
    <s v="Singapore"/>
    <s v=""/>
    <s v="79903"/>
    <x v="9"/>
    <s v="Japan"/>
    <s v="Natividad"/>
    <s v="Eric"/>
    <s v="Eric, Natividad"/>
    <s v="Medium"/>
  </r>
  <r>
    <n v="10175"/>
    <n v="26"/>
    <n v="100"/>
    <n v="2600"/>
    <n v="2600"/>
    <n v="1"/>
    <s v="11/6/2003 0:00"/>
    <x v="0"/>
    <x v="3"/>
    <x v="5"/>
    <x v="0"/>
    <x v="2"/>
    <n v="118"/>
    <s v="S12_4473"/>
    <x v="49"/>
    <s v="(171) 555-0297"/>
    <s v="35 King George"/>
    <s v=""/>
    <s v="London"/>
    <s v=""/>
    <s v="WX3 6FW"/>
    <x v="6"/>
    <s v="EMEA"/>
    <s v="Brown"/>
    <s v="Ann"/>
    <s v="Ann, Brown"/>
    <s v="Medium"/>
  </r>
  <r>
    <n v="10184"/>
    <n v="37"/>
    <n v="100"/>
    <n v="3700"/>
    <n v="3700"/>
    <n v="6"/>
    <s v="11/14/2003 0:00"/>
    <x v="0"/>
    <x v="3"/>
    <x v="5"/>
    <x v="0"/>
    <x v="2"/>
    <n v="118"/>
    <s v="S12_4473"/>
    <x v="81"/>
    <s v="(95) 555 82 82"/>
    <s v="C/ Romero, 33"/>
    <s v=""/>
    <s v="Sevilla"/>
    <s v=""/>
    <s v="41101"/>
    <x v="7"/>
    <s v="EMEA"/>
    <s v="Roel"/>
    <s v="Jose Pedro"/>
    <s v="Jose Pedro, Roel"/>
    <s v="Medium"/>
  </r>
  <r>
    <n v="10195"/>
    <n v="49"/>
    <n v="100"/>
    <n v="4900"/>
    <n v="4900"/>
    <n v="6"/>
    <s v="11/25/2003 0:00"/>
    <x v="0"/>
    <x v="3"/>
    <x v="5"/>
    <x v="0"/>
    <x v="2"/>
    <n v="118"/>
    <s v="S12_4473"/>
    <x v="47"/>
    <s v="9145554562"/>
    <s v="3758 North Pendale Street"/>
    <s v=""/>
    <s v="White Plains"/>
    <s v="NY"/>
    <s v="24067"/>
    <x v="0"/>
    <s v="NA"/>
    <s v="Frick"/>
    <s v="Steve"/>
    <s v="Steve, Frick"/>
    <s v="Medium"/>
  </r>
  <r>
    <n v="10207"/>
    <n v="34"/>
    <n v="9954"/>
    <n v="338436"/>
    <n v="338436"/>
    <n v="7"/>
    <s v="12/9/2003 0:00"/>
    <x v="0"/>
    <x v="3"/>
    <x v="6"/>
    <x v="0"/>
    <x v="2"/>
    <n v="118"/>
    <s v="S12_4473"/>
    <x v="64"/>
    <s v="6175552555"/>
    <s v="6251 Ingle Ln."/>
    <s v=""/>
    <s v="Boston"/>
    <s v="MA"/>
    <s v="51003"/>
    <x v="0"/>
    <s v="NA"/>
    <s v="Franco"/>
    <s v="Valarie"/>
    <s v="Valarie, Franco"/>
    <s v="Medium"/>
  </r>
  <r>
    <n v="10219"/>
    <n v="48"/>
    <n v="100"/>
    <n v="4800"/>
    <n v="4800"/>
    <n v="2"/>
    <s v="2/10/2004 0:00"/>
    <x v="0"/>
    <x v="0"/>
    <x v="0"/>
    <x v="1"/>
    <x v="2"/>
    <n v="118"/>
    <s v="S12_4473"/>
    <x v="82"/>
    <s v="4155554312"/>
    <s v="2793 Furth Circle"/>
    <s v=""/>
    <s v="Brisbane"/>
    <s v="CA"/>
    <s v="94217"/>
    <x v="0"/>
    <s v="NA"/>
    <s v="Taylor"/>
    <s v="Sue"/>
    <s v="Sue, Taylor"/>
    <s v="Medium"/>
  </r>
  <r>
    <n v="10229"/>
    <n v="36"/>
    <n v="100"/>
    <n v="3600"/>
    <n v="3600"/>
    <n v="1"/>
    <s v="3/11/2004 0:00"/>
    <x v="0"/>
    <x v="0"/>
    <x v="11"/>
    <x v="1"/>
    <x v="2"/>
    <n v="118"/>
    <s v="S12_4473"/>
    <x v="39"/>
    <s v="4155551450"/>
    <s v="5677 Strong St."/>
    <s v=""/>
    <s v="San Rafael"/>
    <s v="CA"/>
    <s v="97562"/>
    <x v="0"/>
    <s v="NA"/>
    <s v="Nelson"/>
    <s v="Valarie"/>
    <s v="Valarie, Nelson"/>
    <s v="Medium"/>
  </r>
  <r>
    <n v="10246"/>
    <n v="46"/>
    <n v="100"/>
    <n v="4600"/>
    <n v="4600"/>
    <n v="5"/>
    <s v="5/5/2004 0:00"/>
    <x v="0"/>
    <x v="1"/>
    <x v="1"/>
    <x v="1"/>
    <x v="2"/>
    <n v="118"/>
    <s v="S12_4473"/>
    <x v="23"/>
    <s v="(91) 555 94 44"/>
    <s v="C/ Moralzarzal, 86"/>
    <s v=""/>
    <s v="Madrid"/>
    <s v=""/>
    <s v="28034"/>
    <x v="7"/>
    <s v="EMEA"/>
    <s v="Freyre"/>
    <s v="Diego"/>
    <s v="Diego, Freyre"/>
    <s v="Medium"/>
  </r>
  <r>
    <n v="10259"/>
    <n v="46"/>
    <n v="100"/>
    <n v="4600"/>
    <n v="4600"/>
    <n v="4"/>
    <s v="6/15/2004 0:00"/>
    <x v="0"/>
    <x v="1"/>
    <x v="9"/>
    <x v="1"/>
    <x v="2"/>
    <n v="118"/>
    <s v="S12_4473"/>
    <x v="65"/>
    <s v="+65 224 1555"/>
    <s v="Village Close - 106 Linden Road Sandown"/>
    <s v="2nd Floor"/>
    <s v="Singapore"/>
    <s v=""/>
    <s v="69045"/>
    <x v="9"/>
    <s v="APAC"/>
    <s v="Victorino"/>
    <s v="Wendy"/>
    <s v="Wendy, Victorino"/>
    <s v="Medium"/>
  </r>
  <r>
    <n v="10271"/>
    <n v="31"/>
    <n v="9717"/>
    <n v="301227"/>
    <n v="301227"/>
    <n v="5"/>
    <s v="7/20/2004 0:00"/>
    <x v="0"/>
    <x v="2"/>
    <x v="2"/>
    <x v="1"/>
    <x v="2"/>
    <n v="118"/>
    <s v="S12_4473"/>
    <x v="39"/>
    <s v="4155551450"/>
    <s v="5677 Strong St."/>
    <s v=""/>
    <s v="San Rafael"/>
    <s v="CA"/>
    <s v="97562"/>
    <x v="0"/>
    <s v="NA"/>
    <s v="Nelson"/>
    <s v="Valarie"/>
    <s v="Valarie, Nelson"/>
    <s v="Medium"/>
  </r>
  <r>
    <n v="10281"/>
    <n v="41"/>
    <n v="100"/>
    <n v="4100"/>
    <n v="4100"/>
    <n v="1"/>
    <s v="8/19/2004 0:00"/>
    <x v="0"/>
    <x v="2"/>
    <x v="3"/>
    <x v="1"/>
    <x v="2"/>
    <n v="118"/>
    <s v="S12_4473"/>
    <x v="18"/>
    <s v="2155551555"/>
    <s v="7586 Pompton St."/>
    <s v=""/>
    <s v="Allentown"/>
    <s v="PA"/>
    <s v="70267"/>
    <x v="0"/>
    <s v="NA"/>
    <s v="Yu"/>
    <s v="Kyung"/>
    <s v="Kyung, Yu"/>
    <s v="Medium"/>
  </r>
  <r>
    <n v="10292"/>
    <n v="21"/>
    <n v="100"/>
    <n v="2100"/>
    <n v="2100"/>
    <n v="8"/>
    <s v="9/8/2004 0:00"/>
    <x v="0"/>
    <x v="2"/>
    <x v="10"/>
    <x v="1"/>
    <x v="2"/>
    <n v="118"/>
    <s v="S12_4473"/>
    <x v="0"/>
    <s v="2125557818"/>
    <s v="897 Long Airport Avenue"/>
    <s v=""/>
    <s v="NYC"/>
    <s v="NY"/>
    <s v="10022"/>
    <x v="0"/>
    <s v="NA"/>
    <s v="Yu"/>
    <s v="Kwai"/>
    <s v="Kwai, Yu"/>
    <s v="Small"/>
  </r>
  <r>
    <n v="10305"/>
    <n v="38"/>
    <n v="100"/>
    <n v="3800"/>
    <n v="3800"/>
    <n v="5"/>
    <s v="10/13/2004 0:00"/>
    <x v="0"/>
    <x v="3"/>
    <x v="4"/>
    <x v="1"/>
    <x v="2"/>
    <n v="118"/>
    <s v="S12_4473"/>
    <x v="15"/>
    <s v="6175558555"/>
    <s v="39323 Spinnaker Dr."/>
    <s v=""/>
    <s v="Cambridge"/>
    <s v="MA"/>
    <s v="51247"/>
    <x v="0"/>
    <s v="NA"/>
    <s v="Hernandez"/>
    <s v="Marta"/>
    <s v="Marta, Hernandez"/>
    <s v="Medium"/>
  </r>
  <r>
    <n v="10314"/>
    <n v="45"/>
    <n v="100"/>
    <n v="4500"/>
    <n v="4500"/>
    <n v="14"/>
    <s v="10/22/2004 0:00"/>
    <x v="0"/>
    <x v="3"/>
    <x v="4"/>
    <x v="1"/>
    <x v="2"/>
    <n v="118"/>
    <s v="S12_4473"/>
    <x v="78"/>
    <s v="86 21 3555"/>
    <s v="Smagsloget 45"/>
    <s v=""/>
    <s v="Aaarhus"/>
    <s v=""/>
    <s v="8200"/>
    <x v="13"/>
    <s v="EMEA"/>
    <s v="Ibsen"/>
    <s v="Palle"/>
    <s v="Palle, Ibsen"/>
    <s v="Medium"/>
  </r>
  <r>
    <n v="10324"/>
    <n v="26"/>
    <n v="5838"/>
    <n v="151788"/>
    <n v="151788"/>
    <n v="7"/>
    <s v="11/5/2004 0:00"/>
    <x v="0"/>
    <x v="3"/>
    <x v="5"/>
    <x v="1"/>
    <x v="2"/>
    <n v="118"/>
    <s v="S12_4473"/>
    <x v="11"/>
    <s v="2125551500"/>
    <s v="2678 Kingston Rd."/>
    <s v="Suite 101"/>
    <s v="NYC"/>
    <s v="NY"/>
    <s v="10022"/>
    <x v="0"/>
    <s v="NA"/>
    <s v="Frick"/>
    <s v="Michael"/>
    <s v="Michael, Frick"/>
    <s v="Small"/>
  </r>
  <r>
    <n v="10336"/>
    <n v="38"/>
    <n v="100"/>
    <n v="3800"/>
    <n v="3800"/>
    <n v="3"/>
    <s v="11/20/2004 0:00"/>
    <x v="0"/>
    <x v="3"/>
    <x v="5"/>
    <x v="1"/>
    <x v="2"/>
    <n v="118"/>
    <s v="S12_4473"/>
    <x v="62"/>
    <s v="(1) 42.34.2555"/>
    <s v="265, boulevard Charonne"/>
    <s v=""/>
    <s v="Paris"/>
    <s v=""/>
    <s v="75012"/>
    <x v="1"/>
    <s v="EMEA"/>
    <s v="Bertrand"/>
    <s v="Marie"/>
    <s v="Marie, Bertrand"/>
    <s v="Medium"/>
  </r>
  <r>
    <n v="10349"/>
    <n v="48"/>
    <n v="100"/>
    <n v="4800"/>
    <n v="4800"/>
    <n v="9"/>
    <s v="12/1/2004 0:00"/>
    <x v="0"/>
    <x v="3"/>
    <x v="6"/>
    <x v="1"/>
    <x v="2"/>
    <n v="118"/>
    <s v="S12_4473"/>
    <x v="74"/>
    <s v="2125557413"/>
    <s v="4092 Furth Circle"/>
    <s v="Suite 400"/>
    <s v="NYC"/>
    <s v="NY"/>
    <s v="10022"/>
    <x v="0"/>
    <s v="NA"/>
    <s v="Young"/>
    <s v="Jeff"/>
    <s v="Jeff, Young"/>
    <s v="Medium"/>
  </r>
  <r>
    <n v="10358"/>
    <n v="42"/>
    <n v="6416"/>
    <n v="269472"/>
    <n v="269472"/>
    <n v="9"/>
    <s v="12/10/2004 0:00"/>
    <x v="0"/>
    <x v="3"/>
    <x v="6"/>
    <x v="1"/>
    <x v="2"/>
    <n v="118"/>
    <s v="S12_4473"/>
    <x v="23"/>
    <s v="(91) 555 94 44"/>
    <s v="C/ Moralzarzal, 86"/>
    <s v=""/>
    <s v="Madrid"/>
    <s v=""/>
    <s v="28034"/>
    <x v="7"/>
    <s v="EMEA"/>
    <s v="Freyre"/>
    <s v="Diego"/>
    <s v="Diego, Freyre"/>
    <s v="Small"/>
  </r>
  <r>
    <n v="10371"/>
    <n v="49"/>
    <n v="3571"/>
    <n v="174979"/>
    <n v="174979"/>
    <n v="4"/>
    <s v="1/23/2005 0:00"/>
    <x v="0"/>
    <x v="0"/>
    <x v="7"/>
    <x v="2"/>
    <x v="2"/>
    <n v="118"/>
    <s v="S12_4473"/>
    <x v="39"/>
    <s v="4155551450"/>
    <s v="5677 Strong St."/>
    <s v=""/>
    <s v="San Rafael"/>
    <s v="CA"/>
    <s v="97562"/>
    <x v="0"/>
    <s v="NA"/>
    <s v="Nelson"/>
    <s v="Valarie"/>
    <s v="Valarie, Nelson"/>
    <s v="Small"/>
  </r>
  <r>
    <n v="10382"/>
    <n v="32"/>
    <n v="6658"/>
    <n v="213056"/>
    <n v="213056"/>
    <n v="13"/>
    <s v="2/17/2005 0:00"/>
    <x v="0"/>
    <x v="0"/>
    <x v="0"/>
    <x v="2"/>
    <x v="2"/>
    <n v="118"/>
    <s v="S12_4473"/>
    <x v="39"/>
    <s v="4155551450"/>
    <s v="5677 Strong St."/>
    <s v=""/>
    <s v="San Rafael"/>
    <s v="CA"/>
    <s v="97562"/>
    <x v="0"/>
    <s v="NA"/>
    <s v="Nelson"/>
    <s v="Valarie"/>
    <s v="Valarie, Nelson"/>
    <s v="Small"/>
  </r>
  <r>
    <n v="10412"/>
    <n v="54"/>
    <n v="100"/>
    <n v="5400"/>
    <n v="5400"/>
    <n v="5"/>
    <s v="5/3/2005 0:00"/>
    <x v="0"/>
    <x v="1"/>
    <x v="1"/>
    <x v="2"/>
    <x v="2"/>
    <n v="118"/>
    <s v="S12_4473"/>
    <x v="23"/>
    <s v="(91) 555 94 44"/>
    <s v="C/ Moralzarzal, 86"/>
    <s v=""/>
    <s v="Madrid"/>
    <s v=""/>
    <s v="28034"/>
    <x v="7"/>
    <s v="EMEA"/>
    <s v="Freyre"/>
    <s v="Diego"/>
    <s v="Diego, Freyre"/>
    <s v="Medium"/>
  </r>
  <r>
    <n v="10425"/>
    <n v="33"/>
    <n v="100"/>
    <n v="3300"/>
    <n v="0"/>
    <n v="4"/>
    <s v="5/31/2005 0:00"/>
    <x v="2"/>
    <x v="1"/>
    <x v="1"/>
    <x v="2"/>
    <x v="2"/>
    <n v="118"/>
    <s v="S12_4473"/>
    <x v="14"/>
    <s v="40.67.8555"/>
    <s v="67, rue des Cinquante Otages"/>
    <s v=""/>
    <s v="Nantes"/>
    <s v=""/>
    <s v="44000"/>
    <x v="1"/>
    <s v="EMEA"/>
    <s v="Labrune"/>
    <s v="Janine"/>
    <s v="Janine, Labrune"/>
    <s v="Medium"/>
  </r>
  <r>
    <n v="10108"/>
    <n v="36"/>
    <n v="100"/>
    <n v="3600"/>
    <n v="3600"/>
    <n v="3"/>
    <s v="3/3/2003 0:00"/>
    <x v="0"/>
    <x v="0"/>
    <x v="11"/>
    <x v="0"/>
    <x v="1"/>
    <n v="115"/>
    <s v="S12_4675"/>
    <x v="66"/>
    <s v="+63 2 555 3587"/>
    <s v="15 McCallum Street - NatWest Center #13-03"/>
    <s v=""/>
    <s v="Makati City"/>
    <s v=""/>
    <s v="1227 MM"/>
    <x v="15"/>
    <s v="Japan"/>
    <s v="Cruz"/>
    <s v="Arnold"/>
    <s v="Arnold, Cruz"/>
    <s v="Medium"/>
  </r>
  <r>
    <n v="10122"/>
    <n v="20"/>
    <n v="100"/>
    <n v="2000"/>
    <n v="2000"/>
    <n v="7"/>
    <s v="5/8/2003 0:00"/>
    <x v="0"/>
    <x v="1"/>
    <x v="1"/>
    <x v="0"/>
    <x v="1"/>
    <n v="115"/>
    <s v="S12_4675"/>
    <x v="67"/>
    <s v="91.24.4555"/>
    <s v="12, rue des Bouchers"/>
    <s v=""/>
    <s v="Marseille"/>
    <s v=""/>
    <s v="13008"/>
    <x v="1"/>
    <s v="EMEA"/>
    <s v="Lebihan"/>
    <s v="Laurence"/>
    <s v="Laurence, Lebihan"/>
    <s v="Small"/>
  </r>
  <r>
    <n v="10135"/>
    <n v="29"/>
    <n v="9789"/>
    <n v="283881"/>
    <n v="283881"/>
    <n v="4"/>
    <s v="7/2/2003 0:00"/>
    <x v="0"/>
    <x v="2"/>
    <x v="2"/>
    <x v="0"/>
    <x v="1"/>
    <n v="115"/>
    <s v="S12_4675"/>
    <x v="39"/>
    <s v="4155551450"/>
    <s v="5677 Strong St."/>
    <s v=""/>
    <s v="San Rafael"/>
    <s v="CA"/>
    <s v="97562"/>
    <x v="0"/>
    <s v="NA"/>
    <s v="Nelson"/>
    <s v="Valarie"/>
    <s v="Valarie, Nelson"/>
    <s v="Small"/>
  </r>
  <r>
    <n v="10147"/>
    <n v="33"/>
    <n v="9789"/>
    <n v="323037"/>
    <n v="323037"/>
    <n v="4"/>
    <s v="9/5/2003 0:00"/>
    <x v="0"/>
    <x v="2"/>
    <x v="10"/>
    <x v="0"/>
    <x v="1"/>
    <n v="115"/>
    <s v="S12_4675"/>
    <x v="41"/>
    <s v="6175558555"/>
    <s v="7825 Douglas Av."/>
    <s v=""/>
    <s v="Brickhaven"/>
    <s v="MA"/>
    <s v="58339"/>
    <x v="0"/>
    <s v="NA"/>
    <s v="Nelson"/>
    <s v="Allen"/>
    <s v="Allen, Nelson"/>
    <s v="Medium"/>
  </r>
  <r>
    <n v="10160"/>
    <n v="50"/>
    <n v="100"/>
    <n v="5000"/>
    <n v="5000"/>
    <n v="5"/>
    <s v="10/11/2003 0:00"/>
    <x v="0"/>
    <x v="3"/>
    <x v="4"/>
    <x v="0"/>
    <x v="1"/>
    <n v="115"/>
    <s v="S12_4675"/>
    <x v="54"/>
    <s v="2155554369"/>
    <s v="6047 Douglas Av."/>
    <s v=""/>
    <s v="Los Angeles"/>
    <s v="CA"/>
    <s v=""/>
    <x v="0"/>
    <s v="NA"/>
    <s v="Chandler"/>
    <s v="Michael"/>
    <s v="Michael, Chandler"/>
    <s v="Medium"/>
  </r>
  <r>
    <n v="10170"/>
    <n v="41"/>
    <n v="100"/>
    <n v="4100"/>
    <n v="4100"/>
    <n v="3"/>
    <s v="11/4/2003 0:00"/>
    <x v="0"/>
    <x v="3"/>
    <x v="5"/>
    <x v="0"/>
    <x v="1"/>
    <n v="115"/>
    <s v="S12_4675"/>
    <x v="63"/>
    <s v="7675-3555"/>
    <s v="Kirchgasse 6"/>
    <s v=""/>
    <s v="Graz"/>
    <s v=""/>
    <s v="8010"/>
    <x v="5"/>
    <s v="EMEA"/>
    <s v="Mendel"/>
    <s v="Roland"/>
    <s v="Roland, Mendel"/>
    <s v="Medium"/>
  </r>
  <r>
    <n v="10181"/>
    <n v="36"/>
    <n v="100"/>
    <n v="3600"/>
    <n v="3600"/>
    <n v="11"/>
    <s v="11/12/2003 0:00"/>
    <x v="0"/>
    <x v="3"/>
    <x v="5"/>
    <x v="0"/>
    <x v="1"/>
    <n v="115"/>
    <s v="S12_4675"/>
    <x v="7"/>
    <s v="+47 2267 3215"/>
    <s v="Drammen 121, PR 744 Sentrum"/>
    <s v=""/>
    <s v="Bergen"/>
    <s v=""/>
    <s v="N 5804"/>
    <x v="2"/>
    <s v="EMEA"/>
    <s v="Oeztan"/>
    <s v="Veysel"/>
    <s v="Veysel, Oeztan"/>
    <s v="Medium"/>
  </r>
  <r>
    <n v="10192"/>
    <n v="27"/>
    <n v="100"/>
    <n v="2700"/>
    <n v="2700"/>
    <n v="16"/>
    <s v="11/20/2003 0:00"/>
    <x v="0"/>
    <x v="3"/>
    <x v="5"/>
    <x v="0"/>
    <x v="1"/>
    <n v="115"/>
    <s v="S12_4675"/>
    <x v="40"/>
    <s v="6035558647"/>
    <s v="2304 Long Airport Avenue"/>
    <s v=""/>
    <s v="Nashua"/>
    <s v="NH"/>
    <s v="62005"/>
    <x v="0"/>
    <s v="NA"/>
    <s v="Young"/>
    <s v="Valarie"/>
    <s v="Valarie, Young"/>
    <s v="Medium"/>
  </r>
  <r>
    <n v="10203"/>
    <n v="47"/>
    <n v="100"/>
    <n v="4700"/>
    <n v="4700"/>
    <n v="5"/>
    <s v="12/2/2003 0:00"/>
    <x v="0"/>
    <x v="3"/>
    <x v="6"/>
    <x v="0"/>
    <x v="1"/>
    <n v="115"/>
    <s v="S12_4675"/>
    <x v="23"/>
    <s v="(91) 555 94 44"/>
    <s v="C/ Moralzarzal, 86"/>
    <s v=""/>
    <s v="Madrid"/>
    <s v=""/>
    <s v="28034"/>
    <x v="7"/>
    <s v="EMEA"/>
    <s v="Freyre"/>
    <s v="Diego"/>
    <s v="Diego, Freyre"/>
    <s v="Medium"/>
  </r>
  <r>
    <n v="10212"/>
    <n v="33"/>
    <n v="100"/>
    <n v="3300"/>
    <n v="3300"/>
    <n v="15"/>
    <s v="1/16/2004 0:00"/>
    <x v="0"/>
    <x v="0"/>
    <x v="7"/>
    <x v="1"/>
    <x v="1"/>
    <n v="115"/>
    <s v="S12_4675"/>
    <x v="23"/>
    <s v="(91) 555 94 44"/>
    <s v="C/ Moralzarzal, 86"/>
    <s v=""/>
    <s v="Madrid"/>
    <s v=""/>
    <s v="28034"/>
    <x v="7"/>
    <s v="EMEA"/>
    <s v="Freyre"/>
    <s v="Diego"/>
    <s v="Diego, Freyre"/>
    <s v="Medium"/>
  </r>
  <r>
    <n v="10225"/>
    <n v="21"/>
    <n v="100"/>
    <n v="2100"/>
    <n v="2100"/>
    <n v="6"/>
    <s v="2/22/2004 0:00"/>
    <x v="0"/>
    <x v="0"/>
    <x v="0"/>
    <x v="1"/>
    <x v="1"/>
    <n v="115"/>
    <s v="S12_4675"/>
    <x v="69"/>
    <s v="0897-034555"/>
    <s v="Grenzacherweg 237"/>
    <s v=""/>
    <s v="Gensve"/>
    <s v=""/>
    <s v="1203"/>
    <x v="17"/>
    <s v="EMEA"/>
    <s v="Holz"/>
    <s v="Michael"/>
    <s v="Michael, Holz"/>
    <s v="Small"/>
  </r>
  <r>
    <n v="10239"/>
    <n v="21"/>
    <n v="9328"/>
    <n v="195888"/>
    <n v="195888"/>
    <n v="5"/>
    <s v="4/12/2004 0:00"/>
    <x v="0"/>
    <x v="1"/>
    <x v="8"/>
    <x v="1"/>
    <x v="1"/>
    <n v="115"/>
    <s v="S12_4675"/>
    <x v="60"/>
    <s v="981-443655"/>
    <s v="Torikatu 38"/>
    <s v=""/>
    <s v="Oulu"/>
    <s v=""/>
    <s v="90110"/>
    <x v="4"/>
    <s v="EMEA"/>
    <s v="Koskitalo"/>
    <s v="Pirkko"/>
    <s v="Pirkko, Koskitalo"/>
    <s v="Small"/>
  </r>
  <r>
    <n v="10253"/>
    <n v="41"/>
    <n v="100"/>
    <n v="4100"/>
    <n v="0"/>
    <n v="10"/>
    <s v="6/1/2004 0:00"/>
    <x v="3"/>
    <x v="1"/>
    <x v="9"/>
    <x v="1"/>
    <x v="1"/>
    <n v="115"/>
    <s v="S12_4675"/>
    <x v="22"/>
    <s v="(171) 555-2282"/>
    <s v="Berkeley Gardens 12  Brewery"/>
    <s v=""/>
    <s v="Liverpool"/>
    <s v=""/>
    <s v="WX1 6LT"/>
    <x v="6"/>
    <s v="EMEA"/>
    <s v="Devon"/>
    <s v="Elizabeth"/>
    <s v="Elizabeth, Devon"/>
    <s v="Medium"/>
  </r>
  <r>
    <n v="10266"/>
    <n v="40"/>
    <n v="100"/>
    <n v="4000"/>
    <n v="4000"/>
    <n v="11"/>
    <s v="7/6/2004 0:00"/>
    <x v="0"/>
    <x v="2"/>
    <x v="2"/>
    <x v="1"/>
    <x v="1"/>
    <n v="115"/>
    <s v="S12_4675"/>
    <x v="70"/>
    <s v="0522-556555"/>
    <s v="Strada Provinciale 124"/>
    <s v=""/>
    <s v="Reggio Emilia"/>
    <s v=""/>
    <s v="42100"/>
    <x v="12"/>
    <s v="EMEA"/>
    <s v="Moroni"/>
    <s v="Maurizio"/>
    <s v="Maurizio, Moroni"/>
    <s v="Medium"/>
  </r>
  <r>
    <n v="10277"/>
    <n v="28"/>
    <n v="100"/>
    <n v="2800"/>
    <n v="2800"/>
    <n v="1"/>
    <s v="8/4/2004 0:00"/>
    <x v="0"/>
    <x v="2"/>
    <x v="3"/>
    <x v="1"/>
    <x v="1"/>
    <n v="115"/>
    <s v="S12_4675"/>
    <x v="26"/>
    <s v="+65 221 7555"/>
    <s v="Bronz Sok., Bronz Apt. 3/6 Tesvikiye"/>
    <s v=""/>
    <s v="Singapore"/>
    <s v=""/>
    <s v="79903"/>
    <x v="9"/>
    <s v="Japan"/>
    <s v="Natividad"/>
    <s v="Eric"/>
    <s v="Eric, Natividad"/>
    <s v="Medium"/>
  </r>
  <r>
    <n v="10287"/>
    <n v="23"/>
    <n v="100"/>
    <n v="2300"/>
    <n v="2300"/>
    <n v="9"/>
    <s v="8/30/2004 0:00"/>
    <x v="0"/>
    <x v="2"/>
    <x v="3"/>
    <x v="1"/>
    <x v="1"/>
    <n v="115"/>
    <s v="S12_4675"/>
    <x v="69"/>
    <s v="0897-034555"/>
    <s v="Grenzacherweg 237"/>
    <s v=""/>
    <s v="Gensve"/>
    <s v=""/>
    <s v="1203"/>
    <x v="17"/>
    <s v="EMEA"/>
    <s v="Holz"/>
    <s v="Michael"/>
    <s v="Michael, Holz"/>
    <s v="Small"/>
  </r>
  <r>
    <n v="10300"/>
    <n v="23"/>
    <n v="100"/>
    <n v="2300"/>
    <n v="2300"/>
    <n v="2"/>
    <s v="10/4/2003 0:00"/>
    <x v="0"/>
    <x v="3"/>
    <x v="4"/>
    <x v="0"/>
    <x v="1"/>
    <n v="115"/>
    <s v="S12_4675"/>
    <x v="72"/>
    <s v="+49 69 66 90 2555"/>
    <s v="Lyonerstr. 34"/>
    <s v=""/>
    <s v="Frankfurt"/>
    <s v=""/>
    <s v="60528"/>
    <x v="16"/>
    <s v="EMEA"/>
    <s v="Keitel"/>
    <s v="Roland"/>
    <s v="Roland, Keitel"/>
    <s v="Small"/>
  </r>
  <r>
    <n v="10310"/>
    <n v="25"/>
    <n v="100"/>
    <n v="2500"/>
    <n v="2500"/>
    <n v="7"/>
    <s v="10/16/2004 0:00"/>
    <x v="0"/>
    <x v="3"/>
    <x v="4"/>
    <x v="1"/>
    <x v="1"/>
    <n v="115"/>
    <s v="S12_4675"/>
    <x v="68"/>
    <s v="0221-5554327"/>
    <s v="Mehrheimerstr. 369"/>
    <s v=""/>
    <s v="Koln"/>
    <s v=""/>
    <s v="50739"/>
    <x v="16"/>
    <s v="EMEA"/>
    <s v="Pfalzheim"/>
    <s v="Henriette"/>
    <s v="Henriette, Pfalzheim"/>
    <s v="Small"/>
  </r>
  <r>
    <n v="10321"/>
    <n v="24"/>
    <n v="100"/>
    <n v="2400"/>
    <n v="2400"/>
    <n v="15"/>
    <s v="11/4/2004 0:00"/>
    <x v="0"/>
    <x v="3"/>
    <x v="5"/>
    <x v="1"/>
    <x v="1"/>
    <n v="115"/>
    <s v="S12_4675"/>
    <x v="21"/>
    <s v="5085552555"/>
    <s v="1785 First Street"/>
    <s v=""/>
    <s v="New Bedford"/>
    <s v="MA"/>
    <s v="50553"/>
    <x v="0"/>
    <s v="NA"/>
    <s v="Benitez"/>
    <s v="Violeta"/>
    <s v="Violeta, Benitez"/>
    <s v="Small"/>
  </r>
  <r>
    <n v="10329"/>
    <n v="39"/>
    <n v="6474"/>
    <n v="252486"/>
    <n v="252486"/>
    <n v="15"/>
    <s v="11/15/2004 0:00"/>
    <x v="0"/>
    <x v="3"/>
    <x v="5"/>
    <x v="1"/>
    <x v="1"/>
    <n v="115"/>
    <s v="S12_4675"/>
    <x v="0"/>
    <s v="2125557818"/>
    <s v="897 Long Airport Avenue"/>
    <s v=""/>
    <s v="NYC"/>
    <s v="NY"/>
    <s v="10022"/>
    <x v="0"/>
    <s v="NA"/>
    <s v="Yu"/>
    <s v="Kwai"/>
    <s v="Kwai, Yu"/>
    <s v="Small"/>
  </r>
  <r>
    <n v="10341"/>
    <n v="55"/>
    <n v="752"/>
    <n v="41360"/>
    <n v="41360"/>
    <n v="7"/>
    <s v="11/24/2004 0:00"/>
    <x v="0"/>
    <x v="3"/>
    <x v="5"/>
    <x v="1"/>
    <x v="1"/>
    <n v="115"/>
    <s v="S12_4675"/>
    <x v="19"/>
    <s v="6562-9555"/>
    <s v="Geislweg 14"/>
    <s v=""/>
    <s v="Salzburg"/>
    <s v=""/>
    <s v="5020"/>
    <x v="5"/>
    <s v="EMEA"/>
    <s v="Pipps"/>
    <s v="Georg"/>
    <s v="Georg, Pipps"/>
    <s v="Medium"/>
  </r>
  <r>
    <n v="10363"/>
    <n v="46"/>
    <n v="8845"/>
    <n v="406870"/>
    <n v="406870"/>
    <n v="6"/>
    <s v="1/6/2005 0:00"/>
    <x v="0"/>
    <x v="0"/>
    <x v="7"/>
    <x v="2"/>
    <x v="1"/>
    <n v="115"/>
    <s v="S12_4675"/>
    <x v="73"/>
    <s v="+358 9 8045 555"/>
    <s v="Software Engineering Center, SEC Oy"/>
    <s v=""/>
    <s v="Espoo"/>
    <s v=""/>
    <s v="FIN-02271"/>
    <x v="4"/>
    <s v="EMEA"/>
    <s v="Suominen"/>
    <s v="Kalle"/>
    <s v="Kalle, Suominen"/>
    <s v="Medium"/>
  </r>
  <r>
    <n v="10377"/>
    <n v="50"/>
    <n v="100"/>
    <n v="5000"/>
    <n v="5000"/>
    <n v="1"/>
    <s v="2/9/2005 0:00"/>
    <x v="0"/>
    <x v="0"/>
    <x v="0"/>
    <x v="2"/>
    <x v="1"/>
    <n v="115"/>
    <s v="S12_4675"/>
    <x v="16"/>
    <s v="90-224 8555"/>
    <s v="Keskuskatu 45"/>
    <s v=""/>
    <s v="Helsinki"/>
    <s v=""/>
    <s v="21240"/>
    <x v="4"/>
    <s v="EMEA"/>
    <s v="Karttunen"/>
    <s v="Matti"/>
    <s v="Matti, Karttunen"/>
    <s v="Medium"/>
  </r>
  <r>
    <n v="10389"/>
    <n v="47"/>
    <n v="100"/>
    <n v="4700"/>
    <n v="4700"/>
    <n v="8"/>
    <s v="3/3/2005 0:00"/>
    <x v="0"/>
    <x v="0"/>
    <x v="11"/>
    <x v="2"/>
    <x v="1"/>
    <n v="115"/>
    <s v="S12_4675"/>
    <x v="37"/>
    <s v="0695-34 6555"/>
    <s v="?kergatan 24"/>
    <s v=""/>
    <s v="Boras"/>
    <s v=""/>
    <s v="S-844 67"/>
    <x v="8"/>
    <s v="EMEA"/>
    <s v="Larsson"/>
    <s v="Maria"/>
    <s v="Maria, Larsson"/>
    <s v="Medium"/>
  </r>
  <r>
    <n v="10405"/>
    <n v="97"/>
    <n v="9328"/>
    <n v="904816"/>
    <n v="904816"/>
    <n v="5"/>
    <s v="4/14/2005 0:00"/>
    <x v="0"/>
    <x v="1"/>
    <x v="8"/>
    <x v="2"/>
    <x v="1"/>
    <n v="115"/>
    <s v="S12_4675"/>
    <x v="83"/>
    <s v="88.60.1555"/>
    <s v="24, place Kluber"/>
    <s v=""/>
    <s v="Strasbourg"/>
    <s v=""/>
    <s v="67000"/>
    <x v="1"/>
    <s v="EMEA"/>
    <s v="Citeaux"/>
    <s v="Frederique"/>
    <s v="Frederique, Citeaux"/>
    <s v="Large"/>
  </r>
  <r>
    <n v="10419"/>
    <n v="32"/>
    <n v="100"/>
    <n v="3200"/>
    <n v="3200"/>
    <n v="10"/>
    <s v="5/17/2005 0:00"/>
    <x v="0"/>
    <x v="1"/>
    <x v="1"/>
    <x v="2"/>
    <x v="1"/>
    <n v="115"/>
    <s v="S12_4675"/>
    <x v="19"/>
    <s v="6562-9555"/>
    <s v="Geislweg 14"/>
    <s v=""/>
    <s v="Salzburg"/>
    <s v=""/>
    <s v="5020"/>
    <x v="5"/>
    <s v="EMEA"/>
    <s v="Pipps"/>
    <s v="Georg"/>
    <s v="Georg, Pipps"/>
    <s v="Medium"/>
  </r>
  <r>
    <n v="10103"/>
    <n v="35"/>
    <n v="100"/>
    <n v="3500"/>
    <n v="3500"/>
    <n v="10"/>
    <s v="1/29/2003 0:00"/>
    <x v="0"/>
    <x v="0"/>
    <x v="7"/>
    <x v="0"/>
    <x v="2"/>
    <n v="116"/>
    <s v="S18_1097"/>
    <x v="17"/>
    <s v="07-98 9555"/>
    <s v="Erling Skakkes gate 78"/>
    <s v=""/>
    <s v="Stavern"/>
    <s v=""/>
    <s v="4110"/>
    <x v="2"/>
    <s v="EMEA"/>
    <s v="Bergulfsen"/>
    <s v="Jonas"/>
    <s v="Jonas, Bergulfsen"/>
    <s v="Medium"/>
  </r>
  <r>
    <n v="10113"/>
    <n v="49"/>
    <n v="100"/>
    <n v="4900"/>
    <n v="4900"/>
    <n v="4"/>
    <s v="3/26/2003 0:00"/>
    <x v="0"/>
    <x v="0"/>
    <x v="11"/>
    <x v="0"/>
    <x v="2"/>
    <n v="116"/>
    <s v="S18_1097"/>
    <x v="39"/>
    <s v="4155551450"/>
    <s v="5677 Strong St."/>
    <s v=""/>
    <s v="San Rafael"/>
    <s v="CA"/>
    <s v="97562"/>
    <x v="0"/>
    <s v="NA"/>
    <s v="Nelson"/>
    <s v="Valarie"/>
    <s v="Valarie, Nelson"/>
    <s v="Medium"/>
  </r>
  <r>
    <n v="10126"/>
    <n v="38"/>
    <n v="100"/>
    <n v="3800"/>
    <n v="3800"/>
    <n v="10"/>
    <s v="5/28/2003 0:00"/>
    <x v="0"/>
    <x v="1"/>
    <x v="1"/>
    <x v="0"/>
    <x v="2"/>
    <n v="116"/>
    <s v="S18_1097"/>
    <x v="25"/>
    <s v="(91) 555 22 82"/>
    <s v="C/ Araquil, 67"/>
    <s v=""/>
    <s v="Madrid"/>
    <s v=""/>
    <s v="28023"/>
    <x v="7"/>
    <s v="EMEA"/>
    <s v="Sommer"/>
    <s v="Mart¡n"/>
    <s v="Mart¡n, Sommer"/>
    <s v="Medium"/>
  </r>
  <r>
    <n v="10140"/>
    <n v="32"/>
    <n v="100"/>
    <n v="3200"/>
    <n v="3200"/>
    <n v="10"/>
    <s v="7/24/2003 0:00"/>
    <x v="0"/>
    <x v="2"/>
    <x v="2"/>
    <x v="0"/>
    <x v="2"/>
    <n v="116"/>
    <s v="S18_1097"/>
    <x v="5"/>
    <s v="6505556809"/>
    <s v="9408 Furth Circle"/>
    <s v=""/>
    <s v="Burlingame"/>
    <s v="CA"/>
    <s v="94217"/>
    <x v="0"/>
    <s v="NA"/>
    <s v="Hirano"/>
    <s v="Juri"/>
    <s v="Juri, Hirano"/>
    <s v="Medium"/>
  </r>
  <r>
    <n v="10150"/>
    <n v="34"/>
    <n v="100"/>
    <n v="3400"/>
    <n v="3400"/>
    <n v="7"/>
    <s v="9/19/2003 0:00"/>
    <x v="0"/>
    <x v="2"/>
    <x v="10"/>
    <x v="0"/>
    <x v="2"/>
    <n v="116"/>
    <s v="S18_1097"/>
    <x v="26"/>
    <s v="+65 221 7555"/>
    <s v="Bronz Sok., Bronz Apt. 3/6 Tesvikiye"/>
    <s v=""/>
    <s v="Singapore"/>
    <s v=""/>
    <s v="79903"/>
    <x v="9"/>
    <s v="Japan"/>
    <s v="Natividad"/>
    <s v="Eric"/>
    <s v="Eric, Natividad"/>
    <s v="Medium"/>
  </r>
  <r>
    <n v="10164"/>
    <n v="36"/>
    <n v="9917"/>
    <n v="357012"/>
    <n v="357012"/>
    <n v="8"/>
    <s v="10/21/2003 0:00"/>
    <x v="5"/>
    <x v="3"/>
    <x v="4"/>
    <x v="0"/>
    <x v="2"/>
    <n v="116"/>
    <s v="S18_1097"/>
    <x v="63"/>
    <s v="7675-3555"/>
    <s v="Kirchgasse 6"/>
    <s v=""/>
    <s v="Graz"/>
    <s v=""/>
    <s v="8010"/>
    <x v="5"/>
    <s v="EMEA"/>
    <s v="Mendel"/>
    <s v="Roland"/>
    <s v="Roland, Mendel"/>
    <s v="Medium"/>
  </r>
  <r>
    <n v="10174"/>
    <n v="48"/>
    <n v="9334"/>
    <n v="448032"/>
    <n v="448032"/>
    <n v="3"/>
    <s v="11/6/2003 0:00"/>
    <x v="0"/>
    <x v="3"/>
    <x v="5"/>
    <x v="0"/>
    <x v="2"/>
    <n v="116"/>
    <s v="S18_1097"/>
    <x v="28"/>
    <s v="61-7-3844-6555"/>
    <s v="31 Duncan St. West End"/>
    <s v=""/>
    <s v="South Brisbane"/>
    <s v="Queensland"/>
    <s v="4101"/>
    <x v="3"/>
    <s v="APAC"/>
    <s v="Calaghan"/>
    <s v="Tony"/>
    <s v="Tony, Calaghan"/>
    <s v="Medium"/>
  </r>
  <r>
    <n v="10183"/>
    <n v="21"/>
    <n v="9684"/>
    <n v="203364"/>
    <n v="203364"/>
    <n v="7"/>
    <s v="11/13/2003 0:00"/>
    <x v="0"/>
    <x v="3"/>
    <x v="5"/>
    <x v="0"/>
    <x v="2"/>
    <n v="116"/>
    <s v="S18_1097"/>
    <x v="29"/>
    <s v="2155554695"/>
    <s v="782 First Street"/>
    <s v=""/>
    <s v="Philadelphia"/>
    <s v="PA"/>
    <s v="71270"/>
    <x v="0"/>
    <s v="NA"/>
    <s v="Cervantes"/>
    <s v="Francisca"/>
    <s v="Francisca, Cervantes"/>
    <s v="Small"/>
  </r>
  <r>
    <n v="10194"/>
    <n v="21"/>
    <n v="9334"/>
    <n v="196014"/>
    <n v="196014"/>
    <n v="10"/>
    <s v="11/25/2003 0:00"/>
    <x v="0"/>
    <x v="3"/>
    <x v="5"/>
    <x v="0"/>
    <x v="2"/>
    <n v="116"/>
    <s v="S18_1097"/>
    <x v="30"/>
    <s v="78.32.5555"/>
    <s v="2, rue du Commerce"/>
    <s v=""/>
    <s v="Lyon"/>
    <s v=""/>
    <s v="69004"/>
    <x v="1"/>
    <s v="EMEA"/>
    <s v="Saveley"/>
    <s v="Mary"/>
    <s v="Mary, Saveley"/>
    <s v="Small"/>
  </r>
  <r>
    <n v="10206"/>
    <n v="34"/>
    <n v="100"/>
    <n v="3400"/>
    <n v="3400"/>
    <n v="5"/>
    <s v="12/5/2003 0:00"/>
    <x v="0"/>
    <x v="3"/>
    <x v="6"/>
    <x v="0"/>
    <x v="2"/>
    <n v="116"/>
    <s v="S18_1097"/>
    <x v="31"/>
    <s v="(604) 555-3392"/>
    <s v="1900 Oak St."/>
    <s v=""/>
    <s v="Vancouver"/>
    <s v="BC"/>
    <s v="V3F 2K1"/>
    <x v="10"/>
    <s v="NA"/>
    <s v="Tannamuri"/>
    <s v="Yoshi"/>
    <s v="Yoshi, Tannamuri"/>
    <s v="Medium"/>
  </r>
  <r>
    <n v="10215"/>
    <n v="46"/>
    <n v="100"/>
    <n v="4600"/>
    <n v="4600"/>
    <n v="2"/>
    <s v="1/29/2004 0:00"/>
    <x v="0"/>
    <x v="0"/>
    <x v="7"/>
    <x v="1"/>
    <x v="2"/>
    <n v="116"/>
    <s v="S18_1097"/>
    <x v="32"/>
    <s v="3105553722"/>
    <s v="3675 Furth Circle"/>
    <s v=""/>
    <s v="Burbank"/>
    <s v="CA"/>
    <s v="94019"/>
    <x v="0"/>
    <s v="NA"/>
    <s v="Thompson"/>
    <s v="Steve"/>
    <s v="Steve, Thompson"/>
    <s v="Medium"/>
  </r>
  <r>
    <n v="10228"/>
    <n v="32"/>
    <n v="100"/>
    <n v="3200"/>
    <n v="3200"/>
    <n v="1"/>
    <s v="3/10/2004 0:00"/>
    <x v="0"/>
    <x v="0"/>
    <x v="11"/>
    <x v="1"/>
    <x v="2"/>
    <n v="116"/>
    <s v="S18_1097"/>
    <x v="33"/>
    <s v="6175555555"/>
    <s v="4658 Baden Av."/>
    <s v=""/>
    <s v="Cambridge"/>
    <s v="MA"/>
    <s v="51247"/>
    <x v="0"/>
    <s v="NA"/>
    <s v="Tseng"/>
    <s v="Kyung"/>
    <s v="Kyung, Tseng"/>
    <s v="Medium"/>
  </r>
  <r>
    <n v="10245"/>
    <n v="29"/>
    <n v="100"/>
    <n v="2900"/>
    <n v="2900"/>
    <n v="8"/>
    <s v="5/4/2004 0:00"/>
    <x v="0"/>
    <x v="1"/>
    <x v="1"/>
    <x v="1"/>
    <x v="2"/>
    <n v="116"/>
    <s v="S18_1097"/>
    <x v="34"/>
    <s v="2035559545"/>
    <s v="567 North Pendale Street"/>
    <s v=""/>
    <s v="New Haven"/>
    <s v="CT"/>
    <s v="97823"/>
    <x v="0"/>
    <s v="NA"/>
    <s v="Murphy"/>
    <s v="Leslie"/>
    <s v="Leslie, Murphy"/>
    <s v="Medium"/>
  </r>
  <r>
    <n v="10258"/>
    <n v="41"/>
    <n v="100"/>
    <n v="4100"/>
    <n v="4100"/>
    <n v="5"/>
    <s v="6/15/2004 0:00"/>
    <x v="0"/>
    <x v="1"/>
    <x v="9"/>
    <x v="1"/>
    <x v="2"/>
    <n v="116"/>
    <s v="S18_1097"/>
    <x v="35"/>
    <s v="+81 3 3584 0555"/>
    <s v="2-2-8 Roppongi"/>
    <s v=""/>
    <s v="Minato-ku"/>
    <s v="Tokyo"/>
    <s v="106-0032"/>
    <x v="11"/>
    <s v="Japan"/>
    <s v="Shimamura"/>
    <s v="Akiko"/>
    <s v="Akiko, Shimamura"/>
    <s v="Medium"/>
  </r>
  <r>
    <n v="10270"/>
    <n v="43"/>
    <n v="9684"/>
    <n v="416412"/>
    <n v="416412"/>
    <n v="8"/>
    <s v="7/19/2004 0:00"/>
    <x v="0"/>
    <x v="2"/>
    <x v="2"/>
    <x v="1"/>
    <x v="2"/>
    <n v="116"/>
    <s v="S18_1097"/>
    <x v="20"/>
    <s v="+61 2 9495 8555"/>
    <s v="Monitor Money Building, 815 Pacific Hwy"/>
    <s v="Level 6"/>
    <s v="Chatswood"/>
    <s v="NSW"/>
    <s v="2067"/>
    <x v="3"/>
    <s v="APAC"/>
    <s v="Huxley"/>
    <s v="Adrian"/>
    <s v="Adrian, Huxley"/>
    <s v="Medium"/>
  </r>
  <r>
    <n v="10280"/>
    <n v="24"/>
    <n v="100"/>
    <n v="2400"/>
    <n v="2400"/>
    <n v="1"/>
    <s v="8/17/2004 0:00"/>
    <x v="0"/>
    <x v="2"/>
    <x v="3"/>
    <x v="1"/>
    <x v="2"/>
    <n v="116"/>
    <s v="S18_1097"/>
    <x v="36"/>
    <s v="011-4988555"/>
    <s v="Via Monte Bianco 34"/>
    <s v=""/>
    <s v="Torino"/>
    <s v=""/>
    <s v="10100"/>
    <x v="12"/>
    <s v="EMEA"/>
    <s v="Accorti"/>
    <s v="Paolo"/>
    <s v="Paolo, Accorti"/>
    <s v="Small"/>
  </r>
  <r>
    <n v="10291"/>
    <n v="41"/>
    <n v="100"/>
    <n v="4100"/>
    <n v="4100"/>
    <n v="10"/>
    <s v="9/8/2004 0:00"/>
    <x v="0"/>
    <x v="2"/>
    <x v="10"/>
    <x v="1"/>
    <x v="2"/>
    <n v="116"/>
    <s v="S18_1097"/>
    <x v="37"/>
    <s v="0695-34 6555"/>
    <s v="?kergatan 24"/>
    <s v=""/>
    <s v="Boras"/>
    <s v=""/>
    <s v="S-844 67"/>
    <x v="8"/>
    <s v="EMEA"/>
    <s v="Larsson"/>
    <s v="Maria"/>
    <s v="Maria, Larsson"/>
    <s v="Medium"/>
  </r>
  <r>
    <n v="10304"/>
    <n v="46"/>
    <n v="98"/>
    <n v="4508"/>
    <n v="4508"/>
    <n v="5"/>
    <s v="10/11/2004 0:00"/>
    <x v="0"/>
    <x v="3"/>
    <x v="4"/>
    <x v="1"/>
    <x v="2"/>
    <n v="116"/>
    <s v="S18_1097"/>
    <x v="38"/>
    <s v="30.59.8555"/>
    <s v="67, avenue de l'Europe"/>
    <s v=""/>
    <s v="Versailles"/>
    <s v=""/>
    <s v="78000"/>
    <x v="1"/>
    <s v="EMEA"/>
    <s v="Tonini"/>
    <s v="Daniel"/>
    <s v="Daniel, Tonini"/>
    <s v="Medium"/>
  </r>
  <r>
    <n v="10312"/>
    <n v="32"/>
    <n v="100"/>
    <n v="3200"/>
    <n v="3200"/>
    <n v="2"/>
    <s v="10/21/2004 0:00"/>
    <x v="0"/>
    <x v="3"/>
    <x v="4"/>
    <x v="1"/>
    <x v="2"/>
    <n v="116"/>
    <s v="S18_1097"/>
    <x v="39"/>
    <s v="4155551450"/>
    <s v="5677 Strong St."/>
    <s v=""/>
    <s v="San Rafael"/>
    <s v="CA"/>
    <s v="97562"/>
    <x v="0"/>
    <s v="NA"/>
    <s v="Nelson"/>
    <s v="Valarie"/>
    <s v="Valarie, Nelson"/>
    <s v="Medium"/>
  </r>
  <r>
    <n v="10322"/>
    <n v="22"/>
    <n v="100"/>
    <n v="2200"/>
    <n v="2200"/>
    <n v="10"/>
    <s v="11/4/2004 0:00"/>
    <x v="0"/>
    <x v="3"/>
    <x v="5"/>
    <x v="1"/>
    <x v="2"/>
    <n v="116"/>
    <s v="S18_1097"/>
    <x v="40"/>
    <s v="6035558647"/>
    <s v="2304 Long Airport Avenue"/>
    <s v=""/>
    <s v="Nashua"/>
    <s v="NH"/>
    <s v="62005"/>
    <x v="0"/>
    <s v="NA"/>
    <s v="Young"/>
    <s v="Valarie"/>
    <s v="Valarie, Young"/>
    <s v="Small"/>
  </r>
  <r>
    <n v="10333"/>
    <n v="29"/>
    <n v="4025"/>
    <n v="116725"/>
    <n v="116725"/>
    <n v="7"/>
    <s v="11/18/2004 0:00"/>
    <x v="0"/>
    <x v="3"/>
    <x v="5"/>
    <x v="1"/>
    <x v="2"/>
    <n v="116"/>
    <s v="S18_1097"/>
    <x v="8"/>
    <s v="6505555787"/>
    <s v="5557 North Pendale Street"/>
    <s v=""/>
    <s v="San Francisco"/>
    <s v="CA"/>
    <s v=""/>
    <x v="0"/>
    <s v="NA"/>
    <s v="Murphy"/>
    <s v="Julie"/>
    <s v="Julie, Murphy"/>
    <s v="Small"/>
  </r>
  <r>
    <n v="10347"/>
    <n v="42"/>
    <n v="496"/>
    <n v="20832"/>
    <n v="20832"/>
    <n v="5"/>
    <s v="11/29/2004 0:00"/>
    <x v="0"/>
    <x v="3"/>
    <x v="5"/>
    <x v="1"/>
    <x v="2"/>
    <n v="116"/>
    <s v="S18_1097"/>
    <x v="10"/>
    <s v="03 9520 4555"/>
    <s v="636 St Kilda Road"/>
    <s v="Level 3"/>
    <s v="Melbourne"/>
    <s v="Victoria"/>
    <s v="3004"/>
    <x v="3"/>
    <s v="APAC"/>
    <s v="Ferguson"/>
    <s v="Peter"/>
    <s v="Peter, Ferguson"/>
    <s v="Small"/>
  </r>
  <r>
    <n v="10357"/>
    <n v="39"/>
    <n v="98"/>
    <n v="3822"/>
    <n v="3822"/>
    <n v="1"/>
    <s v="12/10/2004 0:00"/>
    <x v="0"/>
    <x v="3"/>
    <x v="6"/>
    <x v="1"/>
    <x v="2"/>
    <n v="116"/>
    <s v="S18_1097"/>
    <x v="39"/>
    <s v="4155551450"/>
    <s v="5677 Strong St."/>
    <s v=""/>
    <s v="San Rafael"/>
    <s v="CA"/>
    <s v="97562"/>
    <x v="0"/>
    <s v="NA"/>
    <s v="Nelson"/>
    <s v="Valarie"/>
    <s v="Valarie, Nelson"/>
    <s v="Medium"/>
  </r>
  <r>
    <n v="10370"/>
    <n v="27"/>
    <n v="100"/>
    <n v="2700"/>
    <n v="2700"/>
    <n v="1"/>
    <s v="1/20/2005 0:00"/>
    <x v="0"/>
    <x v="0"/>
    <x v="7"/>
    <x v="2"/>
    <x v="2"/>
    <n v="116"/>
    <s v="S18_1097"/>
    <x v="42"/>
    <s v="02 9936 8555"/>
    <s v="201 Miller Street"/>
    <s v="Level 15"/>
    <s v="North Sydney"/>
    <s v="NSW"/>
    <s v="2060"/>
    <x v="3"/>
    <s v="APAC"/>
    <s v="O'Hara"/>
    <s v="Anna"/>
    <s v="Anna, O'Hara"/>
    <s v="Medium"/>
  </r>
  <r>
    <n v="10381"/>
    <n v="48"/>
    <n v="98"/>
    <n v="4704"/>
    <n v="4704"/>
    <n v="2"/>
    <s v="2/17/2005 0:00"/>
    <x v="0"/>
    <x v="0"/>
    <x v="0"/>
    <x v="2"/>
    <x v="2"/>
    <n v="116"/>
    <s v="S18_1097"/>
    <x v="4"/>
    <s v="6505551386"/>
    <s v="7734 Strong St."/>
    <s v=""/>
    <s v="San Francisco"/>
    <s v="CA"/>
    <s v=""/>
    <x v="0"/>
    <s v="NA"/>
    <s v="Brown"/>
    <s v="Julie"/>
    <s v="Julie, Brown"/>
    <s v="Medium"/>
  </r>
  <r>
    <n v="10391"/>
    <n v="29"/>
    <n v="851"/>
    <n v="24679"/>
    <n v="24679"/>
    <n v="10"/>
    <s v="3/9/2005 0:00"/>
    <x v="0"/>
    <x v="0"/>
    <x v="11"/>
    <x v="2"/>
    <x v="2"/>
    <n v="116"/>
    <s v="S18_1097"/>
    <x v="42"/>
    <s v="02 9936 8555"/>
    <s v="201 Miller Street"/>
    <s v="Level 15"/>
    <s v="North Sydney"/>
    <s v="NSW"/>
    <s v="2060"/>
    <x v="3"/>
    <s v="APAC"/>
    <s v="O'Hara"/>
    <s v="Anna"/>
    <s v="Anna, O'Hara"/>
    <s v="Small"/>
  </r>
  <r>
    <n v="10411"/>
    <n v="27"/>
    <n v="100"/>
    <n v="2700"/>
    <n v="2700"/>
    <n v="8"/>
    <s v="5/1/2005 0:00"/>
    <x v="0"/>
    <x v="1"/>
    <x v="1"/>
    <x v="2"/>
    <x v="2"/>
    <n v="116"/>
    <s v="S18_1097"/>
    <x v="43"/>
    <s v="(514) 555-8054"/>
    <s v="43 rue St. Laurent"/>
    <s v=""/>
    <s v="Montreal"/>
    <s v="Quebec"/>
    <s v="H1J 1C3"/>
    <x v="10"/>
    <s v="NA"/>
    <s v="Fresnisre"/>
    <s v="Jean"/>
    <s v="Jean, Fresnisre"/>
    <s v="Medium"/>
  </r>
  <r>
    <n v="10424"/>
    <n v="54"/>
    <n v="100"/>
    <n v="5400"/>
    <n v="0"/>
    <n v="5"/>
    <s v="5/31/2005 0:00"/>
    <x v="2"/>
    <x v="1"/>
    <x v="1"/>
    <x v="2"/>
    <x v="2"/>
    <n v="116"/>
    <s v="S18_1097"/>
    <x v="23"/>
    <s v="(91) 555 94 44"/>
    <s v="C/ Moralzarzal, 86"/>
    <s v=""/>
    <s v="Madrid"/>
    <s v=""/>
    <s v="28034"/>
    <x v="7"/>
    <s v="EMEA"/>
    <s v="Freyre"/>
    <s v="Diego"/>
    <s v="Diego, Freyre"/>
    <s v="Large"/>
  </r>
  <r>
    <n v="10109"/>
    <n v="26"/>
    <n v="100"/>
    <n v="2600"/>
    <n v="2600"/>
    <n v="4"/>
    <s v="3/10/2003 0:00"/>
    <x v="0"/>
    <x v="0"/>
    <x v="11"/>
    <x v="0"/>
    <x v="1"/>
    <n v="141"/>
    <s v="S18_1129"/>
    <x v="45"/>
    <s v="2155559857"/>
    <s v="11328 Douglas Av."/>
    <s v=""/>
    <s v="Philadelphia"/>
    <s v="PA"/>
    <s v="71270"/>
    <x v="0"/>
    <s v="NA"/>
    <s v="Hernandez"/>
    <s v="Rosa"/>
    <s v="Rosa, Hernandez"/>
    <s v="Medium"/>
  </r>
  <r>
    <n v="10122"/>
    <n v="34"/>
    <n v="100"/>
    <n v="3400"/>
    <n v="3400"/>
    <n v="2"/>
    <s v="5/8/2003 0:00"/>
    <x v="0"/>
    <x v="1"/>
    <x v="1"/>
    <x v="0"/>
    <x v="1"/>
    <n v="141"/>
    <s v="S18_1129"/>
    <x v="67"/>
    <s v="91.24.4555"/>
    <s v="12, rue des Bouchers"/>
    <s v=""/>
    <s v="Marseille"/>
    <s v=""/>
    <s v="13008"/>
    <x v="1"/>
    <s v="EMEA"/>
    <s v="Lebihan"/>
    <s v="Laurence"/>
    <s v="Laurence, Lebihan"/>
    <s v="Medium"/>
  </r>
  <r>
    <n v="10136"/>
    <n v="25"/>
    <n v="100"/>
    <n v="2500"/>
    <n v="2500"/>
    <n v="2"/>
    <s v="7/4/2003 0:00"/>
    <x v="0"/>
    <x v="2"/>
    <x v="2"/>
    <x v="0"/>
    <x v="1"/>
    <n v="141"/>
    <s v="S18_1129"/>
    <x v="51"/>
    <s v="61.77.6555"/>
    <s v="1 rue Alsace-Lorraine"/>
    <s v=""/>
    <s v="Toulouse"/>
    <s v=""/>
    <s v="31000"/>
    <x v="1"/>
    <s v="EMEA"/>
    <s v="Roulet"/>
    <s v="Annette"/>
    <s v="Annette, Roulet"/>
    <s v="Medium"/>
  </r>
  <r>
    <n v="10148"/>
    <n v="23"/>
    <n v="100"/>
    <n v="2300"/>
    <n v="2300"/>
    <n v="13"/>
    <s v="9/11/2003 0:00"/>
    <x v="0"/>
    <x v="2"/>
    <x v="10"/>
    <x v="0"/>
    <x v="1"/>
    <n v="141"/>
    <s v="S18_1129"/>
    <x v="42"/>
    <s v="02 9936 8555"/>
    <s v="201 Miller Street"/>
    <s v="Level 15"/>
    <s v="North Sydney"/>
    <s v="NSW"/>
    <s v="2060"/>
    <x v="3"/>
    <s v="APAC"/>
    <s v="O'Hara"/>
    <s v="Anna"/>
    <s v="Anna, O'Hara"/>
    <s v="Small"/>
  </r>
  <r>
    <n v="10161"/>
    <n v="28"/>
    <n v="100"/>
    <n v="2800"/>
    <n v="2800"/>
    <n v="12"/>
    <s v="10/17/2003 0:00"/>
    <x v="0"/>
    <x v="3"/>
    <x v="4"/>
    <x v="0"/>
    <x v="1"/>
    <n v="141"/>
    <s v="S18_1129"/>
    <x v="78"/>
    <s v="86 21 3555"/>
    <s v="Smagsloget 45"/>
    <s v=""/>
    <s v="Aaarhus"/>
    <s v=""/>
    <s v="8200"/>
    <x v="13"/>
    <s v="EMEA"/>
    <s v="Ibsen"/>
    <s v="Palle"/>
    <s v="Palle, Ibsen"/>
    <s v="Medium"/>
  </r>
  <r>
    <n v="10171"/>
    <n v="35"/>
    <n v="100"/>
    <n v="3500"/>
    <n v="3500"/>
    <n v="2"/>
    <s v="11/5/2003 0:00"/>
    <x v="0"/>
    <x v="3"/>
    <x v="5"/>
    <x v="0"/>
    <x v="1"/>
    <n v="141"/>
    <s v="S18_1129"/>
    <x v="43"/>
    <s v="(514) 555-8054"/>
    <s v="43 rue St. Laurent"/>
    <s v=""/>
    <s v="Montreal"/>
    <s v="Quebec"/>
    <s v="H1J 1C3"/>
    <x v="10"/>
    <s v="NA"/>
    <s v="Fresnisre"/>
    <s v="Jean"/>
    <s v="Jean, Fresnisre"/>
    <s v="Medium"/>
  </r>
  <r>
    <n v="10181"/>
    <n v="44"/>
    <n v="100"/>
    <n v="4400"/>
    <n v="4400"/>
    <n v="6"/>
    <s v="11/12/2003 0:00"/>
    <x v="0"/>
    <x v="3"/>
    <x v="5"/>
    <x v="0"/>
    <x v="1"/>
    <n v="141"/>
    <s v="S18_1129"/>
    <x v="7"/>
    <s v="+47 2267 3215"/>
    <s v="Drammen 121, PR 744 Sentrum"/>
    <s v=""/>
    <s v="Bergen"/>
    <s v=""/>
    <s v="N 5804"/>
    <x v="2"/>
    <s v="EMEA"/>
    <s v="Oeztan"/>
    <s v="Veysel"/>
    <s v="Veysel, Oeztan"/>
    <s v="Medium"/>
  </r>
  <r>
    <n v="10192"/>
    <n v="22"/>
    <n v="100"/>
    <n v="2200"/>
    <n v="2200"/>
    <n v="11"/>
    <s v="11/20/2003 0:00"/>
    <x v="0"/>
    <x v="3"/>
    <x v="5"/>
    <x v="0"/>
    <x v="1"/>
    <n v="141"/>
    <s v="S18_1129"/>
    <x v="40"/>
    <s v="6035558647"/>
    <s v="2304 Long Airport Avenue"/>
    <s v=""/>
    <s v="Nashua"/>
    <s v="NH"/>
    <s v="62005"/>
    <x v="0"/>
    <s v="NA"/>
    <s v="Young"/>
    <s v="Valarie"/>
    <s v="Valarie, Young"/>
    <s v="Medium"/>
  </r>
  <r>
    <n v="10204"/>
    <n v="42"/>
    <n v="100"/>
    <n v="4200"/>
    <n v="4200"/>
    <n v="17"/>
    <s v="12/2/2003 0:00"/>
    <x v="0"/>
    <x v="3"/>
    <x v="6"/>
    <x v="0"/>
    <x v="1"/>
    <n v="141"/>
    <s v="S18_1129"/>
    <x v="74"/>
    <s v="2125557413"/>
    <s v="4092 Furth Circle"/>
    <s v="Suite 400"/>
    <s v="NYC"/>
    <s v="NY"/>
    <s v="10022"/>
    <x v="0"/>
    <s v="NA"/>
    <s v="Young"/>
    <s v="Jeff"/>
    <s v="Jeff, Young"/>
    <s v="Medium"/>
  </r>
  <r>
    <n v="10212"/>
    <n v="29"/>
    <n v="100"/>
    <n v="2900"/>
    <n v="2900"/>
    <n v="10"/>
    <s v="1/16/2004 0:00"/>
    <x v="0"/>
    <x v="0"/>
    <x v="7"/>
    <x v="1"/>
    <x v="1"/>
    <n v="141"/>
    <s v="S18_1129"/>
    <x v="23"/>
    <s v="(91) 555 94 44"/>
    <s v="C/ Moralzarzal, 86"/>
    <s v=""/>
    <s v="Madrid"/>
    <s v=""/>
    <s v="28034"/>
    <x v="7"/>
    <s v="EMEA"/>
    <s v="Freyre"/>
    <s v="Diego"/>
    <s v="Diego, Freyre"/>
    <s v="Medium"/>
  </r>
  <r>
    <n v="10225"/>
    <n v="32"/>
    <n v="100"/>
    <n v="3200"/>
    <n v="3200"/>
    <n v="1"/>
    <s v="2/22/2004 0:00"/>
    <x v="0"/>
    <x v="0"/>
    <x v="0"/>
    <x v="1"/>
    <x v="1"/>
    <n v="141"/>
    <s v="S18_1129"/>
    <x v="69"/>
    <s v="0897-034555"/>
    <s v="Grenzacherweg 237"/>
    <s v=""/>
    <s v="Gensve"/>
    <s v=""/>
    <s v="1203"/>
    <x v="17"/>
    <s v="EMEA"/>
    <s v="Holz"/>
    <s v="Michael"/>
    <s v="Michael, Holz"/>
    <s v="Medium"/>
  </r>
  <r>
    <n v="10240"/>
    <n v="41"/>
    <n v="100"/>
    <n v="4100"/>
    <n v="4100"/>
    <n v="3"/>
    <s v="4/13/2004 0:00"/>
    <x v="0"/>
    <x v="1"/>
    <x v="8"/>
    <x v="1"/>
    <x v="1"/>
    <n v="141"/>
    <s v="S18_1129"/>
    <x v="44"/>
    <s v="+81 06 6342 5555"/>
    <s v="Dojima Avanza 4F, 1-6-20 Dojima, Kita-ku"/>
    <s v=""/>
    <s v="Osaka"/>
    <s v="Osaka"/>
    <s v="530-0003"/>
    <x v="11"/>
    <s v="Japan"/>
    <s v="Kentary"/>
    <s v="Mory"/>
    <s v="Mory, Kentary"/>
    <s v="Medium"/>
  </r>
  <r>
    <n v="10253"/>
    <n v="26"/>
    <n v="100"/>
    <n v="2600"/>
    <n v="0"/>
    <n v="5"/>
    <s v="6/1/2004 0:00"/>
    <x v="3"/>
    <x v="1"/>
    <x v="9"/>
    <x v="1"/>
    <x v="1"/>
    <n v="141"/>
    <s v="S18_1129"/>
    <x v="22"/>
    <s v="(171) 555-2282"/>
    <s v="Berkeley Gardens 12  Brewery"/>
    <s v=""/>
    <s v="Liverpool"/>
    <s v=""/>
    <s v="WX1 6LT"/>
    <x v="6"/>
    <s v="EMEA"/>
    <s v="Devon"/>
    <s v="Elizabeth"/>
    <s v="Elizabeth, Devon"/>
    <s v="Medium"/>
  </r>
  <r>
    <n v="10266"/>
    <n v="21"/>
    <n v="100"/>
    <n v="2100"/>
    <n v="2100"/>
    <n v="6"/>
    <s v="7/6/2004 0:00"/>
    <x v="0"/>
    <x v="2"/>
    <x v="2"/>
    <x v="1"/>
    <x v="1"/>
    <n v="141"/>
    <s v="S18_1129"/>
    <x v="70"/>
    <s v="0522-556555"/>
    <s v="Strada Provinciale 124"/>
    <s v=""/>
    <s v="Reggio Emilia"/>
    <s v=""/>
    <s v="42100"/>
    <x v="12"/>
    <s v="EMEA"/>
    <s v="Moroni"/>
    <s v="Maurizio"/>
    <s v="Maurizio, Moroni"/>
    <s v="Small"/>
  </r>
  <r>
    <n v="10278"/>
    <n v="34"/>
    <n v="100"/>
    <n v="3400"/>
    <n v="3400"/>
    <n v="6"/>
    <s v="8/6/2004 0:00"/>
    <x v="0"/>
    <x v="2"/>
    <x v="3"/>
    <x v="1"/>
    <x v="1"/>
    <n v="141"/>
    <s v="S18_1129"/>
    <x v="84"/>
    <s v="7025551838"/>
    <s v="8489 Strong St."/>
    <s v=""/>
    <s v="Las Vegas"/>
    <s v="NV"/>
    <s v="83030"/>
    <x v="0"/>
    <s v="NA"/>
    <s v="King"/>
    <s v="Sue"/>
    <s v="Sue, King"/>
    <s v="Medium"/>
  </r>
  <r>
    <n v="10287"/>
    <n v="41"/>
    <n v="100"/>
    <n v="4100"/>
    <n v="4100"/>
    <n v="4"/>
    <s v="8/30/2004 0:00"/>
    <x v="0"/>
    <x v="2"/>
    <x v="3"/>
    <x v="1"/>
    <x v="1"/>
    <n v="141"/>
    <s v="S18_1129"/>
    <x v="69"/>
    <s v="0897-034555"/>
    <s v="Grenzacherweg 237"/>
    <s v=""/>
    <s v="Gensve"/>
    <s v=""/>
    <s v="1203"/>
    <x v="17"/>
    <s v="EMEA"/>
    <s v="Holz"/>
    <s v="Michael"/>
    <s v="Michael, Holz"/>
    <s v="Medium"/>
  </r>
  <r>
    <n v="10301"/>
    <n v="37"/>
    <n v="100"/>
    <n v="3700"/>
    <n v="3700"/>
    <n v="8"/>
    <s v="10/5/2003 0:00"/>
    <x v="0"/>
    <x v="3"/>
    <x v="4"/>
    <x v="0"/>
    <x v="1"/>
    <n v="141"/>
    <s v="S18_1129"/>
    <x v="85"/>
    <s v="+47 2212 1555"/>
    <s v="Drammensveien 126 A, PB 744 Sentrum"/>
    <s v=""/>
    <s v="Oslo"/>
    <s v=""/>
    <s v="N 0106"/>
    <x v="2"/>
    <s v="EMEA"/>
    <s v="Klaeboe"/>
    <s v="Jan"/>
    <s v="Jan, Klaeboe"/>
    <s v="Medium"/>
  </r>
  <r>
    <n v="10310"/>
    <n v="37"/>
    <n v="100"/>
    <n v="3700"/>
    <n v="3700"/>
    <n v="2"/>
    <s v="10/16/2004 0:00"/>
    <x v="0"/>
    <x v="3"/>
    <x v="4"/>
    <x v="1"/>
    <x v="1"/>
    <n v="141"/>
    <s v="S18_1129"/>
    <x v="68"/>
    <s v="0221-5554327"/>
    <s v="Mehrheimerstr. 369"/>
    <s v=""/>
    <s v="Koln"/>
    <s v=""/>
    <s v="50739"/>
    <x v="16"/>
    <s v="EMEA"/>
    <s v="Pfalzheim"/>
    <s v="Henriette"/>
    <s v="Henriette, Pfalzheim"/>
    <s v="Medium"/>
  </r>
  <r>
    <n v="10321"/>
    <n v="41"/>
    <n v="100"/>
    <n v="4100"/>
    <n v="4100"/>
    <n v="10"/>
    <s v="11/4/2004 0:00"/>
    <x v="0"/>
    <x v="3"/>
    <x v="5"/>
    <x v="1"/>
    <x v="1"/>
    <n v="141"/>
    <s v="S18_1129"/>
    <x v="21"/>
    <s v="5085552555"/>
    <s v="1785 First Street"/>
    <s v=""/>
    <s v="New Bedford"/>
    <s v="MA"/>
    <s v="50553"/>
    <x v="0"/>
    <s v="NA"/>
    <s v="Benitez"/>
    <s v="Violeta"/>
    <s v="Violeta, Benitez"/>
    <s v="Medium"/>
  </r>
  <r>
    <n v="10331"/>
    <n v="46"/>
    <n v="100"/>
    <n v="4600"/>
    <n v="4600"/>
    <n v="6"/>
    <s v="11/17/2004 0:00"/>
    <x v="0"/>
    <x v="3"/>
    <x v="5"/>
    <x v="1"/>
    <x v="1"/>
    <n v="141"/>
    <s v="S18_1129"/>
    <x v="45"/>
    <s v="2155559857"/>
    <s v="11328 Douglas Av."/>
    <s v=""/>
    <s v="Philadelphia"/>
    <s v="PA"/>
    <s v="71270"/>
    <x v="0"/>
    <s v="NA"/>
    <s v="Hernandez"/>
    <s v="Rosa"/>
    <s v="Rosa, Hernandez"/>
    <s v="Medium"/>
  </r>
  <r>
    <n v="10342"/>
    <n v="40"/>
    <n v="100"/>
    <n v="4000"/>
    <n v="4000"/>
    <n v="2"/>
    <s v="11/24/2004 0:00"/>
    <x v="0"/>
    <x v="3"/>
    <x v="5"/>
    <x v="1"/>
    <x v="1"/>
    <n v="141"/>
    <s v="S18_1129"/>
    <x v="10"/>
    <s v="03 9520 4555"/>
    <s v="636 St Kilda Road"/>
    <s v="Level 3"/>
    <s v="Melbourne"/>
    <s v="Victoria"/>
    <s v="3004"/>
    <x v="3"/>
    <s v="APAC"/>
    <s v="Ferguson"/>
    <s v="Peter"/>
    <s v="Peter, Ferguson"/>
    <s v="Medium"/>
  </r>
  <r>
    <n v="10356"/>
    <n v="43"/>
    <n v="976"/>
    <n v="41968"/>
    <n v="41968"/>
    <n v="8"/>
    <s v="12/9/2004 0:00"/>
    <x v="0"/>
    <x v="3"/>
    <x v="6"/>
    <x v="1"/>
    <x v="1"/>
    <n v="141"/>
    <s v="S18_1129"/>
    <x v="2"/>
    <s v="+33 1 46 62 7555"/>
    <s v="27 rue du Colonel Pierre Avia"/>
    <s v=""/>
    <s v="Paris"/>
    <s v=""/>
    <s v="75508"/>
    <x v="1"/>
    <s v="EMEA"/>
    <s v="Da Cunha"/>
    <s v="Daniel"/>
    <s v="Daniel, Da Cunha"/>
    <s v="Medium"/>
  </r>
  <r>
    <n v="10365"/>
    <n v="30"/>
    <n v="8706"/>
    <n v="261180"/>
    <n v="261180"/>
    <n v="1"/>
    <s v="1/7/2005 0:00"/>
    <x v="0"/>
    <x v="0"/>
    <x v="7"/>
    <x v="2"/>
    <x v="1"/>
    <n v="141"/>
    <s v="S18_1129"/>
    <x v="50"/>
    <s v="5085559555"/>
    <s v="4575 Hillside Dr."/>
    <s v=""/>
    <s v="New Bedford"/>
    <s v="MA"/>
    <s v="50553"/>
    <x v="0"/>
    <s v="NA"/>
    <s v="Tam"/>
    <s v="Wing C"/>
    <s v="Wing C, Tam"/>
    <s v="Small"/>
  </r>
  <r>
    <n v="10377"/>
    <n v="35"/>
    <n v="100"/>
    <n v="3500"/>
    <n v="3500"/>
    <n v="2"/>
    <s v="2/9/2005 0:00"/>
    <x v="0"/>
    <x v="0"/>
    <x v="0"/>
    <x v="2"/>
    <x v="1"/>
    <n v="141"/>
    <s v="S18_1129"/>
    <x v="16"/>
    <s v="90-224 8555"/>
    <s v="Keskuskatu 45"/>
    <s v=""/>
    <s v="Helsinki"/>
    <s v=""/>
    <s v="21240"/>
    <x v="4"/>
    <s v="EMEA"/>
    <s v="Karttunen"/>
    <s v="Matti"/>
    <s v="Matti, Karttunen"/>
    <s v="Medium"/>
  </r>
  <r>
    <n v="10390"/>
    <n v="36"/>
    <n v="9377"/>
    <n v="337572"/>
    <n v="337572"/>
    <n v="14"/>
    <s v="3/4/2005 0:00"/>
    <x v="0"/>
    <x v="0"/>
    <x v="11"/>
    <x v="2"/>
    <x v="1"/>
    <n v="141"/>
    <s v="S18_1129"/>
    <x v="39"/>
    <s v="4155551450"/>
    <s v="5677 Strong St."/>
    <s v=""/>
    <s v="San Rafael"/>
    <s v="CA"/>
    <s v="97562"/>
    <x v="0"/>
    <s v="NA"/>
    <s v="Nelson"/>
    <s v="Valarie"/>
    <s v="Valarie, Nelson"/>
    <s v="Medium"/>
  </r>
  <r>
    <n v="10406"/>
    <n v="61"/>
    <n v="100"/>
    <n v="6100"/>
    <n v="0"/>
    <n v="3"/>
    <s v="4/15/2005 0:00"/>
    <x v="1"/>
    <x v="1"/>
    <x v="8"/>
    <x v="2"/>
    <x v="1"/>
    <n v="141"/>
    <s v="S18_1129"/>
    <x v="48"/>
    <s v="31 12 3555"/>
    <s v="Vinb'ltet 34"/>
    <s v=""/>
    <s v="Kobenhavn"/>
    <s v=""/>
    <s v="1734"/>
    <x v="13"/>
    <s v="EMEA"/>
    <s v="Petersen"/>
    <s v="Jytte"/>
    <s v="Jytte, Petersen"/>
    <s v="Large"/>
  </r>
  <r>
    <n v="10419"/>
    <n v="38"/>
    <n v="100"/>
    <n v="3800"/>
    <n v="3800"/>
    <n v="5"/>
    <s v="5/17/2005 0:00"/>
    <x v="0"/>
    <x v="1"/>
    <x v="1"/>
    <x v="2"/>
    <x v="1"/>
    <n v="141"/>
    <s v="S18_1129"/>
    <x v="19"/>
    <s v="6562-9555"/>
    <s v="Geislweg 14"/>
    <s v=""/>
    <s v="Salzburg"/>
    <s v=""/>
    <s v="5020"/>
    <x v="5"/>
    <s v="EMEA"/>
    <s v="Pipps"/>
    <s v="Georg"/>
    <s v="Georg, Pipps"/>
    <s v="Medium"/>
  </r>
  <r>
    <n v="10102"/>
    <n v="39"/>
    <n v="100"/>
    <n v="3900"/>
    <n v="3900"/>
    <n v="2"/>
    <s v="1/10/2003 0:00"/>
    <x v="0"/>
    <x v="0"/>
    <x v="7"/>
    <x v="0"/>
    <x v="3"/>
    <n v="102"/>
    <s v="S18_1342"/>
    <x v="11"/>
    <s v="2125551500"/>
    <s v="2678 Kingston Rd."/>
    <s v="Suite 101"/>
    <s v="NYC"/>
    <s v="NY"/>
    <s v="10022"/>
    <x v="0"/>
    <s v="NA"/>
    <s v="Frick"/>
    <s v="Michael"/>
    <s v="Michael, Frick"/>
    <s v="Medium"/>
  </r>
  <r>
    <n v="10111"/>
    <n v="33"/>
    <n v="9966"/>
    <n v="328878"/>
    <n v="328878"/>
    <n v="6"/>
    <s v="3/25/2003 0:00"/>
    <x v="0"/>
    <x v="0"/>
    <x v="11"/>
    <x v="0"/>
    <x v="3"/>
    <n v="102"/>
    <s v="S18_1342"/>
    <x v="8"/>
    <s v="6505555787"/>
    <s v="5557 North Pendale Street"/>
    <s v=""/>
    <s v="San Francisco"/>
    <s v="CA"/>
    <s v=""/>
    <x v="0"/>
    <s v="NA"/>
    <s v="Murphy"/>
    <s v="Julie"/>
    <s v="Julie, Murphy"/>
    <s v="Medium"/>
  </r>
  <r>
    <n v="10125"/>
    <n v="32"/>
    <n v="100"/>
    <n v="3200"/>
    <n v="3200"/>
    <n v="1"/>
    <s v="5/21/2003 0:00"/>
    <x v="0"/>
    <x v="1"/>
    <x v="1"/>
    <x v="0"/>
    <x v="3"/>
    <n v="102"/>
    <s v="S18_1342"/>
    <x v="10"/>
    <s v="03 9520 4555"/>
    <s v="636 St Kilda Road"/>
    <s v="Level 3"/>
    <s v="Melbourne"/>
    <s v="Victoria"/>
    <s v="3004"/>
    <x v="3"/>
    <s v="APAC"/>
    <s v="Ferguson"/>
    <s v="Peter"/>
    <s v="Peter, Ferguson"/>
    <s v="Medium"/>
  </r>
  <r>
    <n v="10139"/>
    <n v="31"/>
    <n v="100"/>
    <n v="3100"/>
    <n v="3100"/>
    <n v="7"/>
    <s v="7/16/2003 0:00"/>
    <x v="0"/>
    <x v="2"/>
    <x v="2"/>
    <x v="0"/>
    <x v="3"/>
    <n v="102"/>
    <s v="S18_1342"/>
    <x v="20"/>
    <s v="+61 2 9495 8555"/>
    <s v="Monitor Money Building, 815 Pacific Hwy"/>
    <s v="Level 6"/>
    <s v="Chatswood"/>
    <s v="NSW"/>
    <s v="2067"/>
    <x v="3"/>
    <s v="APAC"/>
    <s v="Huxley"/>
    <s v="Adrian"/>
    <s v="Adrian, Huxley"/>
    <s v="Medium"/>
  </r>
  <r>
    <n v="10149"/>
    <n v="50"/>
    <n v="100"/>
    <n v="5000"/>
    <n v="5000"/>
    <n v="4"/>
    <s v="9/12/2003 0:00"/>
    <x v="0"/>
    <x v="2"/>
    <x v="10"/>
    <x v="0"/>
    <x v="3"/>
    <n v="102"/>
    <s v="S18_1342"/>
    <x v="82"/>
    <s v="4155554312"/>
    <s v="2793 Furth Circle"/>
    <s v=""/>
    <s v="Brisbane"/>
    <s v="CA"/>
    <s v="94217"/>
    <x v="0"/>
    <s v="NA"/>
    <s v="Taylor"/>
    <s v="Sue"/>
    <s v="Sue, Taylor"/>
    <s v="Medium"/>
  </r>
  <r>
    <n v="10162"/>
    <n v="48"/>
    <n v="9144"/>
    <n v="438912"/>
    <n v="438912"/>
    <n v="2"/>
    <s v="10/18/2003 0:00"/>
    <x v="0"/>
    <x v="3"/>
    <x v="4"/>
    <x v="0"/>
    <x v="3"/>
    <n v="102"/>
    <s v="S18_1342"/>
    <x v="4"/>
    <s v="6505551386"/>
    <s v="7734 Strong St."/>
    <s v=""/>
    <s v="San Francisco"/>
    <s v="CA"/>
    <s v=""/>
    <x v="0"/>
    <s v="NA"/>
    <s v="Brown"/>
    <s v="Julie"/>
    <s v="Julie, Brown"/>
    <s v="Medium"/>
  </r>
  <r>
    <n v="10173"/>
    <n v="43"/>
    <n v="100"/>
    <n v="4300"/>
    <n v="4300"/>
    <n v="6"/>
    <s v="11/5/2003 0:00"/>
    <x v="0"/>
    <x v="3"/>
    <x v="5"/>
    <x v="0"/>
    <x v="3"/>
    <n v="102"/>
    <s v="S18_1342"/>
    <x v="86"/>
    <s v="035-640555"/>
    <s v="Via Ludovico il Moro 22"/>
    <s v=""/>
    <s v="Bergamo"/>
    <s v=""/>
    <s v="24100"/>
    <x v="12"/>
    <s v="EMEA"/>
    <s v="Rovelli"/>
    <s v="Giovanni"/>
    <s v="Giovanni, Rovelli"/>
    <s v="Medium"/>
  </r>
  <r>
    <n v="10182"/>
    <n v="25"/>
    <n v="8733"/>
    <n v="218325"/>
    <n v="218325"/>
    <n v="3"/>
    <s v="11/12/2003 0:00"/>
    <x v="0"/>
    <x v="3"/>
    <x v="5"/>
    <x v="0"/>
    <x v="3"/>
    <n v="102"/>
    <s v="S18_1342"/>
    <x v="39"/>
    <s v="4155551450"/>
    <s v="5677 Strong St."/>
    <s v=""/>
    <s v="San Rafael"/>
    <s v="CA"/>
    <s v="97562"/>
    <x v="0"/>
    <s v="NA"/>
    <s v="Nelson"/>
    <s v="Valarie"/>
    <s v="Valarie, Nelson"/>
    <s v="Small"/>
  </r>
  <r>
    <n v="10193"/>
    <n v="28"/>
    <n v="100"/>
    <n v="2800"/>
    <n v="2800"/>
    <n v="7"/>
    <s v="11/21/2003 0:00"/>
    <x v="0"/>
    <x v="3"/>
    <x v="5"/>
    <x v="0"/>
    <x v="3"/>
    <n v="102"/>
    <s v="S18_1342"/>
    <x v="87"/>
    <s v="61-9-3844-6555"/>
    <s v="7 Allen Street"/>
    <s v=""/>
    <s v="Glen Waverly"/>
    <s v="Victoria"/>
    <s v="3150"/>
    <x v="3"/>
    <s v="APAC"/>
    <s v="Connery"/>
    <s v="Sean"/>
    <s v="Sean, Connery"/>
    <s v="Medium"/>
  </r>
  <r>
    <n v="10205"/>
    <n v="36"/>
    <n v="100"/>
    <n v="3600"/>
    <n v="3600"/>
    <n v="2"/>
    <s v="12/3/2003 0:00"/>
    <x v="0"/>
    <x v="3"/>
    <x v="6"/>
    <x v="0"/>
    <x v="3"/>
    <n v="102"/>
    <s v="S18_1342"/>
    <x v="23"/>
    <s v="(91) 555 94 44"/>
    <s v="C/ Moralzarzal, 86"/>
    <s v=""/>
    <s v="Madrid"/>
    <s v=""/>
    <s v="28034"/>
    <x v="7"/>
    <s v="EMEA"/>
    <s v="Freyre"/>
    <s v="Diego"/>
    <s v="Diego, Freyre"/>
    <s v="Medium"/>
  </r>
  <r>
    <n v="10215"/>
    <n v="27"/>
    <n v="8938"/>
    <n v="241326"/>
    <n v="241326"/>
    <n v="10"/>
    <s v="1/29/2004 0:00"/>
    <x v="0"/>
    <x v="0"/>
    <x v="7"/>
    <x v="1"/>
    <x v="3"/>
    <n v="102"/>
    <s v="S18_1342"/>
    <x v="32"/>
    <s v="3105553722"/>
    <s v="3675 Furth Circle"/>
    <s v=""/>
    <s v="Burbank"/>
    <s v="CA"/>
    <s v="94019"/>
    <x v="0"/>
    <s v="NA"/>
    <s v="Thompson"/>
    <s v="Steve"/>
    <s v="Steve, Thompson"/>
    <s v="Small"/>
  </r>
  <r>
    <n v="10227"/>
    <n v="25"/>
    <n v="100"/>
    <n v="2500"/>
    <n v="2500"/>
    <n v="3"/>
    <s v="3/2/2004 0:00"/>
    <x v="0"/>
    <x v="0"/>
    <x v="11"/>
    <x v="1"/>
    <x v="3"/>
    <n v="102"/>
    <s v="S18_1342"/>
    <x v="30"/>
    <s v="78.32.5555"/>
    <s v="2, rue du Commerce"/>
    <s v=""/>
    <s v="Lyon"/>
    <s v=""/>
    <s v="69004"/>
    <x v="1"/>
    <s v="EMEA"/>
    <s v="Saveley"/>
    <s v="Mary"/>
    <s v="Mary, Saveley"/>
    <s v="Small"/>
  </r>
  <r>
    <n v="10244"/>
    <n v="40"/>
    <n v="100"/>
    <n v="4000"/>
    <n v="4000"/>
    <n v="7"/>
    <s v="4/29/2004 0:00"/>
    <x v="0"/>
    <x v="1"/>
    <x v="8"/>
    <x v="1"/>
    <x v="3"/>
    <n v="102"/>
    <s v="S18_1342"/>
    <x v="23"/>
    <s v="(91) 555 94 44"/>
    <s v="C/ Moralzarzal, 86"/>
    <s v=""/>
    <s v="Madrid"/>
    <s v=""/>
    <s v="28034"/>
    <x v="7"/>
    <s v="EMEA"/>
    <s v="Freyre"/>
    <s v="Diego"/>
    <s v="Diego, Freyre"/>
    <s v="Medium"/>
  </r>
  <r>
    <n v="10256"/>
    <n v="34"/>
    <n v="9555"/>
    <n v="324870"/>
    <n v="324870"/>
    <n v="2"/>
    <s v="6/8/2004 0:00"/>
    <x v="0"/>
    <x v="1"/>
    <x v="9"/>
    <x v="1"/>
    <x v="3"/>
    <n v="102"/>
    <s v="S18_1342"/>
    <x v="48"/>
    <s v="31 12 3555"/>
    <s v="Vinb'ltet 34"/>
    <s v=""/>
    <s v="Kobenhavn"/>
    <s v=""/>
    <s v="1734"/>
    <x v="13"/>
    <s v="EMEA"/>
    <s v="Petersen"/>
    <s v="Jytte"/>
    <s v="Jytte, Petersen"/>
    <s v="Medium"/>
  </r>
  <r>
    <n v="10280"/>
    <n v="50"/>
    <n v="100"/>
    <n v="5000"/>
    <n v="5000"/>
    <n v="9"/>
    <s v="8/17/2004 0:00"/>
    <x v="0"/>
    <x v="2"/>
    <x v="3"/>
    <x v="1"/>
    <x v="3"/>
    <n v="102"/>
    <s v="S18_1342"/>
    <x v="36"/>
    <s v="011-4988555"/>
    <s v="Via Monte Bianco 34"/>
    <s v=""/>
    <s v="Torino"/>
    <s v=""/>
    <s v="10100"/>
    <x v="12"/>
    <s v="EMEA"/>
    <s v="Accorti"/>
    <s v="Paolo"/>
    <s v="Paolo, Accorti"/>
    <s v="Medium"/>
  </r>
  <r>
    <n v="10289"/>
    <n v="38"/>
    <n v="100"/>
    <n v="3800"/>
    <n v="3800"/>
    <n v="2"/>
    <s v="9/3/2004 0:00"/>
    <x v="0"/>
    <x v="2"/>
    <x v="10"/>
    <x v="1"/>
    <x v="3"/>
    <n v="102"/>
    <s v="S18_1342"/>
    <x v="7"/>
    <s v="+47 2267 3215"/>
    <s v="Drammen 121, PR 744 Sentrum"/>
    <s v=""/>
    <s v="Bergen"/>
    <s v=""/>
    <s v="N 5804"/>
    <x v="2"/>
    <s v="EMEA"/>
    <s v="Oeztan"/>
    <s v="Veysel"/>
    <s v="Veysel, Oeztan"/>
    <s v="Medium"/>
  </r>
  <r>
    <n v="10304"/>
    <n v="37"/>
    <n v="9555"/>
    <n v="353535"/>
    <n v="353535"/>
    <n v="13"/>
    <s v="10/11/2004 0:00"/>
    <x v="0"/>
    <x v="3"/>
    <x v="4"/>
    <x v="1"/>
    <x v="3"/>
    <n v="102"/>
    <s v="S18_1342"/>
    <x v="38"/>
    <s v="30.59.8555"/>
    <s v="67, avenue de l'Europe"/>
    <s v=""/>
    <s v="Versailles"/>
    <s v=""/>
    <s v="78000"/>
    <x v="1"/>
    <s v="EMEA"/>
    <s v="Tonini"/>
    <s v="Daniel"/>
    <s v="Daniel, Tonini"/>
    <s v="Medium"/>
  </r>
  <r>
    <n v="10312"/>
    <n v="43"/>
    <n v="8938"/>
    <n v="384334"/>
    <n v="384334"/>
    <n v="10"/>
    <s v="10/21/2004 0:00"/>
    <x v="0"/>
    <x v="3"/>
    <x v="4"/>
    <x v="1"/>
    <x v="3"/>
    <n v="102"/>
    <s v="S18_1342"/>
    <x v="39"/>
    <s v="4155551450"/>
    <s v="5677 Strong St."/>
    <s v=""/>
    <s v="San Rafael"/>
    <s v="CA"/>
    <s v="97562"/>
    <x v="0"/>
    <s v="NA"/>
    <s v="Nelson"/>
    <s v="Valarie"/>
    <s v="Valarie, Nelson"/>
    <s v="Medium"/>
  </r>
  <r>
    <n v="10322"/>
    <n v="43"/>
    <n v="863"/>
    <n v="37109"/>
    <n v="37109"/>
    <n v="14"/>
    <s v="11/4/2004 0:00"/>
    <x v="0"/>
    <x v="3"/>
    <x v="5"/>
    <x v="1"/>
    <x v="3"/>
    <n v="102"/>
    <s v="S18_1342"/>
    <x v="40"/>
    <s v="6035558647"/>
    <s v="2304 Long Airport Avenue"/>
    <s v=""/>
    <s v="Nashua"/>
    <s v="NH"/>
    <s v="62005"/>
    <x v="0"/>
    <s v="NA"/>
    <s v="Young"/>
    <s v="Valarie"/>
    <s v="Valarie, Young"/>
    <s v="Medium"/>
  </r>
  <r>
    <n v="10332"/>
    <n v="46"/>
    <n v="9513"/>
    <n v="437598"/>
    <n v="437598"/>
    <n v="15"/>
    <s v="11/17/2004 0:00"/>
    <x v="0"/>
    <x v="3"/>
    <x v="5"/>
    <x v="1"/>
    <x v="3"/>
    <n v="102"/>
    <s v="S18_1342"/>
    <x v="77"/>
    <s v="(171) 555-1555"/>
    <s v="Fauntleroy Circus"/>
    <s v=""/>
    <s v="Manchester"/>
    <s v=""/>
    <s v="EC2 5NT"/>
    <x v="6"/>
    <s v="EMEA"/>
    <s v="Ashworth"/>
    <s v="Victoria"/>
    <s v="Victoria, Ashworth"/>
    <s v="Medium"/>
  </r>
  <r>
    <n v="10346"/>
    <n v="42"/>
    <n v="3611"/>
    <n v="151662"/>
    <n v="151662"/>
    <n v="3"/>
    <s v="11/29/2004 0:00"/>
    <x v="0"/>
    <x v="3"/>
    <x v="5"/>
    <x v="1"/>
    <x v="3"/>
    <n v="102"/>
    <s v="S18_1342"/>
    <x v="84"/>
    <s v="7025551838"/>
    <s v="8489 Strong St."/>
    <s v=""/>
    <s v="Las Vegas"/>
    <s v="NV"/>
    <s v="83030"/>
    <x v="0"/>
    <s v="NA"/>
    <s v="King"/>
    <s v="Sue"/>
    <s v="Sue, King"/>
    <s v="Small"/>
  </r>
  <r>
    <n v="10356"/>
    <n v="50"/>
    <n v="5018"/>
    <n v="250900"/>
    <n v="250900"/>
    <n v="9"/>
    <s v="12/9/2004 0:00"/>
    <x v="0"/>
    <x v="3"/>
    <x v="6"/>
    <x v="1"/>
    <x v="3"/>
    <n v="102"/>
    <s v="S18_1342"/>
    <x v="2"/>
    <s v="+33 1 46 62 7555"/>
    <s v="27 rue du Colonel Pierre Avia"/>
    <s v=""/>
    <s v="Paris"/>
    <s v=""/>
    <s v="75508"/>
    <x v="1"/>
    <s v="EMEA"/>
    <s v="Da Cunha"/>
    <s v="Daniel"/>
    <s v="Daniel, Da Cunha"/>
    <s v="Small"/>
  </r>
  <r>
    <n v="10369"/>
    <n v="44"/>
    <n v="100"/>
    <n v="4400"/>
    <n v="4400"/>
    <n v="8"/>
    <s v="1/20/2005 0:00"/>
    <x v="0"/>
    <x v="0"/>
    <x v="7"/>
    <x v="2"/>
    <x v="3"/>
    <n v="102"/>
    <s v="S18_1342"/>
    <x v="41"/>
    <s v="6175558555"/>
    <s v="7825 Douglas Av."/>
    <s v=""/>
    <s v="Brickhaven"/>
    <s v="MA"/>
    <s v="58339"/>
    <x v="0"/>
    <s v="NA"/>
    <s v="Nelson"/>
    <s v="Allen"/>
    <s v="Allen, Nelson"/>
    <s v="Large"/>
  </r>
  <r>
    <n v="10380"/>
    <n v="27"/>
    <n v="9316"/>
    <n v="251532"/>
    <n v="251532"/>
    <n v="13"/>
    <s v="2/16/2005 0:00"/>
    <x v="0"/>
    <x v="0"/>
    <x v="0"/>
    <x v="2"/>
    <x v="3"/>
    <n v="102"/>
    <s v="S18_1342"/>
    <x v="23"/>
    <s v="(91) 555 94 44"/>
    <s v="C/ Moralzarzal, 86"/>
    <s v=""/>
    <s v="Madrid"/>
    <s v=""/>
    <s v="28034"/>
    <x v="7"/>
    <s v="EMEA"/>
    <s v="Freyre"/>
    <s v="Diego"/>
    <s v="Diego, Freyre"/>
    <s v="Small"/>
  </r>
  <r>
    <n v="10391"/>
    <n v="35"/>
    <n v="100"/>
    <n v="3500"/>
    <n v="3500"/>
    <n v="2"/>
    <s v="3/9/2005 0:00"/>
    <x v="0"/>
    <x v="0"/>
    <x v="11"/>
    <x v="2"/>
    <x v="3"/>
    <n v="102"/>
    <s v="S18_1342"/>
    <x v="42"/>
    <s v="02 9936 8555"/>
    <s v="201 Miller Street"/>
    <s v="Level 15"/>
    <s v="North Sydney"/>
    <s v="NSW"/>
    <s v="2060"/>
    <x v="3"/>
    <s v="APAC"/>
    <s v="O'Hara"/>
    <s v="Anna"/>
    <s v="Anna, O'Hara"/>
    <s v="Medium"/>
  </r>
  <r>
    <n v="10422"/>
    <n v="51"/>
    <n v="9555"/>
    <n v="487305"/>
    <n v="0"/>
    <n v="2"/>
    <s v="5/30/2005 0:00"/>
    <x v="2"/>
    <x v="1"/>
    <x v="1"/>
    <x v="2"/>
    <x v="3"/>
    <n v="102"/>
    <s v="S18_1342"/>
    <x v="18"/>
    <s v="2155551555"/>
    <s v="7586 Pompton St."/>
    <s v=""/>
    <s v="Allentown"/>
    <s v="PA"/>
    <s v="70267"/>
    <x v="0"/>
    <s v="NA"/>
    <s v="Yu"/>
    <s v="Kyung"/>
    <s v="Kyung, Yu"/>
    <s v="Medium"/>
  </r>
  <r>
    <n v="10102"/>
    <n v="41"/>
    <n v="5014"/>
    <n v="205574"/>
    <n v="205574"/>
    <n v="1"/>
    <s v="1/10/2003 0:00"/>
    <x v="0"/>
    <x v="0"/>
    <x v="7"/>
    <x v="0"/>
    <x v="3"/>
    <n v="53"/>
    <s v="S18_1367"/>
    <x v="11"/>
    <s v="2125551500"/>
    <s v="2678 Kingston Rd."/>
    <s v="Suite 101"/>
    <s v="NYC"/>
    <s v="NY"/>
    <s v="10022"/>
    <x v="0"/>
    <s v="NA"/>
    <s v="Frick"/>
    <s v="Michael"/>
    <s v="Michael, Frick"/>
    <s v="Small"/>
  </r>
  <r>
    <n v="10111"/>
    <n v="48"/>
    <n v="4906"/>
    <n v="235488"/>
    <n v="235488"/>
    <n v="5"/>
    <s v="3/25/2003 0:00"/>
    <x v="0"/>
    <x v="0"/>
    <x v="11"/>
    <x v="0"/>
    <x v="3"/>
    <n v="53"/>
    <s v="S18_1367"/>
    <x v="8"/>
    <s v="6505555787"/>
    <s v="5557 North Pendale Street"/>
    <s v=""/>
    <s v="San Francisco"/>
    <s v="CA"/>
    <s v=""/>
    <x v="0"/>
    <s v="NA"/>
    <s v="Murphy"/>
    <s v="Julie"/>
    <s v="Julie, Murphy"/>
    <s v="Small"/>
  </r>
  <r>
    <n v="10126"/>
    <n v="42"/>
    <n v="5499"/>
    <n v="230958"/>
    <n v="230958"/>
    <n v="17"/>
    <s v="5/28/2003 0:00"/>
    <x v="0"/>
    <x v="1"/>
    <x v="1"/>
    <x v="0"/>
    <x v="3"/>
    <n v="53"/>
    <s v="S18_1367"/>
    <x v="25"/>
    <s v="(91) 555 22 82"/>
    <s v="C/ Araquil, 67"/>
    <s v=""/>
    <s v="Madrid"/>
    <s v=""/>
    <s v="28023"/>
    <x v="7"/>
    <s v="EMEA"/>
    <s v="Sommer"/>
    <s v="Mart¡n"/>
    <s v="Mart¡n, Sommer"/>
    <s v="Small"/>
  </r>
  <r>
    <n v="10139"/>
    <n v="49"/>
    <n v="4313"/>
    <n v="211337"/>
    <n v="211337"/>
    <n v="6"/>
    <s v="7/16/2003 0:00"/>
    <x v="0"/>
    <x v="2"/>
    <x v="2"/>
    <x v="0"/>
    <x v="3"/>
    <n v="53"/>
    <s v="S18_1367"/>
    <x v="20"/>
    <s v="+61 2 9495 8555"/>
    <s v="Monitor Money Building, 815 Pacific Hwy"/>
    <s v="Level 6"/>
    <s v="Chatswood"/>
    <s v="NSW"/>
    <s v="2067"/>
    <x v="3"/>
    <s v="APAC"/>
    <s v="Huxley"/>
    <s v="Adrian"/>
    <s v="Adrian, Huxley"/>
    <s v="Small"/>
  </r>
  <r>
    <n v="10149"/>
    <n v="30"/>
    <n v="5822"/>
    <n v="174660"/>
    <n v="174660"/>
    <n v="3"/>
    <s v="9/12/2003 0:00"/>
    <x v="0"/>
    <x v="2"/>
    <x v="10"/>
    <x v="0"/>
    <x v="3"/>
    <n v="53"/>
    <s v="S18_1367"/>
    <x v="82"/>
    <s v="4155554312"/>
    <s v="2793 Furth Circle"/>
    <s v=""/>
    <s v="Brisbane"/>
    <s v="CA"/>
    <s v="94217"/>
    <x v="0"/>
    <s v="NA"/>
    <s v="Taylor"/>
    <s v="Sue"/>
    <s v="Sue, Taylor"/>
    <s v="Small"/>
  </r>
  <r>
    <n v="10162"/>
    <n v="45"/>
    <n v="5121"/>
    <n v="230445"/>
    <n v="230445"/>
    <n v="1"/>
    <s v="10/18/2003 0:00"/>
    <x v="0"/>
    <x v="3"/>
    <x v="4"/>
    <x v="0"/>
    <x v="3"/>
    <n v="53"/>
    <s v="S18_1367"/>
    <x v="4"/>
    <s v="6505551386"/>
    <s v="7734 Strong St."/>
    <s v=""/>
    <s v="San Francisco"/>
    <s v="CA"/>
    <s v=""/>
    <x v="0"/>
    <s v="NA"/>
    <s v="Brown"/>
    <s v="Julie"/>
    <s v="Julie, Brown"/>
    <s v="Small"/>
  </r>
  <r>
    <n v="10173"/>
    <n v="48"/>
    <n v="4421"/>
    <n v="212208"/>
    <n v="212208"/>
    <n v="5"/>
    <s v="11/5/2003 0:00"/>
    <x v="0"/>
    <x v="3"/>
    <x v="5"/>
    <x v="0"/>
    <x v="3"/>
    <n v="53"/>
    <s v="S18_1367"/>
    <x v="86"/>
    <s v="035-640555"/>
    <s v="Via Ludovico il Moro 22"/>
    <s v=""/>
    <s v="Bergamo"/>
    <s v=""/>
    <s v="24100"/>
    <x v="12"/>
    <s v="EMEA"/>
    <s v="Rovelli"/>
    <s v="Giovanni"/>
    <s v="Giovanni, Rovelli"/>
    <s v="Small"/>
  </r>
  <r>
    <n v="10182"/>
    <n v="32"/>
    <n v="5445"/>
    <n v="174240"/>
    <n v="174240"/>
    <n v="2"/>
    <s v="11/12/2003 0:00"/>
    <x v="0"/>
    <x v="3"/>
    <x v="5"/>
    <x v="0"/>
    <x v="3"/>
    <n v="53"/>
    <s v="S18_1367"/>
    <x v="39"/>
    <s v="4155551450"/>
    <s v="5677 Strong St."/>
    <s v=""/>
    <s v="San Rafael"/>
    <s v="CA"/>
    <s v="97562"/>
    <x v="0"/>
    <s v="NA"/>
    <s v="Nelson"/>
    <s v="Valarie"/>
    <s v="Valarie, Nelson"/>
    <s v="Small"/>
  </r>
  <r>
    <n v="10193"/>
    <n v="46"/>
    <n v="5337"/>
    <n v="245502"/>
    <n v="245502"/>
    <n v="6"/>
    <s v="11/21/2003 0:00"/>
    <x v="0"/>
    <x v="3"/>
    <x v="5"/>
    <x v="0"/>
    <x v="3"/>
    <n v="53"/>
    <s v="S18_1367"/>
    <x v="87"/>
    <s v="61-9-3844-6555"/>
    <s v="7 Allen Street"/>
    <s v=""/>
    <s v="Glen Waverly"/>
    <s v="Victoria"/>
    <s v="3150"/>
    <x v="3"/>
    <s v="APAC"/>
    <s v="Connery"/>
    <s v="Sean"/>
    <s v="Sean, Connery"/>
    <s v="Small"/>
  </r>
  <r>
    <n v="10205"/>
    <n v="48"/>
    <n v="6361"/>
    <n v="305328"/>
    <n v="305328"/>
    <n v="1"/>
    <s v="12/3/2003 0:00"/>
    <x v="0"/>
    <x v="3"/>
    <x v="6"/>
    <x v="0"/>
    <x v="3"/>
    <n v="53"/>
    <s v="S18_1367"/>
    <x v="23"/>
    <s v="(91) 555 94 44"/>
    <s v="C/ Moralzarzal, 86"/>
    <s v=""/>
    <s v="Madrid"/>
    <s v=""/>
    <s v="28034"/>
    <x v="7"/>
    <s v="EMEA"/>
    <s v="Freyre"/>
    <s v="Diego"/>
    <s v="Diego, Freyre"/>
    <s v="Medium"/>
  </r>
  <r>
    <n v="10215"/>
    <n v="33"/>
    <n v="4313"/>
    <n v="142329"/>
    <n v="142329"/>
    <n v="9"/>
    <s v="1/29/2004 0:00"/>
    <x v="0"/>
    <x v="0"/>
    <x v="7"/>
    <x v="1"/>
    <x v="3"/>
    <n v="53"/>
    <s v="S18_1367"/>
    <x v="32"/>
    <s v="3105553722"/>
    <s v="3675 Furth Circle"/>
    <s v=""/>
    <s v="Burbank"/>
    <s v="CA"/>
    <s v="94019"/>
    <x v="0"/>
    <s v="NA"/>
    <s v="Thompson"/>
    <s v="Steve"/>
    <s v="Steve, Thompson"/>
    <s v="Small"/>
  </r>
  <r>
    <n v="10227"/>
    <n v="31"/>
    <n v="4852"/>
    <n v="150412"/>
    <n v="150412"/>
    <n v="2"/>
    <s v="3/2/2004 0:00"/>
    <x v="0"/>
    <x v="0"/>
    <x v="11"/>
    <x v="1"/>
    <x v="3"/>
    <n v="53"/>
    <s v="S18_1367"/>
    <x v="30"/>
    <s v="78.32.5555"/>
    <s v="2, rue du Commerce"/>
    <s v=""/>
    <s v="Lyon"/>
    <s v=""/>
    <s v="69004"/>
    <x v="1"/>
    <s v="EMEA"/>
    <s v="Saveley"/>
    <s v="Mary"/>
    <s v="Mary, Saveley"/>
    <s v="Small"/>
  </r>
  <r>
    <n v="10244"/>
    <n v="20"/>
    <n v="5822"/>
    <n v="116440"/>
    <n v="116440"/>
    <n v="6"/>
    <s v="4/29/2004 0:00"/>
    <x v="0"/>
    <x v="1"/>
    <x v="8"/>
    <x v="1"/>
    <x v="3"/>
    <n v="53"/>
    <s v="S18_1367"/>
    <x v="23"/>
    <s v="(91) 555 94 44"/>
    <s v="C/ Moralzarzal, 86"/>
    <s v=""/>
    <s v="Madrid"/>
    <s v=""/>
    <s v="28034"/>
    <x v="7"/>
    <s v="EMEA"/>
    <s v="Freyre"/>
    <s v="Diego"/>
    <s v="Diego, Freyre"/>
    <s v="Small"/>
  </r>
  <r>
    <n v="10256"/>
    <n v="29"/>
    <n v="5175"/>
    <n v="150075"/>
    <n v="150075"/>
    <n v="1"/>
    <s v="6/8/2004 0:00"/>
    <x v="0"/>
    <x v="1"/>
    <x v="9"/>
    <x v="1"/>
    <x v="3"/>
    <n v="53"/>
    <s v="S18_1367"/>
    <x v="48"/>
    <s v="31 12 3555"/>
    <s v="Vinb'ltet 34"/>
    <s v=""/>
    <s v="Kobenhavn"/>
    <s v=""/>
    <s v="1734"/>
    <x v="13"/>
    <s v="EMEA"/>
    <s v="Petersen"/>
    <s v="Jytte"/>
    <s v="Jytte, Petersen"/>
    <s v="Small"/>
  </r>
  <r>
    <n v="10280"/>
    <n v="27"/>
    <n v="5768"/>
    <n v="155736"/>
    <n v="155736"/>
    <n v="8"/>
    <s v="8/17/2004 0:00"/>
    <x v="0"/>
    <x v="2"/>
    <x v="3"/>
    <x v="1"/>
    <x v="3"/>
    <n v="53"/>
    <s v="S18_1367"/>
    <x v="36"/>
    <s v="011-4988555"/>
    <s v="Via Monte Bianco 34"/>
    <s v=""/>
    <s v="Torino"/>
    <s v=""/>
    <s v="10100"/>
    <x v="12"/>
    <s v="EMEA"/>
    <s v="Accorti"/>
    <s v="Paolo"/>
    <s v="Paolo, Accorti"/>
    <s v="Small"/>
  </r>
  <r>
    <n v="10289"/>
    <n v="24"/>
    <n v="5607"/>
    <n v="134568"/>
    <n v="134568"/>
    <n v="1"/>
    <s v="9/3/2004 0:00"/>
    <x v="0"/>
    <x v="2"/>
    <x v="10"/>
    <x v="1"/>
    <x v="3"/>
    <n v="53"/>
    <s v="S18_1367"/>
    <x v="7"/>
    <s v="+47 2267 3215"/>
    <s v="Drammen 121, PR 744 Sentrum"/>
    <s v=""/>
    <s v="Bergen"/>
    <s v=""/>
    <s v="N 5804"/>
    <x v="2"/>
    <s v="EMEA"/>
    <s v="Oeztan"/>
    <s v="Veysel"/>
    <s v="Veysel, Oeztan"/>
    <s v="Small"/>
  </r>
  <r>
    <n v="10304"/>
    <n v="37"/>
    <n v="4852"/>
    <n v="179524"/>
    <n v="179524"/>
    <n v="12"/>
    <s v="10/11/2004 0:00"/>
    <x v="0"/>
    <x v="3"/>
    <x v="4"/>
    <x v="1"/>
    <x v="3"/>
    <n v="53"/>
    <s v="S18_1367"/>
    <x v="38"/>
    <s v="30.59.8555"/>
    <s v="67, avenue de l'Europe"/>
    <s v=""/>
    <s v="Versailles"/>
    <s v=""/>
    <s v="78000"/>
    <x v="1"/>
    <s v="EMEA"/>
    <s v="Tonini"/>
    <s v="Daniel"/>
    <s v="Daniel, Tonini"/>
    <s v="Small"/>
  </r>
  <r>
    <n v="10312"/>
    <n v="25"/>
    <n v="4421"/>
    <n v="110525"/>
    <n v="110525"/>
    <n v="9"/>
    <s v="10/21/2004 0:00"/>
    <x v="0"/>
    <x v="3"/>
    <x v="4"/>
    <x v="1"/>
    <x v="3"/>
    <n v="53"/>
    <s v="S18_1367"/>
    <x v="39"/>
    <s v="4155551450"/>
    <s v="5677 Strong St."/>
    <s v=""/>
    <s v="San Rafael"/>
    <s v="CA"/>
    <s v="97562"/>
    <x v="0"/>
    <s v="NA"/>
    <s v="Nelson"/>
    <s v="Valarie"/>
    <s v="Valarie, Nelson"/>
    <s v="Small"/>
  </r>
  <r>
    <n v="10322"/>
    <n v="41"/>
    <n v="5768"/>
    <n v="236488"/>
    <n v="236488"/>
    <n v="5"/>
    <s v="11/4/2004 0:00"/>
    <x v="0"/>
    <x v="3"/>
    <x v="5"/>
    <x v="1"/>
    <x v="3"/>
    <n v="53"/>
    <s v="S18_1367"/>
    <x v="40"/>
    <s v="6035558647"/>
    <s v="2304 Long Airport Avenue"/>
    <s v=""/>
    <s v="Nashua"/>
    <s v="NH"/>
    <s v="62005"/>
    <x v="0"/>
    <s v="NA"/>
    <s v="Young"/>
    <s v="Valarie"/>
    <s v="Valarie, Young"/>
    <s v="Small"/>
  </r>
  <r>
    <n v="10332"/>
    <n v="27"/>
    <n v="8989"/>
    <n v="242703"/>
    <n v="242703"/>
    <n v="16"/>
    <s v="11/17/2004 0:00"/>
    <x v="0"/>
    <x v="3"/>
    <x v="5"/>
    <x v="1"/>
    <x v="3"/>
    <n v="53"/>
    <s v="S18_1367"/>
    <x v="77"/>
    <s v="(171) 555-1555"/>
    <s v="Fauntleroy Circus"/>
    <s v=""/>
    <s v="Manchester"/>
    <s v=""/>
    <s v="EC2 5NT"/>
    <x v="6"/>
    <s v="EMEA"/>
    <s v="Ashworth"/>
    <s v="Victoria"/>
    <s v="Victoria, Ashworth"/>
    <s v="Small"/>
  </r>
  <r>
    <n v="10347"/>
    <n v="21"/>
    <n v="5895"/>
    <n v="123795"/>
    <n v="123795"/>
    <n v="7"/>
    <s v="11/29/2004 0:00"/>
    <x v="0"/>
    <x v="3"/>
    <x v="5"/>
    <x v="1"/>
    <x v="3"/>
    <n v="53"/>
    <s v="S18_1367"/>
    <x v="10"/>
    <s v="03 9520 4555"/>
    <s v="636 St Kilda Road"/>
    <s v="Level 3"/>
    <s v="Melbourne"/>
    <s v="Victoria"/>
    <s v="3004"/>
    <x v="3"/>
    <s v="APAC"/>
    <s v="Ferguson"/>
    <s v="Peter"/>
    <s v="Peter, Ferguson"/>
    <s v="Small"/>
  </r>
  <r>
    <n v="10356"/>
    <n v="22"/>
    <n v="7241"/>
    <n v="159302"/>
    <n v="159302"/>
    <n v="6"/>
    <s v="12/9/2004 0:00"/>
    <x v="0"/>
    <x v="3"/>
    <x v="6"/>
    <x v="1"/>
    <x v="3"/>
    <n v="53"/>
    <s v="S18_1367"/>
    <x v="2"/>
    <s v="+33 1 46 62 7555"/>
    <s v="27 rue du Colonel Pierre Avia"/>
    <s v=""/>
    <s v="Paris"/>
    <s v=""/>
    <s v="75508"/>
    <x v="1"/>
    <s v="EMEA"/>
    <s v="Da Cunha"/>
    <s v="Daniel"/>
    <s v="Daniel, Da Cunha"/>
    <s v="Small"/>
  </r>
  <r>
    <n v="10369"/>
    <n v="32"/>
    <n v="9863"/>
    <n v="315616"/>
    <n v="315616"/>
    <n v="7"/>
    <s v="1/20/2005 0:00"/>
    <x v="0"/>
    <x v="0"/>
    <x v="7"/>
    <x v="2"/>
    <x v="3"/>
    <n v="53"/>
    <s v="S18_1367"/>
    <x v="41"/>
    <s v="6175558555"/>
    <s v="7825 Douglas Av."/>
    <s v=""/>
    <s v="Brickhaven"/>
    <s v="MA"/>
    <s v="58339"/>
    <x v="0"/>
    <s v="NA"/>
    <s v="Nelson"/>
    <s v="Allen"/>
    <s v="Allen, Nelson"/>
    <s v="Medium"/>
  </r>
  <r>
    <n v="10381"/>
    <n v="25"/>
    <n v="5283"/>
    <n v="132075"/>
    <n v="132075"/>
    <n v="9"/>
    <s v="2/17/2005 0:00"/>
    <x v="0"/>
    <x v="0"/>
    <x v="0"/>
    <x v="2"/>
    <x v="3"/>
    <n v="53"/>
    <s v="S18_1367"/>
    <x v="4"/>
    <s v="6505551386"/>
    <s v="7734 Strong St."/>
    <s v=""/>
    <s v="San Francisco"/>
    <s v="CA"/>
    <s v=""/>
    <x v="0"/>
    <s v="NA"/>
    <s v="Brown"/>
    <s v="Julie"/>
    <s v="Julie, Brown"/>
    <s v="Small"/>
  </r>
  <r>
    <n v="10391"/>
    <n v="42"/>
    <n v="100"/>
    <n v="4200"/>
    <n v="4200"/>
    <n v="3"/>
    <s v="3/9/2005 0:00"/>
    <x v="0"/>
    <x v="0"/>
    <x v="11"/>
    <x v="2"/>
    <x v="3"/>
    <n v="53"/>
    <s v="S18_1367"/>
    <x v="42"/>
    <s v="02 9936 8555"/>
    <s v="201 Miller Street"/>
    <s v="Level 15"/>
    <s v="North Sydney"/>
    <s v="NSW"/>
    <s v="2060"/>
    <x v="3"/>
    <s v="APAC"/>
    <s v="O'Hara"/>
    <s v="Anna"/>
    <s v="Anna, O'Hara"/>
    <s v="Medium"/>
  </r>
  <r>
    <n v="10422"/>
    <n v="25"/>
    <n v="5175"/>
    <n v="129375"/>
    <n v="0"/>
    <n v="1"/>
    <s v="5/30/2005 0:00"/>
    <x v="2"/>
    <x v="1"/>
    <x v="1"/>
    <x v="2"/>
    <x v="3"/>
    <n v="53"/>
    <s v="S18_1367"/>
    <x v="18"/>
    <s v="2155551555"/>
    <s v="7586 Pompton St."/>
    <s v=""/>
    <s v="Allentown"/>
    <s v="PA"/>
    <s v="70267"/>
    <x v="0"/>
    <s v="NA"/>
    <s v="Yu"/>
    <s v="Kyung"/>
    <s v="Kyung, Yu"/>
    <s v="Small"/>
  </r>
  <r>
    <n v="10110"/>
    <n v="37"/>
    <n v="100"/>
    <n v="3700"/>
    <n v="3700"/>
    <n v="16"/>
    <s v="3/18/2003 0:00"/>
    <x v="0"/>
    <x v="0"/>
    <x v="11"/>
    <x v="0"/>
    <x v="1"/>
    <n v="124"/>
    <s v="S18_1589"/>
    <x v="77"/>
    <s v="(171) 555-1555"/>
    <s v="Fauntleroy Circus"/>
    <s v=""/>
    <s v="Manchester"/>
    <s v=""/>
    <s v="EC2 5NT"/>
    <x v="6"/>
    <s v="EMEA"/>
    <s v="Ashworth"/>
    <s v="Victoria"/>
    <s v="Victoria, Ashworth"/>
    <s v="Medium"/>
  </r>
  <r>
    <n v="10123"/>
    <n v="26"/>
    <n v="100"/>
    <n v="2600"/>
    <n v="2600"/>
    <n v="2"/>
    <s v="5/20/2003 0:00"/>
    <x v="0"/>
    <x v="1"/>
    <x v="1"/>
    <x v="0"/>
    <x v="1"/>
    <n v="124"/>
    <s v="S18_1589"/>
    <x v="46"/>
    <s v="40.32.2555"/>
    <s v="54, rue Royale"/>
    <s v=""/>
    <s v="Nantes"/>
    <s v=""/>
    <s v="44000"/>
    <x v="1"/>
    <s v="EMEA"/>
    <s v="Schmitt"/>
    <s v="Carine"/>
    <s v="Carine, Schmitt"/>
    <s v="Medium"/>
  </r>
  <r>
    <n v="10137"/>
    <n v="44"/>
    <n v="9955"/>
    <n v="438020"/>
    <n v="438020"/>
    <n v="2"/>
    <s v="7/10/2003 0:00"/>
    <x v="0"/>
    <x v="2"/>
    <x v="2"/>
    <x v="0"/>
    <x v="1"/>
    <n v="124"/>
    <s v="S18_1589"/>
    <x v="1"/>
    <s v="26.47.1555"/>
    <s v="59 rue de l'Abbaye"/>
    <s v=""/>
    <s v="Reims"/>
    <s v=""/>
    <s v="51100"/>
    <x v="1"/>
    <s v="EMEA"/>
    <s v="Henriot"/>
    <s v="Paul"/>
    <s v="Paul, Henriot"/>
    <s v="Medium"/>
  </r>
  <r>
    <n v="10148"/>
    <n v="47"/>
    <n v="100"/>
    <n v="4700"/>
    <n v="4700"/>
    <n v="9"/>
    <s v="9/11/2003 0:00"/>
    <x v="0"/>
    <x v="2"/>
    <x v="10"/>
    <x v="0"/>
    <x v="1"/>
    <n v="124"/>
    <s v="S18_1589"/>
    <x v="42"/>
    <s v="02 9936 8555"/>
    <s v="201 Miller Street"/>
    <s v="Level 15"/>
    <s v="North Sydney"/>
    <s v="NSW"/>
    <s v="2060"/>
    <x v="3"/>
    <s v="APAC"/>
    <s v="O'Hara"/>
    <s v="Anna"/>
    <s v="Anna, O'Hara"/>
    <s v="Medium"/>
  </r>
  <r>
    <n v="10161"/>
    <n v="43"/>
    <n v="100"/>
    <n v="4300"/>
    <n v="4300"/>
    <n v="8"/>
    <s v="10/17/2003 0:00"/>
    <x v="0"/>
    <x v="3"/>
    <x v="4"/>
    <x v="0"/>
    <x v="1"/>
    <n v="124"/>
    <s v="S18_1589"/>
    <x v="78"/>
    <s v="86 21 3555"/>
    <s v="Smagsloget 45"/>
    <s v=""/>
    <s v="Aaarhus"/>
    <s v=""/>
    <s v="8200"/>
    <x v="13"/>
    <s v="EMEA"/>
    <s v="Ibsen"/>
    <s v="Palle"/>
    <s v="Palle, Ibsen"/>
    <s v="Medium"/>
  </r>
  <r>
    <n v="10172"/>
    <n v="42"/>
    <n v="100"/>
    <n v="4200"/>
    <n v="4200"/>
    <n v="6"/>
    <s v="11/5/2003 0:00"/>
    <x v="0"/>
    <x v="3"/>
    <x v="5"/>
    <x v="0"/>
    <x v="1"/>
    <n v="124"/>
    <s v="S18_1589"/>
    <x v="13"/>
    <s v="2035552570"/>
    <s v="25593 South Bay Ln."/>
    <s v=""/>
    <s v="Bridgewater"/>
    <s v="CT"/>
    <s v="97562"/>
    <x v="0"/>
    <s v="NA"/>
    <s v="King"/>
    <s v="Julie"/>
    <s v="Julie, King"/>
    <s v="Medium"/>
  </r>
  <r>
    <n v="10181"/>
    <n v="42"/>
    <n v="100"/>
    <n v="4200"/>
    <n v="4200"/>
    <n v="2"/>
    <s v="11/12/2003 0:00"/>
    <x v="0"/>
    <x v="3"/>
    <x v="5"/>
    <x v="0"/>
    <x v="1"/>
    <n v="124"/>
    <s v="S18_1589"/>
    <x v="7"/>
    <s v="+47 2267 3215"/>
    <s v="Drammen 121, PR 744 Sentrum"/>
    <s v=""/>
    <s v="Bergen"/>
    <s v=""/>
    <s v="N 5804"/>
    <x v="2"/>
    <s v="EMEA"/>
    <s v="Oeztan"/>
    <s v="Veysel"/>
    <s v="Veysel, Oeztan"/>
    <s v="Medium"/>
  </r>
  <r>
    <n v="10192"/>
    <n v="29"/>
    <n v="100"/>
    <n v="2900"/>
    <n v="2900"/>
    <n v="7"/>
    <s v="11/20/2003 0:00"/>
    <x v="0"/>
    <x v="3"/>
    <x v="5"/>
    <x v="0"/>
    <x v="1"/>
    <n v="124"/>
    <s v="S18_1589"/>
    <x v="40"/>
    <s v="6035558647"/>
    <s v="2304 Long Airport Avenue"/>
    <s v=""/>
    <s v="Nashua"/>
    <s v="NH"/>
    <s v="62005"/>
    <x v="0"/>
    <s v="NA"/>
    <s v="Young"/>
    <s v="Valarie"/>
    <s v="Valarie, Young"/>
    <s v="Medium"/>
  </r>
  <r>
    <n v="10204"/>
    <n v="40"/>
    <n v="100"/>
    <n v="4000"/>
    <n v="4000"/>
    <n v="13"/>
    <s v="12/2/2003 0:00"/>
    <x v="0"/>
    <x v="3"/>
    <x v="6"/>
    <x v="0"/>
    <x v="1"/>
    <n v="124"/>
    <s v="S18_1589"/>
    <x v="74"/>
    <s v="2125557413"/>
    <s v="4092 Furth Circle"/>
    <s v="Suite 400"/>
    <s v="NYC"/>
    <s v="NY"/>
    <s v="10022"/>
    <x v="0"/>
    <s v="NA"/>
    <s v="Young"/>
    <s v="Jeff"/>
    <s v="Jeff, Young"/>
    <s v="Medium"/>
  </r>
  <r>
    <n v="10212"/>
    <n v="38"/>
    <n v="100"/>
    <n v="3800"/>
    <n v="3800"/>
    <n v="6"/>
    <s v="1/16/2004 0:00"/>
    <x v="0"/>
    <x v="0"/>
    <x v="7"/>
    <x v="1"/>
    <x v="1"/>
    <n v="124"/>
    <s v="S18_1589"/>
    <x v="23"/>
    <s v="(91) 555 94 44"/>
    <s v="C/ Moralzarzal, 86"/>
    <s v=""/>
    <s v="Madrid"/>
    <s v=""/>
    <s v="28034"/>
    <x v="7"/>
    <s v="EMEA"/>
    <s v="Freyre"/>
    <s v="Diego"/>
    <s v="Diego, Freyre"/>
    <s v="Medium"/>
  </r>
  <r>
    <n v="10226"/>
    <n v="38"/>
    <n v="100"/>
    <n v="3800"/>
    <n v="3800"/>
    <n v="4"/>
    <s v="2/26/2004 0:00"/>
    <x v="0"/>
    <x v="0"/>
    <x v="0"/>
    <x v="1"/>
    <x v="1"/>
    <n v="124"/>
    <s v="S18_1589"/>
    <x v="55"/>
    <s v="7605558146"/>
    <s v="361 Furth Circle"/>
    <s v=""/>
    <s v="San Diego"/>
    <s v="CA"/>
    <s v="91217"/>
    <x v="0"/>
    <s v="NA"/>
    <s v="Thompson"/>
    <s v="Valarie"/>
    <s v="Valarie, Thompson"/>
    <s v="Medium"/>
  </r>
  <r>
    <n v="10241"/>
    <n v="21"/>
    <n v="100"/>
    <n v="2100"/>
    <n v="2100"/>
    <n v="11"/>
    <s v="4/13/2004 0:00"/>
    <x v="0"/>
    <x v="1"/>
    <x v="8"/>
    <x v="1"/>
    <x v="1"/>
    <n v="124"/>
    <s v="S18_1589"/>
    <x v="83"/>
    <s v="88.60.1555"/>
    <s v="24, place Kluber"/>
    <s v=""/>
    <s v="Strasbourg"/>
    <s v=""/>
    <s v="67000"/>
    <x v="1"/>
    <s v="EMEA"/>
    <s v="Citeaux"/>
    <s v="Frederique"/>
    <s v="Frederique, Citeaux"/>
    <s v="Small"/>
  </r>
  <r>
    <n v="10253"/>
    <n v="24"/>
    <n v="100"/>
    <n v="2400"/>
    <n v="0"/>
    <n v="1"/>
    <s v="6/1/2004 0:00"/>
    <x v="3"/>
    <x v="1"/>
    <x v="9"/>
    <x v="1"/>
    <x v="1"/>
    <n v="124"/>
    <s v="S18_1589"/>
    <x v="22"/>
    <s v="(171) 555-2282"/>
    <s v="Berkeley Gardens 12  Brewery"/>
    <s v=""/>
    <s v="Liverpool"/>
    <s v=""/>
    <s v="WX1 6LT"/>
    <x v="6"/>
    <s v="EMEA"/>
    <s v="Devon"/>
    <s v="Elizabeth"/>
    <s v="Elizabeth, Devon"/>
    <s v="Medium"/>
  </r>
  <r>
    <n v="10266"/>
    <n v="36"/>
    <n v="100"/>
    <n v="3600"/>
    <n v="3600"/>
    <n v="2"/>
    <s v="7/6/2004 0:00"/>
    <x v="0"/>
    <x v="2"/>
    <x v="2"/>
    <x v="1"/>
    <x v="1"/>
    <n v="124"/>
    <s v="S18_1589"/>
    <x v="70"/>
    <s v="0522-556555"/>
    <s v="Strada Provinciale 124"/>
    <s v=""/>
    <s v="Reggio Emilia"/>
    <s v=""/>
    <s v="42100"/>
    <x v="12"/>
    <s v="EMEA"/>
    <s v="Moroni"/>
    <s v="Maurizio"/>
    <s v="Maurizio, Moroni"/>
    <s v="Medium"/>
  </r>
  <r>
    <n v="10278"/>
    <n v="23"/>
    <n v="100"/>
    <n v="2300"/>
    <n v="2300"/>
    <n v="2"/>
    <s v="8/6/2004 0:00"/>
    <x v="0"/>
    <x v="2"/>
    <x v="3"/>
    <x v="1"/>
    <x v="1"/>
    <n v="124"/>
    <s v="S18_1589"/>
    <x v="84"/>
    <s v="7025551838"/>
    <s v="8489 Strong St."/>
    <s v=""/>
    <s v="Las Vegas"/>
    <s v="NV"/>
    <s v="83030"/>
    <x v="0"/>
    <s v="NA"/>
    <s v="King"/>
    <s v="Sue"/>
    <s v="Sue, King"/>
    <s v="Small"/>
  </r>
  <r>
    <n v="10288"/>
    <n v="20"/>
    <n v="100"/>
    <n v="2000"/>
    <n v="2000"/>
    <n v="14"/>
    <s v="9/1/2004 0:00"/>
    <x v="0"/>
    <x v="2"/>
    <x v="10"/>
    <x v="1"/>
    <x v="1"/>
    <n v="124"/>
    <s v="S18_1589"/>
    <x v="65"/>
    <s v="+65 224 1555"/>
    <s v="Village Close - 106 Linden Road Sandown"/>
    <s v="2nd Floor"/>
    <s v="Singapore"/>
    <s v=""/>
    <s v="69045"/>
    <x v="9"/>
    <s v="APAC"/>
    <s v="Victorino"/>
    <s v="Wendy"/>
    <s v="Wendy, Victorino"/>
    <s v="Small"/>
  </r>
  <r>
    <n v="10301"/>
    <n v="32"/>
    <n v="100"/>
    <n v="3200"/>
    <n v="3200"/>
    <n v="4"/>
    <s v="10/5/2003 0:00"/>
    <x v="0"/>
    <x v="3"/>
    <x v="4"/>
    <x v="0"/>
    <x v="1"/>
    <n v="124"/>
    <s v="S18_1589"/>
    <x v="85"/>
    <s v="+47 2212 1555"/>
    <s v="Drammensveien 126 A, PB 744 Sentrum"/>
    <s v=""/>
    <s v="Oslo"/>
    <s v=""/>
    <s v="N 0106"/>
    <x v="2"/>
    <s v="EMEA"/>
    <s v="Klaeboe"/>
    <s v="Jan"/>
    <s v="Jan, Klaeboe"/>
    <s v="Medium"/>
  </r>
  <r>
    <n v="10311"/>
    <n v="29"/>
    <n v="100"/>
    <n v="2900"/>
    <n v="2900"/>
    <n v="9"/>
    <s v="10/16/2004 0:00"/>
    <x v="0"/>
    <x v="3"/>
    <x v="4"/>
    <x v="1"/>
    <x v="1"/>
    <n v="124"/>
    <s v="S18_1589"/>
    <x v="23"/>
    <s v="(91) 555 94 44"/>
    <s v="C/ Moralzarzal, 86"/>
    <s v=""/>
    <s v="Madrid"/>
    <s v=""/>
    <s v="28034"/>
    <x v="7"/>
    <s v="EMEA"/>
    <s v="Freyre"/>
    <s v="Diego"/>
    <s v="Diego, Freyre"/>
    <s v="Small"/>
  </r>
  <r>
    <n v="10321"/>
    <n v="44"/>
    <n v="100"/>
    <n v="4400"/>
    <n v="4400"/>
    <n v="6"/>
    <s v="11/4/2004 0:00"/>
    <x v="0"/>
    <x v="3"/>
    <x v="5"/>
    <x v="1"/>
    <x v="1"/>
    <n v="124"/>
    <s v="S18_1589"/>
    <x v="21"/>
    <s v="5085552555"/>
    <s v="1785 First Street"/>
    <s v=""/>
    <s v="New Bedford"/>
    <s v="MA"/>
    <s v="50553"/>
    <x v="0"/>
    <s v="NA"/>
    <s v="Benitez"/>
    <s v="Violeta"/>
    <s v="Violeta, Benitez"/>
    <s v="Medium"/>
  </r>
  <r>
    <n v="10331"/>
    <n v="44"/>
    <n v="100"/>
    <n v="4400"/>
    <n v="4400"/>
    <n v="14"/>
    <s v="11/17/2004 0:00"/>
    <x v="0"/>
    <x v="3"/>
    <x v="5"/>
    <x v="1"/>
    <x v="1"/>
    <n v="124"/>
    <s v="S18_1589"/>
    <x v="45"/>
    <s v="2155559857"/>
    <s v="11328 Douglas Av."/>
    <s v=""/>
    <s v="Philadelphia"/>
    <s v="PA"/>
    <s v="71270"/>
    <x v="0"/>
    <s v="NA"/>
    <s v="Hernandez"/>
    <s v="Rosa"/>
    <s v="Rosa, Hernandez"/>
    <s v="Medium"/>
  </r>
  <r>
    <n v="10343"/>
    <n v="36"/>
    <n v="100"/>
    <n v="3600"/>
    <n v="3600"/>
    <n v="4"/>
    <s v="11/24/2004 0:00"/>
    <x v="0"/>
    <x v="3"/>
    <x v="5"/>
    <x v="1"/>
    <x v="1"/>
    <n v="124"/>
    <s v="S18_1589"/>
    <x v="1"/>
    <s v="26.47.1555"/>
    <s v="59 rue de l'Abbaye"/>
    <s v=""/>
    <s v="Reims"/>
    <s v=""/>
    <s v="51100"/>
    <x v="1"/>
    <s v="EMEA"/>
    <s v="Henriot"/>
    <s v="Paul"/>
    <s v="Paul, Henriot"/>
    <s v="Medium"/>
  </r>
  <r>
    <n v="10367"/>
    <n v="49"/>
    <n v="563"/>
    <n v="27587"/>
    <n v="27587"/>
    <n v="1"/>
    <s v="1/12/2005 0:00"/>
    <x v="5"/>
    <x v="0"/>
    <x v="7"/>
    <x v="2"/>
    <x v="1"/>
    <n v="124"/>
    <s v="S18_1589"/>
    <x v="3"/>
    <s v="6265557265"/>
    <s v="78934 Hillside Dr."/>
    <s v=""/>
    <s v="Pasadena"/>
    <s v="CA"/>
    <s v="90003"/>
    <x v="0"/>
    <s v="NA"/>
    <s v="Young"/>
    <s v="Julie"/>
    <s v="Julie, Young"/>
    <s v="Small"/>
  </r>
  <r>
    <n v="10378"/>
    <n v="34"/>
    <n v="4264"/>
    <n v="144976"/>
    <n v="144976"/>
    <n v="5"/>
    <s v="2/10/2005 0:00"/>
    <x v="0"/>
    <x v="0"/>
    <x v="0"/>
    <x v="2"/>
    <x v="1"/>
    <n v="124"/>
    <s v="S18_1589"/>
    <x v="23"/>
    <s v="(91) 555 94 44"/>
    <s v="C/ Moralzarzal, 86"/>
    <s v=""/>
    <s v="Madrid"/>
    <s v=""/>
    <s v="28034"/>
    <x v="7"/>
    <s v="EMEA"/>
    <s v="Freyre"/>
    <s v="Diego"/>
    <s v="Diego, Freyre"/>
    <s v="Small"/>
  </r>
  <r>
    <n v="10407"/>
    <n v="59"/>
    <n v="100"/>
    <n v="5900"/>
    <n v="0"/>
    <n v="11"/>
    <s v="4/22/2005 0:00"/>
    <x v="4"/>
    <x v="1"/>
    <x v="8"/>
    <x v="2"/>
    <x v="1"/>
    <n v="124"/>
    <s v="S18_1589"/>
    <x v="61"/>
    <s v="4085553659"/>
    <s v="3086 Ingle Ln."/>
    <s v=""/>
    <s v="San Jose"/>
    <s v="CA"/>
    <s v="94217"/>
    <x v="0"/>
    <s v="NA"/>
    <s v="Frick"/>
    <s v="Sue"/>
    <s v="Sue, Frick"/>
    <s v="Large"/>
  </r>
  <r>
    <n v="10419"/>
    <n v="37"/>
    <n v="100"/>
    <n v="3700"/>
    <n v="3700"/>
    <n v="1"/>
    <s v="5/17/2005 0:00"/>
    <x v="0"/>
    <x v="1"/>
    <x v="1"/>
    <x v="2"/>
    <x v="1"/>
    <n v="124"/>
    <s v="S18_1589"/>
    <x v="19"/>
    <s v="6562-9555"/>
    <s v="Geislweg 14"/>
    <s v=""/>
    <s v="Salzburg"/>
    <s v=""/>
    <s v="5020"/>
    <x v="5"/>
    <s v="EMEA"/>
    <s v="Pipps"/>
    <s v="Georg"/>
    <s v="Georg, Pipps"/>
    <s v="Medium"/>
  </r>
  <r>
    <n v="10106"/>
    <n v="36"/>
    <n v="100"/>
    <n v="3600"/>
    <n v="3600"/>
    <n v="12"/>
    <s v="2/17/2003 0:00"/>
    <x v="0"/>
    <x v="0"/>
    <x v="0"/>
    <x v="0"/>
    <x v="4"/>
    <n v="157"/>
    <s v="S18_1662"/>
    <x v="86"/>
    <s v="035-640555"/>
    <s v="Via Ludovico il Moro 22"/>
    <s v=""/>
    <s v="Bergamo"/>
    <s v=""/>
    <s v="24100"/>
    <x v="12"/>
    <s v="EMEA"/>
    <s v="Rovelli"/>
    <s v="Giovanni"/>
    <s v="Giovanni, Rovelli"/>
    <s v="Medium"/>
  </r>
  <r>
    <n v="10119"/>
    <n v="43"/>
    <n v="100"/>
    <n v="4300"/>
    <n v="4300"/>
    <n v="3"/>
    <s v="4/28/2003 0:00"/>
    <x v="0"/>
    <x v="1"/>
    <x v="8"/>
    <x v="0"/>
    <x v="4"/>
    <n v="157"/>
    <s v="S18_1662"/>
    <x v="19"/>
    <s v="6562-9555"/>
    <s v="Geislweg 14"/>
    <s v=""/>
    <s v="Salzburg"/>
    <s v=""/>
    <s v="5020"/>
    <x v="5"/>
    <s v="EMEA"/>
    <s v="Pipps"/>
    <s v="Georg"/>
    <s v="Georg, Pipps"/>
    <s v="Medium"/>
  </r>
  <r>
    <n v="10131"/>
    <n v="21"/>
    <n v="100"/>
    <n v="2100"/>
    <n v="2100"/>
    <n v="4"/>
    <s v="6/16/2003 0:00"/>
    <x v="0"/>
    <x v="1"/>
    <x v="9"/>
    <x v="0"/>
    <x v="4"/>
    <n v="157"/>
    <s v="S18_1662"/>
    <x v="88"/>
    <s v="2035554407"/>
    <s v="2440 Pompton St."/>
    <s v=""/>
    <s v="Glendale"/>
    <s v="CT"/>
    <s v="97561"/>
    <x v="0"/>
    <s v="NA"/>
    <s v="Lewis"/>
    <s v="Dan"/>
    <s v="Dan, Lewis"/>
    <s v="Small"/>
  </r>
  <r>
    <n v="10143"/>
    <n v="32"/>
    <n v="100"/>
    <n v="3200"/>
    <n v="3200"/>
    <n v="7"/>
    <s v="8/10/2003 0:00"/>
    <x v="0"/>
    <x v="2"/>
    <x v="3"/>
    <x v="0"/>
    <x v="4"/>
    <n v="157"/>
    <s v="S18_1662"/>
    <x v="50"/>
    <s v="5085559555"/>
    <s v="4575 Hillside Dr."/>
    <s v=""/>
    <s v="New Bedford"/>
    <s v="MA"/>
    <s v="50553"/>
    <x v="0"/>
    <s v="NA"/>
    <s v="Tam"/>
    <s v="Wing C"/>
    <s v="Wing C, Tam"/>
    <s v="Medium"/>
  </r>
  <r>
    <n v="10155"/>
    <n v="38"/>
    <n v="100"/>
    <n v="3800"/>
    <n v="3800"/>
    <n v="5"/>
    <s v="10/6/2003 0:00"/>
    <x v="0"/>
    <x v="3"/>
    <x v="4"/>
    <x v="0"/>
    <x v="4"/>
    <n v="157"/>
    <s v="S18_1662"/>
    <x v="16"/>
    <s v="90-224 8555"/>
    <s v="Keskuskatu 45"/>
    <s v=""/>
    <s v="Helsinki"/>
    <s v=""/>
    <s v="21240"/>
    <x v="4"/>
    <s v="EMEA"/>
    <s v="Karttunen"/>
    <s v="Matti"/>
    <s v="Matti, Karttunen"/>
    <s v="Medium"/>
  </r>
  <r>
    <n v="10167"/>
    <n v="43"/>
    <n v="100"/>
    <n v="4300"/>
    <n v="0"/>
    <n v="1"/>
    <s v="10/23/2003 0:00"/>
    <x v="3"/>
    <x v="3"/>
    <x v="4"/>
    <x v="0"/>
    <x v="4"/>
    <n v="157"/>
    <s v="S18_1662"/>
    <x v="37"/>
    <s v="0695-34 6555"/>
    <s v="?kergatan 24"/>
    <s v=""/>
    <s v="Boras"/>
    <s v=""/>
    <s v="S-844 67"/>
    <x v="8"/>
    <s v="EMEA"/>
    <s v="Larsson"/>
    <s v="Maria"/>
    <s v="Maria, Larsson"/>
    <s v="Medium"/>
  </r>
  <r>
    <n v="10178"/>
    <n v="42"/>
    <n v="100"/>
    <n v="4200"/>
    <n v="4200"/>
    <n v="4"/>
    <s v="11/8/2003 0:00"/>
    <x v="0"/>
    <x v="3"/>
    <x v="5"/>
    <x v="0"/>
    <x v="4"/>
    <n v="157"/>
    <s v="S18_1662"/>
    <x v="51"/>
    <s v="61.77.6555"/>
    <s v="1 rue Alsace-Lorraine"/>
    <s v=""/>
    <s v="Toulouse"/>
    <s v=""/>
    <s v="31000"/>
    <x v="1"/>
    <s v="EMEA"/>
    <s v="Roulet"/>
    <s v="Annette"/>
    <s v="Annette, Roulet"/>
    <s v="Medium"/>
  </r>
  <r>
    <n v="10186"/>
    <n v="32"/>
    <n v="100"/>
    <n v="3200"/>
    <n v="3200"/>
    <n v="1"/>
    <s v="11/14/2003 0:00"/>
    <x v="0"/>
    <x v="3"/>
    <x v="5"/>
    <x v="0"/>
    <x v="4"/>
    <n v="157"/>
    <s v="S18_1662"/>
    <x v="52"/>
    <s v="(171) 555-7555"/>
    <s v="120 Hanover Sq."/>
    <s v=""/>
    <s v="London"/>
    <s v=""/>
    <s v="WA1 1DP"/>
    <x v="6"/>
    <s v="EMEA"/>
    <s v="Hardy"/>
    <s v="Thomas"/>
    <s v="Thomas, Hardy"/>
    <s v="Medium"/>
  </r>
  <r>
    <n v="10198"/>
    <n v="42"/>
    <n v="100"/>
    <n v="4200"/>
    <n v="4200"/>
    <n v="4"/>
    <s v="11/27/2003 0:00"/>
    <x v="0"/>
    <x v="3"/>
    <x v="5"/>
    <x v="0"/>
    <x v="4"/>
    <n v="157"/>
    <s v="S18_1662"/>
    <x v="66"/>
    <s v="+63 2 555 3587"/>
    <s v="15 McCallum Street - NatWest Center #13-03"/>
    <s v=""/>
    <s v="Makati City"/>
    <s v=""/>
    <s v="1227 MM"/>
    <x v="15"/>
    <s v="Japan"/>
    <s v="Cruz"/>
    <s v="Arnold"/>
    <s v="Arnold, Cruz"/>
    <s v="Large"/>
  </r>
  <r>
    <n v="10210"/>
    <n v="31"/>
    <n v="100"/>
    <n v="3100"/>
    <n v="3100"/>
    <n v="17"/>
    <s v="1/12/2004 0:00"/>
    <x v="0"/>
    <x v="0"/>
    <x v="7"/>
    <x v="1"/>
    <x v="4"/>
    <n v="157"/>
    <s v="S18_1662"/>
    <x v="44"/>
    <s v="+81 06 6342 5555"/>
    <s v="Dojima Avanza 4F, 1-6-20 Dojima, Kita-ku"/>
    <s v=""/>
    <s v="Osaka"/>
    <s v="Osaka"/>
    <s v="530-0003"/>
    <x v="11"/>
    <s v="Japan"/>
    <s v="Kentary"/>
    <s v="Mory"/>
    <s v="Mory, Kentary"/>
    <s v="Medium"/>
  </r>
  <r>
    <n v="10222"/>
    <n v="49"/>
    <n v="100"/>
    <n v="4900"/>
    <n v="4900"/>
    <n v="4"/>
    <s v="2/19/2004 0:00"/>
    <x v="0"/>
    <x v="0"/>
    <x v="0"/>
    <x v="1"/>
    <x v="4"/>
    <n v="157"/>
    <s v="S18_1662"/>
    <x v="55"/>
    <s v="7605558146"/>
    <s v="361 Furth Circle"/>
    <s v=""/>
    <s v="San Diego"/>
    <s v="CA"/>
    <s v="91217"/>
    <x v="0"/>
    <s v="NA"/>
    <s v="Thompson"/>
    <s v="Valarie"/>
    <s v="Valarie, Thompson"/>
    <s v="Medium"/>
  </r>
  <r>
    <n v="10250"/>
    <n v="45"/>
    <n v="100"/>
    <n v="4500"/>
    <n v="4500"/>
    <n v="14"/>
    <s v="5/11/2004 0:00"/>
    <x v="0"/>
    <x v="1"/>
    <x v="1"/>
    <x v="1"/>
    <x v="4"/>
    <n v="157"/>
    <s v="S18_1662"/>
    <x v="61"/>
    <s v="4085553659"/>
    <s v="3086 Ingle Ln."/>
    <s v=""/>
    <s v="San Jose"/>
    <s v="CA"/>
    <s v="94217"/>
    <x v="0"/>
    <s v="NA"/>
    <s v="Frick"/>
    <s v="Sue"/>
    <s v="Sue, Frick"/>
    <s v="Large"/>
  </r>
  <r>
    <n v="10262"/>
    <n v="49"/>
    <n v="100"/>
    <n v="4900"/>
    <n v="0"/>
    <n v="9"/>
    <s v="6/24/2004 0:00"/>
    <x v="3"/>
    <x v="1"/>
    <x v="9"/>
    <x v="1"/>
    <x v="4"/>
    <n v="157"/>
    <s v="S18_1662"/>
    <x v="23"/>
    <s v="(91) 555 94 44"/>
    <s v="C/ Moralzarzal, 86"/>
    <s v=""/>
    <s v="Madrid"/>
    <s v=""/>
    <s v="28034"/>
    <x v="7"/>
    <s v="EMEA"/>
    <s v="Freyre"/>
    <s v="Diego"/>
    <s v="Diego, Freyre"/>
    <s v="Medium"/>
  </r>
  <r>
    <n v="10274"/>
    <n v="41"/>
    <n v="100"/>
    <n v="4100"/>
    <n v="4100"/>
    <n v="1"/>
    <s v="7/21/2004 0:00"/>
    <x v="0"/>
    <x v="2"/>
    <x v="2"/>
    <x v="1"/>
    <x v="4"/>
    <n v="157"/>
    <s v="S18_1662"/>
    <x v="41"/>
    <s v="6175558555"/>
    <s v="7825 Douglas Av."/>
    <s v=""/>
    <s v="Brickhaven"/>
    <s v="MA"/>
    <s v="58339"/>
    <x v="0"/>
    <s v="NA"/>
    <s v="Nelson"/>
    <s v="Allen"/>
    <s v="Allen, Nelson"/>
    <s v="Medium"/>
  </r>
  <r>
    <n v="10284"/>
    <n v="45"/>
    <n v="100"/>
    <n v="4500"/>
    <n v="4500"/>
    <n v="11"/>
    <s v="8/21/2004 0:00"/>
    <x v="0"/>
    <x v="2"/>
    <x v="3"/>
    <x v="1"/>
    <x v="4"/>
    <n v="157"/>
    <s v="S18_1662"/>
    <x v="85"/>
    <s v="+47 2212 1555"/>
    <s v="Drammensveien 126 A, PB 744 Sentrum"/>
    <s v=""/>
    <s v="Oslo"/>
    <s v=""/>
    <s v="N 0106"/>
    <x v="2"/>
    <s v="EMEA"/>
    <s v="Klaeboe"/>
    <s v="Jan"/>
    <s v="Jan, Klaeboe"/>
    <s v="Medium"/>
  </r>
  <r>
    <n v="10296"/>
    <n v="36"/>
    <n v="100"/>
    <n v="3600"/>
    <n v="3600"/>
    <n v="7"/>
    <s v="9/15/2004 0:00"/>
    <x v="0"/>
    <x v="2"/>
    <x v="10"/>
    <x v="1"/>
    <x v="4"/>
    <n v="157"/>
    <s v="S18_1662"/>
    <x v="89"/>
    <s v="+49 89 61 08 9555"/>
    <s v="Hansastr. 15"/>
    <s v=""/>
    <s v="Munich"/>
    <s v=""/>
    <s v="80686"/>
    <x v="16"/>
    <s v="EMEA"/>
    <s v="Donnermeyer"/>
    <s v="Michael"/>
    <s v="Michael, Donnermeyer"/>
    <s v="Medium"/>
  </r>
  <r>
    <n v="10307"/>
    <n v="39"/>
    <n v="100"/>
    <n v="3900"/>
    <n v="3900"/>
    <n v="1"/>
    <s v="10/14/2004 0:00"/>
    <x v="0"/>
    <x v="3"/>
    <x v="4"/>
    <x v="1"/>
    <x v="4"/>
    <n v="157"/>
    <s v="S18_1662"/>
    <x v="29"/>
    <s v="2155554695"/>
    <s v="782 First Street"/>
    <s v=""/>
    <s v="Philadelphia"/>
    <s v="PA"/>
    <s v="71270"/>
    <x v="0"/>
    <s v="NA"/>
    <s v="Cervantes"/>
    <s v="Francisca"/>
    <s v="Francisca, Cervantes"/>
    <s v="Large"/>
  </r>
  <r>
    <n v="10316"/>
    <n v="27"/>
    <n v="100"/>
    <n v="2700"/>
    <n v="2700"/>
    <n v="9"/>
    <s v="11/1/2004 0:00"/>
    <x v="0"/>
    <x v="3"/>
    <x v="5"/>
    <x v="1"/>
    <x v="4"/>
    <n v="157"/>
    <s v="S18_1662"/>
    <x v="59"/>
    <s v="(198) 555-8888"/>
    <s v="Garden House Crowther Way"/>
    <s v=""/>
    <s v="Cowes"/>
    <s v="Isle of Wight"/>
    <s v="PO31 7PJ"/>
    <x v="6"/>
    <s v="EMEA"/>
    <s v="Bennett"/>
    <s v="Helen"/>
    <s v="Helen, Bennett"/>
    <s v="Medium"/>
  </r>
  <r>
    <n v="10327"/>
    <n v="25"/>
    <n v="100"/>
    <n v="2500"/>
    <n v="2500"/>
    <n v="6"/>
    <s v="11/10/2004 0:00"/>
    <x v="5"/>
    <x v="3"/>
    <x v="5"/>
    <x v="1"/>
    <x v="4"/>
    <n v="157"/>
    <s v="S18_1662"/>
    <x v="48"/>
    <s v="31 12 3555"/>
    <s v="Vinb'ltet 34"/>
    <s v=""/>
    <s v="Kobenhavn"/>
    <s v=""/>
    <s v="1734"/>
    <x v="13"/>
    <s v="EMEA"/>
    <s v="Petersen"/>
    <s v="Jytte"/>
    <s v="Jytte, Petersen"/>
    <s v="Small"/>
  </r>
  <r>
    <n v="10338"/>
    <n v="41"/>
    <n v="100"/>
    <n v="4100"/>
    <n v="4100"/>
    <n v="1"/>
    <s v="11/22/2004 0:00"/>
    <x v="0"/>
    <x v="3"/>
    <x v="5"/>
    <x v="1"/>
    <x v="4"/>
    <n v="157"/>
    <s v="S18_1662"/>
    <x v="90"/>
    <s v="(071) 23 67 2555"/>
    <s v="Boulevard Tirou, 255"/>
    <s v=""/>
    <s v="Charleroi"/>
    <s v=""/>
    <s v="B-6000"/>
    <x v="14"/>
    <s v="EMEA"/>
    <s v="Cartrain"/>
    <s v="Pascale"/>
    <s v="Pascale, Cartrain"/>
    <s v="Medium"/>
  </r>
  <r>
    <n v="10351"/>
    <n v="39"/>
    <n v="9952"/>
    <n v="388128"/>
    <n v="388128"/>
    <n v="1"/>
    <s v="12/3/2004 0:00"/>
    <x v="0"/>
    <x v="3"/>
    <x v="6"/>
    <x v="1"/>
    <x v="4"/>
    <n v="157"/>
    <s v="S18_1662"/>
    <x v="49"/>
    <s v="(171) 555-0297"/>
    <s v="35 King George"/>
    <s v=""/>
    <s v="London"/>
    <s v=""/>
    <s v="WX3 6FW"/>
    <x v="6"/>
    <s v="EMEA"/>
    <s v="Brown"/>
    <s v="Ann"/>
    <s v="Ann, Brown"/>
    <s v="Medium"/>
  </r>
  <r>
    <n v="10373"/>
    <n v="28"/>
    <n v="5755"/>
    <n v="161140"/>
    <n v="161140"/>
    <n v="4"/>
    <s v="1/31/2005 0:00"/>
    <x v="0"/>
    <x v="0"/>
    <x v="7"/>
    <x v="2"/>
    <x v="4"/>
    <n v="157"/>
    <s v="S18_1662"/>
    <x v="60"/>
    <s v="981-443655"/>
    <s v="Torikatu 38"/>
    <s v=""/>
    <s v="Oulu"/>
    <s v=""/>
    <s v="90110"/>
    <x v="4"/>
    <s v="EMEA"/>
    <s v="Koskitalo"/>
    <s v="Pirkko"/>
    <s v="Pirkko, Koskitalo"/>
    <s v="Small"/>
  </r>
  <r>
    <n v="10386"/>
    <n v="25"/>
    <n v="5457"/>
    <n v="136425"/>
    <n v="136425"/>
    <n v="7"/>
    <s v="3/1/2005 0:00"/>
    <x v="5"/>
    <x v="0"/>
    <x v="11"/>
    <x v="2"/>
    <x v="4"/>
    <n v="157"/>
    <s v="S18_1662"/>
    <x v="23"/>
    <s v="(91) 555 94 44"/>
    <s v="C/ Moralzarzal, 86"/>
    <s v=""/>
    <s v="Madrid"/>
    <s v=""/>
    <s v="28034"/>
    <x v="7"/>
    <s v="EMEA"/>
    <s v="Freyre"/>
    <s v="Diego"/>
    <s v="Diego, Freyre"/>
    <s v="Small"/>
  </r>
  <r>
    <n v="10398"/>
    <n v="33"/>
    <n v="100"/>
    <n v="3300"/>
    <n v="3300"/>
    <n v="11"/>
    <s v="3/30/2005 0:00"/>
    <x v="0"/>
    <x v="0"/>
    <x v="11"/>
    <x v="2"/>
    <x v="4"/>
    <n v="157"/>
    <s v="S18_1662"/>
    <x v="1"/>
    <s v="26.47.1555"/>
    <s v="59 rue de l'Abbaye"/>
    <s v=""/>
    <s v="Reims"/>
    <s v=""/>
    <s v="51100"/>
    <x v="1"/>
    <s v="EMEA"/>
    <s v="Henriot"/>
    <s v="Paul"/>
    <s v="Paul, Henriot"/>
    <s v="Medium"/>
  </r>
  <r>
    <n v="10400"/>
    <n v="34"/>
    <n v="100"/>
    <n v="3400"/>
    <n v="3400"/>
    <n v="1"/>
    <s v="4/1/2005 0:00"/>
    <x v="0"/>
    <x v="1"/>
    <x v="8"/>
    <x v="2"/>
    <x v="4"/>
    <n v="157"/>
    <s v="S18_1662"/>
    <x v="61"/>
    <s v="4085553659"/>
    <s v="3086 Ingle Ln."/>
    <s v=""/>
    <s v="San Jose"/>
    <s v="CA"/>
    <s v="94217"/>
    <x v="0"/>
    <s v="NA"/>
    <s v="Frick"/>
    <s v="Sue"/>
    <s v="Sue, Frick"/>
    <s v="Medium"/>
  </r>
  <r>
    <n v="10416"/>
    <n v="24"/>
    <n v="100"/>
    <n v="2400"/>
    <n v="2400"/>
    <n v="14"/>
    <s v="5/10/2005 0:00"/>
    <x v="0"/>
    <x v="1"/>
    <x v="1"/>
    <x v="2"/>
    <x v="4"/>
    <n v="157"/>
    <s v="S18_1662"/>
    <x v="70"/>
    <s v="0522-556555"/>
    <s v="Strada Provinciale 124"/>
    <s v=""/>
    <s v="Reggio Emilia"/>
    <s v=""/>
    <s v="42100"/>
    <x v="12"/>
    <s v="EMEA"/>
    <s v="Moroni"/>
    <s v="Maurizio"/>
    <s v="Maurizio, Moroni"/>
    <s v="Medium"/>
  </r>
  <r>
    <n v="10100"/>
    <n v="30"/>
    <n v="100"/>
    <n v="3000"/>
    <n v="3000"/>
    <n v="3"/>
    <s v="1/6/2003 0:00"/>
    <x v="0"/>
    <x v="0"/>
    <x v="7"/>
    <x v="0"/>
    <x v="3"/>
    <n v="170"/>
    <s v="S18_1749"/>
    <x v="40"/>
    <s v="6035558647"/>
    <s v="2304 Long Airport Avenue"/>
    <s v=""/>
    <s v="Nashua"/>
    <s v="NH"/>
    <s v="62005"/>
    <x v="0"/>
    <s v="NA"/>
    <s v="Young"/>
    <s v="Valarie"/>
    <s v="Valarie, Young"/>
    <s v="Medium"/>
  </r>
  <r>
    <n v="10110"/>
    <n v="42"/>
    <n v="100"/>
    <n v="4200"/>
    <n v="4200"/>
    <n v="7"/>
    <s v="3/18/2003 0:00"/>
    <x v="0"/>
    <x v="0"/>
    <x v="11"/>
    <x v="0"/>
    <x v="3"/>
    <n v="170"/>
    <s v="S18_1749"/>
    <x v="77"/>
    <s v="(171) 555-1555"/>
    <s v="Fauntleroy Circus"/>
    <s v=""/>
    <s v="Manchester"/>
    <s v=""/>
    <s v="EC2 5NT"/>
    <x v="6"/>
    <s v="EMEA"/>
    <s v="Ashworth"/>
    <s v="Victoria"/>
    <s v="Victoria, Ashworth"/>
    <s v="Medium"/>
  </r>
  <r>
    <n v="10124"/>
    <n v="21"/>
    <n v="100"/>
    <n v="2100"/>
    <n v="2100"/>
    <n v="6"/>
    <s v="5/21/2003 0:00"/>
    <x v="0"/>
    <x v="1"/>
    <x v="1"/>
    <x v="0"/>
    <x v="3"/>
    <n v="170"/>
    <s v="S18_1749"/>
    <x v="84"/>
    <s v="7025551838"/>
    <s v="8489 Strong St."/>
    <s v=""/>
    <s v="Las Vegas"/>
    <s v="NV"/>
    <s v="83030"/>
    <x v="0"/>
    <s v="NA"/>
    <s v="King"/>
    <s v="Sue"/>
    <s v="Sue, King"/>
    <s v="Small"/>
  </r>
  <r>
    <n v="10149"/>
    <n v="34"/>
    <n v="100"/>
    <n v="3400"/>
    <n v="3400"/>
    <n v="11"/>
    <s v="9/12/2003 0:00"/>
    <x v="0"/>
    <x v="2"/>
    <x v="10"/>
    <x v="0"/>
    <x v="3"/>
    <n v="170"/>
    <s v="S18_1749"/>
    <x v="82"/>
    <s v="4155554312"/>
    <s v="2793 Furth Circle"/>
    <s v=""/>
    <s v="Brisbane"/>
    <s v="CA"/>
    <s v="94217"/>
    <x v="0"/>
    <s v="NA"/>
    <s v="Taylor"/>
    <s v="Sue"/>
    <s v="Sue, Taylor"/>
    <s v="Medium"/>
  </r>
  <r>
    <n v="10162"/>
    <n v="29"/>
    <n v="100"/>
    <n v="2900"/>
    <n v="2900"/>
    <n v="9"/>
    <s v="10/18/2003 0:00"/>
    <x v="0"/>
    <x v="3"/>
    <x v="4"/>
    <x v="0"/>
    <x v="3"/>
    <n v="170"/>
    <s v="S18_1749"/>
    <x v="4"/>
    <s v="6505551386"/>
    <s v="7734 Strong St."/>
    <s v=""/>
    <s v="San Francisco"/>
    <s v="CA"/>
    <s v=""/>
    <x v="0"/>
    <s v="NA"/>
    <s v="Brown"/>
    <s v="Julie"/>
    <s v="Julie, Brown"/>
    <s v="Medium"/>
  </r>
  <r>
    <n v="10173"/>
    <n v="24"/>
    <n v="100"/>
    <n v="2400"/>
    <n v="2400"/>
    <n v="13"/>
    <s v="11/5/2003 0:00"/>
    <x v="0"/>
    <x v="3"/>
    <x v="5"/>
    <x v="0"/>
    <x v="3"/>
    <n v="170"/>
    <s v="S18_1749"/>
    <x v="86"/>
    <s v="035-640555"/>
    <s v="Via Ludovico il Moro 22"/>
    <s v=""/>
    <s v="Bergamo"/>
    <s v=""/>
    <s v="24100"/>
    <x v="12"/>
    <s v="EMEA"/>
    <s v="Rovelli"/>
    <s v="Giovanni"/>
    <s v="Giovanni, Rovelli"/>
    <s v="Medium"/>
  </r>
  <r>
    <n v="10182"/>
    <n v="44"/>
    <n v="100"/>
    <n v="4400"/>
    <n v="4400"/>
    <n v="10"/>
    <s v="11/12/2003 0:00"/>
    <x v="0"/>
    <x v="3"/>
    <x v="5"/>
    <x v="0"/>
    <x v="3"/>
    <n v="170"/>
    <s v="S18_1749"/>
    <x v="39"/>
    <s v="4155551450"/>
    <s v="5677 Strong St."/>
    <s v=""/>
    <s v="San Rafael"/>
    <s v="CA"/>
    <s v="97562"/>
    <x v="0"/>
    <s v="NA"/>
    <s v="Nelson"/>
    <s v="Valarie"/>
    <s v="Valarie, Nelson"/>
    <s v="Large"/>
  </r>
  <r>
    <n v="10193"/>
    <n v="21"/>
    <n v="100"/>
    <n v="2100"/>
    <n v="2100"/>
    <n v="14"/>
    <s v="11/21/2003 0:00"/>
    <x v="0"/>
    <x v="3"/>
    <x v="5"/>
    <x v="0"/>
    <x v="3"/>
    <n v="170"/>
    <s v="S18_1749"/>
    <x v="87"/>
    <s v="61-9-3844-6555"/>
    <s v="7 Allen Street"/>
    <s v=""/>
    <s v="Glen Waverly"/>
    <s v="Victoria"/>
    <s v="3150"/>
    <x v="3"/>
    <s v="APAC"/>
    <s v="Connery"/>
    <s v="Sean"/>
    <s v="Sean, Connery"/>
    <s v="Medium"/>
  </r>
  <r>
    <n v="10204"/>
    <n v="33"/>
    <n v="100"/>
    <n v="3300"/>
    <n v="3300"/>
    <n v="4"/>
    <s v="12/2/2003 0:00"/>
    <x v="0"/>
    <x v="3"/>
    <x v="6"/>
    <x v="0"/>
    <x v="3"/>
    <n v="170"/>
    <s v="S18_1749"/>
    <x v="74"/>
    <s v="2125557413"/>
    <s v="4092 Furth Circle"/>
    <s v="Suite 400"/>
    <s v="NYC"/>
    <s v="NY"/>
    <s v="10022"/>
    <x v="0"/>
    <s v="NA"/>
    <s v="Young"/>
    <s v="Jeff"/>
    <s v="Jeff, Young"/>
    <s v="Medium"/>
  </r>
  <r>
    <n v="10214"/>
    <n v="30"/>
    <n v="100"/>
    <n v="3000"/>
    <n v="3000"/>
    <n v="7"/>
    <s v="1/26/2004 0:00"/>
    <x v="0"/>
    <x v="0"/>
    <x v="7"/>
    <x v="1"/>
    <x v="3"/>
    <n v="170"/>
    <s v="S18_1749"/>
    <x v="25"/>
    <s v="(91) 555 22 82"/>
    <s v="C/ Araquil, 67"/>
    <s v=""/>
    <s v="Madrid"/>
    <s v=""/>
    <s v="28023"/>
    <x v="7"/>
    <s v="EMEA"/>
    <s v="Sommer"/>
    <s v="Mart¡n"/>
    <s v="Mart¡n, Sommer"/>
    <s v="Medium"/>
  </r>
  <r>
    <n v="10227"/>
    <n v="26"/>
    <n v="100"/>
    <n v="2600"/>
    <n v="2600"/>
    <n v="10"/>
    <s v="3/2/2004 0:00"/>
    <x v="0"/>
    <x v="0"/>
    <x v="11"/>
    <x v="1"/>
    <x v="3"/>
    <n v="170"/>
    <s v="S18_1749"/>
    <x v="30"/>
    <s v="78.32.5555"/>
    <s v="2, rue du Commerce"/>
    <s v=""/>
    <s v="Lyon"/>
    <s v=""/>
    <s v="69004"/>
    <x v="1"/>
    <s v="EMEA"/>
    <s v="Saveley"/>
    <s v="Mary"/>
    <s v="Mary, Saveley"/>
    <s v="Medium"/>
  </r>
  <r>
    <n v="10241"/>
    <n v="41"/>
    <n v="100"/>
    <n v="4100"/>
    <n v="4100"/>
    <n v="2"/>
    <s v="4/13/2004 0:00"/>
    <x v="0"/>
    <x v="1"/>
    <x v="8"/>
    <x v="1"/>
    <x v="3"/>
    <n v="170"/>
    <s v="S18_1749"/>
    <x v="83"/>
    <s v="88.60.1555"/>
    <s v="24, place Kluber"/>
    <s v=""/>
    <s v="Strasbourg"/>
    <s v=""/>
    <s v="67000"/>
    <x v="1"/>
    <s v="EMEA"/>
    <s v="Citeaux"/>
    <s v="Frederique"/>
    <s v="Frederique, Citeaux"/>
    <s v="Large"/>
  </r>
  <r>
    <n v="10280"/>
    <n v="26"/>
    <n v="100"/>
    <n v="2600"/>
    <n v="2600"/>
    <n v="16"/>
    <s v="8/17/2004 0:00"/>
    <x v="0"/>
    <x v="2"/>
    <x v="3"/>
    <x v="1"/>
    <x v="3"/>
    <n v="170"/>
    <s v="S18_1749"/>
    <x v="36"/>
    <s v="011-4988555"/>
    <s v="Via Monte Bianco 34"/>
    <s v=""/>
    <s v="Torino"/>
    <s v=""/>
    <s v="10100"/>
    <x v="12"/>
    <s v="EMEA"/>
    <s v="Accorti"/>
    <s v="Paolo"/>
    <s v="Paolo, Accorti"/>
    <s v="Medium"/>
  </r>
  <r>
    <n v="10288"/>
    <n v="32"/>
    <n v="100"/>
    <n v="3200"/>
    <n v="3200"/>
    <n v="5"/>
    <s v="9/1/2004 0:00"/>
    <x v="0"/>
    <x v="2"/>
    <x v="10"/>
    <x v="1"/>
    <x v="3"/>
    <n v="170"/>
    <s v="S18_1749"/>
    <x v="65"/>
    <s v="+65 224 1555"/>
    <s v="Village Close - 106 Linden Road Sandown"/>
    <s v="2nd Floor"/>
    <s v="Singapore"/>
    <s v=""/>
    <s v="69045"/>
    <x v="9"/>
    <s v="APAC"/>
    <s v="Victorino"/>
    <s v="Wendy"/>
    <s v="Wendy, Victorino"/>
    <s v="Medium"/>
  </r>
  <r>
    <n v="10302"/>
    <n v="43"/>
    <n v="100"/>
    <n v="4300"/>
    <n v="4300"/>
    <n v="1"/>
    <s v="10/6/2003 0:00"/>
    <x v="0"/>
    <x v="3"/>
    <x v="4"/>
    <x v="0"/>
    <x v="3"/>
    <n v="170"/>
    <s v="S18_1749"/>
    <x v="22"/>
    <s v="(171) 555-2282"/>
    <s v="Berkeley Gardens 12  Brewery"/>
    <s v=""/>
    <s v="Liverpool"/>
    <s v=""/>
    <s v="WX1 6LT"/>
    <x v="6"/>
    <s v="EMEA"/>
    <s v="Devon"/>
    <s v="Elizabeth"/>
    <s v="Elizabeth, Devon"/>
    <s v="Large"/>
  </r>
  <r>
    <n v="10312"/>
    <n v="48"/>
    <n v="100"/>
    <n v="4800"/>
    <n v="4800"/>
    <n v="17"/>
    <s v="10/21/2004 0:00"/>
    <x v="0"/>
    <x v="3"/>
    <x v="4"/>
    <x v="1"/>
    <x v="3"/>
    <n v="170"/>
    <s v="S18_1749"/>
    <x v="39"/>
    <s v="4155551450"/>
    <s v="5677 Strong St."/>
    <s v=""/>
    <s v="San Rafael"/>
    <s v="CA"/>
    <s v="97562"/>
    <x v="0"/>
    <s v="NA"/>
    <s v="Nelson"/>
    <s v="Valarie"/>
    <s v="Valarie, Nelson"/>
    <s v="Large"/>
  </r>
  <r>
    <n v="10331"/>
    <n v="44"/>
    <n v="7404"/>
    <n v="325776"/>
    <n v="325776"/>
    <n v="7"/>
    <s v="11/17/2004 0:00"/>
    <x v="0"/>
    <x v="3"/>
    <x v="5"/>
    <x v="1"/>
    <x v="3"/>
    <n v="170"/>
    <s v="S18_1749"/>
    <x v="45"/>
    <s v="2155559857"/>
    <s v="11328 Douglas Av."/>
    <s v=""/>
    <s v="Philadelphia"/>
    <s v="PA"/>
    <s v="71270"/>
    <x v="0"/>
    <s v="NA"/>
    <s v="Hernandez"/>
    <s v="Rosa"/>
    <s v="Rosa, Hernandez"/>
    <s v="Medium"/>
  </r>
  <r>
    <n v="10344"/>
    <n v="45"/>
    <n v="100"/>
    <n v="4500"/>
    <n v="4500"/>
    <n v="1"/>
    <s v="11/25/2004 0:00"/>
    <x v="0"/>
    <x v="3"/>
    <x v="5"/>
    <x v="1"/>
    <x v="3"/>
    <n v="170"/>
    <s v="S18_1749"/>
    <x v="67"/>
    <s v="91.24.4555"/>
    <s v="12, rue des Bouchers"/>
    <s v=""/>
    <s v="Marseille"/>
    <s v=""/>
    <s v="13008"/>
    <x v="1"/>
    <s v="EMEA"/>
    <s v="Lebihan"/>
    <s v="Laurence"/>
    <s v="Laurence, Lebihan"/>
    <s v="Large"/>
  </r>
  <r>
    <n v="10367"/>
    <n v="37"/>
    <n v="100"/>
    <n v="3700"/>
    <n v="3700"/>
    <n v="3"/>
    <s v="1/12/2005 0:00"/>
    <x v="5"/>
    <x v="0"/>
    <x v="7"/>
    <x v="2"/>
    <x v="3"/>
    <n v="170"/>
    <s v="S18_1749"/>
    <x v="3"/>
    <s v="6265557265"/>
    <s v="78934 Hillside Dr."/>
    <s v=""/>
    <s v="Pasadena"/>
    <s v="CA"/>
    <s v="90003"/>
    <x v="0"/>
    <s v="NA"/>
    <s v="Young"/>
    <s v="Julie"/>
    <s v="Julie, Young"/>
    <s v="Medium"/>
  </r>
  <r>
    <n v="10379"/>
    <n v="39"/>
    <n v="100"/>
    <n v="3900"/>
    <n v="3900"/>
    <n v="2"/>
    <s v="2/10/2005 0:00"/>
    <x v="0"/>
    <x v="0"/>
    <x v="0"/>
    <x v="2"/>
    <x v="3"/>
    <n v="170"/>
    <s v="S18_1749"/>
    <x v="23"/>
    <s v="(91) 555 94 44"/>
    <s v="C/ Moralzarzal, 86"/>
    <s v=""/>
    <s v="Madrid"/>
    <s v=""/>
    <s v="28034"/>
    <x v="7"/>
    <s v="EMEA"/>
    <s v="Freyre"/>
    <s v="Diego"/>
    <s v="Diego, Freyre"/>
    <s v="Medium"/>
  </r>
  <r>
    <n v="10407"/>
    <n v="76"/>
    <n v="100"/>
    <n v="7600"/>
    <n v="0"/>
    <n v="2"/>
    <s v="4/22/2005 0:00"/>
    <x v="4"/>
    <x v="1"/>
    <x v="8"/>
    <x v="2"/>
    <x v="3"/>
    <n v="170"/>
    <s v="S18_1749"/>
    <x v="61"/>
    <s v="4085553659"/>
    <s v="3086 Ingle Ln."/>
    <s v=""/>
    <s v="San Jose"/>
    <s v="CA"/>
    <s v="94217"/>
    <x v="0"/>
    <s v="NA"/>
    <s v="Frick"/>
    <s v="Sue"/>
    <s v="Sue, Frick"/>
    <s v="Large"/>
  </r>
  <r>
    <n v="10420"/>
    <n v="37"/>
    <n v="100"/>
    <n v="3700"/>
    <n v="0"/>
    <n v="5"/>
    <s v="5/29/2005 0:00"/>
    <x v="2"/>
    <x v="1"/>
    <x v="1"/>
    <x v="2"/>
    <x v="3"/>
    <n v="170"/>
    <s v="S18_1749"/>
    <x v="20"/>
    <s v="+61 2 9495 8555"/>
    <s v="Monitor Money Building, 815 Pacific Hwy"/>
    <s v="Level 6"/>
    <s v="Chatswood"/>
    <s v="NSW"/>
    <s v="2067"/>
    <x v="3"/>
    <s v="APAC"/>
    <s v="Huxley"/>
    <s v="Adrian"/>
    <s v="Adrian, Huxley"/>
    <s v="Medium"/>
  </r>
  <r>
    <n v="10108"/>
    <n v="38"/>
    <n v="8239"/>
    <n v="313082"/>
    <n v="313082"/>
    <n v="2"/>
    <s v="3/3/2003 0:00"/>
    <x v="0"/>
    <x v="0"/>
    <x v="11"/>
    <x v="0"/>
    <x v="1"/>
    <n v="77"/>
    <s v="S18_1889"/>
    <x v="66"/>
    <s v="+63 2 555 3587"/>
    <s v="15 McCallum Street - NatWest Center #13-03"/>
    <s v=""/>
    <s v="Makati City"/>
    <s v=""/>
    <s v="1227 MM"/>
    <x v="15"/>
    <s v="Japan"/>
    <s v="Cruz"/>
    <s v="Arnold"/>
    <s v="Arnold, Cruz"/>
    <s v="Medium"/>
  </r>
  <r>
    <n v="10122"/>
    <n v="43"/>
    <n v="7238"/>
    <n v="311234"/>
    <n v="311234"/>
    <n v="6"/>
    <s v="5/8/2003 0:00"/>
    <x v="0"/>
    <x v="1"/>
    <x v="1"/>
    <x v="0"/>
    <x v="1"/>
    <n v="77"/>
    <s v="S18_1889"/>
    <x v="67"/>
    <s v="91.24.4555"/>
    <s v="12, rue des Bouchers"/>
    <s v=""/>
    <s v="Marseille"/>
    <s v=""/>
    <s v="13008"/>
    <x v="1"/>
    <s v="EMEA"/>
    <s v="Lebihan"/>
    <s v="Laurence"/>
    <s v="Laurence, Lebihan"/>
    <s v="Medium"/>
  </r>
  <r>
    <n v="10135"/>
    <n v="48"/>
    <n v="7931"/>
    <n v="380688"/>
    <n v="380688"/>
    <n v="3"/>
    <s v="7/2/2003 0:00"/>
    <x v="0"/>
    <x v="2"/>
    <x v="2"/>
    <x v="0"/>
    <x v="1"/>
    <n v="77"/>
    <s v="S18_1889"/>
    <x v="39"/>
    <s v="4155551450"/>
    <s v="5677 Strong St."/>
    <s v=""/>
    <s v="San Rafael"/>
    <s v="CA"/>
    <s v="97562"/>
    <x v="0"/>
    <s v="NA"/>
    <s v="Nelson"/>
    <s v="Valarie"/>
    <s v="Valarie, Nelson"/>
    <s v="Medium"/>
  </r>
  <r>
    <n v="10147"/>
    <n v="26"/>
    <n v="8239"/>
    <n v="214214"/>
    <n v="214214"/>
    <n v="3"/>
    <s v="9/5/2003 0:00"/>
    <x v="0"/>
    <x v="2"/>
    <x v="10"/>
    <x v="0"/>
    <x v="1"/>
    <n v="77"/>
    <s v="S18_1889"/>
    <x v="41"/>
    <s v="6175558555"/>
    <s v="7825 Douglas Av."/>
    <s v=""/>
    <s v="Brickhaven"/>
    <s v="MA"/>
    <s v="58339"/>
    <x v="0"/>
    <s v="NA"/>
    <s v="Nelson"/>
    <s v="Allen"/>
    <s v="Allen, Nelson"/>
    <s v="Small"/>
  </r>
  <r>
    <n v="10160"/>
    <n v="38"/>
    <n v="8855"/>
    <n v="336490"/>
    <n v="336490"/>
    <n v="4"/>
    <s v="10/11/2003 0:00"/>
    <x v="0"/>
    <x v="3"/>
    <x v="4"/>
    <x v="0"/>
    <x v="1"/>
    <n v="77"/>
    <s v="S18_1889"/>
    <x v="54"/>
    <s v="2155554369"/>
    <s v="6047 Douglas Av."/>
    <s v=""/>
    <s v="Los Angeles"/>
    <s v="CA"/>
    <s v=""/>
    <x v="0"/>
    <s v="NA"/>
    <s v="Chandler"/>
    <s v="Michael"/>
    <s v="Michael, Chandler"/>
    <s v="Medium"/>
  </r>
  <r>
    <n v="10170"/>
    <n v="20"/>
    <n v="6314"/>
    <n v="126280"/>
    <n v="126280"/>
    <n v="2"/>
    <s v="11/4/2003 0:00"/>
    <x v="0"/>
    <x v="3"/>
    <x v="5"/>
    <x v="0"/>
    <x v="1"/>
    <n v="77"/>
    <s v="S18_1889"/>
    <x v="63"/>
    <s v="7675-3555"/>
    <s v="Kirchgasse 6"/>
    <s v=""/>
    <s v="Graz"/>
    <s v=""/>
    <s v="8010"/>
    <x v="5"/>
    <s v="EMEA"/>
    <s v="Mendel"/>
    <s v="Roland"/>
    <s v="Roland, Mendel"/>
    <s v="Small"/>
  </r>
  <r>
    <n v="10181"/>
    <n v="22"/>
    <n v="7392"/>
    <n v="162624"/>
    <n v="162624"/>
    <n v="10"/>
    <s v="11/12/2003 0:00"/>
    <x v="0"/>
    <x v="3"/>
    <x v="5"/>
    <x v="0"/>
    <x v="1"/>
    <n v="77"/>
    <s v="S18_1889"/>
    <x v="7"/>
    <s v="+47 2267 3215"/>
    <s v="Drammen 121, PR 744 Sentrum"/>
    <s v=""/>
    <s v="Bergen"/>
    <s v=""/>
    <s v="N 5804"/>
    <x v="2"/>
    <s v="EMEA"/>
    <s v="Oeztan"/>
    <s v="Veysel"/>
    <s v="Veysel, Oeztan"/>
    <s v="Small"/>
  </r>
  <r>
    <n v="10192"/>
    <n v="45"/>
    <n v="9086"/>
    <n v="408870"/>
    <n v="408870"/>
    <n v="15"/>
    <s v="11/20/2003 0:00"/>
    <x v="0"/>
    <x v="3"/>
    <x v="5"/>
    <x v="0"/>
    <x v="1"/>
    <n v="77"/>
    <s v="S18_1889"/>
    <x v="40"/>
    <s v="6035558647"/>
    <s v="2304 Long Airport Avenue"/>
    <s v=""/>
    <s v="Nashua"/>
    <s v="NH"/>
    <s v="62005"/>
    <x v="0"/>
    <s v="NA"/>
    <s v="Young"/>
    <s v="Valarie"/>
    <s v="Valarie, Young"/>
    <s v="Medium"/>
  </r>
  <r>
    <n v="10203"/>
    <n v="45"/>
    <n v="8547"/>
    <n v="384615"/>
    <n v="384615"/>
    <n v="4"/>
    <s v="12/2/2003 0:00"/>
    <x v="0"/>
    <x v="3"/>
    <x v="6"/>
    <x v="0"/>
    <x v="1"/>
    <n v="77"/>
    <s v="S18_1889"/>
    <x v="23"/>
    <s v="(91) 555 94 44"/>
    <s v="C/ Moralzarzal, 86"/>
    <s v=""/>
    <s v="Madrid"/>
    <s v=""/>
    <s v="28034"/>
    <x v="7"/>
    <s v="EMEA"/>
    <s v="Freyre"/>
    <s v="Diego"/>
    <s v="Diego, Freyre"/>
    <s v="Medium"/>
  </r>
  <r>
    <n v="10212"/>
    <n v="20"/>
    <n v="6699"/>
    <n v="133980"/>
    <n v="133980"/>
    <n v="14"/>
    <s v="1/16/2004 0:00"/>
    <x v="0"/>
    <x v="0"/>
    <x v="7"/>
    <x v="1"/>
    <x v="1"/>
    <n v="77"/>
    <s v="S18_1889"/>
    <x v="23"/>
    <s v="(91) 555 94 44"/>
    <s v="C/ Moralzarzal, 86"/>
    <s v=""/>
    <s v="Madrid"/>
    <s v=""/>
    <s v="28034"/>
    <x v="7"/>
    <s v="EMEA"/>
    <s v="Freyre"/>
    <s v="Diego"/>
    <s v="Diego, Freyre"/>
    <s v="Small"/>
  </r>
  <r>
    <n v="10225"/>
    <n v="47"/>
    <n v="6468"/>
    <n v="303996"/>
    <n v="303996"/>
    <n v="5"/>
    <s v="2/22/2004 0:00"/>
    <x v="0"/>
    <x v="0"/>
    <x v="0"/>
    <x v="1"/>
    <x v="1"/>
    <n v="77"/>
    <s v="S18_1889"/>
    <x v="69"/>
    <s v="0897-034555"/>
    <s v="Grenzacherweg 237"/>
    <s v=""/>
    <s v="Gensve"/>
    <s v=""/>
    <s v="1203"/>
    <x v="17"/>
    <s v="EMEA"/>
    <s v="Holz"/>
    <s v="Michael"/>
    <s v="Michael, Holz"/>
    <s v="Medium"/>
  </r>
  <r>
    <n v="10239"/>
    <n v="46"/>
    <n v="7392"/>
    <n v="340032"/>
    <n v="340032"/>
    <n v="4"/>
    <s v="4/12/2004 0:00"/>
    <x v="0"/>
    <x v="1"/>
    <x v="8"/>
    <x v="1"/>
    <x v="1"/>
    <n v="77"/>
    <s v="S18_1889"/>
    <x v="60"/>
    <s v="981-443655"/>
    <s v="Torikatu 38"/>
    <s v=""/>
    <s v="Oulu"/>
    <s v=""/>
    <s v="90110"/>
    <x v="4"/>
    <s v="EMEA"/>
    <s v="Koskitalo"/>
    <s v="Pirkko"/>
    <s v="Pirkko, Koskitalo"/>
    <s v="Medium"/>
  </r>
  <r>
    <n v="10253"/>
    <n v="23"/>
    <n v="8393"/>
    <n v="193039"/>
    <n v="0"/>
    <n v="9"/>
    <s v="6/1/2004 0:00"/>
    <x v="3"/>
    <x v="1"/>
    <x v="9"/>
    <x v="1"/>
    <x v="1"/>
    <n v="77"/>
    <s v="S18_1889"/>
    <x v="22"/>
    <s v="(171) 555-2282"/>
    <s v="Berkeley Gardens 12  Brewery"/>
    <s v=""/>
    <s v="Liverpool"/>
    <s v=""/>
    <s v="WX1 6LT"/>
    <x v="6"/>
    <s v="EMEA"/>
    <s v="Devon"/>
    <s v="Elizabeth"/>
    <s v="Elizabeth, Devon"/>
    <s v="Small"/>
  </r>
  <r>
    <n v="10266"/>
    <n v="33"/>
    <n v="7469"/>
    <n v="246477"/>
    <n v="246477"/>
    <n v="10"/>
    <s v="7/6/2004 0:00"/>
    <x v="0"/>
    <x v="2"/>
    <x v="2"/>
    <x v="1"/>
    <x v="1"/>
    <n v="77"/>
    <s v="S18_1889"/>
    <x v="70"/>
    <s v="0522-556555"/>
    <s v="Strada Provinciale 124"/>
    <s v=""/>
    <s v="Reggio Emilia"/>
    <s v=""/>
    <s v="42100"/>
    <x v="12"/>
    <s v="EMEA"/>
    <s v="Moroni"/>
    <s v="Maurizio"/>
    <s v="Maurizio, Moroni"/>
    <s v="Small"/>
  </r>
  <r>
    <n v="10278"/>
    <n v="29"/>
    <n v="9086"/>
    <n v="263494"/>
    <n v="263494"/>
    <n v="10"/>
    <s v="8/6/2004 0:00"/>
    <x v="0"/>
    <x v="2"/>
    <x v="3"/>
    <x v="1"/>
    <x v="1"/>
    <n v="77"/>
    <s v="S18_1889"/>
    <x v="84"/>
    <s v="7025551838"/>
    <s v="8489 Strong St."/>
    <s v=""/>
    <s v="Las Vegas"/>
    <s v="NV"/>
    <s v="83030"/>
    <x v="0"/>
    <s v="NA"/>
    <s v="King"/>
    <s v="Sue"/>
    <s v="Sue, King"/>
    <s v="Small"/>
  </r>
  <r>
    <n v="10287"/>
    <n v="44"/>
    <n v="8239"/>
    <n v="362516"/>
    <n v="362516"/>
    <n v="8"/>
    <s v="8/30/2004 0:00"/>
    <x v="0"/>
    <x v="2"/>
    <x v="3"/>
    <x v="1"/>
    <x v="1"/>
    <n v="77"/>
    <s v="S18_1889"/>
    <x v="69"/>
    <s v="0897-034555"/>
    <s v="Grenzacherweg 237"/>
    <s v=""/>
    <s v="Gensve"/>
    <s v=""/>
    <s v="1203"/>
    <x v="17"/>
    <s v="EMEA"/>
    <s v="Holz"/>
    <s v="Michael"/>
    <s v="Michael, Holz"/>
    <s v="Medium"/>
  </r>
  <r>
    <n v="10300"/>
    <n v="41"/>
    <n v="924"/>
    <n v="37884"/>
    <n v="37884"/>
    <n v="1"/>
    <s v="10/4/2003 0:00"/>
    <x v="0"/>
    <x v="3"/>
    <x v="4"/>
    <x v="0"/>
    <x v="1"/>
    <n v="77"/>
    <s v="S18_1889"/>
    <x v="72"/>
    <s v="+49 69 66 90 2555"/>
    <s v="Lyonerstr. 34"/>
    <s v=""/>
    <s v="Frankfurt"/>
    <s v=""/>
    <s v="60528"/>
    <x v="16"/>
    <s v="EMEA"/>
    <s v="Keitel"/>
    <s v="Roland"/>
    <s v="Roland, Keitel"/>
    <s v="Medium"/>
  </r>
  <r>
    <n v="10310"/>
    <n v="20"/>
    <n v="9163"/>
    <n v="183260"/>
    <n v="183260"/>
    <n v="6"/>
    <s v="10/16/2004 0:00"/>
    <x v="0"/>
    <x v="3"/>
    <x v="4"/>
    <x v="1"/>
    <x v="1"/>
    <n v="77"/>
    <s v="S18_1889"/>
    <x v="68"/>
    <s v="0221-5554327"/>
    <s v="Mehrheimerstr. 369"/>
    <s v=""/>
    <s v="Koln"/>
    <s v=""/>
    <s v="50739"/>
    <x v="16"/>
    <s v="EMEA"/>
    <s v="Pfalzheim"/>
    <s v="Henriette"/>
    <s v="Henriette, Pfalzheim"/>
    <s v="Small"/>
  </r>
  <r>
    <n v="10321"/>
    <n v="37"/>
    <n v="7854"/>
    <n v="290598"/>
    <n v="290598"/>
    <n v="14"/>
    <s v="11/4/2004 0:00"/>
    <x v="0"/>
    <x v="3"/>
    <x v="5"/>
    <x v="1"/>
    <x v="1"/>
    <n v="77"/>
    <s v="S18_1889"/>
    <x v="21"/>
    <s v="5085552555"/>
    <s v="1785 First Street"/>
    <s v=""/>
    <s v="New Bedford"/>
    <s v="MA"/>
    <s v="50553"/>
    <x v="0"/>
    <s v="NA"/>
    <s v="Benitez"/>
    <s v="Violeta"/>
    <s v="Violeta, Benitez"/>
    <s v="Small"/>
  </r>
  <r>
    <n v="10329"/>
    <n v="29"/>
    <n v="100"/>
    <n v="2900"/>
    <n v="2900"/>
    <n v="9"/>
    <s v="11/15/2004 0:00"/>
    <x v="0"/>
    <x v="3"/>
    <x v="5"/>
    <x v="1"/>
    <x v="1"/>
    <n v="77"/>
    <s v="S18_1889"/>
    <x v="0"/>
    <s v="2125557818"/>
    <s v="897 Long Airport Avenue"/>
    <s v=""/>
    <s v="NYC"/>
    <s v="NY"/>
    <s v="10022"/>
    <x v="0"/>
    <s v="NA"/>
    <s v="Yu"/>
    <s v="Kwai"/>
    <s v="Kwai, Yu"/>
    <s v="Small"/>
  </r>
  <r>
    <n v="10342"/>
    <n v="55"/>
    <n v="6545"/>
    <n v="359975"/>
    <n v="359975"/>
    <n v="1"/>
    <s v="11/24/2004 0:00"/>
    <x v="0"/>
    <x v="3"/>
    <x v="5"/>
    <x v="1"/>
    <x v="1"/>
    <n v="77"/>
    <s v="S18_1889"/>
    <x v="10"/>
    <s v="03 9520 4555"/>
    <s v="636 St Kilda Road"/>
    <s v="Level 3"/>
    <s v="Melbourne"/>
    <s v="Victoria"/>
    <s v="3004"/>
    <x v="3"/>
    <s v="APAC"/>
    <s v="Ferguson"/>
    <s v="Peter"/>
    <s v="Peter, Ferguson"/>
    <s v="Medium"/>
  </r>
  <r>
    <n v="10363"/>
    <n v="22"/>
    <n v="100"/>
    <n v="2200"/>
    <n v="2200"/>
    <n v="7"/>
    <s v="1/6/2005 0:00"/>
    <x v="0"/>
    <x v="0"/>
    <x v="7"/>
    <x v="2"/>
    <x v="1"/>
    <n v="77"/>
    <s v="S18_1889"/>
    <x v="73"/>
    <s v="+358 9 8045 555"/>
    <s v="Software Engineering Center, SEC Oy"/>
    <s v=""/>
    <s v="Espoo"/>
    <s v=""/>
    <s v="FIN-02271"/>
    <x v="4"/>
    <s v="EMEA"/>
    <s v="Suominen"/>
    <s v="Kalle"/>
    <s v="Kalle, Suominen"/>
    <s v="Medium"/>
  </r>
  <r>
    <n v="10377"/>
    <n v="31"/>
    <n v="6776"/>
    <n v="210056"/>
    <n v="210056"/>
    <n v="4"/>
    <s v="2/9/2005 0:00"/>
    <x v="0"/>
    <x v="0"/>
    <x v="0"/>
    <x v="2"/>
    <x v="1"/>
    <n v="77"/>
    <s v="S18_1889"/>
    <x v="16"/>
    <s v="90-224 8555"/>
    <s v="Keskuskatu 45"/>
    <s v=""/>
    <s v="Helsinki"/>
    <s v=""/>
    <s v="21240"/>
    <x v="4"/>
    <s v="EMEA"/>
    <s v="Karttunen"/>
    <s v="Matti"/>
    <s v="Matti, Karttunen"/>
    <s v="Small"/>
  </r>
  <r>
    <n v="10389"/>
    <n v="49"/>
    <n v="7922"/>
    <n v="388178"/>
    <n v="388178"/>
    <n v="3"/>
    <s v="3/3/2005 0:00"/>
    <x v="0"/>
    <x v="0"/>
    <x v="11"/>
    <x v="2"/>
    <x v="1"/>
    <n v="77"/>
    <s v="S18_1889"/>
    <x v="37"/>
    <s v="0695-34 6555"/>
    <s v="?kergatan 24"/>
    <s v=""/>
    <s v="Boras"/>
    <s v=""/>
    <s v="S-844 67"/>
    <x v="8"/>
    <s v="EMEA"/>
    <s v="Larsson"/>
    <s v="Maria"/>
    <s v="Maria, Larsson"/>
    <s v="Medium"/>
  </r>
  <r>
    <n v="10405"/>
    <n v="61"/>
    <n v="7392"/>
    <n v="450912"/>
    <n v="450912"/>
    <n v="4"/>
    <s v="4/14/2005 0:00"/>
    <x v="0"/>
    <x v="1"/>
    <x v="8"/>
    <x v="2"/>
    <x v="1"/>
    <n v="77"/>
    <s v="S18_1889"/>
    <x v="83"/>
    <s v="88.60.1555"/>
    <s v="24, place Kluber"/>
    <s v=""/>
    <s v="Strasbourg"/>
    <s v=""/>
    <s v="67000"/>
    <x v="1"/>
    <s v="EMEA"/>
    <s v="Citeaux"/>
    <s v="Frederique"/>
    <s v="Frederique, Citeaux"/>
    <s v="Medium"/>
  </r>
  <r>
    <n v="10419"/>
    <n v="39"/>
    <n v="8393"/>
    <n v="327327"/>
    <n v="327327"/>
    <n v="9"/>
    <s v="5/17/2005 0:00"/>
    <x v="0"/>
    <x v="1"/>
    <x v="1"/>
    <x v="2"/>
    <x v="1"/>
    <n v="77"/>
    <s v="S18_1889"/>
    <x v="19"/>
    <s v="6562-9555"/>
    <s v="Geislweg 14"/>
    <s v=""/>
    <s v="Salzburg"/>
    <s v=""/>
    <s v="5020"/>
    <x v="5"/>
    <s v="EMEA"/>
    <s v="Pipps"/>
    <s v="Georg"/>
    <s v="Georg, Pipps"/>
    <s v="Medium"/>
  </r>
  <r>
    <n v="10109"/>
    <n v="38"/>
    <n v="100"/>
    <n v="3800"/>
    <n v="3800"/>
    <n v="3"/>
    <s v="3/10/2003 0:00"/>
    <x v="0"/>
    <x v="0"/>
    <x v="11"/>
    <x v="0"/>
    <x v="1"/>
    <n v="142"/>
    <s v="S18_1984"/>
    <x v="45"/>
    <s v="2155559857"/>
    <s v="11328 Douglas Av."/>
    <s v=""/>
    <s v="Philadelphia"/>
    <s v="PA"/>
    <s v="71270"/>
    <x v="0"/>
    <s v="NA"/>
    <s v="Hernandez"/>
    <s v="Rosa"/>
    <s v="Rosa, Hernandez"/>
    <s v="Medium"/>
  </r>
  <r>
    <n v="10122"/>
    <n v="31"/>
    <n v="100"/>
    <n v="3100"/>
    <n v="3100"/>
    <n v="1"/>
    <s v="5/8/2003 0:00"/>
    <x v="0"/>
    <x v="1"/>
    <x v="1"/>
    <x v="0"/>
    <x v="1"/>
    <n v="142"/>
    <s v="S18_1984"/>
    <x v="67"/>
    <s v="91.24.4555"/>
    <s v="12, rue des Bouchers"/>
    <s v=""/>
    <s v="Marseille"/>
    <s v=""/>
    <s v="13008"/>
    <x v="1"/>
    <s v="EMEA"/>
    <s v="Lebihan"/>
    <s v="Laurence"/>
    <s v="Laurence, Lebihan"/>
    <s v="Medium"/>
  </r>
  <r>
    <n v="10136"/>
    <n v="36"/>
    <n v="100"/>
    <n v="3600"/>
    <n v="3600"/>
    <n v="1"/>
    <s v="7/4/2003 0:00"/>
    <x v="0"/>
    <x v="2"/>
    <x v="2"/>
    <x v="0"/>
    <x v="1"/>
    <n v="142"/>
    <s v="S18_1984"/>
    <x v="51"/>
    <s v="61.77.6555"/>
    <s v="1 rue Alsace-Lorraine"/>
    <s v=""/>
    <s v="Toulouse"/>
    <s v=""/>
    <s v="31000"/>
    <x v="1"/>
    <s v="EMEA"/>
    <s v="Roulet"/>
    <s v="Annette"/>
    <s v="Annette, Roulet"/>
    <s v="Medium"/>
  </r>
  <r>
    <n v="10148"/>
    <n v="25"/>
    <n v="100"/>
    <n v="2500"/>
    <n v="2500"/>
    <n v="12"/>
    <s v="9/11/2003 0:00"/>
    <x v="0"/>
    <x v="2"/>
    <x v="10"/>
    <x v="0"/>
    <x v="1"/>
    <n v="142"/>
    <s v="S18_1984"/>
    <x v="42"/>
    <s v="02 9936 8555"/>
    <s v="201 Miller Street"/>
    <s v="Level 15"/>
    <s v="North Sydney"/>
    <s v="NSW"/>
    <s v="2060"/>
    <x v="3"/>
    <s v="APAC"/>
    <s v="O'Hara"/>
    <s v="Anna"/>
    <s v="Anna, O'Hara"/>
    <s v="Medium"/>
  </r>
  <r>
    <n v="10161"/>
    <n v="48"/>
    <n v="100"/>
    <n v="4800"/>
    <n v="4800"/>
    <n v="11"/>
    <s v="10/17/2003 0:00"/>
    <x v="0"/>
    <x v="3"/>
    <x v="4"/>
    <x v="0"/>
    <x v="1"/>
    <n v="142"/>
    <s v="S18_1984"/>
    <x v="78"/>
    <s v="86 21 3555"/>
    <s v="Smagsloget 45"/>
    <s v=""/>
    <s v="Aaarhus"/>
    <s v=""/>
    <s v="8200"/>
    <x v="13"/>
    <s v="EMEA"/>
    <s v="Ibsen"/>
    <s v="Palle"/>
    <s v="Palle, Ibsen"/>
    <s v="Medium"/>
  </r>
  <r>
    <n v="10171"/>
    <n v="35"/>
    <n v="100"/>
    <n v="3500"/>
    <n v="3500"/>
    <n v="1"/>
    <s v="11/5/2003 0:00"/>
    <x v="0"/>
    <x v="3"/>
    <x v="5"/>
    <x v="0"/>
    <x v="1"/>
    <n v="142"/>
    <s v="S18_1984"/>
    <x v="43"/>
    <s v="(514) 555-8054"/>
    <s v="43 rue St. Laurent"/>
    <s v=""/>
    <s v="Montreal"/>
    <s v="Quebec"/>
    <s v="H1J 1C3"/>
    <x v="10"/>
    <s v="NA"/>
    <s v="Fresnisre"/>
    <s v="Jean"/>
    <s v="Jean, Fresnisre"/>
    <s v="Medium"/>
  </r>
  <r>
    <n v="10181"/>
    <n v="21"/>
    <n v="100"/>
    <n v="2100"/>
    <n v="2100"/>
    <n v="5"/>
    <s v="11/12/2003 0:00"/>
    <x v="0"/>
    <x v="3"/>
    <x v="5"/>
    <x v="0"/>
    <x v="1"/>
    <n v="142"/>
    <s v="S18_1984"/>
    <x v="7"/>
    <s v="+47 2267 3215"/>
    <s v="Drammen 121, PR 744 Sentrum"/>
    <s v=""/>
    <s v="Bergen"/>
    <s v=""/>
    <s v="N 5804"/>
    <x v="2"/>
    <s v="EMEA"/>
    <s v="Oeztan"/>
    <s v="Veysel"/>
    <s v="Veysel, Oeztan"/>
    <s v="Medium"/>
  </r>
  <r>
    <n v="10192"/>
    <n v="47"/>
    <n v="100"/>
    <n v="4700"/>
    <n v="4700"/>
    <n v="10"/>
    <s v="11/20/2003 0:00"/>
    <x v="0"/>
    <x v="3"/>
    <x v="5"/>
    <x v="0"/>
    <x v="1"/>
    <n v="142"/>
    <s v="S18_1984"/>
    <x v="40"/>
    <s v="6035558647"/>
    <s v="2304 Long Airport Avenue"/>
    <s v=""/>
    <s v="Nashua"/>
    <s v="NH"/>
    <s v="62005"/>
    <x v="0"/>
    <s v="NA"/>
    <s v="Young"/>
    <s v="Valarie"/>
    <s v="Valarie, Young"/>
    <s v="Large"/>
  </r>
  <r>
    <n v="10204"/>
    <n v="38"/>
    <n v="100"/>
    <n v="3800"/>
    <n v="3800"/>
    <n v="16"/>
    <s v="12/2/2003 0:00"/>
    <x v="0"/>
    <x v="3"/>
    <x v="6"/>
    <x v="0"/>
    <x v="1"/>
    <n v="142"/>
    <s v="S18_1984"/>
    <x v="74"/>
    <s v="2125557413"/>
    <s v="4092 Furth Circle"/>
    <s v="Suite 400"/>
    <s v="NYC"/>
    <s v="NY"/>
    <s v="10022"/>
    <x v="0"/>
    <s v="NA"/>
    <s v="Young"/>
    <s v="Jeff"/>
    <s v="Jeff, Young"/>
    <s v="Medium"/>
  </r>
  <r>
    <n v="10212"/>
    <n v="41"/>
    <n v="100"/>
    <n v="4100"/>
    <n v="4100"/>
    <n v="9"/>
    <s v="1/16/2004 0:00"/>
    <x v="0"/>
    <x v="0"/>
    <x v="7"/>
    <x v="1"/>
    <x v="1"/>
    <n v="142"/>
    <s v="S18_1984"/>
    <x v="23"/>
    <s v="(91) 555 94 44"/>
    <s v="C/ Moralzarzal, 86"/>
    <s v=""/>
    <s v="Madrid"/>
    <s v=""/>
    <s v="28034"/>
    <x v="7"/>
    <s v="EMEA"/>
    <s v="Freyre"/>
    <s v="Diego"/>
    <s v="Diego, Freyre"/>
    <s v="Medium"/>
  </r>
  <r>
    <n v="10226"/>
    <n v="24"/>
    <n v="100"/>
    <n v="2400"/>
    <n v="2400"/>
    <n v="7"/>
    <s v="2/26/2004 0:00"/>
    <x v="0"/>
    <x v="0"/>
    <x v="0"/>
    <x v="1"/>
    <x v="1"/>
    <n v="142"/>
    <s v="S18_1984"/>
    <x v="55"/>
    <s v="7605558146"/>
    <s v="361 Furth Circle"/>
    <s v=""/>
    <s v="San Diego"/>
    <s v="CA"/>
    <s v="91217"/>
    <x v="0"/>
    <s v="NA"/>
    <s v="Thompson"/>
    <s v="Valarie"/>
    <s v="Valarie, Thompson"/>
    <s v="Medium"/>
  </r>
  <r>
    <n v="10240"/>
    <n v="37"/>
    <n v="100"/>
    <n v="3700"/>
    <n v="3700"/>
    <n v="2"/>
    <s v="4/13/2004 0:00"/>
    <x v="0"/>
    <x v="1"/>
    <x v="8"/>
    <x v="1"/>
    <x v="1"/>
    <n v="142"/>
    <s v="S18_1984"/>
    <x v="44"/>
    <s v="+81 06 6342 5555"/>
    <s v="Dojima Avanza 4F, 1-6-20 Dojima, Kita-ku"/>
    <s v=""/>
    <s v="Osaka"/>
    <s v="Osaka"/>
    <s v="530-0003"/>
    <x v="11"/>
    <s v="Japan"/>
    <s v="Kentary"/>
    <s v="Mory"/>
    <s v="Mory, Kentary"/>
    <s v="Medium"/>
  </r>
  <r>
    <n v="10253"/>
    <n v="33"/>
    <n v="100"/>
    <n v="3300"/>
    <n v="0"/>
    <n v="4"/>
    <s v="6/1/2004 0:00"/>
    <x v="3"/>
    <x v="1"/>
    <x v="9"/>
    <x v="1"/>
    <x v="1"/>
    <n v="142"/>
    <s v="S18_1984"/>
    <x v="22"/>
    <s v="(171) 555-2282"/>
    <s v="Berkeley Gardens 12  Brewery"/>
    <s v=""/>
    <s v="Liverpool"/>
    <s v=""/>
    <s v="WX1 6LT"/>
    <x v="6"/>
    <s v="EMEA"/>
    <s v="Devon"/>
    <s v="Elizabeth"/>
    <s v="Elizabeth, Devon"/>
    <s v="Medium"/>
  </r>
  <r>
    <n v="10266"/>
    <n v="49"/>
    <n v="100"/>
    <n v="4900"/>
    <n v="4900"/>
    <n v="5"/>
    <s v="7/6/2004 0:00"/>
    <x v="0"/>
    <x v="2"/>
    <x v="2"/>
    <x v="1"/>
    <x v="1"/>
    <n v="142"/>
    <s v="S18_1984"/>
    <x v="70"/>
    <s v="0522-556555"/>
    <s v="Strada Provinciale 124"/>
    <s v=""/>
    <s v="Reggio Emilia"/>
    <s v=""/>
    <s v="42100"/>
    <x v="12"/>
    <s v="EMEA"/>
    <s v="Moroni"/>
    <s v="Maurizio"/>
    <s v="Maurizio, Moroni"/>
    <s v="Medium"/>
  </r>
  <r>
    <n v="10278"/>
    <n v="29"/>
    <n v="100"/>
    <n v="2900"/>
    <n v="2900"/>
    <n v="5"/>
    <s v="8/6/2004 0:00"/>
    <x v="0"/>
    <x v="2"/>
    <x v="3"/>
    <x v="1"/>
    <x v="1"/>
    <n v="142"/>
    <s v="S18_1984"/>
    <x v="84"/>
    <s v="7025551838"/>
    <s v="8489 Strong St."/>
    <s v=""/>
    <s v="Las Vegas"/>
    <s v="NV"/>
    <s v="83030"/>
    <x v="0"/>
    <s v="NA"/>
    <s v="King"/>
    <s v="Sue"/>
    <s v="Sue, King"/>
    <s v="Medium"/>
  </r>
  <r>
    <n v="10287"/>
    <n v="24"/>
    <n v="100"/>
    <n v="2400"/>
    <n v="2400"/>
    <n v="3"/>
    <s v="8/30/2004 0:00"/>
    <x v="0"/>
    <x v="2"/>
    <x v="3"/>
    <x v="1"/>
    <x v="1"/>
    <n v="142"/>
    <s v="S18_1984"/>
    <x v="69"/>
    <s v="0897-034555"/>
    <s v="Grenzacherweg 237"/>
    <s v=""/>
    <s v="Gensve"/>
    <s v=""/>
    <s v="1203"/>
    <x v="17"/>
    <s v="EMEA"/>
    <s v="Holz"/>
    <s v="Michael"/>
    <s v="Michael, Holz"/>
    <s v="Medium"/>
  </r>
  <r>
    <n v="10301"/>
    <n v="47"/>
    <n v="100"/>
    <n v="4700"/>
    <n v="4700"/>
    <n v="7"/>
    <s v="10/5/2003 0:00"/>
    <x v="0"/>
    <x v="3"/>
    <x v="4"/>
    <x v="0"/>
    <x v="1"/>
    <n v="142"/>
    <s v="S18_1984"/>
    <x v="85"/>
    <s v="+47 2212 1555"/>
    <s v="Drammensveien 126 A, PB 744 Sentrum"/>
    <s v=""/>
    <s v="Oslo"/>
    <s v=""/>
    <s v="N 0106"/>
    <x v="2"/>
    <s v="EMEA"/>
    <s v="Klaeboe"/>
    <s v="Jan"/>
    <s v="Jan, Klaeboe"/>
    <s v="Large"/>
  </r>
  <r>
    <n v="10310"/>
    <n v="24"/>
    <n v="100"/>
    <n v="2400"/>
    <n v="2400"/>
    <n v="1"/>
    <s v="10/16/2004 0:00"/>
    <x v="0"/>
    <x v="3"/>
    <x v="4"/>
    <x v="1"/>
    <x v="1"/>
    <n v="142"/>
    <s v="S18_1984"/>
    <x v="68"/>
    <s v="0221-5554327"/>
    <s v="Mehrheimerstr. 369"/>
    <s v=""/>
    <s v="Koln"/>
    <s v=""/>
    <s v="50739"/>
    <x v="16"/>
    <s v="EMEA"/>
    <s v="Pfalzheim"/>
    <s v="Henriette"/>
    <s v="Henriette, Pfalzheim"/>
    <s v="Medium"/>
  </r>
  <r>
    <n v="10321"/>
    <n v="25"/>
    <n v="100"/>
    <n v="2500"/>
    <n v="2500"/>
    <n v="9"/>
    <s v="11/4/2004 0:00"/>
    <x v="0"/>
    <x v="3"/>
    <x v="5"/>
    <x v="1"/>
    <x v="1"/>
    <n v="142"/>
    <s v="S18_1984"/>
    <x v="21"/>
    <s v="5085552555"/>
    <s v="1785 First Street"/>
    <s v=""/>
    <s v="New Bedford"/>
    <s v="MA"/>
    <s v="50553"/>
    <x v="0"/>
    <s v="NA"/>
    <s v="Benitez"/>
    <s v="Violeta"/>
    <s v="Violeta, Benitez"/>
    <s v="Medium"/>
  </r>
  <r>
    <n v="10331"/>
    <n v="30"/>
    <n v="3247"/>
    <n v="97410"/>
    <n v="97410"/>
    <n v="8"/>
    <s v="11/17/2004 0:00"/>
    <x v="0"/>
    <x v="3"/>
    <x v="5"/>
    <x v="1"/>
    <x v="1"/>
    <n v="142"/>
    <s v="S18_1984"/>
    <x v="45"/>
    <s v="2155559857"/>
    <s v="11328 Douglas Av."/>
    <s v=""/>
    <s v="Philadelphia"/>
    <s v="PA"/>
    <s v="71270"/>
    <x v="0"/>
    <s v="NA"/>
    <s v="Hernandez"/>
    <s v="Rosa"/>
    <s v="Rosa, Hernandez"/>
    <s v="Small"/>
  </r>
  <r>
    <n v="10342"/>
    <n v="22"/>
    <n v="100"/>
    <n v="2200"/>
    <n v="2200"/>
    <n v="3"/>
    <s v="11/24/2004 0:00"/>
    <x v="0"/>
    <x v="3"/>
    <x v="5"/>
    <x v="1"/>
    <x v="1"/>
    <n v="142"/>
    <s v="S18_1984"/>
    <x v="10"/>
    <s v="03 9520 4555"/>
    <s v="636 St Kilda Road"/>
    <s v="Level 3"/>
    <s v="Melbourne"/>
    <s v="Victoria"/>
    <s v="3004"/>
    <x v="3"/>
    <s v="APAC"/>
    <s v="Ferguson"/>
    <s v="Peter"/>
    <s v="Peter, Ferguson"/>
    <s v="Medium"/>
  </r>
  <r>
    <n v="10356"/>
    <n v="27"/>
    <n v="6469"/>
    <n v="174663"/>
    <n v="174663"/>
    <n v="2"/>
    <s v="12/9/2004 0:00"/>
    <x v="0"/>
    <x v="3"/>
    <x v="6"/>
    <x v="1"/>
    <x v="1"/>
    <n v="142"/>
    <s v="S18_1984"/>
    <x v="2"/>
    <s v="+33 1 46 62 7555"/>
    <s v="27 rue du Colonel Pierre Avia"/>
    <s v=""/>
    <s v="Paris"/>
    <s v=""/>
    <s v="75508"/>
    <x v="1"/>
    <s v="EMEA"/>
    <s v="Da Cunha"/>
    <s v="Daniel"/>
    <s v="Daniel, Da Cunha"/>
    <s v="Small"/>
  </r>
  <r>
    <n v="10366"/>
    <n v="34"/>
    <n v="100"/>
    <n v="3400"/>
    <n v="3400"/>
    <n v="3"/>
    <s v="1/10/2005 0:00"/>
    <x v="0"/>
    <x v="0"/>
    <x v="7"/>
    <x v="2"/>
    <x v="1"/>
    <n v="142"/>
    <s v="S18_1984"/>
    <x v="90"/>
    <s v="(071) 23 67 2555"/>
    <s v="Boulevard Tirou, 255"/>
    <s v=""/>
    <s v="Charleroi"/>
    <s v=""/>
    <s v="B-6000"/>
    <x v="14"/>
    <s v="EMEA"/>
    <s v="Cartrain"/>
    <s v="Pascale"/>
    <s v="Pascale, Cartrain"/>
    <s v="Medium"/>
  </r>
  <r>
    <n v="10377"/>
    <n v="36"/>
    <n v="100"/>
    <n v="3600"/>
    <n v="3600"/>
    <n v="6"/>
    <s v="2/9/2005 0:00"/>
    <x v="0"/>
    <x v="0"/>
    <x v="0"/>
    <x v="2"/>
    <x v="1"/>
    <n v="142"/>
    <s v="S18_1984"/>
    <x v="16"/>
    <s v="90-224 8555"/>
    <s v="Keskuskatu 45"/>
    <s v=""/>
    <s v="Helsinki"/>
    <s v=""/>
    <s v="21240"/>
    <x v="4"/>
    <s v="EMEA"/>
    <s v="Karttunen"/>
    <s v="Matti"/>
    <s v="Matti, Karttunen"/>
    <s v="Medium"/>
  </r>
  <r>
    <n v="10390"/>
    <n v="34"/>
    <n v="4305"/>
    <n v="146370"/>
    <n v="146370"/>
    <n v="15"/>
    <s v="3/4/2005 0:00"/>
    <x v="0"/>
    <x v="0"/>
    <x v="11"/>
    <x v="2"/>
    <x v="1"/>
    <n v="142"/>
    <s v="S18_1984"/>
    <x v="39"/>
    <s v="4155551450"/>
    <s v="5677 Strong St."/>
    <s v=""/>
    <s v="San Rafael"/>
    <s v="CA"/>
    <s v="97562"/>
    <x v="0"/>
    <s v="NA"/>
    <s v="Nelson"/>
    <s v="Valarie"/>
    <s v="Valarie, Nelson"/>
    <s v="Small"/>
  </r>
  <r>
    <n v="10406"/>
    <n v="48"/>
    <n v="100"/>
    <n v="4800"/>
    <n v="0"/>
    <n v="2"/>
    <s v="4/15/2005 0:00"/>
    <x v="1"/>
    <x v="1"/>
    <x v="8"/>
    <x v="2"/>
    <x v="1"/>
    <n v="142"/>
    <s v="S18_1984"/>
    <x v="48"/>
    <s v="31 12 3555"/>
    <s v="Vinb'ltet 34"/>
    <s v=""/>
    <s v="Kobenhavn"/>
    <s v=""/>
    <s v="1734"/>
    <x v="13"/>
    <s v="EMEA"/>
    <s v="Petersen"/>
    <s v="Jytte"/>
    <s v="Jytte, Petersen"/>
    <s v="Large"/>
  </r>
  <r>
    <n v="10419"/>
    <n v="34"/>
    <n v="100"/>
    <n v="3400"/>
    <n v="3400"/>
    <n v="4"/>
    <s v="5/17/2005 0:00"/>
    <x v="0"/>
    <x v="1"/>
    <x v="1"/>
    <x v="2"/>
    <x v="1"/>
    <n v="142"/>
    <s v="S18_1984"/>
    <x v="19"/>
    <s v="6562-9555"/>
    <s v="Geislweg 14"/>
    <s v=""/>
    <s v="Salzburg"/>
    <s v=""/>
    <s v="5020"/>
    <x v="5"/>
    <s v="EMEA"/>
    <s v="Pipps"/>
    <s v="Georg"/>
    <s v="Georg, Pipps"/>
    <s v="Medium"/>
  </r>
  <r>
    <n v="10104"/>
    <n v="24"/>
    <n v="100"/>
    <n v="2400"/>
    <n v="2400"/>
    <n v="8"/>
    <s v="1/31/2003 0:00"/>
    <x v="0"/>
    <x v="0"/>
    <x v="7"/>
    <x v="0"/>
    <x v="1"/>
    <n v="163"/>
    <s v="S18_2238"/>
    <x v="23"/>
    <s v="(91) 555 94 44"/>
    <s v="C/ Moralzarzal, 86"/>
    <s v=""/>
    <s v="Madrid"/>
    <s v=""/>
    <s v="28034"/>
    <x v="7"/>
    <s v="EMEA"/>
    <s v="Freyre"/>
    <s v="Diego"/>
    <s v="Diego, Freyre"/>
    <s v="Medium"/>
  </r>
  <r>
    <n v="10115"/>
    <n v="46"/>
    <n v="100"/>
    <n v="4600"/>
    <n v="4600"/>
    <n v="4"/>
    <s v="4/4/2003 0:00"/>
    <x v="0"/>
    <x v="1"/>
    <x v="8"/>
    <x v="0"/>
    <x v="1"/>
    <n v="163"/>
    <s v="S18_2238"/>
    <x v="27"/>
    <s v="2125558493"/>
    <s v="5905 Pompton St."/>
    <s v="Suite 750"/>
    <s v="NYC"/>
    <s v="NY"/>
    <s v="10022"/>
    <x v="0"/>
    <s v="NA"/>
    <s v="Hernandez"/>
    <s v="Maria"/>
    <s v="Maria, Hernandez"/>
    <s v="Large"/>
  </r>
  <r>
    <n v="10127"/>
    <n v="45"/>
    <n v="100"/>
    <n v="4500"/>
    <n v="4500"/>
    <n v="10"/>
    <s v="6/3/2003 0:00"/>
    <x v="0"/>
    <x v="1"/>
    <x v="9"/>
    <x v="0"/>
    <x v="1"/>
    <n v="163"/>
    <s v="S18_2238"/>
    <x v="74"/>
    <s v="2125557413"/>
    <s v="4092 Furth Circle"/>
    <s v="Suite 400"/>
    <s v="NYC"/>
    <s v="NY"/>
    <s v="10022"/>
    <x v="0"/>
    <s v="NA"/>
    <s v="Young"/>
    <s v="Jeff"/>
    <s v="Jeff, Young"/>
    <s v="Large"/>
  </r>
  <r>
    <n v="10141"/>
    <n v="39"/>
    <n v="100"/>
    <n v="3900"/>
    <n v="3900"/>
    <n v="4"/>
    <s v="8/1/2003 0:00"/>
    <x v="0"/>
    <x v="2"/>
    <x v="3"/>
    <x v="0"/>
    <x v="1"/>
    <n v="163"/>
    <s v="S18_2238"/>
    <x v="73"/>
    <s v="+358 9 8045 555"/>
    <s v="Software Engineering Center, SEC Oy"/>
    <s v=""/>
    <s v="Espoo"/>
    <s v=""/>
    <s v="FIN-02271"/>
    <x v="4"/>
    <s v="EMEA"/>
    <s v="Suominen"/>
    <s v="Kalle"/>
    <s v="Kalle, Suominen"/>
    <s v="Medium"/>
  </r>
  <r>
    <n v="10151"/>
    <n v="43"/>
    <n v="100"/>
    <n v="4300"/>
    <n v="4300"/>
    <n v="2"/>
    <s v="9/21/2003 0:00"/>
    <x v="0"/>
    <x v="2"/>
    <x v="10"/>
    <x v="0"/>
    <x v="1"/>
    <n v="163"/>
    <s v="S18_2238"/>
    <x v="60"/>
    <s v="981-443655"/>
    <s v="Torikatu 38"/>
    <s v=""/>
    <s v="Oulu"/>
    <s v=""/>
    <s v="90110"/>
    <x v="4"/>
    <s v="EMEA"/>
    <s v="Koskitalo"/>
    <s v="Pirkko"/>
    <s v="Pirkko, Koskitalo"/>
    <s v="Large"/>
  </r>
  <r>
    <n v="10165"/>
    <n v="29"/>
    <n v="100"/>
    <n v="2900"/>
    <n v="2900"/>
    <n v="11"/>
    <s v="10/22/2003 0:00"/>
    <x v="0"/>
    <x v="3"/>
    <x v="4"/>
    <x v="0"/>
    <x v="1"/>
    <n v="163"/>
    <s v="S18_2238"/>
    <x v="26"/>
    <s v="+65 221 7555"/>
    <s v="Bronz Sok., Bronz Apt. 3/6 Tesvikiye"/>
    <s v=""/>
    <s v="Singapore"/>
    <s v=""/>
    <s v="79903"/>
    <x v="9"/>
    <s v="Japan"/>
    <s v="Natividad"/>
    <s v="Eric"/>
    <s v="Eric, Natividad"/>
    <s v="Medium"/>
  </r>
  <r>
    <n v="10176"/>
    <n v="20"/>
    <n v="100"/>
    <n v="2000"/>
    <n v="2000"/>
    <n v="10"/>
    <s v="11/6/2003 0:00"/>
    <x v="0"/>
    <x v="3"/>
    <x v="5"/>
    <x v="0"/>
    <x v="1"/>
    <n v="163"/>
    <s v="S18_2238"/>
    <x v="70"/>
    <s v="0522-556555"/>
    <s v="Strada Provinciale 124"/>
    <s v=""/>
    <s v="Reggio Emilia"/>
    <s v=""/>
    <s v="42100"/>
    <x v="12"/>
    <s v="EMEA"/>
    <s v="Moroni"/>
    <s v="Maurizio"/>
    <s v="Maurizio, Moroni"/>
    <s v="Medium"/>
  </r>
  <r>
    <n v="10184"/>
    <n v="46"/>
    <n v="100"/>
    <n v="4600"/>
    <n v="4600"/>
    <n v="5"/>
    <s v="11/14/2003 0:00"/>
    <x v="0"/>
    <x v="3"/>
    <x v="5"/>
    <x v="0"/>
    <x v="1"/>
    <n v="163"/>
    <s v="S18_2238"/>
    <x v="81"/>
    <s v="(95) 555 82 82"/>
    <s v="C/ Romero, 33"/>
    <s v=""/>
    <s v="Sevilla"/>
    <s v=""/>
    <s v="41101"/>
    <x v="7"/>
    <s v="EMEA"/>
    <s v="Roel"/>
    <s v="Jose Pedro"/>
    <s v="Jose Pedro, Roel"/>
    <s v="Large"/>
  </r>
  <r>
    <n v="10195"/>
    <n v="27"/>
    <n v="100"/>
    <n v="2700"/>
    <n v="2700"/>
    <n v="5"/>
    <s v="11/25/2003 0:00"/>
    <x v="0"/>
    <x v="3"/>
    <x v="5"/>
    <x v="0"/>
    <x v="1"/>
    <n v="163"/>
    <s v="S18_2238"/>
    <x v="47"/>
    <s v="9145554562"/>
    <s v="3758 North Pendale Street"/>
    <s v=""/>
    <s v="White Plains"/>
    <s v="NY"/>
    <s v="24067"/>
    <x v="0"/>
    <s v="NA"/>
    <s v="Frick"/>
    <s v="Steve"/>
    <s v="Steve, Frick"/>
    <s v="Medium"/>
  </r>
  <r>
    <n v="10207"/>
    <n v="44"/>
    <n v="100"/>
    <n v="4400"/>
    <n v="4400"/>
    <n v="6"/>
    <s v="12/9/2003 0:00"/>
    <x v="0"/>
    <x v="3"/>
    <x v="6"/>
    <x v="0"/>
    <x v="1"/>
    <n v="163"/>
    <s v="S18_2238"/>
    <x v="64"/>
    <s v="6175552555"/>
    <s v="6251 Ingle Ln."/>
    <s v=""/>
    <s v="Boston"/>
    <s v="MA"/>
    <s v="51003"/>
    <x v="0"/>
    <s v="NA"/>
    <s v="Franco"/>
    <s v="Valarie"/>
    <s v="Valarie, Franco"/>
    <s v="Large"/>
  </r>
  <r>
    <n v="10219"/>
    <n v="43"/>
    <n v="100"/>
    <n v="4300"/>
    <n v="4300"/>
    <n v="1"/>
    <s v="2/10/2004 0:00"/>
    <x v="0"/>
    <x v="0"/>
    <x v="0"/>
    <x v="1"/>
    <x v="1"/>
    <n v="163"/>
    <s v="S18_2238"/>
    <x v="82"/>
    <s v="4155554312"/>
    <s v="2793 Furth Circle"/>
    <s v=""/>
    <s v="Brisbane"/>
    <s v="CA"/>
    <s v="94217"/>
    <x v="0"/>
    <s v="NA"/>
    <s v="Taylor"/>
    <s v="Sue"/>
    <s v="Sue, Taylor"/>
    <s v="Large"/>
  </r>
  <r>
    <n v="10230"/>
    <n v="49"/>
    <n v="100"/>
    <n v="4900"/>
    <n v="4900"/>
    <n v="8"/>
    <s v="3/15/2004 0:00"/>
    <x v="0"/>
    <x v="0"/>
    <x v="11"/>
    <x v="1"/>
    <x v="1"/>
    <n v="163"/>
    <s v="S18_2238"/>
    <x v="72"/>
    <s v="+49 69 66 90 2555"/>
    <s v="Lyonerstr. 34"/>
    <s v=""/>
    <s v="Frankfurt"/>
    <s v=""/>
    <s v="60528"/>
    <x v="16"/>
    <s v="EMEA"/>
    <s v="Keitel"/>
    <s v="Roland"/>
    <s v="Roland, Keitel"/>
    <s v="Large"/>
  </r>
  <r>
    <n v="10246"/>
    <n v="40"/>
    <n v="100"/>
    <n v="4000"/>
    <n v="4000"/>
    <n v="4"/>
    <s v="5/5/2004 0:00"/>
    <x v="0"/>
    <x v="1"/>
    <x v="1"/>
    <x v="1"/>
    <x v="1"/>
    <n v="163"/>
    <s v="S18_2238"/>
    <x v="23"/>
    <s v="(91) 555 94 44"/>
    <s v="C/ Moralzarzal, 86"/>
    <s v=""/>
    <s v="Madrid"/>
    <s v=""/>
    <s v="28034"/>
    <x v="7"/>
    <s v="EMEA"/>
    <s v="Freyre"/>
    <s v="Diego"/>
    <s v="Diego, Freyre"/>
    <s v="Medium"/>
  </r>
  <r>
    <n v="10259"/>
    <n v="30"/>
    <n v="100"/>
    <n v="3000"/>
    <n v="3000"/>
    <n v="3"/>
    <s v="6/15/2004 0:00"/>
    <x v="0"/>
    <x v="1"/>
    <x v="9"/>
    <x v="1"/>
    <x v="1"/>
    <n v="163"/>
    <s v="S18_2238"/>
    <x v="65"/>
    <s v="+65 224 1555"/>
    <s v="Village Close - 106 Linden Road Sandown"/>
    <s v="2nd Floor"/>
    <s v="Singapore"/>
    <s v=""/>
    <s v="69045"/>
    <x v="9"/>
    <s v="APAC"/>
    <s v="Victorino"/>
    <s v="Wendy"/>
    <s v="Wendy, Victorino"/>
    <s v="Medium"/>
  </r>
  <r>
    <n v="10271"/>
    <n v="50"/>
    <n v="100"/>
    <n v="5000"/>
    <n v="5000"/>
    <n v="4"/>
    <s v="7/20/2004 0:00"/>
    <x v="0"/>
    <x v="2"/>
    <x v="2"/>
    <x v="1"/>
    <x v="1"/>
    <n v="163"/>
    <s v="S18_2238"/>
    <x v="39"/>
    <s v="4155551450"/>
    <s v="5677 Strong St."/>
    <s v=""/>
    <s v="San Rafael"/>
    <s v="CA"/>
    <s v="97562"/>
    <x v="0"/>
    <s v="NA"/>
    <s v="Nelson"/>
    <s v="Valarie"/>
    <s v="Valarie, Nelson"/>
    <s v="Large"/>
  </r>
  <r>
    <n v="10282"/>
    <n v="23"/>
    <n v="100"/>
    <n v="2300"/>
    <n v="2300"/>
    <n v="13"/>
    <s v="8/20/2004 0:00"/>
    <x v="0"/>
    <x v="2"/>
    <x v="3"/>
    <x v="1"/>
    <x v="1"/>
    <n v="163"/>
    <s v="S18_2238"/>
    <x v="39"/>
    <s v="4155551450"/>
    <s v="5677 Strong St."/>
    <s v=""/>
    <s v="San Rafael"/>
    <s v="CA"/>
    <s v="97562"/>
    <x v="0"/>
    <s v="NA"/>
    <s v="Nelson"/>
    <s v="Valarie"/>
    <s v="Valarie, Nelson"/>
    <s v="Medium"/>
  </r>
  <r>
    <n v="10292"/>
    <n v="26"/>
    <n v="100"/>
    <n v="2600"/>
    <n v="2600"/>
    <n v="7"/>
    <s v="9/8/2004 0:00"/>
    <x v="0"/>
    <x v="2"/>
    <x v="10"/>
    <x v="1"/>
    <x v="1"/>
    <n v="163"/>
    <s v="S18_2238"/>
    <x v="0"/>
    <s v="2125557818"/>
    <s v="897 Long Airport Avenue"/>
    <s v=""/>
    <s v="NYC"/>
    <s v="NY"/>
    <s v="10022"/>
    <x v="0"/>
    <s v="NA"/>
    <s v="Yu"/>
    <s v="Kwai"/>
    <s v="Kwai, Yu"/>
    <s v="Medium"/>
  </r>
  <r>
    <n v="10305"/>
    <n v="27"/>
    <n v="100"/>
    <n v="2700"/>
    <n v="2700"/>
    <n v="4"/>
    <s v="10/13/2004 0:00"/>
    <x v="0"/>
    <x v="3"/>
    <x v="4"/>
    <x v="1"/>
    <x v="1"/>
    <n v="163"/>
    <s v="S18_2238"/>
    <x v="15"/>
    <s v="6175558555"/>
    <s v="39323 Spinnaker Dr."/>
    <s v=""/>
    <s v="Cambridge"/>
    <s v="MA"/>
    <s v="51247"/>
    <x v="0"/>
    <s v="NA"/>
    <s v="Hernandez"/>
    <s v="Marta"/>
    <s v="Marta, Hernandez"/>
    <s v="Medium"/>
  </r>
  <r>
    <n v="10314"/>
    <n v="42"/>
    <n v="100"/>
    <n v="4200"/>
    <n v="4200"/>
    <n v="13"/>
    <s v="10/22/2004 0:00"/>
    <x v="0"/>
    <x v="3"/>
    <x v="4"/>
    <x v="1"/>
    <x v="1"/>
    <n v="163"/>
    <s v="S18_2238"/>
    <x v="78"/>
    <s v="86 21 3555"/>
    <s v="Smagsloget 45"/>
    <s v=""/>
    <s v="Aaarhus"/>
    <s v=""/>
    <s v="8200"/>
    <x v="13"/>
    <s v="EMEA"/>
    <s v="Ibsen"/>
    <s v="Palle"/>
    <s v="Palle, Ibsen"/>
    <s v="Medium"/>
  </r>
  <r>
    <n v="10324"/>
    <n v="47"/>
    <n v="100"/>
    <n v="4700"/>
    <n v="4700"/>
    <n v="8"/>
    <s v="11/5/2004 0:00"/>
    <x v="0"/>
    <x v="3"/>
    <x v="5"/>
    <x v="1"/>
    <x v="1"/>
    <n v="163"/>
    <s v="S18_2238"/>
    <x v="11"/>
    <s v="2125551500"/>
    <s v="2678 Kingston Rd."/>
    <s v="Suite 101"/>
    <s v="NYC"/>
    <s v="NY"/>
    <s v="10022"/>
    <x v="0"/>
    <s v="NA"/>
    <s v="Frick"/>
    <s v="Michael"/>
    <s v="Michael, Frick"/>
    <s v="Large"/>
  </r>
  <r>
    <n v="10336"/>
    <n v="49"/>
    <n v="100"/>
    <n v="4900"/>
    <n v="4900"/>
    <n v="6"/>
    <s v="11/20/2004 0:00"/>
    <x v="0"/>
    <x v="3"/>
    <x v="5"/>
    <x v="1"/>
    <x v="1"/>
    <n v="163"/>
    <s v="S18_2238"/>
    <x v="62"/>
    <s v="(1) 42.34.2555"/>
    <s v="265, boulevard Charonne"/>
    <s v=""/>
    <s v="Paris"/>
    <s v=""/>
    <s v="75012"/>
    <x v="1"/>
    <s v="EMEA"/>
    <s v="Bertrand"/>
    <s v="Marie"/>
    <s v="Marie, Bertrand"/>
    <s v="Large"/>
  </r>
  <r>
    <n v="10349"/>
    <n v="38"/>
    <n v="100"/>
    <n v="3800"/>
    <n v="3800"/>
    <n v="8"/>
    <s v="12/1/2004 0:00"/>
    <x v="0"/>
    <x v="3"/>
    <x v="6"/>
    <x v="1"/>
    <x v="1"/>
    <n v="163"/>
    <s v="S18_2238"/>
    <x v="74"/>
    <s v="2125557413"/>
    <s v="4092 Furth Circle"/>
    <s v="Suite 400"/>
    <s v="NYC"/>
    <s v="NY"/>
    <s v="10022"/>
    <x v="0"/>
    <s v="NA"/>
    <s v="Young"/>
    <s v="Jeff"/>
    <s v="Jeff, Young"/>
    <s v="Medium"/>
  </r>
  <r>
    <n v="10358"/>
    <n v="20"/>
    <n v="100"/>
    <n v="2000"/>
    <n v="2000"/>
    <n v="10"/>
    <s v="12/10/2004 0:00"/>
    <x v="0"/>
    <x v="3"/>
    <x v="6"/>
    <x v="1"/>
    <x v="1"/>
    <n v="163"/>
    <s v="S18_2238"/>
    <x v="23"/>
    <s v="(91) 555 94 44"/>
    <s v="C/ Moralzarzal, 86"/>
    <s v=""/>
    <s v="Madrid"/>
    <s v=""/>
    <s v="28034"/>
    <x v="7"/>
    <s v="EMEA"/>
    <s v="Freyre"/>
    <s v="Diego"/>
    <s v="Diego, Freyre"/>
    <s v="Small"/>
  </r>
  <r>
    <n v="10371"/>
    <n v="25"/>
    <n v="100"/>
    <n v="2500"/>
    <n v="2500"/>
    <n v="7"/>
    <s v="1/23/2005 0:00"/>
    <x v="0"/>
    <x v="0"/>
    <x v="7"/>
    <x v="2"/>
    <x v="1"/>
    <n v="163"/>
    <s v="S18_2238"/>
    <x v="39"/>
    <s v="4155551450"/>
    <s v="5677 Strong St."/>
    <s v=""/>
    <s v="San Rafael"/>
    <s v="CA"/>
    <s v="97562"/>
    <x v="0"/>
    <s v="NA"/>
    <s v="Nelson"/>
    <s v="Valarie"/>
    <s v="Valarie, Nelson"/>
    <s v="Small"/>
  </r>
  <r>
    <n v="10382"/>
    <n v="25"/>
    <n v="88"/>
    <n v="2200"/>
    <n v="2200"/>
    <n v="5"/>
    <s v="2/17/2005 0:00"/>
    <x v="0"/>
    <x v="0"/>
    <x v="0"/>
    <x v="2"/>
    <x v="1"/>
    <n v="163"/>
    <s v="S18_2238"/>
    <x v="39"/>
    <s v="4155551450"/>
    <s v="5677 Strong St."/>
    <s v=""/>
    <s v="San Rafael"/>
    <s v="CA"/>
    <s v="97562"/>
    <x v="0"/>
    <s v="NA"/>
    <s v="Nelson"/>
    <s v="Valarie"/>
    <s v="Valarie, Nelson"/>
    <s v="Small"/>
  </r>
  <r>
    <n v="10412"/>
    <n v="41"/>
    <n v="100"/>
    <n v="4100"/>
    <n v="4100"/>
    <n v="4"/>
    <s v="5/3/2005 0:00"/>
    <x v="0"/>
    <x v="1"/>
    <x v="1"/>
    <x v="2"/>
    <x v="1"/>
    <n v="163"/>
    <s v="S18_2238"/>
    <x v="23"/>
    <s v="(91) 555 94 44"/>
    <s v="C/ Moralzarzal, 86"/>
    <s v=""/>
    <s v="Madrid"/>
    <s v=""/>
    <s v="28034"/>
    <x v="7"/>
    <s v="EMEA"/>
    <s v="Freyre"/>
    <s v="Diego"/>
    <s v="Diego, Freyre"/>
    <s v="Medium"/>
  </r>
  <r>
    <n v="10425"/>
    <n v="28"/>
    <n v="100"/>
    <n v="2800"/>
    <n v="0"/>
    <n v="3"/>
    <s v="5/31/2005 0:00"/>
    <x v="2"/>
    <x v="1"/>
    <x v="1"/>
    <x v="2"/>
    <x v="1"/>
    <n v="163"/>
    <s v="S18_2238"/>
    <x v="14"/>
    <s v="40.67.8555"/>
    <s v="67, rue des Cinquante Otages"/>
    <s v=""/>
    <s v="Nantes"/>
    <s v=""/>
    <s v="44000"/>
    <x v="1"/>
    <s v="EMEA"/>
    <s v="Labrune"/>
    <s v="Janine"/>
    <s v="Janine, Labrune"/>
    <s v="Medium"/>
  </r>
  <r>
    <n v="10100"/>
    <n v="50"/>
    <n v="678"/>
    <n v="33900"/>
    <n v="33900"/>
    <n v="2"/>
    <s v="1/6/2003 0:00"/>
    <x v="0"/>
    <x v="0"/>
    <x v="7"/>
    <x v="0"/>
    <x v="3"/>
    <n v="60"/>
    <s v="S18_2248"/>
    <x v="40"/>
    <s v="6035558647"/>
    <s v="2304 Long Airport Avenue"/>
    <s v=""/>
    <s v="Nashua"/>
    <s v="NH"/>
    <s v="62005"/>
    <x v="0"/>
    <s v="NA"/>
    <s v="Young"/>
    <s v="Valarie"/>
    <s v="Valarie, Young"/>
    <s v="Medium"/>
  </r>
  <r>
    <n v="10110"/>
    <n v="32"/>
    <n v="5025"/>
    <n v="160800"/>
    <n v="160800"/>
    <n v="6"/>
    <s v="3/18/2003 0:00"/>
    <x v="0"/>
    <x v="0"/>
    <x v="11"/>
    <x v="0"/>
    <x v="3"/>
    <n v="60"/>
    <s v="S18_2248"/>
    <x v="77"/>
    <s v="(171) 555-1555"/>
    <s v="Fauntleroy Circus"/>
    <s v=""/>
    <s v="Manchester"/>
    <s v=""/>
    <s v="EC2 5NT"/>
    <x v="6"/>
    <s v="EMEA"/>
    <s v="Ashworth"/>
    <s v="Victoria"/>
    <s v="Victoria, Ashworth"/>
    <s v="Small"/>
  </r>
  <r>
    <n v="10124"/>
    <n v="42"/>
    <n v="5388"/>
    <n v="226296"/>
    <n v="226296"/>
    <n v="5"/>
    <s v="5/21/2003 0:00"/>
    <x v="0"/>
    <x v="1"/>
    <x v="1"/>
    <x v="0"/>
    <x v="3"/>
    <n v="60"/>
    <s v="S18_2248"/>
    <x v="84"/>
    <s v="7025551838"/>
    <s v="8489 Strong St."/>
    <s v=""/>
    <s v="Las Vegas"/>
    <s v="NV"/>
    <s v="83030"/>
    <x v="0"/>
    <s v="NA"/>
    <s v="King"/>
    <s v="Sue"/>
    <s v="Sue, King"/>
    <s v="Small"/>
  </r>
  <r>
    <n v="10149"/>
    <n v="24"/>
    <n v="6236"/>
    <n v="149664"/>
    <n v="149664"/>
    <n v="10"/>
    <s v="9/12/2003 0:00"/>
    <x v="0"/>
    <x v="2"/>
    <x v="10"/>
    <x v="0"/>
    <x v="3"/>
    <n v="60"/>
    <s v="S18_2248"/>
    <x v="82"/>
    <s v="4155554312"/>
    <s v="2793 Furth Circle"/>
    <s v=""/>
    <s v="Brisbane"/>
    <s v="CA"/>
    <s v="94217"/>
    <x v="0"/>
    <s v="NA"/>
    <s v="Taylor"/>
    <s v="Sue"/>
    <s v="Sue, Taylor"/>
    <s v="Small"/>
  </r>
  <r>
    <n v="10162"/>
    <n v="27"/>
    <n v="6962"/>
    <n v="187974"/>
    <n v="187974"/>
    <n v="8"/>
    <s v="10/18/2003 0:00"/>
    <x v="0"/>
    <x v="3"/>
    <x v="4"/>
    <x v="0"/>
    <x v="3"/>
    <n v="60"/>
    <s v="S18_2248"/>
    <x v="4"/>
    <s v="6505551386"/>
    <s v="7734 Strong St."/>
    <s v=""/>
    <s v="San Francisco"/>
    <s v="CA"/>
    <s v=""/>
    <x v="0"/>
    <s v="NA"/>
    <s v="Brown"/>
    <s v="Julie"/>
    <s v="Julie, Brown"/>
    <s v="Small"/>
  </r>
  <r>
    <n v="10173"/>
    <n v="26"/>
    <n v="5751"/>
    <n v="149526"/>
    <n v="149526"/>
    <n v="12"/>
    <s v="11/5/2003 0:00"/>
    <x v="0"/>
    <x v="3"/>
    <x v="5"/>
    <x v="0"/>
    <x v="3"/>
    <n v="60"/>
    <s v="S18_2248"/>
    <x v="86"/>
    <s v="035-640555"/>
    <s v="Via Ludovico il Moro 22"/>
    <s v=""/>
    <s v="Bergamo"/>
    <s v=""/>
    <s v="24100"/>
    <x v="12"/>
    <s v="EMEA"/>
    <s v="Rovelli"/>
    <s v="Giovanni"/>
    <s v="Giovanni, Rovelli"/>
    <s v="Small"/>
  </r>
  <r>
    <n v="10182"/>
    <n v="38"/>
    <n v="6115"/>
    <n v="232370"/>
    <n v="232370"/>
    <n v="9"/>
    <s v="11/12/2003 0:00"/>
    <x v="0"/>
    <x v="3"/>
    <x v="5"/>
    <x v="0"/>
    <x v="3"/>
    <n v="60"/>
    <s v="S18_2248"/>
    <x v="39"/>
    <s v="4155551450"/>
    <s v="5677 Strong St."/>
    <s v=""/>
    <s v="San Rafael"/>
    <s v="CA"/>
    <s v="97562"/>
    <x v="0"/>
    <s v="NA"/>
    <s v="Nelson"/>
    <s v="Valarie"/>
    <s v="Valarie, Nelson"/>
    <s v="Small"/>
  </r>
  <r>
    <n v="10193"/>
    <n v="42"/>
    <n v="5933"/>
    <n v="249186"/>
    <n v="249186"/>
    <n v="13"/>
    <s v="11/21/2003 0:00"/>
    <x v="0"/>
    <x v="3"/>
    <x v="5"/>
    <x v="0"/>
    <x v="3"/>
    <n v="60"/>
    <s v="S18_2248"/>
    <x v="87"/>
    <s v="61-9-3844-6555"/>
    <s v="7 Allen Street"/>
    <s v=""/>
    <s v="Glen Waverly"/>
    <s v="Victoria"/>
    <s v="3150"/>
    <x v="3"/>
    <s v="APAC"/>
    <s v="Connery"/>
    <s v="Sean"/>
    <s v="Sean, Connery"/>
    <s v="Small"/>
  </r>
  <r>
    <n v="10204"/>
    <n v="23"/>
    <n v="7144"/>
    <n v="164312"/>
    <n v="164312"/>
    <n v="3"/>
    <s v="12/2/2003 0:00"/>
    <x v="0"/>
    <x v="3"/>
    <x v="6"/>
    <x v="0"/>
    <x v="3"/>
    <n v="60"/>
    <s v="S18_2248"/>
    <x v="74"/>
    <s v="2125557413"/>
    <s v="4092 Furth Circle"/>
    <s v="Suite 400"/>
    <s v="NYC"/>
    <s v="NY"/>
    <s v="10022"/>
    <x v="0"/>
    <s v="NA"/>
    <s v="Young"/>
    <s v="Jeff"/>
    <s v="Jeff, Young"/>
    <s v="Small"/>
  </r>
  <r>
    <n v="10214"/>
    <n v="21"/>
    <n v="6296"/>
    <n v="132216"/>
    <n v="132216"/>
    <n v="6"/>
    <s v="1/26/2004 0:00"/>
    <x v="0"/>
    <x v="0"/>
    <x v="7"/>
    <x v="1"/>
    <x v="3"/>
    <n v="60"/>
    <s v="S18_2248"/>
    <x v="25"/>
    <s v="(91) 555 22 82"/>
    <s v="C/ Araquil, 67"/>
    <s v=""/>
    <s v="Madrid"/>
    <s v=""/>
    <s v="28023"/>
    <x v="7"/>
    <s v="EMEA"/>
    <s v="Sommer"/>
    <s v="Mart¡n"/>
    <s v="Mart¡n, Sommer"/>
    <s v="Small"/>
  </r>
  <r>
    <n v="10227"/>
    <n v="28"/>
    <n v="5085"/>
    <n v="142380"/>
    <n v="142380"/>
    <n v="9"/>
    <s v="3/2/2004 0:00"/>
    <x v="0"/>
    <x v="0"/>
    <x v="11"/>
    <x v="1"/>
    <x v="3"/>
    <n v="60"/>
    <s v="S18_2248"/>
    <x v="30"/>
    <s v="78.32.5555"/>
    <s v="2, rue du Commerce"/>
    <s v=""/>
    <s v="Lyon"/>
    <s v=""/>
    <s v="69004"/>
    <x v="1"/>
    <s v="EMEA"/>
    <s v="Saveley"/>
    <s v="Mary"/>
    <s v="Mary, Saveley"/>
    <s v="Small"/>
  </r>
  <r>
    <n v="10241"/>
    <n v="33"/>
    <n v="7265"/>
    <n v="239745"/>
    <n v="239745"/>
    <n v="1"/>
    <s v="4/13/2004 0:00"/>
    <x v="0"/>
    <x v="1"/>
    <x v="8"/>
    <x v="1"/>
    <x v="3"/>
    <n v="60"/>
    <s v="S18_2248"/>
    <x v="83"/>
    <s v="88.60.1555"/>
    <s v="24, place Kluber"/>
    <s v=""/>
    <s v="Strasbourg"/>
    <s v=""/>
    <s v="67000"/>
    <x v="1"/>
    <s v="EMEA"/>
    <s v="Citeaux"/>
    <s v="Frederique"/>
    <s v="Frederique, Citeaux"/>
    <s v="Small"/>
  </r>
  <r>
    <n v="10280"/>
    <n v="25"/>
    <n v="6296"/>
    <n v="157400"/>
    <n v="157400"/>
    <n v="15"/>
    <s v="8/17/2004 0:00"/>
    <x v="0"/>
    <x v="2"/>
    <x v="3"/>
    <x v="1"/>
    <x v="3"/>
    <n v="60"/>
    <s v="S18_2248"/>
    <x v="36"/>
    <s v="011-4988555"/>
    <s v="Via Monte Bianco 34"/>
    <s v=""/>
    <s v="Torino"/>
    <s v=""/>
    <s v="10100"/>
    <x v="12"/>
    <s v="EMEA"/>
    <s v="Accorti"/>
    <s v="Paolo"/>
    <s v="Paolo, Accorti"/>
    <s v="Small"/>
  </r>
  <r>
    <n v="10288"/>
    <n v="28"/>
    <n v="6175"/>
    <n v="172900"/>
    <n v="172900"/>
    <n v="4"/>
    <s v="9/1/2004 0:00"/>
    <x v="0"/>
    <x v="2"/>
    <x v="10"/>
    <x v="1"/>
    <x v="3"/>
    <n v="60"/>
    <s v="S18_2248"/>
    <x v="65"/>
    <s v="+65 224 1555"/>
    <s v="Village Close - 106 Linden Road Sandown"/>
    <s v="2nd Floor"/>
    <s v="Singapore"/>
    <s v=""/>
    <s v="69045"/>
    <x v="9"/>
    <s v="APAC"/>
    <s v="Victorino"/>
    <s v="Wendy"/>
    <s v="Wendy, Victorino"/>
    <s v="Small"/>
  </r>
  <r>
    <n v="10303"/>
    <n v="46"/>
    <n v="4904"/>
    <n v="225584"/>
    <n v="225584"/>
    <n v="2"/>
    <s v="10/6/2004 0:00"/>
    <x v="0"/>
    <x v="3"/>
    <x v="4"/>
    <x v="1"/>
    <x v="3"/>
    <n v="60"/>
    <s v="S18_2248"/>
    <x v="81"/>
    <s v="(95) 555 82 82"/>
    <s v="C/ Romero, 33"/>
    <s v=""/>
    <s v="Sevilla"/>
    <s v=""/>
    <s v="41101"/>
    <x v="7"/>
    <s v="EMEA"/>
    <s v="Roel"/>
    <s v="Jose Pedro"/>
    <s v="Jose Pedro, Roel"/>
    <s v="Small"/>
  </r>
  <r>
    <n v="10312"/>
    <n v="30"/>
    <n v="6115"/>
    <n v="183450"/>
    <n v="183450"/>
    <n v="16"/>
    <s v="10/21/2004 0:00"/>
    <x v="0"/>
    <x v="3"/>
    <x v="4"/>
    <x v="1"/>
    <x v="3"/>
    <n v="60"/>
    <s v="S18_2248"/>
    <x v="39"/>
    <s v="4155551450"/>
    <s v="5677 Strong St."/>
    <s v=""/>
    <s v="San Rafael"/>
    <s v="CA"/>
    <s v="97562"/>
    <x v="0"/>
    <s v="NA"/>
    <s v="Nelson"/>
    <s v="Valarie"/>
    <s v="Valarie, Nelson"/>
    <s v="Small"/>
  </r>
  <r>
    <n v="10332"/>
    <n v="38"/>
    <n v="8425"/>
    <n v="320150"/>
    <n v="320150"/>
    <n v="9"/>
    <s v="11/17/2004 0:00"/>
    <x v="0"/>
    <x v="3"/>
    <x v="5"/>
    <x v="1"/>
    <x v="3"/>
    <n v="60"/>
    <s v="S18_2248"/>
    <x v="77"/>
    <s v="(171) 555-1555"/>
    <s v="Fauntleroy Circus"/>
    <s v=""/>
    <s v="Manchester"/>
    <s v=""/>
    <s v="EC2 5NT"/>
    <x v="6"/>
    <s v="EMEA"/>
    <s v="Ashworth"/>
    <s v="Victoria"/>
    <s v="Victoria, Ashworth"/>
    <s v="Medium"/>
  </r>
  <r>
    <n v="10344"/>
    <n v="40"/>
    <n v="5691"/>
    <n v="227640"/>
    <n v="227640"/>
    <n v="2"/>
    <s v="11/25/2004 0:00"/>
    <x v="0"/>
    <x v="3"/>
    <x v="5"/>
    <x v="1"/>
    <x v="3"/>
    <n v="60"/>
    <s v="S18_2248"/>
    <x v="67"/>
    <s v="91.24.4555"/>
    <s v="12, rue des Bouchers"/>
    <s v=""/>
    <s v="Marseille"/>
    <s v=""/>
    <s v="13008"/>
    <x v="1"/>
    <s v="EMEA"/>
    <s v="Lebihan"/>
    <s v="Laurence"/>
    <s v="Laurence, Lebihan"/>
    <s v="Small"/>
  </r>
  <r>
    <n v="10367"/>
    <n v="45"/>
    <n v="100"/>
    <n v="4500"/>
    <n v="4500"/>
    <n v="4"/>
    <s v="1/12/2005 0:00"/>
    <x v="5"/>
    <x v="0"/>
    <x v="7"/>
    <x v="2"/>
    <x v="3"/>
    <n v="60"/>
    <s v="S18_2248"/>
    <x v="3"/>
    <s v="6265557265"/>
    <s v="78934 Hillside Dr."/>
    <s v=""/>
    <s v="Pasadena"/>
    <s v="CA"/>
    <s v="90003"/>
    <x v="0"/>
    <s v="NA"/>
    <s v="Young"/>
    <s v="Julie"/>
    <s v="Julie, Young"/>
    <s v="Large"/>
  </r>
  <r>
    <n v="10379"/>
    <n v="27"/>
    <n v="493"/>
    <n v="13311"/>
    <n v="13311"/>
    <n v="1"/>
    <s v="2/10/2005 0:00"/>
    <x v="0"/>
    <x v="0"/>
    <x v="0"/>
    <x v="2"/>
    <x v="3"/>
    <n v="60"/>
    <s v="S18_2248"/>
    <x v="23"/>
    <s v="(91) 555 94 44"/>
    <s v="C/ Moralzarzal, 86"/>
    <s v=""/>
    <s v="Madrid"/>
    <s v=""/>
    <s v="28034"/>
    <x v="7"/>
    <s v="EMEA"/>
    <s v="Freyre"/>
    <s v="Diego"/>
    <s v="Diego, Freyre"/>
    <s v="Small"/>
  </r>
  <r>
    <n v="10407"/>
    <n v="42"/>
    <n v="7265"/>
    <n v="305130"/>
    <n v="0"/>
    <n v="1"/>
    <s v="4/22/2005 0:00"/>
    <x v="4"/>
    <x v="1"/>
    <x v="8"/>
    <x v="2"/>
    <x v="3"/>
    <n v="60"/>
    <s v="S18_2248"/>
    <x v="61"/>
    <s v="4085553659"/>
    <s v="3086 Ingle Ln."/>
    <s v=""/>
    <s v="San Jose"/>
    <s v="CA"/>
    <s v="94217"/>
    <x v="0"/>
    <s v="NA"/>
    <s v="Frick"/>
    <s v="Sue"/>
    <s v="Sue, Frick"/>
    <s v="Medium"/>
  </r>
  <r>
    <n v="10420"/>
    <n v="36"/>
    <n v="6357"/>
    <n v="228852"/>
    <n v="0"/>
    <n v="4"/>
    <s v="5/29/2005 0:00"/>
    <x v="2"/>
    <x v="1"/>
    <x v="1"/>
    <x v="2"/>
    <x v="3"/>
    <n v="60"/>
    <s v="S18_2248"/>
    <x v="20"/>
    <s v="+61 2 9495 8555"/>
    <s v="Monitor Money Building, 815 Pacific Hwy"/>
    <s v="Level 6"/>
    <s v="Chatswood"/>
    <s v="NSW"/>
    <s v="2067"/>
    <x v="3"/>
    <s v="APAC"/>
    <s v="Huxley"/>
    <s v="Adrian"/>
    <s v="Adrian, Huxley"/>
    <s v="Small"/>
  </r>
  <r>
    <n v="10104"/>
    <n v="29"/>
    <n v="100"/>
    <n v="2900"/>
    <n v="2900"/>
    <n v="12"/>
    <s v="1/31/2003 0:00"/>
    <x v="0"/>
    <x v="0"/>
    <x v="7"/>
    <x v="0"/>
    <x v="2"/>
    <n v="122"/>
    <s v="S18_2319"/>
    <x v="23"/>
    <s v="(91) 555 94 44"/>
    <s v="C/ Moralzarzal, 86"/>
    <s v=""/>
    <s v="Madrid"/>
    <s v=""/>
    <s v="28034"/>
    <x v="7"/>
    <s v="EMEA"/>
    <s v="Freyre"/>
    <s v="Diego"/>
    <s v="Diego, Freyre"/>
    <s v="Medium"/>
  </r>
  <r>
    <n v="10114"/>
    <n v="39"/>
    <n v="100"/>
    <n v="3900"/>
    <n v="3900"/>
    <n v="3"/>
    <s v="4/1/2003 0:00"/>
    <x v="0"/>
    <x v="1"/>
    <x v="8"/>
    <x v="0"/>
    <x v="2"/>
    <n v="122"/>
    <s v="S18_2319"/>
    <x v="62"/>
    <s v="(1) 42.34.2555"/>
    <s v="265, boulevard Charonne"/>
    <s v=""/>
    <s v="Paris"/>
    <s v=""/>
    <s v="75012"/>
    <x v="1"/>
    <s v="EMEA"/>
    <s v="Bertrand"/>
    <s v="Marie"/>
    <s v="Marie, Bertrand"/>
    <s v="Medium"/>
  </r>
  <r>
    <n v="10127"/>
    <n v="45"/>
    <n v="100"/>
    <n v="4500"/>
    <n v="4500"/>
    <n v="14"/>
    <s v="6/3/2003 0:00"/>
    <x v="0"/>
    <x v="1"/>
    <x v="9"/>
    <x v="0"/>
    <x v="2"/>
    <n v="122"/>
    <s v="S18_2319"/>
    <x v="74"/>
    <s v="2125557413"/>
    <s v="4092 Furth Circle"/>
    <s v="Suite 400"/>
    <s v="NYC"/>
    <s v="NY"/>
    <s v="10022"/>
    <x v="0"/>
    <s v="NA"/>
    <s v="Young"/>
    <s v="Jeff"/>
    <s v="Jeff, Young"/>
    <s v="Medium"/>
  </r>
  <r>
    <n v="10141"/>
    <n v="47"/>
    <n v="100"/>
    <n v="4700"/>
    <n v="4700"/>
    <n v="8"/>
    <s v="8/1/2003 0:00"/>
    <x v="0"/>
    <x v="2"/>
    <x v="3"/>
    <x v="0"/>
    <x v="2"/>
    <n v="122"/>
    <s v="S18_2319"/>
    <x v="73"/>
    <s v="+358 9 8045 555"/>
    <s v="Software Engineering Center, SEC Oy"/>
    <s v=""/>
    <s v="Espoo"/>
    <s v=""/>
    <s v="FIN-02271"/>
    <x v="4"/>
    <s v="EMEA"/>
    <s v="Suominen"/>
    <s v="Kalle"/>
    <s v="Kalle, Suominen"/>
    <s v="Medium"/>
  </r>
  <r>
    <n v="10151"/>
    <n v="49"/>
    <n v="100"/>
    <n v="4900"/>
    <n v="4900"/>
    <n v="6"/>
    <s v="9/21/2003 0:00"/>
    <x v="0"/>
    <x v="2"/>
    <x v="10"/>
    <x v="0"/>
    <x v="2"/>
    <n v="122"/>
    <s v="S18_2319"/>
    <x v="60"/>
    <s v="981-443655"/>
    <s v="Torikatu 38"/>
    <s v=""/>
    <s v="Oulu"/>
    <s v=""/>
    <s v="90110"/>
    <x v="4"/>
    <s v="EMEA"/>
    <s v="Koskitalo"/>
    <s v="Pirkko"/>
    <s v="Pirkko, Koskitalo"/>
    <s v="Medium"/>
  </r>
  <r>
    <n v="10165"/>
    <n v="46"/>
    <n v="100"/>
    <n v="4600"/>
    <n v="4600"/>
    <n v="15"/>
    <s v="10/22/2003 0:00"/>
    <x v="0"/>
    <x v="3"/>
    <x v="4"/>
    <x v="0"/>
    <x v="2"/>
    <n v="122"/>
    <s v="S18_2319"/>
    <x v="26"/>
    <s v="+65 221 7555"/>
    <s v="Bronz Sok., Bronz Apt. 3/6 Tesvikiye"/>
    <s v=""/>
    <s v="Singapore"/>
    <s v=""/>
    <s v="79903"/>
    <x v="9"/>
    <s v="Japan"/>
    <s v="Natividad"/>
    <s v="Eric"/>
    <s v="Eric, Natividad"/>
    <s v="Medium"/>
  </r>
  <r>
    <n v="10175"/>
    <n v="48"/>
    <n v="100"/>
    <n v="4800"/>
    <n v="4800"/>
    <n v="4"/>
    <s v="11/6/2003 0:00"/>
    <x v="0"/>
    <x v="3"/>
    <x v="5"/>
    <x v="0"/>
    <x v="2"/>
    <n v="122"/>
    <s v="S18_2319"/>
    <x v="49"/>
    <s v="(171) 555-0297"/>
    <s v="35 King George"/>
    <s v=""/>
    <s v="London"/>
    <s v=""/>
    <s v="WX3 6FW"/>
    <x v="6"/>
    <s v="EMEA"/>
    <s v="Brown"/>
    <s v="Ann"/>
    <s v="Ann, Brown"/>
    <s v="Medium"/>
  </r>
  <r>
    <n v="10184"/>
    <n v="46"/>
    <n v="100"/>
    <n v="4600"/>
    <n v="4600"/>
    <n v="9"/>
    <s v="11/14/2003 0:00"/>
    <x v="0"/>
    <x v="3"/>
    <x v="5"/>
    <x v="0"/>
    <x v="2"/>
    <n v="122"/>
    <s v="S18_2319"/>
    <x v="81"/>
    <s v="(95) 555 82 82"/>
    <s v="C/ Romero, 33"/>
    <s v=""/>
    <s v="Sevilla"/>
    <s v=""/>
    <s v="41101"/>
    <x v="7"/>
    <s v="EMEA"/>
    <s v="Roel"/>
    <s v="Jose Pedro"/>
    <s v="Jose Pedro, Roel"/>
    <s v="Medium"/>
  </r>
  <r>
    <n v="10195"/>
    <n v="35"/>
    <n v="100"/>
    <n v="3500"/>
    <n v="3500"/>
    <n v="9"/>
    <s v="11/25/2003 0:00"/>
    <x v="0"/>
    <x v="3"/>
    <x v="5"/>
    <x v="0"/>
    <x v="2"/>
    <n v="122"/>
    <s v="S18_2319"/>
    <x v="47"/>
    <s v="9145554562"/>
    <s v="3758 North Pendale Street"/>
    <s v=""/>
    <s v="White Plains"/>
    <s v="NY"/>
    <s v="24067"/>
    <x v="0"/>
    <s v="NA"/>
    <s v="Frick"/>
    <s v="Steve"/>
    <s v="Steve, Frick"/>
    <s v="Medium"/>
  </r>
  <r>
    <n v="10207"/>
    <n v="43"/>
    <n v="100"/>
    <n v="4300"/>
    <n v="4300"/>
    <n v="10"/>
    <s v="12/9/2003 0:00"/>
    <x v="0"/>
    <x v="3"/>
    <x v="6"/>
    <x v="0"/>
    <x v="2"/>
    <n v="122"/>
    <s v="S18_2319"/>
    <x v="64"/>
    <s v="6175552555"/>
    <s v="6251 Ingle Ln."/>
    <s v=""/>
    <s v="Boston"/>
    <s v="MA"/>
    <s v="51003"/>
    <x v="0"/>
    <s v="NA"/>
    <s v="Franco"/>
    <s v="Valarie"/>
    <s v="Valarie, Franco"/>
    <s v="Medium"/>
  </r>
  <r>
    <n v="10229"/>
    <n v="26"/>
    <n v="100"/>
    <n v="2600"/>
    <n v="2600"/>
    <n v="4"/>
    <s v="3/11/2004 0:00"/>
    <x v="0"/>
    <x v="0"/>
    <x v="11"/>
    <x v="1"/>
    <x v="2"/>
    <n v="122"/>
    <s v="S18_2319"/>
    <x v="39"/>
    <s v="4155551450"/>
    <s v="5677 Strong St."/>
    <s v=""/>
    <s v="San Rafael"/>
    <s v="CA"/>
    <s v="97562"/>
    <x v="0"/>
    <s v="NA"/>
    <s v="Nelson"/>
    <s v="Valarie"/>
    <s v="Valarie, Nelson"/>
    <s v="Medium"/>
  </r>
  <r>
    <n v="10246"/>
    <n v="22"/>
    <n v="9818"/>
    <n v="215996"/>
    <n v="215996"/>
    <n v="8"/>
    <s v="5/5/2004 0:00"/>
    <x v="0"/>
    <x v="1"/>
    <x v="1"/>
    <x v="1"/>
    <x v="2"/>
    <n v="122"/>
    <s v="S18_2319"/>
    <x v="23"/>
    <s v="(91) 555 94 44"/>
    <s v="C/ Moralzarzal, 86"/>
    <s v=""/>
    <s v="Madrid"/>
    <s v=""/>
    <s v="28034"/>
    <x v="7"/>
    <s v="EMEA"/>
    <s v="Freyre"/>
    <s v="Diego"/>
    <s v="Diego, Freyre"/>
    <s v="Small"/>
  </r>
  <r>
    <n v="10259"/>
    <n v="34"/>
    <n v="9941"/>
    <n v="337994"/>
    <n v="337994"/>
    <n v="7"/>
    <s v="6/15/2004 0:00"/>
    <x v="0"/>
    <x v="1"/>
    <x v="9"/>
    <x v="1"/>
    <x v="2"/>
    <n v="122"/>
    <s v="S18_2319"/>
    <x v="65"/>
    <s v="+65 224 1555"/>
    <s v="Village Close - 106 Linden Road Sandown"/>
    <s v="2nd Floor"/>
    <s v="Singapore"/>
    <s v=""/>
    <s v="69045"/>
    <x v="9"/>
    <s v="APAC"/>
    <s v="Victorino"/>
    <s v="Wendy"/>
    <s v="Wendy, Victorino"/>
    <s v="Medium"/>
  </r>
  <r>
    <n v="10271"/>
    <n v="50"/>
    <n v="100"/>
    <n v="5000"/>
    <n v="5000"/>
    <n v="8"/>
    <s v="7/20/2004 0:00"/>
    <x v="0"/>
    <x v="2"/>
    <x v="2"/>
    <x v="1"/>
    <x v="2"/>
    <n v="122"/>
    <s v="S18_2319"/>
    <x v="39"/>
    <s v="4155551450"/>
    <s v="5677 Strong St."/>
    <s v=""/>
    <s v="San Rafael"/>
    <s v="CA"/>
    <s v="97562"/>
    <x v="0"/>
    <s v="NA"/>
    <s v="Nelson"/>
    <s v="Valarie"/>
    <s v="Valarie, Nelson"/>
    <s v="Medium"/>
  </r>
  <r>
    <n v="10281"/>
    <n v="48"/>
    <n v="100"/>
    <n v="4800"/>
    <n v="4800"/>
    <n v="4"/>
    <s v="8/19/2004 0:00"/>
    <x v="0"/>
    <x v="2"/>
    <x v="3"/>
    <x v="1"/>
    <x v="2"/>
    <n v="122"/>
    <s v="S18_2319"/>
    <x v="18"/>
    <s v="2155551555"/>
    <s v="7586 Pompton St."/>
    <s v=""/>
    <s v="Allentown"/>
    <s v="PA"/>
    <s v="70267"/>
    <x v="0"/>
    <s v="NA"/>
    <s v="Yu"/>
    <s v="Kyung"/>
    <s v="Kyung, Yu"/>
    <s v="Medium"/>
  </r>
  <r>
    <n v="10292"/>
    <n v="41"/>
    <n v="100"/>
    <n v="4100"/>
    <n v="4100"/>
    <n v="11"/>
    <s v="9/8/2004 0:00"/>
    <x v="0"/>
    <x v="2"/>
    <x v="10"/>
    <x v="1"/>
    <x v="2"/>
    <n v="122"/>
    <s v="S18_2319"/>
    <x v="0"/>
    <s v="2125557818"/>
    <s v="897 Long Airport Avenue"/>
    <s v=""/>
    <s v="NYC"/>
    <s v="NY"/>
    <s v="10022"/>
    <x v="0"/>
    <s v="NA"/>
    <s v="Yu"/>
    <s v="Kwai"/>
    <s v="Kwai, Yu"/>
    <s v="Medium"/>
  </r>
  <r>
    <n v="10305"/>
    <n v="36"/>
    <n v="100"/>
    <n v="3600"/>
    <n v="3600"/>
    <n v="8"/>
    <s v="10/13/2004 0:00"/>
    <x v="0"/>
    <x v="3"/>
    <x v="4"/>
    <x v="1"/>
    <x v="2"/>
    <n v="122"/>
    <s v="S18_2319"/>
    <x v="15"/>
    <s v="6175558555"/>
    <s v="39323 Spinnaker Dr."/>
    <s v=""/>
    <s v="Cambridge"/>
    <s v="MA"/>
    <s v="51247"/>
    <x v="0"/>
    <s v="NA"/>
    <s v="Hernandez"/>
    <s v="Marta"/>
    <s v="Marta, Hernandez"/>
    <s v="Medium"/>
  </r>
  <r>
    <n v="10313"/>
    <n v="29"/>
    <n v="100"/>
    <n v="2900"/>
    <n v="2900"/>
    <n v="2"/>
    <s v="10/22/2004 0:00"/>
    <x v="0"/>
    <x v="3"/>
    <x v="4"/>
    <x v="1"/>
    <x v="2"/>
    <n v="122"/>
    <s v="S18_2319"/>
    <x v="31"/>
    <s v="(604) 555-3392"/>
    <s v="1900 Oak St."/>
    <s v=""/>
    <s v="Vancouver"/>
    <s v="BC"/>
    <s v="V3F 2K1"/>
    <x v="10"/>
    <s v="NA"/>
    <s v="Tannamuri"/>
    <s v="Yoshi"/>
    <s v="Yoshi, Tannamuri"/>
    <s v="Medium"/>
  </r>
  <r>
    <n v="10324"/>
    <n v="33"/>
    <n v="3748"/>
    <n v="123684"/>
    <n v="123684"/>
    <n v="10"/>
    <s v="11/5/2004 0:00"/>
    <x v="0"/>
    <x v="3"/>
    <x v="5"/>
    <x v="1"/>
    <x v="2"/>
    <n v="122"/>
    <s v="S18_2319"/>
    <x v="11"/>
    <s v="2125551500"/>
    <s v="2678 Kingston Rd."/>
    <s v="Suite 101"/>
    <s v="NYC"/>
    <s v="NY"/>
    <s v="10022"/>
    <x v="0"/>
    <s v="NA"/>
    <s v="Frick"/>
    <s v="Michael"/>
    <s v="Michael, Frick"/>
    <s v="Small"/>
  </r>
  <r>
    <n v="10334"/>
    <n v="46"/>
    <n v="100"/>
    <n v="4600"/>
    <n v="0"/>
    <n v="6"/>
    <s v="11/19/2004 0:00"/>
    <x v="4"/>
    <x v="3"/>
    <x v="5"/>
    <x v="1"/>
    <x v="2"/>
    <n v="122"/>
    <s v="S18_2319"/>
    <x v="24"/>
    <s v="0921-12 3555"/>
    <s v="Berguvsv„gen  8"/>
    <s v=""/>
    <s v="Lule"/>
    <s v=""/>
    <s v="S-958 22"/>
    <x v="8"/>
    <s v="EMEA"/>
    <s v="Berglund"/>
    <s v="Christina"/>
    <s v="Christina, Berglund"/>
    <s v="Medium"/>
  </r>
  <r>
    <n v="10349"/>
    <n v="38"/>
    <n v="100"/>
    <n v="3800"/>
    <n v="3800"/>
    <n v="7"/>
    <s v="12/1/2004 0:00"/>
    <x v="0"/>
    <x v="3"/>
    <x v="6"/>
    <x v="1"/>
    <x v="2"/>
    <n v="122"/>
    <s v="S18_2319"/>
    <x v="74"/>
    <s v="2125557413"/>
    <s v="4092 Furth Circle"/>
    <s v="Suite 400"/>
    <s v="NYC"/>
    <s v="NY"/>
    <s v="10022"/>
    <x v="0"/>
    <s v="NA"/>
    <s v="Young"/>
    <s v="Jeff"/>
    <s v="Jeff, Young"/>
    <s v="Medium"/>
  </r>
  <r>
    <n v="10358"/>
    <n v="20"/>
    <n v="3642"/>
    <n v="72840"/>
    <n v="72840"/>
    <n v="11"/>
    <s v="12/10/2004 0:00"/>
    <x v="0"/>
    <x v="3"/>
    <x v="6"/>
    <x v="1"/>
    <x v="2"/>
    <n v="122"/>
    <s v="S18_2319"/>
    <x v="23"/>
    <s v="(91) 555 94 44"/>
    <s v="C/ Moralzarzal, 86"/>
    <s v=""/>
    <s v="Madrid"/>
    <s v=""/>
    <s v="28034"/>
    <x v="7"/>
    <s v="EMEA"/>
    <s v="Freyre"/>
    <s v="Diego"/>
    <s v="Diego, Freyre"/>
    <s v="Small"/>
  </r>
  <r>
    <n v="10370"/>
    <n v="22"/>
    <n v="100"/>
    <n v="2200"/>
    <n v="2200"/>
    <n v="5"/>
    <s v="1/20/2005 0:00"/>
    <x v="0"/>
    <x v="0"/>
    <x v="7"/>
    <x v="2"/>
    <x v="2"/>
    <n v="122"/>
    <s v="S18_2319"/>
    <x v="42"/>
    <s v="02 9936 8555"/>
    <s v="201 Miller Street"/>
    <s v="Level 15"/>
    <s v="North Sydney"/>
    <s v="NSW"/>
    <s v="2060"/>
    <x v="3"/>
    <s v="APAC"/>
    <s v="O'Hara"/>
    <s v="Anna"/>
    <s v="Anna, O'Hara"/>
    <s v="Medium"/>
  </r>
  <r>
    <n v="10383"/>
    <n v="27"/>
    <n v="100"/>
    <n v="2700"/>
    <n v="2700"/>
    <n v="11"/>
    <s v="2/22/2005 0:00"/>
    <x v="0"/>
    <x v="0"/>
    <x v="0"/>
    <x v="2"/>
    <x v="2"/>
    <n v="122"/>
    <s v="S18_2319"/>
    <x v="23"/>
    <s v="(91) 555 94 44"/>
    <s v="C/ Moralzarzal, 86"/>
    <s v=""/>
    <s v="Madrid"/>
    <s v=""/>
    <s v="28034"/>
    <x v="7"/>
    <s v="EMEA"/>
    <s v="Freyre"/>
    <s v="Diego"/>
    <s v="Diego, Freyre"/>
    <s v="Medium"/>
  </r>
  <r>
    <n v="10412"/>
    <n v="56"/>
    <n v="9818"/>
    <n v="549808"/>
    <n v="549808"/>
    <n v="8"/>
    <s v="5/3/2005 0:00"/>
    <x v="0"/>
    <x v="1"/>
    <x v="1"/>
    <x v="2"/>
    <x v="2"/>
    <n v="122"/>
    <s v="S18_2319"/>
    <x v="23"/>
    <s v="(91) 555 94 44"/>
    <s v="C/ Moralzarzal, 86"/>
    <s v=""/>
    <s v="Madrid"/>
    <s v=""/>
    <s v="28034"/>
    <x v="7"/>
    <s v="EMEA"/>
    <s v="Freyre"/>
    <s v="Diego"/>
    <s v="Diego, Freyre"/>
    <s v="Medium"/>
  </r>
  <r>
    <n v="10425"/>
    <n v="38"/>
    <n v="9941"/>
    <n v="377758"/>
    <n v="0"/>
    <n v="7"/>
    <s v="5/31/2005 0:00"/>
    <x v="2"/>
    <x v="1"/>
    <x v="1"/>
    <x v="2"/>
    <x v="2"/>
    <n v="122"/>
    <s v="S18_2319"/>
    <x v="14"/>
    <s v="40.67.8555"/>
    <s v="67, rue des Cinquante Otages"/>
    <s v=""/>
    <s v="Nantes"/>
    <s v=""/>
    <s v="44000"/>
    <x v="1"/>
    <s v="EMEA"/>
    <s v="Labrune"/>
    <s v="Janine"/>
    <s v="Janine, Labrune"/>
    <s v="Medium"/>
  </r>
  <r>
    <n v="10101"/>
    <n v="25"/>
    <n v="100"/>
    <n v="2500"/>
    <n v="2500"/>
    <n v="4"/>
    <s v="1/9/2003 0:00"/>
    <x v="0"/>
    <x v="0"/>
    <x v="7"/>
    <x v="0"/>
    <x v="3"/>
    <n v="127"/>
    <s v="S18_2325"/>
    <x v="72"/>
    <s v="+49 69 66 90 2555"/>
    <s v="Lyonerstr. 34"/>
    <s v=""/>
    <s v="Frankfurt"/>
    <s v=""/>
    <s v="60528"/>
    <x v="16"/>
    <s v="EMEA"/>
    <s v="Keitel"/>
    <s v="Roland"/>
    <s v="Roland, Keitel"/>
    <s v="Medium"/>
  </r>
  <r>
    <n v="10110"/>
    <n v="33"/>
    <n v="100"/>
    <n v="3300"/>
    <n v="3300"/>
    <n v="4"/>
    <s v="3/18/2003 0:00"/>
    <x v="0"/>
    <x v="0"/>
    <x v="11"/>
    <x v="0"/>
    <x v="3"/>
    <n v="127"/>
    <s v="S18_2325"/>
    <x v="77"/>
    <s v="(171) 555-1555"/>
    <s v="Fauntleroy Circus"/>
    <s v=""/>
    <s v="Manchester"/>
    <s v=""/>
    <s v="EC2 5NT"/>
    <x v="6"/>
    <s v="EMEA"/>
    <s v="Ashworth"/>
    <s v="Victoria"/>
    <s v="Victoria, Ashworth"/>
    <s v="Medium"/>
  </r>
  <r>
    <n v="10124"/>
    <n v="42"/>
    <n v="100"/>
    <n v="4200"/>
    <n v="4200"/>
    <n v="3"/>
    <s v="5/21/2003 0:00"/>
    <x v="0"/>
    <x v="1"/>
    <x v="1"/>
    <x v="0"/>
    <x v="3"/>
    <n v="127"/>
    <s v="S18_2325"/>
    <x v="84"/>
    <s v="7025551838"/>
    <s v="8489 Strong St."/>
    <s v=""/>
    <s v="Las Vegas"/>
    <s v="NV"/>
    <s v="83030"/>
    <x v="0"/>
    <s v="NA"/>
    <s v="King"/>
    <s v="Sue"/>
    <s v="Sue, King"/>
    <s v="Medium"/>
  </r>
  <r>
    <n v="10149"/>
    <n v="33"/>
    <n v="100"/>
    <n v="3300"/>
    <n v="3300"/>
    <n v="8"/>
    <s v="9/12/2003 0:00"/>
    <x v="0"/>
    <x v="2"/>
    <x v="10"/>
    <x v="0"/>
    <x v="3"/>
    <n v="127"/>
    <s v="S18_2325"/>
    <x v="82"/>
    <s v="4155554312"/>
    <s v="2793 Furth Circle"/>
    <s v=""/>
    <s v="Brisbane"/>
    <s v="CA"/>
    <s v="94217"/>
    <x v="0"/>
    <s v="NA"/>
    <s v="Taylor"/>
    <s v="Sue"/>
    <s v="Sue, Taylor"/>
    <s v="Medium"/>
  </r>
  <r>
    <n v="10162"/>
    <n v="38"/>
    <n v="100"/>
    <n v="3800"/>
    <n v="3800"/>
    <n v="6"/>
    <s v="10/18/2003 0:00"/>
    <x v="0"/>
    <x v="3"/>
    <x v="4"/>
    <x v="0"/>
    <x v="3"/>
    <n v="127"/>
    <s v="S18_2325"/>
    <x v="4"/>
    <s v="6505551386"/>
    <s v="7734 Strong St."/>
    <s v=""/>
    <s v="San Francisco"/>
    <s v="CA"/>
    <s v=""/>
    <x v="0"/>
    <s v="NA"/>
    <s v="Brown"/>
    <s v="Julie"/>
    <s v="Julie, Brown"/>
    <s v="Medium"/>
  </r>
  <r>
    <n v="10173"/>
    <n v="31"/>
    <n v="100"/>
    <n v="3100"/>
    <n v="3100"/>
    <n v="10"/>
    <s v="11/5/2003 0:00"/>
    <x v="0"/>
    <x v="3"/>
    <x v="5"/>
    <x v="0"/>
    <x v="3"/>
    <n v="127"/>
    <s v="S18_2325"/>
    <x v="86"/>
    <s v="035-640555"/>
    <s v="Via Ludovico il Moro 22"/>
    <s v=""/>
    <s v="Bergamo"/>
    <s v=""/>
    <s v="24100"/>
    <x v="12"/>
    <s v="EMEA"/>
    <s v="Rovelli"/>
    <s v="Giovanni"/>
    <s v="Giovanni, Rovelli"/>
    <s v="Medium"/>
  </r>
  <r>
    <n v="10182"/>
    <n v="20"/>
    <n v="100"/>
    <n v="2000"/>
    <n v="2000"/>
    <n v="7"/>
    <s v="11/12/2003 0:00"/>
    <x v="0"/>
    <x v="3"/>
    <x v="5"/>
    <x v="0"/>
    <x v="3"/>
    <n v="127"/>
    <s v="S18_2325"/>
    <x v="39"/>
    <s v="4155551450"/>
    <s v="5677 Strong St."/>
    <s v=""/>
    <s v="San Rafael"/>
    <s v="CA"/>
    <s v="97562"/>
    <x v="0"/>
    <s v="NA"/>
    <s v="Nelson"/>
    <s v="Valarie"/>
    <s v="Valarie, Nelson"/>
    <s v="Small"/>
  </r>
  <r>
    <n v="10193"/>
    <n v="44"/>
    <n v="100"/>
    <n v="4400"/>
    <n v="4400"/>
    <n v="11"/>
    <s v="11/21/2003 0:00"/>
    <x v="0"/>
    <x v="3"/>
    <x v="5"/>
    <x v="0"/>
    <x v="3"/>
    <n v="127"/>
    <s v="S18_2325"/>
    <x v="87"/>
    <s v="61-9-3844-6555"/>
    <s v="7 Allen Street"/>
    <s v=""/>
    <s v="Glen Waverly"/>
    <s v="Victoria"/>
    <s v="3150"/>
    <x v="3"/>
    <s v="APAC"/>
    <s v="Connery"/>
    <s v="Sean"/>
    <s v="Sean, Connery"/>
    <s v="Medium"/>
  </r>
  <r>
    <n v="10204"/>
    <n v="26"/>
    <n v="100"/>
    <n v="2600"/>
    <n v="2600"/>
    <n v="1"/>
    <s v="12/2/2003 0:00"/>
    <x v="0"/>
    <x v="3"/>
    <x v="6"/>
    <x v="0"/>
    <x v="3"/>
    <n v="127"/>
    <s v="S18_2325"/>
    <x v="74"/>
    <s v="2125557413"/>
    <s v="4092 Furth Circle"/>
    <s v="Suite 400"/>
    <s v="NYC"/>
    <s v="NY"/>
    <s v="10022"/>
    <x v="0"/>
    <s v="NA"/>
    <s v="Young"/>
    <s v="Jeff"/>
    <s v="Jeff, Young"/>
    <s v="Medium"/>
  </r>
  <r>
    <n v="10214"/>
    <n v="27"/>
    <n v="100"/>
    <n v="2700"/>
    <n v="2700"/>
    <n v="4"/>
    <s v="1/26/2004 0:00"/>
    <x v="0"/>
    <x v="0"/>
    <x v="7"/>
    <x v="1"/>
    <x v="3"/>
    <n v="127"/>
    <s v="S18_2325"/>
    <x v="25"/>
    <s v="(91) 555 22 82"/>
    <s v="C/ Araquil, 67"/>
    <s v=""/>
    <s v="Madrid"/>
    <s v=""/>
    <s v="28023"/>
    <x v="7"/>
    <s v="EMEA"/>
    <s v="Sommer"/>
    <s v="Mart¡n"/>
    <s v="Mart¡n, Sommer"/>
    <s v="Medium"/>
  </r>
  <r>
    <n v="10227"/>
    <n v="46"/>
    <n v="100"/>
    <n v="4600"/>
    <n v="4600"/>
    <n v="7"/>
    <s v="3/2/2004 0:00"/>
    <x v="0"/>
    <x v="0"/>
    <x v="11"/>
    <x v="1"/>
    <x v="3"/>
    <n v="127"/>
    <s v="S18_2325"/>
    <x v="30"/>
    <s v="78.32.5555"/>
    <s v="2, rue du Commerce"/>
    <s v=""/>
    <s v="Lyon"/>
    <s v=""/>
    <s v="69004"/>
    <x v="1"/>
    <s v="EMEA"/>
    <s v="Saveley"/>
    <s v="Mary"/>
    <s v="Mary, Saveley"/>
    <s v="Large"/>
  </r>
  <r>
    <n v="10243"/>
    <n v="47"/>
    <n v="100"/>
    <n v="4700"/>
    <n v="4700"/>
    <n v="2"/>
    <s v="4/26/2004 0:00"/>
    <x v="0"/>
    <x v="1"/>
    <x v="8"/>
    <x v="1"/>
    <x v="3"/>
    <n v="127"/>
    <s v="S18_2325"/>
    <x v="64"/>
    <s v="6175552555"/>
    <s v="6251 Ingle Ln."/>
    <s v=""/>
    <s v="Boston"/>
    <s v="MA"/>
    <s v="51003"/>
    <x v="0"/>
    <s v="NA"/>
    <s v="Franco"/>
    <s v="Valarie"/>
    <s v="Valarie, Franco"/>
    <s v="Medium"/>
  </r>
  <r>
    <n v="10280"/>
    <n v="37"/>
    <n v="100"/>
    <n v="3700"/>
    <n v="3700"/>
    <n v="13"/>
    <s v="8/17/2004 0:00"/>
    <x v="0"/>
    <x v="2"/>
    <x v="3"/>
    <x v="1"/>
    <x v="3"/>
    <n v="127"/>
    <s v="S18_2325"/>
    <x v="36"/>
    <s v="011-4988555"/>
    <s v="Via Monte Bianco 34"/>
    <s v=""/>
    <s v="Torino"/>
    <s v=""/>
    <s v="10100"/>
    <x v="12"/>
    <s v="EMEA"/>
    <s v="Accorti"/>
    <s v="Paolo"/>
    <s v="Paolo, Accorti"/>
    <s v="Medium"/>
  </r>
  <r>
    <n v="10288"/>
    <n v="31"/>
    <n v="100"/>
    <n v="3100"/>
    <n v="3100"/>
    <n v="2"/>
    <s v="9/1/2004 0:00"/>
    <x v="0"/>
    <x v="2"/>
    <x v="10"/>
    <x v="1"/>
    <x v="3"/>
    <n v="127"/>
    <s v="S18_2325"/>
    <x v="65"/>
    <s v="+65 224 1555"/>
    <s v="Village Close - 106 Linden Road Sandown"/>
    <s v="2nd Floor"/>
    <s v="Singapore"/>
    <s v=""/>
    <s v="69045"/>
    <x v="9"/>
    <s v="APAC"/>
    <s v="Victorino"/>
    <s v="Wendy"/>
    <s v="Wendy, Victorino"/>
    <s v="Medium"/>
  </r>
  <r>
    <n v="10304"/>
    <n v="24"/>
    <n v="100"/>
    <n v="2400"/>
    <n v="2400"/>
    <n v="17"/>
    <s v="10/11/2004 0:00"/>
    <x v="0"/>
    <x v="3"/>
    <x v="4"/>
    <x v="1"/>
    <x v="3"/>
    <n v="127"/>
    <s v="S18_2325"/>
    <x v="38"/>
    <s v="30.59.8555"/>
    <s v="67, avenue de l'Europe"/>
    <s v=""/>
    <s v="Versailles"/>
    <s v=""/>
    <s v="78000"/>
    <x v="1"/>
    <s v="EMEA"/>
    <s v="Tonini"/>
    <s v="Daniel"/>
    <s v="Daniel, Tonini"/>
    <s v="Small"/>
  </r>
  <r>
    <n v="10312"/>
    <n v="31"/>
    <n v="100"/>
    <n v="3100"/>
    <n v="3100"/>
    <n v="14"/>
    <s v="10/21/2004 0:00"/>
    <x v="0"/>
    <x v="3"/>
    <x v="4"/>
    <x v="1"/>
    <x v="3"/>
    <n v="127"/>
    <s v="S18_2325"/>
    <x v="39"/>
    <s v="4155551450"/>
    <s v="5677 Strong St."/>
    <s v=""/>
    <s v="San Rafael"/>
    <s v="CA"/>
    <s v="97562"/>
    <x v="0"/>
    <s v="NA"/>
    <s v="Nelson"/>
    <s v="Valarie"/>
    <s v="Valarie, Nelson"/>
    <s v="Medium"/>
  </r>
  <r>
    <n v="10322"/>
    <n v="50"/>
    <n v="100"/>
    <n v="5000"/>
    <n v="5000"/>
    <n v="6"/>
    <s v="11/4/2004 0:00"/>
    <x v="0"/>
    <x v="3"/>
    <x v="5"/>
    <x v="1"/>
    <x v="3"/>
    <n v="127"/>
    <s v="S18_2325"/>
    <x v="40"/>
    <s v="6035558647"/>
    <s v="2304 Long Airport Avenue"/>
    <s v=""/>
    <s v="Nashua"/>
    <s v="NH"/>
    <s v="62005"/>
    <x v="0"/>
    <s v="NA"/>
    <s v="Young"/>
    <s v="Valarie"/>
    <s v="Valarie, Young"/>
    <s v="Large"/>
  </r>
  <r>
    <n v="10332"/>
    <n v="35"/>
    <n v="6469"/>
    <n v="226415"/>
    <n v="226415"/>
    <n v="8"/>
    <s v="11/17/2004 0:00"/>
    <x v="0"/>
    <x v="3"/>
    <x v="5"/>
    <x v="1"/>
    <x v="3"/>
    <n v="127"/>
    <s v="S18_2325"/>
    <x v="77"/>
    <s v="(171) 555-1555"/>
    <s v="Fauntleroy Circus"/>
    <s v=""/>
    <s v="Manchester"/>
    <s v=""/>
    <s v="EC2 5NT"/>
    <x v="6"/>
    <s v="EMEA"/>
    <s v="Ashworth"/>
    <s v="Victoria"/>
    <s v="Victoria, Ashworth"/>
    <s v="Small"/>
  </r>
  <r>
    <n v="10344"/>
    <n v="30"/>
    <n v="100"/>
    <n v="3000"/>
    <n v="3000"/>
    <n v="3"/>
    <s v="11/25/2004 0:00"/>
    <x v="0"/>
    <x v="3"/>
    <x v="5"/>
    <x v="1"/>
    <x v="3"/>
    <n v="127"/>
    <s v="S18_2325"/>
    <x v="67"/>
    <s v="91.24.4555"/>
    <s v="12, rue des Bouchers"/>
    <s v=""/>
    <s v="Marseille"/>
    <s v=""/>
    <s v="13008"/>
    <x v="1"/>
    <s v="EMEA"/>
    <s v="Lebihan"/>
    <s v="Laurence"/>
    <s v="Laurence, Lebihan"/>
    <s v="Medium"/>
  </r>
  <r>
    <n v="10356"/>
    <n v="29"/>
    <n v="100"/>
    <n v="2900"/>
    <n v="2900"/>
    <n v="3"/>
    <s v="12/9/2004 0:00"/>
    <x v="0"/>
    <x v="3"/>
    <x v="6"/>
    <x v="1"/>
    <x v="3"/>
    <n v="127"/>
    <s v="S18_2325"/>
    <x v="2"/>
    <s v="+33 1 46 62 7555"/>
    <s v="27 rue du Colonel Pierre Avia"/>
    <s v=""/>
    <s v="Paris"/>
    <s v=""/>
    <s v="75508"/>
    <x v="1"/>
    <s v="EMEA"/>
    <s v="Da Cunha"/>
    <s v="Daniel"/>
    <s v="Daniel, Da Cunha"/>
    <s v="Medium"/>
  </r>
  <r>
    <n v="10367"/>
    <n v="27"/>
    <n v="100"/>
    <n v="2700"/>
    <n v="2700"/>
    <n v="5"/>
    <s v="1/12/2005 0:00"/>
    <x v="5"/>
    <x v="0"/>
    <x v="7"/>
    <x v="2"/>
    <x v="3"/>
    <n v="127"/>
    <s v="S18_2325"/>
    <x v="3"/>
    <s v="6265557265"/>
    <s v="78934 Hillside Dr."/>
    <s v=""/>
    <s v="Pasadena"/>
    <s v="CA"/>
    <s v="90003"/>
    <x v="0"/>
    <s v="NA"/>
    <s v="Young"/>
    <s v="Julie"/>
    <s v="Julie, Young"/>
    <s v="Medium"/>
  </r>
  <r>
    <n v="10380"/>
    <n v="40"/>
    <n v="100"/>
    <n v="4000"/>
    <n v="4000"/>
    <n v="10"/>
    <s v="2/16/2005 0:00"/>
    <x v="0"/>
    <x v="0"/>
    <x v="0"/>
    <x v="2"/>
    <x v="3"/>
    <n v="127"/>
    <s v="S18_2325"/>
    <x v="23"/>
    <s v="(91) 555 94 44"/>
    <s v="C/ Moralzarzal, 86"/>
    <s v=""/>
    <s v="Madrid"/>
    <s v=""/>
    <s v="28034"/>
    <x v="7"/>
    <s v="EMEA"/>
    <s v="Freyre"/>
    <s v="Diego"/>
    <s v="Diego, Freyre"/>
    <s v="Medium"/>
  </r>
  <r>
    <n v="10390"/>
    <n v="31"/>
    <n v="9899"/>
    <n v="306869"/>
    <n v="306869"/>
    <n v="16"/>
    <s v="3/4/2005 0:00"/>
    <x v="0"/>
    <x v="0"/>
    <x v="11"/>
    <x v="2"/>
    <x v="3"/>
    <n v="127"/>
    <s v="S18_2325"/>
    <x v="39"/>
    <s v="4155551450"/>
    <s v="5677 Strong St."/>
    <s v=""/>
    <s v="San Rafael"/>
    <s v="CA"/>
    <s v="97562"/>
    <x v="0"/>
    <s v="NA"/>
    <s v="Nelson"/>
    <s v="Valarie"/>
    <s v="Valarie, Nelson"/>
    <s v="Medium"/>
  </r>
  <r>
    <n v="10409"/>
    <n v="6"/>
    <n v="100"/>
    <n v="600"/>
    <n v="600"/>
    <n v="2"/>
    <s v="4/23/2005 0:00"/>
    <x v="0"/>
    <x v="1"/>
    <x v="8"/>
    <x v="2"/>
    <x v="3"/>
    <n v="127"/>
    <s v="S18_2325"/>
    <x v="65"/>
    <s v="+65 224 1555"/>
    <s v="Village Close - 106 Linden Road Sandown"/>
    <s v="2nd Floor"/>
    <s v="Singapore"/>
    <s v=""/>
    <s v="69045"/>
    <x v="9"/>
    <s v="APAC"/>
    <s v="Victorino"/>
    <s v="Wendy"/>
    <s v="Wendy, Victorino"/>
    <s v="Small"/>
  </r>
  <r>
    <n v="10420"/>
    <n v="45"/>
    <n v="100"/>
    <n v="4500"/>
    <n v="0"/>
    <n v="2"/>
    <s v="5/29/2005 0:00"/>
    <x v="2"/>
    <x v="1"/>
    <x v="1"/>
    <x v="2"/>
    <x v="3"/>
    <n v="127"/>
    <s v="S18_2325"/>
    <x v="20"/>
    <s v="+61 2 9495 8555"/>
    <s v="Monitor Money Building, 815 Pacific Hwy"/>
    <s v="Level 6"/>
    <s v="Chatswood"/>
    <s v="NSW"/>
    <s v="2067"/>
    <x v="3"/>
    <s v="APAC"/>
    <s v="Huxley"/>
    <s v="Adrian"/>
    <s v="Adrian, Huxley"/>
    <s v="Medium"/>
  </r>
  <r>
    <n v="10103"/>
    <n v="22"/>
    <n v="5409"/>
    <n v="118998"/>
    <n v="118998"/>
    <n v="2"/>
    <s v="1/29/2003 0:00"/>
    <x v="0"/>
    <x v="0"/>
    <x v="7"/>
    <x v="0"/>
    <x v="2"/>
    <n v="60"/>
    <s v="S18_2432"/>
    <x v="17"/>
    <s v="07-98 9555"/>
    <s v="Erling Skakkes gate 78"/>
    <s v=""/>
    <s v="Stavern"/>
    <s v=""/>
    <s v="4110"/>
    <x v="2"/>
    <s v="EMEA"/>
    <s v="Bergulfsen"/>
    <s v="Jonas"/>
    <s v="Jonas, Bergulfsen"/>
    <s v="Small"/>
  </r>
  <r>
    <n v="10114"/>
    <n v="45"/>
    <n v="6867"/>
    <n v="309015"/>
    <n v="309015"/>
    <n v="6"/>
    <s v="4/1/2003 0:00"/>
    <x v="0"/>
    <x v="1"/>
    <x v="8"/>
    <x v="0"/>
    <x v="2"/>
    <n v="60"/>
    <s v="S18_2432"/>
    <x v="62"/>
    <s v="(1) 42.34.2555"/>
    <s v="265, boulevard Charonne"/>
    <s v=""/>
    <s v="Paris"/>
    <s v=""/>
    <s v="75012"/>
    <x v="1"/>
    <s v="EMEA"/>
    <s v="Bertrand"/>
    <s v="Marie"/>
    <s v="Marie, Bertrand"/>
    <s v="Medium"/>
  </r>
  <r>
    <n v="10126"/>
    <n v="43"/>
    <n v="6502"/>
    <n v="279586"/>
    <n v="279586"/>
    <n v="2"/>
    <s v="5/28/2003 0:00"/>
    <x v="0"/>
    <x v="1"/>
    <x v="1"/>
    <x v="0"/>
    <x v="2"/>
    <n v="60"/>
    <s v="S18_2432"/>
    <x v="25"/>
    <s v="(91) 555 22 82"/>
    <s v="C/ Araquil, 67"/>
    <s v=""/>
    <s v="Madrid"/>
    <s v=""/>
    <s v="28023"/>
    <x v="7"/>
    <s v="EMEA"/>
    <s v="Sommer"/>
    <s v="Mart¡n"/>
    <s v="Mart¡n, Sommer"/>
    <s v="Small"/>
  </r>
  <r>
    <n v="10140"/>
    <n v="46"/>
    <n v="6199"/>
    <n v="285154"/>
    <n v="285154"/>
    <n v="2"/>
    <s v="7/24/2003 0:00"/>
    <x v="0"/>
    <x v="2"/>
    <x v="2"/>
    <x v="0"/>
    <x v="2"/>
    <n v="60"/>
    <s v="S18_2432"/>
    <x v="5"/>
    <s v="6505556809"/>
    <s v="9408 Furth Circle"/>
    <s v=""/>
    <s v="Burlingame"/>
    <s v="CA"/>
    <s v="94217"/>
    <x v="0"/>
    <s v="NA"/>
    <s v="Hirano"/>
    <s v="Juri"/>
    <s v="Juri, Hirano"/>
    <s v="Small"/>
  </r>
  <r>
    <n v="10151"/>
    <n v="39"/>
    <n v="6928"/>
    <n v="270192"/>
    <n v="270192"/>
    <n v="9"/>
    <s v="9/21/2003 0:00"/>
    <x v="0"/>
    <x v="2"/>
    <x v="10"/>
    <x v="0"/>
    <x v="2"/>
    <n v="60"/>
    <s v="S18_2432"/>
    <x v="60"/>
    <s v="981-443655"/>
    <s v="Torikatu 38"/>
    <s v=""/>
    <s v="Oulu"/>
    <s v=""/>
    <s v="90110"/>
    <x v="4"/>
    <s v="EMEA"/>
    <s v="Koskitalo"/>
    <s v="Pirkko"/>
    <s v="Pirkko, Koskitalo"/>
    <s v="Small"/>
  </r>
  <r>
    <n v="10165"/>
    <n v="31"/>
    <n v="711"/>
    <n v="22041"/>
    <n v="22041"/>
    <n v="18"/>
    <s v="10/22/2003 0:00"/>
    <x v="0"/>
    <x v="3"/>
    <x v="4"/>
    <x v="0"/>
    <x v="2"/>
    <n v="60"/>
    <s v="S18_2432"/>
    <x v="26"/>
    <s v="+65 221 7555"/>
    <s v="Bronz Sok., Bronz Apt. 3/6 Tesvikiye"/>
    <s v=""/>
    <s v="Singapore"/>
    <s v=""/>
    <s v="79903"/>
    <x v="9"/>
    <s v="Japan"/>
    <s v="Natividad"/>
    <s v="Eric"/>
    <s v="Eric, Natividad"/>
    <s v="Small"/>
  </r>
  <r>
    <n v="10175"/>
    <n v="41"/>
    <n v="6928"/>
    <n v="284048"/>
    <n v="284048"/>
    <n v="7"/>
    <s v="11/6/2003 0:00"/>
    <x v="0"/>
    <x v="3"/>
    <x v="5"/>
    <x v="0"/>
    <x v="2"/>
    <n v="60"/>
    <s v="S18_2432"/>
    <x v="49"/>
    <s v="(171) 555-0297"/>
    <s v="35 King George"/>
    <s v=""/>
    <s v="London"/>
    <s v=""/>
    <s v="WX3 6FW"/>
    <x v="6"/>
    <s v="EMEA"/>
    <s v="Brown"/>
    <s v="Ann"/>
    <s v="Ann, Brown"/>
    <s v="Small"/>
  </r>
  <r>
    <n v="10184"/>
    <n v="44"/>
    <n v="6016"/>
    <n v="264704"/>
    <n v="264704"/>
    <n v="12"/>
    <s v="11/14/2003 0:00"/>
    <x v="0"/>
    <x v="3"/>
    <x v="5"/>
    <x v="0"/>
    <x v="2"/>
    <n v="60"/>
    <s v="S18_2432"/>
    <x v="81"/>
    <s v="(95) 555 82 82"/>
    <s v="C/ Romero, 33"/>
    <s v=""/>
    <s v="Sevilla"/>
    <s v=""/>
    <s v="41101"/>
    <x v="7"/>
    <s v="EMEA"/>
    <s v="Roel"/>
    <s v="Jose Pedro"/>
    <s v="Jose Pedro, Roel"/>
    <s v="Small"/>
  </r>
  <r>
    <n v="10194"/>
    <n v="45"/>
    <n v="7049"/>
    <n v="317205"/>
    <n v="317205"/>
    <n v="2"/>
    <s v="11/25/2003 0:00"/>
    <x v="0"/>
    <x v="3"/>
    <x v="5"/>
    <x v="0"/>
    <x v="2"/>
    <n v="60"/>
    <s v="S18_2432"/>
    <x v="30"/>
    <s v="78.32.5555"/>
    <s v="2, rue du Commerce"/>
    <s v=""/>
    <s v="Lyon"/>
    <s v=""/>
    <s v="69004"/>
    <x v="1"/>
    <s v="EMEA"/>
    <s v="Saveley"/>
    <s v="Mary"/>
    <s v="Mary, Saveley"/>
    <s v="Medium"/>
  </r>
  <r>
    <n v="10207"/>
    <n v="37"/>
    <n v="6989"/>
    <n v="258593"/>
    <n v="258593"/>
    <n v="13"/>
    <s v="12/9/2003 0:00"/>
    <x v="0"/>
    <x v="3"/>
    <x v="6"/>
    <x v="0"/>
    <x v="2"/>
    <n v="60"/>
    <s v="S18_2432"/>
    <x v="64"/>
    <s v="6175552555"/>
    <s v="6251 Ingle Ln."/>
    <s v=""/>
    <s v="Boston"/>
    <s v="MA"/>
    <s v="51003"/>
    <x v="0"/>
    <s v="NA"/>
    <s v="Franco"/>
    <s v="Valarie"/>
    <s v="Valarie, Franco"/>
    <s v="Small"/>
  </r>
  <r>
    <n v="10217"/>
    <n v="35"/>
    <n v="6138"/>
    <n v="214830"/>
    <n v="214830"/>
    <n v="2"/>
    <s v="2/4/2004 0:00"/>
    <x v="0"/>
    <x v="0"/>
    <x v="0"/>
    <x v="1"/>
    <x v="2"/>
    <n v="60"/>
    <s v="S18_2432"/>
    <x v="65"/>
    <s v="+65 224 1555"/>
    <s v="Village Close - 106 Linden Road Sandown"/>
    <s v="2nd Floor"/>
    <s v="Singapore"/>
    <s v=""/>
    <s v="69045"/>
    <x v="9"/>
    <s v="APAC"/>
    <s v="Victorino"/>
    <s v="Wendy"/>
    <s v="Wendy, Victorino"/>
    <s v="Small"/>
  </r>
  <r>
    <n v="10229"/>
    <n v="28"/>
    <n v="5955"/>
    <n v="166740"/>
    <n v="166740"/>
    <n v="7"/>
    <s v="3/11/2004 0:00"/>
    <x v="0"/>
    <x v="0"/>
    <x v="11"/>
    <x v="1"/>
    <x v="2"/>
    <n v="60"/>
    <s v="S18_2432"/>
    <x v="39"/>
    <s v="4155551450"/>
    <s v="5677 Strong St."/>
    <s v=""/>
    <s v="San Rafael"/>
    <s v="CA"/>
    <s v="97562"/>
    <x v="0"/>
    <s v="NA"/>
    <s v="Nelson"/>
    <s v="Valarie"/>
    <s v="Valarie, Nelson"/>
    <s v="Small"/>
  </r>
  <r>
    <n v="10246"/>
    <n v="30"/>
    <n v="6199"/>
    <n v="185970"/>
    <n v="185970"/>
    <n v="11"/>
    <s v="5/5/2004 0:00"/>
    <x v="0"/>
    <x v="1"/>
    <x v="1"/>
    <x v="1"/>
    <x v="2"/>
    <n v="60"/>
    <s v="S18_2432"/>
    <x v="23"/>
    <s v="(91) 555 94 44"/>
    <s v="C/ Moralzarzal, 86"/>
    <s v=""/>
    <s v="Madrid"/>
    <s v=""/>
    <s v="28034"/>
    <x v="7"/>
    <s v="EMEA"/>
    <s v="Freyre"/>
    <s v="Diego"/>
    <s v="Diego, Freyre"/>
    <s v="Small"/>
  </r>
  <r>
    <n v="10259"/>
    <n v="30"/>
    <n v="4922"/>
    <n v="147660"/>
    <n v="147660"/>
    <n v="10"/>
    <s v="6/15/2004 0:00"/>
    <x v="0"/>
    <x v="1"/>
    <x v="9"/>
    <x v="1"/>
    <x v="2"/>
    <n v="60"/>
    <s v="S18_2432"/>
    <x v="65"/>
    <s v="+65 224 1555"/>
    <s v="Village Close - 106 Linden Road Sandown"/>
    <s v="2nd Floor"/>
    <s v="Singapore"/>
    <s v=""/>
    <s v="69045"/>
    <x v="9"/>
    <s v="APAC"/>
    <s v="Victorino"/>
    <s v="Wendy"/>
    <s v="Wendy, Victorino"/>
    <s v="Small"/>
  </r>
  <r>
    <n v="10271"/>
    <n v="25"/>
    <n v="6928"/>
    <n v="173200"/>
    <n v="173200"/>
    <n v="11"/>
    <s v="7/20/2004 0:00"/>
    <x v="0"/>
    <x v="2"/>
    <x v="2"/>
    <x v="1"/>
    <x v="2"/>
    <n v="60"/>
    <s v="S18_2432"/>
    <x v="39"/>
    <s v="4155551450"/>
    <s v="5677 Strong St."/>
    <s v=""/>
    <s v="San Rafael"/>
    <s v="CA"/>
    <s v="97562"/>
    <x v="0"/>
    <s v="NA"/>
    <s v="Nelson"/>
    <s v="Valarie"/>
    <s v="Valarie, Nelson"/>
    <s v="Small"/>
  </r>
  <r>
    <n v="10281"/>
    <n v="29"/>
    <n v="5773"/>
    <n v="167417"/>
    <n v="167417"/>
    <n v="7"/>
    <s v="8/19/2004 0:00"/>
    <x v="0"/>
    <x v="2"/>
    <x v="3"/>
    <x v="1"/>
    <x v="2"/>
    <n v="60"/>
    <s v="S18_2432"/>
    <x v="18"/>
    <s v="2155551555"/>
    <s v="7586 Pompton St."/>
    <s v=""/>
    <s v="Allentown"/>
    <s v="PA"/>
    <s v="70267"/>
    <x v="0"/>
    <s v="NA"/>
    <s v="Yu"/>
    <s v="Kyung"/>
    <s v="Kyung, Yu"/>
    <s v="Small"/>
  </r>
  <r>
    <n v="10291"/>
    <n v="26"/>
    <n v="5773"/>
    <n v="150098"/>
    <n v="150098"/>
    <n v="2"/>
    <s v="9/8/2004 0:00"/>
    <x v="0"/>
    <x v="2"/>
    <x v="10"/>
    <x v="1"/>
    <x v="2"/>
    <n v="60"/>
    <s v="S18_2432"/>
    <x v="37"/>
    <s v="0695-34 6555"/>
    <s v="?kergatan 24"/>
    <s v=""/>
    <s v="Boras"/>
    <s v=""/>
    <s v="S-844 67"/>
    <x v="8"/>
    <s v="EMEA"/>
    <s v="Larsson"/>
    <s v="Maria"/>
    <s v="Maria, Larsson"/>
    <s v="Small"/>
  </r>
  <r>
    <n v="10305"/>
    <n v="41"/>
    <n v="5348"/>
    <n v="219268"/>
    <n v="219268"/>
    <n v="11"/>
    <s v="10/13/2004 0:00"/>
    <x v="0"/>
    <x v="3"/>
    <x v="4"/>
    <x v="1"/>
    <x v="2"/>
    <n v="60"/>
    <s v="S18_2432"/>
    <x v="15"/>
    <s v="6175558555"/>
    <s v="39323 Spinnaker Dr."/>
    <s v=""/>
    <s v="Cambridge"/>
    <s v="MA"/>
    <s v="51247"/>
    <x v="0"/>
    <s v="NA"/>
    <s v="Hernandez"/>
    <s v="Marta"/>
    <s v="Marta, Hernandez"/>
    <s v="Small"/>
  </r>
  <r>
    <n v="10313"/>
    <n v="34"/>
    <n v="5287"/>
    <n v="179758"/>
    <n v="179758"/>
    <n v="5"/>
    <s v="10/22/2004 0:00"/>
    <x v="0"/>
    <x v="3"/>
    <x v="4"/>
    <x v="1"/>
    <x v="2"/>
    <n v="60"/>
    <s v="S18_2432"/>
    <x v="31"/>
    <s v="(604) 555-3392"/>
    <s v="1900 Oak St."/>
    <s v=""/>
    <s v="Vancouver"/>
    <s v="BC"/>
    <s v="V3F 2K1"/>
    <x v="10"/>
    <s v="NA"/>
    <s v="Tannamuri"/>
    <s v="Yoshi"/>
    <s v="Yoshi, Tannamuri"/>
    <s v="Small"/>
  </r>
  <r>
    <n v="10322"/>
    <n v="35"/>
    <n v="6121"/>
    <n v="214235"/>
    <n v="214235"/>
    <n v="11"/>
    <s v="11/4/2004 0:00"/>
    <x v="0"/>
    <x v="3"/>
    <x v="5"/>
    <x v="1"/>
    <x v="2"/>
    <n v="60"/>
    <s v="S18_2432"/>
    <x v="40"/>
    <s v="6035558647"/>
    <s v="2304 Long Airport Avenue"/>
    <s v=""/>
    <s v="Nashua"/>
    <s v="NH"/>
    <s v="62005"/>
    <x v="0"/>
    <s v="NA"/>
    <s v="Young"/>
    <s v="Valarie"/>
    <s v="Valarie, Young"/>
    <s v="Small"/>
  </r>
  <r>
    <n v="10334"/>
    <n v="34"/>
    <n v="6138"/>
    <n v="208692"/>
    <n v="0"/>
    <n v="1"/>
    <s v="11/19/2004 0:00"/>
    <x v="4"/>
    <x v="3"/>
    <x v="5"/>
    <x v="1"/>
    <x v="2"/>
    <n v="60"/>
    <s v="S18_2432"/>
    <x v="24"/>
    <s v="0921-12 3555"/>
    <s v="Berguvsv„gen  8"/>
    <s v=""/>
    <s v="Lule"/>
    <s v=""/>
    <s v="S-958 22"/>
    <x v="8"/>
    <s v="EMEA"/>
    <s v="Berglund"/>
    <s v="Christina"/>
    <s v="Christina, Berglund"/>
    <s v="Small"/>
  </r>
  <r>
    <n v="10347"/>
    <n v="50"/>
    <n v="100"/>
    <n v="5000"/>
    <n v="5000"/>
    <n v="8"/>
    <s v="11/29/2004 0:00"/>
    <x v="0"/>
    <x v="3"/>
    <x v="5"/>
    <x v="1"/>
    <x v="2"/>
    <n v="60"/>
    <s v="S18_2432"/>
    <x v="10"/>
    <s v="03 9520 4555"/>
    <s v="636 St Kilda Road"/>
    <s v="Level 3"/>
    <s v="Melbourne"/>
    <s v="Victoria"/>
    <s v="3004"/>
    <x v="3"/>
    <s v="APAC"/>
    <s v="Ferguson"/>
    <s v="Peter"/>
    <s v="Peter, Ferguson"/>
    <s v="Medium"/>
  </r>
  <r>
    <n v="10357"/>
    <n v="41"/>
    <n v="6199"/>
    <n v="254159"/>
    <n v="254159"/>
    <n v="7"/>
    <s v="12/10/2004 0:00"/>
    <x v="0"/>
    <x v="3"/>
    <x v="6"/>
    <x v="1"/>
    <x v="2"/>
    <n v="60"/>
    <s v="S18_2432"/>
    <x v="39"/>
    <s v="4155551450"/>
    <s v="5677 Strong St."/>
    <s v=""/>
    <s v="San Rafael"/>
    <s v="CA"/>
    <s v="97562"/>
    <x v="0"/>
    <s v="NA"/>
    <s v="Nelson"/>
    <s v="Valarie"/>
    <s v="Valarie, Nelson"/>
    <s v="Small"/>
  </r>
  <r>
    <n v="10370"/>
    <n v="22"/>
    <n v="9686"/>
    <n v="213092"/>
    <n v="213092"/>
    <n v="7"/>
    <s v="1/20/2005 0:00"/>
    <x v="0"/>
    <x v="0"/>
    <x v="7"/>
    <x v="2"/>
    <x v="2"/>
    <n v="60"/>
    <s v="S18_2432"/>
    <x v="42"/>
    <s v="02 9936 8555"/>
    <s v="201 Miller Street"/>
    <s v="Level 15"/>
    <s v="North Sydney"/>
    <s v="NSW"/>
    <s v="2060"/>
    <x v="3"/>
    <s v="APAC"/>
    <s v="O'Hara"/>
    <s v="Anna"/>
    <s v="Anna, O'Hara"/>
    <s v="Small"/>
  </r>
  <r>
    <n v="10381"/>
    <n v="35"/>
    <n v="4862"/>
    <n v="170170"/>
    <n v="170170"/>
    <n v="7"/>
    <s v="2/17/2005 0:00"/>
    <x v="0"/>
    <x v="0"/>
    <x v="0"/>
    <x v="2"/>
    <x v="2"/>
    <n v="60"/>
    <s v="S18_2432"/>
    <x v="4"/>
    <s v="6505551386"/>
    <s v="7734 Strong St."/>
    <s v=""/>
    <s v="San Francisco"/>
    <s v="CA"/>
    <s v=""/>
    <x v="0"/>
    <s v="NA"/>
    <s v="Brown"/>
    <s v="Julie"/>
    <s v="Julie, Brown"/>
    <s v="Small"/>
  </r>
  <r>
    <n v="10391"/>
    <n v="44"/>
    <n v="385"/>
    <n v="16940"/>
    <n v="16940"/>
    <n v="5"/>
    <s v="3/9/2005 0:00"/>
    <x v="0"/>
    <x v="0"/>
    <x v="11"/>
    <x v="2"/>
    <x v="2"/>
    <n v="60"/>
    <s v="S18_2432"/>
    <x v="42"/>
    <s v="02 9936 8555"/>
    <s v="201 Miller Street"/>
    <s v="Level 15"/>
    <s v="North Sydney"/>
    <s v="NSW"/>
    <s v="2060"/>
    <x v="3"/>
    <s v="APAC"/>
    <s v="O'Hara"/>
    <s v="Anna"/>
    <s v="Anna, O'Hara"/>
    <s v="Small"/>
  </r>
  <r>
    <n v="10412"/>
    <n v="47"/>
    <n v="6199"/>
    <n v="291353"/>
    <n v="291353"/>
    <n v="11"/>
    <s v="5/3/2005 0:00"/>
    <x v="0"/>
    <x v="1"/>
    <x v="1"/>
    <x v="2"/>
    <x v="2"/>
    <n v="60"/>
    <s v="S18_2432"/>
    <x v="23"/>
    <s v="(91) 555 94 44"/>
    <s v="C/ Moralzarzal, 86"/>
    <s v=""/>
    <s v="Madrid"/>
    <s v=""/>
    <s v="28034"/>
    <x v="7"/>
    <s v="EMEA"/>
    <s v="Freyre"/>
    <s v="Diego"/>
    <s v="Diego, Freyre"/>
    <s v="Small"/>
  </r>
  <r>
    <n v="10425"/>
    <n v="19"/>
    <n v="4922"/>
    <n v="93518"/>
    <n v="0"/>
    <n v="10"/>
    <s v="5/31/2005 0:00"/>
    <x v="2"/>
    <x v="1"/>
    <x v="1"/>
    <x v="2"/>
    <x v="2"/>
    <n v="60"/>
    <s v="S18_2432"/>
    <x v="14"/>
    <s v="40.67.8555"/>
    <s v="67, rue des Cinquante Otages"/>
    <s v=""/>
    <s v="Nantes"/>
    <s v=""/>
    <s v="44000"/>
    <x v="1"/>
    <s v="EMEA"/>
    <s v="Labrune"/>
    <s v="Janine"/>
    <s v="Janine, Labrune"/>
    <s v="Small"/>
  </r>
  <r>
    <n v="10106"/>
    <n v="34"/>
    <n v="9039"/>
    <n v="307326"/>
    <n v="307326"/>
    <n v="2"/>
    <s v="2/17/2003 0:00"/>
    <x v="0"/>
    <x v="0"/>
    <x v="0"/>
    <x v="0"/>
    <x v="4"/>
    <n v="84"/>
    <s v="S18_2581"/>
    <x v="86"/>
    <s v="035-640555"/>
    <s v="Via Ludovico il Moro 22"/>
    <s v=""/>
    <s v="Bergamo"/>
    <s v=""/>
    <s v="24100"/>
    <x v="12"/>
    <s v="EMEA"/>
    <s v="Rovelli"/>
    <s v="Giovanni"/>
    <s v="Giovanni, Rovelli"/>
    <s v="Medium"/>
  </r>
  <r>
    <n v="10120"/>
    <n v="29"/>
    <n v="7181"/>
    <n v="208249"/>
    <n v="208249"/>
    <n v="8"/>
    <s v="4/29/2003 0:00"/>
    <x v="0"/>
    <x v="1"/>
    <x v="8"/>
    <x v="0"/>
    <x v="4"/>
    <n v="84"/>
    <s v="S18_2581"/>
    <x v="10"/>
    <s v="03 9520 4555"/>
    <s v="636 St Kilda Road"/>
    <s v="Level 3"/>
    <s v="Melbourne"/>
    <s v="Victoria"/>
    <s v="3004"/>
    <x v="3"/>
    <s v="APAC"/>
    <s v="Ferguson"/>
    <s v="Peter"/>
    <s v="Peter, Ferguson"/>
    <s v="Small"/>
  </r>
  <r>
    <n v="10133"/>
    <n v="49"/>
    <n v="6927"/>
    <n v="339423"/>
    <n v="339423"/>
    <n v="3"/>
    <s v="6/27/2003 0:00"/>
    <x v="0"/>
    <x v="1"/>
    <x v="9"/>
    <x v="0"/>
    <x v="4"/>
    <n v="84"/>
    <s v="S18_2581"/>
    <x v="23"/>
    <s v="(91) 555 94 44"/>
    <s v="C/ Moralzarzal, 86"/>
    <s v=""/>
    <s v="Madrid"/>
    <s v=""/>
    <s v="28034"/>
    <x v="7"/>
    <s v="EMEA"/>
    <s v="Freyre"/>
    <s v="Diego"/>
    <s v="Diego, Freyre"/>
    <s v="Medium"/>
  </r>
  <r>
    <n v="10145"/>
    <n v="30"/>
    <n v="8532"/>
    <n v="255960"/>
    <n v="255960"/>
    <n v="14"/>
    <s v="8/25/2003 0:00"/>
    <x v="0"/>
    <x v="2"/>
    <x v="3"/>
    <x v="0"/>
    <x v="4"/>
    <n v="84"/>
    <s v="S18_2581"/>
    <x v="3"/>
    <s v="6265557265"/>
    <s v="78934 Hillside Dr."/>
    <s v=""/>
    <s v="Pasadena"/>
    <s v="CA"/>
    <s v="90003"/>
    <x v="0"/>
    <s v="NA"/>
    <s v="Young"/>
    <s v="Julie"/>
    <s v="Julie, Young"/>
    <s v="Small"/>
  </r>
  <r>
    <n v="10168"/>
    <n v="21"/>
    <n v="7096"/>
    <n v="149016"/>
    <n v="149016"/>
    <n v="9"/>
    <s v="10/28/2003 0:00"/>
    <x v="0"/>
    <x v="3"/>
    <x v="4"/>
    <x v="0"/>
    <x v="4"/>
    <n v="84"/>
    <s v="S18_2581"/>
    <x v="5"/>
    <s v="6505556809"/>
    <s v="9408 Furth Circle"/>
    <s v=""/>
    <s v="Burlingame"/>
    <s v="CA"/>
    <s v="94217"/>
    <x v="0"/>
    <s v="NA"/>
    <s v="Hirano"/>
    <s v="Juri"/>
    <s v="Juri, Hirano"/>
    <s v="Small"/>
  </r>
  <r>
    <n v="10210"/>
    <n v="50"/>
    <n v="7688"/>
    <n v="384400"/>
    <n v="384400"/>
    <n v="7"/>
    <s v="1/12/2004 0:00"/>
    <x v="0"/>
    <x v="0"/>
    <x v="7"/>
    <x v="1"/>
    <x v="4"/>
    <n v="84"/>
    <s v="S18_2581"/>
    <x v="44"/>
    <s v="+81 06 6342 5555"/>
    <s v="Dojima Avanza 4F, 1-6-20 Dojima, Kita-ku"/>
    <s v=""/>
    <s v="Osaka"/>
    <s v="Osaka"/>
    <s v="530-0003"/>
    <x v="11"/>
    <s v="Japan"/>
    <s v="Kentary"/>
    <s v="Mory"/>
    <s v="Mory, Kentary"/>
    <s v="Medium"/>
  </r>
  <r>
    <n v="10223"/>
    <n v="47"/>
    <n v="100"/>
    <n v="4700"/>
    <n v="4700"/>
    <n v="9"/>
    <s v="2/20/2004 0:00"/>
    <x v="0"/>
    <x v="0"/>
    <x v="0"/>
    <x v="1"/>
    <x v="4"/>
    <n v="84"/>
    <s v="S18_2581"/>
    <x v="10"/>
    <s v="03 9520 4555"/>
    <s v="636 St Kilda Road"/>
    <s v="Level 3"/>
    <s v="Melbourne"/>
    <s v="Victoria"/>
    <s v="3004"/>
    <x v="3"/>
    <s v="APAC"/>
    <s v="Ferguson"/>
    <s v="Peter"/>
    <s v="Peter, Ferguson"/>
    <s v="Medium"/>
  </r>
  <r>
    <n v="10235"/>
    <n v="24"/>
    <n v="7603"/>
    <n v="182472"/>
    <n v="182472"/>
    <n v="3"/>
    <s v="4/2/2004 0:00"/>
    <x v="0"/>
    <x v="1"/>
    <x v="8"/>
    <x v="1"/>
    <x v="4"/>
    <n v="84"/>
    <s v="S18_2581"/>
    <x v="57"/>
    <s v="(604) 555-4555"/>
    <s v="23 Tsawassen Blvd."/>
    <s v=""/>
    <s v="Tsawassen"/>
    <s v="BC"/>
    <s v="T2F 8M4"/>
    <x v="10"/>
    <s v="NA"/>
    <s v="Lincoln"/>
    <s v="Elizabeth"/>
    <s v="Elizabeth, Lincoln"/>
    <s v="Small"/>
  </r>
  <r>
    <n v="10250"/>
    <n v="27"/>
    <n v="9884"/>
    <n v="266868"/>
    <n v="266868"/>
    <n v="4"/>
    <s v="5/11/2004 0:00"/>
    <x v="0"/>
    <x v="1"/>
    <x v="1"/>
    <x v="1"/>
    <x v="4"/>
    <n v="84"/>
    <s v="S18_2581"/>
    <x v="61"/>
    <s v="4085553659"/>
    <s v="3086 Ingle Ln."/>
    <s v=""/>
    <s v="San Jose"/>
    <s v="CA"/>
    <s v="94217"/>
    <x v="0"/>
    <s v="NA"/>
    <s v="Frick"/>
    <s v="Sue"/>
    <s v="Sue, Frick"/>
    <s v="Small"/>
  </r>
  <r>
    <n v="10263"/>
    <n v="33"/>
    <n v="8617"/>
    <n v="284361"/>
    <n v="284361"/>
    <n v="10"/>
    <s v="6/28/2004 0:00"/>
    <x v="0"/>
    <x v="1"/>
    <x v="9"/>
    <x v="1"/>
    <x v="4"/>
    <n v="84"/>
    <s v="S18_2581"/>
    <x v="13"/>
    <s v="2035552570"/>
    <s v="25593 South Bay Ln."/>
    <s v=""/>
    <s v="Bridgewater"/>
    <s v="CT"/>
    <s v="97562"/>
    <x v="0"/>
    <s v="NA"/>
    <s v="King"/>
    <s v="Julie"/>
    <s v="Julie, King"/>
    <s v="Small"/>
  </r>
  <r>
    <n v="10275"/>
    <n v="35"/>
    <n v="9039"/>
    <n v="316365"/>
    <n v="316365"/>
    <n v="9"/>
    <s v="7/23/2004 0:00"/>
    <x v="0"/>
    <x v="2"/>
    <x v="2"/>
    <x v="1"/>
    <x v="4"/>
    <n v="84"/>
    <s v="S18_2581"/>
    <x v="14"/>
    <s v="40.67.8555"/>
    <s v="67, rue des Cinquante Otages"/>
    <s v=""/>
    <s v="Nantes"/>
    <s v=""/>
    <s v="44000"/>
    <x v="1"/>
    <s v="EMEA"/>
    <s v="Labrune"/>
    <s v="Janine"/>
    <s v="Janine, Labrune"/>
    <s v="Medium"/>
  </r>
  <r>
    <n v="10284"/>
    <n v="31"/>
    <n v="7181"/>
    <n v="222611"/>
    <n v="222611"/>
    <n v="1"/>
    <s v="8/21/2004 0:00"/>
    <x v="0"/>
    <x v="2"/>
    <x v="3"/>
    <x v="1"/>
    <x v="4"/>
    <n v="84"/>
    <s v="S18_2581"/>
    <x v="85"/>
    <s v="+47 2212 1555"/>
    <s v="Drammensveien 126 A, PB 744 Sentrum"/>
    <s v=""/>
    <s v="Oslo"/>
    <s v=""/>
    <s v="N 0106"/>
    <x v="2"/>
    <s v="EMEA"/>
    <s v="Klaeboe"/>
    <s v="Jan"/>
    <s v="Jan, Klaeboe"/>
    <s v="Small"/>
  </r>
  <r>
    <n v="10297"/>
    <n v="25"/>
    <n v="8279"/>
    <n v="206975"/>
    <n v="206975"/>
    <n v="4"/>
    <s v="9/16/2004 0:00"/>
    <x v="0"/>
    <x v="2"/>
    <x v="10"/>
    <x v="1"/>
    <x v="4"/>
    <n v="84"/>
    <s v="S18_2581"/>
    <x v="75"/>
    <s v="+353 1862 1555"/>
    <s v="25 Maiden Lane"/>
    <s v="Floor No. 4"/>
    <s v="Dublin"/>
    <s v=""/>
    <s v="2"/>
    <x v="18"/>
    <s v="EMEA"/>
    <s v="Cassidy"/>
    <s v="Dean"/>
    <s v="Dean, Cassidy"/>
    <s v="Small"/>
  </r>
  <r>
    <n v="10308"/>
    <n v="27"/>
    <n v="8279"/>
    <n v="223533"/>
    <n v="223533"/>
    <n v="7"/>
    <s v="10/15/2004 0:00"/>
    <x v="0"/>
    <x v="3"/>
    <x v="4"/>
    <x v="1"/>
    <x v="4"/>
    <n v="84"/>
    <s v="S18_2581"/>
    <x v="47"/>
    <s v="9145554562"/>
    <s v="3758 North Pendale Street"/>
    <s v=""/>
    <s v="White Plains"/>
    <s v="NY"/>
    <s v="24067"/>
    <x v="0"/>
    <s v="NA"/>
    <s v="Frick"/>
    <s v="Steve"/>
    <s v="Steve, Frick"/>
    <s v="Small"/>
  </r>
  <r>
    <n v="10318"/>
    <n v="31"/>
    <n v="100"/>
    <n v="3100"/>
    <n v="3100"/>
    <n v="9"/>
    <s v="11/2/2004 0:00"/>
    <x v="0"/>
    <x v="3"/>
    <x v="5"/>
    <x v="1"/>
    <x v="4"/>
    <n v="84"/>
    <s v="S18_2581"/>
    <x v="18"/>
    <s v="2155551555"/>
    <s v="7586 Pompton St."/>
    <s v=""/>
    <s v="Allentown"/>
    <s v="PA"/>
    <s v="70267"/>
    <x v="0"/>
    <s v="NA"/>
    <s v="Yu"/>
    <s v="Kyung"/>
    <s v="Kyung, Yu"/>
    <s v="Medium"/>
  </r>
  <r>
    <n v="10327"/>
    <n v="45"/>
    <n v="100"/>
    <n v="4500"/>
    <n v="4500"/>
    <n v="8"/>
    <s v="11/10/2004 0:00"/>
    <x v="5"/>
    <x v="3"/>
    <x v="5"/>
    <x v="1"/>
    <x v="4"/>
    <n v="84"/>
    <s v="S18_2581"/>
    <x v="48"/>
    <s v="31 12 3555"/>
    <s v="Vinb'ltet 34"/>
    <s v=""/>
    <s v="Kobenhavn"/>
    <s v=""/>
    <s v="1734"/>
    <x v="13"/>
    <s v="EMEA"/>
    <s v="Petersen"/>
    <s v="Jytte"/>
    <s v="Jytte, Petersen"/>
    <s v="Medium"/>
  </r>
  <r>
    <n v="10339"/>
    <n v="27"/>
    <n v="100"/>
    <n v="2700"/>
    <n v="2700"/>
    <n v="2"/>
    <s v="11/23/2004 0:00"/>
    <x v="0"/>
    <x v="3"/>
    <x v="5"/>
    <x v="1"/>
    <x v="4"/>
    <n v="84"/>
    <s v="S18_2581"/>
    <x v="35"/>
    <s v="+81 3 3584 0555"/>
    <s v="2-2-8 Roppongi"/>
    <s v=""/>
    <s v="Minato-ku"/>
    <s v="Tokyo"/>
    <s v="106-0032"/>
    <x v="11"/>
    <s v="Japan"/>
    <s v="Shimamura"/>
    <s v="Akiko"/>
    <s v="Akiko, Shimamura"/>
    <s v="Small"/>
  </r>
  <r>
    <n v="10353"/>
    <n v="27"/>
    <n v="100"/>
    <n v="2700"/>
    <n v="2700"/>
    <n v="1"/>
    <s v="12/4/2004 0:00"/>
    <x v="0"/>
    <x v="3"/>
    <x v="6"/>
    <x v="1"/>
    <x v="4"/>
    <n v="84"/>
    <s v="S18_2581"/>
    <x v="88"/>
    <s v="2035554407"/>
    <s v="2440 Pompton St."/>
    <s v=""/>
    <s v="Glendale"/>
    <s v="CT"/>
    <s v="97561"/>
    <x v="0"/>
    <s v="NA"/>
    <s v="Lewis"/>
    <s v="Dan"/>
    <s v="Dan, Lewis"/>
    <s v="Medium"/>
  </r>
  <r>
    <n v="10374"/>
    <n v="42"/>
    <n v="6927"/>
    <n v="290934"/>
    <n v="290934"/>
    <n v="2"/>
    <s v="2/2/2005 0:00"/>
    <x v="0"/>
    <x v="0"/>
    <x v="0"/>
    <x v="2"/>
    <x v="4"/>
    <n v="84"/>
    <s v="S18_2581"/>
    <x v="28"/>
    <s v="61-7-3844-6555"/>
    <s v="31 Duncan St. West End"/>
    <s v=""/>
    <s v="South Brisbane"/>
    <s v="Queensland"/>
    <s v="4101"/>
    <x v="3"/>
    <s v="APAC"/>
    <s v="Calaghan"/>
    <s v="Tony"/>
    <s v="Tony, Calaghan"/>
    <s v="Small"/>
  </r>
  <r>
    <n v="10386"/>
    <n v="21"/>
    <n v="7477"/>
    <n v="157017"/>
    <n v="157017"/>
    <n v="18"/>
    <s v="3/1/2005 0:00"/>
    <x v="5"/>
    <x v="0"/>
    <x v="11"/>
    <x v="2"/>
    <x v="4"/>
    <n v="84"/>
    <s v="S18_2581"/>
    <x v="23"/>
    <s v="(91) 555 94 44"/>
    <s v="C/ Moralzarzal, 86"/>
    <s v=""/>
    <s v="Madrid"/>
    <s v=""/>
    <s v="28034"/>
    <x v="7"/>
    <s v="EMEA"/>
    <s v="Freyre"/>
    <s v="Diego"/>
    <s v="Diego, Freyre"/>
    <s v="Small"/>
  </r>
  <r>
    <n v="10398"/>
    <n v="34"/>
    <n v="7688"/>
    <n v="261392"/>
    <n v="261392"/>
    <n v="15"/>
    <s v="3/30/2005 0:00"/>
    <x v="0"/>
    <x v="0"/>
    <x v="11"/>
    <x v="2"/>
    <x v="4"/>
    <n v="84"/>
    <s v="S18_2581"/>
    <x v="1"/>
    <s v="26.47.1555"/>
    <s v="59 rue de l'Abbaye"/>
    <s v=""/>
    <s v="Reims"/>
    <s v=""/>
    <s v="51100"/>
    <x v="1"/>
    <s v="EMEA"/>
    <s v="Henriot"/>
    <s v="Paul"/>
    <s v="Paul, Henriot"/>
    <s v="Small"/>
  </r>
  <r>
    <n v="10401"/>
    <n v="42"/>
    <n v="7603"/>
    <n v="319326"/>
    <n v="0"/>
    <n v="3"/>
    <s v="4/3/2005 0:00"/>
    <x v="4"/>
    <x v="1"/>
    <x v="8"/>
    <x v="2"/>
    <x v="4"/>
    <n v="84"/>
    <s v="S18_2581"/>
    <x v="12"/>
    <s v="2015559350"/>
    <s v="7476 Moss Rd."/>
    <s v=""/>
    <s v="Newark"/>
    <s v="NJ"/>
    <s v="94019"/>
    <x v="0"/>
    <s v="NA"/>
    <s v="Brown"/>
    <s v="William"/>
    <s v="William, Brown"/>
    <s v="Medium"/>
  </r>
  <r>
    <n v="10416"/>
    <n v="15"/>
    <n v="9884"/>
    <n v="148260"/>
    <n v="148260"/>
    <n v="4"/>
    <s v="5/10/2005 0:00"/>
    <x v="0"/>
    <x v="1"/>
    <x v="1"/>
    <x v="2"/>
    <x v="4"/>
    <n v="84"/>
    <s v="S18_2581"/>
    <x v="70"/>
    <s v="0522-556555"/>
    <s v="Strada Provinciale 124"/>
    <s v=""/>
    <s v="Reggio Emilia"/>
    <s v=""/>
    <s v="42100"/>
    <x v="12"/>
    <s v="EMEA"/>
    <s v="Moroni"/>
    <s v="Maurizio"/>
    <s v="Maurizio, Moroni"/>
    <s v="Small"/>
  </r>
  <r>
    <n v="10107"/>
    <n v="29"/>
    <n v="7087"/>
    <n v="205523"/>
    <n v="205523"/>
    <n v="6"/>
    <s v="2/24/2003 0:00"/>
    <x v="0"/>
    <x v="0"/>
    <x v="0"/>
    <x v="0"/>
    <x v="0"/>
    <n v="60"/>
    <s v="S18_2625"/>
    <x v="0"/>
    <s v="2125557818"/>
    <s v="897 Long Airport Avenue"/>
    <s v=""/>
    <s v="NYC"/>
    <s v="NY"/>
    <s v="10022"/>
    <x v="0"/>
    <s v="NA"/>
    <s v="Yu"/>
    <s v="Kwai"/>
    <s v="Kwai, Yu"/>
    <s v="Small"/>
  </r>
  <r>
    <n v="10120"/>
    <n v="46"/>
    <n v="5815"/>
    <n v="267490"/>
    <n v="267490"/>
    <n v="4"/>
    <s v="4/29/2003 0:00"/>
    <x v="0"/>
    <x v="1"/>
    <x v="8"/>
    <x v="0"/>
    <x v="0"/>
    <n v="60"/>
    <s v="S18_2625"/>
    <x v="10"/>
    <s v="03 9520 4555"/>
    <s v="636 St Kilda Road"/>
    <s v="Level 3"/>
    <s v="Melbourne"/>
    <s v="Victoria"/>
    <s v="3004"/>
    <x v="3"/>
    <s v="APAC"/>
    <s v="Ferguson"/>
    <s v="Peter"/>
    <s v="Peter, Ferguson"/>
    <s v="Small"/>
  </r>
  <r>
    <n v="10134"/>
    <n v="30"/>
    <n v="6178"/>
    <n v="185340"/>
    <n v="185340"/>
    <n v="6"/>
    <s v="7/1/2003 0:00"/>
    <x v="0"/>
    <x v="2"/>
    <x v="2"/>
    <x v="0"/>
    <x v="0"/>
    <n v="60"/>
    <s v="S18_2625"/>
    <x v="2"/>
    <s v="+33 1 46 62 7555"/>
    <s v="27 rue du Colonel Pierre Avia"/>
    <s v=""/>
    <s v="Paris"/>
    <s v=""/>
    <s v="75508"/>
    <x v="1"/>
    <s v="EMEA"/>
    <s v="Da Cunha"/>
    <s v="Daniel"/>
    <s v="Daniel, Da Cunha"/>
    <s v="Small"/>
  </r>
  <r>
    <n v="10145"/>
    <n v="30"/>
    <n v="4967"/>
    <n v="149010"/>
    <n v="149010"/>
    <n v="10"/>
    <s v="8/25/2003 0:00"/>
    <x v="0"/>
    <x v="2"/>
    <x v="3"/>
    <x v="0"/>
    <x v="0"/>
    <n v="60"/>
    <s v="S18_2625"/>
    <x v="3"/>
    <s v="6265557265"/>
    <s v="78934 Hillside Dr."/>
    <s v=""/>
    <s v="Pasadena"/>
    <s v="CA"/>
    <s v="90003"/>
    <x v="0"/>
    <s v="NA"/>
    <s v="Young"/>
    <s v="Julie"/>
    <s v="Julie, Young"/>
    <s v="Small"/>
  </r>
  <r>
    <n v="10159"/>
    <n v="42"/>
    <n v="5148"/>
    <n v="216216"/>
    <n v="216216"/>
    <n v="18"/>
    <s v="10/10/2003 0:00"/>
    <x v="0"/>
    <x v="3"/>
    <x v="4"/>
    <x v="0"/>
    <x v="0"/>
    <n v="60"/>
    <s v="S18_2625"/>
    <x v="4"/>
    <s v="6505551386"/>
    <s v="7734 Strong St."/>
    <s v=""/>
    <s v="San Francisco"/>
    <s v="CA"/>
    <s v=""/>
    <x v="0"/>
    <s v="NA"/>
    <s v="Brown"/>
    <s v="Julie"/>
    <s v="Julie, Brown"/>
    <s v="Small"/>
  </r>
  <r>
    <n v="10168"/>
    <n v="46"/>
    <n v="6118"/>
    <n v="281428"/>
    <n v="281428"/>
    <n v="5"/>
    <s v="10/28/2003 0:00"/>
    <x v="0"/>
    <x v="3"/>
    <x v="4"/>
    <x v="0"/>
    <x v="0"/>
    <n v="60"/>
    <s v="S18_2625"/>
    <x v="5"/>
    <s v="6505556809"/>
    <s v="9408 Furth Circle"/>
    <s v=""/>
    <s v="Burlingame"/>
    <s v="CA"/>
    <s v="94217"/>
    <x v="0"/>
    <s v="NA"/>
    <s v="Hirano"/>
    <s v="Juri"/>
    <s v="Juri, Hirano"/>
    <s v="Small"/>
  </r>
  <r>
    <n v="10180"/>
    <n v="25"/>
    <n v="642"/>
    <n v="16050"/>
    <n v="16050"/>
    <n v="13"/>
    <s v="11/11/2003 0:00"/>
    <x v="0"/>
    <x v="3"/>
    <x v="5"/>
    <x v="0"/>
    <x v="0"/>
    <n v="60"/>
    <s v="S18_2625"/>
    <x v="6"/>
    <s v="20.16.1555"/>
    <s v="184, chausse de Tournai"/>
    <s v=""/>
    <s v="Lille"/>
    <s v=""/>
    <s v="59000"/>
    <x v="1"/>
    <s v="EMEA"/>
    <s v="Rance"/>
    <s v="Martine"/>
    <s v="Martine, Rance"/>
    <s v="Small"/>
  </r>
  <r>
    <n v="10188"/>
    <n v="32"/>
    <n v="6542"/>
    <n v="209344"/>
    <n v="209344"/>
    <n v="5"/>
    <s v="11/18/2003 0:00"/>
    <x v="0"/>
    <x v="3"/>
    <x v="5"/>
    <x v="0"/>
    <x v="0"/>
    <n v="60"/>
    <s v="S18_2625"/>
    <x v="7"/>
    <s v="+47 2267 3215"/>
    <s v="Drammen 121, PR 744 Sentrum"/>
    <s v=""/>
    <s v="Bergen"/>
    <s v=""/>
    <s v="N 5804"/>
    <x v="2"/>
    <s v="EMEA"/>
    <s v="Oeztan"/>
    <s v="Veysel"/>
    <s v="Veysel, Oeztan"/>
    <s v="Small"/>
  </r>
  <r>
    <n v="10201"/>
    <n v="30"/>
    <n v="6481"/>
    <n v="194430"/>
    <n v="194430"/>
    <n v="6"/>
    <s v="12/1/2003 0:00"/>
    <x v="0"/>
    <x v="3"/>
    <x v="6"/>
    <x v="0"/>
    <x v="0"/>
    <n v="60"/>
    <s v="S18_2625"/>
    <x v="8"/>
    <s v="6505555787"/>
    <s v="5557 North Pendale Street"/>
    <s v=""/>
    <s v="San Francisco"/>
    <s v="CA"/>
    <s v=""/>
    <x v="0"/>
    <s v="NA"/>
    <s v="Murphy"/>
    <s v="Julie"/>
    <s v="Julie, Murphy"/>
    <s v="Small"/>
  </r>
  <r>
    <n v="10210"/>
    <n v="40"/>
    <n v="4967"/>
    <n v="198680"/>
    <n v="198680"/>
    <n v="3"/>
    <s v="1/12/2004 0:00"/>
    <x v="0"/>
    <x v="0"/>
    <x v="7"/>
    <x v="1"/>
    <x v="0"/>
    <n v="60"/>
    <s v="S18_2625"/>
    <x v="44"/>
    <s v="+81 06 6342 5555"/>
    <s v="Dojima Avanza 4F, 1-6-20 Dojima, Kita-ku"/>
    <s v=""/>
    <s v="Osaka"/>
    <s v="Osaka"/>
    <s v="530-0003"/>
    <x v="11"/>
    <s v="Japan"/>
    <s v="Kentary"/>
    <s v="Mory"/>
    <s v="Mory, Kentary"/>
    <s v="Small"/>
  </r>
  <r>
    <n v="10223"/>
    <n v="28"/>
    <n v="6057"/>
    <n v="169596"/>
    <n v="169596"/>
    <n v="5"/>
    <s v="2/20/2004 0:00"/>
    <x v="0"/>
    <x v="0"/>
    <x v="0"/>
    <x v="1"/>
    <x v="0"/>
    <n v="60"/>
    <s v="S18_2625"/>
    <x v="10"/>
    <s v="03 9520 4555"/>
    <s v="636 St Kilda Road"/>
    <s v="Level 3"/>
    <s v="Melbourne"/>
    <s v="Victoria"/>
    <s v="3004"/>
    <x v="3"/>
    <s v="APAC"/>
    <s v="Ferguson"/>
    <s v="Peter"/>
    <s v="Peter, Ferguson"/>
    <s v="Small"/>
  </r>
  <r>
    <n v="10236"/>
    <n v="23"/>
    <n v="5572"/>
    <n v="128156"/>
    <n v="128156"/>
    <n v="2"/>
    <s v="4/3/2004 0:00"/>
    <x v="0"/>
    <x v="1"/>
    <x v="8"/>
    <x v="1"/>
    <x v="0"/>
    <n v="60"/>
    <s v="S18_2625"/>
    <x v="45"/>
    <s v="2155559857"/>
    <s v="11328 Douglas Av."/>
    <s v=""/>
    <s v="Philadelphia"/>
    <s v="PA"/>
    <s v="71270"/>
    <x v="0"/>
    <s v="NA"/>
    <s v="Hernandez"/>
    <s v="Rosa"/>
    <s v="Rosa, Hernandez"/>
    <s v="Small"/>
  </r>
  <r>
    <n v="10251"/>
    <n v="29"/>
    <n v="6118"/>
    <n v="177422"/>
    <n v="177422"/>
    <n v="6"/>
    <s v="5/18/2004 0:00"/>
    <x v="0"/>
    <x v="1"/>
    <x v="1"/>
    <x v="1"/>
    <x v="0"/>
    <n v="60"/>
    <s v="S18_2625"/>
    <x v="12"/>
    <s v="2015559350"/>
    <s v="7476 Moss Rd."/>
    <s v=""/>
    <s v="Newark"/>
    <s v="NJ"/>
    <s v="94019"/>
    <x v="0"/>
    <s v="NA"/>
    <s v="Brown"/>
    <s v="William"/>
    <s v="William, Brown"/>
    <s v="Small"/>
  </r>
  <r>
    <n v="10263"/>
    <n v="34"/>
    <n v="5875"/>
    <n v="199750"/>
    <n v="199750"/>
    <n v="6"/>
    <s v="6/28/2004 0:00"/>
    <x v="0"/>
    <x v="1"/>
    <x v="9"/>
    <x v="1"/>
    <x v="0"/>
    <n v="60"/>
    <s v="S18_2625"/>
    <x v="13"/>
    <s v="2035552570"/>
    <s v="25593 South Bay Ln."/>
    <s v=""/>
    <s v="Bridgewater"/>
    <s v="CT"/>
    <s v="97562"/>
    <x v="0"/>
    <s v="NA"/>
    <s v="King"/>
    <s v="Julie"/>
    <s v="Julie, King"/>
    <s v="Small"/>
  </r>
  <r>
    <n v="10275"/>
    <n v="37"/>
    <n v="636"/>
    <n v="23532"/>
    <n v="23532"/>
    <n v="5"/>
    <s v="7/23/2004 0:00"/>
    <x v="0"/>
    <x v="2"/>
    <x v="2"/>
    <x v="1"/>
    <x v="0"/>
    <n v="60"/>
    <s v="S18_2625"/>
    <x v="14"/>
    <s v="40.67.8555"/>
    <s v="67, rue des Cinquante Otages"/>
    <s v=""/>
    <s v="Nantes"/>
    <s v=""/>
    <s v="44000"/>
    <x v="1"/>
    <s v="EMEA"/>
    <s v="Labrune"/>
    <s v="Janine"/>
    <s v="Janine, Labrune"/>
    <s v="Small"/>
  </r>
  <r>
    <n v="10285"/>
    <n v="20"/>
    <n v="4906"/>
    <n v="98120"/>
    <n v="98120"/>
    <n v="10"/>
    <s v="8/27/2004 0:00"/>
    <x v="0"/>
    <x v="2"/>
    <x v="3"/>
    <x v="1"/>
    <x v="0"/>
    <n v="60"/>
    <s v="S18_2625"/>
    <x v="15"/>
    <s v="6175558555"/>
    <s v="39323 Spinnaker Dr."/>
    <s v=""/>
    <s v="Cambridge"/>
    <s v="MA"/>
    <s v="51247"/>
    <x v="0"/>
    <s v="NA"/>
    <s v="Hernandez"/>
    <s v="Marta"/>
    <s v="Marta, Hernandez"/>
    <s v="Small"/>
  </r>
  <r>
    <n v="10298"/>
    <n v="32"/>
    <n v="4846"/>
    <n v="155072"/>
    <n v="155072"/>
    <n v="2"/>
    <s v="9/27/2004 0:00"/>
    <x v="0"/>
    <x v="2"/>
    <x v="10"/>
    <x v="1"/>
    <x v="0"/>
    <n v="60"/>
    <s v="S18_2625"/>
    <x v="46"/>
    <s v="40.32.2555"/>
    <s v="54, rue Royale"/>
    <s v=""/>
    <s v="Nantes"/>
    <s v=""/>
    <s v="44000"/>
    <x v="1"/>
    <s v="EMEA"/>
    <s v="Schmitt"/>
    <s v="Carine"/>
    <s v="Carine, Schmitt"/>
    <s v="Small"/>
  </r>
  <r>
    <n v="10308"/>
    <n v="34"/>
    <n v="5209"/>
    <n v="177106"/>
    <n v="177106"/>
    <n v="3"/>
    <s v="10/15/2004 0:00"/>
    <x v="0"/>
    <x v="3"/>
    <x v="4"/>
    <x v="1"/>
    <x v="0"/>
    <n v="60"/>
    <s v="S18_2625"/>
    <x v="47"/>
    <s v="9145554562"/>
    <s v="3758 North Pendale Street"/>
    <s v=""/>
    <s v="White Plains"/>
    <s v="NY"/>
    <s v="24067"/>
    <x v="0"/>
    <s v="NA"/>
    <s v="Frick"/>
    <s v="Steve"/>
    <s v="Steve, Frick"/>
    <s v="Small"/>
  </r>
  <r>
    <n v="10318"/>
    <n v="42"/>
    <n v="527"/>
    <n v="22134"/>
    <n v="22134"/>
    <n v="5"/>
    <s v="11/2/2004 0:00"/>
    <x v="0"/>
    <x v="3"/>
    <x v="5"/>
    <x v="1"/>
    <x v="0"/>
    <n v="60"/>
    <s v="S18_2625"/>
    <x v="18"/>
    <s v="2155551555"/>
    <s v="7586 Pompton St."/>
    <s v=""/>
    <s v="Allentown"/>
    <s v="PA"/>
    <s v="70267"/>
    <x v="0"/>
    <s v="NA"/>
    <s v="Yu"/>
    <s v="Kyung"/>
    <s v="Kyung, Yu"/>
    <s v="Small"/>
  </r>
  <r>
    <n v="10329"/>
    <n v="38"/>
    <n v="100"/>
    <n v="3800"/>
    <n v="3800"/>
    <n v="12"/>
    <s v="11/15/2004 0:00"/>
    <x v="0"/>
    <x v="3"/>
    <x v="5"/>
    <x v="1"/>
    <x v="0"/>
    <n v="60"/>
    <s v="S18_2625"/>
    <x v="0"/>
    <s v="2125557818"/>
    <s v="897 Long Airport Avenue"/>
    <s v=""/>
    <s v="NYC"/>
    <s v="NY"/>
    <s v="10022"/>
    <x v="0"/>
    <s v="NA"/>
    <s v="Yu"/>
    <s v="Kwai"/>
    <s v="Kwai, Yu"/>
    <s v="Medium"/>
  </r>
  <r>
    <n v="10339"/>
    <n v="30"/>
    <n v="6216"/>
    <n v="186480"/>
    <n v="186480"/>
    <n v="1"/>
    <s v="11/23/2004 0:00"/>
    <x v="0"/>
    <x v="3"/>
    <x v="5"/>
    <x v="1"/>
    <x v="0"/>
    <n v="60"/>
    <s v="S18_2625"/>
    <x v="35"/>
    <s v="+81 3 3584 0555"/>
    <s v="2-2-8 Roppongi"/>
    <s v=""/>
    <s v="Minato-ku"/>
    <s v="Tokyo"/>
    <s v="106-0032"/>
    <x v="11"/>
    <s v="Japan"/>
    <s v="Shimamura"/>
    <s v="Akiko"/>
    <s v="Akiko, Shimamura"/>
    <s v="Small"/>
  </r>
  <r>
    <n v="10362"/>
    <n v="23"/>
    <n v="4967"/>
    <n v="114241"/>
    <n v="114241"/>
    <n v="3"/>
    <s v="1/5/2005 0:00"/>
    <x v="0"/>
    <x v="0"/>
    <x v="7"/>
    <x v="2"/>
    <x v="0"/>
    <n v="60"/>
    <s v="S18_2625"/>
    <x v="5"/>
    <s v="6505556809"/>
    <s v="9408 Furth Circle"/>
    <s v=""/>
    <s v="Burlingame"/>
    <s v="CA"/>
    <s v="94217"/>
    <x v="0"/>
    <s v="NA"/>
    <s v="Hirano"/>
    <s v="Juri"/>
    <s v="Juri, Hirano"/>
    <s v="Small"/>
  </r>
  <r>
    <n v="10374"/>
    <n v="22"/>
    <n v="533"/>
    <n v="11726"/>
    <n v="11726"/>
    <n v="4"/>
    <s v="2/2/2005 0:00"/>
    <x v="0"/>
    <x v="0"/>
    <x v="0"/>
    <x v="2"/>
    <x v="0"/>
    <n v="60"/>
    <s v="S18_2625"/>
    <x v="28"/>
    <s v="61-7-3844-6555"/>
    <s v="31 Duncan St. West End"/>
    <s v=""/>
    <s v="South Brisbane"/>
    <s v="Queensland"/>
    <s v="4101"/>
    <x v="3"/>
    <s v="APAC"/>
    <s v="Calaghan"/>
    <s v="Tony"/>
    <s v="Tony, Calaghan"/>
    <s v="Small"/>
  </r>
  <r>
    <n v="10389"/>
    <n v="39"/>
    <n v="100"/>
    <n v="3900"/>
    <n v="3900"/>
    <n v="5"/>
    <s v="3/3/2005 0:00"/>
    <x v="0"/>
    <x v="0"/>
    <x v="11"/>
    <x v="2"/>
    <x v="0"/>
    <n v="60"/>
    <s v="S18_2625"/>
    <x v="37"/>
    <s v="0695-34 6555"/>
    <s v="?kergatan 24"/>
    <s v=""/>
    <s v="Boras"/>
    <s v=""/>
    <s v="S-844 67"/>
    <x v="8"/>
    <s v="EMEA"/>
    <s v="Larsson"/>
    <s v="Maria"/>
    <s v="Maria, Larsson"/>
    <s v="Medium"/>
  </r>
  <r>
    <n v="10402"/>
    <n v="55"/>
    <n v="5572"/>
    <n v="306460"/>
    <n v="306460"/>
    <n v="2"/>
    <s v="4/7/2005 0:00"/>
    <x v="0"/>
    <x v="1"/>
    <x v="8"/>
    <x v="2"/>
    <x v="0"/>
    <n v="60"/>
    <s v="S18_2625"/>
    <x v="9"/>
    <s v="(1) 47.55.6555"/>
    <s v="25, rue Lauriston"/>
    <s v=""/>
    <s v="Paris"/>
    <s v=""/>
    <s v="75016"/>
    <x v="1"/>
    <s v="EMEA"/>
    <s v="Perrier"/>
    <s v="Dominique"/>
    <s v="Dominique, Perrier"/>
    <s v="Medium"/>
  </r>
  <r>
    <n v="10417"/>
    <n v="36"/>
    <n v="6118"/>
    <n v="220248"/>
    <n v="0"/>
    <n v="6"/>
    <s v="5/13/2005 0:00"/>
    <x v="1"/>
    <x v="1"/>
    <x v="1"/>
    <x v="2"/>
    <x v="0"/>
    <n v="60"/>
    <s v="S18_2625"/>
    <x v="23"/>
    <s v="(91) 555 94 44"/>
    <s v="C/ Moralzarzal, 86"/>
    <s v=""/>
    <s v="Madrid"/>
    <s v=""/>
    <s v="28034"/>
    <x v="7"/>
    <s v="EMEA"/>
    <s v="Freyre"/>
    <s v="Diego"/>
    <s v="Diego, Freyre"/>
    <s v="Small"/>
  </r>
  <r>
    <n v="10101"/>
    <n v="26"/>
    <n v="100"/>
    <n v="2600"/>
    <n v="2600"/>
    <n v="1"/>
    <s v="1/9/2003 0:00"/>
    <x v="0"/>
    <x v="0"/>
    <x v="7"/>
    <x v="0"/>
    <x v="3"/>
    <n v="168"/>
    <s v="S18_2795"/>
    <x v="72"/>
    <s v="+49 69 66 90 2555"/>
    <s v="Lyonerstr. 34"/>
    <s v=""/>
    <s v="Frankfurt"/>
    <s v=""/>
    <s v="60528"/>
    <x v="16"/>
    <s v="EMEA"/>
    <s v="Keitel"/>
    <s v="Roland"/>
    <s v="Roland, Keitel"/>
    <s v="Medium"/>
  </r>
  <r>
    <n v="10110"/>
    <n v="31"/>
    <n v="100"/>
    <n v="3100"/>
    <n v="3100"/>
    <n v="1"/>
    <s v="3/18/2003 0:00"/>
    <x v="0"/>
    <x v="0"/>
    <x v="11"/>
    <x v="0"/>
    <x v="3"/>
    <n v="168"/>
    <s v="S18_2795"/>
    <x v="77"/>
    <s v="(171) 555-1555"/>
    <s v="Fauntleroy Circus"/>
    <s v=""/>
    <s v="Manchester"/>
    <s v=""/>
    <s v="EC2 5NT"/>
    <x v="6"/>
    <s v="EMEA"/>
    <s v="Ashworth"/>
    <s v="Victoria"/>
    <s v="Victoria, Ashworth"/>
    <s v="Medium"/>
  </r>
  <r>
    <n v="10125"/>
    <n v="34"/>
    <n v="100"/>
    <n v="3400"/>
    <n v="3400"/>
    <n v="2"/>
    <s v="5/21/2003 0:00"/>
    <x v="0"/>
    <x v="1"/>
    <x v="1"/>
    <x v="0"/>
    <x v="3"/>
    <n v="168"/>
    <s v="S18_2795"/>
    <x v="10"/>
    <s v="03 9520 4555"/>
    <s v="636 St Kilda Road"/>
    <s v="Level 3"/>
    <s v="Melbourne"/>
    <s v="Victoria"/>
    <s v="3004"/>
    <x v="3"/>
    <s v="APAC"/>
    <s v="Ferguson"/>
    <s v="Peter"/>
    <s v="Peter, Ferguson"/>
    <s v="Medium"/>
  </r>
  <r>
    <n v="10139"/>
    <n v="41"/>
    <n v="100"/>
    <n v="4100"/>
    <n v="4100"/>
    <n v="8"/>
    <s v="7/16/2003 0:00"/>
    <x v="0"/>
    <x v="2"/>
    <x v="2"/>
    <x v="0"/>
    <x v="3"/>
    <n v="168"/>
    <s v="S18_2795"/>
    <x v="20"/>
    <s v="+61 2 9495 8555"/>
    <s v="Monitor Money Building, 815 Pacific Hwy"/>
    <s v="Level 6"/>
    <s v="Chatswood"/>
    <s v="NSW"/>
    <s v="2067"/>
    <x v="3"/>
    <s v="APAC"/>
    <s v="Huxley"/>
    <s v="Adrian"/>
    <s v="Adrian, Huxley"/>
    <s v="Large"/>
  </r>
  <r>
    <n v="10149"/>
    <n v="23"/>
    <n v="100"/>
    <n v="2300"/>
    <n v="2300"/>
    <n v="5"/>
    <s v="9/12/2003 0:00"/>
    <x v="0"/>
    <x v="2"/>
    <x v="10"/>
    <x v="0"/>
    <x v="3"/>
    <n v="168"/>
    <s v="S18_2795"/>
    <x v="82"/>
    <s v="4155554312"/>
    <s v="2793 Furth Circle"/>
    <s v=""/>
    <s v="Brisbane"/>
    <s v="CA"/>
    <s v="94217"/>
    <x v="0"/>
    <s v="NA"/>
    <s v="Taylor"/>
    <s v="Sue"/>
    <s v="Sue, Taylor"/>
    <s v="Medium"/>
  </r>
  <r>
    <n v="10162"/>
    <n v="48"/>
    <n v="100"/>
    <n v="4800"/>
    <n v="4800"/>
    <n v="3"/>
    <s v="10/18/2003 0:00"/>
    <x v="0"/>
    <x v="3"/>
    <x v="4"/>
    <x v="0"/>
    <x v="3"/>
    <n v="168"/>
    <s v="S18_2795"/>
    <x v="4"/>
    <s v="6505551386"/>
    <s v="7734 Strong St."/>
    <s v=""/>
    <s v="San Francisco"/>
    <s v="CA"/>
    <s v=""/>
    <x v="0"/>
    <s v="NA"/>
    <s v="Brown"/>
    <s v="Julie"/>
    <s v="Julie, Brown"/>
    <s v="Large"/>
  </r>
  <r>
    <n v="10173"/>
    <n v="22"/>
    <n v="100"/>
    <n v="2200"/>
    <n v="2200"/>
    <n v="7"/>
    <s v="11/5/2003 0:00"/>
    <x v="0"/>
    <x v="3"/>
    <x v="5"/>
    <x v="0"/>
    <x v="3"/>
    <n v="168"/>
    <s v="S18_2795"/>
    <x v="86"/>
    <s v="035-640555"/>
    <s v="Via Ludovico il Moro 22"/>
    <s v=""/>
    <s v="Bergamo"/>
    <s v=""/>
    <s v="24100"/>
    <x v="12"/>
    <s v="EMEA"/>
    <s v="Rovelli"/>
    <s v="Giovanni"/>
    <s v="Giovanni, Rovelli"/>
    <s v="Medium"/>
  </r>
  <r>
    <n v="10182"/>
    <n v="21"/>
    <n v="100"/>
    <n v="2100"/>
    <n v="2100"/>
    <n v="4"/>
    <s v="11/12/2003 0:00"/>
    <x v="0"/>
    <x v="3"/>
    <x v="5"/>
    <x v="0"/>
    <x v="3"/>
    <n v="168"/>
    <s v="S18_2795"/>
    <x v="39"/>
    <s v="4155551450"/>
    <s v="5677 Strong St."/>
    <s v=""/>
    <s v="San Rafael"/>
    <s v="CA"/>
    <s v="97562"/>
    <x v="0"/>
    <s v="NA"/>
    <s v="Nelson"/>
    <s v="Valarie"/>
    <s v="Valarie, Nelson"/>
    <s v="Medium"/>
  </r>
  <r>
    <n v="10193"/>
    <n v="22"/>
    <n v="100"/>
    <n v="2200"/>
    <n v="2200"/>
    <n v="8"/>
    <s v="11/21/2003 0:00"/>
    <x v="0"/>
    <x v="3"/>
    <x v="5"/>
    <x v="0"/>
    <x v="3"/>
    <n v="168"/>
    <s v="S18_2795"/>
    <x v="87"/>
    <s v="61-9-3844-6555"/>
    <s v="7 Allen Street"/>
    <s v=""/>
    <s v="Glen Waverly"/>
    <s v="Victoria"/>
    <s v="3150"/>
    <x v="3"/>
    <s v="APAC"/>
    <s v="Connery"/>
    <s v="Sean"/>
    <s v="Sean, Connery"/>
    <s v="Medium"/>
  </r>
  <r>
    <n v="10205"/>
    <n v="40"/>
    <n v="100"/>
    <n v="4000"/>
    <n v="4000"/>
    <n v="3"/>
    <s v="12/3/2003 0:00"/>
    <x v="0"/>
    <x v="3"/>
    <x v="6"/>
    <x v="0"/>
    <x v="3"/>
    <n v="168"/>
    <s v="S18_2795"/>
    <x v="23"/>
    <s v="(91) 555 94 44"/>
    <s v="C/ Moralzarzal, 86"/>
    <s v=""/>
    <s v="Madrid"/>
    <s v=""/>
    <s v="28034"/>
    <x v="7"/>
    <s v="EMEA"/>
    <s v="Freyre"/>
    <s v="Diego"/>
    <s v="Diego, Freyre"/>
    <s v="Large"/>
  </r>
  <r>
    <n v="10214"/>
    <n v="50"/>
    <n v="100"/>
    <n v="5000"/>
    <n v="5000"/>
    <n v="1"/>
    <s v="1/26/2004 0:00"/>
    <x v="0"/>
    <x v="0"/>
    <x v="7"/>
    <x v="1"/>
    <x v="3"/>
    <n v="168"/>
    <s v="S18_2795"/>
    <x v="25"/>
    <s v="(91) 555 22 82"/>
    <s v="C/ Araquil, 67"/>
    <s v=""/>
    <s v="Madrid"/>
    <s v=""/>
    <s v="28023"/>
    <x v="7"/>
    <s v="EMEA"/>
    <s v="Sommer"/>
    <s v="Mart¡n"/>
    <s v="Mart¡n, Sommer"/>
    <s v="Large"/>
  </r>
  <r>
    <n v="10227"/>
    <n v="29"/>
    <n v="100"/>
    <n v="2900"/>
    <n v="2900"/>
    <n v="4"/>
    <s v="3/2/2004 0:00"/>
    <x v="0"/>
    <x v="0"/>
    <x v="11"/>
    <x v="1"/>
    <x v="3"/>
    <n v="168"/>
    <s v="S18_2795"/>
    <x v="30"/>
    <s v="78.32.5555"/>
    <s v="2, rue du Commerce"/>
    <s v=""/>
    <s v="Lyon"/>
    <s v=""/>
    <s v="69004"/>
    <x v="1"/>
    <s v="EMEA"/>
    <s v="Saveley"/>
    <s v="Mary"/>
    <s v="Mary, Saveley"/>
    <s v="Medium"/>
  </r>
  <r>
    <n v="10244"/>
    <n v="43"/>
    <n v="100"/>
    <n v="4300"/>
    <n v="4300"/>
    <n v="8"/>
    <s v="4/29/2004 0:00"/>
    <x v="0"/>
    <x v="1"/>
    <x v="8"/>
    <x v="1"/>
    <x v="3"/>
    <n v="168"/>
    <s v="S18_2795"/>
    <x v="23"/>
    <s v="(91) 555 94 44"/>
    <s v="C/ Moralzarzal, 86"/>
    <s v=""/>
    <s v="Madrid"/>
    <s v=""/>
    <s v="28034"/>
    <x v="7"/>
    <s v="EMEA"/>
    <s v="Freyre"/>
    <s v="Diego"/>
    <s v="Diego, Freyre"/>
    <s v="Medium"/>
  </r>
  <r>
    <n v="10255"/>
    <n v="24"/>
    <n v="100"/>
    <n v="2400"/>
    <n v="2400"/>
    <n v="1"/>
    <s v="6/4/2004 0:00"/>
    <x v="0"/>
    <x v="1"/>
    <x v="9"/>
    <x v="1"/>
    <x v="3"/>
    <n v="168"/>
    <s v="S18_2795"/>
    <x v="83"/>
    <s v="88.60.1555"/>
    <s v="24, place Kluber"/>
    <s v=""/>
    <s v="Strasbourg"/>
    <s v=""/>
    <s v="67000"/>
    <x v="1"/>
    <s v="EMEA"/>
    <s v="Citeaux"/>
    <s v="Frederique"/>
    <s v="Frederique, Citeaux"/>
    <s v="Medium"/>
  </r>
  <r>
    <n v="10280"/>
    <n v="22"/>
    <n v="100"/>
    <n v="2200"/>
    <n v="2200"/>
    <n v="10"/>
    <s v="8/17/2004 0:00"/>
    <x v="0"/>
    <x v="2"/>
    <x v="3"/>
    <x v="1"/>
    <x v="3"/>
    <n v="168"/>
    <s v="S18_2795"/>
    <x v="36"/>
    <s v="011-4988555"/>
    <s v="Via Monte Bianco 34"/>
    <s v=""/>
    <s v="Torino"/>
    <s v=""/>
    <s v="10100"/>
    <x v="12"/>
    <s v="EMEA"/>
    <s v="Accorti"/>
    <s v="Paolo"/>
    <s v="Paolo, Accorti"/>
    <s v="Medium"/>
  </r>
  <r>
    <n v="10289"/>
    <n v="43"/>
    <n v="100"/>
    <n v="4300"/>
    <n v="4300"/>
    <n v="3"/>
    <s v="9/3/2004 0:00"/>
    <x v="0"/>
    <x v="2"/>
    <x v="10"/>
    <x v="1"/>
    <x v="3"/>
    <n v="168"/>
    <s v="S18_2795"/>
    <x v="7"/>
    <s v="+47 2267 3215"/>
    <s v="Drammen 121, PR 744 Sentrum"/>
    <s v=""/>
    <s v="Bergen"/>
    <s v=""/>
    <s v="N 5804"/>
    <x v="2"/>
    <s v="EMEA"/>
    <s v="Oeztan"/>
    <s v="Veysel"/>
    <s v="Veysel, Oeztan"/>
    <s v="Large"/>
  </r>
  <r>
    <n v="10304"/>
    <n v="20"/>
    <n v="100"/>
    <n v="2000"/>
    <n v="2000"/>
    <n v="14"/>
    <s v="10/11/2004 0:00"/>
    <x v="0"/>
    <x v="3"/>
    <x v="4"/>
    <x v="1"/>
    <x v="3"/>
    <n v="168"/>
    <s v="S18_2795"/>
    <x v="38"/>
    <s v="30.59.8555"/>
    <s v="67, avenue de l'Europe"/>
    <s v=""/>
    <s v="Versailles"/>
    <s v=""/>
    <s v="78000"/>
    <x v="1"/>
    <s v="EMEA"/>
    <s v="Tonini"/>
    <s v="Daniel"/>
    <s v="Daniel, Tonini"/>
    <s v="Medium"/>
  </r>
  <r>
    <n v="10312"/>
    <n v="25"/>
    <n v="100"/>
    <n v="2500"/>
    <n v="2500"/>
    <n v="11"/>
    <s v="10/21/2004 0:00"/>
    <x v="0"/>
    <x v="3"/>
    <x v="4"/>
    <x v="1"/>
    <x v="3"/>
    <n v="168"/>
    <s v="S18_2795"/>
    <x v="39"/>
    <s v="4155551450"/>
    <s v="5677 Strong St."/>
    <s v=""/>
    <s v="San Rafael"/>
    <s v="CA"/>
    <s v="97562"/>
    <x v="0"/>
    <s v="NA"/>
    <s v="Nelson"/>
    <s v="Valarie"/>
    <s v="Valarie, Nelson"/>
    <s v="Medium"/>
  </r>
  <r>
    <n v="10322"/>
    <n v="36"/>
    <n v="100"/>
    <n v="3600"/>
    <n v="3600"/>
    <n v="2"/>
    <s v="11/4/2004 0:00"/>
    <x v="0"/>
    <x v="3"/>
    <x v="5"/>
    <x v="1"/>
    <x v="3"/>
    <n v="168"/>
    <s v="S18_2795"/>
    <x v="40"/>
    <s v="6035558647"/>
    <s v="2304 Long Airport Avenue"/>
    <s v=""/>
    <s v="Nashua"/>
    <s v="NH"/>
    <s v="62005"/>
    <x v="0"/>
    <s v="NA"/>
    <s v="Young"/>
    <s v="Valarie"/>
    <s v="Valarie, Young"/>
    <s v="Medium"/>
  </r>
  <r>
    <n v="10332"/>
    <n v="24"/>
    <n v="5267"/>
    <n v="126408"/>
    <n v="126408"/>
    <n v="1"/>
    <s v="11/17/2004 0:00"/>
    <x v="0"/>
    <x v="3"/>
    <x v="5"/>
    <x v="1"/>
    <x v="3"/>
    <n v="168"/>
    <s v="S18_2795"/>
    <x v="77"/>
    <s v="(171) 555-1555"/>
    <s v="Fauntleroy Circus"/>
    <s v=""/>
    <s v="Manchester"/>
    <s v=""/>
    <s v="EC2 5NT"/>
    <x v="6"/>
    <s v="EMEA"/>
    <s v="Ashworth"/>
    <s v="Victoria"/>
    <s v="Victoria, Ashworth"/>
    <s v="Small"/>
  </r>
  <r>
    <n v="10347"/>
    <n v="21"/>
    <n v="100"/>
    <n v="2100"/>
    <n v="2100"/>
    <n v="6"/>
    <s v="11/29/2004 0:00"/>
    <x v="0"/>
    <x v="3"/>
    <x v="5"/>
    <x v="1"/>
    <x v="3"/>
    <n v="168"/>
    <s v="S18_2795"/>
    <x v="10"/>
    <s v="03 9520 4555"/>
    <s v="636 St Kilda Road"/>
    <s v="Level 3"/>
    <s v="Melbourne"/>
    <s v="Victoria"/>
    <s v="3004"/>
    <x v="3"/>
    <s v="APAC"/>
    <s v="Ferguson"/>
    <s v="Peter"/>
    <s v="Peter, Ferguson"/>
    <s v="Medium"/>
  </r>
  <r>
    <n v="10356"/>
    <n v="30"/>
    <n v="100"/>
    <n v="3000"/>
    <n v="3000"/>
    <n v="1"/>
    <s v="12/9/2004 0:00"/>
    <x v="0"/>
    <x v="3"/>
    <x v="6"/>
    <x v="1"/>
    <x v="3"/>
    <n v="168"/>
    <s v="S18_2795"/>
    <x v="2"/>
    <s v="+33 1 46 62 7555"/>
    <s v="27 rue du Colonel Pierre Avia"/>
    <s v=""/>
    <s v="Paris"/>
    <s v=""/>
    <s v="75508"/>
    <x v="1"/>
    <s v="EMEA"/>
    <s v="Da Cunha"/>
    <s v="Daniel"/>
    <s v="Daniel, Da Cunha"/>
    <s v="Medium"/>
  </r>
  <r>
    <n v="10367"/>
    <n v="32"/>
    <n v="9479"/>
    <n v="303328"/>
    <n v="303328"/>
    <n v="7"/>
    <s v="1/12/2005 0:00"/>
    <x v="5"/>
    <x v="0"/>
    <x v="7"/>
    <x v="2"/>
    <x v="3"/>
    <n v="168"/>
    <s v="S18_2795"/>
    <x v="3"/>
    <s v="6265557265"/>
    <s v="78934 Hillside Dr."/>
    <s v=""/>
    <s v="Pasadena"/>
    <s v="CA"/>
    <s v="90003"/>
    <x v="0"/>
    <s v="NA"/>
    <s v="Young"/>
    <s v="Julie"/>
    <s v="Julie, Young"/>
    <s v="Medium"/>
  </r>
  <r>
    <n v="10380"/>
    <n v="21"/>
    <n v="4718"/>
    <n v="99078"/>
    <n v="99078"/>
    <n v="8"/>
    <s v="2/16/2005 0:00"/>
    <x v="0"/>
    <x v="0"/>
    <x v="0"/>
    <x v="2"/>
    <x v="3"/>
    <n v="168"/>
    <s v="S18_2795"/>
    <x v="23"/>
    <s v="(91) 555 94 44"/>
    <s v="C/ Moralzarzal, 86"/>
    <s v=""/>
    <s v="Madrid"/>
    <s v=""/>
    <s v="28034"/>
    <x v="7"/>
    <s v="EMEA"/>
    <s v="Freyre"/>
    <s v="Diego"/>
    <s v="Diego, Freyre"/>
    <s v="Small"/>
  </r>
  <r>
    <n v="10390"/>
    <n v="26"/>
    <n v="7811"/>
    <n v="203086"/>
    <n v="203086"/>
    <n v="7"/>
    <s v="3/4/2005 0:00"/>
    <x v="0"/>
    <x v="0"/>
    <x v="11"/>
    <x v="2"/>
    <x v="3"/>
    <n v="168"/>
    <s v="S18_2795"/>
    <x v="39"/>
    <s v="4155551450"/>
    <s v="5677 Strong St."/>
    <s v=""/>
    <s v="San Rafael"/>
    <s v="CA"/>
    <s v="97562"/>
    <x v="0"/>
    <s v="NA"/>
    <s v="Nelson"/>
    <s v="Valarie"/>
    <s v="Valarie, Nelson"/>
    <s v="Small"/>
  </r>
  <r>
    <n v="10421"/>
    <n v="35"/>
    <n v="100"/>
    <n v="3500"/>
    <n v="0"/>
    <n v="1"/>
    <s v="5/29/2005 0:00"/>
    <x v="2"/>
    <x v="1"/>
    <x v="1"/>
    <x v="2"/>
    <x v="3"/>
    <n v="168"/>
    <s v="S18_2795"/>
    <x v="39"/>
    <s v="4155551450"/>
    <s v="5677 Strong St."/>
    <s v=""/>
    <s v="San Rafael"/>
    <s v="CA"/>
    <s v="97562"/>
    <x v="0"/>
    <s v="NA"/>
    <s v="Nelson"/>
    <s v="Valarie"/>
    <s v="Valarie, Nelson"/>
    <s v="Medium"/>
  </r>
  <r>
    <n v="10109"/>
    <n v="26"/>
    <n v="100"/>
    <n v="2600"/>
    <n v="2600"/>
    <n v="1"/>
    <s v="3/10/2003 0:00"/>
    <x v="0"/>
    <x v="0"/>
    <x v="11"/>
    <x v="0"/>
    <x v="1"/>
    <n v="132"/>
    <s v="S18_2870"/>
    <x v="45"/>
    <s v="2155559857"/>
    <s v="11328 Douglas Av."/>
    <s v=""/>
    <s v="Philadelphia"/>
    <s v="PA"/>
    <s v="71270"/>
    <x v="0"/>
    <s v="NA"/>
    <s v="Hernandez"/>
    <s v="Rosa"/>
    <s v="Rosa, Hernandez"/>
    <s v="Medium"/>
  </r>
  <r>
    <n v="10123"/>
    <n v="46"/>
    <n v="100"/>
    <n v="4600"/>
    <n v="4600"/>
    <n v="3"/>
    <s v="5/20/2003 0:00"/>
    <x v="0"/>
    <x v="1"/>
    <x v="1"/>
    <x v="0"/>
    <x v="1"/>
    <n v="132"/>
    <s v="S18_2870"/>
    <x v="46"/>
    <s v="40.32.2555"/>
    <s v="54, rue Royale"/>
    <s v=""/>
    <s v="Nantes"/>
    <s v=""/>
    <s v="44000"/>
    <x v="1"/>
    <s v="EMEA"/>
    <s v="Schmitt"/>
    <s v="Carine"/>
    <s v="Carine, Schmitt"/>
    <s v="Medium"/>
  </r>
  <r>
    <n v="10137"/>
    <n v="37"/>
    <n v="100"/>
    <n v="3700"/>
    <n v="3700"/>
    <n v="3"/>
    <s v="7/10/2003 0:00"/>
    <x v="0"/>
    <x v="2"/>
    <x v="2"/>
    <x v="0"/>
    <x v="1"/>
    <n v="132"/>
    <s v="S18_2870"/>
    <x v="1"/>
    <s v="26.47.1555"/>
    <s v="59 rue de l'Abbaye"/>
    <s v=""/>
    <s v="Reims"/>
    <s v=""/>
    <s v="51100"/>
    <x v="1"/>
    <s v="EMEA"/>
    <s v="Henriot"/>
    <s v="Paul"/>
    <s v="Paul, Henriot"/>
    <s v="Medium"/>
  </r>
  <r>
    <n v="10148"/>
    <n v="27"/>
    <n v="100"/>
    <n v="2700"/>
    <n v="2700"/>
    <n v="10"/>
    <s v="9/11/2003 0:00"/>
    <x v="0"/>
    <x v="2"/>
    <x v="10"/>
    <x v="0"/>
    <x v="1"/>
    <n v="132"/>
    <s v="S18_2870"/>
    <x v="42"/>
    <s v="02 9936 8555"/>
    <s v="201 Miller Street"/>
    <s v="Level 15"/>
    <s v="North Sydney"/>
    <s v="NSW"/>
    <s v="2060"/>
    <x v="3"/>
    <s v="APAC"/>
    <s v="O'Hara"/>
    <s v="Anna"/>
    <s v="Anna, O'Hara"/>
    <s v="Medium"/>
  </r>
  <r>
    <n v="10161"/>
    <n v="23"/>
    <n v="100"/>
    <n v="2300"/>
    <n v="2300"/>
    <n v="9"/>
    <s v="10/17/2003 0:00"/>
    <x v="0"/>
    <x v="3"/>
    <x v="4"/>
    <x v="0"/>
    <x v="1"/>
    <n v="132"/>
    <s v="S18_2870"/>
    <x v="78"/>
    <s v="86 21 3555"/>
    <s v="Smagsloget 45"/>
    <s v=""/>
    <s v="Aaarhus"/>
    <s v=""/>
    <s v="8200"/>
    <x v="13"/>
    <s v="EMEA"/>
    <s v="Ibsen"/>
    <s v="Palle"/>
    <s v="Palle, Ibsen"/>
    <s v="Medium"/>
  </r>
  <r>
    <n v="10172"/>
    <n v="39"/>
    <n v="100"/>
    <n v="3900"/>
    <n v="3900"/>
    <n v="7"/>
    <s v="11/5/2003 0:00"/>
    <x v="0"/>
    <x v="3"/>
    <x v="5"/>
    <x v="0"/>
    <x v="1"/>
    <n v="132"/>
    <s v="S18_2870"/>
    <x v="13"/>
    <s v="2035552570"/>
    <s v="25593 South Bay Ln."/>
    <s v=""/>
    <s v="Bridgewater"/>
    <s v="CT"/>
    <s v="97562"/>
    <x v="0"/>
    <s v="NA"/>
    <s v="King"/>
    <s v="Julie"/>
    <s v="Julie, King"/>
    <s v="Medium"/>
  </r>
  <r>
    <n v="10181"/>
    <n v="27"/>
    <n v="100"/>
    <n v="2700"/>
    <n v="2700"/>
    <n v="3"/>
    <s v="11/12/2003 0:00"/>
    <x v="0"/>
    <x v="3"/>
    <x v="5"/>
    <x v="0"/>
    <x v="1"/>
    <n v="132"/>
    <s v="S18_2870"/>
    <x v="7"/>
    <s v="+47 2267 3215"/>
    <s v="Drammen 121, PR 744 Sentrum"/>
    <s v=""/>
    <s v="Bergen"/>
    <s v=""/>
    <s v="N 5804"/>
    <x v="2"/>
    <s v="EMEA"/>
    <s v="Oeztan"/>
    <s v="Veysel"/>
    <s v="Veysel, Oeztan"/>
    <s v="Medium"/>
  </r>
  <r>
    <n v="10192"/>
    <n v="38"/>
    <n v="100"/>
    <n v="3800"/>
    <n v="3800"/>
    <n v="8"/>
    <s v="11/20/2003 0:00"/>
    <x v="0"/>
    <x v="3"/>
    <x v="5"/>
    <x v="0"/>
    <x v="1"/>
    <n v="132"/>
    <s v="S18_2870"/>
    <x v="40"/>
    <s v="6035558647"/>
    <s v="2304 Long Airport Avenue"/>
    <s v=""/>
    <s v="Nashua"/>
    <s v="NH"/>
    <s v="62005"/>
    <x v="0"/>
    <s v="NA"/>
    <s v="Young"/>
    <s v="Valarie"/>
    <s v="Valarie, Young"/>
    <s v="Medium"/>
  </r>
  <r>
    <n v="10204"/>
    <n v="27"/>
    <n v="100"/>
    <n v="2700"/>
    <n v="2700"/>
    <n v="14"/>
    <s v="12/2/2003 0:00"/>
    <x v="0"/>
    <x v="3"/>
    <x v="6"/>
    <x v="0"/>
    <x v="1"/>
    <n v="132"/>
    <s v="S18_2870"/>
    <x v="74"/>
    <s v="2125557413"/>
    <s v="4092 Furth Circle"/>
    <s v="Suite 400"/>
    <s v="NYC"/>
    <s v="NY"/>
    <s v="10022"/>
    <x v="0"/>
    <s v="NA"/>
    <s v="Young"/>
    <s v="Jeff"/>
    <s v="Jeff, Young"/>
    <s v="Medium"/>
  </r>
  <r>
    <n v="10212"/>
    <n v="40"/>
    <n v="100"/>
    <n v="4000"/>
    <n v="4000"/>
    <n v="7"/>
    <s v="1/16/2004 0:00"/>
    <x v="0"/>
    <x v="0"/>
    <x v="7"/>
    <x v="1"/>
    <x v="1"/>
    <n v="132"/>
    <s v="S18_2870"/>
    <x v="23"/>
    <s v="(91) 555 94 44"/>
    <s v="C/ Moralzarzal, 86"/>
    <s v=""/>
    <s v="Madrid"/>
    <s v=""/>
    <s v="28034"/>
    <x v="7"/>
    <s v="EMEA"/>
    <s v="Freyre"/>
    <s v="Diego"/>
    <s v="Diego, Freyre"/>
    <s v="Medium"/>
  </r>
  <r>
    <n v="10226"/>
    <n v="24"/>
    <n v="100"/>
    <n v="2400"/>
    <n v="2400"/>
    <n v="5"/>
    <s v="2/26/2004 0:00"/>
    <x v="0"/>
    <x v="0"/>
    <x v="0"/>
    <x v="1"/>
    <x v="1"/>
    <n v="132"/>
    <s v="S18_2870"/>
    <x v="55"/>
    <s v="7605558146"/>
    <s v="361 Furth Circle"/>
    <s v=""/>
    <s v="San Diego"/>
    <s v="CA"/>
    <s v="91217"/>
    <x v="0"/>
    <s v="NA"/>
    <s v="Thompson"/>
    <s v="Valarie"/>
    <s v="Valarie, Thompson"/>
    <s v="Medium"/>
  </r>
  <r>
    <n v="10241"/>
    <n v="44"/>
    <n v="100"/>
    <n v="4400"/>
    <n v="4400"/>
    <n v="12"/>
    <s v="4/13/2004 0:00"/>
    <x v="0"/>
    <x v="1"/>
    <x v="8"/>
    <x v="1"/>
    <x v="1"/>
    <n v="132"/>
    <s v="S18_2870"/>
    <x v="83"/>
    <s v="88.60.1555"/>
    <s v="24, place Kluber"/>
    <s v=""/>
    <s v="Strasbourg"/>
    <s v=""/>
    <s v="67000"/>
    <x v="1"/>
    <s v="EMEA"/>
    <s v="Citeaux"/>
    <s v="Frederique"/>
    <s v="Frederique, Citeaux"/>
    <s v="Medium"/>
  </r>
  <r>
    <n v="10253"/>
    <n v="37"/>
    <n v="100"/>
    <n v="3700"/>
    <n v="0"/>
    <n v="2"/>
    <s v="6/1/2004 0:00"/>
    <x v="3"/>
    <x v="1"/>
    <x v="9"/>
    <x v="1"/>
    <x v="1"/>
    <n v="132"/>
    <s v="S18_2870"/>
    <x v="22"/>
    <s v="(171) 555-2282"/>
    <s v="Berkeley Gardens 12  Brewery"/>
    <s v=""/>
    <s v="Liverpool"/>
    <s v=""/>
    <s v="WX1 6LT"/>
    <x v="6"/>
    <s v="EMEA"/>
    <s v="Devon"/>
    <s v="Elizabeth"/>
    <s v="Elizabeth, Devon"/>
    <s v="Medium"/>
  </r>
  <r>
    <n v="10266"/>
    <n v="20"/>
    <n v="100"/>
    <n v="2000"/>
    <n v="2000"/>
    <n v="3"/>
    <s v="7/6/2004 0:00"/>
    <x v="0"/>
    <x v="2"/>
    <x v="2"/>
    <x v="1"/>
    <x v="1"/>
    <n v="132"/>
    <s v="S18_2870"/>
    <x v="70"/>
    <s v="0522-556555"/>
    <s v="Strada Provinciale 124"/>
    <s v=""/>
    <s v="Reggio Emilia"/>
    <s v=""/>
    <s v="42100"/>
    <x v="12"/>
    <s v="EMEA"/>
    <s v="Moroni"/>
    <s v="Maurizio"/>
    <s v="Maurizio, Moroni"/>
    <s v="Small"/>
  </r>
  <r>
    <n v="10278"/>
    <n v="39"/>
    <n v="100"/>
    <n v="3900"/>
    <n v="3900"/>
    <n v="3"/>
    <s v="8/6/2004 0:00"/>
    <x v="0"/>
    <x v="2"/>
    <x v="3"/>
    <x v="1"/>
    <x v="1"/>
    <n v="132"/>
    <s v="S18_2870"/>
    <x v="84"/>
    <s v="7025551838"/>
    <s v="8489 Strong St."/>
    <s v=""/>
    <s v="Las Vegas"/>
    <s v="NV"/>
    <s v="83030"/>
    <x v="0"/>
    <s v="NA"/>
    <s v="King"/>
    <s v="Sue"/>
    <s v="Sue, King"/>
    <s v="Medium"/>
  </r>
  <r>
    <n v="10287"/>
    <n v="44"/>
    <n v="100"/>
    <n v="4400"/>
    <n v="4400"/>
    <n v="1"/>
    <s v="8/30/2004 0:00"/>
    <x v="0"/>
    <x v="2"/>
    <x v="3"/>
    <x v="1"/>
    <x v="1"/>
    <n v="132"/>
    <s v="S18_2870"/>
    <x v="69"/>
    <s v="0897-034555"/>
    <s v="Grenzacherweg 237"/>
    <s v=""/>
    <s v="Gensve"/>
    <s v=""/>
    <s v="1203"/>
    <x v="17"/>
    <s v="EMEA"/>
    <s v="Holz"/>
    <s v="Michael"/>
    <s v="Michael, Holz"/>
    <s v="Medium"/>
  </r>
  <r>
    <n v="10301"/>
    <n v="22"/>
    <n v="100"/>
    <n v="2200"/>
    <n v="2200"/>
    <n v="5"/>
    <s v="10/5/2003 0:00"/>
    <x v="0"/>
    <x v="3"/>
    <x v="4"/>
    <x v="0"/>
    <x v="1"/>
    <n v="132"/>
    <s v="S18_2870"/>
    <x v="85"/>
    <s v="+47 2212 1555"/>
    <s v="Drammensveien 126 A, PB 744 Sentrum"/>
    <s v=""/>
    <s v="Oslo"/>
    <s v=""/>
    <s v="N 0106"/>
    <x v="2"/>
    <s v="EMEA"/>
    <s v="Klaeboe"/>
    <s v="Jan"/>
    <s v="Jan, Klaeboe"/>
    <s v="Medium"/>
  </r>
  <r>
    <n v="10311"/>
    <n v="43"/>
    <n v="100"/>
    <n v="4300"/>
    <n v="4300"/>
    <n v="10"/>
    <s v="10/16/2004 0:00"/>
    <x v="0"/>
    <x v="3"/>
    <x v="4"/>
    <x v="1"/>
    <x v="1"/>
    <n v="132"/>
    <s v="S18_2870"/>
    <x v="23"/>
    <s v="(91) 555 94 44"/>
    <s v="C/ Moralzarzal, 86"/>
    <s v=""/>
    <s v="Madrid"/>
    <s v=""/>
    <s v="28034"/>
    <x v="7"/>
    <s v="EMEA"/>
    <s v="Freyre"/>
    <s v="Diego"/>
    <s v="Diego, Freyre"/>
    <s v="Medium"/>
  </r>
  <r>
    <n v="10321"/>
    <n v="27"/>
    <n v="100"/>
    <n v="2700"/>
    <n v="2700"/>
    <n v="7"/>
    <s v="11/4/2004 0:00"/>
    <x v="0"/>
    <x v="3"/>
    <x v="5"/>
    <x v="1"/>
    <x v="1"/>
    <n v="132"/>
    <s v="S18_2870"/>
    <x v="21"/>
    <s v="5085552555"/>
    <s v="1785 First Street"/>
    <s v=""/>
    <s v="New Bedford"/>
    <s v="MA"/>
    <s v="50553"/>
    <x v="0"/>
    <s v="NA"/>
    <s v="Benitez"/>
    <s v="Violeta"/>
    <s v="Violeta, Benitez"/>
    <s v="Small"/>
  </r>
  <r>
    <n v="10331"/>
    <n v="26"/>
    <n v="649"/>
    <n v="16874"/>
    <n v="16874"/>
    <n v="10"/>
    <s v="11/17/2004 0:00"/>
    <x v="0"/>
    <x v="3"/>
    <x v="5"/>
    <x v="1"/>
    <x v="1"/>
    <n v="132"/>
    <s v="S18_2870"/>
    <x v="45"/>
    <s v="2155559857"/>
    <s v="11328 Douglas Av."/>
    <s v=""/>
    <s v="Philadelphia"/>
    <s v="PA"/>
    <s v="71270"/>
    <x v="0"/>
    <s v="NA"/>
    <s v="Hernandez"/>
    <s v="Rosa"/>
    <s v="Rosa, Hernandez"/>
    <s v="Small"/>
  </r>
  <r>
    <n v="10343"/>
    <n v="25"/>
    <n v="5232"/>
    <n v="130800"/>
    <n v="130800"/>
    <n v="3"/>
    <s v="11/24/2004 0:00"/>
    <x v="0"/>
    <x v="3"/>
    <x v="5"/>
    <x v="1"/>
    <x v="1"/>
    <n v="132"/>
    <s v="S18_2870"/>
    <x v="1"/>
    <s v="26.47.1555"/>
    <s v="59 rue de l'Abbaye"/>
    <s v=""/>
    <s v="Reims"/>
    <s v=""/>
    <s v="51100"/>
    <x v="1"/>
    <s v="EMEA"/>
    <s v="Henriot"/>
    <s v="Paul"/>
    <s v="Paul, Henriot"/>
    <s v="Small"/>
  </r>
  <r>
    <n v="10366"/>
    <n v="49"/>
    <n v="100"/>
    <n v="4900"/>
    <n v="4900"/>
    <n v="2"/>
    <s v="1/10/2005 0:00"/>
    <x v="0"/>
    <x v="0"/>
    <x v="7"/>
    <x v="2"/>
    <x v="1"/>
    <n v="132"/>
    <s v="S18_2870"/>
    <x v="90"/>
    <s v="(071) 23 67 2555"/>
    <s v="Boulevard Tirou, 255"/>
    <s v=""/>
    <s v="Charleroi"/>
    <s v=""/>
    <s v="B-6000"/>
    <x v="14"/>
    <s v="EMEA"/>
    <s v="Cartrain"/>
    <s v="Pascale"/>
    <s v="Pascale, Cartrain"/>
    <s v="Medium"/>
  </r>
  <r>
    <n v="10379"/>
    <n v="29"/>
    <n v="100"/>
    <n v="2900"/>
    <n v="2900"/>
    <n v="5"/>
    <s v="2/10/2005 0:00"/>
    <x v="0"/>
    <x v="0"/>
    <x v="0"/>
    <x v="2"/>
    <x v="1"/>
    <n v="132"/>
    <s v="S18_2870"/>
    <x v="23"/>
    <s v="(91) 555 94 44"/>
    <s v="C/ Moralzarzal, 86"/>
    <s v=""/>
    <s v="Madrid"/>
    <s v=""/>
    <s v="28034"/>
    <x v="7"/>
    <s v="EMEA"/>
    <s v="Freyre"/>
    <s v="Diego"/>
    <s v="Diego, Freyre"/>
    <s v="Medium"/>
  </r>
  <r>
    <n v="10407"/>
    <n v="41"/>
    <n v="100"/>
    <n v="4100"/>
    <n v="0"/>
    <n v="12"/>
    <s v="4/22/2005 0:00"/>
    <x v="4"/>
    <x v="1"/>
    <x v="8"/>
    <x v="2"/>
    <x v="1"/>
    <n v="132"/>
    <s v="S18_2870"/>
    <x v="61"/>
    <s v="4085553659"/>
    <s v="3086 Ingle Ln."/>
    <s v=""/>
    <s v="San Jose"/>
    <s v="CA"/>
    <s v="94217"/>
    <x v="0"/>
    <s v="NA"/>
    <s v="Frick"/>
    <s v="Sue"/>
    <s v="Sue, Frick"/>
    <s v="Medium"/>
  </r>
  <r>
    <n v="10419"/>
    <n v="55"/>
    <n v="100"/>
    <n v="5500"/>
    <n v="5500"/>
    <n v="2"/>
    <s v="5/17/2005 0:00"/>
    <x v="0"/>
    <x v="1"/>
    <x v="1"/>
    <x v="2"/>
    <x v="1"/>
    <n v="132"/>
    <s v="S18_2870"/>
    <x v="19"/>
    <s v="6562-9555"/>
    <s v="Geislweg 14"/>
    <s v=""/>
    <s v="Salzburg"/>
    <s v=""/>
    <s v="5020"/>
    <x v="5"/>
    <s v="EMEA"/>
    <s v="Pipps"/>
    <s v="Georg"/>
    <s v="Georg, Pipps"/>
    <s v="Large"/>
  </r>
  <r>
    <n v="10103"/>
    <n v="27"/>
    <n v="8307"/>
    <n v="224289"/>
    <n v="224289"/>
    <n v="12"/>
    <s v="1/29/2003 0:00"/>
    <x v="0"/>
    <x v="0"/>
    <x v="7"/>
    <x v="0"/>
    <x v="3"/>
    <n v="101"/>
    <s v="S18_2949"/>
    <x v="17"/>
    <s v="07-98 9555"/>
    <s v="Erling Skakkes gate 78"/>
    <s v=""/>
    <s v="Stavern"/>
    <s v=""/>
    <s v="4110"/>
    <x v="2"/>
    <s v="EMEA"/>
    <s v="Bergulfsen"/>
    <s v="Jonas"/>
    <s v="Jonas, Bergulfsen"/>
    <s v="Small"/>
  </r>
  <r>
    <n v="10112"/>
    <n v="23"/>
    <n v="100"/>
    <n v="2300"/>
    <n v="2300"/>
    <n v="2"/>
    <s v="3/24/2003 0:00"/>
    <x v="0"/>
    <x v="0"/>
    <x v="11"/>
    <x v="0"/>
    <x v="3"/>
    <n v="101"/>
    <s v="S18_2949"/>
    <x v="24"/>
    <s v="0921-12 3555"/>
    <s v="Berguvsv„gen  8"/>
    <s v=""/>
    <s v="Lule"/>
    <s v=""/>
    <s v="S-958 22"/>
    <x v="8"/>
    <s v="EMEA"/>
    <s v="Berglund"/>
    <s v="Christina"/>
    <s v="Christina, Berglund"/>
    <s v="Small"/>
  </r>
  <r>
    <n v="10126"/>
    <n v="31"/>
    <n v="9017"/>
    <n v="279527"/>
    <n v="279527"/>
    <n v="12"/>
    <s v="5/28/2003 0:00"/>
    <x v="0"/>
    <x v="1"/>
    <x v="1"/>
    <x v="0"/>
    <x v="3"/>
    <n v="101"/>
    <s v="S18_2949"/>
    <x v="25"/>
    <s v="(91) 555 22 82"/>
    <s v="C/ Araquil, 67"/>
    <s v=""/>
    <s v="Madrid"/>
    <s v=""/>
    <s v="28023"/>
    <x v="7"/>
    <s v="EMEA"/>
    <s v="Sommer"/>
    <s v="Mart¡n"/>
    <s v="Mart¡n, Sommer"/>
    <s v="Small"/>
  </r>
  <r>
    <n v="10139"/>
    <n v="46"/>
    <n v="100"/>
    <n v="4600"/>
    <n v="4600"/>
    <n v="1"/>
    <s v="7/16/2003 0:00"/>
    <x v="0"/>
    <x v="2"/>
    <x v="2"/>
    <x v="0"/>
    <x v="3"/>
    <n v="101"/>
    <s v="S18_2949"/>
    <x v="20"/>
    <s v="+61 2 9495 8555"/>
    <s v="Monitor Money Building, 815 Pacific Hwy"/>
    <s v="Level 6"/>
    <s v="Chatswood"/>
    <s v="NSW"/>
    <s v="2067"/>
    <x v="3"/>
    <s v="APAC"/>
    <s v="Huxley"/>
    <s v="Adrian"/>
    <s v="Adrian, Huxley"/>
    <s v="Medium"/>
  </r>
  <r>
    <n v="10150"/>
    <n v="47"/>
    <n v="9118"/>
    <n v="428546"/>
    <n v="428546"/>
    <n v="9"/>
    <s v="9/19/2003 0:00"/>
    <x v="0"/>
    <x v="2"/>
    <x v="10"/>
    <x v="0"/>
    <x v="3"/>
    <n v="101"/>
    <s v="S18_2949"/>
    <x v="26"/>
    <s v="+65 221 7555"/>
    <s v="Bronz Sok., Bronz Apt. 3/6 Tesvikiye"/>
    <s v=""/>
    <s v="Singapore"/>
    <s v=""/>
    <s v="79903"/>
    <x v="9"/>
    <s v="Japan"/>
    <s v="Natividad"/>
    <s v="Eric"/>
    <s v="Eric, Natividad"/>
    <s v="Medium"/>
  </r>
  <r>
    <n v="10163"/>
    <n v="31"/>
    <n v="100"/>
    <n v="3100"/>
    <n v="3100"/>
    <n v="2"/>
    <s v="10/20/2003 0:00"/>
    <x v="0"/>
    <x v="3"/>
    <x v="4"/>
    <x v="0"/>
    <x v="3"/>
    <n v="101"/>
    <s v="S18_2949"/>
    <x v="27"/>
    <s v="2125558493"/>
    <s v="5905 Pompton St."/>
    <s v="Suite 750"/>
    <s v="NYC"/>
    <s v="NY"/>
    <s v="10022"/>
    <x v="0"/>
    <s v="NA"/>
    <s v="Hernandez"/>
    <s v="Maria"/>
    <s v="Maria, Hernandez"/>
    <s v="Medium"/>
  </r>
  <r>
    <n v="10174"/>
    <n v="46"/>
    <n v="100"/>
    <n v="4600"/>
    <n v="4600"/>
    <n v="5"/>
    <s v="11/6/2003 0:00"/>
    <x v="0"/>
    <x v="3"/>
    <x v="5"/>
    <x v="0"/>
    <x v="3"/>
    <n v="101"/>
    <s v="S18_2949"/>
    <x v="28"/>
    <s v="61-7-3844-6555"/>
    <s v="31 Duncan St. West End"/>
    <s v=""/>
    <s v="South Brisbane"/>
    <s v="Queensland"/>
    <s v="4101"/>
    <x v="3"/>
    <s v="APAC"/>
    <s v="Calaghan"/>
    <s v="Tony"/>
    <s v="Tony, Calaghan"/>
    <s v="Medium"/>
  </r>
  <r>
    <n v="10183"/>
    <n v="37"/>
    <n v="8915"/>
    <n v="329855"/>
    <n v="329855"/>
    <n v="9"/>
    <s v="11/13/2003 0:00"/>
    <x v="0"/>
    <x v="3"/>
    <x v="5"/>
    <x v="0"/>
    <x v="3"/>
    <n v="101"/>
    <s v="S18_2949"/>
    <x v="29"/>
    <s v="2155554695"/>
    <s v="782 First Street"/>
    <s v=""/>
    <s v="Philadelphia"/>
    <s v="PA"/>
    <s v="71270"/>
    <x v="0"/>
    <s v="NA"/>
    <s v="Cervantes"/>
    <s v="Francisca"/>
    <s v="Francisca, Cervantes"/>
    <s v="Medium"/>
  </r>
  <r>
    <n v="10193"/>
    <n v="28"/>
    <n v="9321"/>
    <n v="260988"/>
    <n v="260988"/>
    <n v="1"/>
    <s v="11/21/2003 0:00"/>
    <x v="0"/>
    <x v="3"/>
    <x v="5"/>
    <x v="0"/>
    <x v="3"/>
    <n v="101"/>
    <s v="S18_2949"/>
    <x v="87"/>
    <s v="61-9-3844-6555"/>
    <s v="7 Allen Street"/>
    <s v=""/>
    <s v="Glen Waverly"/>
    <s v="Victoria"/>
    <s v="3150"/>
    <x v="3"/>
    <s v="APAC"/>
    <s v="Connery"/>
    <s v="Sean"/>
    <s v="Sean, Connery"/>
    <s v="Small"/>
  </r>
  <r>
    <n v="10206"/>
    <n v="37"/>
    <n v="9017"/>
    <n v="333629"/>
    <n v="333629"/>
    <n v="7"/>
    <s v="12/5/2003 0:00"/>
    <x v="0"/>
    <x v="3"/>
    <x v="6"/>
    <x v="0"/>
    <x v="3"/>
    <n v="101"/>
    <s v="S18_2949"/>
    <x v="31"/>
    <s v="(604) 555-3392"/>
    <s v="1900 Oak St."/>
    <s v=""/>
    <s v="Vancouver"/>
    <s v="BC"/>
    <s v="V3F 2K1"/>
    <x v="10"/>
    <s v="NA"/>
    <s v="Tannamuri"/>
    <s v="Yoshi"/>
    <s v="Yoshi, Tannamuri"/>
    <s v="Medium"/>
  </r>
  <r>
    <n v="10215"/>
    <n v="49"/>
    <n v="100"/>
    <n v="4900"/>
    <n v="4900"/>
    <n v="4"/>
    <s v="1/29/2004 0:00"/>
    <x v="0"/>
    <x v="0"/>
    <x v="7"/>
    <x v="1"/>
    <x v="3"/>
    <n v="101"/>
    <s v="S18_2949"/>
    <x v="32"/>
    <s v="3105553722"/>
    <s v="3675 Furth Circle"/>
    <s v=""/>
    <s v="Burbank"/>
    <s v="CA"/>
    <s v="94019"/>
    <x v="0"/>
    <s v="NA"/>
    <s v="Thompson"/>
    <s v="Steve"/>
    <s v="Steve, Thompson"/>
    <s v="Medium"/>
  </r>
  <r>
    <n v="10228"/>
    <n v="24"/>
    <n v="100"/>
    <n v="2400"/>
    <n v="2400"/>
    <n v="3"/>
    <s v="3/10/2004 0:00"/>
    <x v="0"/>
    <x v="0"/>
    <x v="11"/>
    <x v="1"/>
    <x v="3"/>
    <n v="101"/>
    <s v="S18_2949"/>
    <x v="33"/>
    <s v="6175555555"/>
    <s v="4658 Baden Av."/>
    <s v=""/>
    <s v="Cambridge"/>
    <s v="MA"/>
    <s v="51247"/>
    <x v="0"/>
    <s v="NA"/>
    <s v="Tseng"/>
    <s v="Kyung"/>
    <s v="Kyung, Tseng"/>
    <s v="Small"/>
  </r>
  <r>
    <n v="10244"/>
    <n v="30"/>
    <n v="100"/>
    <n v="3000"/>
    <n v="3000"/>
    <n v="1"/>
    <s v="4/29/2004 0:00"/>
    <x v="0"/>
    <x v="1"/>
    <x v="8"/>
    <x v="1"/>
    <x v="3"/>
    <n v="101"/>
    <s v="S18_2949"/>
    <x v="23"/>
    <s v="(91) 555 94 44"/>
    <s v="C/ Moralzarzal, 86"/>
    <s v=""/>
    <s v="Madrid"/>
    <s v=""/>
    <s v="28034"/>
    <x v="7"/>
    <s v="EMEA"/>
    <s v="Freyre"/>
    <s v="Diego"/>
    <s v="Diego, Freyre"/>
    <s v="Medium"/>
  </r>
  <r>
    <n v="10257"/>
    <n v="50"/>
    <n v="8814"/>
    <n v="440700"/>
    <n v="440700"/>
    <n v="1"/>
    <s v="6/14/2004 0:00"/>
    <x v="0"/>
    <x v="1"/>
    <x v="9"/>
    <x v="1"/>
    <x v="3"/>
    <n v="101"/>
    <s v="S18_2949"/>
    <x v="61"/>
    <s v="4085553659"/>
    <s v="3086 Ingle Ln."/>
    <s v=""/>
    <s v="San Jose"/>
    <s v="CA"/>
    <s v="94217"/>
    <x v="0"/>
    <s v="NA"/>
    <s v="Frick"/>
    <s v="Sue"/>
    <s v="Sue, Frick"/>
    <s v="Medium"/>
  </r>
  <r>
    <n v="10270"/>
    <n v="31"/>
    <n v="9624"/>
    <n v="298344"/>
    <n v="298344"/>
    <n v="10"/>
    <s v="7/19/2004 0:00"/>
    <x v="0"/>
    <x v="2"/>
    <x v="2"/>
    <x v="1"/>
    <x v="3"/>
    <n v="101"/>
    <s v="S18_2949"/>
    <x v="20"/>
    <s v="+61 2 9495 8555"/>
    <s v="Monitor Money Building, 815 Pacific Hwy"/>
    <s v="Level 6"/>
    <s v="Chatswood"/>
    <s v="NSW"/>
    <s v="2067"/>
    <x v="3"/>
    <s v="APAC"/>
    <s v="Huxley"/>
    <s v="Adrian"/>
    <s v="Adrian, Huxley"/>
    <s v="Small"/>
  </r>
  <r>
    <n v="10280"/>
    <n v="46"/>
    <n v="100"/>
    <n v="4600"/>
    <n v="4600"/>
    <n v="3"/>
    <s v="8/17/2004 0:00"/>
    <x v="0"/>
    <x v="2"/>
    <x v="3"/>
    <x v="1"/>
    <x v="3"/>
    <n v="101"/>
    <s v="S18_2949"/>
    <x v="36"/>
    <s v="011-4988555"/>
    <s v="Via Monte Bianco 34"/>
    <s v=""/>
    <s v="Torino"/>
    <s v=""/>
    <s v="10100"/>
    <x v="12"/>
    <s v="EMEA"/>
    <s v="Accorti"/>
    <s v="Paolo"/>
    <s v="Paolo, Accorti"/>
    <s v="Medium"/>
  </r>
  <r>
    <n v="10291"/>
    <n v="47"/>
    <n v="100"/>
    <n v="4700"/>
    <n v="4700"/>
    <n v="12"/>
    <s v="9/8/2004 0:00"/>
    <x v="0"/>
    <x v="2"/>
    <x v="10"/>
    <x v="1"/>
    <x v="3"/>
    <n v="101"/>
    <s v="S18_2949"/>
    <x v="37"/>
    <s v="0695-34 6555"/>
    <s v="?kergatan 24"/>
    <s v=""/>
    <s v="Boras"/>
    <s v=""/>
    <s v="S-844 67"/>
    <x v="8"/>
    <s v="EMEA"/>
    <s v="Larsson"/>
    <s v="Maria"/>
    <s v="Maria, Larsson"/>
    <s v="Medium"/>
  </r>
  <r>
    <n v="10304"/>
    <n v="46"/>
    <n v="100"/>
    <n v="4600"/>
    <n v="4600"/>
    <n v="7"/>
    <s v="10/11/2004 0:00"/>
    <x v="0"/>
    <x v="3"/>
    <x v="4"/>
    <x v="1"/>
    <x v="3"/>
    <n v="101"/>
    <s v="S18_2949"/>
    <x v="38"/>
    <s v="30.59.8555"/>
    <s v="67, avenue de l'Europe"/>
    <s v=""/>
    <s v="Versailles"/>
    <s v=""/>
    <s v="78000"/>
    <x v="1"/>
    <s v="EMEA"/>
    <s v="Tonini"/>
    <s v="Daniel"/>
    <s v="Daniel, Tonini"/>
    <s v="Medium"/>
  </r>
  <r>
    <n v="10312"/>
    <n v="37"/>
    <n v="100"/>
    <n v="3700"/>
    <n v="3700"/>
    <n v="4"/>
    <s v="10/21/2004 0:00"/>
    <x v="0"/>
    <x v="3"/>
    <x v="4"/>
    <x v="1"/>
    <x v="3"/>
    <n v="101"/>
    <s v="S18_2949"/>
    <x v="39"/>
    <s v="4155551450"/>
    <s v="5677 Strong St."/>
    <s v=""/>
    <s v="San Rafael"/>
    <s v="CA"/>
    <s v="97562"/>
    <x v="0"/>
    <s v="NA"/>
    <s v="Nelson"/>
    <s v="Valarie"/>
    <s v="Valarie, Nelson"/>
    <s v="Medium"/>
  </r>
  <r>
    <n v="10322"/>
    <n v="33"/>
    <n v="100"/>
    <n v="3300"/>
    <n v="3300"/>
    <n v="12"/>
    <s v="11/4/2004 0:00"/>
    <x v="0"/>
    <x v="3"/>
    <x v="5"/>
    <x v="1"/>
    <x v="3"/>
    <n v="101"/>
    <s v="S18_2949"/>
    <x v="40"/>
    <s v="6035558647"/>
    <s v="2304 Long Airport Avenue"/>
    <s v=""/>
    <s v="Nashua"/>
    <s v="NH"/>
    <s v="62005"/>
    <x v="0"/>
    <s v="NA"/>
    <s v="Young"/>
    <s v="Valarie"/>
    <s v="Valarie, Young"/>
    <s v="Medium"/>
  </r>
  <r>
    <n v="10333"/>
    <n v="31"/>
    <n v="9017"/>
    <n v="279527"/>
    <n v="279527"/>
    <n v="5"/>
    <s v="11/18/2004 0:00"/>
    <x v="0"/>
    <x v="3"/>
    <x v="5"/>
    <x v="1"/>
    <x v="3"/>
    <n v="101"/>
    <s v="S18_2949"/>
    <x v="8"/>
    <s v="6505555787"/>
    <s v="5557 North Pendale Street"/>
    <s v=""/>
    <s v="San Francisco"/>
    <s v="CA"/>
    <s v=""/>
    <x v="0"/>
    <s v="NA"/>
    <s v="Murphy"/>
    <s v="Julie"/>
    <s v="Julie, Murphy"/>
    <s v="Small"/>
  </r>
  <r>
    <n v="10347"/>
    <n v="48"/>
    <n v="100"/>
    <n v="4800"/>
    <n v="4800"/>
    <n v="9"/>
    <s v="11/29/2004 0:00"/>
    <x v="0"/>
    <x v="3"/>
    <x v="5"/>
    <x v="1"/>
    <x v="3"/>
    <n v="101"/>
    <s v="S18_2949"/>
    <x v="10"/>
    <s v="03 9520 4555"/>
    <s v="636 St Kilda Road"/>
    <s v="Level 3"/>
    <s v="Melbourne"/>
    <s v="Victoria"/>
    <s v="3004"/>
    <x v="3"/>
    <s v="APAC"/>
    <s v="Ferguson"/>
    <s v="Peter"/>
    <s v="Peter, Ferguson"/>
    <s v="Medium"/>
  </r>
  <r>
    <n v="10357"/>
    <n v="41"/>
    <n v="8713"/>
    <n v="357233"/>
    <n v="357233"/>
    <n v="6"/>
    <s v="12/10/2004 0:00"/>
    <x v="0"/>
    <x v="3"/>
    <x v="6"/>
    <x v="1"/>
    <x v="3"/>
    <n v="101"/>
    <s v="S18_2949"/>
    <x v="39"/>
    <s v="4155551450"/>
    <s v="5677 Strong St."/>
    <s v=""/>
    <s v="San Rafael"/>
    <s v="CA"/>
    <s v="97562"/>
    <x v="0"/>
    <s v="NA"/>
    <s v="Nelson"/>
    <s v="Valarie"/>
    <s v="Valarie, Nelson"/>
    <s v="Medium"/>
  </r>
  <r>
    <n v="10369"/>
    <n v="42"/>
    <n v="100"/>
    <n v="4200"/>
    <n v="4200"/>
    <n v="1"/>
    <s v="1/20/2005 0:00"/>
    <x v="0"/>
    <x v="0"/>
    <x v="7"/>
    <x v="2"/>
    <x v="3"/>
    <n v="101"/>
    <s v="S18_2949"/>
    <x v="41"/>
    <s v="6175558555"/>
    <s v="7825 Douglas Av."/>
    <s v=""/>
    <s v="Brickhaven"/>
    <s v="MA"/>
    <s v="58339"/>
    <x v="0"/>
    <s v="NA"/>
    <s v="Nelson"/>
    <s v="Allen"/>
    <s v="Allen, Nelson"/>
    <s v="Medium"/>
  </r>
  <r>
    <n v="10381"/>
    <n v="41"/>
    <n v="100"/>
    <n v="4100"/>
    <n v="4100"/>
    <n v="8"/>
    <s v="2/17/2005 0:00"/>
    <x v="0"/>
    <x v="0"/>
    <x v="0"/>
    <x v="2"/>
    <x v="3"/>
    <n v="101"/>
    <s v="S18_2949"/>
    <x v="4"/>
    <s v="6505551386"/>
    <s v="7734 Strong St."/>
    <s v=""/>
    <s v="San Francisco"/>
    <s v="CA"/>
    <s v=""/>
    <x v="0"/>
    <s v="NA"/>
    <s v="Brown"/>
    <s v="Julie"/>
    <s v="Julie, Brown"/>
    <s v="Medium"/>
  </r>
  <r>
    <n v="10391"/>
    <n v="32"/>
    <n v="4525"/>
    <n v="144800"/>
    <n v="144800"/>
    <n v="6"/>
    <s v="3/9/2005 0:00"/>
    <x v="0"/>
    <x v="0"/>
    <x v="11"/>
    <x v="2"/>
    <x v="3"/>
    <n v="101"/>
    <s v="S18_2949"/>
    <x v="42"/>
    <s v="02 9936 8555"/>
    <s v="201 Miller Street"/>
    <s v="Level 15"/>
    <s v="North Sydney"/>
    <s v="NSW"/>
    <s v="2060"/>
    <x v="3"/>
    <s v="APAC"/>
    <s v="O'Hara"/>
    <s v="Anna"/>
    <s v="Anna, O'Hara"/>
    <s v="Small"/>
  </r>
  <r>
    <n v="10423"/>
    <n v="10"/>
    <n v="8814"/>
    <n v="88140"/>
    <n v="0"/>
    <n v="1"/>
    <s v="5/30/2005 0:00"/>
    <x v="2"/>
    <x v="1"/>
    <x v="1"/>
    <x v="2"/>
    <x v="3"/>
    <n v="101"/>
    <s v="S18_2949"/>
    <x v="56"/>
    <s v="(02) 5554 67"/>
    <s v="Rue Joseph-Bens 532"/>
    <s v=""/>
    <s v="Bruxelles"/>
    <s v=""/>
    <s v="B-1180"/>
    <x v="14"/>
    <s v="EMEA"/>
    <s v="Dewey"/>
    <s v="Catherine"/>
    <s v="Catherine, Dewey"/>
    <s v="Small"/>
  </r>
  <r>
    <n v="10103"/>
    <n v="35"/>
    <n v="5746"/>
    <n v="201110"/>
    <n v="201110"/>
    <n v="14"/>
    <s v="1/29/2003 0:00"/>
    <x v="0"/>
    <x v="0"/>
    <x v="7"/>
    <x v="0"/>
    <x v="3"/>
    <n v="62"/>
    <s v="S18_2957"/>
    <x v="17"/>
    <s v="07-98 9555"/>
    <s v="Erling Skakkes gate 78"/>
    <s v=""/>
    <s v="Stavern"/>
    <s v=""/>
    <s v="4110"/>
    <x v="2"/>
    <s v="EMEA"/>
    <s v="Bergulfsen"/>
    <s v="Jonas"/>
    <s v="Jonas, Bergulfsen"/>
    <s v="Small"/>
  </r>
  <r>
    <n v="10111"/>
    <n v="28"/>
    <n v="6433"/>
    <n v="180124"/>
    <n v="180124"/>
    <n v="2"/>
    <s v="3/25/2003 0:00"/>
    <x v="0"/>
    <x v="0"/>
    <x v="11"/>
    <x v="0"/>
    <x v="3"/>
    <n v="62"/>
    <s v="S18_2957"/>
    <x v="8"/>
    <s v="6505555787"/>
    <s v="5557 North Pendale Street"/>
    <s v=""/>
    <s v="San Francisco"/>
    <s v="CA"/>
    <s v=""/>
    <x v="0"/>
    <s v="NA"/>
    <s v="Murphy"/>
    <s v="Julie"/>
    <s v="Julie, Murphy"/>
    <s v="Small"/>
  </r>
  <r>
    <n v="10126"/>
    <n v="46"/>
    <n v="737"/>
    <n v="33902"/>
    <n v="33902"/>
    <n v="14"/>
    <s v="5/28/2003 0:00"/>
    <x v="0"/>
    <x v="1"/>
    <x v="1"/>
    <x v="0"/>
    <x v="3"/>
    <n v="62"/>
    <s v="S18_2957"/>
    <x v="25"/>
    <s v="(91) 555 22 82"/>
    <s v="C/ Araquil, 67"/>
    <s v=""/>
    <s v="Madrid"/>
    <s v=""/>
    <s v="28023"/>
    <x v="7"/>
    <s v="EMEA"/>
    <s v="Sommer"/>
    <s v="Mart¡n"/>
    <s v="Mart¡n, Sommer"/>
    <s v="Medium"/>
  </r>
  <r>
    <n v="10139"/>
    <n v="20"/>
    <n v="712"/>
    <n v="14240"/>
    <n v="14240"/>
    <n v="3"/>
    <s v="7/16/2003 0:00"/>
    <x v="0"/>
    <x v="2"/>
    <x v="2"/>
    <x v="0"/>
    <x v="3"/>
    <n v="62"/>
    <s v="S18_2957"/>
    <x v="20"/>
    <s v="+61 2 9495 8555"/>
    <s v="Monitor Money Building, 815 Pacific Hwy"/>
    <s v="Level 6"/>
    <s v="Chatswood"/>
    <s v="NSW"/>
    <s v="2067"/>
    <x v="3"/>
    <s v="APAC"/>
    <s v="Huxley"/>
    <s v="Adrian"/>
    <s v="Adrian, Huxley"/>
    <s v="Small"/>
  </r>
  <r>
    <n v="10150"/>
    <n v="30"/>
    <n v="4997"/>
    <n v="149910"/>
    <n v="149910"/>
    <n v="11"/>
    <s v="9/19/2003 0:00"/>
    <x v="0"/>
    <x v="2"/>
    <x v="10"/>
    <x v="0"/>
    <x v="3"/>
    <n v="62"/>
    <s v="S18_2957"/>
    <x v="26"/>
    <s v="+65 221 7555"/>
    <s v="Bronz Sok., Bronz Apt. 3/6 Tesvikiye"/>
    <s v=""/>
    <s v="Singapore"/>
    <s v=""/>
    <s v="79903"/>
    <x v="9"/>
    <s v="Japan"/>
    <s v="Natividad"/>
    <s v="Eric"/>
    <s v="Eric, Natividad"/>
    <s v="Small"/>
  </r>
  <r>
    <n v="10163"/>
    <n v="48"/>
    <n v="6996"/>
    <n v="335808"/>
    <n v="335808"/>
    <n v="4"/>
    <s v="10/20/2003 0:00"/>
    <x v="0"/>
    <x v="3"/>
    <x v="4"/>
    <x v="0"/>
    <x v="3"/>
    <n v="62"/>
    <s v="S18_2957"/>
    <x v="27"/>
    <s v="2125558493"/>
    <s v="5905 Pompton St."/>
    <s v="Suite 750"/>
    <s v="NYC"/>
    <s v="NY"/>
    <s v="10022"/>
    <x v="0"/>
    <s v="NA"/>
    <s v="Hernandez"/>
    <s v="Maria"/>
    <s v="Maria, Hernandez"/>
    <s v="Medium"/>
  </r>
  <r>
    <n v="10173"/>
    <n v="28"/>
    <n v="5372"/>
    <n v="150416"/>
    <n v="150416"/>
    <n v="2"/>
    <s v="11/5/2003 0:00"/>
    <x v="0"/>
    <x v="3"/>
    <x v="5"/>
    <x v="0"/>
    <x v="3"/>
    <n v="62"/>
    <s v="S18_2957"/>
    <x v="86"/>
    <s v="035-640555"/>
    <s v="Via Ludovico il Moro 22"/>
    <s v=""/>
    <s v="Bergamo"/>
    <s v=""/>
    <s v="24100"/>
    <x v="12"/>
    <s v="EMEA"/>
    <s v="Rovelli"/>
    <s v="Giovanni"/>
    <s v="Giovanni, Rovelli"/>
    <s v="Small"/>
  </r>
  <r>
    <n v="10183"/>
    <n v="39"/>
    <n v="6808"/>
    <n v="265512"/>
    <n v="265512"/>
    <n v="11"/>
    <s v="11/13/2003 0:00"/>
    <x v="0"/>
    <x v="3"/>
    <x v="5"/>
    <x v="0"/>
    <x v="3"/>
    <n v="62"/>
    <s v="S18_2957"/>
    <x v="29"/>
    <s v="2155554695"/>
    <s v="782 First Street"/>
    <s v=""/>
    <s v="Philadelphia"/>
    <s v="PA"/>
    <s v="71270"/>
    <x v="0"/>
    <s v="NA"/>
    <s v="Cervantes"/>
    <s v="Francisca"/>
    <s v="Francisca, Cervantes"/>
    <s v="Small"/>
  </r>
  <r>
    <n v="10193"/>
    <n v="24"/>
    <n v="5184"/>
    <n v="124416"/>
    <n v="124416"/>
    <n v="3"/>
    <s v="11/21/2003 0:00"/>
    <x v="0"/>
    <x v="3"/>
    <x v="5"/>
    <x v="0"/>
    <x v="3"/>
    <n v="62"/>
    <s v="S18_2957"/>
    <x v="87"/>
    <s v="61-9-3844-6555"/>
    <s v="7 Allen Street"/>
    <s v=""/>
    <s v="Glen Waverly"/>
    <s v="Victoria"/>
    <s v="3150"/>
    <x v="3"/>
    <s v="APAC"/>
    <s v="Connery"/>
    <s v="Sean"/>
    <s v="Sean, Connery"/>
    <s v="Small"/>
  </r>
  <r>
    <n v="10206"/>
    <n v="28"/>
    <n v="6746"/>
    <n v="188888"/>
    <n v="188888"/>
    <n v="9"/>
    <s v="12/5/2003 0:00"/>
    <x v="0"/>
    <x v="3"/>
    <x v="6"/>
    <x v="0"/>
    <x v="3"/>
    <n v="62"/>
    <s v="S18_2957"/>
    <x v="31"/>
    <s v="(604) 555-3392"/>
    <s v="1900 Oak St."/>
    <s v=""/>
    <s v="Vancouver"/>
    <s v="BC"/>
    <s v="V3F 2K1"/>
    <x v="10"/>
    <s v="NA"/>
    <s v="Tannamuri"/>
    <s v="Yoshi"/>
    <s v="Yoshi, Tannamuri"/>
    <s v="Small"/>
  </r>
  <r>
    <n v="10215"/>
    <n v="31"/>
    <n v="5871"/>
    <n v="182001"/>
    <n v="182001"/>
    <n v="6"/>
    <s v="1/29/2004 0:00"/>
    <x v="0"/>
    <x v="0"/>
    <x v="7"/>
    <x v="1"/>
    <x v="3"/>
    <n v="62"/>
    <s v="S18_2957"/>
    <x v="32"/>
    <s v="3105553722"/>
    <s v="3675 Furth Circle"/>
    <s v=""/>
    <s v="Burbank"/>
    <s v="CA"/>
    <s v="94019"/>
    <x v="0"/>
    <s v="NA"/>
    <s v="Thompson"/>
    <s v="Steve"/>
    <s v="Steve, Thompson"/>
    <s v="Small"/>
  </r>
  <r>
    <n v="10228"/>
    <n v="45"/>
    <n v="6371"/>
    <n v="286695"/>
    <n v="286695"/>
    <n v="5"/>
    <s v="3/10/2004 0:00"/>
    <x v="0"/>
    <x v="0"/>
    <x v="11"/>
    <x v="1"/>
    <x v="3"/>
    <n v="62"/>
    <s v="S18_2957"/>
    <x v="33"/>
    <s v="6175555555"/>
    <s v="4658 Baden Av."/>
    <s v=""/>
    <s v="Cambridge"/>
    <s v="MA"/>
    <s v="51247"/>
    <x v="0"/>
    <s v="NA"/>
    <s v="Tseng"/>
    <s v="Kyung"/>
    <s v="Kyung, Tseng"/>
    <s v="Small"/>
  </r>
  <r>
    <n v="10244"/>
    <n v="24"/>
    <n v="5809"/>
    <n v="139416"/>
    <n v="139416"/>
    <n v="3"/>
    <s v="4/29/2004 0:00"/>
    <x v="0"/>
    <x v="1"/>
    <x v="8"/>
    <x v="1"/>
    <x v="3"/>
    <n v="62"/>
    <s v="S18_2957"/>
    <x v="23"/>
    <s v="(91) 555 94 44"/>
    <s v="C/ Moralzarzal, 86"/>
    <s v=""/>
    <s v="Madrid"/>
    <s v=""/>
    <s v="28034"/>
    <x v="7"/>
    <s v="EMEA"/>
    <s v="Freyre"/>
    <s v="Diego"/>
    <s v="Diego, Freyre"/>
    <s v="Small"/>
  </r>
  <r>
    <n v="10257"/>
    <n v="49"/>
    <n v="5372"/>
    <n v="263228"/>
    <n v="263228"/>
    <n v="3"/>
    <s v="6/14/2004 0:00"/>
    <x v="0"/>
    <x v="1"/>
    <x v="9"/>
    <x v="1"/>
    <x v="3"/>
    <n v="62"/>
    <s v="S18_2957"/>
    <x v="61"/>
    <s v="4085553659"/>
    <s v="3086 Ingle Ln."/>
    <s v=""/>
    <s v="San Jose"/>
    <s v="CA"/>
    <s v="94217"/>
    <x v="0"/>
    <s v="NA"/>
    <s v="Frick"/>
    <s v="Sue"/>
    <s v="Sue, Frick"/>
    <s v="Small"/>
  </r>
  <r>
    <n v="10269"/>
    <n v="32"/>
    <n v="6308"/>
    <n v="201856"/>
    <n v="201856"/>
    <n v="1"/>
    <s v="7/16/2004 0:00"/>
    <x v="0"/>
    <x v="2"/>
    <x v="2"/>
    <x v="1"/>
    <x v="3"/>
    <n v="62"/>
    <s v="S18_2957"/>
    <x v="19"/>
    <s v="6562-9555"/>
    <s v="Geislweg 14"/>
    <s v=""/>
    <s v="Salzburg"/>
    <s v=""/>
    <s v="5020"/>
    <x v="5"/>
    <s v="EMEA"/>
    <s v="Pipps"/>
    <s v="Georg"/>
    <s v="Georg, Pipps"/>
    <s v="Small"/>
  </r>
  <r>
    <n v="10280"/>
    <n v="43"/>
    <n v="6871"/>
    <n v="295453"/>
    <n v="295453"/>
    <n v="5"/>
    <s v="8/17/2004 0:00"/>
    <x v="0"/>
    <x v="2"/>
    <x v="3"/>
    <x v="1"/>
    <x v="3"/>
    <n v="62"/>
    <s v="S18_2957"/>
    <x v="36"/>
    <s v="011-4988555"/>
    <s v="Via Monte Bianco 34"/>
    <s v=""/>
    <s v="Torino"/>
    <s v=""/>
    <s v="10100"/>
    <x v="12"/>
    <s v="EMEA"/>
    <s v="Accorti"/>
    <s v="Paolo"/>
    <s v="Paolo, Accorti"/>
    <s v="Small"/>
  </r>
  <r>
    <n v="10291"/>
    <n v="37"/>
    <n v="5059"/>
    <n v="187183"/>
    <n v="187183"/>
    <n v="14"/>
    <s v="9/8/2004 0:00"/>
    <x v="0"/>
    <x v="2"/>
    <x v="10"/>
    <x v="1"/>
    <x v="3"/>
    <n v="62"/>
    <s v="S18_2957"/>
    <x v="37"/>
    <s v="0695-34 6555"/>
    <s v="?kergatan 24"/>
    <s v=""/>
    <s v="Boras"/>
    <s v=""/>
    <s v="S-844 67"/>
    <x v="8"/>
    <s v="EMEA"/>
    <s v="Larsson"/>
    <s v="Maria"/>
    <s v="Maria, Larsson"/>
    <s v="Small"/>
  </r>
  <r>
    <n v="10304"/>
    <n v="24"/>
    <n v="6496"/>
    <n v="155904"/>
    <n v="155904"/>
    <n v="9"/>
    <s v="10/11/2004 0:00"/>
    <x v="0"/>
    <x v="3"/>
    <x v="4"/>
    <x v="1"/>
    <x v="3"/>
    <n v="62"/>
    <s v="S18_2957"/>
    <x v="38"/>
    <s v="30.59.8555"/>
    <s v="67, avenue de l'Europe"/>
    <s v=""/>
    <s v="Versailles"/>
    <s v=""/>
    <s v="78000"/>
    <x v="1"/>
    <s v="EMEA"/>
    <s v="Tonini"/>
    <s v="Daniel"/>
    <s v="Daniel, Tonini"/>
    <s v="Small"/>
  </r>
  <r>
    <n v="10312"/>
    <n v="35"/>
    <n v="5372"/>
    <n v="188020"/>
    <n v="188020"/>
    <n v="6"/>
    <s v="10/21/2004 0:00"/>
    <x v="0"/>
    <x v="3"/>
    <x v="4"/>
    <x v="1"/>
    <x v="3"/>
    <n v="62"/>
    <s v="S18_2957"/>
    <x v="39"/>
    <s v="4155551450"/>
    <s v="5677 Strong St."/>
    <s v=""/>
    <s v="San Rafael"/>
    <s v="CA"/>
    <s v="97562"/>
    <x v="0"/>
    <s v="NA"/>
    <s v="Nelson"/>
    <s v="Valarie"/>
    <s v="Valarie, Nelson"/>
    <s v="Small"/>
  </r>
  <r>
    <n v="10322"/>
    <n v="41"/>
    <n v="2987"/>
    <n v="122467"/>
    <n v="122467"/>
    <n v="13"/>
    <s v="11/4/2004 0:00"/>
    <x v="0"/>
    <x v="3"/>
    <x v="5"/>
    <x v="1"/>
    <x v="3"/>
    <n v="62"/>
    <s v="S18_2957"/>
    <x v="40"/>
    <s v="6035558647"/>
    <s v="2304 Long Airport Avenue"/>
    <s v=""/>
    <s v="Nashua"/>
    <s v="NH"/>
    <s v="62005"/>
    <x v="0"/>
    <s v="NA"/>
    <s v="Young"/>
    <s v="Valarie"/>
    <s v="Valarie, Young"/>
    <s v="Small"/>
  </r>
  <r>
    <n v="10332"/>
    <n v="26"/>
    <n v="100"/>
    <n v="2600"/>
    <n v="2600"/>
    <n v="17"/>
    <s v="11/17/2004 0:00"/>
    <x v="0"/>
    <x v="3"/>
    <x v="5"/>
    <x v="1"/>
    <x v="3"/>
    <n v="62"/>
    <s v="S18_2957"/>
    <x v="77"/>
    <s v="(171) 555-1555"/>
    <s v="Fauntleroy Circus"/>
    <s v=""/>
    <s v="Manchester"/>
    <s v=""/>
    <s v="EC2 5NT"/>
    <x v="6"/>
    <s v="EMEA"/>
    <s v="Ashworth"/>
    <s v="Victoria"/>
    <s v="Victoria, Ashworth"/>
    <s v="Small"/>
  </r>
  <r>
    <n v="10347"/>
    <n v="34"/>
    <n v="6496"/>
    <n v="220864"/>
    <n v="220864"/>
    <n v="10"/>
    <s v="11/29/2004 0:00"/>
    <x v="0"/>
    <x v="3"/>
    <x v="5"/>
    <x v="1"/>
    <x v="3"/>
    <n v="62"/>
    <s v="S18_2957"/>
    <x v="10"/>
    <s v="03 9520 4555"/>
    <s v="636 St Kilda Road"/>
    <s v="Level 3"/>
    <s v="Melbourne"/>
    <s v="Victoria"/>
    <s v="3004"/>
    <x v="3"/>
    <s v="APAC"/>
    <s v="Ferguson"/>
    <s v="Peter"/>
    <s v="Peter, Ferguson"/>
    <s v="Small"/>
  </r>
  <r>
    <n v="10357"/>
    <n v="49"/>
    <n v="7058"/>
    <n v="345842"/>
    <n v="345842"/>
    <n v="5"/>
    <s v="12/10/2004 0:00"/>
    <x v="0"/>
    <x v="3"/>
    <x v="6"/>
    <x v="1"/>
    <x v="3"/>
    <n v="62"/>
    <s v="S18_2957"/>
    <x v="39"/>
    <s v="4155551450"/>
    <s v="5677 Strong St."/>
    <s v=""/>
    <s v="San Rafael"/>
    <s v="CA"/>
    <s v="97562"/>
    <x v="0"/>
    <s v="NA"/>
    <s v="Nelson"/>
    <s v="Valarie"/>
    <s v="Valarie, Nelson"/>
    <s v="Medium"/>
  </r>
  <r>
    <n v="10369"/>
    <n v="28"/>
    <n v="4421"/>
    <n v="123788"/>
    <n v="123788"/>
    <n v="6"/>
    <s v="1/20/2005 0:00"/>
    <x v="0"/>
    <x v="0"/>
    <x v="7"/>
    <x v="2"/>
    <x v="3"/>
    <n v="62"/>
    <s v="S18_2957"/>
    <x v="41"/>
    <s v="6175558555"/>
    <s v="7825 Douglas Av."/>
    <s v=""/>
    <s v="Brickhaven"/>
    <s v="MA"/>
    <s v="58339"/>
    <x v="0"/>
    <s v="NA"/>
    <s v="Nelson"/>
    <s v="Allen"/>
    <s v="Allen, Nelson"/>
    <s v="Small"/>
  </r>
  <r>
    <n v="10381"/>
    <n v="40"/>
    <n v="6808"/>
    <n v="272320"/>
    <n v="272320"/>
    <n v="4"/>
    <s v="2/17/2005 0:00"/>
    <x v="0"/>
    <x v="0"/>
    <x v="0"/>
    <x v="2"/>
    <x v="3"/>
    <n v="62"/>
    <s v="S18_2957"/>
    <x v="4"/>
    <s v="6505551386"/>
    <s v="7734 Strong St."/>
    <s v=""/>
    <s v="San Francisco"/>
    <s v="CA"/>
    <s v=""/>
    <x v="0"/>
    <s v="NA"/>
    <s v="Brown"/>
    <s v="Julie"/>
    <s v="Julie, Brown"/>
    <s v="Small"/>
  </r>
  <r>
    <n v="10392"/>
    <n v="37"/>
    <n v="5996"/>
    <n v="221852"/>
    <n v="221852"/>
    <n v="3"/>
    <s v="3/10/2005 0:00"/>
    <x v="0"/>
    <x v="0"/>
    <x v="11"/>
    <x v="2"/>
    <x v="3"/>
    <n v="62"/>
    <s v="S18_2957"/>
    <x v="63"/>
    <s v="7675-3555"/>
    <s v="Kirchgasse 6"/>
    <s v=""/>
    <s v="Graz"/>
    <s v=""/>
    <s v="8010"/>
    <x v="5"/>
    <s v="EMEA"/>
    <s v="Mendel"/>
    <s v="Roland"/>
    <s v="Roland, Mendel"/>
    <s v="Small"/>
  </r>
  <r>
    <n v="10423"/>
    <n v="31"/>
    <n v="5372"/>
    <n v="166532"/>
    <n v="0"/>
    <n v="3"/>
    <s v="5/30/2005 0:00"/>
    <x v="2"/>
    <x v="1"/>
    <x v="1"/>
    <x v="2"/>
    <x v="3"/>
    <n v="62"/>
    <s v="S18_2957"/>
    <x v="56"/>
    <s v="(02) 5554 67"/>
    <s v="Rue Joseph-Bens 532"/>
    <s v=""/>
    <s v="Bruxelles"/>
    <s v=""/>
    <s v="B-1180"/>
    <x v="14"/>
    <s v="EMEA"/>
    <s v="Dewey"/>
    <s v="Catherine"/>
    <s v="Catherine, Dewey"/>
    <s v="Small"/>
  </r>
  <r>
    <n v="10106"/>
    <n v="41"/>
    <n v="8344"/>
    <n v="342104"/>
    <n v="342104"/>
    <n v="18"/>
    <s v="2/17/2003 0:00"/>
    <x v="0"/>
    <x v="0"/>
    <x v="0"/>
    <x v="0"/>
    <x v="5"/>
    <n v="86"/>
    <s v="S18_3029"/>
    <x v="86"/>
    <s v="035-640555"/>
    <s v="Via Ludovico il Moro 22"/>
    <s v=""/>
    <s v="Bergamo"/>
    <s v=""/>
    <s v="24100"/>
    <x v="12"/>
    <s v="EMEA"/>
    <s v="Rovelli"/>
    <s v="Giovanni"/>
    <s v="Giovanni, Rovelli"/>
    <s v="Medium"/>
  </r>
  <r>
    <n v="10119"/>
    <n v="21"/>
    <n v="8946"/>
    <n v="187866"/>
    <n v="187866"/>
    <n v="9"/>
    <s v="4/28/2003 0:00"/>
    <x v="0"/>
    <x v="1"/>
    <x v="8"/>
    <x v="0"/>
    <x v="5"/>
    <n v="86"/>
    <s v="S18_3029"/>
    <x v="19"/>
    <s v="6562-9555"/>
    <s v="Geislweg 14"/>
    <s v=""/>
    <s v="Salzburg"/>
    <s v=""/>
    <s v="5020"/>
    <x v="5"/>
    <s v="EMEA"/>
    <s v="Pipps"/>
    <s v="Georg"/>
    <s v="Georg, Pipps"/>
    <s v="Small"/>
  </r>
  <r>
    <n v="10130"/>
    <n v="40"/>
    <n v="9634"/>
    <n v="385360"/>
    <n v="385360"/>
    <n v="2"/>
    <s v="6/16/2003 0:00"/>
    <x v="0"/>
    <x v="1"/>
    <x v="9"/>
    <x v="0"/>
    <x v="5"/>
    <n v="86"/>
    <s v="S18_3029"/>
    <x v="91"/>
    <s v="6175558428"/>
    <s v="16780 Pompton St."/>
    <s v=""/>
    <s v="Brickhaven"/>
    <s v="MA"/>
    <s v="58339"/>
    <x v="0"/>
    <s v="NA"/>
    <s v="Taylor"/>
    <s v="Leslie"/>
    <s v="Leslie, Taylor"/>
    <s v="Medium"/>
  </r>
  <r>
    <n v="10143"/>
    <n v="46"/>
    <n v="7484"/>
    <n v="344264"/>
    <n v="344264"/>
    <n v="13"/>
    <s v="8/10/2003 0:00"/>
    <x v="0"/>
    <x v="2"/>
    <x v="3"/>
    <x v="0"/>
    <x v="5"/>
    <n v="86"/>
    <s v="S18_3029"/>
    <x v="50"/>
    <s v="5085559555"/>
    <s v="4575 Hillside Dr."/>
    <s v=""/>
    <s v="New Bedford"/>
    <s v="MA"/>
    <s v="50553"/>
    <x v="0"/>
    <s v="NA"/>
    <s v="Tam"/>
    <s v="Wing C"/>
    <s v="Wing C, Tam"/>
    <s v="Medium"/>
  </r>
  <r>
    <n v="10155"/>
    <n v="44"/>
    <n v="7914"/>
    <n v="348216"/>
    <n v="348216"/>
    <n v="11"/>
    <s v="10/6/2003 0:00"/>
    <x v="0"/>
    <x v="3"/>
    <x v="4"/>
    <x v="0"/>
    <x v="5"/>
    <n v="86"/>
    <s v="S18_3029"/>
    <x v="16"/>
    <s v="90-224 8555"/>
    <s v="Keskuskatu 45"/>
    <s v=""/>
    <s v="Helsinki"/>
    <s v=""/>
    <s v="21240"/>
    <x v="4"/>
    <s v="EMEA"/>
    <s v="Karttunen"/>
    <s v="Matti"/>
    <s v="Matti, Karttunen"/>
    <s v="Medium"/>
  </r>
  <r>
    <n v="10167"/>
    <n v="46"/>
    <n v="7312"/>
    <n v="336352"/>
    <n v="0"/>
    <n v="7"/>
    <s v="10/23/2003 0:00"/>
    <x v="3"/>
    <x v="3"/>
    <x v="4"/>
    <x v="0"/>
    <x v="5"/>
    <n v="86"/>
    <s v="S18_3029"/>
    <x v="37"/>
    <s v="0695-34 6555"/>
    <s v="?kergatan 24"/>
    <s v=""/>
    <s v="Boras"/>
    <s v=""/>
    <s v="S-844 67"/>
    <x v="8"/>
    <s v="EMEA"/>
    <s v="Larsson"/>
    <s v="Maria"/>
    <s v="Maria, Larsson"/>
    <s v="Medium"/>
  </r>
  <r>
    <n v="10178"/>
    <n v="41"/>
    <n v="8172"/>
    <n v="335052"/>
    <n v="335052"/>
    <n v="10"/>
    <s v="11/8/2003 0:00"/>
    <x v="0"/>
    <x v="3"/>
    <x v="5"/>
    <x v="0"/>
    <x v="5"/>
    <n v="86"/>
    <s v="S18_3029"/>
    <x v="51"/>
    <s v="61.77.6555"/>
    <s v="1 rue Alsace-Lorraine"/>
    <s v=""/>
    <s v="Toulouse"/>
    <s v=""/>
    <s v="31000"/>
    <x v="1"/>
    <s v="EMEA"/>
    <s v="Roulet"/>
    <s v="Annette"/>
    <s v="Annette, Roulet"/>
    <s v="Medium"/>
  </r>
  <r>
    <n v="10186"/>
    <n v="32"/>
    <n v="8946"/>
    <n v="286272"/>
    <n v="286272"/>
    <n v="7"/>
    <s v="11/14/2003 0:00"/>
    <x v="0"/>
    <x v="3"/>
    <x v="5"/>
    <x v="0"/>
    <x v="5"/>
    <n v="86"/>
    <s v="S18_3029"/>
    <x v="52"/>
    <s v="(171) 555-7555"/>
    <s v="120 Hanover Sq."/>
    <s v=""/>
    <s v="London"/>
    <s v=""/>
    <s v="WA1 1DP"/>
    <x v="6"/>
    <s v="EMEA"/>
    <s v="Hardy"/>
    <s v="Thomas"/>
    <s v="Thomas, Hardy"/>
    <s v="Small"/>
  </r>
  <r>
    <n v="10197"/>
    <n v="46"/>
    <n v="8774"/>
    <n v="403604"/>
    <n v="403604"/>
    <n v="4"/>
    <s v="11/26/2003 0:00"/>
    <x v="0"/>
    <x v="3"/>
    <x v="5"/>
    <x v="0"/>
    <x v="5"/>
    <n v="86"/>
    <s v="S18_3029"/>
    <x v="53"/>
    <s v="(93) 203 4555"/>
    <s v="Rambla de Catalu¤a, 23"/>
    <s v=""/>
    <s v="Barcelona"/>
    <s v=""/>
    <s v="8022"/>
    <x v="7"/>
    <s v="EMEA"/>
    <s v="Saavedra"/>
    <s v="Eduardo"/>
    <s v="Eduardo, Saavedra"/>
    <s v="Medium"/>
  </r>
  <r>
    <n v="10209"/>
    <n v="28"/>
    <n v="100"/>
    <n v="2800"/>
    <n v="2800"/>
    <n v="6"/>
    <s v="1/9/2004 0:00"/>
    <x v="0"/>
    <x v="0"/>
    <x v="7"/>
    <x v="1"/>
    <x v="5"/>
    <n v="86"/>
    <s v="S18_3029"/>
    <x v="54"/>
    <s v="2155554369"/>
    <s v="6047 Douglas Av."/>
    <s v=""/>
    <s v="Los Angeles"/>
    <s v="CA"/>
    <s v=""/>
    <x v="0"/>
    <s v="NA"/>
    <s v="Chandler"/>
    <s v="Michael"/>
    <s v="Michael, Chandler"/>
    <s v="Small"/>
  </r>
  <r>
    <n v="10222"/>
    <n v="49"/>
    <n v="9462"/>
    <n v="463638"/>
    <n v="463638"/>
    <n v="10"/>
    <s v="2/19/2004 0:00"/>
    <x v="0"/>
    <x v="0"/>
    <x v="0"/>
    <x v="1"/>
    <x v="5"/>
    <n v="86"/>
    <s v="S18_3029"/>
    <x v="55"/>
    <s v="7605558146"/>
    <s v="361 Furth Circle"/>
    <s v=""/>
    <s v="San Diego"/>
    <s v="CA"/>
    <s v="91217"/>
    <x v="0"/>
    <s v="NA"/>
    <s v="Thompson"/>
    <s v="Valarie"/>
    <s v="Valarie, Thompson"/>
    <s v="Medium"/>
  </r>
  <r>
    <n v="10248"/>
    <n v="21"/>
    <n v="7398"/>
    <n v="155358"/>
    <n v="0"/>
    <n v="1"/>
    <s v="5/7/2004 0:00"/>
    <x v="3"/>
    <x v="1"/>
    <x v="1"/>
    <x v="1"/>
    <x v="5"/>
    <n v="86"/>
    <s v="S18_3029"/>
    <x v="0"/>
    <s v="2125557818"/>
    <s v="897 Long Airport Avenue"/>
    <s v=""/>
    <s v="NYC"/>
    <s v="NY"/>
    <s v="10022"/>
    <x v="0"/>
    <s v="NA"/>
    <s v="Yu"/>
    <s v="Kwai"/>
    <s v="Kwai, Yu"/>
    <s v="Small"/>
  </r>
  <r>
    <n v="10262"/>
    <n v="32"/>
    <n v="843"/>
    <n v="26976"/>
    <n v="0"/>
    <n v="15"/>
    <s v="6/24/2004 0:00"/>
    <x v="3"/>
    <x v="1"/>
    <x v="9"/>
    <x v="1"/>
    <x v="5"/>
    <n v="86"/>
    <s v="S18_3029"/>
    <x v="23"/>
    <s v="(91) 555 94 44"/>
    <s v="C/ Moralzarzal, 86"/>
    <s v=""/>
    <s v="Madrid"/>
    <s v=""/>
    <s v="28034"/>
    <x v="7"/>
    <s v="EMEA"/>
    <s v="Freyre"/>
    <s v="Diego"/>
    <s v="Diego, Freyre"/>
    <s v="Small"/>
  </r>
  <r>
    <n v="10273"/>
    <n v="34"/>
    <n v="9806"/>
    <n v="333404"/>
    <n v="333404"/>
    <n v="2"/>
    <s v="7/21/2004 0:00"/>
    <x v="0"/>
    <x v="2"/>
    <x v="2"/>
    <x v="1"/>
    <x v="5"/>
    <n v="86"/>
    <s v="S18_3029"/>
    <x v="56"/>
    <s v="(02) 5554 67"/>
    <s v="Rue Joseph-Bens 532"/>
    <s v=""/>
    <s v="Bruxelles"/>
    <s v=""/>
    <s v="B-1180"/>
    <x v="14"/>
    <s v="EMEA"/>
    <s v="Dewey"/>
    <s v="Catherine"/>
    <s v="Catherine, Dewey"/>
    <s v="Medium"/>
  </r>
  <r>
    <n v="10283"/>
    <n v="21"/>
    <n v="9806"/>
    <n v="205926"/>
    <n v="205926"/>
    <n v="4"/>
    <s v="8/20/2004 0:00"/>
    <x v="0"/>
    <x v="2"/>
    <x v="3"/>
    <x v="1"/>
    <x v="5"/>
    <n v="86"/>
    <s v="S18_3029"/>
    <x v="57"/>
    <s v="(604) 555-4555"/>
    <s v="23 Tsawassen Blvd."/>
    <s v=""/>
    <s v="Tsawassen"/>
    <s v="BC"/>
    <s v="T2F 8M4"/>
    <x v="10"/>
    <s v="NA"/>
    <s v="Lincoln"/>
    <s v="Elizabeth"/>
    <s v="Elizabeth, Lincoln"/>
    <s v="Small"/>
  </r>
  <r>
    <n v="10296"/>
    <n v="21"/>
    <n v="9634"/>
    <n v="202314"/>
    <n v="202314"/>
    <n v="13"/>
    <s v="9/15/2004 0:00"/>
    <x v="0"/>
    <x v="2"/>
    <x v="10"/>
    <x v="1"/>
    <x v="5"/>
    <n v="86"/>
    <s v="S18_3029"/>
    <x v="89"/>
    <s v="+49 89 61 08 9555"/>
    <s v="Hansastr. 15"/>
    <s v=""/>
    <s v="Munich"/>
    <s v=""/>
    <s v="80686"/>
    <x v="16"/>
    <s v="EMEA"/>
    <s v="Donnermeyer"/>
    <s v="Michael"/>
    <s v="Michael, Donnermeyer"/>
    <s v="Small"/>
  </r>
  <r>
    <n v="10307"/>
    <n v="31"/>
    <n v="8344"/>
    <n v="258664"/>
    <n v="258664"/>
    <n v="7"/>
    <s v="10/14/2004 0:00"/>
    <x v="0"/>
    <x v="3"/>
    <x v="4"/>
    <x v="1"/>
    <x v="5"/>
    <n v="86"/>
    <s v="S18_3029"/>
    <x v="29"/>
    <s v="2155554695"/>
    <s v="782 First Street"/>
    <s v=""/>
    <s v="Philadelphia"/>
    <s v="PA"/>
    <s v="71270"/>
    <x v="0"/>
    <s v="NA"/>
    <s v="Cervantes"/>
    <s v="Francisca"/>
    <s v="Francisca, Cervantes"/>
    <s v="Small"/>
  </r>
  <r>
    <n v="10316"/>
    <n v="21"/>
    <n v="9462"/>
    <n v="198702"/>
    <n v="198702"/>
    <n v="15"/>
    <s v="11/1/2004 0:00"/>
    <x v="0"/>
    <x v="3"/>
    <x v="5"/>
    <x v="1"/>
    <x v="5"/>
    <n v="86"/>
    <s v="S18_3029"/>
    <x v="59"/>
    <s v="(198) 555-8888"/>
    <s v="Garden House Crowther Way"/>
    <s v=""/>
    <s v="Cowes"/>
    <s v="Isle of Wight"/>
    <s v="PO31 7PJ"/>
    <x v="6"/>
    <s v="EMEA"/>
    <s v="Bennett"/>
    <s v="Helen"/>
    <s v="Helen, Bennett"/>
    <s v="Small"/>
  </r>
  <r>
    <n v="10327"/>
    <n v="25"/>
    <n v="4586"/>
    <n v="114650"/>
    <n v="114650"/>
    <n v="5"/>
    <s v="11/10/2004 0:00"/>
    <x v="5"/>
    <x v="3"/>
    <x v="5"/>
    <x v="1"/>
    <x v="5"/>
    <n v="86"/>
    <s v="S18_3029"/>
    <x v="48"/>
    <s v="31 12 3555"/>
    <s v="Vinb'ltet 34"/>
    <s v=""/>
    <s v="Kobenhavn"/>
    <s v=""/>
    <s v="1734"/>
    <x v="13"/>
    <s v="EMEA"/>
    <s v="Petersen"/>
    <s v="Jytte"/>
    <s v="Jytte, Petersen"/>
    <s v="Small"/>
  </r>
  <r>
    <n v="10338"/>
    <n v="28"/>
    <n v="8258"/>
    <n v="231224"/>
    <n v="231224"/>
    <n v="3"/>
    <s v="11/22/2004 0:00"/>
    <x v="0"/>
    <x v="3"/>
    <x v="5"/>
    <x v="1"/>
    <x v="5"/>
    <n v="86"/>
    <s v="S18_3029"/>
    <x v="90"/>
    <s v="(071) 23 67 2555"/>
    <s v="Boulevard Tirou, 255"/>
    <s v=""/>
    <s v="Charleroi"/>
    <s v=""/>
    <s v="B-6000"/>
    <x v="14"/>
    <s v="EMEA"/>
    <s v="Cartrain"/>
    <s v="Pascale"/>
    <s v="Pascale, Cartrain"/>
    <s v="Small"/>
  </r>
  <r>
    <n v="10350"/>
    <n v="43"/>
    <n v="6497"/>
    <n v="279371"/>
    <n v="279371"/>
    <n v="6"/>
    <s v="12/2/2004 0:00"/>
    <x v="0"/>
    <x v="3"/>
    <x v="6"/>
    <x v="1"/>
    <x v="5"/>
    <n v="86"/>
    <s v="S18_3029"/>
    <x v="23"/>
    <s v="(91) 555 94 44"/>
    <s v="C/ Moralzarzal, 86"/>
    <s v=""/>
    <s v="Madrid"/>
    <s v=""/>
    <s v="28034"/>
    <x v="7"/>
    <s v="EMEA"/>
    <s v="Freyre"/>
    <s v="Diego"/>
    <s v="Diego, Freyre"/>
    <s v="Small"/>
  </r>
  <r>
    <n v="10373"/>
    <n v="22"/>
    <n v="8674"/>
    <n v="190828"/>
    <n v="190828"/>
    <n v="5"/>
    <s v="1/31/2005 0:00"/>
    <x v="0"/>
    <x v="0"/>
    <x v="7"/>
    <x v="2"/>
    <x v="5"/>
    <n v="86"/>
    <s v="S18_3029"/>
    <x v="60"/>
    <s v="981-443655"/>
    <s v="Torikatu 38"/>
    <s v=""/>
    <s v="Oulu"/>
    <s v=""/>
    <s v="90110"/>
    <x v="4"/>
    <s v="EMEA"/>
    <s v="Koskitalo"/>
    <s v="Pirkko"/>
    <s v="Pirkko, Koskitalo"/>
    <s v="Small"/>
  </r>
  <r>
    <n v="10386"/>
    <n v="37"/>
    <n v="9301"/>
    <n v="344137"/>
    <n v="344137"/>
    <n v="5"/>
    <s v="3/1/2005 0:00"/>
    <x v="5"/>
    <x v="0"/>
    <x v="11"/>
    <x v="2"/>
    <x v="5"/>
    <n v="86"/>
    <s v="S18_3029"/>
    <x v="23"/>
    <s v="(91) 555 94 44"/>
    <s v="C/ Moralzarzal, 86"/>
    <s v=""/>
    <s v="Madrid"/>
    <s v=""/>
    <s v="28034"/>
    <x v="7"/>
    <s v="EMEA"/>
    <s v="Freyre"/>
    <s v="Diego"/>
    <s v="Diego, Freyre"/>
    <s v="Medium"/>
  </r>
  <r>
    <n v="10398"/>
    <n v="28"/>
    <n v="7226"/>
    <n v="202328"/>
    <n v="202328"/>
    <n v="18"/>
    <s v="3/30/2005 0:00"/>
    <x v="0"/>
    <x v="0"/>
    <x v="11"/>
    <x v="2"/>
    <x v="5"/>
    <n v="86"/>
    <s v="S18_3029"/>
    <x v="1"/>
    <s v="26.47.1555"/>
    <s v="59 rue de l'Abbaye"/>
    <s v=""/>
    <s v="Reims"/>
    <s v=""/>
    <s v="51100"/>
    <x v="1"/>
    <s v="EMEA"/>
    <s v="Henriot"/>
    <s v="Paul"/>
    <s v="Paul, Henriot"/>
    <s v="Small"/>
  </r>
  <r>
    <n v="10400"/>
    <n v="30"/>
    <n v="7484"/>
    <n v="224520"/>
    <n v="224520"/>
    <n v="7"/>
    <s v="4/1/2005 0:00"/>
    <x v="0"/>
    <x v="1"/>
    <x v="8"/>
    <x v="2"/>
    <x v="5"/>
    <n v="86"/>
    <s v="S18_3029"/>
    <x v="61"/>
    <s v="4085553659"/>
    <s v="3086 Ingle Ln."/>
    <s v=""/>
    <s v="San Jose"/>
    <s v="CA"/>
    <s v="94217"/>
    <x v="0"/>
    <s v="NA"/>
    <s v="Frick"/>
    <s v="Sue"/>
    <s v="Sue, Frick"/>
    <s v="Small"/>
  </r>
  <r>
    <n v="10414"/>
    <n v="44"/>
    <n v="7398"/>
    <n v="325512"/>
    <n v="0"/>
    <n v="1"/>
    <s v="5/6/2005 0:00"/>
    <x v="4"/>
    <x v="1"/>
    <x v="1"/>
    <x v="2"/>
    <x v="5"/>
    <n v="86"/>
    <s v="S18_3029"/>
    <x v="58"/>
    <s v="6175559555"/>
    <s v="8616 Spinnaker Dr."/>
    <s v=""/>
    <s v="Boston"/>
    <s v="MA"/>
    <s v="51003"/>
    <x v="0"/>
    <s v="NA"/>
    <s v="Yoshido"/>
    <s v="Juri"/>
    <s v="Juri, Yoshido"/>
    <s v="Medium"/>
  </r>
  <r>
    <n v="10103"/>
    <n v="25"/>
    <n v="100"/>
    <n v="2500"/>
    <n v="2500"/>
    <n v="13"/>
    <s v="1/29/2003 0:00"/>
    <x v="0"/>
    <x v="0"/>
    <x v="7"/>
    <x v="0"/>
    <x v="3"/>
    <n v="104"/>
    <s v="S18_3136"/>
    <x v="17"/>
    <s v="07-98 9555"/>
    <s v="Erling Skakkes gate 78"/>
    <s v=""/>
    <s v="Stavern"/>
    <s v=""/>
    <s v="4110"/>
    <x v="2"/>
    <s v="EMEA"/>
    <s v="Bergulfsen"/>
    <s v="Jonas"/>
    <s v="Jonas, Bergulfsen"/>
    <s v="Small"/>
  </r>
  <r>
    <n v="10111"/>
    <n v="43"/>
    <n v="100"/>
    <n v="4300"/>
    <n v="4300"/>
    <n v="1"/>
    <s v="3/25/2003 0:00"/>
    <x v="0"/>
    <x v="0"/>
    <x v="11"/>
    <x v="0"/>
    <x v="3"/>
    <n v="104"/>
    <s v="S18_3136"/>
    <x v="8"/>
    <s v="6505555787"/>
    <s v="5557 North Pendale Street"/>
    <s v=""/>
    <s v="San Francisco"/>
    <s v="CA"/>
    <s v=""/>
    <x v="0"/>
    <s v="NA"/>
    <s v="Murphy"/>
    <s v="Julie"/>
    <s v="Julie, Murphy"/>
    <s v="Medium"/>
  </r>
  <r>
    <n v="10126"/>
    <n v="30"/>
    <n v="9739"/>
    <n v="292170"/>
    <n v="292170"/>
    <n v="13"/>
    <s v="5/28/2003 0:00"/>
    <x v="0"/>
    <x v="1"/>
    <x v="1"/>
    <x v="0"/>
    <x v="3"/>
    <n v="104"/>
    <s v="S18_3136"/>
    <x v="25"/>
    <s v="(91) 555 22 82"/>
    <s v="C/ Araquil, 67"/>
    <s v=""/>
    <s v="Madrid"/>
    <s v=""/>
    <s v="28023"/>
    <x v="7"/>
    <s v="EMEA"/>
    <s v="Sommer"/>
    <s v="Mart¡n"/>
    <s v="Mart¡n, Sommer"/>
    <s v="Small"/>
  </r>
  <r>
    <n v="10139"/>
    <n v="20"/>
    <n v="9006"/>
    <n v="180120"/>
    <n v="180120"/>
    <n v="2"/>
    <s v="7/16/2003 0:00"/>
    <x v="0"/>
    <x v="2"/>
    <x v="2"/>
    <x v="0"/>
    <x v="3"/>
    <n v="104"/>
    <s v="S18_3136"/>
    <x v="20"/>
    <s v="+61 2 9495 8555"/>
    <s v="Monitor Money Building, 815 Pacific Hwy"/>
    <s v="Level 6"/>
    <s v="Chatswood"/>
    <s v="NSW"/>
    <s v="2067"/>
    <x v="3"/>
    <s v="APAC"/>
    <s v="Huxley"/>
    <s v="Adrian"/>
    <s v="Adrian, Huxley"/>
    <s v="Small"/>
  </r>
  <r>
    <n v="10150"/>
    <n v="26"/>
    <n v="100"/>
    <n v="2600"/>
    <n v="2600"/>
    <n v="10"/>
    <s v="9/19/2003 0:00"/>
    <x v="0"/>
    <x v="2"/>
    <x v="10"/>
    <x v="0"/>
    <x v="3"/>
    <n v="104"/>
    <s v="S18_3136"/>
    <x v="26"/>
    <s v="+65 221 7555"/>
    <s v="Bronz Sok., Bronz Apt. 3/6 Tesvikiye"/>
    <s v=""/>
    <s v="Singapore"/>
    <s v=""/>
    <s v="79903"/>
    <x v="9"/>
    <s v="Japan"/>
    <s v="Natividad"/>
    <s v="Eric"/>
    <s v="Eric, Natividad"/>
    <s v="Small"/>
  </r>
  <r>
    <n v="10163"/>
    <n v="40"/>
    <n v="100"/>
    <n v="4000"/>
    <n v="4000"/>
    <n v="3"/>
    <s v="10/20/2003 0:00"/>
    <x v="0"/>
    <x v="3"/>
    <x v="4"/>
    <x v="0"/>
    <x v="3"/>
    <n v="104"/>
    <s v="S18_3136"/>
    <x v="27"/>
    <s v="2125558493"/>
    <s v="5905 Pompton St."/>
    <s v="Suite 750"/>
    <s v="NYC"/>
    <s v="NY"/>
    <s v="10022"/>
    <x v="0"/>
    <s v="NA"/>
    <s v="Hernandez"/>
    <s v="Maria"/>
    <s v="Maria, Hernandez"/>
    <s v="Medium"/>
  </r>
  <r>
    <n v="10173"/>
    <n v="31"/>
    <n v="8901"/>
    <n v="275931"/>
    <n v="275931"/>
    <n v="1"/>
    <s v="11/5/2003 0:00"/>
    <x v="0"/>
    <x v="3"/>
    <x v="5"/>
    <x v="0"/>
    <x v="3"/>
    <n v="104"/>
    <s v="S18_3136"/>
    <x v="86"/>
    <s v="035-640555"/>
    <s v="Via Ludovico il Moro 22"/>
    <s v=""/>
    <s v="Bergamo"/>
    <s v=""/>
    <s v="24100"/>
    <x v="12"/>
    <s v="EMEA"/>
    <s v="Rovelli"/>
    <s v="Giovanni"/>
    <s v="Giovanni, Rovelli"/>
    <s v="Small"/>
  </r>
  <r>
    <n v="10183"/>
    <n v="22"/>
    <n v="100"/>
    <n v="2200"/>
    <n v="2200"/>
    <n v="10"/>
    <s v="11/13/2003 0:00"/>
    <x v="0"/>
    <x v="3"/>
    <x v="5"/>
    <x v="0"/>
    <x v="3"/>
    <n v="104"/>
    <s v="S18_3136"/>
    <x v="29"/>
    <s v="2155554695"/>
    <s v="782 First Street"/>
    <s v=""/>
    <s v="Philadelphia"/>
    <s v="PA"/>
    <s v="71270"/>
    <x v="0"/>
    <s v="NA"/>
    <s v="Cervantes"/>
    <s v="Francisca"/>
    <s v="Francisca, Cervantes"/>
    <s v="Small"/>
  </r>
  <r>
    <n v="10193"/>
    <n v="23"/>
    <n v="100"/>
    <n v="2300"/>
    <n v="2300"/>
    <n v="2"/>
    <s v="11/21/2003 0:00"/>
    <x v="0"/>
    <x v="3"/>
    <x v="5"/>
    <x v="0"/>
    <x v="3"/>
    <n v="104"/>
    <s v="S18_3136"/>
    <x v="87"/>
    <s v="61-9-3844-6555"/>
    <s v="7 Allen Street"/>
    <s v=""/>
    <s v="Glen Waverly"/>
    <s v="Victoria"/>
    <s v="3150"/>
    <x v="3"/>
    <s v="APAC"/>
    <s v="Connery"/>
    <s v="Sean"/>
    <s v="Sean, Connery"/>
    <s v="Small"/>
  </r>
  <r>
    <n v="10206"/>
    <n v="30"/>
    <n v="100"/>
    <n v="3000"/>
    <n v="3000"/>
    <n v="8"/>
    <s v="12/5/2003 0:00"/>
    <x v="0"/>
    <x v="3"/>
    <x v="6"/>
    <x v="0"/>
    <x v="3"/>
    <n v="104"/>
    <s v="S18_3136"/>
    <x v="31"/>
    <s v="(604) 555-3392"/>
    <s v="1900 Oak St."/>
    <s v=""/>
    <s v="Vancouver"/>
    <s v="BC"/>
    <s v="V3F 2K1"/>
    <x v="10"/>
    <s v="NA"/>
    <s v="Tannamuri"/>
    <s v="Yoshi"/>
    <s v="Yoshi, Tannamuri"/>
    <s v="Medium"/>
  </r>
  <r>
    <n v="10215"/>
    <n v="49"/>
    <n v="100"/>
    <n v="4900"/>
    <n v="4900"/>
    <n v="5"/>
    <s v="1/29/2004 0:00"/>
    <x v="0"/>
    <x v="0"/>
    <x v="7"/>
    <x v="1"/>
    <x v="3"/>
    <n v="104"/>
    <s v="S18_3136"/>
    <x v="32"/>
    <s v="3105553722"/>
    <s v="3675 Furth Circle"/>
    <s v=""/>
    <s v="Burbank"/>
    <s v="CA"/>
    <s v="94019"/>
    <x v="0"/>
    <s v="NA"/>
    <s v="Thompson"/>
    <s v="Steve"/>
    <s v="Steve, Thompson"/>
    <s v="Medium"/>
  </r>
  <r>
    <n v="10228"/>
    <n v="31"/>
    <n v="100"/>
    <n v="3100"/>
    <n v="3100"/>
    <n v="4"/>
    <s v="3/10/2004 0:00"/>
    <x v="0"/>
    <x v="0"/>
    <x v="11"/>
    <x v="1"/>
    <x v="3"/>
    <n v="104"/>
    <s v="S18_3136"/>
    <x v="33"/>
    <s v="6175555555"/>
    <s v="4658 Baden Av."/>
    <s v=""/>
    <s v="Cambridge"/>
    <s v="MA"/>
    <s v="51247"/>
    <x v="0"/>
    <s v="NA"/>
    <s v="Tseng"/>
    <s v="Kyung"/>
    <s v="Kyung, Tseng"/>
    <s v="Medium"/>
  </r>
  <r>
    <n v="10244"/>
    <n v="29"/>
    <n v="100"/>
    <n v="2900"/>
    <n v="2900"/>
    <n v="2"/>
    <s v="4/29/2004 0:00"/>
    <x v="0"/>
    <x v="1"/>
    <x v="8"/>
    <x v="1"/>
    <x v="3"/>
    <n v="104"/>
    <s v="S18_3136"/>
    <x v="23"/>
    <s v="(91) 555 94 44"/>
    <s v="C/ Moralzarzal, 86"/>
    <s v=""/>
    <s v="Madrid"/>
    <s v=""/>
    <s v="28034"/>
    <x v="7"/>
    <s v="EMEA"/>
    <s v="Freyre"/>
    <s v="Diego"/>
    <s v="Diego, Freyre"/>
    <s v="Medium"/>
  </r>
  <r>
    <n v="10257"/>
    <n v="37"/>
    <n v="8482"/>
    <n v="313834"/>
    <n v="313834"/>
    <n v="2"/>
    <s v="6/14/2004 0:00"/>
    <x v="0"/>
    <x v="1"/>
    <x v="9"/>
    <x v="1"/>
    <x v="3"/>
    <n v="104"/>
    <s v="S18_3136"/>
    <x v="61"/>
    <s v="4085553659"/>
    <s v="3086 Ingle Ln."/>
    <s v=""/>
    <s v="San Jose"/>
    <s v="CA"/>
    <s v="94217"/>
    <x v="0"/>
    <s v="NA"/>
    <s v="Frick"/>
    <s v="Sue"/>
    <s v="Sue, Frick"/>
    <s v="Medium"/>
  </r>
  <r>
    <n v="10270"/>
    <n v="38"/>
    <n v="100"/>
    <n v="3800"/>
    <n v="3800"/>
    <n v="11"/>
    <s v="7/19/2004 0:00"/>
    <x v="0"/>
    <x v="2"/>
    <x v="2"/>
    <x v="1"/>
    <x v="3"/>
    <n v="104"/>
    <s v="S18_3136"/>
    <x v="20"/>
    <s v="+61 2 9495 8555"/>
    <s v="Monitor Money Building, 815 Pacific Hwy"/>
    <s v="Level 6"/>
    <s v="Chatswood"/>
    <s v="NSW"/>
    <s v="2067"/>
    <x v="3"/>
    <s v="APAC"/>
    <s v="Huxley"/>
    <s v="Adrian"/>
    <s v="Adrian, Huxley"/>
    <s v="Medium"/>
  </r>
  <r>
    <n v="10280"/>
    <n v="29"/>
    <n v="100"/>
    <n v="2900"/>
    <n v="2900"/>
    <n v="4"/>
    <s v="8/17/2004 0:00"/>
    <x v="0"/>
    <x v="2"/>
    <x v="3"/>
    <x v="1"/>
    <x v="3"/>
    <n v="104"/>
    <s v="S18_3136"/>
    <x v="36"/>
    <s v="011-4988555"/>
    <s v="Via Monte Bianco 34"/>
    <s v=""/>
    <s v="Torino"/>
    <s v=""/>
    <s v="10100"/>
    <x v="12"/>
    <s v="EMEA"/>
    <s v="Accorti"/>
    <s v="Paolo"/>
    <s v="Paolo, Accorti"/>
    <s v="Medium"/>
  </r>
  <r>
    <n v="10291"/>
    <n v="23"/>
    <n v="100"/>
    <n v="2300"/>
    <n v="2300"/>
    <n v="13"/>
    <s v="9/8/2004 0:00"/>
    <x v="0"/>
    <x v="2"/>
    <x v="10"/>
    <x v="1"/>
    <x v="3"/>
    <n v="104"/>
    <s v="S18_3136"/>
    <x v="37"/>
    <s v="0695-34 6555"/>
    <s v="?kergatan 24"/>
    <s v=""/>
    <s v="Boras"/>
    <s v=""/>
    <s v="S-844 67"/>
    <x v="8"/>
    <s v="EMEA"/>
    <s v="Larsson"/>
    <s v="Maria"/>
    <s v="Maria, Larsson"/>
    <s v="Small"/>
  </r>
  <r>
    <n v="10304"/>
    <n v="26"/>
    <n v="8587"/>
    <n v="223262"/>
    <n v="223262"/>
    <n v="8"/>
    <s v="10/11/2004 0:00"/>
    <x v="0"/>
    <x v="3"/>
    <x v="4"/>
    <x v="1"/>
    <x v="3"/>
    <n v="104"/>
    <s v="S18_3136"/>
    <x v="38"/>
    <s v="30.59.8555"/>
    <s v="67, avenue de l'Europe"/>
    <s v=""/>
    <s v="Versailles"/>
    <s v=""/>
    <s v="78000"/>
    <x v="1"/>
    <s v="EMEA"/>
    <s v="Tonini"/>
    <s v="Daniel"/>
    <s v="Daniel, Tonini"/>
    <s v="Small"/>
  </r>
  <r>
    <n v="10312"/>
    <n v="38"/>
    <n v="100"/>
    <n v="3800"/>
    <n v="3800"/>
    <n v="5"/>
    <s v="10/21/2004 0:00"/>
    <x v="0"/>
    <x v="3"/>
    <x v="4"/>
    <x v="1"/>
    <x v="3"/>
    <n v="104"/>
    <s v="S18_3136"/>
    <x v="39"/>
    <s v="4155551450"/>
    <s v="5677 Strong St."/>
    <s v=""/>
    <s v="San Rafael"/>
    <s v="CA"/>
    <s v="97562"/>
    <x v="0"/>
    <s v="NA"/>
    <s v="Nelson"/>
    <s v="Valarie"/>
    <s v="Valarie, Nelson"/>
    <s v="Medium"/>
  </r>
  <r>
    <n v="10322"/>
    <n v="48"/>
    <n v="4704"/>
    <n v="225792"/>
    <n v="225792"/>
    <n v="7"/>
    <s v="11/4/2004 0:00"/>
    <x v="0"/>
    <x v="3"/>
    <x v="5"/>
    <x v="1"/>
    <x v="3"/>
    <n v="104"/>
    <s v="S18_3136"/>
    <x v="40"/>
    <s v="6035558647"/>
    <s v="2304 Long Airport Avenue"/>
    <s v=""/>
    <s v="Nashua"/>
    <s v="NH"/>
    <s v="62005"/>
    <x v="0"/>
    <s v="NA"/>
    <s v="Young"/>
    <s v="Valarie"/>
    <s v="Valarie, Young"/>
    <s v="Small"/>
  </r>
  <r>
    <n v="10332"/>
    <n v="40"/>
    <n v="398"/>
    <n v="15920"/>
    <n v="15920"/>
    <n v="18"/>
    <s v="11/17/2004 0:00"/>
    <x v="0"/>
    <x v="3"/>
    <x v="5"/>
    <x v="1"/>
    <x v="3"/>
    <n v="104"/>
    <s v="S18_3136"/>
    <x v="77"/>
    <s v="(171) 555-1555"/>
    <s v="Fauntleroy Circus"/>
    <s v=""/>
    <s v="Manchester"/>
    <s v=""/>
    <s v="EC2 5NT"/>
    <x v="6"/>
    <s v="EMEA"/>
    <s v="Ashworth"/>
    <s v="Victoria"/>
    <s v="Victoria, Ashworth"/>
    <s v="Small"/>
  </r>
  <r>
    <n v="10347"/>
    <n v="45"/>
    <n v="100"/>
    <n v="4500"/>
    <n v="4500"/>
    <n v="11"/>
    <s v="11/29/2004 0:00"/>
    <x v="0"/>
    <x v="3"/>
    <x v="5"/>
    <x v="1"/>
    <x v="3"/>
    <n v="104"/>
    <s v="S18_3136"/>
    <x v="10"/>
    <s v="03 9520 4555"/>
    <s v="636 St Kilda Road"/>
    <s v="Level 3"/>
    <s v="Melbourne"/>
    <s v="Victoria"/>
    <s v="3004"/>
    <x v="3"/>
    <s v="APAC"/>
    <s v="Ferguson"/>
    <s v="Peter"/>
    <s v="Peter, Ferguson"/>
    <s v="Medium"/>
  </r>
  <r>
    <n v="10357"/>
    <n v="44"/>
    <n v="100"/>
    <n v="4400"/>
    <n v="4400"/>
    <n v="4"/>
    <s v="12/10/2004 0:00"/>
    <x v="0"/>
    <x v="3"/>
    <x v="6"/>
    <x v="1"/>
    <x v="3"/>
    <n v="104"/>
    <s v="S18_3136"/>
    <x v="39"/>
    <s v="4155551450"/>
    <s v="5677 Strong St."/>
    <s v=""/>
    <s v="San Rafael"/>
    <s v="CA"/>
    <s v="97562"/>
    <x v="0"/>
    <s v="NA"/>
    <s v="Nelson"/>
    <s v="Valarie"/>
    <s v="Valarie, Nelson"/>
    <s v="Medium"/>
  </r>
  <r>
    <n v="10369"/>
    <n v="21"/>
    <n v="9422"/>
    <n v="197862"/>
    <n v="197862"/>
    <n v="5"/>
    <s v="1/20/2005 0:00"/>
    <x v="0"/>
    <x v="0"/>
    <x v="7"/>
    <x v="2"/>
    <x v="3"/>
    <n v="104"/>
    <s v="S18_3136"/>
    <x v="41"/>
    <s v="6175558555"/>
    <s v="7825 Douglas Av."/>
    <s v=""/>
    <s v="Brickhaven"/>
    <s v="MA"/>
    <s v="58339"/>
    <x v="0"/>
    <s v="NA"/>
    <s v="Nelson"/>
    <s v="Allen"/>
    <s v="Allen, Nelson"/>
    <s v="Small"/>
  </r>
  <r>
    <n v="10381"/>
    <n v="35"/>
    <n v="100"/>
    <n v="3500"/>
    <n v="3500"/>
    <n v="5"/>
    <s v="2/17/2005 0:00"/>
    <x v="0"/>
    <x v="0"/>
    <x v="0"/>
    <x v="2"/>
    <x v="3"/>
    <n v="104"/>
    <s v="S18_3136"/>
    <x v="4"/>
    <s v="6505551386"/>
    <s v="7734 Strong St."/>
    <s v=""/>
    <s v="San Francisco"/>
    <s v="CA"/>
    <s v=""/>
    <x v="0"/>
    <s v="NA"/>
    <s v="Brown"/>
    <s v="Julie"/>
    <s v="Julie, Brown"/>
    <s v="Medium"/>
  </r>
  <r>
    <n v="10392"/>
    <n v="29"/>
    <n v="8692"/>
    <n v="252068"/>
    <n v="252068"/>
    <n v="2"/>
    <s v="3/10/2005 0:00"/>
    <x v="0"/>
    <x v="0"/>
    <x v="11"/>
    <x v="2"/>
    <x v="3"/>
    <n v="104"/>
    <s v="S18_3136"/>
    <x v="63"/>
    <s v="7675-3555"/>
    <s v="Kirchgasse 6"/>
    <s v=""/>
    <s v="Graz"/>
    <s v=""/>
    <s v="8010"/>
    <x v="5"/>
    <s v="EMEA"/>
    <s v="Mendel"/>
    <s v="Roland"/>
    <s v="Roland, Mendel"/>
    <s v="Small"/>
  </r>
  <r>
    <n v="10423"/>
    <n v="21"/>
    <n v="8482"/>
    <n v="178122"/>
    <n v="0"/>
    <n v="2"/>
    <s v="5/30/2005 0:00"/>
    <x v="2"/>
    <x v="1"/>
    <x v="1"/>
    <x v="2"/>
    <x v="3"/>
    <n v="104"/>
    <s v="S18_3136"/>
    <x v="56"/>
    <s v="(02) 5554 67"/>
    <s v="Rue Joseph-Bens 532"/>
    <s v=""/>
    <s v="Bruxelles"/>
    <s v=""/>
    <s v="B-1180"/>
    <x v="14"/>
    <s v="EMEA"/>
    <s v="Dewey"/>
    <s v="Catherine"/>
    <s v="Catherine, Dewey"/>
    <s v="Small"/>
  </r>
  <r>
    <n v="10105"/>
    <n v="22"/>
    <n v="100"/>
    <n v="2200"/>
    <n v="2200"/>
    <n v="11"/>
    <s v="2/11/2003 0:00"/>
    <x v="0"/>
    <x v="0"/>
    <x v="0"/>
    <x v="0"/>
    <x v="3"/>
    <n v="136"/>
    <s v="S18_3140"/>
    <x v="48"/>
    <s v="31 12 3555"/>
    <s v="Vinb'ltet 34"/>
    <s v=""/>
    <s v="Kobenhavn"/>
    <s v=""/>
    <s v="1734"/>
    <x v="13"/>
    <s v="EMEA"/>
    <s v="Petersen"/>
    <s v="Jytte"/>
    <s v="Jytte, Petersen"/>
    <s v="Medium"/>
  </r>
  <r>
    <n v="10117"/>
    <n v="26"/>
    <n v="100"/>
    <n v="2600"/>
    <n v="2600"/>
    <n v="5"/>
    <s v="4/16/2003 0:00"/>
    <x v="0"/>
    <x v="1"/>
    <x v="8"/>
    <x v="0"/>
    <x v="3"/>
    <n v="136"/>
    <s v="S18_3140"/>
    <x v="26"/>
    <s v="+65 221 7555"/>
    <s v="Bronz Sok., Bronz Apt. 3/6 Tesvikiye"/>
    <s v=""/>
    <s v="Singapore"/>
    <s v=""/>
    <s v="79903"/>
    <x v="9"/>
    <s v="Japan"/>
    <s v="Natividad"/>
    <s v="Eric"/>
    <s v="Eric, Natividad"/>
    <s v="Medium"/>
  </r>
  <r>
    <n v="10128"/>
    <n v="41"/>
    <n v="100"/>
    <n v="4100"/>
    <n v="4100"/>
    <n v="2"/>
    <s v="6/6/2003 0:00"/>
    <x v="0"/>
    <x v="1"/>
    <x v="9"/>
    <x v="0"/>
    <x v="3"/>
    <n v="136"/>
    <s v="S18_3140"/>
    <x v="23"/>
    <s v="(91) 555 94 44"/>
    <s v="C/ Moralzarzal, 86"/>
    <s v=""/>
    <s v="Madrid"/>
    <s v=""/>
    <s v="28034"/>
    <x v="7"/>
    <s v="EMEA"/>
    <s v="Freyre"/>
    <s v="Diego"/>
    <s v="Diego, Freyre"/>
    <s v="Medium"/>
  </r>
  <r>
    <n v="10142"/>
    <n v="47"/>
    <n v="100"/>
    <n v="4700"/>
    <n v="4700"/>
    <n v="8"/>
    <s v="8/8/2003 0:00"/>
    <x v="0"/>
    <x v="2"/>
    <x v="3"/>
    <x v="0"/>
    <x v="3"/>
    <n v="136"/>
    <s v="S18_3140"/>
    <x v="39"/>
    <s v="4155551450"/>
    <s v="5677 Strong St."/>
    <s v=""/>
    <s v="San Rafael"/>
    <s v="CA"/>
    <s v="97562"/>
    <x v="0"/>
    <s v="NA"/>
    <s v="Nelson"/>
    <s v="Valarie"/>
    <s v="Valarie, Nelson"/>
    <s v="Medium"/>
  </r>
  <r>
    <n v="10153"/>
    <n v="31"/>
    <n v="100"/>
    <n v="3100"/>
    <n v="3100"/>
    <n v="7"/>
    <s v="9/28/2003 0:00"/>
    <x v="0"/>
    <x v="2"/>
    <x v="10"/>
    <x v="0"/>
    <x v="3"/>
    <n v="136"/>
    <s v="S18_3140"/>
    <x v="23"/>
    <s v="(91) 555 94 44"/>
    <s v="C/ Moralzarzal, 86"/>
    <s v=""/>
    <s v="Madrid"/>
    <s v=""/>
    <s v="28034"/>
    <x v="7"/>
    <s v="EMEA"/>
    <s v="Freyre"/>
    <s v="Diego"/>
    <s v="Diego, Freyre"/>
    <s v="Medium"/>
  </r>
  <r>
    <n v="10166"/>
    <n v="43"/>
    <n v="100"/>
    <n v="4300"/>
    <n v="4300"/>
    <n v="2"/>
    <s v="10/21/2003 0:00"/>
    <x v="0"/>
    <x v="3"/>
    <x v="4"/>
    <x v="0"/>
    <x v="3"/>
    <n v="136"/>
    <s v="S18_3140"/>
    <x v="21"/>
    <s v="5085552555"/>
    <s v="1785 First Street"/>
    <s v=""/>
    <s v="New Bedford"/>
    <s v="MA"/>
    <s v="50553"/>
    <x v="0"/>
    <s v="NA"/>
    <s v="Benitez"/>
    <s v="Violeta"/>
    <s v="Violeta, Benitez"/>
    <s v="Medium"/>
  </r>
  <r>
    <n v="10177"/>
    <n v="23"/>
    <n v="100"/>
    <n v="2300"/>
    <n v="2300"/>
    <n v="9"/>
    <s v="11/7/2003 0:00"/>
    <x v="0"/>
    <x v="3"/>
    <x v="5"/>
    <x v="0"/>
    <x v="3"/>
    <n v="136"/>
    <s v="S18_3140"/>
    <x v="76"/>
    <s v="+34 913 728 555"/>
    <s v="Merchants House, 27-30 Merchant's Quay"/>
    <s v=""/>
    <s v="Madrid"/>
    <s v=""/>
    <s v="28023"/>
    <x v="7"/>
    <s v="EMEA"/>
    <s v="Fernandez"/>
    <s v="Jesus"/>
    <s v="Jesus, Fernandez"/>
    <s v="Medium"/>
  </r>
  <r>
    <n v="10185"/>
    <n v="28"/>
    <n v="100"/>
    <n v="2800"/>
    <n v="2800"/>
    <n v="9"/>
    <s v="11/14/2003 0:00"/>
    <x v="0"/>
    <x v="3"/>
    <x v="5"/>
    <x v="0"/>
    <x v="3"/>
    <n v="136"/>
    <s v="S18_3140"/>
    <x v="50"/>
    <s v="5085559555"/>
    <s v="4575 Hillside Dr."/>
    <s v=""/>
    <s v="New Bedford"/>
    <s v="MA"/>
    <s v="50553"/>
    <x v="0"/>
    <s v="NA"/>
    <s v="Tam"/>
    <s v="Wing C"/>
    <s v="Wing C, Tam"/>
    <s v="Medium"/>
  </r>
  <r>
    <n v="10196"/>
    <n v="49"/>
    <n v="100"/>
    <n v="4900"/>
    <n v="4900"/>
    <n v="1"/>
    <s v="11/26/2003 0:00"/>
    <x v="0"/>
    <x v="3"/>
    <x v="5"/>
    <x v="0"/>
    <x v="3"/>
    <n v="136"/>
    <s v="S18_3140"/>
    <x v="34"/>
    <s v="2035559545"/>
    <s v="567 North Pendale Street"/>
    <s v=""/>
    <s v="New Haven"/>
    <s v="CT"/>
    <s v="97823"/>
    <x v="0"/>
    <s v="NA"/>
    <s v="Murphy"/>
    <s v="Leslie"/>
    <s v="Leslie, Murphy"/>
    <s v="Medium"/>
  </r>
  <r>
    <n v="10208"/>
    <n v="24"/>
    <n v="100"/>
    <n v="2400"/>
    <n v="2400"/>
    <n v="9"/>
    <s v="1/2/2004 0:00"/>
    <x v="0"/>
    <x v="0"/>
    <x v="7"/>
    <x v="1"/>
    <x v="3"/>
    <n v="136"/>
    <s v="S18_3140"/>
    <x v="30"/>
    <s v="78.32.5555"/>
    <s v="2, rue du Commerce"/>
    <s v=""/>
    <s v="Lyon"/>
    <s v=""/>
    <s v="69004"/>
    <x v="1"/>
    <s v="EMEA"/>
    <s v="Saveley"/>
    <s v="Mary"/>
    <s v="Mary, Saveley"/>
    <s v="Small"/>
  </r>
  <r>
    <n v="10221"/>
    <n v="33"/>
    <n v="100"/>
    <n v="3300"/>
    <n v="3300"/>
    <n v="3"/>
    <s v="2/18/2004 0:00"/>
    <x v="0"/>
    <x v="0"/>
    <x v="0"/>
    <x v="1"/>
    <x v="3"/>
    <n v="136"/>
    <s v="S18_3140"/>
    <x v="56"/>
    <s v="(02) 5554 67"/>
    <s v="Rue Joseph-Bens 532"/>
    <s v=""/>
    <s v="Bruxelles"/>
    <s v=""/>
    <s v="B-1180"/>
    <x v="14"/>
    <s v="EMEA"/>
    <s v="Dewey"/>
    <s v="Catherine"/>
    <s v="Catherine, Dewey"/>
    <s v="Medium"/>
  </r>
  <r>
    <n v="10232"/>
    <n v="22"/>
    <n v="100"/>
    <n v="2200"/>
    <n v="2200"/>
    <n v="6"/>
    <s v="3/20/2004 0:00"/>
    <x v="0"/>
    <x v="0"/>
    <x v="11"/>
    <x v="1"/>
    <x v="3"/>
    <n v="136"/>
    <s v="S18_3140"/>
    <x v="59"/>
    <s v="(198) 555-8888"/>
    <s v="Garden House Crowther Way"/>
    <s v=""/>
    <s v="Cowes"/>
    <s v="Isle of Wight"/>
    <s v="PO31 7PJ"/>
    <x v="6"/>
    <s v="EMEA"/>
    <s v="Bennett"/>
    <s v="Helen"/>
    <s v="Helen, Bennett"/>
    <s v="Medium"/>
  </r>
  <r>
    <n v="10248"/>
    <n v="32"/>
    <n v="100"/>
    <n v="3200"/>
    <n v="0"/>
    <n v="12"/>
    <s v="5/7/2004 0:00"/>
    <x v="3"/>
    <x v="1"/>
    <x v="1"/>
    <x v="1"/>
    <x v="3"/>
    <n v="136"/>
    <s v="S18_3140"/>
    <x v="0"/>
    <s v="2125557818"/>
    <s v="897 Long Airport Avenue"/>
    <s v=""/>
    <s v="NYC"/>
    <s v="NY"/>
    <s v="10022"/>
    <x v="0"/>
    <s v="NA"/>
    <s v="Yu"/>
    <s v="Kwai"/>
    <s v="Kwai, Yu"/>
    <s v="Medium"/>
  </r>
  <r>
    <n v="10273"/>
    <n v="40"/>
    <n v="100"/>
    <n v="4000"/>
    <n v="4000"/>
    <n v="13"/>
    <s v="7/21/2004 0:00"/>
    <x v="0"/>
    <x v="2"/>
    <x v="2"/>
    <x v="1"/>
    <x v="3"/>
    <n v="136"/>
    <s v="S18_3140"/>
    <x v="56"/>
    <s v="(02) 5554 67"/>
    <s v="Rue Joseph-Bens 532"/>
    <s v=""/>
    <s v="Bruxelles"/>
    <s v=""/>
    <s v="B-1180"/>
    <x v="14"/>
    <s v="EMEA"/>
    <s v="Dewey"/>
    <s v="Catherine"/>
    <s v="Catherine, Dewey"/>
    <s v="Medium"/>
  </r>
  <r>
    <n v="10282"/>
    <n v="43"/>
    <n v="100"/>
    <n v="4300"/>
    <n v="4300"/>
    <n v="1"/>
    <s v="8/20/2004 0:00"/>
    <x v="0"/>
    <x v="2"/>
    <x v="3"/>
    <x v="1"/>
    <x v="3"/>
    <n v="136"/>
    <s v="S18_3140"/>
    <x v="39"/>
    <s v="4155551450"/>
    <s v="5677 Strong St."/>
    <s v=""/>
    <s v="San Rafael"/>
    <s v="CA"/>
    <s v="97562"/>
    <x v="0"/>
    <s v="NA"/>
    <s v="Nelson"/>
    <s v="Valarie"/>
    <s v="Valarie, Nelson"/>
    <s v="Medium"/>
  </r>
  <r>
    <n v="10293"/>
    <n v="24"/>
    <n v="100"/>
    <n v="2400"/>
    <n v="2400"/>
    <n v="4"/>
    <s v="9/9/2004 0:00"/>
    <x v="0"/>
    <x v="2"/>
    <x v="10"/>
    <x v="1"/>
    <x v="3"/>
    <n v="136"/>
    <s v="S18_3140"/>
    <x v="36"/>
    <s v="011-4988555"/>
    <s v="Via Monte Bianco 34"/>
    <s v=""/>
    <s v="Torino"/>
    <s v=""/>
    <s v="10100"/>
    <x v="12"/>
    <s v="EMEA"/>
    <s v="Accorti"/>
    <s v="Paolo"/>
    <s v="Paolo, Accorti"/>
    <s v="Small"/>
  </r>
  <r>
    <n v="10306"/>
    <n v="32"/>
    <n v="100"/>
    <n v="3200"/>
    <n v="3200"/>
    <n v="9"/>
    <s v="10/14/2004 0:00"/>
    <x v="0"/>
    <x v="3"/>
    <x v="4"/>
    <x v="1"/>
    <x v="3"/>
    <n v="136"/>
    <s v="S18_3140"/>
    <x v="77"/>
    <s v="(171) 555-1555"/>
    <s v="Fauntleroy Circus"/>
    <s v=""/>
    <s v="Manchester"/>
    <s v=""/>
    <s v="EC2 5NT"/>
    <x v="6"/>
    <s v="EMEA"/>
    <s v="Ashworth"/>
    <s v="Victoria"/>
    <s v="Victoria, Ashworth"/>
    <s v="Medium"/>
  </r>
  <r>
    <n v="10314"/>
    <n v="20"/>
    <n v="100"/>
    <n v="2000"/>
    <n v="2000"/>
    <n v="1"/>
    <s v="10/22/2004 0:00"/>
    <x v="0"/>
    <x v="3"/>
    <x v="4"/>
    <x v="1"/>
    <x v="3"/>
    <n v="136"/>
    <s v="S18_3140"/>
    <x v="78"/>
    <s v="86 21 3555"/>
    <s v="Smagsloget 45"/>
    <s v=""/>
    <s v="Aaarhus"/>
    <s v=""/>
    <s v="8200"/>
    <x v="13"/>
    <s v="EMEA"/>
    <s v="Ibsen"/>
    <s v="Palle"/>
    <s v="Palle, Ibsen"/>
    <s v="Small"/>
  </r>
  <r>
    <n v="10325"/>
    <n v="24"/>
    <n v="6912"/>
    <n v="165888"/>
    <n v="165888"/>
    <n v="9"/>
    <s v="11/5/2004 0:00"/>
    <x v="0"/>
    <x v="3"/>
    <x v="5"/>
    <x v="1"/>
    <x v="3"/>
    <n v="136"/>
    <s v="S18_3140"/>
    <x v="17"/>
    <s v="07-98 9555"/>
    <s v="Erling Skakkes gate 78"/>
    <s v=""/>
    <s v="Stavern"/>
    <s v=""/>
    <s v="4110"/>
    <x v="2"/>
    <s v="EMEA"/>
    <s v="Bergulfsen"/>
    <s v="Jonas"/>
    <s v="Jonas, Bergulfsen"/>
    <s v="Small"/>
  </r>
  <r>
    <n v="10336"/>
    <n v="48"/>
    <n v="100"/>
    <n v="4800"/>
    <n v="4800"/>
    <n v="12"/>
    <s v="11/20/2004 0:00"/>
    <x v="0"/>
    <x v="3"/>
    <x v="5"/>
    <x v="1"/>
    <x v="3"/>
    <n v="136"/>
    <s v="S18_3140"/>
    <x v="62"/>
    <s v="(1) 42.34.2555"/>
    <s v="265, boulevard Charonne"/>
    <s v=""/>
    <s v="Paris"/>
    <s v=""/>
    <s v="75012"/>
    <x v="1"/>
    <s v="EMEA"/>
    <s v="Bertrand"/>
    <s v="Marie"/>
    <s v="Marie, Bertrand"/>
    <s v="Medium"/>
  </r>
  <r>
    <n v="10350"/>
    <n v="44"/>
    <n v="100"/>
    <n v="4400"/>
    <n v="4400"/>
    <n v="1"/>
    <s v="12/2/2004 0:00"/>
    <x v="0"/>
    <x v="3"/>
    <x v="6"/>
    <x v="1"/>
    <x v="3"/>
    <n v="136"/>
    <s v="S18_3140"/>
    <x v="23"/>
    <s v="(91) 555 94 44"/>
    <s v="C/ Moralzarzal, 86"/>
    <s v=""/>
    <s v="Madrid"/>
    <s v=""/>
    <s v="28034"/>
    <x v="7"/>
    <s v="EMEA"/>
    <s v="Freyre"/>
    <s v="Diego"/>
    <s v="Diego, Freyre"/>
    <s v="Medium"/>
  </r>
  <r>
    <n v="10372"/>
    <n v="28"/>
    <n v="100"/>
    <n v="2800"/>
    <n v="2800"/>
    <n v="3"/>
    <s v="1/26/2005 0:00"/>
    <x v="0"/>
    <x v="0"/>
    <x v="7"/>
    <x v="2"/>
    <x v="3"/>
    <n v="136"/>
    <s v="S18_3140"/>
    <x v="35"/>
    <s v="+81 3 3584 0555"/>
    <s v="2-2-8 Roppongi"/>
    <s v=""/>
    <s v="Minato-ku"/>
    <s v="Tokyo"/>
    <s v="106-0032"/>
    <x v="11"/>
    <s v="Japan"/>
    <s v="Shimamura"/>
    <s v="Akiko"/>
    <s v="Akiko, Shimamura"/>
    <s v="Medium"/>
  </r>
  <r>
    <n v="10383"/>
    <n v="24"/>
    <n v="6152"/>
    <n v="147648"/>
    <n v="147648"/>
    <n v="9"/>
    <s v="2/22/2005 0:00"/>
    <x v="0"/>
    <x v="0"/>
    <x v="0"/>
    <x v="2"/>
    <x v="3"/>
    <n v="136"/>
    <s v="S18_3140"/>
    <x v="23"/>
    <s v="(91) 555 94 44"/>
    <s v="C/ Moralzarzal, 86"/>
    <s v=""/>
    <s v="Madrid"/>
    <s v=""/>
    <s v="28034"/>
    <x v="7"/>
    <s v="EMEA"/>
    <s v="Freyre"/>
    <s v="Diego"/>
    <s v="Diego, Freyre"/>
    <s v="Small"/>
  </r>
  <r>
    <n v="10396"/>
    <n v="33"/>
    <n v="100"/>
    <n v="3300"/>
    <n v="3300"/>
    <n v="2"/>
    <s v="3/23/2005 0:00"/>
    <x v="0"/>
    <x v="0"/>
    <x v="11"/>
    <x v="2"/>
    <x v="3"/>
    <n v="136"/>
    <s v="S18_3140"/>
    <x v="39"/>
    <s v="4155551450"/>
    <s v="5677 Strong St."/>
    <s v=""/>
    <s v="San Rafael"/>
    <s v="CA"/>
    <s v="97562"/>
    <x v="0"/>
    <s v="NA"/>
    <s v="Nelson"/>
    <s v="Valarie"/>
    <s v="Valarie, Nelson"/>
    <s v="Medium"/>
  </r>
  <r>
    <n v="10414"/>
    <n v="41"/>
    <n v="100"/>
    <n v="4100"/>
    <n v="0"/>
    <n v="12"/>
    <s v="5/6/2005 0:00"/>
    <x v="4"/>
    <x v="1"/>
    <x v="1"/>
    <x v="2"/>
    <x v="3"/>
    <n v="136"/>
    <s v="S18_3140"/>
    <x v="58"/>
    <s v="6175559555"/>
    <s v="8616 Spinnaker Dr."/>
    <s v=""/>
    <s v="Boston"/>
    <s v="MA"/>
    <s v="51003"/>
    <x v="0"/>
    <s v="NA"/>
    <s v="Yoshido"/>
    <s v="Juri"/>
    <s v="Juri, Yoshido"/>
    <s v="Medium"/>
  </r>
  <r>
    <n v="10104"/>
    <n v="23"/>
    <n v="100"/>
    <n v="2300"/>
    <n v="2300"/>
    <n v="13"/>
    <s v="1/31/2003 0:00"/>
    <x v="0"/>
    <x v="0"/>
    <x v="7"/>
    <x v="0"/>
    <x v="1"/>
    <n v="169"/>
    <s v="S18_3232"/>
    <x v="23"/>
    <s v="(91) 555 94 44"/>
    <s v="C/ Moralzarzal, 86"/>
    <s v=""/>
    <s v="Madrid"/>
    <s v=""/>
    <s v="28034"/>
    <x v="7"/>
    <s v="EMEA"/>
    <s v="Freyre"/>
    <s v="Diego"/>
    <s v="Diego, Freyre"/>
    <s v="Medium"/>
  </r>
  <r>
    <n v="10109"/>
    <n v="46"/>
    <n v="100"/>
    <n v="4600"/>
    <n v="4600"/>
    <n v="5"/>
    <s v="3/10/2003 0:00"/>
    <x v="0"/>
    <x v="0"/>
    <x v="11"/>
    <x v="0"/>
    <x v="1"/>
    <n v="169"/>
    <s v="S18_3232"/>
    <x v="45"/>
    <s v="2155559857"/>
    <s v="11328 Douglas Av."/>
    <s v=""/>
    <s v="Philadelphia"/>
    <s v="PA"/>
    <s v="71270"/>
    <x v="0"/>
    <s v="NA"/>
    <s v="Hernandez"/>
    <s v="Rosa"/>
    <s v="Rosa, Hernandez"/>
    <s v="Large"/>
  </r>
  <r>
    <n v="10114"/>
    <n v="48"/>
    <n v="100"/>
    <n v="4800"/>
    <n v="4800"/>
    <n v="4"/>
    <s v="4/1/2003 0:00"/>
    <x v="0"/>
    <x v="1"/>
    <x v="8"/>
    <x v="0"/>
    <x v="1"/>
    <n v="169"/>
    <s v="S18_3232"/>
    <x v="62"/>
    <s v="(1) 42.34.2555"/>
    <s v="265, boulevard Charonne"/>
    <s v=""/>
    <s v="Paris"/>
    <s v=""/>
    <s v="75012"/>
    <x v="1"/>
    <s v="EMEA"/>
    <s v="Bertrand"/>
    <s v="Marie"/>
    <s v="Marie, Bertrand"/>
    <s v="Large"/>
  </r>
  <r>
    <n v="10122"/>
    <n v="25"/>
    <n v="100"/>
    <n v="2500"/>
    <n v="2500"/>
    <n v="3"/>
    <s v="5/8/2003 0:00"/>
    <x v="0"/>
    <x v="1"/>
    <x v="1"/>
    <x v="0"/>
    <x v="1"/>
    <n v="169"/>
    <s v="S18_3232"/>
    <x v="67"/>
    <s v="91.24.4555"/>
    <s v="12, rue des Bouchers"/>
    <s v=""/>
    <s v="Marseille"/>
    <s v=""/>
    <s v="13008"/>
    <x v="1"/>
    <s v="EMEA"/>
    <s v="Lebihan"/>
    <s v="Laurence"/>
    <s v="Laurence, Lebihan"/>
    <s v="Medium"/>
  </r>
  <r>
    <n v="10127"/>
    <n v="22"/>
    <n v="100"/>
    <n v="2200"/>
    <n v="2200"/>
    <n v="15"/>
    <s v="6/3/2003 0:00"/>
    <x v="0"/>
    <x v="1"/>
    <x v="9"/>
    <x v="0"/>
    <x v="1"/>
    <n v="169"/>
    <s v="S18_3232"/>
    <x v="74"/>
    <s v="2125557413"/>
    <s v="4092 Furth Circle"/>
    <s v="Suite 400"/>
    <s v="NYC"/>
    <s v="NY"/>
    <s v="10022"/>
    <x v="0"/>
    <s v="NA"/>
    <s v="Young"/>
    <s v="Jeff"/>
    <s v="Jeff, Young"/>
    <s v="Medium"/>
  </r>
  <r>
    <n v="10136"/>
    <n v="41"/>
    <n v="100"/>
    <n v="4100"/>
    <n v="4100"/>
    <n v="3"/>
    <s v="7/4/2003 0:00"/>
    <x v="0"/>
    <x v="2"/>
    <x v="2"/>
    <x v="0"/>
    <x v="1"/>
    <n v="169"/>
    <s v="S18_3232"/>
    <x v="51"/>
    <s v="61.77.6555"/>
    <s v="1 rue Alsace-Lorraine"/>
    <s v=""/>
    <s v="Toulouse"/>
    <s v=""/>
    <s v="31000"/>
    <x v="1"/>
    <s v="EMEA"/>
    <s v="Roulet"/>
    <s v="Annette"/>
    <s v="Annette, Roulet"/>
    <s v="Large"/>
  </r>
  <r>
    <n v="10141"/>
    <n v="34"/>
    <n v="100"/>
    <n v="3400"/>
    <n v="3400"/>
    <n v="9"/>
    <s v="8/1/2003 0:00"/>
    <x v="0"/>
    <x v="2"/>
    <x v="3"/>
    <x v="0"/>
    <x v="1"/>
    <n v="169"/>
    <s v="S18_3232"/>
    <x v="73"/>
    <s v="+358 9 8045 555"/>
    <s v="Software Engineering Center, SEC Oy"/>
    <s v=""/>
    <s v="Espoo"/>
    <s v=""/>
    <s v="FIN-02271"/>
    <x v="4"/>
    <s v="EMEA"/>
    <s v="Suominen"/>
    <s v="Kalle"/>
    <s v="Kalle, Suominen"/>
    <s v="Medium"/>
  </r>
  <r>
    <n v="10148"/>
    <n v="32"/>
    <n v="100"/>
    <n v="3200"/>
    <n v="3200"/>
    <n v="14"/>
    <s v="9/11/2003 0:00"/>
    <x v="0"/>
    <x v="2"/>
    <x v="10"/>
    <x v="0"/>
    <x v="1"/>
    <n v="169"/>
    <s v="S18_3232"/>
    <x v="42"/>
    <s v="02 9936 8555"/>
    <s v="201 Miller Street"/>
    <s v="Level 15"/>
    <s v="North Sydney"/>
    <s v="NSW"/>
    <s v="2060"/>
    <x v="3"/>
    <s v="APAC"/>
    <s v="O'Hara"/>
    <s v="Anna"/>
    <s v="Anna, O'Hara"/>
    <s v="Medium"/>
  </r>
  <r>
    <n v="10151"/>
    <n v="21"/>
    <n v="100"/>
    <n v="2100"/>
    <n v="2100"/>
    <n v="7"/>
    <s v="9/21/2003 0:00"/>
    <x v="0"/>
    <x v="2"/>
    <x v="10"/>
    <x v="0"/>
    <x v="1"/>
    <n v="169"/>
    <s v="S18_3232"/>
    <x v="60"/>
    <s v="981-443655"/>
    <s v="Torikatu 38"/>
    <s v=""/>
    <s v="Oulu"/>
    <s v=""/>
    <s v="90110"/>
    <x v="4"/>
    <s v="EMEA"/>
    <s v="Koskitalo"/>
    <s v="Pirkko"/>
    <s v="Pirkko, Koskitalo"/>
    <s v="Medium"/>
  </r>
  <r>
    <n v="10160"/>
    <n v="20"/>
    <n v="100"/>
    <n v="2000"/>
    <n v="2000"/>
    <n v="1"/>
    <s v="10/11/2003 0:00"/>
    <x v="0"/>
    <x v="3"/>
    <x v="4"/>
    <x v="0"/>
    <x v="1"/>
    <n v="169"/>
    <s v="S18_3232"/>
    <x v="54"/>
    <s v="2155554369"/>
    <s v="6047 Douglas Av."/>
    <s v=""/>
    <s v="Los Angeles"/>
    <s v="CA"/>
    <s v=""/>
    <x v="0"/>
    <s v="NA"/>
    <s v="Chandler"/>
    <s v="Michael"/>
    <s v="Michael, Chandler"/>
    <s v="Medium"/>
  </r>
  <r>
    <n v="10165"/>
    <n v="47"/>
    <n v="100"/>
    <n v="4700"/>
    <n v="4700"/>
    <n v="16"/>
    <s v="10/22/2003 0:00"/>
    <x v="0"/>
    <x v="3"/>
    <x v="4"/>
    <x v="0"/>
    <x v="1"/>
    <n v="169"/>
    <s v="S18_3232"/>
    <x v="26"/>
    <s v="+65 221 7555"/>
    <s v="Bronz Sok., Bronz Apt. 3/6 Tesvikiye"/>
    <s v=""/>
    <s v="Singapore"/>
    <s v=""/>
    <s v="79903"/>
    <x v="9"/>
    <s v="Japan"/>
    <s v="Natividad"/>
    <s v="Eric"/>
    <s v="Eric, Natividad"/>
    <s v="Large"/>
  </r>
  <r>
    <n v="10171"/>
    <n v="39"/>
    <n v="100"/>
    <n v="3900"/>
    <n v="3900"/>
    <n v="3"/>
    <s v="11/5/2003 0:00"/>
    <x v="0"/>
    <x v="3"/>
    <x v="5"/>
    <x v="0"/>
    <x v="1"/>
    <n v="169"/>
    <s v="S18_3232"/>
    <x v="43"/>
    <s v="(514) 555-8054"/>
    <s v="43 rue St. Laurent"/>
    <s v=""/>
    <s v="Montreal"/>
    <s v="Quebec"/>
    <s v="H1J 1C3"/>
    <x v="10"/>
    <s v="NA"/>
    <s v="Fresnisre"/>
    <s v="Jean"/>
    <s v="Jean, Fresnisre"/>
    <s v="Medium"/>
  </r>
  <r>
    <n v="10175"/>
    <n v="29"/>
    <n v="100"/>
    <n v="2900"/>
    <n v="2900"/>
    <n v="5"/>
    <s v="11/6/2003 0:00"/>
    <x v="0"/>
    <x v="3"/>
    <x v="5"/>
    <x v="0"/>
    <x v="1"/>
    <n v="169"/>
    <s v="S18_3232"/>
    <x v="49"/>
    <s v="(171) 555-0297"/>
    <s v="35 King George"/>
    <s v=""/>
    <s v="London"/>
    <s v=""/>
    <s v="WX3 6FW"/>
    <x v="6"/>
    <s v="EMEA"/>
    <s v="Brown"/>
    <s v="Ann"/>
    <s v="Ann, Brown"/>
    <s v="Medium"/>
  </r>
  <r>
    <n v="10181"/>
    <n v="45"/>
    <n v="100"/>
    <n v="4500"/>
    <n v="4500"/>
    <n v="7"/>
    <s v="11/12/2003 0:00"/>
    <x v="0"/>
    <x v="3"/>
    <x v="5"/>
    <x v="0"/>
    <x v="1"/>
    <n v="169"/>
    <s v="S18_3232"/>
    <x v="7"/>
    <s v="+47 2267 3215"/>
    <s v="Drammen 121, PR 744 Sentrum"/>
    <s v=""/>
    <s v="Bergen"/>
    <s v=""/>
    <s v="N 5804"/>
    <x v="2"/>
    <s v="EMEA"/>
    <s v="Oeztan"/>
    <s v="Veysel"/>
    <s v="Veysel, Oeztan"/>
    <s v="Medium"/>
  </r>
  <r>
    <n v="10184"/>
    <n v="28"/>
    <n v="100"/>
    <n v="2800"/>
    <n v="2800"/>
    <n v="10"/>
    <s v="11/14/2003 0:00"/>
    <x v="0"/>
    <x v="3"/>
    <x v="5"/>
    <x v="0"/>
    <x v="1"/>
    <n v="169"/>
    <s v="S18_3232"/>
    <x v="81"/>
    <s v="(95) 555 82 82"/>
    <s v="C/ Romero, 33"/>
    <s v=""/>
    <s v="Sevilla"/>
    <s v=""/>
    <s v="41101"/>
    <x v="7"/>
    <s v="EMEA"/>
    <s v="Roel"/>
    <s v="Jose Pedro"/>
    <s v="Jose Pedro, Roel"/>
    <s v="Medium"/>
  </r>
  <r>
    <n v="10192"/>
    <n v="26"/>
    <n v="100"/>
    <n v="2600"/>
    <n v="2600"/>
    <n v="12"/>
    <s v="11/20/2003 0:00"/>
    <x v="0"/>
    <x v="3"/>
    <x v="5"/>
    <x v="0"/>
    <x v="1"/>
    <n v="169"/>
    <s v="S18_3232"/>
    <x v="40"/>
    <s v="6035558647"/>
    <s v="2304 Long Airport Avenue"/>
    <s v=""/>
    <s v="Nashua"/>
    <s v="NH"/>
    <s v="62005"/>
    <x v="0"/>
    <s v="NA"/>
    <s v="Young"/>
    <s v="Valarie"/>
    <s v="Valarie, Young"/>
    <s v="Medium"/>
  </r>
  <r>
    <n v="10195"/>
    <n v="50"/>
    <n v="100"/>
    <n v="5000"/>
    <n v="5000"/>
    <n v="10"/>
    <s v="11/25/2003 0:00"/>
    <x v="0"/>
    <x v="3"/>
    <x v="5"/>
    <x v="0"/>
    <x v="1"/>
    <n v="169"/>
    <s v="S18_3232"/>
    <x v="47"/>
    <s v="9145554562"/>
    <s v="3758 North Pendale Street"/>
    <s v=""/>
    <s v="White Plains"/>
    <s v="NY"/>
    <s v="24067"/>
    <x v="0"/>
    <s v="NA"/>
    <s v="Frick"/>
    <s v="Steve"/>
    <s v="Steve, Frick"/>
    <s v="Large"/>
  </r>
  <r>
    <n v="10203"/>
    <n v="48"/>
    <n v="100"/>
    <n v="4800"/>
    <n v="4800"/>
    <n v="1"/>
    <s v="12/2/2003 0:00"/>
    <x v="0"/>
    <x v="3"/>
    <x v="6"/>
    <x v="0"/>
    <x v="1"/>
    <n v="169"/>
    <s v="S18_3232"/>
    <x v="23"/>
    <s v="(91) 555 94 44"/>
    <s v="C/ Moralzarzal, 86"/>
    <s v=""/>
    <s v="Madrid"/>
    <s v=""/>
    <s v="28034"/>
    <x v="7"/>
    <s v="EMEA"/>
    <s v="Freyre"/>
    <s v="Diego"/>
    <s v="Diego, Freyre"/>
    <s v="Large"/>
  </r>
  <r>
    <n v="10207"/>
    <n v="25"/>
    <n v="100"/>
    <n v="2500"/>
    <n v="2500"/>
    <n v="11"/>
    <s v="12/9/2003 0:00"/>
    <x v="0"/>
    <x v="3"/>
    <x v="6"/>
    <x v="0"/>
    <x v="1"/>
    <n v="169"/>
    <s v="S18_3232"/>
    <x v="64"/>
    <s v="6175552555"/>
    <s v="6251 Ingle Ln."/>
    <s v=""/>
    <s v="Boston"/>
    <s v="MA"/>
    <s v="51003"/>
    <x v="0"/>
    <s v="NA"/>
    <s v="Franco"/>
    <s v="Valarie"/>
    <s v="Valarie, Franco"/>
    <s v="Medium"/>
  </r>
  <r>
    <n v="10212"/>
    <n v="40"/>
    <n v="100"/>
    <n v="4000"/>
    <n v="4000"/>
    <n v="11"/>
    <s v="1/16/2004 0:00"/>
    <x v="0"/>
    <x v="0"/>
    <x v="7"/>
    <x v="1"/>
    <x v="1"/>
    <n v="169"/>
    <s v="S18_3232"/>
    <x v="23"/>
    <s v="(91) 555 94 44"/>
    <s v="C/ Moralzarzal, 86"/>
    <s v=""/>
    <s v="Madrid"/>
    <s v=""/>
    <s v="28034"/>
    <x v="7"/>
    <s v="EMEA"/>
    <s v="Freyre"/>
    <s v="Diego"/>
    <s v="Diego, Freyre"/>
    <s v="Medium"/>
  </r>
  <r>
    <n v="10225"/>
    <n v="43"/>
    <n v="100"/>
    <n v="4300"/>
    <n v="4300"/>
    <n v="2"/>
    <s v="2/22/2004 0:00"/>
    <x v="0"/>
    <x v="0"/>
    <x v="0"/>
    <x v="1"/>
    <x v="1"/>
    <n v="169"/>
    <s v="S18_3232"/>
    <x v="69"/>
    <s v="0897-034555"/>
    <s v="Grenzacherweg 237"/>
    <s v=""/>
    <s v="Gensve"/>
    <s v=""/>
    <s v="1203"/>
    <x v="17"/>
    <s v="EMEA"/>
    <s v="Holz"/>
    <s v="Michael"/>
    <s v="Michael, Holz"/>
    <s v="Medium"/>
  </r>
  <r>
    <n v="10229"/>
    <n v="22"/>
    <n v="100"/>
    <n v="2200"/>
    <n v="2200"/>
    <n v="5"/>
    <s v="3/11/2004 0:00"/>
    <x v="0"/>
    <x v="0"/>
    <x v="11"/>
    <x v="1"/>
    <x v="1"/>
    <n v="169"/>
    <s v="S18_3232"/>
    <x v="39"/>
    <s v="4155551450"/>
    <s v="5677 Strong St."/>
    <s v=""/>
    <s v="San Rafael"/>
    <s v="CA"/>
    <s v="97562"/>
    <x v="0"/>
    <s v="NA"/>
    <s v="Nelson"/>
    <s v="Valarie"/>
    <s v="Valarie, Nelson"/>
    <s v="Medium"/>
  </r>
  <r>
    <n v="10239"/>
    <n v="47"/>
    <n v="100"/>
    <n v="4700"/>
    <n v="4700"/>
    <n v="1"/>
    <s v="4/12/2004 0:00"/>
    <x v="0"/>
    <x v="1"/>
    <x v="8"/>
    <x v="1"/>
    <x v="1"/>
    <n v="169"/>
    <s v="S18_3232"/>
    <x v="60"/>
    <s v="981-443655"/>
    <s v="Torikatu 38"/>
    <s v=""/>
    <s v="Oulu"/>
    <s v=""/>
    <s v="90110"/>
    <x v="4"/>
    <s v="EMEA"/>
    <s v="Koskitalo"/>
    <s v="Pirkko"/>
    <s v="Pirkko, Koskitalo"/>
    <s v="Large"/>
  </r>
  <r>
    <n v="10246"/>
    <n v="36"/>
    <n v="100"/>
    <n v="3600"/>
    <n v="3600"/>
    <n v="9"/>
    <s v="5/5/2004 0:00"/>
    <x v="0"/>
    <x v="1"/>
    <x v="1"/>
    <x v="1"/>
    <x v="1"/>
    <n v="169"/>
    <s v="S18_3232"/>
    <x v="23"/>
    <s v="(91) 555 94 44"/>
    <s v="C/ Moralzarzal, 86"/>
    <s v=""/>
    <s v="Madrid"/>
    <s v=""/>
    <s v="28034"/>
    <x v="7"/>
    <s v="EMEA"/>
    <s v="Freyre"/>
    <s v="Diego"/>
    <s v="Diego, Freyre"/>
    <s v="Large"/>
  </r>
  <r>
    <n v="10253"/>
    <n v="40"/>
    <n v="100"/>
    <n v="4000"/>
    <n v="0"/>
    <n v="6"/>
    <s v="6/1/2004 0:00"/>
    <x v="3"/>
    <x v="1"/>
    <x v="9"/>
    <x v="1"/>
    <x v="1"/>
    <n v="169"/>
    <s v="S18_3232"/>
    <x v="22"/>
    <s v="(171) 555-2282"/>
    <s v="Berkeley Gardens 12  Brewery"/>
    <s v=""/>
    <s v="Liverpool"/>
    <s v=""/>
    <s v="WX1 6LT"/>
    <x v="6"/>
    <s v="EMEA"/>
    <s v="Devon"/>
    <s v="Elizabeth"/>
    <s v="Elizabeth, Devon"/>
    <s v="Medium"/>
  </r>
  <r>
    <n v="10259"/>
    <n v="27"/>
    <n v="100"/>
    <n v="2700"/>
    <n v="2700"/>
    <n v="8"/>
    <s v="6/15/2004 0:00"/>
    <x v="0"/>
    <x v="1"/>
    <x v="9"/>
    <x v="1"/>
    <x v="1"/>
    <n v="169"/>
    <s v="S18_3232"/>
    <x v="65"/>
    <s v="+65 224 1555"/>
    <s v="Village Close - 106 Linden Road Sandown"/>
    <s v="2nd Floor"/>
    <s v="Singapore"/>
    <s v=""/>
    <s v="69045"/>
    <x v="9"/>
    <s v="APAC"/>
    <s v="Victorino"/>
    <s v="Wendy"/>
    <s v="Wendy, Victorino"/>
    <s v="Medium"/>
  </r>
  <r>
    <n v="10266"/>
    <n v="29"/>
    <n v="100"/>
    <n v="2900"/>
    <n v="2900"/>
    <n v="7"/>
    <s v="7/6/2004 0:00"/>
    <x v="0"/>
    <x v="2"/>
    <x v="2"/>
    <x v="1"/>
    <x v="1"/>
    <n v="169"/>
    <s v="S18_3232"/>
    <x v="70"/>
    <s v="0522-556555"/>
    <s v="Strada Provinciale 124"/>
    <s v=""/>
    <s v="Reggio Emilia"/>
    <s v=""/>
    <s v="42100"/>
    <x v="12"/>
    <s v="EMEA"/>
    <s v="Moroni"/>
    <s v="Maurizio"/>
    <s v="Maurizio, Moroni"/>
    <s v="Medium"/>
  </r>
  <r>
    <n v="10271"/>
    <n v="20"/>
    <n v="100"/>
    <n v="2000"/>
    <n v="2000"/>
    <n v="9"/>
    <s v="7/20/2004 0:00"/>
    <x v="0"/>
    <x v="2"/>
    <x v="2"/>
    <x v="1"/>
    <x v="1"/>
    <n v="169"/>
    <s v="S18_3232"/>
    <x v="39"/>
    <s v="4155551450"/>
    <s v="5677 Strong St."/>
    <s v=""/>
    <s v="San Rafael"/>
    <s v="CA"/>
    <s v="97562"/>
    <x v="0"/>
    <s v="NA"/>
    <s v="Nelson"/>
    <s v="Valarie"/>
    <s v="Valarie, Nelson"/>
    <s v="Medium"/>
  </r>
  <r>
    <n v="10278"/>
    <n v="42"/>
    <n v="100"/>
    <n v="4200"/>
    <n v="4200"/>
    <n v="7"/>
    <s v="8/6/2004 0:00"/>
    <x v="0"/>
    <x v="2"/>
    <x v="3"/>
    <x v="1"/>
    <x v="1"/>
    <n v="169"/>
    <s v="S18_3232"/>
    <x v="84"/>
    <s v="7025551838"/>
    <s v="8489 Strong St."/>
    <s v=""/>
    <s v="Las Vegas"/>
    <s v="NV"/>
    <s v="83030"/>
    <x v="0"/>
    <s v="NA"/>
    <s v="King"/>
    <s v="Sue"/>
    <s v="Sue, King"/>
    <s v="Medium"/>
  </r>
  <r>
    <n v="10281"/>
    <n v="25"/>
    <n v="100"/>
    <n v="2500"/>
    <n v="2500"/>
    <n v="5"/>
    <s v="8/19/2004 0:00"/>
    <x v="0"/>
    <x v="2"/>
    <x v="3"/>
    <x v="1"/>
    <x v="1"/>
    <n v="169"/>
    <s v="S18_3232"/>
    <x v="18"/>
    <s v="2155551555"/>
    <s v="7586 Pompton St."/>
    <s v=""/>
    <s v="Allentown"/>
    <s v="PA"/>
    <s v="70267"/>
    <x v="0"/>
    <s v="NA"/>
    <s v="Yu"/>
    <s v="Kyung"/>
    <s v="Kyung, Yu"/>
    <s v="Medium"/>
  </r>
  <r>
    <n v="10287"/>
    <n v="36"/>
    <n v="100"/>
    <n v="3600"/>
    <n v="3600"/>
    <n v="5"/>
    <s v="8/30/2004 0:00"/>
    <x v="0"/>
    <x v="2"/>
    <x v="3"/>
    <x v="1"/>
    <x v="1"/>
    <n v="169"/>
    <s v="S18_3232"/>
    <x v="69"/>
    <s v="0897-034555"/>
    <s v="Grenzacherweg 237"/>
    <s v=""/>
    <s v="Gensve"/>
    <s v=""/>
    <s v="1203"/>
    <x v="17"/>
    <s v="EMEA"/>
    <s v="Holz"/>
    <s v="Michael"/>
    <s v="Michael, Holz"/>
    <s v="Medium"/>
  </r>
  <r>
    <n v="10292"/>
    <n v="21"/>
    <n v="100"/>
    <n v="2100"/>
    <n v="2100"/>
    <n v="12"/>
    <s v="9/8/2004 0:00"/>
    <x v="0"/>
    <x v="2"/>
    <x v="10"/>
    <x v="1"/>
    <x v="1"/>
    <n v="169"/>
    <s v="S18_3232"/>
    <x v="0"/>
    <s v="2125557818"/>
    <s v="897 Long Airport Avenue"/>
    <s v=""/>
    <s v="NYC"/>
    <s v="NY"/>
    <s v="10022"/>
    <x v="0"/>
    <s v="NA"/>
    <s v="Yu"/>
    <s v="Kwai"/>
    <s v="Kwai, Yu"/>
    <s v="Small"/>
  </r>
  <r>
    <n v="10301"/>
    <n v="23"/>
    <n v="100"/>
    <n v="2300"/>
    <n v="2300"/>
    <n v="9"/>
    <s v="10/5/2003 0:00"/>
    <x v="0"/>
    <x v="3"/>
    <x v="4"/>
    <x v="0"/>
    <x v="1"/>
    <n v="169"/>
    <s v="S18_3232"/>
    <x v="85"/>
    <s v="+47 2212 1555"/>
    <s v="Drammensveien 126 A, PB 744 Sentrum"/>
    <s v=""/>
    <s v="Oslo"/>
    <s v=""/>
    <s v="N 0106"/>
    <x v="2"/>
    <s v="EMEA"/>
    <s v="Klaeboe"/>
    <s v="Jan"/>
    <s v="Jan, Klaeboe"/>
    <s v="Medium"/>
  </r>
  <r>
    <n v="10305"/>
    <n v="37"/>
    <n v="100"/>
    <n v="3700"/>
    <n v="3700"/>
    <n v="9"/>
    <s v="10/13/2004 0:00"/>
    <x v="0"/>
    <x v="3"/>
    <x v="4"/>
    <x v="1"/>
    <x v="1"/>
    <n v="169"/>
    <s v="S18_3232"/>
    <x v="15"/>
    <s v="6175558555"/>
    <s v="39323 Spinnaker Dr."/>
    <s v=""/>
    <s v="Cambridge"/>
    <s v="MA"/>
    <s v="51247"/>
    <x v="0"/>
    <s v="NA"/>
    <s v="Hernandez"/>
    <s v="Marta"/>
    <s v="Marta, Hernandez"/>
    <s v="Large"/>
  </r>
  <r>
    <n v="10310"/>
    <n v="48"/>
    <n v="100"/>
    <n v="4800"/>
    <n v="4800"/>
    <n v="3"/>
    <s v="10/16/2004 0:00"/>
    <x v="0"/>
    <x v="3"/>
    <x v="4"/>
    <x v="1"/>
    <x v="1"/>
    <n v="169"/>
    <s v="S18_3232"/>
    <x v="68"/>
    <s v="0221-5554327"/>
    <s v="Mehrheimerstr. 369"/>
    <s v=""/>
    <s v="Koln"/>
    <s v=""/>
    <s v="50739"/>
    <x v="16"/>
    <s v="EMEA"/>
    <s v="Pfalzheim"/>
    <s v="Henriette"/>
    <s v="Henriette, Pfalzheim"/>
    <s v="Large"/>
  </r>
  <r>
    <n v="10313"/>
    <n v="25"/>
    <n v="100"/>
    <n v="2500"/>
    <n v="2500"/>
    <n v="3"/>
    <s v="10/22/2004 0:00"/>
    <x v="0"/>
    <x v="3"/>
    <x v="4"/>
    <x v="1"/>
    <x v="1"/>
    <n v="169"/>
    <s v="S18_3232"/>
    <x v="31"/>
    <s v="(604) 555-3392"/>
    <s v="1900 Oak St."/>
    <s v=""/>
    <s v="Vancouver"/>
    <s v="BC"/>
    <s v="V3F 2K1"/>
    <x v="10"/>
    <s v="NA"/>
    <s v="Tannamuri"/>
    <s v="Yoshi"/>
    <s v="Yoshi, Tannamuri"/>
    <s v="Medium"/>
  </r>
  <r>
    <n v="10321"/>
    <n v="33"/>
    <n v="100"/>
    <n v="3300"/>
    <n v="3300"/>
    <n v="11"/>
    <s v="11/4/2004 0:00"/>
    <x v="0"/>
    <x v="3"/>
    <x v="5"/>
    <x v="1"/>
    <x v="1"/>
    <n v="169"/>
    <s v="S18_3232"/>
    <x v="21"/>
    <s v="5085552555"/>
    <s v="1785 First Street"/>
    <s v=""/>
    <s v="New Bedford"/>
    <s v="MA"/>
    <s v="50553"/>
    <x v="0"/>
    <s v="NA"/>
    <s v="Benitez"/>
    <s v="Violeta"/>
    <s v="Violeta, Benitez"/>
    <s v="Medium"/>
  </r>
  <r>
    <n v="10324"/>
    <n v="27"/>
    <n v="100"/>
    <n v="2700"/>
    <n v="2700"/>
    <n v="12"/>
    <s v="11/5/2004 0:00"/>
    <x v="0"/>
    <x v="3"/>
    <x v="5"/>
    <x v="1"/>
    <x v="1"/>
    <n v="169"/>
    <s v="S18_3232"/>
    <x v="11"/>
    <s v="2125551500"/>
    <s v="2678 Kingston Rd."/>
    <s v="Suite 101"/>
    <s v="NYC"/>
    <s v="NY"/>
    <s v="10022"/>
    <x v="0"/>
    <s v="NA"/>
    <s v="Frick"/>
    <s v="Michael"/>
    <s v="Michael, Frick"/>
    <s v="Medium"/>
  </r>
  <r>
    <n v="10331"/>
    <n v="27"/>
    <n v="100"/>
    <n v="2700"/>
    <n v="2700"/>
    <n v="11"/>
    <s v="11/17/2004 0:00"/>
    <x v="0"/>
    <x v="3"/>
    <x v="5"/>
    <x v="1"/>
    <x v="1"/>
    <n v="169"/>
    <s v="S18_3232"/>
    <x v="45"/>
    <s v="2155559857"/>
    <s v="11328 Douglas Av."/>
    <s v=""/>
    <s v="Philadelphia"/>
    <s v="PA"/>
    <s v="71270"/>
    <x v="0"/>
    <s v="NA"/>
    <s v="Hernandez"/>
    <s v="Rosa"/>
    <s v="Rosa, Hernandez"/>
    <s v="Medium"/>
  </r>
  <r>
    <n v="10334"/>
    <n v="20"/>
    <n v="100"/>
    <n v="2000"/>
    <n v="0"/>
    <n v="3"/>
    <s v="11/19/2004 0:00"/>
    <x v="4"/>
    <x v="3"/>
    <x v="5"/>
    <x v="1"/>
    <x v="1"/>
    <n v="169"/>
    <s v="S18_3232"/>
    <x v="24"/>
    <s v="0921-12 3555"/>
    <s v="Berguvsv„gen  8"/>
    <s v=""/>
    <s v="Lule"/>
    <s v=""/>
    <s v="S-958 22"/>
    <x v="8"/>
    <s v="EMEA"/>
    <s v="Berglund"/>
    <s v="Christina"/>
    <s v="Christina, Berglund"/>
    <s v="Small"/>
  </r>
  <r>
    <n v="10342"/>
    <n v="30"/>
    <n v="100"/>
    <n v="3000"/>
    <n v="3000"/>
    <n v="4"/>
    <s v="11/24/2004 0:00"/>
    <x v="0"/>
    <x v="3"/>
    <x v="5"/>
    <x v="1"/>
    <x v="1"/>
    <n v="169"/>
    <s v="S18_3232"/>
    <x v="10"/>
    <s v="03 9520 4555"/>
    <s v="636 St Kilda Road"/>
    <s v="Level 3"/>
    <s v="Melbourne"/>
    <s v="Victoria"/>
    <s v="3004"/>
    <x v="3"/>
    <s v="APAC"/>
    <s v="Ferguson"/>
    <s v="Peter"/>
    <s v="Peter, Ferguson"/>
    <s v="Medium"/>
  </r>
  <r>
    <n v="10349"/>
    <n v="48"/>
    <n v="100"/>
    <n v="4800"/>
    <n v="4800"/>
    <n v="6"/>
    <s v="12/1/2004 0:00"/>
    <x v="0"/>
    <x v="3"/>
    <x v="6"/>
    <x v="1"/>
    <x v="1"/>
    <n v="169"/>
    <s v="S18_3232"/>
    <x v="74"/>
    <s v="2125557413"/>
    <s v="4092 Furth Circle"/>
    <s v="Suite 400"/>
    <s v="NYC"/>
    <s v="NY"/>
    <s v="10022"/>
    <x v="0"/>
    <s v="NA"/>
    <s v="Young"/>
    <s v="Jeff"/>
    <s v="Jeff, Young"/>
    <s v="Large"/>
  </r>
  <r>
    <n v="10358"/>
    <n v="32"/>
    <n v="9349"/>
    <n v="299168"/>
    <n v="299168"/>
    <n v="12"/>
    <s v="12/10/2004 0:00"/>
    <x v="0"/>
    <x v="3"/>
    <x v="6"/>
    <x v="1"/>
    <x v="1"/>
    <n v="169"/>
    <s v="S18_3232"/>
    <x v="23"/>
    <s v="(91) 555 94 44"/>
    <s v="C/ Moralzarzal, 86"/>
    <s v=""/>
    <s v="Madrid"/>
    <s v=""/>
    <s v="28034"/>
    <x v="7"/>
    <s v="EMEA"/>
    <s v="Freyre"/>
    <s v="Diego"/>
    <s v="Diego, Freyre"/>
    <s v="Small"/>
  </r>
  <r>
    <n v="10366"/>
    <n v="34"/>
    <n v="100"/>
    <n v="3400"/>
    <n v="3400"/>
    <n v="1"/>
    <s v="1/10/2005 0:00"/>
    <x v="0"/>
    <x v="0"/>
    <x v="7"/>
    <x v="2"/>
    <x v="1"/>
    <n v="169"/>
    <s v="S18_3232"/>
    <x v="90"/>
    <s v="(071) 23 67 2555"/>
    <s v="Boulevard Tirou, 255"/>
    <s v=""/>
    <s v="Charleroi"/>
    <s v=""/>
    <s v="B-6000"/>
    <x v="14"/>
    <s v="EMEA"/>
    <s v="Cartrain"/>
    <s v="Pascale"/>
    <s v="Pascale, Cartrain"/>
    <s v="Medium"/>
  </r>
  <r>
    <n v="10370"/>
    <n v="27"/>
    <n v="5685"/>
    <n v="153495"/>
    <n v="153495"/>
    <n v="9"/>
    <s v="1/20/2005 0:00"/>
    <x v="0"/>
    <x v="0"/>
    <x v="7"/>
    <x v="2"/>
    <x v="1"/>
    <n v="169"/>
    <s v="S18_3232"/>
    <x v="42"/>
    <s v="02 9936 8555"/>
    <s v="201 Miller Street"/>
    <s v="Level 15"/>
    <s v="North Sydney"/>
    <s v="NSW"/>
    <s v="2060"/>
    <x v="3"/>
    <s v="APAC"/>
    <s v="O'Hara"/>
    <s v="Anna"/>
    <s v="Anna, O'Hara"/>
    <s v="Small"/>
  </r>
  <r>
    <n v="10377"/>
    <n v="39"/>
    <n v="100"/>
    <n v="3900"/>
    <n v="3900"/>
    <n v="3"/>
    <s v="2/9/2005 0:00"/>
    <x v="0"/>
    <x v="0"/>
    <x v="0"/>
    <x v="2"/>
    <x v="1"/>
    <n v="169"/>
    <s v="S18_3232"/>
    <x v="16"/>
    <s v="90-224 8555"/>
    <s v="Keskuskatu 45"/>
    <s v=""/>
    <s v="Helsinki"/>
    <s v=""/>
    <s v="21240"/>
    <x v="4"/>
    <s v="EMEA"/>
    <s v="Karttunen"/>
    <s v="Matti"/>
    <s v="Matti, Karttunen"/>
    <s v="Large"/>
  </r>
  <r>
    <n v="10383"/>
    <n v="47"/>
    <n v="100"/>
    <n v="4700"/>
    <n v="4700"/>
    <n v="6"/>
    <s v="2/22/2005 0:00"/>
    <x v="0"/>
    <x v="0"/>
    <x v="0"/>
    <x v="2"/>
    <x v="1"/>
    <n v="169"/>
    <s v="S18_3232"/>
    <x v="23"/>
    <s v="(91) 555 94 44"/>
    <s v="C/ Moralzarzal, 86"/>
    <s v=""/>
    <s v="Madrid"/>
    <s v=""/>
    <s v="28034"/>
    <x v="7"/>
    <s v="EMEA"/>
    <s v="Freyre"/>
    <s v="Diego"/>
    <s v="Diego, Freyre"/>
    <s v="Medium"/>
  </r>
  <r>
    <n v="10394"/>
    <n v="22"/>
    <n v="100"/>
    <n v="2200"/>
    <n v="2200"/>
    <n v="5"/>
    <s v="3/15/2005 0:00"/>
    <x v="0"/>
    <x v="0"/>
    <x v="11"/>
    <x v="2"/>
    <x v="1"/>
    <n v="169"/>
    <s v="S18_3232"/>
    <x v="23"/>
    <s v="(91) 555 94 44"/>
    <s v="C/ Moralzarzal, 86"/>
    <s v=""/>
    <s v="Madrid"/>
    <s v=""/>
    <s v="28034"/>
    <x v="7"/>
    <s v="EMEA"/>
    <s v="Freyre"/>
    <s v="Diego"/>
    <s v="Diego, Freyre"/>
    <s v="Medium"/>
  </r>
  <r>
    <n v="10405"/>
    <n v="55"/>
    <n v="100"/>
    <n v="5500"/>
    <n v="5500"/>
    <n v="1"/>
    <s v="4/14/2005 0:00"/>
    <x v="0"/>
    <x v="1"/>
    <x v="8"/>
    <x v="2"/>
    <x v="1"/>
    <n v="169"/>
    <s v="S18_3232"/>
    <x v="83"/>
    <s v="88.60.1555"/>
    <s v="24, place Kluber"/>
    <s v=""/>
    <s v="Strasbourg"/>
    <s v=""/>
    <s v="67000"/>
    <x v="1"/>
    <s v="EMEA"/>
    <s v="Citeaux"/>
    <s v="Frederique"/>
    <s v="Frederique, Citeaux"/>
    <s v="Large"/>
  </r>
  <r>
    <n v="10412"/>
    <n v="60"/>
    <n v="100"/>
    <n v="6000"/>
    <n v="6000"/>
    <n v="9"/>
    <s v="5/3/2005 0:00"/>
    <x v="0"/>
    <x v="1"/>
    <x v="1"/>
    <x v="2"/>
    <x v="1"/>
    <n v="169"/>
    <s v="S18_3232"/>
    <x v="23"/>
    <s v="(91) 555 94 44"/>
    <s v="C/ Moralzarzal, 86"/>
    <s v=""/>
    <s v="Madrid"/>
    <s v=""/>
    <s v="28034"/>
    <x v="7"/>
    <s v="EMEA"/>
    <s v="Freyre"/>
    <s v="Diego"/>
    <s v="Diego, Freyre"/>
    <s v="Large"/>
  </r>
  <r>
    <n v="10419"/>
    <n v="35"/>
    <n v="100"/>
    <n v="3500"/>
    <n v="3500"/>
    <n v="6"/>
    <s v="5/17/2005 0:00"/>
    <x v="0"/>
    <x v="1"/>
    <x v="1"/>
    <x v="2"/>
    <x v="1"/>
    <n v="169"/>
    <s v="S18_3232"/>
    <x v="19"/>
    <s v="6562-9555"/>
    <s v="Geislweg 14"/>
    <s v=""/>
    <s v="Salzburg"/>
    <s v=""/>
    <s v="5020"/>
    <x v="5"/>
    <s v="EMEA"/>
    <s v="Pipps"/>
    <s v="Georg"/>
    <s v="Georg, Pipps"/>
    <s v="Medium"/>
  </r>
  <r>
    <n v="10425"/>
    <n v="28"/>
    <n v="100"/>
    <n v="2800"/>
    <n v="0"/>
    <n v="8"/>
    <s v="5/31/2005 0:00"/>
    <x v="2"/>
    <x v="1"/>
    <x v="1"/>
    <x v="2"/>
    <x v="1"/>
    <n v="169"/>
    <s v="S18_3232"/>
    <x v="14"/>
    <s v="40.67.8555"/>
    <s v="67, rue des Cinquante Otages"/>
    <s v=""/>
    <s v="Nantes"/>
    <s v=""/>
    <s v="44000"/>
    <x v="1"/>
    <s v="EMEA"/>
    <s v="Labrune"/>
    <s v="Janine"/>
    <s v="Janine, Labrune"/>
    <s v="Medium"/>
  </r>
  <r>
    <n v="10105"/>
    <n v="38"/>
    <n v="100"/>
    <n v="3800"/>
    <n v="3800"/>
    <n v="13"/>
    <s v="2/11/2003 0:00"/>
    <x v="0"/>
    <x v="0"/>
    <x v="0"/>
    <x v="0"/>
    <x v="6"/>
    <n v="100"/>
    <s v="S18_3259"/>
    <x v="48"/>
    <s v="31 12 3555"/>
    <s v="Vinb'ltet 34"/>
    <s v=""/>
    <s v="Kobenhavn"/>
    <s v=""/>
    <s v="1734"/>
    <x v="13"/>
    <s v="EMEA"/>
    <s v="Petersen"/>
    <s v="Jytte"/>
    <s v="Jytte, Petersen"/>
    <s v="Medium"/>
  </r>
  <r>
    <n v="10117"/>
    <n v="21"/>
    <n v="958"/>
    <n v="20118"/>
    <n v="20118"/>
    <n v="7"/>
    <s v="4/16/2003 0:00"/>
    <x v="0"/>
    <x v="1"/>
    <x v="8"/>
    <x v="0"/>
    <x v="6"/>
    <n v="100"/>
    <s v="S18_3259"/>
    <x v="26"/>
    <s v="+65 221 7555"/>
    <s v="Bronz Sok., Bronz Apt. 3/6 Tesvikiye"/>
    <s v=""/>
    <s v="Singapore"/>
    <s v=""/>
    <s v="79903"/>
    <x v="9"/>
    <s v="Japan"/>
    <s v="Natividad"/>
    <s v="Eric"/>
    <s v="Eric, Natividad"/>
    <s v="Small"/>
  </r>
  <r>
    <n v="10128"/>
    <n v="41"/>
    <n v="100"/>
    <n v="4100"/>
    <n v="4100"/>
    <n v="4"/>
    <s v="6/6/2003 0:00"/>
    <x v="0"/>
    <x v="1"/>
    <x v="9"/>
    <x v="0"/>
    <x v="6"/>
    <n v="100"/>
    <s v="S18_3259"/>
    <x v="23"/>
    <s v="(91) 555 94 44"/>
    <s v="C/ Moralzarzal, 86"/>
    <s v=""/>
    <s v="Madrid"/>
    <s v=""/>
    <s v="28034"/>
    <x v="7"/>
    <s v="EMEA"/>
    <s v="Freyre"/>
    <s v="Diego"/>
    <s v="Diego, Freyre"/>
    <s v="Medium"/>
  </r>
  <r>
    <n v="10142"/>
    <n v="22"/>
    <n v="9781"/>
    <n v="215182"/>
    <n v="215182"/>
    <n v="10"/>
    <s v="8/8/2003 0:00"/>
    <x v="0"/>
    <x v="2"/>
    <x v="3"/>
    <x v="0"/>
    <x v="6"/>
    <n v="100"/>
    <s v="S18_3259"/>
    <x v="39"/>
    <s v="4155551450"/>
    <s v="5677 Strong St."/>
    <s v=""/>
    <s v="San Rafael"/>
    <s v="CA"/>
    <s v="97562"/>
    <x v="0"/>
    <s v="NA"/>
    <s v="Nelson"/>
    <s v="Valarie"/>
    <s v="Valarie, Nelson"/>
    <s v="Small"/>
  </r>
  <r>
    <n v="10153"/>
    <n v="29"/>
    <n v="8874"/>
    <n v="257346"/>
    <n v="257346"/>
    <n v="9"/>
    <s v="9/28/2003 0:00"/>
    <x v="0"/>
    <x v="2"/>
    <x v="10"/>
    <x v="0"/>
    <x v="6"/>
    <n v="100"/>
    <s v="S18_3259"/>
    <x v="23"/>
    <s v="(91) 555 94 44"/>
    <s v="C/ Moralzarzal, 86"/>
    <s v=""/>
    <s v="Madrid"/>
    <s v=""/>
    <s v="28034"/>
    <x v="7"/>
    <s v="EMEA"/>
    <s v="Freyre"/>
    <s v="Diego"/>
    <s v="Diego, Freyre"/>
    <s v="Small"/>
  </r>
  <r>
    <n v="10165"/>
    <n v="50"/>
    <n v="100"/>
    <n v="5000"/>
    <n v="5000"/>
    <n v="1"/>
    <s v="10/22/2003 0:00"/>
    <x v="0"/>
    <x v="3"/>
    <x v="4"/>
    <x v="0"/>
    <x v="6"/>
    <n v="100"/>
    <s v="S18_3259"/>
    <x v="26"/>
    <s v="+65 221 7555"/>
    <s v="Bronz Sok., Bronz Apt. 3/6 Tesvikiye"/>
    <s v=""/>
    <s v="Singapore"/>
    <s v=""/>
    <s v="79903"/>
    <x v="9"/>
    <s v="Japan"/>
    <s v="Natividad"/>
    <s v="Eric"/>
    <s v="Eric, Natividad"/>
    <s v="Medium"/>
  </r>
  <r>
    <n v="10177"/>
    <n v="29"/>
    <n v="100"/>
    <n v="2900"/>
    <n v="2900"/>
    <n v="11"/>
    <s v="11/7/2003 0:00"/>
    <x v="0"/>
    <x v="3"/>
    <x v="5"/>
    <x v="0"/>
    <x v="6"/>
    <n v="100"/>
    <s v="S18_3259"/>
    <x v="76"/>
    <s v="+34 913 728 555"/>
    <s v="Merchants House, 27-30 Merchant's Quay"/>
    <s v=""/>
    <s v="Madrid"/>
    <s v=""/>
    <s v="28023"/>
    <x v="7"/>
    <s v="EMEA"/>
    <s v="Fernandez"/>
    <s v="Jesus"/>
    <s v="Jesus, Fernandez"/>
    <s v="Medium"/>
  </r>
  <r>
    <n v="10185"/>
    <n v="49"/>
    <n v="8067"/>
    <n v="395283"/>
    <n v="395283"/>
    <n v="11"/>
    <s v="11/14/2003 0:00"/>
    <x v="0"/>
    <x v="3"/>
    <x v="5"/>
    <x v="0"/>
    <x v="6"/>
    <n v="100"/>
    <s v="S18_3259"/>
    <x v="50"/>
    <s v="5085559555"/>
    <s v="4575 Hillside Dr."/>
    <s v=""/>
    <s v="New Bedford"/>
    <s v="MA"/>
    <s v="50553"/>
    <x v="0"/>
    <s v="NA"/>
    <s v="Tam"/>
    <s v="Wing C"/>
    <s v="Wing C, Tam"/>
    <s v="Medium"/>
  </r>
  <r>
    <n v="10196"/>
    <n v="35"/>
    <n v="100"/>
    <n v="3500"/>
    <n v="3500"/>
    <n v="3"/>
    <s v="11/26/2003 0:00"/>
    <x v="0"/>
    <x v="3"/>
    <x v="5"/>
    <x v="0"/>
    <x v="6"/>
    <n v="100"/>
    <s v="S18_3259"/>
    <x v="34"/>
    <s v="2035559545"/>
    <s v="567 North Pendale Street"/>
    <s v=""/>
    <s v="New Haven"/>
    <s v="CT"/>
    <s v="97823"/>
    <x v="0"/>
    <s v="NA"/>
    <s v="Murphy"/>
    <s v="Leslie"/>
    <s v="Leslie, Murphy"/>
    <s v="Medium"/>
  </r>
  <r>
    <n v="10208"/>
    <n v="48"/>
    <n v="100"/>
    <n v="4800"/>
    <n v="4800"/>
    <n v="11"/>
    <s v="1/2/2004 0:00"/>
    <x v="0"/>
    <x v="0"/>
    <x v="7"/>
    <x v="1"/>
    <x v="6"/>
    <n v="100"/>
    <s v="S18_3259"/>
    <x v="30"/>
    <s v="78.32.5555"/>
    <s v="2, rue du Commerce"/>
    <s v=""/>
    <s v="Lyon"/>
    <s v=""/>
    <s v="69004"/>
    <x v="1"/>
    <s v="EMEA"/>
    <s v="Saveley"/>
    <s v="Mary"/>
    <s v="Mary, Saveley"/>
    <s v="Medium"/>
  </r>
  <r>
    <n v="10221"/>
    <n v="23"/>
    <n v="8067"/>
    <n v="185541"/>
    <n v="185541"/>
    <n v="5"/>
    <s v="2/18/2004 0:00"/>
    <x v="0"/>
    <x v="0"/>
    <x v="0"/>
    <x v="1"/>
    <x v="6"/>
    <n v="100"/>
    <s v="S18_3259"/>
    <x v="56"/>
    <s v="(02) 5554 67"/>
    <s v="Rue Joseph-Bens 532"/>
    <s v=""/>
    <s v="Bruxelles"/>
    <s v=""/>
    <s v="B-1180"/>
    <x v="14"/>
    <s v="EMEA"/>
    <s v="Dewey"/>
    <s v="Catherine"/>
    <s v="Catherine, Dewey"/>
    <s v="Small"/>
  </r>
  <r>
    <n v="10232"/>
    <n v="48"/>
    <n v="958"/>
    <n v="45984"/>
    <n v="45984"/>
    <n v="8"/>
    <s v="3/20/2004 0:00"/>
    <x v="0"/>
    <x v="0"/>
    <x v="11"/>
    <x v="1"/>
    <x v="6"/>
    <n v="100"/>
    <s v="S18_3259"/>
    <x v="59"/>
    <s v="(198) 555-8888"/>
    <s v="Garden House Crowther Way"/>
    <s v=""/>
    <s v="Cowes"/>
    <s v="Isle of Wight"/>
    <s v="PO31 7PJ"/>
    <x v="6"/>
    <s v="EMEA"/>
    <s v="Bennett"/>
    <s v="Helen"/>
    <s v="Helen, Bennett"/>
    <s v="Medium"/>
  </r>
  <r>
    <n v="10248"/>
    <n v="42"/>
    <n v="100"/>
    <n v="4200"/>
    <n v="0"/>
    <n v="14"/>
    <s v="5/7/2004 0:00"/>
    <x v="3"/>
    <x v="1"/>
    <x v="1"/>
    <x v="1"/>
    <x v="6"/>
    <n v="100"/>
    <s v="S18_3259"/>
    <x v="0"/>
    <s v="2125557818"/>
    <s v="897 Long Airport Avenue"/>
    <s v=""/>
    <s v="NYC"/>
    <s v="NY"/>
    <s v="10022"/>
    <x v="0"/>
    <s v="NA"/>
    <s v="Yu"/>
    <s v="Kwai"/>
    <s v="Kwai, Yu"/>
    <s v="Medium"/>
  </r>
  <r>
    <n v="10273"/>
    <n v="47"/>
    <n v="100"/>
    <n v="4700"/>
    <n v="4700"/>
    <n v="15"/>
    <s v="7/21/2004 0:00"/>
    <x v="0"/>
    <x v="2"/>
    <x v="2"/>
    <x v="1"/>
    <x v="6"/>
    <n v="100"/>
    <s v="S18_3259"/>
    <x v="56"/>
    <s v="(02) 5554 67"/>
    <s v="Rue Joseph-Bens 532"/>
    <s v=""/>
    <s v="Bruxelles"/>
    <s v=""/>
    <s v="B-1180"/>
    <x v="14"/>
    <s v="EMEA"/>
    <s v="Dewey"/>
    <s v="Catherine"/>
    <s v="Catherine, Dewey"/>
    <s v="Medium"/>
  </r>
  <r>
    <n v="10282"/>
    <n v="36"/>
    <n v="100"/>
    <n v="3600"/>
    <n v="3600"/>
    <n v="3"/>
    <s v="8/20/2004 0:00"/>
    <x v="0"/>
    <x v="2"/>
    <x v="3"/>
    <x v="1"/>
    <x v="6"/>
    <n v="100"/>
    <s v="S18_3259"/>
    <x v="39"/>
    <s v="4155551450"/>
    <s v="5677 Strong St."/>
    <s v=""/>
    <s v="San Rafael"/>
    <s v="CA"/>
    <s v="97562"/>
    <x v="0"/>
    <s v="NA"/>
    <s v="Nelson"/>
    <s v="Valarie"/>
    <s v="Valarie, Nelson"/>
    <s v="Medium"/>
  </r>
  <r>
    <n v="10293"/>
    <n v="22"/>
    <n v="100"/>
    <n v="2200"/>
    <n v="2200"/>
    <n v="6"/>
    <s v="9/9/2004 0:00"/>
    <x v="0"/>
    <x v="2"/>
    <x v="10"/>
    <x v="1"/>
    <x v="6"/>
    <n v="100"/>
    <s v="S18_3259"/>
    <x v="36"/>
    <s v="011-4988555"/>
    <s v="Via Monte Bianco 34"/>
    <s v=""/>
    <s v="Torino"/>
    <s v=""/>
    <s v="10100"/>
    <x v="12"/>
    <s v="EMEA"/>
    <s v="Accorti"/>
    <s v="Paolo"/>
    <s v="Paolo, Accorti"/>
    <s v="Small"/>
  </r>
  <r>
    <n v="10306"/>
    <n v="40"/>
    <n v="9176"/>
    <n v="367040"/>
    <n v="367040"/>
    <n v="11"/>
    <s v="10/14/2004 0:00"/>
    <x v="0"/>
    <x v="3"/>
    <x v="4"/>
    <x v="1"/>
    <x v="6"/>
    <n v="100"/>
    <s v="S18_3259"/>
    <x v="77"/>
    <s v="(171) 555-1555"/>
    <s v="Fauntleroy Circus"/>
    <s v=""/>
    <s v="Manchester"/>
    <s v=""/>
    <s v="EC2 5NT"/>
    <x v="6"/>
    <s v="EMEA"/>
    <s v="Ashworth"/>
    <s v="Victoria"/>
    <s v="Victoria, Ashworth"/>
    <s v="Medium"/>
  </r>
  <r>
    <n v="10314"/>
    <n v="23"/>
    <n v="100"/>
    <n v="2300"/>
    <n v="2300"/>
    <n v="3"/>
    <s v="10/22/2004 0:00"/>
    <x v="0"/>
    <x v="3"/>
    <x v="4"/>
    <x v="1"/>
    <x v="6"/>
    <n v="100"/>
    <s v="S18_3259"/>
    <x v="78"/>
    <s v="86 21 3555"/>
    <s v="Smagsloget 45"/>
    <s v=""/>
    <s v="Aaarhus"/>
    <s v=""/>
    <s v="8200"/>
    <x v="13"/>
    <s v="EMEA"/>
    <s v="Ibsen"/>
    <s v="Palle"/>
    <s v="Palle, Ibsen"/>
    <s v="Small"/>
  </r>
  <r>
    <n v="10326"/>
    <n v="32"/>
    <n v="100"/>
    <n v="3200"/>
    <n v="3200"/>
    <n v="6"/>
    <s v="11/9/2004 0:00"/>
    <x v="0"/>
    <x v="3"/>
    <x v="5"/>
    <x v="1"/>
    <x v="6"/>
    <n v="100"/>
    <s v="S18_3259"/>
    <x v="24"/>
    <s v="0921-12 3555"/>
    <s v="Berguvsv„gen  8"/>
    <s v=""/>
    <s v="Lule"/>
    <s v=""/>
    <s v="S-958 22"/>
    <x v="8"/>
    <s v="EMEA"/>
    <s v="Berglund"/>
    <s v="Christina"/>
    <s v="Christina, Berglund"/>
    <s v="Medium"/>
  </r>
  <r>
    <n v="10336"/>
    <n v="21"/>
    <n v="100"/>
    <n v="2100"/>
    <n v="2100"/>
    <n v="7"/>
    <s v="11/20/2004 0:00"/>
    <x v="0"/>
    <x v="3"/>
    <x v="5"/>
    <x v="1"/>
    <x v="6"/>
    <n v="100"/>
    <s v="S18_3259"/>
    <x v="62"/>
    <s v="(1) 42.34.2555"/>
    <s v="265, boulevard Charonne"/>
    <s v=""/>
    <s v="Paris"/>
    <s v=""/>
    <s v="75012"/>
    <x v="1"/>
    <s v="EMEA"/>
    <s v="Bertrand"/>
    <s v="Marie"/>
    <s v="Marie, Bertrand"/>
    <s v="Small"/>
  </r>
  <r>
    <n v="10350"/>
    <n v="41"/>
    <n v="9304"/>
    <n v="381464"/>
    <n v="381464"/>
    <n v="2"/>
    <s v="12/2/2004 0:00"/>
    <x v="0"/>
    <x v="3"/>
    <x v="6"/>
    <x v="1"/>
    <x v="6"/>
    <n v="100"/>
    <s v="S18_3259"/>
    <x v="23"/>
    <s v="(91) 555 94 44"/>
    <s v="C/ Moralzarzal, 86"/>
    <s v=""/>
    <s v="Madrid"/>
    <s v=""/>
    <s v="28034"/>
    <x v="7"/>
    <s v="EMEA"/>
    <s v="Freyre"/>
    <s v="Diego"/>
    <s v="Diego, Freyre"/>
    <s v="Medium"/>
  </r>
  <r>
    <n v="10372"/>
    <n v="25"/>
    <n v="8471"/>
    <n v="211775"/>
    <n v="211775"/>
    <n v="5"/>
    <s v="1/26/2005 0:00"/>
    <x v="0"/>
    <x v="0"/>
    <x v="7"/>
    <x v="2"/>
    <x v="6"/>
    <n v="100"/>
    <s v="S18_3259"/>
    <x v="35"/>
    <s v="+81 3 3584 0555"/>
    <s v="2-2-8 Roppongi"/>
    <s v=""/>
    <s v="Minato-ku"/>
    <s v="Tokyo"/>
    <s v="106-0032"/>
    <x v="11"/>
    <s v="Japan"/>
    <s v="Shimamura"/>
    <s v="Akiko"/>
    <s v="Akiko, Shimamura"/>
    <s v="Small"/>
  </r>
  <r>
    <n v="10383"/>
    <n v="26"/>
    <n v="100"/>
    <n v="2600"/>
    <n v="2600"/>
    <n v="12"/>
    <s v="2/22/2005 0:00"/>
    <x v="0"/>
    <x v="0"/>
    <x v="0"/>
    <x v="2"/>
    <x v="6"/>
    <n v="100"/>
    <s v="S18_3259"/>
    <x v="23"/>
    <s v="(91) 555 94 44"/>
    <s v="C/ Moralzarzal, 86"/>
    <s v=""/>
    <s v="Madrid"/>
    <s v=""/>
    <s v="28034"/>
    <x v="7"/>
    <s v="EMEA"/>
    <s v="Freyre"/>
    <s v="Diego"/>
    <s v="Diego, Freyre"/>
    <s v="Medium"/>
  </r>
  <r>
    <n v="10396"/>
    <n v="24"/>
    <n v="8975"/>
    <n v="215400"/>
    <n v="215400"/>
    <n v="4"/>
    <s v="3/23/2005 0:00"/>
    <x v="0"/>
    <x v="0"/>
    <x v="11"/>
    <x v="2"/>
    <x v="6"/>
    <n v="100"/>
    <s v="S18_3259"/>
    <x v="39"/>
    <s v="4155551450"/>
    <s v="5677 Strong St."/>
    <s v=""/>
    <s v="San Rafael"/>
    <s v="CA"/>
    <s v="97562"/>
    <x v="0"/>
    <s v="NA"/>
    <s v="Nelson"/>
    <s v="Valarie"/>
    <s v="Valarie, Nelson"/>
    <s v="Small"/>
  </r>
  <r>
    <n v="10414"/>
    <n v="48"/>
    <n v="100"/>
    <n v="4800"/>
    <n v="0"/>
    <n v="14"/>
    <s v="5/6/2005 0:00"/>
    <x v="4"/>
    <x v="1"/>
    <x v="1"/>
    <x v="2"/>
    <x v="6"/>
    <n v="100"/>
    <s v="S18_3259"/>
    <x v="58"/>
    <s v="6175559555"/>
    <s v="8616 Spinnaker Dr."/>
    <s v=""/>
    <s v="Boston"/>
    <s v="MA"/>
    <s v="51003"/>
    <x v="0"/>
    <s v="NA"/>
    <s v="Yoshido"/>
    <s v="Juri"/>
    <s v="Juri, Yoshido"/>
    <s v="Medium"/>
  </r>
  <r>
    <n v="10108"/>
    <n v="26"/>
    <n v="6835"/>
    <n v="177710"/>
    <n v="177710"/>
    <n v="9"/>
    <s v="3/3/2003 0:00"/>
    <x v="0"/>
    <x v="0"/>
    <x v="11"/>
    <x v="0"/>
    <x v="1"/>
    <n v="80"/>
    <s v="S18_3278"/>
    <x v="66"/>
    <s v="+63 2 555 3587"/>
    <s v="15 McCallum Street - NatWest Center #13-03"/>
    <s v=""/>
    <s v="Makati City"/>
    <s v=""/>
    <s v="1227 MM"/>
    <x v="15"/>
    <s v="Japan"/>
    <s v="Cruz"/>
    <s v="Arnold"/>
    <s v="Arnold, Cruz"/>
    <s v="Small"/>
  </r>
  <r>
    <n v="10122"/>
    <n v="21"/>
    <n v="7317"/>
    <n v="153657"/>
    <n v="153657"/>
    <n v="13"/>
    <s v="5/8/2003 0:00"/>
    <x v="0"/>
    <x v="1"/>
    <x v="1"/>
    <x v="0"/>
    <x v="1"/>
    <n v="80"/>
    <s v="S18_3278"/>
    <x v="67"/>
    <s v="91.24.4555"/>
    <s v="12, rue des Bouchers"/>
    <s v=""/>
    <s v="Marseille"/>
    <s v=""/>
    <s v="13008"/>
    <x v="1"/>
    <s v="EMEA"/>
    <s v="Lebihan"/>
    <s v="Laurence"/>
    <s v="Laurence, Lebihan"/>
    <s v="Small"/>
  </r>
  <r>
    <n v="10135"/>
    <n v="45"/>
    <n v="78"/>
    <n v="3510"/>
    <n v="3510"/>
    <n v="10"/>
    <s v="7/2/2003 0:00"/>
    <x v="0"/>
    <x v="2"/>
    <x v="2"/>
    <x v="0"/>
    <x v="1"/>
    <n v="80"/>
    <s v="S18_3278"/>
    <x v="39"/>
    <s v="4155551450"/>
    <s v="5677 Strong St."/>
    <s v=""/>
    <s v="San Rafael"/>
    <s v="CA"/>
    <s v="97562"/>
    <x v="0"/>
    <s v="NA"/>
    <s v="Nelson"/>
    <s v="Valarie"/>
    <s v="Valarie, Nelson"/>
    <s v="Medium"/>
  </r>
  <r>
    <n v="10147"/>
    <n v="36"/>
    <n v="8604"/>
    <n v="309744"/>
    <n v="309744"/>
    <n v="10"/>
    <s v="9/5/2003 0:00"/>
    <x v="0"/>
    <x v="2"/>
    <x v="10"/>
    <x v="0"/>
    <x v="1"/>
    <n v="80"/>
    <s v="S18_3278"/>
    <x v="41"/>
    <s v="6175558555"/>
    <s v="7825 Douglas Av."/>
    <s v=""/>
    <s v="Brickhaven"/>
    <s v="MA"/>
    <s v="58339"/>
    <x v="0"/>
    <s v="NA"/>
    <s v="Nelson"/>
    <s v="Allen"/>
    <s v="Allen, Nelson"/>
    <s v="Medium"/>
  </r>
  <r>
    <n v="10159"/>
    <n v="21"/>
    <n v="8121"/>
    <n v="170541"/>
    <n v="170541"/>
    <n v="5"/>
    <s v="10/10/2003 0:00"/>
    <x v="0"/>
    <x v="3"/>
    <x v="4"/>
    <x v="0"/>
    <x v="1"/>
    <n v="80"/>
    <s v="S18_3278"/>
    <x v="4"/>
    <s v="6505551386"/>
    <s v="7734 Strong St."/>
    <s v=""/>
    <s v="San Francisco"/>
    <s v="CA"/>
    <s v=""/>
    <x v="0"/>
    <s v="NA"/>
    <s v="Brown"/>
    <s v="Julie"/>
    <s v="Julie, Brown"/>
    <s v="Small"/>
  </r>
  <r>
    <n v="10169"/>
    <n v="32"/>
    <n v="7076"/>
    <n v="226432"/>
    <n v="226432"/>
    <n v="5"/>
    <s v="11/4/2003 0:00"/>
    <x v="0"/>
    <x v="3"/>
    <x v="5"/>
    <x v="0"/>
    <x v="1"/>
    <n v="80"/>
    <s v="S18_3278"/>
    <x v="42"/>
    <s v="02 9936 8555"/>
    <s v="201 Miller Street"/>
    <s v="Level 15"/>
    <s v="North Sydney"/>
    <s v="NSW"/>
    <s v="2060"/>
    <x v="3"/>
    <s v="APAC"/>
    <s v="O'Hara"/>
    <s v="Anna"/>
    <s v="Anna, O'Hara"/>
    <s v="Small"/>
  </r>
  <r>
    <n v="10181"/>
    <n v="30"/>
    <n v="8282"/>
    <n v="248460"/>
    <n v="248460"/>
    <n v="17"/>
    <s v="11/12/2003 0:00"/>
    <x v="0"/>
    <x v="3"/>
    <x v="5"/>
    <x v="0"/>
    <x v="1"/>
    <n v="80"/>
    <s v="S18_3278"/>
    <x v="7"/>
    <s v="+47 2267 3215"/>
    <s v="Drammen 121, PR 744 Sentrum"/>
    <s v=""/>
    <s v="Bergen"/>
    <s v=""/>
    <s v="N 5804"/>
    <x v="2"/>
    <s v="EMEA"/>
    <s v="Oeztan"/>
    <s v="Veysel"/>
    <s v="Veysel, Oeztan"/>
    <s v="Small"/>
  </r>
  <r>
    <n v="10191"/>
    <n v="36"/>
    <n v="9488"/>
    <n v="341568"/>
    <n v="341568"/>
    <n v="6"/>
    <s v="11/20/2003 0:00"/>
    <x v="0"/>
    <x v="3"/>
    <x v="5"/>
    <x v="0"/>
    <x v="1"/>
    <n v="80"/>
    <s v="S18_3278"/>
    <x v="68"/>
    <s v="0221-5554327"/>
    <s v="Mehrheimerstr. 369"/>
    <s v=""/>
    <s v="Koln"/>
    <s v=""/>
    <s v="50739"/>
    <x v="16"/>
    <s v="EMEA"/>
    <s v="Pfalzheim"/>
    <s v="Henriette"/>
    <s v="Henriette, Pfalzheim"/>
    <s v="Medium"/>
  </r>
  <r>
    <n v="10203"/>
    <n v="33"/>
    <n v="8604"/>
    <n v="283932"/>
    <n v="283932"/>
    <n v="11"/>
    <s v="12/2/2003 0:00"/>
    <x v="0"/>
    <x v="3"/>
    <x v="6"/>
    <x v="0"/>
    <x v="1"/>
    <n v="80"/>
    <s v="S18_3278"/>
    <x v="23"/>
    <s v="(91) 555 94 44"/>
    <s v="C/ Moralzarzal, 86"/>
    <s v=""/>
    <s v="Madrid"/>
    <s v=""/>
    <s v="28034"/>
    <x v="7"/>
    <s v="EMEA"/>
    <s v="Freyre"/>
    <s v="Diego"/>
    <s v="Diego, Freyre"/>
    <s v="Small"/>
  </r>
  <r>
    <n v="10211"/>
    <n v="35"/>
    <n v="78"/>
    <n v="2730"/>
    <n v="2730"/>
    <n v="5"/>
    <s v="1/15/2004 0:00"/>
    <x v="0"/>
    <x v="0"/>
    <x v="7"/>
    <x v="1"/>
    <x v="1"/>
    <n v="80"/>
    <s v="S18_3278"/>
    <x v="9"/>
    <s v="(1) 47.55.6555"/>
    <s v="25, rue Lauriston"/>
    <s v=""/>
    <s v="Paris"/>
    <s v=""/>
    <s v="75016"/>
    <x v="1"/>
    <s v="EMEA"/>
    <s v="Perrier"/>
    <s v="Dominique"/>
    <s v="Dominique, Perrier"/>
    <s v="Small"/>
  </r>
  <r>
    <n v="10225"/>
    <n v="37"/>
    <n v="9569"/>
    <n v="354053"/>
    <n v="354053"/>
    <n v="12"/>
    <s v="2/22/2004 0:00"/>
    <x v="0"/>
    <x v="0"/>
    <x v="0"/>
    <x v="1"/>
    <x v="1"/>
    <n v="80"/>
    <s v="S18_3278"/>
    <x v="69"/>
    <s v="0897-034555"/>
    <s v="Grenzacherweg 237"/>
    <s v=""/>
    <s v="Gensve"/>
    <s v=""/>
    <s v="1203"/>
    <x v="17"/>
    <s v="EMEA"/>
    <s v="Holz"/>
    <s v="Michael"/>
    <s v="Michael, Holz"/>
    <s v="Medium"/>
  </r>
  <r>
    <n v="10238"/>
    <n v="41"/>
    <n v="7317"/>
    <n v="299997"/>
    <n v="299997"/>
    <n v="6"/>
    <s v="4/9/2004 0:00"/>
    <x v="0"/>
    <x v="1"/>
    <x v="8"/>
    <x v="1"/>
    <x v="1"/>
    <n v="80"/>
    <s v="S18_3278"/>
    <x v="48"/>
    <s v="31 12 3555"/>
    <s v="Vinb'ltet 34"/>
    <s v=""/>
    <s v="Kobenhavn"/>
    <s v=""/>
    <s v="1734"/>
    <x v="13"/>
    <s v="EMEA"/>
    <s v="Petersen"/>
    <s v="Jytte"/>
    <s v="Jytte, Petersen"/>
    <s v="Small"/>
  </r>
  <r>
    <n v="10252"/>
    <n v="20"/>
    <n v="7639"/>
    <n v="152780"/>
    <n v="152780"/>
    <n v="2"/>
    <s v="5/26/2004 0:00"/>
    <x v="0"/>
    <x v="1"/>
    <x v="1"/>
    <x v="1"/>
    <x v="1"/>
    <n v="80"/>
    <s v="S18_3278"/>
    <x v="9"/>
    <s v="(1) 47.55.6555"/>
    <s v="25, rue Lauriston"/>
    <s v=""/>
    <s v="Paris"/>
    <s v=""/>
    <s v="75016"/>
    <x v="1"/>
    <s v="EMEA"/>
    <s v="Perrier"/>
    <s v="Dominique"/>
    <s v="Dominique, Perrier"/>
    <s v="Small"/>
  </r>
  <r>
    <n v="10265"/>
    <n v="45"/>
    <n v="8684"/>
    <n v="390780"/>
    <n v="390780"/>
    <n v="2"/>
    <s v="7/2/2004 0:00"/>
    <x v="0"/>
    <x v="2"/>
    <x v="2"/>
    <x v="1"/>
    <x v="1"/>
    <n v="80"/>
    <s v="S18_3278"/>
    <x v="87"/>
    <s v="61-9-3844-6555"/>
    <s v="7 Allen Street"/>
    <s v=""/>
    <s v="Glen Waverly"/>
    <s v="Victoria"/>
    <s v="3150"/>
    <x v="3"/>
    <s v="APAC"/>
    <s v="Connery"/>
    <s v="Sean"/>
    <s v="Sean, Connery"/>
    <s v="Medium"/>
  </r>
  <r>
    <n v="10276"/>
    <n v="38"/>
    <n v="6996"/>
    <n v="265848"/>
    <n v="265848"/>
    <n v="6"/>
    <s v="8/2/2004 0:00"/>
    <x v="0"/>
    <x v="2"/>
    <x v="3"/>
    <x v="1"/>
    <x v="1"/>
    <n v="80"/>
    <s v="S18_3278"/>
    <x v="71"/>
    <s v="6175557555"/>
    <s v="7635 Spinnaker Dr."/>
    <s v=""/>
    <s v="Brickhaven"/>
    <s v="MA"/>
    <s v="58339"/>
    <x v="0"/>
    <s v="NA"/>
    <s v="Barajas"/>
    <s v="Miguel"/>
    <s v="Miguel, Barajas"/>
    <s v="Small"/>
  </r>
  <r>
    <n v="10287"/>
    <n v="43"/>
    <n v="7076"/>
    <n v="304268"/>
    <n v="304268"/>
    <n v="15"/>
    <s v="8/30/2004 0:00"/>
    <x v="0"/>
    <x v="2"/>
    <x v="3"/>
    <x v="1"/>
    <x v="1"/>
    <n v="80"/>
    <s v="S18_3278"/>
    <x v="69"/>
    <s v="0897-034555"/>
    <s v="Grenzacherweg 237"/>
    <s v=""/>
    <s v="Gensve"/>
    <s v=""/>
    <s v="1203"/>
    <x v="17"/>
    <s v="EMEA"/>
    <s v="Holz"/>
    <s v="Michael"/>
    <s v="Michael, Holz"/>
    <s v="Medium"/>
  </r>
  <r>
    <n v="10300"/>
    <n v="49"/>
    <n v="788"/>
    <n v="38612"/>
    <n v="38612"/>
    <n v="8"/>
    <s v="10/4/2003 0:00"/>
    <x v="0"/>
    <x v="3"/>
    <x v="4"/>
    <x v="0"/>
    <x v="1"/>
    <n v="80"/>
    <s v="S18_3278"/>
    <x v="72"/>
    <s v="+49 69 66 90 2555"/>
    <s v="Lyonerstr. 34"/>
    <s v=""/>
    <s v="Frankfurt"/>
    <s v=""/>
    <s v="60528"/>
    <x v="16"/>
    <s v="EMEA"/>
    <s v="Keitel"/>
    <s v="Roland"/>
    <s v="Roland, Keitel"/>
    <s v="Medium"/>
  </r>
  <r>
    <n v="10310"/>
    <n v="27"/>
    <n v="8041"/>
    <n v="217107"/>
    <n v="217107"/>
    <n v="13"/>
    <s v="10/16/2004 0:00"/>
    <x v="0"/>
    <x v="3"/>
    <x v="4"/>
    <x v="1"/>
    <x v="1"/>
    <n v="80"/>
    <s v="S18_3278"/>
    <x v="68"/>
    <s v="0221-5554327"/>
    <s v="Mehrheimerstr. 369"/>
    <s v=""/>
    <s v="Koln"/>
    <s v=""/>
    <s v="50739"/>
    <x v="16"/>
    <s v="EMEA"/>
    <s v="Pfalzheim"/>
    <s v="Henriette"/>
    <s v="Henriette, Pfalzheim"/>
    <s v="Small"/>
  </r>
  <r>
    <n v="10319"/>
    <n v="46"/>
    <n v="7398"/>
    <n v="340308"/>
    <n v="340308"/>
    <n v="1"/>
    <s v="11/3/2004 0:00"/>
    <x v="0"/>
    <x v="3"/>
    <x v="5"/>
    <x v="1"/>
    <x v="1"/>
    <n v="80"/>
    <s v="S18_3278"/>
    <x v="79"/>
    <s v="2125551957"/>
    <s v="5290 North Pendale Street"/>
    <s v="Suite 200"/>
    <s v="NYC"/>
    <s v="NY"/>
    <s v="10022"/>
    <x v="0"/>
    <s v="NA"/>
    <s v="Kuo"/>
    <s v="Kee"/>
    <s v="Kee, Kuo"/>
    <s v="Medium"/>
  </r>
  <r>
    <n v="10329"/>
    <n v="38"/>
    <n v="591"/>
    <n v="22458"/>
    <n v="22458"/>
    <n v="10"/>
    <s v="11/15/2004 0:00"/>
    <x v="0"/>
    <x v="3"/>
    <x v="5"/>
    <x v="1"/>
    <x v="1"/>
    <n v="80"/>
    <s v="S18_3278"/>
    <x v="0"/>
    <s v="2125557818"/>
    <s v="897 Long Airport Avenue"/>
    <s v=""/>
    <s v="NYC"/>
    <s v="NY"/>
    <s v="10022"/>
    <x v="0"/>
    <s v="NA"/>
    <s v="Yu"/>
    <s v="Kwai"/>
    <s v="Kwai, Yu"/>
    <s v="Small"/>
  </r>
  <r>
    <n v="10342"/>
    <n v="25"/>
    <n v="6674"/>
    <n v="166850"/>
    <n v="166850"/>
    <n v="5"/>
    <s v="11/24/2004 0:00"/>
    <x v="0"/>
    <x v="3"/>
    <x v="5"/>
    <x v="1"/>
    <x v="1"/>
    <n v="80"/>
    <s v="S18_3278"/>
    <x v="10"/>
    <s v="03 9520 4555"/>
    <s v="636 St Kilda Road"/>
    <s v="Level 3"/>
    <s v="Melbourne"/>
    <s v="Victoria"/>
    <s v="3004"/>
    <x v="3"/>
    <s v="APAC"/>
    <s v="Ferguson"/>
    <s v="Peter"/>
    <s v="Peter, Ferguson"/>
    <s v="Small"/>
  </r>
  <r>
    <n v="10363"/>
    <n v="46"/>
    <n v="603"/>
    <n v="27738"/>
    <n v="27738"/>
    <n v="10"/>
    <s v="1/6/2005 0:00"/>
    <x v="0"/>
    <x v="0"/>
    <x v="7"/>
    <x v="2"/>
    <x v="1"/>
    <n v="80"/>
    <s v="S18_3278"/>
    <x v="73"/>
    <s v="+358 9 8045 555"/>
    <s v="Software Engineering Center, SEC Oy"/>
    <s v=""/>
    <s v="Espoo"/>
    <s v=""/>
    <s v="FIN-02271"/>
    <x v="4"/>
    <s v="EMEA"/>
    <s v="Suominen"/>
    <s v="Kalle"/>
    <s v="Kalle, Suominen"/>
    <s v="Small"/>
  </r>
  <r>
    <n v="10378"/>
    <n v="22"/>
    <n v="100"/>
    <n v="2200"/>
    <n v="2200"/>
    <n v="4"/>
    <s v="2/10/2005 0:00"/>
    <x v="0"/>
    <x v="0"/>
    <x v="0"/>
    <x v="2"/>
    <x v="1"/>
    <n v="80"/>
    <s v="S18_3278"/>
    <x v="23"/>
    <s v="(91) 555 94 44"/>
    <s v="C/ Moralzarzal, 86"/>
    <s v=""/>
    <s v="Madrid"/>
    <s v=""/>
    <s v="28034"/>
    <x v="7"/>
    <s v="EMEA"/>
    <s v="Freyre"/>
    <s v="Diego"/>
    <s v="Diego, Freyre"/>
    <s v="Small"/>
  </r>
  <r>
    <n v="10390"/>
    <n v="40"/>
    <n v="100"/>
    <n v="4000"/>
    <n v="4000"/>
    <n v="9"/>
    <s v="3/4/2005 0:00"/>
    <x v="0"/>
    <x v="0"/>
    <x v="11"/>
    <x v="2"/>
    <x v="1"/>
    <n v="80"/>
    <s v="S18_3278"/>
    <x v="39"/>
    <s v="4155551450"/>
    <s v="5677 Strong St."/>
    <s v=""/>
    <s v="San Rafael"/>
    <s v="CA"/>
    <s v="97562"/>
    <x v="0"/>
    <s v="NA"/>
    <s v="Nelson"/>
    <s v="Valarie"/>
    <s v="Valarie, Nelson"/>
    <s v="Medium"/>
  </r>
  <r>
    <n v="10103"/>
    <n v="46"/>
    <n v="100"/>
    <n v="4600"/>
    <n v="4600"/>
    <n v="16"/>
    <s v="1/29/2003 0:00"/>
    <x v="0"/>
    <x v="0"/>
    <x v="7"/>
    <x v="0"/>
    <x v="3"/>
    <n v="99"/>
    <s v="S18_3320"/>
    <x v="17"/>
    <s v="07-98 9555"/>
    <s v="Erling Skakkes gate 78"/>
    <s v=""/>
    <s v="Stavern"/>
    <s v=""/>
    <s v="4110"/>
    <x v="2"/>
    <s v="EMEA"/>
    <s v="Bergulfsen"/>
    <s v="Jonas"/>
    <s v="Jonas, Bergulfsen"/>
    <s v="Medium"/>
  </r>
  <r>
    <n v="10111"/>
    <n v="39"/>
    <n v="100"/>
    <n v="3900"/>
    <n v="3900"/>
    <n v="4"/>
    <s v="3/25/2003 0:00"/>
    <x v="0"/>
    <x v="0"/>
    <x v="11"/>
    <x v="0"/>
    <x v="3"/>
    <n v="99"/>
    <s v="S18_3320"/>
    <x v="8"/>
    <s v="6505555787"/>
    <s v="5557 North Pendale Street"/>
    <s v=""/>
    <s v="San Francisco"/>
    <s v="CA"/>
    <s v=""/>
    <x v="0"/>
    <s v="NA"/>
    <s v="Murphy"/>
    <s v="Julie"/>
    <s v="Julie, Murphy"/>
    <s v="Medium"/>
  </r>
  <r>
    <n v="10126"/>
    <n v="38"/>
    <n v="8234"/>
    <n v="312892"/>
    <n v="312892"/>
    <n v="16"/>
    <s v="5/28/2003 0:00"/>
    <x v="0"/>
    <x v="1"/>
    <x v="1"/>
    <x v="0"/>
    <x v="3"/>
    <n v="99"/>
    <s v="S18_3320"/>
    <x v="25"/>
    <s v="(91) 555 22 82"/>
    <s v="C/ Araquil, 67"/>
    <s v=""/>
    <s v="Madrid"/>
    <s v=""/>
    <s v="28023"/>
    <x v="7"/>
    <s v="EMEA"/>
    <s v="Sommer"/>
    <s v="Mart¡n"/>
    <s v="Mart¡n, Sommer"/>
    <s v="Medium"/>
  </r>
  <r>
    <n v="10139"/>
    <n v="30"/>
    <n v="100"/>
    <n v="3000"/>
    <n v="3000"/>
    <n v="5"/>
    <s v="7/16/2003 0:00"/>
    <x v="0"/>
    <x v="2"/>
    <x v="2"/>
    <x v="0"/>
    <x v="3"/>
    <n v="99"/>
    <s v="S18_3320"/>
    <x v="20"/>
    <s v="+61 2 9495 8555"/>
    <s v="Monitor Money Building, 815 Pacific Hwy"/>
    <s v="Level 6"/>
    <s v="Chatswood"/>
    <s v="NSW"/>
    <s v="2067"/>
    <x v="3"/>
    <s v="APAC"/>
    <s v="Huxley"/>
    <s v="Adrian"/>
    <s v="Adrian, Huxley"/>
    <s v="Medium"/>
  </r>
  <r>
    <n v="10149"/>
    <n v="42"/>
    <n v="9425"/>
    <n v="395850"/>
    <n v="395850"/>
    <n v="2"/>
    <s v="9/12/2003 0:00"/>
    <x v="0"/>
    <x v="2"/>
    <x v="10"/>
    <x v="0"/>
    <x v="3"/>
    <n v="99"/>
    <s v="S18_3320"/>
    <x v="82"/>
    <s v="4155554312"/>
    <s v="2793 Furth Circle"/>
    <s v=""/>
    <s v="Brisbane"/>
    <s v="CA"/>
    <s v="94217"/>
    <x v="0"/>
    <s v="NA"/>
    <s v="Taylor"/>
    <s v="Sue"/>
    <s v="Sue, Taylor"/>
    <s v="Medium"/>
  </r>
  <r>
    <n v="10163"/>
    <n v="43"/>
    <n v="100"/>
    <n v="4300"/>
    <n v="4300"/>
    <n v="6"/>
    <s v="10/20/2003 0:00"/>
    <x v="0"/>
    <x v="3"/>
    <x v="4"/>
    <x v="0"/>
    <x v="3"/>
    <n v="99"/>
    <s v="S18_3320"/>
    <x v="27"/>
    <s v="2125558493"/>
    <s v="5905 Pompton St."/>
    <s v="Suite 750"/>
    <s v="NYC"/>
    <s v="NY"/>
    <s v="10022"/>
    <x v="0"/>
    <s v="NA"/>
    <s v="Hernandez"/>
    <s v="Maria"/>
    <s v="Maria, Hernandez"/>
    <s v="Medium"/>
  </r>
  <r>
    <n v="10173"/>
    <n v="29"/>
    <n v="9524"/>
    <n v="276196"/>
    <n v="276196"/>
    <n v="4"/>
    <s v="11/5/2003 0:00"/>
    <x v="0"/>
    <x v="3"/>
    <x v="5"/>
    <x v="0"/>
    <x v="3"/>
    <n v="99"/>
    <s v="S18_3320"/>
    <x v="86"/>
    <s v="035-640555"/>
    <s v="Via Ludovico il Moro 22"/>
    <s v=""/>
    <s v="Bergamo"/>
    <s v=""/>
    <s v="24100"/>
    <x v="12"/>
    <s v="EMEA"/>
    <s v="Rovelli"/>
    <s v="Giovanni"/>
    <s v="Giovanni, Rovelli"/>
    <s v="Small"/>
  </r>
  <r>
    <n v="10182"/>
    <n v="33"/>
    <n v="8631"/>
    <n v="284823"/>
    <n v="284823"/>
    <n v="1"/>
    <s v="11/12/2003 0:00"/>
    <x v="0"/>
    <x v="3"/>
    <x v="5"/>
    <x v="0"/>
    <x v="3"/>
    <n v="99"/>
    <s v="S18_3320"/>
    <x v="39"/>
    <s v="4155551450"/>
    <s v="5677 Strong St."/>
    <s v=""/>
    <s v="San Rafael"/>
    <s v="CA"/>
    <s v="97562"/>
    <x v="0"/>
    <s v="NA"/>
    <s v="Nelson"/>
    <s v="Valarie"/>
    <s v="Valarie, Nelson"/>
    <s v="Small"/>
  </r>
  <r>
    <n v="10193"/>
    <n v="32"/>
    <n v="7937"/>
    <n v="253984"/>
    <n v="253984"/>
    <n v="5"/>
    <s v="11/21/2003 0:00"/>
    <x v="0"/>
    <x v="3"/>
    <x v="5"/>
    <x v="0"/>
    <x v="3"/>
    <n v="99"/>
    <s v="S18_3320"/>
    <x v="87"/>
    <s v="61-9-3844-6555"/>
    <s v="7 Allen Street"/>
    <s v=""/>
    <s v="Glen Waverly"/>
    <s v="Victoria"/>
    <s v="3150"/>
    <x v="3"/>
    <s v="APAC"/>
    <s v="Connery"/>
    <s v="Sean"/>
    <s v="Sean, Connery"/>
    <s v="Small"/>
  </r>
  <r>
    <n v="10206"/>
    <n v="28"/>
    <n v="873"/>
    <n v="24444"/>
    <n v="24444"/>
    <n v="11"/>
    <s v="12/5/2003 0:00"/>
    <x v="0"/>
    <x v="3"/>
    <x v="6"/>
    <x v="0"/>
    <x v="3"/>
    <n v="99"/>
    <s v="S18_3320"/>
    <x v="31"/>
    <s v="(604) 555-3392"/>
    <s v="1900 Oak St."/>
    <s v=""/>
    <s v="Vancouver"/>
    <s v="BC"/>
    <s v="V3F 2K1"/>
    <x v="10"/>
    <s v="NA"/>
    <s v="Tannamuri"/>
    <s v="Yoshi"/>
    <s v="Yoshi, Tannamuri"/>
    <s v="Small"/>
  </r>
  <r>
    <n v="10215"/>
    <n v="41"/>
    <n v="100"/>
    <n v="4100"/>
    <n v="4100"/>
    <n v="8"/>
    <s v="1/29/2004 0:00"/>
    <x v="0"/>
    <x v="0"/>
    <x v="7"/>
    <x v="1"/>
    <x v="3"/>
    <n v="99"/>
    <s v="S18_3320"/>
    <x v="32"/>
    <s v="3105553722"/>
    <s v="3675 Furth Circle"/>
    <s v=""/>
    <s v="Burbank"/>
    <s v="CA"/>
    <s v="94019"/>
    <x v="0"/>
    <s v="NA"/>
    <s v="Thompson"/>
    <s v="Steve"/>
    <s v="Steve, Thompson"/>
    <s v="Medium"/>
  </r>
  <r>
    <n v="10227"/>
    <n v="33"/>
    <n v="100"/>
    <n v="3300"/>
    <n v="3300"/>
    <n v="1"/>
    <s v="3/2/2004 0:00"/>
    <x v="0"/>
    <x v="0"/>
    <x v="11"/>
    <x v="1"/>
    <x v="3"/>
    <n v="99"/>
    <s v="S18_3320"/>
    <x v="30"/>
    <s v="78.32.5555"/>
    <s v="2, rue du Commerce"/>
    <s v=""/>
    <s v="Lyon"/>
    <s v=""/>
    <s v="69004"/>
    <x v="1"/>
    <s v="EMEA"/>
    <s v="Saveley"/>
    <s v="Mary"/>
    <s v="Mary, Saveley"/>
    <s v="Medium"/>
  </r>
  <r>
    <n v="10244"/>
    <n v="36"/>
    <n v="8433"/>
    <n v="303588"/>
    <n v="303588"/>
    <n v="5"/>
    <s v="4/29/2004 0:00"/>
    <x v="0"/>
    <x v="1"/>
    <x v="8"/>
    <x v="1"/>
    <x v="3"/>
    <n v="99"/>
    <s v="S18_3320"/>
    <x v="23"/>
    <s v="(91) 555 94 44"/>
    <s v="C/ Moralzarzal, 86"/>
    <s v=""/>
    <s v="Madrid"/>
    <s v=""/>
    <s v="28034"/>
    <x v="7"/>
    <s v="EMEA"/>
    <s v="Freyre"/>
    <s v="Diego"/>
    <s v="Diego, Freyre"/>
    <s v="Medium"/>
  </r>
  <r>
    <n v="10257"/>
    <n v="26"/>
    <n v="8929"/>
    <n v="232154"/>
    <n v="232154"/>
    <n v="5"/>
    <s v="6/14/2004 0:00"/>
    <x v="0"/>
    <x v="1"/>
    <x v="9"/>
    <x v="1"/>
    <x v="3"/>
    <n v="99"/>
    <s v="S18_3320"/>
    <x v="61"/>
    <s v="4085553659"/>
    <s v="3086 Ingle Ln."/>
    <s v=""/>
    <s v="San Jose"/>
    <s v="CA"/>
    <s v="94217"/>
    <x v="0"/>
    <s v="NA"/>
    <s v="Frick"/>
    <s v="Sue"/>
    <s v="Sue, Frick"/>
    <s v="Small"/>
  </r>
  <r>
    <n v="10280"/>
    <n v="34"/>
    <n v="100"/>
    <n v="3400"/>
    <n v="3400"/>
    <n v="7"/>
    <s v="8/17/2004 0:00"/>
    <x v="0"/>
    <x v="2"/>
    <x v="3"/>
    <x v="1"/>
    <x v="3"/>
    <n v="99"/>
    <s v="S18_3320"/>
    <x v="36"/>
    <s v="011-4988555"/>
    <s v="Via Monte Bianco 34"/>
    <s v=""/>
    <s v="Torino"/>
    <s v=""/>
    <s v="10100"/>
    <x v="12"/>
    <s v="EMEA"/>
    <s v="Accorti"/>
    <s v="Paolo"/>
    <s v="Paolo, Accorti"/>
    <s v="Medium"/>
  </r>
  <r>
    <n v="10290"/>
    <n v="26"/>
    <n v="9623"/>
    <n v="250198"/>
    <n v="250198"/>
    <n v="2"/>
    <s v="9/7/2004 0:00"/>
    <x v="0"/>
    <x v="2"/>
    <x v="10"/>
    <x v="1"/>
    <x v="3"/>
    <n v="99"/>
    <s v="S18_3320"/>
    <x v="91"/>
    <s v="6175558428"/>
    <s v="16780 Pompton St."/>
    <s v=""/>
    <s v="Brickhaven"/>
    <s v="MA"/>
    <s v="58339"/>
    <x v="0"/>
    <s v="NA"/>
    <s v="Taylor"/>
    <s v="Leslie"/>
    <s v="Leslie, Taylor"/>
    <s v="Small"/>
  </r>
  <r>
    <n v="10304"/>
    <n v="38"/>
    <n v="100"/>
    <n v="3800"/>
    <n v="3800"/>
    <n v="11"/>
    <s v="10/11/2004 0:00"/>
    <x v="0"/>
    <x v="3"/>
    <x v="4"/>
    <x v="1"/>
    <x v="3"/>
    <n v="99"/>
    <s v="S18_3320"/>
    <x v="38"/>
    <s v="30.59.8555"/>
    <s v="67, avenue de l'Europe"/>
    <s v=""/>
    <s v="Versailles"/>
    <s v=""/>
    <s v="78000"/>
    <x v="1"/>
    <s v="EMEA"/>
    <s v="Tonini"/>
    <s v="Daniel"/>
    <s v="Daniel, Tonini"/>
    <s v="Medium"/>
  </r>
  <r>
    <n v="10312"/>
    <n v="33"/>
    <n v="100"/>
    <n v="3300"/>
    <n v="3300"/>
    <n v="8"/>
    <s v="10/21/2004 0:00"/>
    <x v="0"/>
    <x v="3"/>
    <x v="4"/>
    <x v="1"/>
    <x v="3"/>
    <n v="99"/>
    <s v="S18_3320"/>
    <x v="39"/>
    <s v="4155551450"/>
    <s v="5677 Strong St."/>
    <s v=""/>
    <s v="San Rafael"/>
    <s v="CA"/>
    <s v="97562"/>
    <x v="0"/>
    <s v="NA"/>
    <s v="Nelson"/>
    <s v="Valarie"/>
    <s v="Valarie, Nelson"/>
    <s v="Medium"/>
  </r>
  <r>
    <n v="10323"/>
    <n v="33"/>
    <n v="9127"/>
    <n v="301191"/>
    <n v="301191"/>
    <n v="2"/>
    <s v="11/5/2004 0:00"/>
    <x v="0"/>
    <x v="3"/>
    <x v="5"/>
    <x v="1"/>
    <x v="3"/>
    <n v="99"/>
    <s v="S18_3320"/>
    <x v="72"/>
    <s v="+49 69 66 90 2555"/>
    <s v="Lyonerstr. 34"/>
    <s v=""/>
    <s v="Frankfurt"/>
    <s v=""/>
    <s v="60528"/>
    <x v="16"/>
    <s v="EMEA"/>
    <s v="Keitel"/>
    <s v="Roland"/>
    <s v="Roland, Keitel"/>
    <s v="Medium"/>
  </r>
  <r>
    <n v="10333"/>
    <n v="46"/>
    <n v="100"/>
    <n v="4600"/>
    <n v="4600"/>
    <n v="2"/>
    <s v="11/18/2004 0:00"/>
    <x v="0"/>
    <x v="3"/>
    <x v="5"/>
    <x v="1"/>
    <x v="3"/>
    <n v="99"/>
    <s v="S18_3320"/>
    <x v="8"/>
    <s v="6505555787"/>
    <s v="5557 North Pendale Street"/>
    <s v=""/>
    <s v="San Francisco"/>
    <s v="CA"/>
    <s v=""/>
    <x v="0"/>
    <s v="NA"/>
    <s v="Murphy"/>
    <s v="Julie"/>
    <s v="Julie, Murphy"/>
    <s v="Large"/>
  </r>
  <r>
    <n v="10347"/>
    <n v="26"/>
    <n v="100"/>
    <n v="2600"/>
    <n v="2600"/>
    <n v="12"/>
    <s v="11/29/2004 0:00"/>
    <x v="0"/>
    <x v="3"/>
    <x v="5"/>
    <x v="1"/>
    <x v="3"/>
    <n v="99"/>
    <s v="S18_3320"/>
    <x v="10"/>
    <s v="03 9520 4555"/>
    <s v="636 St Kilda Road"/>
    <s v="Level 3"/>
    <s v="Melbourne"/>
    <s v="Victoria"/>
    <s v="3004"/>
    <x v="3"/>
    <s v="APAC"/>
    <s v="Ferguson"/>
    <s v="Peter"/>
    <s v="Peter, Ferguson"/>
    <s v="Small"/>
  </r>
  <r>
    <n v="10357"/>
    <n v="25"/>
    <n v="100"/>
    <n v="2500"/>
    <n v="2500"/>
    <n v="3"/>
    <s v="12/10/2004 0:00"/>
    <x v="0"/>
    <x v="3"/>
    <x v="6"/>
    <x v="1"/>
    <x v="3"/>
    <n v="99"/>
    <s v="S18_3320"/>
    <x v="39"/>
    <s v="4155551450"/>
    <s v="5677 Strong St."/>
    <s v=""/>
    <s v="San Rafael"/>
    <s v="CA"/>
    <s v="97562"/>
    <x v="0"/>
    <s v="NA"/>
    <s v="Nelson"/>
    <s v="Valarie"/>
    <s v="Valarie, Nelson"/>
    <s v="Small"/>
  </r>
  <r>
    <n v="10369"/>
    <n v="45"/>
    <n v="7308"/>
    <n v="328860"/>
    <n v="328860"/>
    <n v="4"/>
    <s v="1/20/2005 0:00"/>
    <x v="0"/>
    <x v="0"/>
    <x v="7"/>
    <x v="2"/>
    <x v="3"/>
    <n v="99"/>
    <s v="S18_3320"/>
    <x v="41"/>
    <s v="6175558555"/>
    <s v="7825 Douglas Av."/>
    <s v=""/>
    <s v="Brickhaven"/>
    <s v="MA"/>
    <s v="58339"/>
    <x v="0"/>
    <s v="NA"/>
    <s v="Nelson"/>
    <s v="Allen"/>
    <s v="Allen, Nelson"/>
    <s v="Medium"/>
  </r>
  <r>
    <n v="10382"/>
    <n v="50"/>
    <n v="100"/>
    <n v="5000"/>
    <n v="5000"/>
    <n v="7"/>
    <s v="2/17/2005 0:00"/>
    <x v="0"/>
    <x v="0"/>
    <x v="0"/>
    <x v="2"/>
    <x v="3"/>
    <n v="99"/>
    <s v="S18_3320"/>
    <x v="39"/>
    <s v="4155551450"/>
    <s v="5677 Strong St."/>
    <s v=""/>
    <s v="San Rafael"/>
    <s v="CA"/>
    <s v="97562"/>
    <x v="0"/>
    <s v="NA"/>
    <s v="Nelson"/>
    <s v="Valarie"/>
    <s v="Valarie, Nelson"/>
    <s v="Large"/>
  </r>
  <r>
    <n v="10392"/>
    <n v="36"/>
    <n v="100"/>
    <n v="3600"/>
    <n v="3600"/>
    <n v="1"/>
    <s v="3/10/2005 0:00"/>
    <x v="0"/>
    <x v="0"/>
    <x v="11"/>
    <x v="2"/>
    <x v="3"/>
    <n v="99"/>
    <s v="S18_3320"/>
    <x v="63"/>
    <s v="7675-3555"/>
    <s v="Kirchgasse 6"/>
    <s v=""/>
    <s v="Graz"/>
    <s v=""/>
    <s v="8010"/>
    <x v="5"/>
    <s v="EMEA"/>
    <s v="Mendel"/>
    <s v="Roland"/>
    <s v="Roland, Mendel"/>
    <s v="Medium"/>
  </r>
  <r>
    <n v="10423"/>
    <n v="21"/>
    <n v="8929"/>
    <n v="187509"/>
    <n v="0"/>
    <n v="5"/>
    <s v="5/30/2005 0:00"/>
    <x v="2"/>
    <x v="1"/>
    <x v="1"/>
    <x v="2"/>
    <x v="3"/>
    <n v="99"/>
    <s v="S18_3320"/>
    <x v="56"/>
    <s v="(02) 5554 67"/>
    <s v="Rue Joseph-Bens 532"/>
    <s v=""/>
    <s v="Bruxelles"/>
    <s v=""/>
    <s v="B-1180"/>
    <x v="14"/>
    <s v="EMEA"/>
    <s v="Dewey"/>
    <s v="Catherine"/>
    <s v="Catherine, Dewey"/>
    <s v="Small"/>
  </r>
  <r>
    <n v="10108"/>
    <n v="29"/>
    <n v="100"/>
    <n v="2900"/>
    <n v="2900"/>
    <n v="8"/>
    <s v="3/3/2003 0:00"/>
    <x v="0"/>
    <x v="0"/>
    <x v="11"/>
    <x v="0"/>
    <x v="1"/>
    <n v="146"/>
    <s v="S18_3482"/>
    <x v="66"/>
    <s v="+63 2 555 3587"/>
    <s v="15 McCallum Street - NatWest Center #13-03"/>
    <s v=""/>
    <s v="Makati City"/>
    <s v=""/>
    <s v="1227 MM"/>
    <x v="15"/>
    <s v="Japan"/>
    <s v="Cruz"/>
    <s v="Arnold"/>
    <s v="Arnold, Cruz"/>
    <s v="Medium"/>
  </r>
  <r>
    <n v="10122"/>
    <n v="21"/>
    <n v="100"/>
    <n v="2100"/>
    <n v="2100"/>
    <n v="12"/>
    <s v="5/8/2003 0:00"/>
    <x v="0"/>
    <x v="1"/>
    <x v="1"/>
    <x v="0"/>
    <x v="1"/>
    <n v="146"/>
    <s v="S18_3482"/>
    <x v="67"/>
    <s v="91.24.4555"/>
    <s v="12, rue des Bouchers"/>
    <s v=""/>
    <s v="Marseille"/>
    <s v=""/>
    <s v="13008"/>
    <x v="1"/>
    <s v="EMEA"/>
    <s v="Lebihan"/>
    <s v="Laurence"/>
    <s v="Laurence, Lebihan"/>
    <s v="Small"/>
  </r>
  <r>
    <n v="10135"/>
    <n v="42"/>
    <n v="100"/>
    <n v="4200"/>
    <n v="4200"/>
    <n v="9"/>
    <s v="7/2/2003 0:00"/>
    <x v="0"/>
    <x v="2"/>
    <x v="2"/>
    <x v="0"/>
    <x v="1"/>
    <n v="146"/>
    <s v="S18_3482"/>
    <x v="39"/>
    <s v="4155551450"/>
    <s v="5677 Strong St."/>
    <s v=""/>
    <s v="San Rafael"/>
    <s v="CA"/>
    <s v="97562"/>
    <x v="0"/>
    <s v="NA"/>
    <s v="Nelson"/>
    <s v="Valarie"/>
    <s v="Valarie, Nelson"/>
    <s v="Medium"/>
  </r>
  <r>
    <n v="10147"/>
    <n v="37"/>
    <n v="100"/>
    <n v="3700"/>
    <n v="3700"/>
    <n v="9"/>
    <s v="9/5/2003 0:00"/>
    <x v="0"/>
    <x v="2"/>
    <x v="10"/>
    <x v="0"/>
    <x v="1"/>
    <n v="146"/>
    <s v="S18_3482"/>
    <x v="41"/>
    <s v="6175558555"/>
    <s v="7825 Douglas Av."/>
    <s v=""/>
    <s v="Brickhaven"/>
    <s v="MA"/>
    <s v="58339"/>
    <x v="0"/>
    <s v="NA"/>
    <s v="Nelson"/>
    <s v="Allen"/>
    <s v="Allen, Nelson"/>
    <s v="Medium"/>
  </r>
  <r>
    <n v="10159"/>
    <n v="25"/>
    <n v="100"/>
    <n v="2500"/>
    <n v="2500"/>
    <n v="4"/>
    <s v="10/10/2003 0:00"/>
    <x v="0"/>
    <x v="3"/>
    <x v="4"/>
    <x v="0"/>
    <x v="1"/>
    <n v="146"/>
    <s v="S18_3482"/>
    <x v="4"/>
    <s v="6505551386"/>
    <s v="7734 Strong St."/>
    <s v=""/>
    <s v="San Francisco"/>
    <s v="CA"/>
    <s v=""/>
    <x v="0"/>
    <s v="NA"/>
    <s v="Brown"/>
    <s v="Julie"/>
    <s v="Julie, Brown"/>
    <s v="Medium"/>
  </r>
  <r>
    <n v="10169"/>
    <n v="36"/>
    <n v="100"/>
    <n v="3600"/>
    <n v="3600"/>
    <n v="4"/>
    <s v="11/4/2003 0:00"/>
    <x v="0"/>
    <x v="3"/>
    <x v="5"/>
    <x v="0"/>
    <x v="1"/>
    <n v="146"/>
    <s v="S18_3482"/>
    <x v="42"/>
    <s v="02 9936 8555"/>
    <s v="201 Miller Street"/>
    <s v="Level 15"/>
    <s v="North Sydney"/>
    <s v="NSW"/>
    <s v="2060"/>
    <x v="3"/>
    <s v="APAC"/>
    <s v="O'Hara"/>
    <s v="Anna"/>
    <s v="Anna, O'Hara"/>
    <s v="Medium"/>
  </r>
  <r>
    <n v="10181"/>
    <n v="22"/>
    <n v="100"/>
    <n v="2200"/>
    <n v="2200"/>
    <n v="16"/>
    <s v="11/12/2003 0:00"/>
    <x v="0"/>
    <x v="3"/>
    <x v="5"/>
    <x v="0"/>
    <x v="1"/>
    <n v="146"/>
    <s v="S18_3482"/>
    <x v="7"/>
    <s v="+47 2267 3215"/>
    <s v="Drammen 121, PR 744 Sentrum"/>
    <s v=""/>
    <s v="Bergen"/>
    <s v=""/>
    <s v="N 5804"/>
    <x v="2"/>
    <s v="EMEA"/>
    <s v="Oeztan"/>
    <s v="Veysel"/>
    <s v="Veysel, Oeztan"/>
    <s v="Medium"/>
  </r>
  <r>
    <n v="10191"/>
    <n v="23"/>
    <n v="100"/>
    <n v="2300"/>
    <n v="2300"/>
    <n v="5"/>
    <s v="11/20/2003 0:00"/>
    <x v="0"/>
    <x v="3"/>
    <x v="5"/>
    <x v="0"/>
    <x v="1"/>
    <n v="146"/>
    <s v="S18_3482"/>
    <x v="68"/>
    <s v="0221-5554327"/>
    <s v="Mehrheimerstr. 369"/>
    <s v=""/>
    <s v="Koln"/>
    <s v=""/>
    <s v="50739"/>
    <x v="16"/>
    <s v="EMEA"/>
    <s v="Pfalzheim"/>
    <s v="Henriette"/>
    <s v="Henriette, Pfalzheim"/>
    <s v="Medium"/>
  </r>
  <r>
    <n v="10203"/>
    <n v="32"/>
    <n v="100"/>
    <n v="3200"/>
    <n v="3200"/>
    <n v="10"/>
    <s v="12/2/2003 0:00"/>
    <x v="0"/>
    <x v="3"/>
    <x v="6"/>
    <x v="0"/>
    <x v="1"/>
    <n v="146"/>
    <s v="S18_3482"/>
    <x v="23"/>
    <s v="(91) 555 94 44"/>
    <s v="C/ Moralzarzal, 86"/>
    <s v=""/>
    <s v="Madrid"/>
    <s v=""/>
    <s v="28034"/>
    <x v="7"/>
    <s v="EMEA"/>
    <s v="Freyre"/>
    <s v="Diego"/>
    <s v="Diego, Freyre"/>
    <s v="Medium"/>
  </r>
  <r>
    <n v="10211"/>
    <n v="28"/>
    <n v="100"/>
    <n v="2800"/>
    <n v="2800"/>
    <n v="4"/>
    <s v="1/15/2004 0:00"/>
    <x v="0"/>
    <x v="0"/>
    <x v="7"/>
    <x v="1"/>
    <x v="1"/>
    <n v="146"/>
    <s v="S18_3482"/>
    <x v="9"/>
    <s v="(1) 47.55.6555"/>
    <s v="25, rue Lauriston"/>
    <s v=""/>
    <s v="Paris"/>
    <s v=""/>
    <s v="75016"/>
    <x v="1"/>
    <s v="EMEA"/>
    <s v="Perrier"/>
    <s v="Dominique"/>
    <s v="Dominique, Perrier"/>
    <s v="Medium"/>
  </r>
  <r>
    <n v="10225"/>
    <n v="27"/>
    <n v="100"/>
    <n v="2700"/>
    <n v="2700"/>
    <n v="11"/>
    <s v="2/22/2004 0:00"/>
    <x v="0"/>
    <x v="0"/>
    <x v="0"/>
    <x v="1"/>
    <x v="1"/>
    <n v="146"/>
    <s v="S18_3482"/>
    <x v="69"/>
    <s v="0897-034555"/>
    <s v="Grenzacherweg 237"/>
    <s v=""/>
    <s v="Gensve"/>
    <s v=""/>
    <s v="1203"/>
    <x v="17"/>
    <s v="EMEA"/>
    <s v="Holz"/>
    <s v="Michael"/>
    <s v="Michael, Holz"/>
    <s v="Medium"/>
  </r>
  <r>
    <n v="10238"/>
    <n v="49"/>
    <n v="100"/>
    <n v="4900"/>
    <n v="4900"/>
    <n v="5"/>
    <s v="4/9/2004 0:00"/>
    <x v="0"/>
    <x v="1"/>
    <x v="8"/>
    <x v="1"/>
    <x v="1"/>
    <n v="146"/>
    <s v="S18_3482"/>
    <x v="48"/>
    <s v="31 12 3555"/>
    <s v="Vinb'ltet 34"/>
    <s v=""/>
    <s v="Kobenhavn"/>
    <s v=""/>
    <s v="1734"/>
    <x v="13"/>
    <s v="EMEA"/>
    <s v="Petersen"/>
    <s v="Jytte"/>
    <s v="Jytte, Petersen"/>
    <s v="Medium"/>
  </r>
  <r>
    <n v="10252"/>
    <n v="41"/>
    <n v="100"/>
    <n v="4100"/>
    <n v="4100"/>
    <n v="1"/>
    <s v="5/26/2004 0:00"/>
    <x v="0"/>
    <x v="1"/>
    <x v="1"/>
    <x v="1"/>
    <x v="1"/>
    <n v="146"/>
    <s v="S18_3482"/>
    <x v="9"/>
    <s v="(1) 47.55.6555"/>
    <s v="25, rue Lauriston"/>
    <s v=""/>
    <s v="Paris"/>
    <s v=""/>
    <s v="75016"/>
    <x v="1"/>
    <s v="EMEA"/>
    <s v="Perrier"/>
    <s v="Dominique"/>
    <s v="Dominique, Perrier"/>
    <s v="Medium"/>
  </r>
  <r>
    <n v="10265"/>
    <n v="49"/>
    <n v="100"/>
    <n v="4900"/>
    <n v="4900"/>
    <n v="1"/>
    <s v="7/2/2004 0:00"/>
    <x v="0"/>
    <x v="2"/>
    <x v="2"/>
    <x v="1"/>
    <x v="1"/>
    <n v="146"/>
    <s v="S18_3482"/>
    <x v="87"/>
    <s v="61-9-3844-6555"/>
    <s v="7 Allen Street"/>
    <s v=""/>
    <s v="Glen Waverly"/>
    <s v="Victoria"/>
    <s v="3150"/>
    <x v="3"/>
    <s v="APAC"/>
    <s v="Connery"/>
    <s v="Sean"/>
    <s v="Sean, Connery"/>
    <s v="Large"/>
  </r>
  <r>
    <n v="10276"/>
    <n v="30"/>
    <n v="100"/>
    <n v="3000"/>
    <n v="3000"/>
    <n v="5"/>
    <s v="8/2/2004 0:00"/>
    <x v="0"/>
    <x v="2"/>
    <x v="3"/>
    <x v="1"/>
    <x v="1"/>
    <n v="146"/>
    <s v="S18_3482"/>
    <x v="71"/>
    <s v="6175557555"/>
    <s v="7635 Spinnaker Dr."/>
    <s v=""/>
    <s v="Brickhaven"/>
    <s v="MA"/>
    <s v="58339"/>
    <x v="0"/>
    <s v="NA"/>
    <s v="Barajas"/>
    <s v="Miguel"/>
    <s v="Miguel, Barajas"/>
    <s v="Medium"/>
  </r>
  <r>
    <n v="10287"/>
    <n v="40"/>
    <n v="100"/>
    <n v="4000"/>
    <n v="4000"/>
    <n v="14"/>
    <s v="8/30/2004 0:00"/>
    <x v="0"/>
    <x v="2"/>
    <x v="3"/>
    <x v="1"/>
    <x v="1"/>
    <n v="146"/>
    <s v="S18_3482"/>
    <x v="69"/>
    <s v="0897-034555"/>
    <s v="Grenzacherweg 237"/>
    <s v=""/>
    <s v="Gensve"/>
    <s v=""/>
    <s v="1203"/>
    <x v="17"/>
    <s v="EMEA"/>
    <s v="Holz"/>
    <s v="Michael"/>
    <s v="Michael, Holz"/>
    <s v="Medium"/>
  </r>
  <r>
    <n v="10300"/>
    <n v="23"/>
    <n v="100"/>
    <n v="2300"/>
    <n v="2300"/>
    <n v="7"/>
    <s v="10/4/2003 0:00"/>
    <x v="0"/>
    <x v="3"/>
    <x v="4"/>
    <x v="0"/>
    <x v="1"/>
    <n v="146"/>
    <s v="S18_3482"/>
    <x v="72"/>
    <s v="+49 69 66 90 2555"/>
    <s v="Lyonerstr. 34"/>
    <s v=""/>
    <s v="Frankfurt"/>
    <s v=""/>
    <s v="60528"/>
    <x v="16"/>
    <s v="EMEA"/>
    <s v="Keitel"/>
    <s v="Roland"/>
    <s v="Roland, Keitel"/>
    <s v="Medium"/>
  </r>
  <r>
    <n v="10310"/>
    <n v="49"/>
    <n v="100"/>
    <n v="4900"/>
    <n v="4900"/>
    <n v="12"/>
    <s v="10/16/2004 0:00"/>
    <x v="0"/>
    <x v="3"/>
    <x v="4"/>
    <x v="1"/>
    <x v="1"/>
    <n v="146"/>
    <s v="S18_3482"/>
    <x v="68"/>
    <s v="0221-5554327"/>
    <s v="Mehrheimerstr. 369"/>
    <s v=""/>
    <s v="Koln"/>
    <s v=""/>
    <s v="50739"/>
    <x v="16"/>
    <s v="EMEA"/>
    <s v="Pfalzheim"/>
    <s v="Henriette"/>
    <s v="Henriette, Pfalzheim"/>
    <s v="Medium"/>
  </r>
  <r>
    <n v="10320"/>
    <n v="25"/>
    <n v="100"/>
    <n v="2500"/>
    <n v="2500"/>
    <n v="5"/>
    <s v="11/3/2004 0:00"/>
    <x v="0"/>
    <x v="3"/>
    <x v="5"/>
    <x v="1"/>
    <x v="1"/>
    <n v="146"/>
    <s v="S18_3482"/>
    <x v="24"/>
    <s v="0921-12 3555"/>
    <s v="Berguvsv„gen  8"/>
    <s v=""/>
    <s v="Lule"/>
    <s v=""/>
    <s v="S-958 22"/>
    <x v="8"/>
    <s v="EMEA"/>
    <s v="Berglund"/>
    <s v="Christina"/>
    <s v="Christina, Berglund"/>
    <s v="Medium"/>
  </r>
  <r>
    <n v="10330"/>
    <n v="37"/>
    <n v="100"/>
    <n v="3700"/>
    <n v="3700"/>
    <n v="3"/>
    <s v="11/16/2004 0:00"/>
    <x v="0"/>
    <x v="3"/>
    <x v="5"/>
    <x v="1"/>
    <x v="1"/>
    <n v="146"/>
    <s v="S18_3482"/>
    <x v="66"/>
    <s v="+63 2 555 3587"/>
    <s v="15 McCallum Street - NatWest Center #13-03"/>
    <s v=""/>
    <s v="Makati City"/>
    <s v=""/>
    <s v="1227 MM"/>
    <x v="15"/>
    <s v="Japan"/>
    <s v="Cruz"/>
    <s v="Arnold"/>
    <s v="Arnold, Cruz"/>
    <s v="Medium"/>
  </r>
  <r>
    <n v="10342"/>
    <n v="55"/>
    <n v="100"/>
    <n v="5500"/>
    <n v="5500"/>
    <n v="7"/>
    <s v="11/24/2004 0:00"/>
    <x v="0"/>
    <x v="3"/>
    <x v="5"/>
    <x v="1"/>
    <x v="1"/>
    <n v="146"/>
    <s v="S18_3482"/>
    <x v="10"/>
    <s v="03 9520 4555"/>
    <s v="636 St Kilda Road"/>
    <s v="Level 3"/>
    <s v="Melbourne"/>
    <s v="Victoria"/>
    <s v="3004"/>
    <x v="3"/>
    <s v="APAC"/>
    <s v="Ferguson"/>
    <s v="Peter"/>
    <s v="Peter, Ferguson"/>
    <s v="Medium"/>
  </r>
  <r>
    <n v="10355"/>
    <n v="23"/>
    <n v="100"/>
    <n v="2300"/>
    <n v="2300"/>
    <n v="7"/>
    <s v="12/7/2004 0:00"/>
    <x v="0"/>
    <x v="3"/>
    <x v="6"/>
    <x v="1"/>
    <x v="1"/>
    <n v="146"/>
    <s v="S18_3482"/>
    <x v="23"/>
    <s v="(91) 555 94 44"/>
    <s v="C/ Moralzarzal, 86"/>
    <s v=""/>
    <s v="Madrid"/>
    <s v=""/>
    <s v="28034"/>
    <x v="7"/>
    <s v="EMEA"/>
    <s v="Freyre"/>
    <s v="Diego"/>
    <s v="Diego, Freyre"/>
    <s v="Medium"/>
  </r>
  <r>
    <n v="10363"/>
    <n v="24"/>
    <n v="100"/>
    <n v="2400"/>
    <n v="2400"/>
    <n v="11"/>
    <s v="1/6/2005 0:00"/>
    <x v="0"/>
    <x v="0"/>
    <x v="7"/>
    <x v="2"/>
    <x v="1"/>
    <n v="146"/>
    <s v="S18_3482"/>
    <x v="73"/>
    <s v="+358 9 8045 555"/>
    <s v="Software Engineering Center, SEC Oy"/>
    <s v=""/>
    <s v="Espoo"/>
    <s v=""/>
    <s v="FIN-02271"/>
    <x v="4"/>
    <s v="EMEA"/>
    <s v="Suominen"/>
    <s v="Kalle"/>
    <s v="Kalle, Suominen"/>
    <s v="Medium"/>
  </r>
  <r>
    <n v="10378"/>
    <n v="43"/>
    <n v="9649"/>
    <n v="414907"/>
    <n v="414907"/>
    <n v="10"/>
    <s v="2/10/2005 0:00"/>
    <x v="0"/>
    <x v="0"/>
    <x v="0"/>
    <x v="2"/>
    <x v="1"/>
    <n v="146"/>
    <s v="S18_3482"/>
    <x v="23"/>
    <s v="(91) 555 94 44"/>
    <s v="C/ Moralzarzal, 86"/>
    <s v=""/>
    <s v="Madrid"/>
    <s v=""/>
    <s v="28034"/>
    <x v="7"/>
    <s v="EMEA"/>
    <s v="Freyre"/>
    <s v="Diego"/>
    <s v="Diego, Freyre"/>
    <s v="Medium"/>
  </r>
  <r>
    <n v="10390"/>
    <n v="50"/>
    <n v="100"/>
    <n v="5000"/>
    <n v="5000"/>
    <n v="1"/>
    <s v="3/4/2005 0:00"/>
    <x v="0"/>
    <x v="0"/>
    <x v="11"/>
    <x v="2"/>
    <x v="1"/>
    <n v="146"/>
    <s v="S18_3482"/>
    <x v="39"/>
    <s v="4155551450"/>
    <s v="5677 Strong St."/>
    <s v=""/>
    <s v="San Rafael"/>
    <s v="CA"/>
    <s v="97562"/>
    <x v="0"/>
    <s v="NA"/>
    <s v="Nelson"/>
    <s v="Valarie"/>
    <s v="Valarie, Nelson"/>
    <s v="Large"/>
  </r>
  <r>
    <n v="10109"/>
    <n v="47"/>
    <n v="100"/>
    <n v="4700"/>
    <n v="4700"/>
    <n v="2"/>
    <s v="3/10/2003 0:00"/>
    <x v="0"/>
    <x v="0"/>
    <x v="11"/>
    <x v="0"/>
    <x v="1"/>
    <n v="141"/>
    <s v="S18_3685"/>
    <x v="45"/>
    <s v="2155559857"/>
    <s v="11328 Douglas Av."/>
    <s v=""/>
    <s v="Philadelphia"/>
    <s v="PA"/>
    <s v="71270"/>
    <x v="0"/>
    <s v="NA"/>
    <s v="Hernandez"/>
    <s v="Rosa"/>
    <s v="Rosa, Hernandez"/>
    <s v="Medium"/>
  </r>
  <r>
    <n v="10123"/>
    <n v="34"/>
    <n v="100"/>
    <n v="3400"/>
    <n v="3400"/>
    <n v="4"/>
    <s v="5/20/2003 0:00"/>
    <x v="0"/>
    <x v="1"/>
    <x v="1"/>
    <x v="0"/>
    <x v="1"/>
    <n v="141"/>
    <s v="S18_3685"/>
    <x v="46"/>
    <s v="40.32.2555"/>
    <s v="54, rue Royale"/>
    <s v=""/>
    <s v="Nantes"/>
    <s v=""/>
    <s v="44000"/>
    <x v="1"/>
    <s v="EMEA"/>
    <s v="Schmitt"/>
    <s v="Carine"/>
    <s v="Carine, Schmitt"/>
    <s v="Medium"/>
  </r>
  <r>
    <n v="10137"/>
    <n v="31"/>
    <n v="100"/>
    <n v="3100"/>
    <n v="3100"/>
    <n v="4"/>
    <s v="7/10/2003 0:00"/>
    <x v="0"/>
    <x v="2"/>
    <x v="2"/>
    <x v="0"/>
    <x v="1"/>
    <n v="141"/>
    <s v="S18_3685"/>
    <x v="1"/>
    <s v="26.47.1555"/>
    <s v="59 rue de l'Abbaye"/>
    <s v=""/>
    <s v="Reims"/>
    <s v=""/>
    <s v="51100"/>
    <x v="1"/>
    <s v="EMEA"/>
    <s v="Henriot"/>
    <s v="Paul"/>
    <s v="Paul, Henriot"/>
    <s v="Medium"/>
  </r>
  <r>
    <n v="10148"/>
    <n v="28"/>
    <n v="100"/>
    <n v="2800"/>
    <n v="2800"/>
    <n v="11"/>
    <s v="9/11/2003 0:00"/>
    <x v="0"/>
    <x v="2"/>
    <x v="10"/>
    <x v="0"/>
    <x v="1"/>
    <n v="141"/>
    <s v="S18_3685"/>
    <x v="42"/>
    <s v="02 9936 8555"/>
    <s v="201 Miller Street"/>
    <s v="Level 15"/>
    <s v="North Sydney"/>
    <s v="NSW"/>
    <s v="2060"/>
    <x v="3"/>
    <s v="APAC"/>
    <s v="O'Hara"/>
    <s v="Anna"/>
    <s v="Anna, O'Hara"/>
    <s v="Medium"/>
  </r>
  <r>
    <n v="10161"/>
    <n v="36"/>
    <n v="100"/>
    <n v="3600"/>
    <n v="3600"/>
    <n v="10"/>
    <s v="10/17/2003 0:00"/>
    <x v="0"/>
    <x v="3"/>
    <x v="4"/>
    <x v="0"/>
    <x v="1"/>
    <n v="141"/>
    <s v="S18_3685"/>
    <x v="78"/>
    <s v="86 21 3555"/>
    <s v="Smagsloget 45"/>
    <s v=""/>
    <s v="Aaarhus"/>
    <s v=""/>
    <s v="8200"/>
    <x v="13"/>
    <s v="EMEA"/>
    <s v="Ibsen"/>
    <s v="Palle"/>
    <s v="Palle, Ibsen"/>
    <s v="Medium"/>
  </r>
  <r>
    <n v="10172"/>
    <n v="48"/>
    <n v="100"/>
    <n v="4800"/>
    <n v="4800"/>
    <n v="8"/>
    <s v="11/5/2003 0:00"/>
    <x v="0"/>
    <x v="3"/>
    <x v="5"/>
    <x v="0"/>
    <x v="1"/>
    <n v="141"/>
    <s v="S18_3685"/>
    <x v="13"/>
    <s v="2035552570"/>
    <s v="25593 South Bay Ln."/>
    <s v=""/>
    <s v="Bridgewater"/>
    <s v="CT"/>
    <s v="97562"/>
    <x v="0"/>
    <s v="NA"/>
    <s v="King"/>
    <s v="Julie"/>
    <s v="Julie, King"/>
    <s v="Medium"/>
  </r>
  <r>
    <n v="10181"/>
    <n v="39"/>
    <n v="100"/>
    <n v="3900"/>
    <n v="3900"/>
    <n v="4"/>
    <s v="11/12/2003 0:00"/>
    <x v="0"/>
    <x v="3"/>
    <x v="5"/>
    <x v="0"/>
    <x v="1"/>
    <n v="141"/>
    <s v="S18_3685"/>
    <x v="7"/>
    <s v="+47 2267 3215"/>
    <s v="Drammen 121, PR 744 Sentrum"/>
    <s v=""/>
    <s v="Bergen"/>
    <s v=""/>
    <s v="N 5804"/>
    <x v="2"/>
    <s v="EMEA"/>
    <s v="Oeztan"/>
    <s v="Veysel"/>
    <s v="Veysel, Oeztan"/>
    <s v="Medium"/>
  </r>
  <r>
    <n v="10192"/>
    <n v="45"/>
    <n v="100"/>
    <n v="4500"/>
    <n v="4500"/>
    <n v="9"/>
    <s v="11/20/2003 0:00"/>
    <x v="0"/>
    <x v="3"/>
    <x v="5"/>
    <x v="0"/>
    <x v="1"/>
    <n v="141"/>
    <s v="S18_3685"/>
    <x v="40"/>
    <s v="6035558647"/>
    <s v="2304 Long Airport Avenue"/>
    <s v=""/>
    <s v="Nashua"/>
    <s v="NH"/>
    <s v="62005"/>
    <x v="0"/>
    <s v="NA"/>
    <s v="Young"/>
    <s v="Valarie"/>
    <s v="Valarie, Young"/>
    <s v="Medium"/>
  </r>
  <r>
    <n v="10204"/>
    <n v="35"/>
    <n v="100"/>
    <n v="3500"/>
    <n v="3500"/>
    <n v="15"/>
    <s v="12/2/2003 0:00"/>
    <x v="0"/>
    <x v="3"/>
    <x v="6"/>
    <x v="0"/>
    <x v="1"/>
    <n v="141"/>
    <s v="S18_3685"/>
    <x v="74"/>
    <s v="2125557413"/>
    <s v="4092 Furth Circle"/>
    <s v="Suite 400"/>
    <s v="NYC"/>
    <s v="NY"/>
    <s v="10022"/>
    <x v="0"/>
    <s v="NA"/>
    <s v="Young"/>
    <s v="Jeff"/>
    <s v="Jeff, Young"/>
    <s v="Medium"/>
  </r>
  <r>
    <n v="10212"/>
    <n v="45"/>
    <n v="100"/>
    <n v="4500"/>
    <n v="4500"/>
    <n v="8"/>
    <s v="1/16/2004 0:00"/>
    <x v="0"/>
    <x v="0"/>
    <x v="7"/>
    <x v="1"/>
    <x v="1"/>
    <n v="141"/>
    <s v="S18_3685"/>
    <x v="23"/>
    <s v="(91) 555 94 44"/>
    <s v="C/ Moralzarzal, 86"/>
    <s v=""/>
    <s v="Madrid"/>
    <s v=""/>
    <s v="28034"/>
    <x v="7"/>
    <s v="EMEA"/>
    <s v="Freyre"/>
    <s v="Diego"/>
    <s v="Diego, Freyre"/>
    <s v="Medium"/>
  </r>
  <r>
    <n v="10226"/>
    <n v="46"/>
    <n v="100"/>
    <n v="4600"/>
    <n v="4600"/>
    <n v="6"/>
    <s v="2/26/2004 0:00"/>
    <x v="0"/>
    <x v="0"/>
    <x v="0"/>
    <x v="1"/>
    <x v="1"/>
    <n v="141"/>
    <s v="S18_3685"/>
    <x v="55"/>
    <s v="7605558146"/>
    <s v="361 Furth Circle"/>
    <s v=""/>
    <s v="San Diego"/>
    <s v="CA"/>
    <s v="91217"/>
    <x v="0"/>
    <s v="NA"/>
    <s v="Thompson"/>
    <s v="Valarie"/>
    <s v="Valarie, Thompson"/>
    <s v="Large"/>
  </r>
  <r>
    <n v="10240"/>
    <n v="37"/>
    <n v="100"/>
    <n v="3700"/>
    <n v="3700"/>
    <n v="1"/>
    <s v="4/13/2004 0:00"/>
    <x v="0"/>
    <x v="1"/>
    <x v="8"/>
    <x v="1"/>
    <x v="1"/>
    <n v="141"/>
    <s v="S18_3685"/>
    <x v="44"/>
    <s v="+81 06 6342 5555"/>
    <s v="Dojima Avanza 4F, 1-6-20 Dojima, Kita-ku"/>
    <s v=""/>
    <s v="Osaka"/>
    <s v="Osaka"/>
    <s v="530-0003"/>
    <x v="11"/>
    <s v="Japan"/>
    <s v="Kentary"/>
    <s v="Mory"/>
    <s v="Mory, Kentary"/>
    <s v="Medium"/>
  </r>
  <r>
    <n v="10253"/>
    <n v="31"/>
    <n v="100"/>
    <n v="3100"/>
    <n v="0"/>
    <n v="3"/>
    <s v="6/1/2004 0:00"/>
    <x v="3"/>
    <x v="1"/>
    <x v="9"/>
    <x v="1"/>
    <x v="1"/>
    <n v="141"/>
    <s v="S18_3685"/>
    <x v="22"/>
    <s v="(171) 555-2282"/>
    <s v="Berkeley Gardens 12  Brewery"/>
    <s v=""/>
    <s v="Liverpool"/>
    <s v=""/>
    <s v="WX1 6LT"/>
    <x v="6"/>
    <s v="EMEA"/>
    <s v="Devon"/>
    <s v="Elizabeth"/>
    <s v="Elizabeth, Devon"/>
    <s v="Medium"/>
  </r>
  <r>
    <n v="10266"/>
    <n v="33"/>
    <n v="100"/>
    <n v="3300"/>
    <n v="3300"/>
    <n v="4"/>
    <s v="7/6/2004 0:00"/>
    <x v="0"/>
    <x v="2"/>
    <x v="2"/>
    <x v="1"/>
    <x v="1"/>
    <n v="141"/>
    <s v="S18_3685"/>
    <x v="70"/>
    <s v="0522-556555"/>
    <s v="Strada Provinciale 124"/>
    <s v=""/>
    <s v="Reggio Emilia"/>
    <s v=""/>
    <s v="42100"/>
    <x v="12"/>
    <s v="EMEA"/>
    <s v="Moroni"/>
    <s v="Maurizio"/>
    <s v="Maurizio, Moroni"/>
    <s v="Medium"/>
  </r>
  <r>
    <n v="10278"/>
    <n v="31"/>
    <n v="100"/>
    <n v="3100"/>
    <n v="3100"/>
    <n v="4"/>
    <s v="8/6/2004 0:00"/>
    <x v="0"/>
    <x v="2"/>
    <x v="3"/>
    <x v="1"/>
    <x v="1"/>
    <n v="141"/>
    <s v="S18_3685"/>
    <x v="84"/>
    <s v="7025551838"/>
    <s v="8489 Strong St."/>
    <s v=""/>
    <s v="Las Vegas"/>
    <s v="NV"/>
    <s v="83030"/>
    <x v="0"/>
    <s v="NA"/>
    <s v="King"/>
    <s v="Sue"/>
    <s v="Sue, King"/>
    <s v="Medium"/>
  </r>
  <r>
    <n v="10287"/>
    <n v="27"/>
    <n v="100"/>
    <n v="2700"/>
    <n v="2700"/>
    <n v="2"/>
    <s v="8/30/2004 0:00"/>
    <x v="0"/>
    <x v="2"/>
    <x v="3"/>
    <x v="1"/>
    <x v="1"/>
    <n v="141"/>
    <s v="S18_3685"/>
    <x v="69"/>
    <s v="0897-034555"/>
    <s v="Grenzacherweg 237"/>
    <s v=""/>
    <s v="Gensve"/>
    <s v=""/>
    <s v="1203"/>
    <x v="17"/>
    <s v="EMEA"/>
    <s v="Holz"/>
    <s v="Michael"/>
    <s v="Michael, Holz"/>
    <s v="Medium"/>
  </r>
  <r>
    <n v="10301"/>
    <n v="39"/>
    <n v="100"/>
    <n v="3900"/>
    <n v="3900"/>
    <n v="6"/>
    <s v="10/5/2003 0:00"/>
    <x v="0"/>
    <x v="3"/>
    <x v="4"/>
    <x v="0"/>
    <x v="1"/>
    <n v="141"/>
    <s v="S18_3685"/>
    <x v="85"/>
    <s v="+47 2212 1555"/>
    <s v="Drammensveien 126 A, PB 744 Sentrum"/>
    <s v=""/>
    <s v="Oslo"/>
    <s v=""/>
    <s v="N 0106"/>
    <x v="2"/>
    <s v="EMEA"/>
    <s v="Klaeboe"/>
    <s v="Jan"/>
    <s v="Jan, Klaeboe"/>
    <s v="Medium"/>
  </r>
  <r>
    <n v="10311"/>
    <n v="32"/>
    <n v="100"/>
    <n v="3200"/>
    <n v="3200"/>
    <n v="11"/>
    <s v="10/16/2004 0:00"/>
    <x v="0"/>
    <x v="3"/>
    <x v="4"/>
    <x v="1"/>
    <x v="1"/>
    <n v="141"/>
    <s v="S18_3685"/>
    <x v="23"/>
    <s v="(91) 555 94 44"/>
    <s v="C/ Moralzarzal, 86"/>
    <s v=""/>
    <s v="Madrid"/>
    <s v=""/>
    <s v="28034"/>
    <x v="7"/>
    <s v="EMEA"/>
    <s v="Freyre"/>
    <s v="Diego"/>
    <s v="Diego, Freyre"/>
    <s v="Medium"/>
  </r>
  <r>
    <n v="10321"/>
    <n v="28"/>
    <n v="100"/>
    <n v="2800"/>
    <n v="2800"/>
    <n v="8"/>
    <s v="11/4/2004 0:00"/>
    <x v="0"/>
    <x v="3"/>
    <x v="5"/>
    <x v="1"/>
    <x v="1"/>
    <n v="141"/>
    <s v="S18_3685"/>
    <x v="21"/>
    <s v="5085552555"/>
    <s v="1785 First Street"/>
    <s v=""/>
    <s v="New Bedford"/>
    <s v="MA"/>
    <s v="50553"/>
    <x v="0"/>
    <s v="NA"/>
    <s v="Benitez"/>
    <s v="Violeta"/>
    <s v="Violeta, Benitez"/>
    <s v="Medium"/>
  </r>
  <r>
    <n v="10331"/>
    <n v="26"/>
    <n v="6791"/>
    <n v="176566"/>
    <n v="176566"/>
    <n v="12"/>
    <s v="11/17/2004 0:00"/>
    <x v="0"/>
    <x v="3"/>
    <x v="5"/>
    <x v="1"/>
    <x v="1"/>
    <n v="141"/>
    <s v="S18_3685"/>
    <x v="45"/>
    <s v="2155559857"/>
    <s v="11328 Douglas Av."/>
    <s v=""/>
    <s v="Philadelphia"/>
    <s v="PA"/>
    <s v="71270"/>
    <x v="0"/>
    <s v="NA"/>
    <s v="Hernandez"/>
    <s v="Rosa"/>
    <s v="Rosa, Hernandez"/>
    <s v="Small"/>
  </r>
  <r>
    <n v="10343"/>
    <n v="44"/>
    <n v="8488"/>
    <n v="373472"/>
    <n v="373472"/>
    <n v="2"/>
    <s v="11/24/2004 0:00"/>
    <x v="0"/>
    <x v="3"/>
    <x v="5"/>
    <x v="1"/>
    <x v="1"/>
    <n v="141"/>
    <s v="S18_3685"/>
    <x v="1"/>
    <s v="26.47.1555"/>
    <s v="59 rue de l'Abbaye"/>
    <s v=""/>
    <s v="Reims"/>
    <s v=""/>
    <s v="51100"/>
    <x v="1"/>
    <s v="EMEA"/>
    <s v="Henriot"/>
    <s v="Paul"/>
    <s v="Paul, Henriot"/>
    <s v="Medium"/>
  </r>
  <r>
    <n v="10367"/>
    <n v="46"/>
    <n v="100"/>
    <n v="4600"/>
    <n v="4600"/>
    <n v="6"/>
    <s v="1/12/2005 0:00"/>
    <x v="5"/>
    <x v="0"/>
    <x v="7"/>
    <x v="2"/>
    <x v="1"/>
    <n v="141"/>
    <s v="S18_3685"/>
    <x v="3"/>
    <s v="6265557265"/>
    <s v="78934 Hillside Dr."/>
    <s v=""/>
    <s v="Pasadena"/>
    <s v="CA"/>
    <s v="90003"/>
    <x v="0"/>
    <s v="NA"/>
    <s v="Young"/>
    <s v="Julie"/>
    <s v="Julie, Young"/>
    <s v="Medium"/>
  </r>
  <r>
    <n v="10379"/>
    <n v="32"/>
    <n v="7083"/>
    <n v="226656"/>
    <n v="226656"/>
    <n v="4"/>
    <s v="2/10/2005 0:00"/>
    <x v="0"/>
    <x v="0"/>
    <x v="0"/>
    <x v="2"/>
    <x v="1"/>
    <n v="141"/>
    <s v="S18_3685"/>
    <x v="23"/>
    <s v="(91) 555 94 44"/>
    <s v="C/ Moralzarzal, 86"/>
    <s v=""/>
    <s v="Madrid"/>
    <s v=""/>
    <s v="28034"/>
    <x v="7"/>
    <s v="EMEA"/>
    <s v="Freyre"/>
    <s v="Diego"/>
    <s v="Diego, Freyre"/>
    <s v="Small"/>
  </r>
  <r>
    <n v="10406"/>
    <n v="65"/>
    <n v="100"/>
    <n v="6500"/>
    <n v="0"/>
    <n v="1"/>
    <s v="4/15/2005 0:00"/>
    <x v="1"/>
    <x v="1"/>
    <x v="8"/>
    <x v="2"/>
    <x v="1"/>
    <n v="141"/>
    <s v="S18_3685"/>
    <x v="48"/>
    <s v="31 12 3555"/>
    <s v="Vinb'ltet 34"/>
    <s v=""/>
    <s v="Kobenhavn"/>
    <s v=""/>
    <s v="1734"/>
    <x v="13"/>
    <s v="EMEA"/>
    <s v="Petersen"/>
    <s v="Jytte"/>
    <s v="Jytte, Petersen"/>
    <s v="Large"/>
  </r>
  <r>
    <n v="10419"/>
    <n v="43"/>
    <n v="100"/>
    <n v="4300"/>
    <n v="4300"/>
    <n v="3"/>
    <s v="5/17/2005 0:00"/>
    <x v="0"/>
    <x v="1"/>
    <x v="1"/>
    <x v="2"/>
    <x v="1"/>
    <n v="141"/>
    <s v="S18_3685"/>
    <x v="19"/>
    <s v="6562-9555"/>
    <s v="Geislweg 14"/>
    <s v=""/>
    <s v="Salzburg"/>
    <s v=""/>
    <s v="5020"/>
    <x v="5"/>
    <s v="EMEA"/>
    <s v="Pipps"/>
    <s v="Georg"/>
    <s v="Georg, Pipps"/>
    <s v="Medium"/>
  </r>
  <r>
    <n v="10108"/>
    <n v="43"/>
    <n v="6777"/>
    <n v="291411"/>
    <n v="291411"/>
    <n v="12"/>
    <s v="3/3/2003 0:00"/>
    <x v="0"/>
    <x v="0"/>
    <x v="11"/>
    <x v="0"/>
    <x v="0"/>
    <n v="62"/>
    <s v="S18_3782"/>
    <x v="66"/>
    <s v="+63 2 555 3587"/>
    <s v="15 McCallum Street - NatWest Center #13-03"/>
    <s v=""/>
    <s v="Makati City"/>
    <s v=""/>
    <s v="1227 MM"/>
    <x v="15"/>
    <s v="Japan"/>
    <s v="Cruz"/>
    <s v="Arnold"/>
    <s v="Arnold, Cruz"/>
    <s v="Small"/>
  </r>
  <r>
    <n v="10122"/>
    <n v="35"/>
    <n v="4974"/>
    <n v="174090"/>
    <n v="174090"/>
    <n v="16"/>
    <s v="5/8/2003 0:00"/>
    <x v="0"/>
    <x v="1"/>
    <x v="1"/>
    <x v="0"/>
    <x v="0"/>
    <n v="62"/>
    <s v="S18_3782"/>
    <x v="67"/>
    <s v="91.24.4555"/>
    <s v="12, rue des Bouchers"/>
    <s v=""/>
    <s v="Marseille"/>
    <s v=""/>
    <s v="13008"/>
    <x v="1"/>
    <s v="EMEA"/>
    <s v="Lebihan"/>
    <s v="Laurence"/>
    <s v="Laurence, Lebihan"/>
    <s v="Small"/>
  </r>
  <r>
    <n v="10135"/>
    <n v="45"/>
    <n v="5036"/>
    <n v="226620"/>
    <n v="226620"/>
    <n v="13"/>
    <s v="7/2/2003 0:00"/>
    <x v="0"/>
    <x v="2"/>
    <x v="2"/>
    <x v="0"/>
    <x v="0"/>
    <n v="62"/>
    <s v="S18_3782"/>
    <x v="39"/>
    <s v="4155551450"/>
    <s v="5677 Strong St."/>
    <s v=""/>
    <s v="San Rafael"/>
    <s v="CA"/>
    <s v="97562"/>
    <x v="0"/>
    <s v="NA"/>
    <s v="Nelson"/>
    <s v="Valarie"/>
    <s v="Valarie, Nelson"/>
    <s v="Small"/>
  </r>
  <r>
    <n v="10146"/>
    <n v="47"/>
    <n v="6714"/>
    <n v="315558"/>
    <n v="315558"/>
    <n v="2"/>
    <s v="9/3/2003 0:00"/>
    <x v="0"/>
    <x v="2"/>
    <x v="10"/>
    <x v="0"/>
    <x v="0"/>
    <n v="62"/>
    <s v="S18_3782"/>
    <x v="88"/>
    <s v="2035554407"/>
    <s v="2440 Pompton St."/>
    <s v=""/>
    <s v="Glendale"/>
    <s v="CT"/>
    <s v="97561"/>
    <x v="0"/>
    <s v="NA"/>
    <s v="Lewis"/>
    <s v="Dan"/>
    <s v="Dan, Lewis"/>
    <s v="Medium"/>
  </r>
  <r>
    <n v="10159"/>
    <n v="21"/>
    <n v="6466"/>
    <n v="135786"/>
    <n v="135786"/>
    <n v="8"/>
    <s v="10/10/2003 0:00"/>
    <x v="0"/>
    <x v="3"/>
    <x v="4"/>
    <x v="0"/>
    <x v="0"/>
    <n v="62"/>
    <s v="S18_3782"/>
    <x v="4"/>
    <s v="6505551386"/>
    <s v="7734 Strong St."/>
    <s v=""/>
    <s v="San Francisco"/>
    <s v="CA"/>
    <s v=""/>
    <x v="0"/>
    <s v="NA"/>
    <s v="Brown"/>
    <s v="Julie"/>
    <s v="Julie, Brown"/>
    <s v="Small"/>
  </r>
  <r>
    <n v="10169"/>
    <n v="38"/>
    <n v="6839"/>
    <n v="259882"/>
    <n v="259882"/>
    <n v="8"/>
    <s v="11/4/2003 0:00"/>
    <x v="0"/>
    <x v="3"/>
    <x v="5"/>
    <x v="0"/>
    <x v="0"/>
    <n v="62"/>
    <s v="S18_3782"/>
    <x v="42"/>
    <s v="02 9936 8555"/>
    <s v="201 Miller Street"/>
    <s v="Level 15"/>
    <s v="North Sydney"/>
    <s v="NSW"/>
    <s v="2060"/>
    <x v="3"/>
    <s v="APAC"/>
    <s v="O'Hara"/>
    <s v="Anna"/>
    <s v="Anna, O'Hara"/>
    <s v="Small"/>
  </r>
  <r>
    <n v="10180"/>
    <n v="21"/>
    <n v="5036"/>
    <n v="105756"/>
    <n v="105756"/>
    <n v="3"/>
    <s v="11/11/2003 0:00"/>
    <x v="0"/>
    <x v="3"/>
    <x v="5"/>
    <x v="0"/>
    <x v="0"/>
    <n v="62"/>
    <s v="S18_3782"/>
    <x v="6"/>
    <s v="20.16.1555"/>
    <s v="184, chausse de Tournai"/>
    <s v=""/>
    <s v="Lille"/>
    <s v=""/>
    <s v="59000"/>
    <x v="1"/>
    <s v="EMEA"/>
    <s v="Rance"/>
    <s v="Martine"/>
    <s v="Martine, Rance"/>
    <s v="Small"/>
  </r>
  <r>
    <n v="10191"/>
    <n v="43"/>
    <n v="7274"/>
    <n v="312782"/>
    <n v="312782"/>
    <n v="9"/>
    <s v="11/20/2003 0:00"/>
    <x v="0"/>
    <x v="3"/>
    <x v="5"/>
    <x v="0"/>
    <x v="0"/>
    <n v="62"/>
    <s v="S18_3782"/>
    <x v="68"/>
    <s v="0221-5554327"/>
    <s v="Mehrheimerstr. 369"/>
    <s v=""/>
    <s v="Koln"/>
    <s v=""/>
    <s v="50739"/>
    <x v="16"/>
    <s v="EMEA"/>
    <s v="Pfalzheim"/>
    <s v="Henriette"/>
    <s v="Henriette, Pfalzheim"/>
    <s v="Medium"/>
  </r>
  <r>
    <n v="10211"/>
    <n v="46"/>
    <n v="5409"/>
    <n v="248814"/>
    <n v="248814"/>
    <n v="8"/>
    <s v="1/15/2004 0:00"/>
    <x v="0"/>
    <x v="0"/>
    <x v="7"/>
    <x v="1"/>
    <x v="0"/>
    <n v="62"/>
    <s v="S18_3782"/>
    <x v="9"/>
    <s v="(1) 47.55.6555"/>
    <s v="25, rue Lauriston"/>
    <s v=""/>
    <s v="Paris"/>
    <s v=""/>
    <s v="75016"/>
    <x v="1"/>
    <s v="EMEA"/>
    <s v="Perrier"/>
    <s v="Dominique"/>
    <s v="Dominique, Perrier"/>
    <s v="Small"/>
  </r>
  <r>
    <n v="10224"/>
    <n v="38"/>
    <n v="5844"/>
    <n v="222072"/>
    <n v="222072"/>
    <n v="1"/>
    <s v="2/21/2004 0:00"/>
    <x v="0"/>
    <x v="0"/>
    <x v="0"/>
    <x v="1"/>
    <x v="0"/>
    <n v="62"/>
    <s v="S18_3782"/>
    <x v="6"/>
    <s v="20.16.1555"/>
    <s v="184, chausse de Tournai"/>
    <s v=""/>
    <s v="Lille"/>
    <s v=""/>
    <s v="59000"/>
    <x v="1"/>
    <s v="EMEA"/>
    <s v="Rance"/>
    <s v="Martine"/>
    <s v="Martine, Rance"/>
    <s v="Small"/>
  </r>
  <r>
    <n v="10237"/>
    <n v="26"/>
    <n v="5222"/>
    <n v="135772"/>
    <n v="135772"/>
    <n v="1"/>
    <s v="4/5/2004 0:00"/>
    <x v="0"/>
    <x v="1"/>
    <x v="8"/>
    <x v="1"/>
    <x v="0"/>
    <n v="62"/>
    <s v="S18_3782"/>
    <x v="11"/>
    <s v="2125551500"/>
    <s v="2678 Kingston Rd."/>
    <s v="Suite 101"/>
    <s v="NYC"/>
    <s v="NY"/>
    <s v="10022"/>
    <x v="0"/>
    <s v="NA"/>
    <s v="Frick"/>
    <s v="Michael"/>
    <s v="Michael, Frick"/>
    <s v="Small"/>
  </r>
  <r>
    <n v="10252"/>
    <n v="31"/>
    <n v="5284"/>
    <n v="163804"/>
    <n v="163804"/>
    <n v="5"/>
    <s v="5/26/2004 0:00"/>
    <x v="0"/>
    <x v="1"/>
    <x v="1"/>
    <x v="1"/>
    <x v="0"/>
    <n v="62"/>
    <s v="S18_3782"/>
    <x v="9"/>
    <s v="(1) 47.55.6555"/>
    <s v="25, rue Lauriston"/>
    <s v=""/>
    <s v="Paris"/>
    <s v=""/>
    <s v="75016"/>
    <x v="1"/>
    <s v="EMEA"/>
    <s v="Perrier"/>
    <s v="Dominique"/>
    <s v="Dominique, Perrier"/>
    <s v="Small"/>
  </r>
  <r>
    <n v="10264"/>
    <n v="48"/>
    <n v="5471"/>
    <n v="262608"/>
    <n v="262608"/>
    <n v="3"/>
    <s v="6/30/2004 0:00"/>
    <x v="0"/>
    <x v="1"/>
    <x v="9"/>
    <x v="1"/>
    <x v="0"/>
    <n v="62"/>
    <s v="S18_3782"/>
    <x v="58"/>
    <s v="6175559555"/>
    <s v="8616 Spinnaker Dr."/>
    <s v=""/>
    <s v="Boston"/>
    <s v="MA"/>
    <s v="51003"/>
    <x v="0"/>
    <s v="NA"/>
    <s v="Yoshido"/>
    <s v="Juri"/>
    <s v="Juri, Yoshido"/>
    <s v="Small"/>
  </r>
  <r>
    <n v="10276"/>
    <n v="33"/>
    <n v="5036"/>
    <n v="166188"/>
    <n v="166188"/>
    <n v="9"/>
    <s v="8/2/2004 0:00"/>
    <x v="0"/>
    <x v="2"/>
    <x v="3"/>
    <x v="1"/>
    <x v="0"/>
    <n v="62"/>
    <s v="S18_3782"/>
    <x v="71"/>
    <s v="6175557555"/>
    <s v="7635 Spinnaker Dr."/>
    <s v=""/>
    <s v="Brickhaven"/>
    <s v="MA"/>
    <s v="58339"/>
    <x v="0"/>
    <s v="NA"/>
    <s v="Barajas"/>
    <s v="Miguel"/>
    <s v="Miguel, Barajas"/>
    <s v="Small"/>
  </r>
  <r>
    <n v="10286"/>
    <n v="38"/>
    <n v="572"/>
    <n v="21736"/>
    <n v="21736"/>
    <n v="1"/>
    <s v="8/28/2004 0:00"/>
    <x v="0"/>
    <x v="2"/>
    <x v="3"/>
    <x v="1"/>
    <x v="0"/>
    <n v="62"/>
    <s v="S18_3782"/>
    <x v="62"/>
    <s v="(1) 42.34.2555"/>
    <s v="265, boulevard Charonne"/>
    <s v=""/>
    <s v="Paris"/>
    <s v=""/>
    <s v="75012"/>
    <x v="1"/>
    <s v="EMEA"/>
    <s v="Bertrand"/>
    <s v="Marie"/>
    <s v="Marie, Bertrand"/>
    <s v="Small"/>
  </r>
  <r>
    <n v="10299"/>
    <n v="39"/>
    <n v="5595"/>
    <n v="218205"/>
    <n v="218205"/>
    <n v="3"/>
    <s v="9/30/2004 0:00"/>
    <x v="0"/>
    <x v="2"/>
    <x v="10"/>
    <x v="1"/>
    <x v="0"/>
    <n v="62"/>
    <s v="S18_3782"/>
    <x v="16"/>
    <s v="90-224 8555"/>
    <s v="Keskuskatu 45"/>
    <s v=""/>
    <s v="Helsinki"/>
    <s v=""/>
    <s v="21240"/>
    <x v="4"/>
    <s v="EMEA"/>
    <s v="Karttunen"/>
    <s v="Matti"/>
    <s v="Matti, Karttunen"/>
    <s v="Small"/>
  </r>
  <r>
    <n v="10310"/>
    <n v="42"/>
    <n v="6714"/>
    <n v="281988"/>
    <n v="281988"/>
    <n v="16"/>
    <s v="10/16/2004 0:00"/>
    <x v="0"/>
    <x v="3"/>
    <x v="4"/>
    <x v="1"/>
    <x v="0"/>
    <n v="62"/>
    <s v="S18_3782"/>
    <x v="68"/>
    <s v="0221-5554327"/>
    <s v="Mehrheimerstr. 369"/>
    <s v=""/>
    <s v="Koln"/>
    <s v=""/>
    <s v="50739"/>
    <x v="16"/>
    <s v="EMEA"/>
    <s v="Pfalzheim"/>
    <s v="Henriette"/>
    <s v="Henriette, Pfalzheim"/>
    <s v="Small"/>
  </r>
  <r>
    <n v="10319"/>
    <n v="44"/>
    <n v="5906"/>
    <n v="259864"/>
    <n v="259864"/>
    <n v="4"/>
    <s v="11/3/2004 0:00"/>
    <x v="0"/>
    <x v="3"/>
    <x v="5"/>
    <x v="1"/>
    <x v="0"/>
    <n v="62"/>
    <s v="S18_3782"/>
    <x v="79"/>
    <s v="2125551957"/>
    <s v="5290 North Pendale Street"/>
    <s v="Suite 200"/>
    <s v="NYC"/>
    <s v="NY"/>
    <s v="10022"/>
    <x v="0"/>
    <s v="NA"/>
    <s v="Kuo"/>
    <s v="Kee"/>
    <s v="Kee, Kuo"/>
    <s v="Small"/>
  </r>
  <r>
    <n v="10330"/>
    <n v="29"/>
    <n v="6963"/>
    <n v="201927"/>
    <n v="201927"/>
    <n v="2"/>
    <s v="11/16/2004 0:00"/>
    <x v="0"/>
    <x v="3"/>
    <x v="5"/>
    <x v="1"/>
    <x v="0"/>
    <n v="62"/>
    <s v="S18_3782"/>
    <x v="66"/>
    <s v="+63 2 555 3587"/>
    <s v="15 McCallum Street - NatWest Center #13-03"/>
    <s v=""/>
    <s v="Makati City"/>
    <s v=""/>
    <s v="1227 MM"/>
    <x v="15"/>
    <s v="Japan"/>
    <s v="Cruz"/>
    <s v="Arnold"/>
    <s v="Arnold, Cruz"/>
    <s v="Small"/>
  </r>
  <r>
    <n v="10342"/>
    <n v="26"/>
    <n v="5595"/>
    <n v="145470"/>
    <n v="145470"/>
    <n v="8"/>
    <s v="11/24/2004 0:00"/>
    <x v="0"/>
    <x v="3"/>
    <x v="5"/>
    <x v="1"/>
    <x v="0"/>
    <n v="62"/>
    <s v="S18_3782"/>
    <x v="10"/>
    <s v="03 9520 4555"/>
    <s v="636 St Kilda Road"/>
    <s v="Level 3"/>
    <s v="Melbourne"/>
    <s v="Victoria"/>
    <s v="3004"/>
    <x v="3"/>
    <s v="APAC"/>
    <s v="Ferguson"/>
    <s v="Peter"/>
    <s v="Peter, Ferguson"/>
    <s v="Small"/>
  </r>
  <r>
    <n v="10355"/>
    <n v="31"/>
    <n v="5347"/>
    <n v="165757"/>
    <n v="165757"/>
    <n v="1"/>
    <s v="12/7/2004 0:00"/>
    <x v="0"/>
    <x v="3"/>
    <x v="6"/>
    <x v="1"/>
    <x v="0"/>
    <n v="62"/>
    <s v="S18_3782"/>
    <x v="23"/>
    <s v="(91) 555 94 44"/>
    <s v="C/ Moralzarzal, 86"/>
    <s v=""/>
    <s v="Madrid"/>
    <s v=""/>
    <s v="28034"/>
    <x v="7"/>
    <s v="EMEA"/>
    <s v="Freyre"/>
    <s v="Diego"/>
    <s v="Diego, Freyre"/>
    <s v="Small"/>
  </r>
  <r>
    <n v="10363"/>
    <n v="32"/>
    <n v="8912"/>
    <n v="285184"/>
    <n v="285184"/>
    <n v="12"/>
    <s v="1/6/2005 0:00"/>
    <x v="0"/>
    <x v="0"/>
    <x v="7"/>
    <x v="2"/>
    <x v="0"/>
    <n v="62"/>
    <s v="S18_3782"/>
    <x v="73"/>
    <s v="+358 9 8045 555"/>
    <s v="Software Engineering Center, SEC Oy"/>
    <s v=""/>
    <s v="Espoo"/>
    <s v=""/>
    <s v="FIN-02271"/>
    <x v="4"/>
    <s v="EMEA"/>
    <s v="Suominen"/>
    <s v="Kalle"/>
    <s v="Kalle, Suominen"/>
    <s v="Small"/>
  </r>
  <r>
    <n v="10378"/>
    <n v="28"/>
    <n v="100"/>
    <n v="2800"/>
    <n v="2800"/>
    <n v="9"/>
    <s v="2/10/2005 0:00"/>
    <x v="0"/>
    <x v="0"/>
    <x v="0"/>
    <x v="2"/>
    <x v="0"/>
    <n v="62"/>
    <s v="S18_3782"/>
    <x v="23"/>
    <s v="(91) 555 94 44"/>
    <s v="C/ Moralzarzal, 86"/>
    <s v=""/>
    <s v="Madrid"/>
    <s v=""/>
    <s v="28034"/>
    <x v="7"/>
    <s v="EMEA"/>
    <s v="Freyre"/>
    <s v="Diego"/>
    <s v="Diego, Freyre"/>
    <s v="Medium"/>
  </r>
  <r>
    <n v="10390"/>
    <n v="36"/>
    <n v="100"/>
    <n v="3600"/>
    <n v="3600"/>
    <n v="2"/>
    <s v="3/4/2005 0:00"/>
    <x v="0"/>
    <x v="0"/>
    <x v="11"/>
    <x v="2"/>
    <x v="0"/>
    <n v="62"/>
    <s v="S18_3782"/>
    <x v="39"/>
    <s v="4155551450"/>
    <s v="5677 Strong St."/>
    <s v=""/>
    <s v="San Rafael"/>
    <s v="CA"/>
    <s v="97562"/>
    <x v="0"/>
    <s v="NA"/>
    <s v="Nelson"/>
    <s v="Valarie"/>
    <s v="Valarie, Nelson"/>
    <s v="Medium"/>
  </r>
  <r>
    <n v="10403"/>
    <n v="36"/>
    <n v="5222"/>
    <n v="187992"/>
    <n v="187992"/>
    <n v="1"/>
    <s v="4/8/2005 0:00"/>
    <x v="0"/>
    <x v="1"/>
    <x v="8"/>
    <x v="2"/>
    <x v="0"/>
    <n v="62"/>
    <s v="S18_3782"/>
    <x v="22"/>
    <s v="(171) 555-2282"/>
    <s v="Berkeley Gardens 12  Brewery"/>
    <s v=""/>
    <s v="Liverpool"/>
    <s v=""/>
    <s v="WX1 6LT"/>
    <x v="6"/>
    <s v="EMEA"/>
    <s v="Devon"/>
    <s v="Elizabeth"/>
    <s v="Elizabeth, Devon"/>
    <s v="Small"/>
  </r>
  <r>
    <n v="10106"/>
    <n v="41"/>
    <n v="100"/>
    <n v="4100"/>
    <n v="4100"/>
    <n v="17"/>
    <s v="2/17/2003 0:00"/>
    <x v="0"/>
    <x v="0"/>
    <x v="0"/>
    <x v="0"/>
    <x v="3"/>
    <n v="105"/>
    <s v="S18_3856"/>
    <x v="86"/>
    <s v="035-640555"/>
    <s v="Via Ludovico il Moro 22"/>
    <s v=""/>
    <s v="Bergamo"/>
    <s v=""/>
    <s v="24100"/>
    <x v="12"/>
    <s v="EMEA"/>
    <s v="Rovelli"/>
    <s v="Giovanni"/>
    <s v="Giovanni, Rovelli"/>
    <s v="Medium"/>
  </r>
  <r>
    <n v="10119"/>
    <n v="27"/>
    <n v="9952"/>
    <n v="268704"/>
    <n v="268704"/>
    <n v="8"/>
    <s v="4/28/2003 0:00"/>
    <x v="0"/>
    <x v="1"/>
    <x v="8"/>
    <x v="0"/>
    <x v="3"/>
    <n v="105"/>
    <s v="S18_3856"/>
    <x v="19"/>
    <s v="6562-9555"/>
    <s v="Geislweg 14"/>
    <s v=""/>
    <s v="Salzburg"/>
    <s v=""/>
    <s v="5020"/>
    <x v="5"/>
    <s v="EMEA"/>
    <s v="Pipps"/>
    <s v="Georg"/>
    <s v="Georg, Pipps"/>
    <s v="Small"/>
  </r>
  <r>
    <n v="10130"/>
    <n v="33"/>
    <n v="100"/>
    <n v="3300"/>
    <n v="3300"/>
    <n v="1"/>
    <s v="6/16/2003 0:00"/>
    <x v="0"/>
    <x v="1"/>
    <x v="9"/>
    <x v="0"/>
    <x v="3"/>
    <n v="105"/>
    <s v="S18_3856"/>
    <x v="91"/>
    <s v="6175558428"/>
    <s v="16780 Pompton St."/>
    <s v=""/>
    <s v="Brickhaven"/>
    <s v="MA"/>
    <s v="58339"/>
    <x v="0"/>
    <s v="NA"/>
    <s v="Taylor"/>
    <s v="Leslie"/>
    <s v="Leslie, Taylor"/>
    <s v="Medium"/>
  </r>
  <r>
    <n v="10143"/>
    <n v="34"/>
    <n v="100"/>
    <n v="3400"/>
    <n v="3400"/>
    <n v="12"/>
    <s v="8/10/2003 0:00"/>
    <x v="0"/>
    <x v="2"/>
    <x v="3"/>
    <x v="0"/>
    <x v="3"/>
    <n v="105"/>
    <s v="S18_3856"/>
    <x v="50"/>
    <s v="5085559555"/>
    <s v="4575 Hillside Dr."/>
    <s v=""/>
    <s v="New Bedford"/>
    <s v="MA"/>
    <s v="50553"/>
    <x v="0"/>
    <s v="NA"/>
    <s v="Tam"/>
    <s v="Wing C"/>
    <s v="Wing C, Tam"/>
    <s v="Medium"/>
  </r>
  <r>
    <n v="10155"/>
    <n v="29"/>
    <n v="100"/>
    <n v="2900"/>
    <n v="2900"/>
    <n v="10"/>
    <s v="10/6/2003 0:00"/>
    <x v="0"/>
    <x v="3"/>
    <x v="4"/>
    <x v="0"/>
    <x v="3"/>
    <n v="105"/>
    <s v="S18_3856"/>
    <x v="16"/>
    <s v="90-224 8555"/>
    <s v="Keskuskatu 45"/>
    <s v=""/>
    <s v="Helsinki"/>
    <s v=""/>
    <s v="21240"/>
    <x v="4"/>
    <s v="EMEA"/>
    <s v="Karttunen"/>
    <s v="Matti"/>
    <s v="Matti, Karttunen"/>
    <s v="Medium"/>
  </r>
  <r>
    <n v="10167"/>
    <n v="34"/>
    <n v="100"/>
    <n v="3400"/>
    <n v="0"/>
    <n v="6"/>
    <s v="10/23/2003 0:00"/>
    <x v="3"/>
    <x v="3"/>
    <x v="4"/>
    <x v="0"/>
    <x v="3"/>
    <n v="105"/>
    <s v="S18_3856"/>
    <x v="37"/>
    <s v="0695-34 6555"/>
    <s v="?kergatan 24"/>
    <s v=""/>
    <s v="Boras"/>
    <s v=""/>
    <s v="S-844 67"/>
    <x v="8"/>
    <s v="EMEA"/>
    <s v="Larsson"/>
    <s v="Maria"/>
    <s v="Maria, Larsson"/>
    <s v="Medium"/>
  </r>
  <r>
    <n v="10178"/>
    <n v="48"/>
    <n v="100"/>
    <n v="4800"/>
    <n v="4800"/>
    <n v="9"/>
    <s v="11/8/2003 0:00"/>
    <x v="0"/>
    <x v="3"/>
    <x v="5"/>
    <x v="0"/>
    <x v="3"/>
    <n v="105"/>
    <s v="S18_3856"/>
    <x v="51"/>
    <s v="61.77.6555"/>
    <s v="1 rue Alsace-Lorraine"/>
    <s v=""/>
    <s v="Toulouse"/>
    <s v=""/>
    <s v="31000"/>
    <x v="1"/>
    <s v="EMEA"/>
    <s v="Roulet"/>
    <s v="Annette"/>
    <s v="Annette, Roulet"/>
    <s v="Medium"/>
  </r>
  <r>
    <n v="10186"/>
    <n v="46"/>
    <n v="100"/>
    <n v="4600"/>
    <n v="4600"/>
    <n v="6"/>
    <s v="11/14/2003 0:00"/>
    <x v="0"/>
    <x v="3"/>
    <x v="5"/>
    <x v="0"/>
    <x v="3"/>
    <n v="105"/>
    <s v="S18_3856"/>
    <x v="52"/>
    <s v="(171) 555-7555"/>
    <s v="120 Hanover Sq."/>
    <s v=""/>
    <s v="London"/>
    <s v=""/>
    <s v="WA1 1DP"/>
    <x v="6"/>
    <s v="EMEA"/>
    <s v="Hardy"/>
    <s v="Thomas"/>
    <s v="Thomas, Hardy"/>
    <s v="Medium"/>
  </r>
  <r>
    <n v="10197"/>
    <n v="22"/>
    <n v="100"/>
    <n v="2200"/>
    <n v="2200"/>
    <n v="3"/>
    <s v="11/26/2003 0:00"/>
    <x v="0"/>
    <x v="3"/>
    <x v="5"/>
    <x v="0"/>
    <x v="3"/>
    <n v="105"/>
    <s v="S18_3856"/>
    <x v="53"/>
    <s v="(93) 203 4555"/>
    <s v="Rambla de Catalu¤a, 23"/>
    <s v=""/>
    <s v="Barcelona"/>
    <s v=""/>
    <s v="8022"/>
    <x v="7"/>
    <s v="EMEA"/>
    <s v="Saavedra"/>
    <s v="Eduardo"/>
    <s v="Eduardo, Saavedra"/>
    <s v="Small"/>
  </r>
  <r>
    <n v="10209"/>
    <n v="20"/>
    <n v="100"/>
    <n v="2000"/>
    <n v="2000"/>
    <n v="5"/>
    <s v="1/9/2004 0:00"/>
    <x v="0"/>
    <x v="0"/>
    <x v="7"/>
    <x v="1"/>
    <x v="3"/>
    <n v="105"/>
    <s v="S18_3856"/>
    <x v="54"/>
    <s v="2155554369"/>
    <s v="6047 Douglas Av."/>
    <s v=""/>
    <s v="Los Angeles"/>
    <s v="CA"/>
    <s v=""/>
    <x v="0"/>
    <s v="NA"/>
    <s v="Chandler"/>
    <s v="Michael"/>
    <s v="Michael, Chandler"/>
    <s v="Small"/>
  </r>
  <r>
    <n v="10222"/>
    <n v="45"/>
    <n v="8575"/>
    <n v="385875"/>
    <n v="385875"/>
    <n v="9"/>
    <s v="2/19/2004 0:00"/>
    <x v="0"/>
    <x v="0"/>
    <x v="0"/>
    <x v="1"/>
    <x v="3"/>
    <n v="105"/>
    <s v="S18_3856"/>
    <x v="55"/>
    <s v="7605558146"/>
    <s v="361 Furth Circle"/>
    <s v=""/>
    <s v="San Diego"/>
    <s v="CA"/>
    <s v="91217"/>
    <x v="0"/>
    <s v="NA"/>
    <s v="Thompson"/>
    <s v="Valarie"/>
    <s v="Valarie, Thompson"/>
    <s v="Medium"/>
  </r>
  <r>
    <n v="10249"/>
    <n v="46"/>
    <n v="100"/>
    <n v="4600"/>
    <n v="4600"/>
    <n v="5"/>
    <s v="5/8/2004 0:00"/>
    <x v="0"/>
    <x v="1"/>
    <x v="1"/>
    <x v="1"/>
    <x v="3"/>
    <n v="105"/>
    <s v="S18_3856"/>
    <x v="33"/>
    <s v="6175555555"/>
    <s v="4658 Baden Av."/>
    <s v=""/>
    <s v="Cambridge"/>
    <s v="MA"/>
    <s v="51247"/>
    <x v="0"/>
    <s v="NA"/>
    <s v="Tseng"/>
    <s v="Kyung"/>
    <s v="Kyung, Tseng"/>
    <s v="Medium"/>
  </r>
  <r>
    <n v="10262"/>
    <n v="34"/>
    <n v="100"/>
    <n v="3400"/>
    <n v="0"/>
    <n v="14"/>
    <s v="6/24/2004 0:00"/>
    <x v="3"/>
    <x v="1"/>
    <x v="9"/>
    <x v="1"/>
    <x v="3"/>
    <n v="105"/>
    <s v="S18_3856"/>
    <x v="23"/>
    <s v="(91) 555 94 44"/>
    <s v="C/ Moralzarzal, 86"/>
    <s v=""/>
    <s v="Madrid"/>
    <s v=""/>
    <s v="28034"/>
    <x v="7"/>
    <s v="EMEA"/>
    <s v="Freyre"/>
    <s v="Diego"/>
    <s v="Diego, Freyre"/>
    <s v="Medium"/>
  </r>
  <r>
    <n v="10273"/>
    <n v="50"/>
    <n v="8575"/>
    <n v="428750"/>
    <n v="428750"/>
    <n v="1"/>
    <s v="7/21/2004 0:00"/>
    <x v="0"/>
    <x v="2"/>
    <x v="2"/>
    <x v="1"/>
    <x v="3"/>
    <n v="105"/>
    <s v="S18_3856"/>
    <x v="56"/>
    <s v="(02) 5554 67"/>
    <s v="Rue Joseph-Bens 532"/>
    <s v=""/>
    <s v="Bruxelles"/>
    <s v=""/>
    <s v="B-1180"/>
    <x v="14"/>
    <s v="EMEA"/>
    <s v="Dewey"/>
    <s v="Catherine"/>
    <s v="Catherine, Dewey"/>
    <s v="Medium"/>
  </r>
  <r>
    <n v="10283"/>
    <n v="46"/>
    <n v="100"/>
    <n v="4600"/>
    <n v="4600"/>
    <n v="3"/>
    <s v="8/20/2004 0:00"/>
    <x v="0"/>
    <x v="2"/>
    <x v="3"/>
    <x v="1"/>
    <x v="3"/>
    <n v="105"/>
    <s v="S18_3856"/>
    <x v="57"/>
    <s v="(604) 555-4555"/>
    <s v="23 Tsawassen Blvd."/>
    <s v=""/>
    <s v="Tsawassen"/>
    <s v="BC"/>
    <s v="T2F 8M4"/>
    <x v="10"/>
    <s v="NA"/>
    <s v="Lincoln"/>
    <s v="Elizabeth"/>
    <s v="Elizabeth, Lincoln"/>
    <s v="Medium"/>
  </r>
  <r>
    <n v="10296"/>
    <n v="22"/>
    <n v="847"/>
    <n v="18634"/>
    <n v="18634"/>
    <n v="12"/>
    <s v="9/15/2004 0:00"/>
    <x v="0"/>
    <x v="2"/>
    <x v="10"/>
    <x v="1"/>
    <x v="3"/>
    <n v="105"/>
    <s v="S18_3856"/>
    <x v="89"/>
    <s v="+49 89 61 08 9555"/>
    <s v="Hansastr. 15"/>
    <s v=""/>
    <s v="Munich"/>
    <s v=""/>
    <s v="80686"/>
    <x v="16"/>
    <s v="EMEA"/>
    <s v="Donnermeyer"/>
    <s v="Michael"/>
    <s v="Michael, Donnermeyer"/>
    <s v="Small"/>
  </r>
  <r>
    <n v="10307"/>
    <n v="48"/>
    <n v="8681"/>
    <n v="416688"/>
    <n v="416688"/>
    <n v="6"/>
    <s v="10/14/2004 0:00"/>
    <x v="0"/>
    <x v="3"/>
    <x v="4"/>
    <x v="1"/>
    <x v="3"/>
    <n v="105"/>
    <s v="S18_3856"/>
    <x v="29"/>
    <s v="2155554695"/>
    <s v="782 First Street"/>
    <s v=""/>
    <s v="Philadelphia"/>
    <s v="PA"/>
    <s v="71270"/>
    <x v="0"/>
    <s v="NA"/>
    <s v="Cervantes"/>
    <s v="Francisca"/>
    <s v="Francisca, Cervantes"/>
    <s v="Medium"/>
  </r>
  <r>
    <n v="10316"/>
    <n v="47"/>
    <n v="8681"/>
    <n v="408007"/>
    <n v="408007"/>
    <n v="14"/>
    <s v="11/1/2004 0:00"/>
    <x v="0"/>
    <x v="3"/>
    <x v="5"/>
    <x v="1"/>
    <x v="3"/>
    <n v="105"/>
    <s v="S18_3856"/>
    <x v="59"/>
    <s v="(198) 555-8888"/>
    <s v="Garden House Crowther Way"/>
    <s v=""/>
    <s v="Cowes"/>
    <s v="Isle of Wight"/>
    <s v="PO31 7PJ"/>
    <x v="6"/>
    <s v="EMEA"/>
    <s v="Bennett"/>
    <s v="Helen"/>
    <s v="Helen, Bennett"/>
    <s v="Medium"/>
  </r>
  <r>
    <n v="10328"/>
    <n v="34"/>
    <n v="100"/>
    <n v="3400"/>
    <n v="3400"/>
    <n v="6"/>
    <s v="11/12/2004 0:00"/>
    <x v="0"/>
    <x v="3"/>
    <x v="5"/>
    <x v="1"/>
    <x v="3"/>
    <n v="105"/>
    <s v="S18_3856"/>
    <x v="86"/>
    <s v="035-640555"/>
    <s v="Via Ludovico il Moro 22"/>
    <s v=""/>
    <s v="Bergamo"/>
    <s v=""/>
    <s v="24100"/>
    <x v="12"/>
    <s v="EMEA"/>
    <s v="Rovelli"/>
    <s v="Giovanni"/>
    <s v="Giovanni, Rovelli"/>
    <s v="Medium"/>
  </r>
  <r>
    <n v="10338"/>
    <n v="45"/>
    <n v="100"/>
    <n v="4500"/>
    <n v="4500"/>
    <n v="2"/>
    <s v="11/22/2004 0:00"/>
    <x v="0"/>
    <x v="3"/>
    <x v="5"/>
    <x v="1"/>
    <x v="3"/>
    <n v="105"/>
    <s v="S18_3856"/>
    <x v="90"/>
    <s v="(071) 23 67 2555"/>
    <s v="Boulevard Tirou, 255"/>
    <s v=""/>
    <s v="Charleroi"/>
    <s v=""/>
    <s v="B-6000"/>
    <x v="14"/>
    <s v="EMEA"/>
    <s v="Cartrain"/>
    <s v="Pascale"/>
    <s v="Pascale, Cartrain"/>
    <s v="Medium"/>
  </r>
  <r>
    <n v="10351"/>
    <n v="20"/>
    <n v="100"/>
    <n v="2000"/>
    <n v="2000"/>
    <n v="2"/>
    <s v="12/3/2004 0:00"/>
    <x v="0"/>
    <x v="3"/>
    <x v="6"/>
    <x v="1"/>
    <x v="3"/>
    <n v="105"/>
    <s v="S18_3856"/>
    <x v="49"/>
    <s v="(171) 555-0297"/>
    <s v="35 King George"/>
    <s v=""/>
    <s v="London"/>
    <s v=""/>
    <s v="WX3 6FW"/>
    <x v="6"/>
    <s v="EMEA"/>
    <s v="Brown"/>
    <s v="Ann"/>
    <s v="Ann, Brown"/>
    <s v="Medium"/>
  </r>
  <r>
    <n v="10373"/>
    <n v="50"/>
    <n v="6049"/>
    <n v="302450"/>
    <n v="302450"/>
    <n v="6"/>
    <s v="1/31/2005 0:00"/>
    <x v="0"/>
    <x v="0"/>
    <x v="7"/>
    <x v="2"/>
    <x v="3"/>
    <n v="105"/>
    <s v="S18_3856"/>
    <x v="60"/>
    <s v="981-443655"/>
    <s v="Torikatu 38"/>
    <s v=""/>
    <s v="Oulu"/>
    <s v=""/>
    <s v="90110"/>
    <x v="4"/>
    <s v="EMEA"/>
    <s v="Koskitalo"/>
    <s v="Pirkko"/>
    <s v="Pirkko, Koskitalo"/>
    <s v="Medium"/>
  </r>
  <r>
    <n v="10386"/>
    <n v="22"/>
    <n v="5755"/>
    <n v="126610"/>
    <n v="126610"/>
    <n v="6"/>
    <s v="3/1/2005 0:00"/>
    <x v="5"/>
    <x v="0"/>
    <x v="11"/>
    <x v="2"/>
    <x v="3"/>
    <n v="105"/>
    <s v="S18_3856"/>
    <x v="23"/>
    <s v="(91) 555 94 44"/>
    <s v="C/ Moralzarzal, 86"/>
    <s v=""/>
    <s v="Madrid"/>
    <s v=""/>
    <s v="28034"/>
    <x v="7"/>
    <s v="EMEA"/>
    <s v="Freyre"/>
    <s v="Diego"/>
    <s v="Diego, Freyre"/>
    <s v="Small"/>
  </r>
  <r>
    <n v="10398"/>
    <n v="45"/>
    <n v="100"/>
    <n v="4500"/>
    <n v="4500"/>
    <n v="17"/>
    <s v="3/30/2005 0:00"/>
    <x v="0"/>
    <x v="0"/>
    <x v="11"/>
    <x v="2"/>
    <x v="3"/>
    <n v="105"/>
    <s v="S18_3856"/>
    <x v="1"/>
    <s v="26.47.1555"/>
    <s v="59 rue de l'Abbaye"/>
    <s v=""/>
    <s v="Reims"/>
    <s v=""/>
    <s v="51100"/>
    <x v="1"/>
    <s v="EMEA"/>
    <s v="Henriot"/>
    <s v="Paul"/>
    <s v="Paul, Henriot"/>
    <s v="Medium"/>
  </r>
  <r>
    <n v="10400"/>
    <n v="58"/>
    <n v="100"/>
    <n v="5800"/>
    <n v="5800"/>
    <n v="6"/>
    <s v="4/1/2005 0:00"/>
    <x v="0"/>
    <x v="1"/>
    <x v="8"/>
    <x v="2"/>
    <x v="3"/>
    <n v="105"/>
    <s v="S18_3856"/>
    <x v="61"/>
    <s v="4085553659"/>
    <s v="3086 Ingle Ln."/>
    <s v=""/>
    <s v="San Jose"/>
    <s v="CA"/>
    <s v="94217"/>
    <x v="0"/>
    <s v="NA"/>
    <s v="Frick"/>
    <s v="Sue"/>
    <s v="Sue, Frick"/>
    <s v="Large"/>
  </r>
  <r>
    <n v="10415"/>
    <n v="51"/>
    <n v="100"/>
    <n v="5100"/>
    <n v="0"/>
    <n v="5"/>
    <s v="5/9/2005 0:00"/>
    <x v="1"/>
    <x v="1"/>
    <x v="1"/>
    <x v="2"/>
    <x v="3"/>
    <n v="105"/>
    <s v="S18_3856"/>
    <x v="87"/>
    <s v="61-9-3844-6555"/>
    <s v="7 Allen Street"/>
    <s v=""/>
    <s v="Glen Waverly"/>
    <s v="Victoria"/>
    <s v="3150"/>
    <x v="3"/>
    <s v="APAC"/>
    <s v="Connery"/>
    <s v="Sean"/>
    <s v="Sean, Connery"/>
    <s v="Medium"/>
  </r>
  <r>
    <n v="10104"/>
    <n v="38"/>
    <n v="100"/>
    <n v="3800"/>
    <n v="3800"/>
    <n v="3"/>
    <s v="1/31/2003 0:00"/>
    <x v="0"/>
    <x v="0"/>
    <x v="7"/>
    <x v="0"/>
    <x v="1"/>
    <n v="143"/>
    <s v="S18_4027"/>
    <x v="23"/>
    <s v="(91) 555 94 44"/>
    <s v="C/ Moralzarzal, 86"/>
    <s v=""/>
    <s v="Madrid"/>
    <s v=""/>
    <s v="28034"/>
    <x v="7"/>
    <s v="EMEA"/>
    <s v="Freyre"/>
    <s v="Diego"/>
    <s v="Diego, Freyre"/>
    <s v="Medium"/>
  </r>
  <r>
    <n v="10117"/>
    <n v="22"/>
    <n v="100"/>
    <n v="2200"/>
    <n v="2200"/>
    <n v="12"/>
    <s v="4/16/2003 0:00"/>
    <x v="0"/>
    <x v="1"/>
    <x v="8"/>
    <x v="0"/>
    <x v="1"/>
    <n v="143"/>
    <s v="S18_4027"/>
    <x v="26"/>
    <s v="+65 221 7555"/>
    <s v="Bronz Sok., Bronz Apt. 3/6 Tesvikiye"/>
    <s v=""/>
    <s v="Singapore"/>
    <s v=""/>
    <s v="79903"/>
    <x v="9"/>
    <s v="Japan"/>
    <s v="Natividad"/>
    <s v="Eric"/>
    <s v="Eric, Natividad"/>
    <s v="Small"/>
  </r>
  <r>
    <n v="10127"/>
    <n v="25"/>
    <n v="100"/>
    <n v="2500"/>
    <n v="2500"/>
    <n v="5"/>
    <s v="6/3/2003 0:00"/>
    <x v="0"/>
    <x v="1"/>
    <x v="9"/>
    <x v="0"/>
    <x v="1"/>
    <n v="143"/>
    <s v="S18_4027"/>
    <x v="74"/>
    <s v="2125557413"/>
    <s v="4092 Furth Circle"/>
    <s v="Suite 400"/>
    <s v="NYC"/>
    <s v="NY"/>
    <s v="10022"/>
    <x v="0"/>
    <s v="NA"/>
    <s v="Young"/>
    <s v="Jeff"/>
    <s v="Jeff, Young"/>
    <s v="Medium"/>
  </r>
  <r>
    <n v="10142"/>
    <n v="24"/>
    <n v="100"/>
    <n v="2400"/>
    <n v="2400"/>
    <n v="15"/>
    <s v="8/8/2003 0:00"/>
    <x v="0"/>
    <x v="2"/>
    <x v="3"/>
    <x v="0"/>
    <x v="1"/>
    <n v="143"/>
    <s v="S18_4027"/>
    <x v="39"/>
    <s v="4155551450"/>
    <s v="5677 Strong St."/>
    <s v=""/>
    <s v="San Rafael"/>
    <s v="CA"/>
    <s v="97562"/>
    <x v="0"/>
    <s v="NA"/>
    <s v="Nelson"/>
    <s v="Valarie"/>
    <s v="Valarie, Nelson"/>
    <s v="Medium"/>
  </r>
  <r>
    <n v="10152"/>
    <n v="35"/>
    <n v="100"/>
    <n v="3500"/>
    <n v="3500"/>
    <n v="1"/>
    <s v="9/25/2003 0:00"/>
    <x v="0"/>
    <x v="2"/>
    <x v="10"/>
    <x v="0"/>
    <x v="1"/>
    <n v="143"/>
    <s v="S18_4027"/>
    <x v="28"/>
    <s v="61-7-3844-6555"/>
    <s v="31 Duncan St. West End"/>
    <s v=""/>
    <s v="South Brisbane"/>
    <s v="Queensland"/>
    <s v="4101"/>
    <x v="3"/>
    <s v="APAC"/>
    <s v="Calaghan"/>
    <s v="Tony"/>
    <s v="Tony, Calaghan"/>
    <s v="Medium"/>
  </r>
  <r>
    <n v="10165"/>
    <n v="28"/>
    <n v="100"/>
    <n v="2800"/>
    <n v="2800"/>
    <n v="6"/>
    <s v="10/22/2003 0:00"/>
    <x v="0"/>
    <x v="3"/>
    <x v="4"/>
    <x v="0"/>
    <x v="1"/>
    <n v="143"/>
    <s v="S18_4027"/>
    <x v="26"/>
    <s v="+65 221 7555"/>
    <s v="Bronz Sok., Bronz Apt. 3/6 Tesvikiye"/>
    <s v=""/>
    <s v="Singapore"/>
    <s v=""/>
    <s v="79903"/>
    <x v="9"/>
    <s v="Japan"/>
    <s v="Natividad"/>
    <s v="Eric"/>
    <s v="Eric, Natividad"/>
    <s v="Medium"/>
  </r>
  <r>
    <n v="10176"/>
    <n v="36"/>
    <n v="100"/>
    <n v="3600"/>
    <n v="3600"/>
    <n v="5"/>
    <s v="11/6/2003 0:00"/>
    <x v="0"/>
    <x v="3"/>
    <x v="5"/>
    <x v="0"/>
    <x v="1"/>
    <n v="143"/>
    <s v="S18_4027"/>
    <x v="70"/>
    <s v="0522-556555"/>
    <s v="Strada Provinciale 124"/>
    <s v=""/>
    <s v="Reggio Emilia"/>
    <s v=""/>
    <s v="42100"/>
    <x v="12"/>
    <s v="EMEA"/>
    <s v="Moroni"/>
    <s v="Maurizio"/>
    <s v="Maurizio, Moroni"/>
    <s v="Medium"/>
  </r>
  <r>
    <n v="10185"/>
    <n v="39"/>
    <n v="100"/>
    <n v="3900"/>
    <n v="3900"/>
    <n v="16"/>
    <s v="11/14/2003 0:00"/>
    <x v="0"/>
    <x v="3"/>
    <x v="5"/>
    <x v="0"/>
    <x v="1"/>
    <n v="143"/>
    <s v="S18_4027"/>
    <x v="50"/>
    <s v="5085559555"/>
    <s v="4575 Hillside Dr."/>
    <s v=""/>
    <s v="New Bedford"/>
    <s v="MA"/>
    <s v="50553"/>
    <x v="0"/>
    <s v="NA"/>
    <s v="Tam"/>
    <s v="Wing C"/>
    <s v="Wing C, Tam"/>
    <s v="Medium"/>
  </r>
  <r>
    <n v="10196"/>
    <n v="27"/>
    <n v="100"/>
    <n v="2700"/>
    <n v="2700"/>
    <n v="8"/>
    <s v="11/26/2003 0:00"/>
    <x v="0"/>
    <x v="3"/>
    <x v="5"/>
    <x v="0"/>
    <x v="1"/>
    <n v="143"/>
    <s v="S18_4027"/>
    <x v="34"/>
    <s v="2035559545"/>
    <s v="567 North Pendale Street"/>
    <s v=""/>
    <s v="New Haven"/>
    <s v="CT"/>
    <s v="97823"/>
    <x v="0"/>
    <s v="NA"/>
    <s v="Murphy"/>
    <s v="Leslie"/>
    <s v="Leslie, Murphy"/>
    <s v="Medium"/>
  </r>
  <r>
    <n v="10207"/>
    <n v="40"/>
    <n v="100"/>
    <n v="4000"/>
    <n v="4000"/>
    <n v="1"/>
    <s v="12/9/2003 0:00"/>
    <x v="0"/>
    <x v="3"/>
    <x v="6"/>
    <x v="0"/>
    <x v="1"/>
    <n v="143"/>
    <s v="S18_4027"/>
    <x v="64"/>
    <s v="6175552555"/>
    <s v="6251 Ingle Ln."/>
    <s v=""/>
    <s v="Boston"/>
    <s v="MA"/>
    <s v="51003"/>
    <x v="0"/>
    <s v="NA"/>
    <s v="Franco"/>
    <s v="Valarie"/>
    <s v="Valarie, Franco"/>
    <s v="Medium"/>
  </r>
  <r>
    <n v="10220"/>
    <n v="50"/>
    <n v="100"/>
    <n v="5000"/>
    <n v="5000"/>
    <n v="5"/>
    <s v="2/12/2004 0:00"/>
    <x v="0"/>
    <x v="0"/>
    <x v="0"/>
    <x v="1"/>
    <x v="1"/>
    <n v="143"/>
    <s v="S18_4027"/>
    <x v="75"/>
    <s v="+353 1862 1555"/>
    <s v="25 Maiden Lane"/>
    <s v="Floor No. 4"/>
    <s v="Dublin"/>
    <s v=""/>
    <s v="2"/>
    <x v="18"/>
    <s v="EMEA"/>
    <s v="Cassidy"/>
    <s v="Dean"/>
    <s v="Dean, Cassidy"/>
    <s v="Large"/>
  </r>
  <r>
    <n v="10230"/>
    <n v="42"/>
    <n v="100"/>
    <n v="4200"/>
    <n v="4200"/>
    <n v="3"/>
    <s v="3/15/2004 0:00"/>
    <x v="0"/>
    <x v="0"/>
    <x v="11"/>
    <x v="1"/>
    <x v="1"/>
    <n v="143"/>
    <s v="S18_4027"/>
    <x v="72"/>
    <s v="+49 69 66 90 2555"/>
    <s v="Lyonerstr. 34"/>
    <s v=""/>
    <s v="Frankfurt"/>
    <s v=""/>
    <s v="60528"/>
    <x v="16"/>
    <s v="EMEA"/>
    <s v="Keitel"/>
    <s v="Roland"/>
    <s v="Roland, Keitel"/>
    <s v="Large"/>
  </r>
  <r>
    <n v="10247"/>
    <n v="48"/>
    <n v="100"/>
    <n v="4800"/>
    <n v="4800"/>
    <n v="5"/>
    <s v="5/5/2004 0:00"/>
    <x v="0"/>
    <x v="1"/>
    <x v="1"/>
    <x v="1"/>
    <x v="1"/>
    <n v="143"/>
    <s v="S18_4027"/>
    <x v="73"/>
    <s v="+358 9 8045 555"/>
    <s v="Software Engineering Center, SEC Oy"/>
    <s v=""/>
    <s v="Espoo"/>
    <s v=""/>
    <s v="FIN-02271"/>
    <x v="4"/>
    <s v="EMEA"/>
    <s v="Suominen"/>
    <s v="Kalle"/>
    <s v="Kalle, Suominen"/>
    <s v="Medium"/>
  </r>
  <r>
    <n v="10272"/>
    <n v="25"/>
    <n v="100"/>
    <n v="2500"/>
    <n v="2500"/>
    <n v="5"/>
    <s v="7/20/2004 0:00"/>
    <x v="0"/>
    <x v="2"/>
    <x v="2"/>
    <x v="1"/>
    <x v="1"/>
    <n v="143"/>
    <s v="S18_4027"/>
    <x v="18"/>
    <s v="2155551555"/>
    <s v="7586 Pompton St."/>
    <s v=""/>
    <s v="Allentown"/>
    <s v="PA"/>
    <s v="70267"/>
    <x v="0"/>
    <s v="NA"/>
    <s v="Yu"/>
    <s v="Kyung"/>
    <s v="Kyung, Yu"/>
    <s v="Medium"/>
  </r>
  <r>
    <n v="10282"/>
    <n v="31"/>
    <n v="100"/>
    <n v="3100"/>
    <n v="3100"/>
    <n v="8"/>
    <s v="8/20/2004 0:00"/>
    <x v="0"/>
    <x v="2"/>
    <x v="3"/>
    <x v="1"/>
    <x v="1"/>
    <n v="143"/>
    <s v="S18_4027"/>
    <x v="39"/>
    <s v="4155551450"/>
    <s v="5677 Strong St."/>
    <s v=""/>
    <s v="San Rafael"/>
    <s v="CA"/>
    <s v="97562"/>
    <x v="0"/>
    <s v="NA"/>
    <s v="Nelson"/>
    <s v="Valarie"/>
    <s v="Valarie, Nelson"/>
    <s v="Medium"/>
  </r>
  <r>
    <n v="10292"/>
    <n v="44"/>
    <n v="100"/>
    <n v="4400"/>
    <n v="4400"/>
    <n v="2"/>
    <s v="9/8/2004 0:00"/>
    <x v="0"/>
    <x v="2"/>
    <x v="10"/>
    <x v="1"/>
    <x v="1"/>
    <n v="143"/>
    <s v="S18_4027"/>
    <x v="0"/>
    <s v="2125557818"/>
    <s v="897 Long Airport Avenue"/>
    <s v=""/>
    <s v="NYC"/>
    <s v="NY"/>
    <s v="10022"/>
    <x v="0"/>
    <s v="NA"/>
    <s v="Yu"/>
    <s v="Kwai"/>
    <s v="Kwai, Yu"/>
    <s v="Large"/>
  </r>
  <r>
    <n v="10306"/>
    <n v="23"/>
    <n v="100"/>
    <n v="2300"/>
    <n v="2300"/>
    <n v="16"/>
    <s v="10/14/2004 0:00"/>
    <x v="0"/>
    <x v="3"/>
    <x v="4"/>
    <x v="1"/>
    <x v="1"/>
    <n v="143"/>
    <s v="S18_4027"/>
    <x v="77"/>
    <s v="(171) 555-1555"/>
    <s v="Fauntleroy Circus"/>
    <s v=""/>
    <s v="Manchester"/>
    <s v=""/>
    <s v="EC2 5NT"/>
    <x v="6"/>
    <s v="EMEA"/>
    <s v="Ashworth"/>
    <s v="Victoria"/>
    <s v="Victoria, Ashworth"/>
    <s v="Medium"/>
  </r>
  <r>
    <n v="10314"/>
    <n v="29"/>
    <n v="100"/>
    <n v="2900"/>
    <n v="2900"/>
    <n v="8"/>
    <s v="10/22/2004 0:00"/>
    <x v="0"/>
    <x v="3"/>
    <x v="4"/>
    <x v="1"/>
    <x v="1"/>
    <n v="143"/>
    <s v="S18_4027"/>
    <x v="78"/>
    <s v="86 21 3555"/>
    <s v="Smagsloget 45"/>
    <s v=""/>
    <s v="Aaarhus"/>
    <s v=""/>
    <s v="8200"/>
    <x v="13"/>
    <s v="EMEA"/>
    <s v="Ibsen"/>
    <s v="Palle"/>
    <s v="Palle, Ibsen"/>
    <s v="Medium"/>
  </r>
  <r>
    <n v="10324"/>
    <n v="49"/>
    <n v="100"/>
    <n v="4900"/>
    <n v="4900"/>
    <n v="13"/>
    <s v="11/5/2004 0:00"/>
    <x v="0"/>
    <x v="3"/>
    <x v="5"/>
    <x v="1"/>
    <x v="1"/>
    <n v="143"/>
    <s v="S18_4027"/>
    <x v="11"/>
    <s v="2125551500"/>
    <s v="2678 Kingston Rd."/>
    <s v="Suite 101"/>
    <s v="NYC"/>
    <s v="NY"/>
    <s v="10022"/>
    <x v="0"/>
    <s v="NA"/>
    <s v="Frick"/>
    <s v="Michael"/>
    <s v="Michael, Frick"/>
    <s v="Medium"/>
  </r>
  <r>
    <n v="10337"/>
    <n v="36"/>
    <n v="100"/>
    <n v="3600"/>
    <n v="3600"/>
    <n v="3"/>
    <s v="11/21/2004 0:00"/>
    <x v="0"/>
    <x v="3"/>
    <x v="5"/>
    <x v="1"/>
    <x v="1"/>
    <n v="143"/>
    <s v="S18_4027"/>
    <x v="27"/>
    <s v="2125558493"/>
    <s v="5905 Pompton St."/>
    <s v="Suite 750"/>
    <s v="NYC"/>
    <s v="NY"/>
    <s v="10022"/>
    <x v="0"/>
    <s v="NA"/>
    <s v="Hernandez"/>
    <s v="Maria"/>
    <s v="Maria, Hernandez"/>
    <s v="Medium"/>
  </r>
  <r>
    <n v="10349"/>
    <n v="34"/>
    <n v="100"/>
    <n v="3400"/>
    <n v="3400"/>
    <n v="5"/>
    <s v="12/1/2004 0:00"/>
    <x v="0"/>
    <x v="3"/>
    <x v="6"/>
    <x v="1"/>
    <x v="1"/>
    <n v="143"/>
    <s v="S18_4027"/>
    <x v="74"/>
    <s v="2125557413"/>
    <s v="4092 Furth Circle"/>
    <s v="Suite 400"/>
    <s v="NYC"/>
    <s v="NY"/>
    <s v="10022"/>
    <x v="0"/>
    <s v="NA"/>
    <s v="Young"/>
    <s v="Jeff"/>
    <s v="Jeff, Young"/>
    <s v="Medium"/>
  </r>
  <r>
    <n v="10358"/>
    <n v="25"/>
    <n v="100"/>
    <n v="2500"/>
    <n v="2500"/>
    <n v="13"/>
    <s v="12/10/2004 0:00"/>
    <x v="0"/>
    <x v="3"/>
    <x v="6"/>
    <x v="1"/>
    <x v="1"/>
    <n v="143"/>
    <s v="S18_4027"/>
    <x v="23"/>
    <s v="(91) 555 94 44"/>
    <s v="C/ Moralzarzal, 86"/>
    <s v=""/>
    <s v="Madrid"/>
    <s v=""/>
    <s v="28034"/>
    <x v="7"/>
    <s v="EMEA"/>
    <s v="Freyre"/>
    <s v="Diego"/>
    <s v="Diego, Freyre"/>
    <s v="Small"/>
  </r>
  <r>
    <n v="10372"/>
    <n v="48"/>
    <n v="100"/>
    <n v="4800"/>
    <n v="4800"/>
    <n v="6"/>
    <s v="1/26/2005 0:00"/>
    <x v="0"/>
    <x v="0"/>
    <x v="7"/>
    <x v="2"/>
    <x v="1"/>
    <n v="143"/>
    <s v="S18_4027"/>
    <x v="35"/>
    <s v="+81 3 3584 0555"/>
    <s v="2-2-8 Roppongi"/>
    <s v=""/>
    <s v="Minato-ku"/>
    <s v="Tokyo"/>
    <s v="106-0032"/>
    <x v="11"/>
    <s v="Japan"/>
    <s v="Shimamura"/>
    <s v="Akiko"/>
    <s v="Akiko, Shimamura"/>
    <s v="Large"/>
  </r>
  <r>
    <n v="10383"/>
    <n v="38"/>
    <n v="100"/>
    <n v="3800"/>
    <n v="3800"/>
    <n v="1"/>
    <s v="2/22/2005 0:00"/>
    <x v="0"/>
    <x v="0"/>
    <x v="0"/>
    <x v="2"/>
    <x v="1"/>
    <n v="143"/>
    <s v="S18_4027"/>
    <x v="23"/>
    <s v="(91) 555 94 44"/>
    <s v="C/ Moralzarzal, 86"/>
    <s v=""/>
    <s v="Madrid"/>
    <s v=""/>
    <s v="28034"/>
    <x v="7"/>
    <s v="EMEA"/>
    <s v="Freyre"/>
    <s v="Diego"/>
    <s v="Diego, Freyre"/>
    <s v="Medium"/>
  </r>
  <r>
    <n v="10394"/>
    <n v="37"/>
    <n v="100"/>
    <n v="3700"/>
    <n v="3700"/>
    <n v="1"/>
    <s v="3/15/2005 0:00"/>
    <x v="0"/>
    <x v="0"/>
    <x v="11"/>
    <x v="2"/>
    <x v="1"/>
    <n v="143"/>
    <s v="S18_4027"/>
    <x v="23"/>
    <s v="(91) 555 94 44"/>
    <s v="C/ Moralzarzal, 86"/>
    <s v=""/>
    <s v="Madrid"/>
    <s v=""/>
    <s v="28034"/>
    <x v="7"/>
    <s v="EMEA"/>
    <s v="Freyre"/>
    <s v="Diego"/>
    <s v="Diego, Freyre"/>
    <s v="Medium"/>
  </r>
  <r>
    <n v="10413"/>
    <n v="49"/>
    <n v="100"/>
    <n v="4900"/>
    <n v="4900"/>
    <n v="5"/>
    <s v="5/5/2005 0:00"/>
    <x v="0"/>
    <x v="1"/>
    <x v="1"/>
    <x v="2"/>
    <x v="1"/>
    <n v="143"/>
    <s v="S18_4027"/>
    <x v="13"/>
    <s v="2035552570"/>
    <s v="25593 South Bay Ln."/>
    <s v=""/>
    <s v="Bridgewater"/>
    <s v="CT"/>
    <s v="97562"/>
    <x v="0"/>
    <s v="NA"/>
    <s v="King"/>
    <s v="Julie"/>
    <s v="Julie, King"/>
    <s v="Medium"/>
  </r>
  <r>
    <n v="10100"/>
    <n v="22"/>
    <n v="8651"/>
    <n v="190322"/>
    <n v="190322"/>
    <n v="4"/>
    <s v="1/6/2003 0:00"/>
    <x v="0"/>
    <x v="0"/>
    <x v="7"/>
    <x v="0"/>
    <x v="3"/>
    <n v="92"/>
    <s v="S18_4409"/>
    <x v="40"/>
    <s v="6035558647"/>
    <s v="2304 Long Airport Avenue"/>
    <s v=""/>
    <s v="Nashua"/>
    <s v="NH"/>
    <s v="62005"/>
    <x v="0"/>
    <s v="NA"/>
    <s v="Young"/>
    <s v="Valarie"/>
    <s v="Valarie, Young"/>
    <s v="Small"/>
  </r>
  <r>
    <n v="10110"/>
    <n v="28"/>
    <n v="8927"/>
    <n v="249956"/>
    <n v="249956"/>
    <n v="8"/>
    <s v="3/18/2003 0:00"/>
    <x v="0"/>
    <x v="0"/>
    <x v="11"/>
    <x v="0"/>
    <x v="3"/>
    <n v="92"/>
    <s v="S18_4409"/>
    <x v="77"/>
    <s v="(171) 555-1555"/>
    <s v="Fauntleroy Circus"/>
    <s v=""/>
    <s v="Manchester"/>
    <s v=""/>
    <s v="EC2 5NT"/>
    <x v="6"/>
    <s v="EMEA"/>
    <s v="Ashworth"/>
    <s v="Victoria"/>
    <s v="Victoria, Ashworth"/>
    <s v="Small"/>
  </r>
  <r>
    <n v="10124"/>
    <n v="36"/>
    <n v="8559"/>
    <n v="308124"/>
    <n v="308124"/>
    <n v="7"/>
    <s v="5/21/2003 0:00"/>
    <x v="0"/>
    <x v="1"/>
    <x v="1"/>
    <x v="0"/>
    <x v="3"/>
    <n v="92"/>
    <s v="S18_4409"/>
    <x v="84"/>
    <s v="7025551838"/>
    <s v="8489 Strong St."/>
    <s v=""/>
    <s v="Las Vegas"/>
    <s v="NV"/>
    <s v="83030"/>
    <x v="0"/>
    <s v="NA"/>
    <s v="King"/>
    <s v="Sue"/>
    <s v="Sue, King"/>
    <s v="Medium"/>
  </r>
  <r>
    <n v="10148"/>
    <n v="34"/>
    <n v="100"/>
    <n v="3400"/>
    <n v="3400"/>
    <n v="1"/>
    <s v="9/11/2003 0:00"/>
    <x v="0"/>
    <x v="2"/>
    <x v="10"/>
    <x v="0"/>
    <x v="3"/>
    <n v="92"/>
    <s v="S18_4409"/>
    <x v="42"/>
    <s v="02 9936 8555"/>
    <s v="201 Miller Street"/>
    <s v="Level 15"/>
    <s v="North Sydney"/>
    <s v="NSW"/>
    <s v="2060"/>
    <x v="3"/>
    <s v="APAC"/>
    <s v="O'Hara"/>
    <s v="Anna"/>
    <s v="Anna, O'Hara"/>
    <s v="Medium"/>
  </r>
  <r>
    <n v="10162"/>
    <n v="39"/>
    <n v="100"/>
    <n v="3900"/>
    <n v="3900"/>
    <n v="10"/>
    <s v="10/18/2003 0:00"/>
    <x v="0"/>
    <x v="3"/>
    <x v="4"/>
    <x v="0"/>
    <x v="3"/>
    <n v="92"/>
    <s v="S18_4409"/>
    <x v="4"/>
    <s v="6505551386"/>
    <s v="7734 Strong St."/>
    <s v=""/>
    <s v="San Francisco"/>
    <s v="CA"/>
    <s v=""/>
    <x v="0"/>
    <s v="NA"/>
    <s v="Brown"/>
    <s v="Julie"/>
    <s v="Julie, Brown"/>
    <s v="Medium"/>
  </r>
  <r>
    <n v="10173"/>
    <n v="21"/>
    <n v="7546"/>
    <n v="158466"/>
    <n v="158466"/>
    <n v="14"/>
    <s v="11/5/2003 0:00"/>
    <x v="0"/>
    <x v="3"/>
    <x v="5"/>
    <x v="0"/>
    <x v="3"/>
    <n v="92"/>
    <s v="S18_4409"/>
    <x v="86"/>
    <s v="035-640555"/>
    <s v="Via Ludovico il Moro 22"/>
    <s v=""/>
    <s v="Bergamo"/>
    <s v=""/>
    <s v="24100"/>
    <x v="12"/>
    <s v="EMEA"/>
    <s v="Rovelli"/>
    <s v="Giovanni"/>
    <s v="Giovanni, Rovelli"/>
    <s v="Small"/>
  </r>
  <r>
    <n v="10182"/>
    <n v="36"/>
    <n v="100"/>
    <n v="3600"/>
    <n v="3600"/>
    <n v="11"/>
    <s v="11/12/2003 0:00"/>
    <x v="0"/>
    <x v="3"/>
    <x v="5"/>
    <x v="0"/>
    <x v="3"/>
    <n v="92"/>
    <s v="S18_4409"/>
    <x v="39"/>
    <s v="4155551450"/>
    <s v="5677 Strong St."/>
    <s v=""/>
    <s v="San Rafael"/>
    <s v="CA"/>
    <s v="97562"/>
    <x v="0"/>
    <s v="NA"/>
    <s v="Nelson"/>
    <s v="Valarie"/>
    <s v="Valarie, Nelson"/>
    <s v="Medium"/>
  </r>
  <r>
    <n v="10193"/>
    <n v="24"/>
    <n v="9755"/>
    <n v="234120"/>
    <n v="234120"/>
    <n v="15"/>
    <s v="11/21/2003 0:00"/>
    <x v="0"/>
    <x v="3"/>
    <x v="5"/>
    <x v="0"/>
    <x v="3"/>
    <n v="92"/>
    <s v="S18_4409"/>
    <x v="87"/>
    <s v="61-9-3844-6555"/>
    <s v="7 Allen Street"/>
    <s v=""/>
    <s v="Glen Waverly"/>
    <s v="Victoria"/>
    <s v="3150"/>
    <x v="3"/>
    <s v="APAC"/>
    <s v="Connery"/>
    <s v="Sean"/>
    <s v="Sean, Connery"/>
    <s v="Small"/>
  </r>
  <r>
    <n v="10204"/>
    <n v="29"/>
    <n v="8559"/>
    <n v="248211"/>
    <n v="248211"/>
    <n v="5"/>
    <s v="12/2/2003 0:00"/>
    <x v="0"/>
    <x v="3"/>
    <x v="6"/>
    <x v="0"/>
    <x v="3"/>
    <n v="92"/>
    <s v="S18_4409"/>
    <x v="74"/>
    <s v="2125557413"/>
    <s v="4092 Furth Circle"/>
    <s v="Suite 400"/>
    <s v="NYC"/>
    <s v="NY"/>
    <s v="10022"/>
    <x v="0"/>
    <s v="NA"/>
    <s v="Young"/>
    <s v="Jeff"/>
    <s v="Jeff, Young"/>
    <s v="Small"/>
  </r>
  <r>
    <n v="10213"/>
    <n v="38"/>
    <n v="9479"/>
    <n v="360202"/>
    <n v="360202"/>
    <n v="1"/>
    <s v="1/22/2004 0:00"/>
    <x v="0"/>
    <x v="0"/>
    <x v="7"/>
    <x v="1"/>
    <x v="3"/>
    <n v="92"/>
    <s v="S18_4409"/>
    <x v="52"/>
    <s v="(171) 555-7555"/>
    <s v="120 Hanover Sq."/>
    <s v=""/>
    <s v="London"/>
    <s v=""/>
    <s v="WA1 1DP"/>
    <x v="6"/>
    <s v="EMEA"/>
    <s v="Hardy"/>
    <s v="Thomas"/>
    <s v="Thomas, Hardy"/>
    <s v="Medium"/>
  </r>
  <r>
    <n v="10227"/>
    <n v="34"/>
    <n v="100"/>
    <n v="3400"/>
    <n v="3400"/>
    <n v="11"/>
    <s v="3/2/2004 0:00"/>
    <x v="0"/>
    <x v="0"/>
    <x v="11"/>
    <x v="1"/>
    <x v="3"/>
    <n v="92"/>
    <s v="S18_4409"/>
    <x v="30"/>
    <s v="78.32.5555"/>
    <s v="2, rue du Commerce"/>
    <s v=""/>
    <s v="Lyon"/>
    <s v=""/>
    <s v="69004"/>
    <x v="1"/>
    <s v="EMEA"/>
    <s v="Saveley"/>
    <s v="Mary"/>
    <s v="Mary, Saveley"/>
    <s v="Medium"/>
  </r>
  <r>
    <n v="10241"/>
    <n v="42"/>
    <n v="9019"/>
    <n v="378798"/>
    <n v="378798"/>
    <n v="3"/>
    <s v="4/13/2004 0:00"/>
    <x v="0"/>
    <x v="1"/>
    <x v="8"/>
    <x v="1"/>
    <x v="3"/>
    <n v="92"/>
    <s v="S18_4409"/>
    <x v="83"/>
    <s v="88.60.1555"/>
    <s v="24, place Kluber"/>
    <s v=""/>
    <s v="Strasbourg"/>
    <s v=""/>
    <s v="67000"/>
    <x v="1"/>
    <s v="EMEA"/>
    <s v="Citeaux"/>
    <s v="Frederique"/>
    <s v="Frederique, Citeaux"/>
    <s v="Medium"/>
  </r>
  <r>
    <n v="10280"/>
    <n v="35"/>
    <n v="100"/>
    <n v="3500"/>
    <n v="3500"/>
    <n v="17"/>
    <s v="8/17/2004 0:00"/>
    <x v="0"/>
    <x v="2"/>
    <x v="3"/>
    <x v="1"/>
    <x v="3"/>
    <n v="92"/>
    <s v="S18_4409"/>
    <x v="36"/>
    <s v="011-4988555"/>
    <s v="Via Monte Bianco 34"/>
    <s v=""/>
    <s v="Torino"/>
    <s v=""/>
    <s v="10100"/>
    <x v="12"/>
    <s v="EMEA"/>
    <s v="Accorti"/>
    <s v="Paolo"/>
    <s v="Paolo, Accorti"/>
    <s v="Medium"/>
  </r>
  <r>
    <n v="10288"/>
    <n v="35"/>
    <n v="8099"/>
    <n v="283465"/>
    <n v="283465"/>
    <n v="6"/>
    <s v="9/1/2004 0:00"/>
    <x v="0"/>
    <x v="2"/>
    <x v="10"/>
    <x v="1"/>
    <x v="3"/>
    <n v="92"/>
    <s v="S18_4409"/>
    <x v="65"/>
    <s v="+65 224 1555"/>
    <s v="Village Close - 106 Linden Road Sandown"/>
    <s v="2nd Floor"/>
    <s v="Singapore"/>
    <s v=""/>
    <s v="69045"/>
    <x v="9"/>
    <s v="APAC"/>
    <s v="Victorino"/>
    <s v="Wendy"/>
    <s v="Wendy, Victorino"/>
    <s v="Small"/>
  </r>
  <r>
    <n v="10302"/>
    <n v="38"/>
    <n v="8927"/>
    <n v="339226"/>
    <n v="339226"/>
    <n v="2"/>
    <s v="10/6/2003 0:00"/>
    <x v="0"/>
    <x v="3"/>
    <x v="4"/>
    <x v="0"/>
    <x v="3"/>
    <n v="92"/>
    <s v="S18_4409"/>
    <x v="22"/>
    <s v="(171) 555-2282"/>
    <s v="Berkeley Gardens 12  Brewery"/>
    <s v=""/>
    <s v="Liverpool"/>
    <s v=""/>
    <s v="WX1 6LT"/>
    <x v="6"/>
    <s v="EMEA"/>
    <s v="Devon"/>
    <s v="Elizabeth"/>
    <s v="Elizabeth, Devon"/>
    <s v="Medium"/>
  </r>
  <r>
    <n v="10311"/>
    <n v="41"/>
    <n v="8191"/>
    <n v="335831"/>
    <n v="335831"/>
    <n v="1"/>
    <s v="10/16/2004 0:00"/>
    <x v="0"/>
    <x v="3"/>
    <x v="4"/>
    <x v="1"/>
    <x v="3"/>
    <n v="92"/>
    <s v="S18_4409"/>
    <x v="23"/>
    <s v="(91) 555 94 44"/>
    <s v="C/ Moralzarzal, 86"/>
    <s v=""/>
    <s v="Madrid"/>
    <s v=""/>
    <s v="28034"/>
    <x v="7"/>
    <s v="EMEA"/>
    <s v="Freyre"/>
    <s v="Diego"/>
    <s v="Diego, Freyre"/>
    <s v="Medium"/>
  </r>
  <r>
    <n v="10332"/>
    <n v="50"/>
    <n v="100"/>
    <n v="5000"/>
    <n v="5000"/>
    <n v="2"/>
    <s v="11/17/2004 0:00"/>
    <x v="0"/>
    <x v="3"/>
    <x v="5"/>
    <x v="1"/>
    <x v="3"/>
    <n v="92"/>
    <s v="S18_4409"/>
    <x v="77"/>
    <s v="(171) 555-1555"/>
    <s v="Fauntleroy Circus"/>
    <s v=""/>
    <s v="Manchester"/>
    <s v=""/>
    <s v="EC2 5NT"/>
    <x v="6"/>
    <s v="EMEA"/>
    <s v="Ashworth"/>
    <s v="Victoria"/>
    <s v="Victoria, Ashworth"/>
    <s v="Large"/>
  </r>
  <r>
    <n v="10344"/>
    <n v="21"/>
    <n v="100"/>
    <n v="2100"/>
    <n v="2100"/>
    <n v="4"/>
    <s v="11/25/2004 0:00"/>
    <x v="0"/>
    <x v="3"/>
    <x v="5"/>
    <x v="1"/>
    <x v="3"/>
    <n v="92"/>
    <s v="S18_4409"/>
    <x v="67"/>
    <s v="91.24.4555"/>
    <s v="12, rue des Bouchers"/>
    <s v=""/>
    <s v="Marseille"/>
    <s v=""/>
    <s v="13008"/>
    <x v="1"/>
    <s v="EMEA"/>
    <s v="Lebihan"/>
    <s v="Laurence"/>
    <s v="Laurence, Lebihan"/>
    <s v="Small"/>
  </r>
  <r>
    <n v="10367"/>
    <n v="43"/>
    <n v="6272"/>
    <n v="269696"/>
    <n v="269696"/>
    <n v="8"/>
    <s v="1/12/2005 0:00"/>
    <x v="5"/>
    <x v="0"/>
    <x v="7"/>
    <x v="2"/>
    <x v="3"/>
    <n v="92"/>
    <s v="S18_4409"/>
    <x v="3"/>
    <s v="6265557265"/>
    <s v="78934 Hillside Dr."/>
    <s v=""/>
    <s v="Pasadena"/>
    <s v="CA"/>
    <s v="90003"/>
    <x v="0"/>
    <s v="NA"/>
    <s v="Young"/>
    <s v="Julie"/>
    <s v="Julie, Young"/>
    <s v="Small"/>
  </r>
  <r>
    <n v="10380"/>
    <n v="32"/>
    <n v="100"/>
    <n v="3200"/>
    <n v="3200"/>
    <n v="1"/>
    <s v="2/16/2005 0:00"/>
    <x v="0"/>
    <x v="0"/>
    <x v="0"/>
    <x v="2"/>
    <x v="3"/>
    <n v="92"/>
    <s v="S18_4409"/>
    <x v="23"/>
    <s v="(91) 555 94 44"/>
    <s v="C/ Moralzarzal, 86"/>
    <s v=""/>
    <s v="Madrid"/>
    <s v=""/>
    <s v="28034"/>
    <x v="7"/>
    <s v="EMEA"/>
    <s v="Freyre"/>
    <s v="Diego"/>
    <s v="Diego, Freyre"/>
    <s v="Medium"/>
  </r>
  <r>
    <n v="10407"/>
    <n v="6"/>
    <n v="9019"/>
    <n v="54114"/>
    <n v="0"/>
    <n v="3"/>
    <s v="4/22/2005 0:00"/>
    <x v="4"/>
    <x v="1"/>
    <x v="8"/>
    <x v="2"/>
    <x v="3"/>
    <n v="92"/>
    <s v="S18_4409"/>
    <x v="61"/>
    <s v="4085553659"/>
    <s v="3086 Ingle Ln."/>
    <s v=""/>
    <s v="San Jose"/>
    <s v="CA"/>
    <s v="94217"/>
    <x v="0"/>
    <s v="NA"/>
    <s v="Frick"/>
    <s v="Sue"/>
    <s v="Sue, Frick"/>
    <s v="Small"/>
  </r>
  <r>
    <n v="10420"/>
    <n v="66"/>
    <n v="9295"/>
    <n v="613470"/>
    <n v="0"/>
    <n v="6"/>
    <s v="5/29/2005 0:00"/>
    <x v="2"/>
    <x v="1"/>
    <x v="1"/>
    <x v="2"/>
    <x v="3"/>
    <n v="92"/>
    <s v="S18_4409"/>
    <x v="20"/>
    <s v="+61 2 9495 8555"/>
    <s v="Monitor Money Building, 815 Pacific Hwy"/>
    <s v="Level 6"/>
    <s v="Chatswood"/>
    <s v="NSW"/>
    <s v="2067"/>
    <x v="3"/>
    <s v="APAC"/>
    <s v="Huxley"/>
    <s v="Adrian"/>
    <s v="Adrian, Huxley"/>
    <s v="Medium"/>
  </r>
  <r>
    <n v="10105"/>
    <n v="41"/>
    <n v="825"/>
    <n v="33825"/>
    <n v="33825"/>
    <n v="10"/>
    <s v="2/11/2003 0:00"/>
    <x v="0"/>
    <x v="0"/>
    <x v="0"/>
    <x v="0"/>
    <x v="3"/>
    <n v="87"/>
    <s v="S18_4522"/>
    <x v="48"/>
    <s v="31 12 3555"/>
    <s v="Vinb'ltet 34"/>
    <s v=""/>
    <s v="Kobenhavn"/>
    <s v=""/>
    <s v="1734"/>
    <x v="13"/>
    <s v="EMEA"/>
    <s v="Petersen"/>
    <s v="Jytte"/>
    <s v="Jytte, Petersen"/>
    <s v="Medium"/>
  </r>
  <r>
    <n v="10117"/>
    <n v="23"/>
    <n v="9742"/>
    <n v="224066"/>
    <n v="224066"/>
    <n v="4"/>
    <s v="4/16/2003 0:00"/>
    <x v="0"/>
    <x v="1"/>
    <x v="8"/>
    <x v="0"/>
    <x v="3"/>
    <n v="87"/>
    <s v="S18_4522"/>
    <x v="26"/>
    <s v="+65 221 7555"/>
    <s v="Bronz Sok., Bronz Apt. 3/6 Tesvikiye"/>
    <s v=""/>
    <s v="Singapore"/>
    <s v=""/>
    <s v="79903"/>
    <x v="9"/>
    <s v="Japan"/>
    <s v="Natividad"/>
    <s v="Eric"/>
    <s v="Eric, Natividad"/>
    <s v="Small"/>
  </r>
  <r>
    <n v="10128"/>
    <n v="43"/>
    <n v="9216"/>
    <n v="396288"/>
    <n v="396288"/>
    <n v="1"/>
    <s v="6/6/2003 0:00"/>
    <x v="0"/>
    <x v="1"/>
    <x v="9"/>
    <x v="0"/>
    <x v="3"/>
    <n v="87"/>
    <s v="S18_4522"/>
    <x v="23"/>
    <s v="(91) 555 94 44"/>
    <s v="C/ Moralzarzal, 86"/>
    <s v=""/>
    <s v="Madrid"/>
    <s v=""/>
    <s v="28034"/>
    <x v="7"/>
    <s v="EMEA"/>
    <s v="Freyre"/>
    <s v="Diego"/>
    <s v="Diego, Freyre"/>
    <s v="Medium"/>
  </r>
  <r>
    <n v="10142"/>
    <n v="24"/>
    <n v="7022"/>
    <n v="168528"/>
    <n v="168528"/>
    <n v="7"/>
    <s v="8/8/2003 0:00"/>
    <x v="0"/>
    <x v="2"/>
    <x v="3"/>
    <x v="0"/>
    <x v="3"/>
    <n v="87"/>
    <s v="S18_4522"/>
    <x v="39"/>
    <s v="4155551450"/>
    <s v="5677 Strong St."/>
    <s v=""/>
    <s v="San Rafael"/>
    <s v="CA"/>
    <s v="97562"/>
    <x v="0"/>
    <s v="NA"/>
    <s v="Nelson"/>
    <s v="Valarie"/>
    <s v="Valarie, Nelson"/>
    <s v="Small"/>
  </r>
  <r>
    <n v="10153"/>
    <n v="22"/>
    <n v="8338"/>
    <n v="183436"/>
    <n v="183436"/>
    <n v="6"/>
    <s v="9/28/2003 0:00"/>
    <x v="0"/>
    <x v="2"/>
    <x v="10"/>
    <x v="0"/>
    <x v="3"/>
    <n v="87"/>
    <s v="S18_4522"/>
    <x v="23"/>
    <s v="(91) 555 94 44"/>
    <s v="C/ Moralzarzal, 86"/>
    <s v=""/>
    <s v="Madrid"/>
    <s v=""/>
    <s v="28034"/>
    <x v="7"/>
    <s v="EMEA"/>
    <s v="Freyre"/>
    <s v="Diego"/>
    <s v="Diego, Freyre"/>
    <s v="Small"/>
  </r>
  <r>
    <n v="10166"/>
    <n v="26"/>
    <n v="7373"/>
    <n v="191698"/>
    <n v="191698"/>
    <n v="1"/>
    <s v="10/21/2003 0:00"/>
    <x v="0"/>
    <x v="3"/>
    <x v="4"/>
    <x v="0"/>
    <x v="3"/>
    <n v="87"/>
    <s v="S18_4522"/>
    <x v="21"/>
    <s v="5085552555"/>
    <s v="1785 First Street"/>
    <s v=""/>
    <s v="New Bedford"/>
    <s v="MA"/>
    <s v="50553"/>
    <x v="0"/>
    <s v="NA"/>
    <s v="Benitez"/>
    <s v="Violeta"/>
    <s v="Violeta, Benitez"/>
    <s v="Small"/>
  </r>
  <r>
    <n v="10177"/>
    <n v="35"/>
    <n v="746"/>
    <n v="26110"/>
    <n v="26110"/>
    <n v="8"/>
    <s v="11/7/2003 0:00"/>
    <x v="0"/>
    <x v="3"/>
    <x v="5"/>
    <x v="0"/>
    <x v="3"/>
    <n v="87"/>
    <s v="S18_4522"/>
    <x v="76"/>
    <s v="+34 913 728 555"/>
    <s v="Merchants House, 27-30 Merchant's Quay"/>
    <s v=""/>
    <s v="Madrid"/>
    <s v=""/>
    <s v="28023"/>
    <x v="7"/>
    <s v="EMEA"/>
    <s v="Fernandez"/>
    <s v="Jesus"/>
    <s v="Jesus, Fernandez"/>
    <s v="Small"/>
  </r>
  <r>
    <n v="10185"/>
    <n v="47"/>
    <n v="7724"/>
    <n v="363028"/>
    <n v="363028"/>
    <n v="8"/>
    <s v="11/14/2003 0:00"/>
    <x v="0"/>
    <x v="3"/>
    <x v="5"/>
    <x v="0"/>
    <x v="3"/>
    <n v="87"/>
    <s v="S18_4522"/>
    <x v="50"/>
    <s v="5085559555"/>
    <s v="4575 Hillside Dr."/>
    <s v=""/>
    <s v="New Bedford"/>
    <s v="MA"/>
    <s v="50553"/>
    <x v="0"/>
    <s v="NA"/>
    <s v="Tam"/>
    <s v="Wing C"/>
    <s v="Wing C, Tam"/>
    <s v="Medium"/>
  </r>
  <r>
    <n v="10197"/>
    <n v="50"/>
    <n v="100"/>
    <n v="5000"/>
    <n v="5000"/>
    <n v="14"/>
    <s v="11/26/2003 0:00"/>
    <x v="0"/>
    <x v="3"/>
    <x v="5"/>
    <x v="0"/>
    <x v="3"/>
    <n v="87"/>
    <s v="S18_4522"/>
    <x v="53"/>
    <s v="(93) 203 4555"/>
    <s v="Rambla de Catalu¤a, 23"/>
    <s v=""/>
    <s v="Barcelona"/>
    <s v=""/>
    <s v="8022"/>
    <x v="7"/>
    <s v="EMEA"/>
    <s v="Saavedra"/>
    <s v="Eduardo"/>
    <s v="Eduardo, Saavedra"/>
    <s v="Medium"/>
  </r>
  <r>
    <n v="10208"/>
    <n v="45"/>
    <n v="8777"/>
    <n v="394965"/>
    <n v="394965"/>
    <n v="8"/>
    <s v="1/2/2004 0:00"/>
    <x v="0"/>
    <x v="0"/>
    <x v="7"/>
    <x v="1"/>
    <x v="3"/>
    <n v="87"/>
    <s v="S18_4522"/>
    <x v="30"/>
    <s v="78.32.5555"/>
    <s v="2, rue du Commerce"/>
    <s v=""/>
    <s v="Lyon"/>
    <s v=""/>
    <s v="69004"/>
    <x v="1"/>
    <s v="EMEA"/>
    <s v="Saveley"/>
    <s v="Mary"/>
    <s v="Mary, Saveley"/>
    <s v="Medium"/>
  </r>
  <r>
    <n v="10221"/>
    <n v="39"/>
    <n v="8953"/>
    <n v="349167"/>
    <n v="349167"/>
    <n v="2"/>
    <s v="2/18/2004 0:00"/>
    <x v="0"/>
    <x v="0"/>
    <x v="0"/>
    <x v="1"/>
    <x v="3"/>
    <n v="87"/>
    <s v="S18_4522"/>
    <x v="56"/>
    <s v="(02) 5554 67"/>
    <s v="Rue Joseph-Bens 532"/>
    <s v=""/>
    <s v="Bruxelles"/>
    <s v=""/>
    <s v="B-1180"/>
    <x v="14"/>
    <s v="EMEA"/>
    <s v="Dewey"/>
    <s v="Catherine"/>
    <s v="Catherine, Dewey"/>
    <s v="Medium"/>
  </r>
  <r>
    <n v="10232"/>
    <n v="23"/>
    <n v="8953"/>
    <n v="205919"/>
    <n v="205919"/>
    <n v="5"/>
    <s v="3/20/2004 0:00"/>
    <x v="0"/>
    <x v="0"/>
    <x v="11"/>
    <x v="1"/>
    <x v="3"/>
    <n v="87"/>
    <s v="S18_4522"/>
    <x v="59"/>
    <s v="(198) 555-8888"/>
    <s v="Garden House Crowther Way"/>
    <s v=""/>
    <s v="Cowes"/>
    <s v="Isle of Wight"/>
    <s v="PO31 7PJ"/>
    <x v="6"/>
    <s v="EMEA"/>
    <s v="Bennett"/>
    <s v="Helen"/>
    <s v="Helen, Bennett"/>
    <s v="Small"/>
  </r>
  <r>
    <n v="10248"/>
    <n v="42"/>
    <n v="7548"/>
    <n v="317016"/>
    <n v="0"/>
    <n v="11"/>
    <s v="5/7/2004 0:00"/>
    <x v="3"/>
    <x v="1"/>
    <x v="1"/>
    <x v="1"/>
    <x v="3"/>
    <n v="87"/>
    <s v="S18_4522"/>
    <x v="0"/>
    <s v="2125557818"/>
    <s v="897 Long Airport Avenue"/>
    <s v=""/>
    <s v="NYC"/>
    <s v="NY"/>
    <s v="10022"/>
    <x v="0"/>
    <s v="NA"/>
    <s v="Yu"/>
    <s v="Kwai"/>
    <s v="Kwai, Yu"/>
    <s v="Medium"/>
  </r>
  <r>
    <n v="10261"/>
    <n v="20"/>
    <n v="8953"/>
    <n v="179060"/>
    <n v="179060"/>
    <n v="9"/>
    <s v="6/17/2004 0:00"/>
    <x v="0"/>
    <x v="1"/>
    <x v="9"/>
    <x v="1"/>
    <x v="3"/>
    <n v="87"/>
    <s v="S18_4522"/>
    <x v="43"/>
    <s v="(514) 555-8054"/>
    <s v="43 rue St. Laurent"/>
    <s v=""/>
    <s v="Montreal"/>
    <s v="Quebec"/>
    <s v="H1J 1C3"/>
    <x v="10"/>
    <s v="NA"/>
    <s v="Fresnisre"/>
    <s v="Jean"/>
    <s v="Jean, Fresnisre"/>
    <s v="Small"/>
  </r>
  <r>
    <n v="10273"/>
    <n v="33"/>
    <n v="7109"/>
    <n v="234597"/>
    <n v="234597"/>
    <n v="12"/>
    <s v="7/21/2004 0:00"/>
    <x v="0"/>
    <x v="2"/>
    <x v="2"/>
    <x v="1"/>
    <x v="3"/>
    <n v="87"/>
    <s v="S18_4522"/>
    <x v="56"/>
    <s v="(02) 5554 67"/>
    <s v="Rue Joseph-Bens 532"/>
    <s v=""/>
    <s v="Bruxelles"/>
    <s v=""/>
    <s v="B-1180"/>
    <x v="14"/>
    <s v="EMEA"/>
    <s v="Dewey"/>
    <s v="Catherine"/>
    <s v="Catherine, Dewey"/>
    <s v="Small"/>
  </r>
  <r>
    <n v="10283"/>
    <n v="34"/>
    <n v="100"/>
    <n v="3400"/>
    <n v="3400"/>
    <n v="14"/>
    <s v="8/20/2004 0:00"/>
    <x v="0"/>
    <x v="2"/>
    <x v="3"/>
    <x v="1"/>
    <x v="3"/>
    <n v="87"/>
    <s v="S18_4522"/>
    <x v="57"/>
    <s v="(604) 555-4555"/>
    <s v="23 Tsawassen Blvd."/>
    <s v=""/>
    <s v="Tsawassen"/>
    <s v="BC"/>
    <s v="T2F 8M4"/>
    <x v="10"/>
    <s v="NA"/>
    <s v="Lincoln"/>
    <s v="Elizabeth"/>
    <s v="Elizabeth, Lincoln"/>
    <s v="Medium"/>
  </r>
  <r>
    <n v="10293"/>
    <n v="49"/>
    <n v="100"/>
    <n v="4900"/>
    <n v="4900"/>
    <n v="3"/>
    <s v="9/9/2004 0:00"/>
    <x v="0"/>
    <x v="2"/>
    <x v="10"/>
    <x v="1"/>
    <x v="3"/>
    <n v="87"/>
    <s v="S18_4522"/>
    <x v="36"/>
    <s v="011-4988555"/>
    <s v="Via Monte Bianco 34"/>
    <s v=""/>
    <s v="Torino"/>
    <s v=""/>
    <s v="10100"/>
    <x v="12"/>
    <s v="EMEA"/>
    <s v="Accorti"/>
    <s v="Paolo"/>
    <s v="Paolo, Accorti"/>
    <s v="Medium"/>
  </r>
  <r>
    <n v="10306"/>
    <n v="39"/>
    <n v="904"/>
    <n v="35256"/>
    <n v="35256"/>
    <n v="8"/>
    <s v="10/14/2004 0:00"/>
    <x v="0"/>
    <x v="3"/>
    <x v="4"/>
    <x v="1"/>
    <x v="3"/>
    <n v="87"/>
    <s v="S18_4522"/>
    <x v="77"/>
    <s v="(171) 555-1555"/>
    <s v="Fauntleroy Circus"/>
    <s v=""/>
    <s v="Manchester"/>
    <s v=""/>
    <s v="EC2 5NT"/>
    <x v="6"/>
    <s v="EMEA"/>
    <s v="Ashworth"/>
    <s v="Victoria"/>
    <s v="Victoria, Ashworth"/>
    <s v="Medium"/>
  </r>
  <r>
    <n v="10315"/>
    <n v="36"/>
    <n v="100"/>
    <n v="3600"/>
    <n v="3600"/>
    <n v="7"/>
    <s v="10/29/2004 0:00"/>
    <x v="0"/>
    <x v="3"/>
    <x v="4"/>
    <x v="1"/>
    <x v="3"/>
    <n v="87"/>
    <s v="S18_4522"/>
    <x v="14"/>
    <s v="40.67.8555"/>
    <s v="67, rue des Cinquante Otages"/>
    <s v=""/>
    <s v="Nantes"/>
    <s v=""/>
    <s v="44000"/>
    <x v="1"/>
    <s v="EMEA"/>
    <s v="Labrune"/>
    <s v="Janine"/>
    <s v="Janine, Labrune"/>
    <s v="Medium"/>
  </r>
  <r>
    <n v="10326"/>
    <n v="50"/>
    <n v="8601"/>
    <n v="430050"/>
    <n v="430050"/>
    <n v="5"/>
    <s v="11/9/2004 0:00"/>
    <x v="0"/>
    <x v="3"/>
    <x v="5"/>
    <x v="1"/>
    <x v="3"/>
    <n v="87"/>
    <s v="S18_4522"/>
    <x v="24"/>
    <s v="0921-12 3555"/>
    <s v="Berguvsv„gen  8"/>
    <s v=""/>
    <s v="Lule"/>
    <s v=""/>
    <s v="S-958 22"/>
    <x v="8"/>
    <s v="EMEA"/>
    <s v="Berglund"/>
    <s v="Christina"/>
    <s v="Christina, Berglund"/>
    <s v="Medium"/>
  </r>
  <r>
    <n v="10337"/>
    <n v="29"/>
    <n v="100"/>
    <n v="2900"/>
    <n v="2900"/>
    <n v="2"/>
    <s v="11/21/2004 0:00"/>
    <x v="0"/>
    <x v="3"/>
    <x v="5"/>
    <x v="1"/>
    <x v="3"/>
    <n v="87"/>
    <s v="S18_4522"/>
    <x v="27"/>
    <s v="2125558493"/>
    <s v="5905 Pompton St."/>
    <s v="Suite 750"/>
    <s v="NYC"/>
    <s v="NY"/>
    <s v="10022"/>
    <x v="0"/>
    <s v="NA"/>
    <s v="Hernandez"/>
    <s v="Maria"/>
    <s v="Maria, Hernandez"/>
    <s v="Medium"/>
  </r>
  <r>
    <n v="10350"/>
    <n v="30"/>
    <n v="100"/>
    <n v="3000"/>
    <n v="3000"/>
    <n v="3"/>
    <s v="12/2/2004 0:00"/>
    <x v="0"/>
    <x v="3"/>
    <x v="6"/>
    <x v="1"/>
    <x v="3"/>
    <n v="87"/>
    <s v="S18_4522"/>
    <x v="23"/>
    <s v="(91) 555 94 44"/>
    <s v="C/ Moralzarzal, 86"/>
    <s v=""/>
    <s v="Madrid"/>
    <s v=""/>
    <s v="28034"/>
    <x v="7"/>
    <s v="EMEA"/>
    <s v="Freyre"/>
    <s v="Diego"/>
    <s v="Diego, Freyre"/>
    <s v="Medium"/>
  </r>
  <r>
    <n v="10372"/>
    <n v="41"/>
    <n v="8689"/>
    <n v="356249"/>
    <n v="356249"/>
    <n v="7"/>
    <s v="1/26/2005 0:00"/>
    <x v="0"/>
    <x v="0"/>
    <x v="7"/>
    <x v="2"/>
    <x v="3"/>
    <n v="87"/>
    <s v="S18_4522"/>
    <x v="35"/>
    <s v="+81 3 3584 0555"/>
    <s v="2-2-8 Roppongi"/>
    <s v=""/>
    <s v="Minato-ku"/>
    <s v="Tokyo"/>
    <s v="106-0032"/>
    <x v="11"/>
    <s v="Japan"/>
    <s v="Shimamura"/>
    <s v="Akiko"/>
    <s v="Akiko, Shimamura"/>
    <s v="Medium"/>
  </r>
  <r>
    <n v="10383"/>
    <n v="28"/>
    <n v="5858"/>
    <n v="164024"/>
    <n v="164024"/>
    <n v="7"/>
    <s v="2/22/2005 0:00"/>
    <x v="0"/>
    <x v="0"/>
    <x v="0"/>
    <x v="2"/>
    <x v="3"/>
    <n v="87"/>
    <s v="S18_4522"/>
    <x v="23"/>
    <s v="(91) 555 94 44"/>
    <s v="C/ Moralzarzal, 86"/>
    <s v=""/>
    <s v="Madrid"/>
    <s v=""/>
    <s v="28034"/>
    <x v="7"/>
    <s v="EMEA"/>
    <s v="Freyre"/>
    <s v="Diego"/>
    <s v="Diego, Freyre"/>
    <s v="Small"/>
  </r>
  <r>
    <n v="10396"/>
    <n v="45"/>
    <n v="100"/>
    <n v="4500"/>
    <n v="4500"/>
    <n v="5"/>
    <s v="3/23/2005 0:00"/>
    <x v="0"/>
    <x v="0"/>
    <x v="11"/>
    <x v="2"/>
    <x v="3"/>
    <n v="87"/>
    <s v="S18_4522"/>
    <x v="39"/>
    <s v="4155551450"/>
    <s v="5677 Strong St."/>
    <s v=""/>
    <s v="San Rafael"/>
    <s v="CA"/>
    <s v="97562"/>
    <x v="0"/>
    <s v="NA"/>
    <s v="Nelson"/>
    <s v="Valarie"/>
    <s v="Valarie, Nelson"/>
    <s v="Medium"/>
  </r>
  <r>
    <n v="10414"/>
    <n v="16"/>
    <n v="7548"/>
    <n v="120768"/>
    <n v="0"/>
    <n v="11"/>
    <s v="5/6/2005 0:00"/>
    <x v="4"/>
    <x v="1"/>
    <x v="1"/>
    <x v="2"/>
    <x v="3"/>
    <n v="87"/>
    <s v="S18_4522"/>
    <x v="58"/>
    <s v="6175559555"/>
    <s v="8616 Spinnaker Dr."/>
    <s v=""/>
    <s v="Boston"/>
    <s v="MA"/>
    <s v="51003"/>
    <x v="0"/>
    <s v="NA"/>
    <s v="Yoshido"/>
    <s v="Juri"/>
    <s v="Juri, Yoshido"/>
    <s v="Small"/>
  </r>
  <r>
    <n v="10103"/>
    <n v="36"/>
    <n v="100"/>
    <n v="3600"/>
    <n v="3600"/>
    <n v="5"/>
    <s v="1/29/2003 0:00"/>
    <x v="0"/>
    <x v="0"/>
    <x v="7"/>
    <x v="0"/>
    <x v="2"/>
    <n v="121"/>
    <s v="S18_4600"/>
    <x v="17"/>
    <s v="07-98 9555"/>
    <s v="Erling Skakkes gate 78"/>
    <s v=""/>
    <s v="Stavern"/>
    <s v=""/>
    <s v="4110"/>
    <x v="2"/>
    <s v="EMEA"/>
    <s v="Bergulfsen"/>
    <s v="Jonas"/>
    <s v="Jonas, Bergulfsen"/>
    <s v="Medium"/>
  </r>
  <r>
    <n v="10114"/>
    <n v="41"/>
    <n v="100"/>
    <n v="4100"/>
    <n v="4100"/>
    <n v="9"/>
    <s v="4/1/2003 0:00"/>
    <x v="0"/>
    <x v="1"/>
    <x v="8"/>
    <x v="0"/>
    <x v="2"/>
    <n v="121"/>
    <s v="S18_4600"/>
    <x v="62"/>
    <s v="(1) 42.34.2555"/>
    <s v="265, boulevard Charonne"/>
    <s v=""/>
    <s v="Paris"/>
    <s v=""/>
    <s v="75012"/>
    <x v="1"/>
    <s v="EMEA"/>
    <s v="Bertrand"/>
    <s v="Marie"/>
    <s v="Marie, Bertrand"/>
    <s v="Medium"/>
  </r>
  <r>
    <n v="10126"/>
    <n v="50"/>
    <n v="100"/>
    <n v="5000"/>
    <n v="5000"/>
    <n v="5"/>
    <s v="5/28/2003 0:00"/>
    <x v="0"/>
    <x v="1"/>
    <x v="1"/>
    <x v="0"/>
    <x v="2"/>
    <n v="121"/>
    <s v="S18_4600"/>
    <x v="25"/>
    <s v="(91) 555 22 82"/>
    <s v="C/ Araquil, 67"/>
    <s v=""/>
    <s v="Madrid"/>
    <s v=""/>
    <s v="28023"/>
    <x v="7"/>
    <s v="EMEA"/>
    <s v="Sommer"/>
    <s v="Mart¡n"/>
    <s v="Mart¡n, Sommer"/>
    <s v="Large"/>
  </r>
  <r>
    <n v="10140"/>
    <n v="40"/>
    <n v="100"/>
    <n v="4000"/>
    <n v="4000"/>
    <n v="5"/>
    <s v="7/24/2003 0:00"/>
    <x v="0"/>
    <x v="2"/>
    <x v="2"/>
    <x v="0"/>
    <x v="2"/>
    <n v="121"/>
    <s v="S18_4600"/>
    <x v="5"/>
    <s v="6505556809"/>
    <s v="9408 Furth Circle"/>
    <s v=""/>
    <s v="Burlingame"/>
    <s v="CA"/>
    <s v="94217"/>
    <x v="0"/>
    <s v="NA"/>
    <s v="Hirano"/>
    <s v="Juri"/>
    <s v="Juri, Hirano"/>
    <s v="Medium"/>
  </r>
  <r>
    <n v="10150"/>
    <n v="49"/>
    <n v="100"/>
    <n v="4900"/>
    <n v="4900"/>
    <n v="2"/>
    <s v="9/19/2003 0:00"/>
    <x v="0"/>
    <x v="2"/>
    <x v="10"/>
    <x v="0"/>
    <x v="2"/>
    <n v="121"/>
    <s v="S18_4600"/>
    <x v="26"/>
    <s v="+65 221 7555"/>
    <s v="Bronz Sok., Bronz Apt. 3/6 Tesvikiye"/>
    <s v=""/>
    <s v="Singapore"/>
    <s v=""/>
    <s v="79903"/>
    <x v="9"/>
    <s v="Japan"/>
    <s v="Natividad"/>
    <s v="Eric"/>
    <s v="Eric, Natividad"/>
    <s v="Medium"/>
  </r>
  <r>
    <n v="10164"/>
    <n v="45"/>
    <n v="100"/>
    <n v="4500"/>
    <n v="4500"/>
    <n v="3"/>
    <s v="10/21/2003 0:00"/>
    <x v="5"/>
    <x v="3"/>
    <x v="4"/>
    <x v="0"/>
    <x v="2"/>
    <n v="121"/>
    <s v="S18_4600"/>
    <x v="63"/>
    <s v="7675-3555"/>
    <s v="Kirchgasse 6"/>
    <s v=""/>
    <s v="Graz"/>
    <s v=""/>
    <s v="8010"/>
    <x v="5"/>
    <s v="EMEA"/>
    <s v="Mendel"/>
    <s v="Roland"/>
    <s v="Roland, Mendel"/>
    <s v="Medium"/>
  </r>
  <r>
    <n v="10175"/>
    <n v="47"/>
    <n v="100"/>
    <n v="4700"/>
    <n v="4700"/>
    <n v="10"/>
    <s v="11/6/2003 0:00"/>
    <x v="0"/>
    <x v="3"/>
    <x v="5"/>
    <x v="0"/>
    <x v="2"/>
    <n v="121"/>
    <s v="S18_4600"/>
    <x v="49"/>
    <s v="(171) 555-0297"/>
    <s v="35 King George"/>
    <s v=""/>
    <s v="London"/>
    <s v=""/>
    <s v="WX3 6FW"/>
    <x v="6"/>
    <s v="EMEA"/>
    <s v="Brown"/>
    <s v="Ann"/>
    <s v="Ann, Brown"/>
    <s v="Medium"/>
  </r>
  <r>
    <n v="10183"/>
    <n v="21"/>
    <n v="100"/>
    <n v="2100"/>
    <n v="2100"/>
    <n v="2"/>
    <s v="11/13/2003 0:00"/>
    <x v="0"/>
    <x v="3"/>
    <x v="5"/>
    <x v="0"/>
    <x v="2"/>
    <n v="121"/>
    <s v="S18_4600"/>
    <x v="29"/>
    <s v="2155554695"/>
    <s v="782 First Street"/>
    <s v=""/>
    <s v="Philadelphia"/>
    <s v="PA"/>
    <s v="71270"/>
    <x v="0"/>
    <s v="NA"/>
    <s v="Cervantes"/>
    <s v="Francisca"/>
    <s v="Francisca, Cervantes"/>
    <s v="Small"/>
  </r>
  <r>
    <n v="10194"/>
    <n v="32"/>
    <n v="100"/>
    <n v="3200"/>
    <n v="3200"/>
    <n v="5"/>
    <s v="11/25/2003 0:00"/>
    <x v="0"/>
    <x v="3"/>
    <x v="5"/>
    <x v="0"/>
    <x v="2"/>
    <n v="121"/>
    <s v="S18_4600"/>
    <x v="30"/>
    <s v="78.32.5555"/>
    <s v="2, rue du Commerce"/>
    <s v=""/>
    <s v="Lyon"/>
    <s v=""/>
    <s v="69004"/>
    <x v="1"/>
    <s v="EMEA"/>
    <s v="Saveley"/>
    <s v="Mary"/>
    <s v="Mary, Saveley"/>
    <s v="Medium"/>
  </r>
  <r>
    <n v="10207"/>
    <n v="47"/>
    <n v="100"/>
    <n v="4700"/>
    <n v="4700"/>
    <n v="16"/>
    <s v="12/9/2003 0:00"/>
    <x v="0"/>
    <x v="3"/>
    <x v="6"/>
    <x v="0"/>
    <x v="2"/>
    <n v="121"/>
    <s v="S18_4600"/>
    <x v="64"/>
    <s v="6175552555"/>
    <s v="6251 Ingle Ln."/>
    <s v=""/>
    <s v="Boston"/>
    <s v="MA"/>
    <s v="51003"/>
    <x v="0"/>
    <s v="NA"/>
    <s v="Franco"/>
    <s v="Valarie"/>
    <s v="Valarie, Franco"/>
    <s v="Medium"/>
  </r>
  <r>
    <n v="10217"/>
    <n v="38"/>
    <n v="100"/>
    <n v="3800"/>
    <n v="3800"/>
    <n v="5"/>
    <s v="2/4/2004 0:00"/>
    <x v="0"/>
    <x v="0"/>
    <x v="0"/>
    <x v="1"/>
    <x v="2"/>
    <n v="121"/>
    <s v="S18_4600"/>
    <x v="65"/>
    <s v="+65 224 1555"/>
    <s v="Village Close - 106 Linden Road Sandown"/>
    <s v="2nd Floor"/>
    <s v="Singapore"/>
    <s v=""/>
    <s v="69045"/>
    <x v="9"/>
    <s v="APAC"/>
    <s v="Victorino"/>
    <s v="Wendy"/>
    <s v="Wendy, Victorino"/>
    <s v="Medium"/>
  </r>
  <r>
    <n v="10229"/>
    <n v="41"/>
    <n v="100"/>
    <n v="4100"/>
    <n v="4100"/>
    <n v="10"/>
    <s v="3/11/2004 0:00"/>
    <x v="0"/>
    <x v="0"/>
    <x v="11"/>
    <x v="1"/>
    <x v="2"/>
    <n v="121"/>
    <s v="S18_4600"/>
    <x v="39"/>
    <s v="4155551450"/>
    <s v="5677 Strong St."/>
    <s v=""/>
    <s v="San Rafael"/>
    <s v="CA"/>
    <s v="97562"/>
    <x v="0"/>
    <s v="NA"/>
    <s v="Nelson"/>
    <s v="Valarie"/>
    <s v="Valarie, Nelson"/>
    <s v="Medium"/>
  </r>
  <r>
    <n v="10245"/>
    <n v="21"/>
    <n v="100"/>
    <n v="2100"/>
    <n v="2100"/>
    <n v="3"/>
    <s v="5/4/2004 0:00"/>
    <x v="0"/>
    <x v="1"/>
    <x v="1"/>
    <x v="1"/>
    <x v="2"/>
    <n v="121"/>
    <s v="S18_4600"/>
    <x v="34"/>
    <s v="2035559545"/>
    <s v="567 North Pendale Street"/>
    <s v=""/>
    <s v="New Haven"/>
    <s v="CT"/>
    <s v="97823"/>
    <x v="0"/>
    <s v="NA"/>
    <s v="Murphy"/>
    <s v="Leslie"/>
    <s v="Leslie, Murphy"/>
    <s v="Small"/>
  </r>
  <r>
    <n v="10259"/>
    <n v="41"/>
    <n v="100"/>
    <n v="4100"/>
    <n v="4100"/>
    <n v="13"/>
    <s v="6/15/2004 0:00"/>
    <x v="0"/>
    <x v="1"/>
    <x v="9"/>
    <x v="1"/>
    <x v="2"/>
    <n v="121"/>
    <s v="S18_4600"/>
    <x v="65"/>
    <s v="+65 224 1555"/>
    <s v="Village Close - 106 Linden Road Sandown"/>
    <s v="2nd Floor"/>
    <s v="Singapore"/>
    <s v=""/>
    <s v="69045"/>
    <x v="9"/>
    <s v="APAC"/>
    <s v="Victorino"/>
    <s v="Wendy"/>
    <s v="Wendy, Victorino"/>
    <s v="Medium"/>
  </r>
  <r>
    <n v="10270"/>
    <n v="38"/>
    <n v="100"/>
    <n v="3800"/>
    <n v="3800"/>
    <n v="3"/>
    <s v="7/19/2004 0:00"/>
    <x v="0"/>
    <x v="2"/>
    <x v="2"/>
    <x v="1"/>
    <x v="2"/>
    <n v="121"/>
    <s v="S18_4600"/>
    <x v="20"/>
    <s v="+61 2 9495 8555"/>
    <s v="Monitor Money Building, 815 Pacific Hwy"/>
    <s v="Level 6"/>
    <s v="Chatswood"/>
    <s v="NSW"/>
    <s v="2067"/>
    <x v="3"/>
    <s v="APAC"/>
    <s v="Huxley"/>
    <s v="Adrian"/>
    <s v="Adrian, Huxley"/>
    <s v="Medium"/>
  </r>
  <r>
    <n v="10281"/>
    <n v="25"/>
    <n v="9929"/>
    <n v="248225"/>
    <n v="248225"/>
    <n v="10"/>
    <s v="8/19/2004 0:00"/>
    <x v="0"/>
    <x v="2"/>
    <x v="3"/>
    <x v="1"/>
    <x v="2"/>
    <n v="121"/>
    <s v="S18_4600"/>
    <x v="18"/>
    <s v="2155551555"/>
    <s v="7586 Pompton St."/>
    <s v=""/>
    <s v="Allentown"/>
    <s v="PA"/>
    <s v="70267"/>
    <x v="0"/>
    <s v="NA"/>
    <s v="Yu"/>
    <s v="Kyung"/>
    <s v="Kyung, Yu"/>
    <s v="Small"/>
  </r>
  <r>
    <n v="10291"/>
    <n v="48"/>
    <n v="100"/>
    <n v="4800"/>
    <n v="4800"/>
    <n v="5"/>
    <s v="9/8/2004 0:00"/>
    <x v="0"/>
    <x v="2"/>
    <x v="10"/>
    <x v="1"/>
    <x v="2"/>
    <n v="121"/>
    <s v="S18_4600"/>
    <x v="37"/>
    <s v="0695-34 6555"/>
    <s v="?kergatan 24"/>
    <s v=""/>
    <s v="Boras"/>
    <s v=""/>
    <s v="S-844 67"/>
    <x v="8"/>
    <s v="EMEA"/>
    <s v="Larsson"/>
    <s v="Maria"/>
    <s v="Maria, Larsson"/>
    <s v="Medium"/>
  </r>
  <r>
    <n v="10305"/>
    <n v="22"/>
    <n v="9929"/>
    <n v="218438"/>
    <n v="218438"/>
    <n v="14"/>
    <s v="10/13/2004 0:00"/>
    <x v="0"/>
    <x v="3"/>
    <x v="4"/>
    <x v="1"/>
    <x v="2"/>
    <n v="121"/>
    <s v="S18_4600"/>
    <x v="15"/>
    <s v="6175558555"/>
    <s v="39323 Spinnaker Dr."/>
    <s v=""/>
    <s v="Cambridge"/>
    <s v="MA"/>
    <s v="51247"/>
    <x v="0"/>
    <s v="NA"/>
    <s v="Hernandez"/>
    <s v="Marta"/>
    <s v="Marta, Hernandez"/>
    <s v="Small"/>
  </r>
  <r>
    <n v="10313"/>
    <n v="28"/>
    <n v="100"/>
    <n v="2800"/>
    <n v="2800"/>
    <n v="8"/>
    <s v="10/22/2004 0:00"/>
    <x v="0"/>
    <x v="3"/>
    <x v="4"/>
    <x v="1"/>
    <x v="2"/>
    <n v="121"/>
    <s v="S18_4600"/>
    <x v="31"/>
    <s v="(604) 555-3392"/>
    <s v="1900 Oak St."/>
    <s v=""/>
    <s v="Vancouver"/>
    <s v="BC"/>
    <s v="V3F 2K1"/>
    <x v="10"/>
    <s v="NA"/>
    <s v="Tannamuri"/>
    <s v="Yoshi"/>
    <s v="Yoshi, Tannamuri"/>
    <s v="Small"/>
  </r>
  <r>
    <n v="10323"/>
    <n v="47"/>
    <n v="100"/>
    <n v="4700"/>
    <n v="4700"/>
    <n v="1"/>
    <s v="11/5/2004 0:00"/>
    <x v="0"/>
    <x v="3"/>
    <x v="5"/>
    <x v="1"/>
    <x v="2"/>
    <n v="121"/>
    <s v="S18_4600"/>
    <x v="72"/>
    <s v="+49 69 66 90 2555"/>
    <s v="Lyonerstr. 34"/>
    <s v=""/>
    <s v="Frankfurt"/>
    <s v=""/>
    <s v="60528"/>
    <x v="16"/>
    <s v="EMEA"/>
    <s v="Keitel"/>
    <s v="Roland"/>
    <s v="Roland, Keitel"/>
    <s v="Medium"/>
  </r>
  <r>
    <n v="10334"/>
    <n v="49"/>
    <n v="100"/>
    <n v="4900"/>
    <n v="0"/>
    <n v="4"/>
    <s v="11/19/2004 0:00"/>
    <x v="4"/>
    <x v="3"/>
    <x v="5"/>
    <x v="1"/>
    <x v="2"/>
    <n v="121"/>
    <s v="S18_4600"/>
    <x v="24"/>
    <s v="0921-12 3555"/>
    <s v="Berguvsv„gen  8"/>
    <s v=""/>
    <s v="Lule"/>
    <s v=""/>
    <s v="S-958 22"/>
    <x v="8"/>
    <s v="EMEA"/>
    <s v="Berglund"/>
    <s v="Christina"/>
    <s v="Christina, Berglund"/>
    <s v="Medium"/>
  </r>
  <r>
    <n v="10347"/>
    <n v="45"/>
    <n v="100"/>
    <n v="4500"/>
    <n v="4500"/>
    <n v="4"/>
    <s v="11/29/2004 0:00"/>
    <x v="0"/>
    <x v="3"/>
    <x v="5"/>
    <x v="1"/>
    <x v="2"/>
    <n v="121"/>
    <s v="S18_4600"/>
    <x v="10"/>
    <s v="03 9520 4555"/>
    <s v="636 St Kilda Road"/>
    <s v="Level 3"/>
    <s v="Melbourne"/>
    <s v="Victoria"/>
    <s v="3004"/>
    <x v="3"/>
    <s v="APAC"/>
    <s v="Ferguson"/>
    <s v="Peter"/>
    <s v="Peter, Ferguson"/>
    <s v="Medium"/>
  </r>
  <r>
    <n v="10357"/>
    <n v="28"/>
    <n v="100"/>
    <n v="2800"/>
    <n v="2800"/>
    <n v="2"/>
    <s v="12/10/2004 0:00"/>
    <x v="0"/>
    <x v="3"/>
    <x v="6"/>
    <x v="1"/>
    <x v="2"/>
    <n v="121"/>
    <s v="S18_4600"/>
    <x v="39"/>
    <s v="4155551450"/>
    <s v="5677 Strong St."/>
    <s v=""/>
    <s v="San Rafael"/>
    <s v="CA"/>
    <s v="97562"/>
    <x v="0"/>
    <s v="NA"/>
    <s v="Nelson"/>
    <s v="Valarie"/>
    <s v="Valarie, Nelson"/>
    <s v="Medium"/>
  </r>
  <r>
    <n v="10370"/>
    <n v="29"/>
    <n v="5753"/>
    <n v="166837"/>
    <n v="166837"/>
    <n v="6"/>
    <s v="1/20/2005 0:00"/>
    <x v="0"/>
    <x v="0"/>
    <x v="7"/>
    <x v="2"/>
    <x v="2"/>
    <n v="121"/>
    <s v="S18_4600"/>
    <x v="42"/>
    <s v="02 9936 8555"/>
    <s v="201 Miller Street"/>
    <s v="Level 15"/>
    <s v="North Sydney"/>
    <s v="NSW"/>
    <s v="2060"/>
    <x v="3"/>
    <s v="APAC"/>
    <s v="O'Hara"/>
    <s v="Anna"/>
    <s v="Anna, O'Hara"/>
    <s v="Small"/>
  </r>
  <r>
    <n v="10382"/>
    <n v="39"/>
    <n v="100"/>
    <n v="3900"/>
    <n v="3900"/>
    <n v="1"/>
    <s v="2/17/2005 0:00"/>
    <x v="0"/>
    <x v="0"/>
    <x v="0"/>
    <x v="2"/>
    <x v="2"/>
    <n v="121"/>
    <s v="S18_4600"/>
    <x v="39"/>
    <s v="4155551450"/>
    <s v="5677 Strong St."/>
    <s v=""/>
    <s v="San Rafael"/>
    <s v="CA"/>
    <s v="97562"/>
    <x v="0"/>
    <s v="NA"/>
    <s v="Nelson"/>
    <s v="Valarie"/>
    <s v="Valarie, Nelson"/>
    <s v="Medium"/>
  </r>
  <r>
    <n v="10411"/>
    <n v="46"/>
    <n v="100"/>
    <n v="4600"/>
    <n v="4600"/>
    <n v="3"/>
    <s v="5/1/2005 0:00"/>
    <x v="0"/>
    <x v="1"/>
    <x v="1"/>
    <x v="2"/>
    <x v="2"/>
    <n v="121"/>
    <s v="S18_4600"/>
    <x v="43"/>
    <s v="(514) 555-8054"/>
    <s v="43 rue St. Laurent"/>
    <s v=""/>
    <s v="Montreal"/>
    <s v="Quebec"/>
    <s v="H1J 1C3"/>
    <x v="10"/>
    <s v="NA"/>
    <s v="Fresnisre"/>
    <s v="Jean"/>
    <s v="Jean, Fresnisre"/>
    <s v="Medium"/>
  </r>
  <r>
    <n v="10425"/>
    <n v="38"/>
    <n v="100"/>
    <n v="3800"/>
    <n v="0"/>
    <n v="13"/>
    <s v="5/31/2005 0:00"/>
    <x v="2"/>
    <x v="1"/>
    <x v="1"/>
    <x v="2"/>
    <x v="2"/>
    <n v="121"/>
    <s v="S18_4600"/>
    <x v="14"/>
    <s v="40.67.8555"/>
    <s v="67, rue des Cinquante Otages"/>
    <s v=""/>
    <s v="Nantes"/>
    <s v=""/>
    <s v="44000"/>
    <x v="1"/>
    <s v="EMEA"/>
    <s v="Labrune"/>
    <s v="Janine"/>
    <s v="Janine, Labrune"/>
    <s v="Medium"/>
  </r>
  <r>
    <n v="10103"/>
    <n v="41"/>
    <n v="4729"/>
    <n v="193889"/>
    <n v="193889"/>
    <n v="9"/>
    <s v="1/29/2003 0:00"/>
    <x v="0"/>
    <x v="0"/>
    <x v="7"/>
    <x v="0"/>
    <x v="3"/>
    <n v="50"/>
    <s v="S18_4668"/>
    <x v="17"/>
    <s v="07-98 9555"/>
    <s v="Erling Skakkes gate 78"/>
    <s v=""/>
    <s v="Stavern"/>
    <s v=""/>
    <s v="4110"/>
    <x v="2"/>
    <s v="EMEA"/>
    <s v="Bergulfsen"/>
    <s v="Jonas"/>
    <s v="Jonas, Bergulfsen"/>
    <s v="Small"/>
  </r>
  <r>
    <n v="10113"/>
    <n v="50"/>
    <n v="4981"/>
    <n v="249050"/>
    <n v="249050"/>
    <n v="3"/>
    <s v="3/26/2003 0:00"/>
    <x v="0"/>
    <x v="0"/>
    <x v="11"/>
    <x v="0"/>
    <x v="3"/>
    <n v="50"/>
    <s v="S18_4668"/>
    <x v="39"/>
    <s v="4155551450"/>
    <s v="5677 Strong St."/>
    <s v=""/>
    <s v="San Rafael"/>
    <s v="CA"/>
    <s v="97562"/>
    <x v="0"/>
    <s v="NA"/>
    <s v="Nelson"/>
    <s v="Valarie"/>
    <s v="Valarie, Nelson"/>
    <s v="Small"/>
  </r>
  <r>
    <n v="10126"/>
    <n v="43"/>
    <n v="5383"/>
    <n v="231469"/>
    <n v="231469"/>
    <n v="9"/>
    <s v="5/28/2003 0:00"/>
    <x v="0"/>
    <x v="1"/>
    <x v="1"/>
    <x v="0"/>
    <x v="3"/>
    <n v="50"/>
    <s v="S18_4668"/>
    <x v="25"/>
    <s v="(91) 555 22 82"/>
    <s v="C/ Araquil, 67"/>
    <s v=""/>
    <s v="Madrid"/>
    <s v=""/>
    <s v="28023"/>
    <x v="7"/>
    <s v="EMEA"/>
    <s v="Sommer"/>
    <s v="Mart¡n"/>
    <s v="Mart¡n, Sommer"/>
    <s v="Small"/>
  </r>
  <r>
    <n v="10140"/>
    <n v="29"/>
    <n v="4327"/>
    <n v="125483"/>
    <n v="125483"/>
    <n v="9"/>
    <s v="7/24/2003 0:00"/>
    <x v="0"/>
    <x v="2"/>
    <x v="2"/>
    <x v="0"/>
    <x v="3"/>
    <n v="50"/>
    <s v="S18_4668"/>
    <x v="5"/>
    <s v="6505556809"/>
    <s v="9408 Furth Circle"/>
    <s v=""/>
    <s v="Burlingame"/>
    <s v="CA"/>
    <s v="94217"/>
    <x v="0"/>
    <s v="NA"/>
    <s v="Hirano"/>
    <s v="Juri"/>
    <s v="Juri, Hirano"/>
    <s v="Small"/>
  </r>
  <r>
    <n v="10150"/>
    <n v="30"/>
    <n v="4276"/>
    <n v="128280"/>
    <n v="128280"/>
    <n v="6"/>
    <s v="9/19/2003 0:00"/>
    <x v="0"/>
    <x v="2"/>
    <x v="10"/>
    <x v="0"/>
    <x v="3"/>
    <n v="50"/>
    <s v="S18_4668"/>
    <x v="26"/>
    <s v="+65 221 7555"/>
    <s v="Bronz Sok., Bronz Apt. 3/6 Tesvikiye"/>
    <s v=""/>
    <s v="Singapore"/>
    <s v=""/>
    <s v="79903"/>
    <x v="9"/>
    <s v="Japan"/>
    <s v="Natividad"/>
    <s v="Eric"/>
    <s v="Eric, Natividad"/>
    <s v="Small"/>
  </r>
  <r>
    <n v="10164"/>
    <n v="25"/>
    <n v="5383"/>
    <n v="134575"/>
    <n v="134575"/>
    <n v="7"/>
    <s v="10/21/2003 0:00"/>
    <x v="5"/>
    <x v="3"/>
    <x v="4"/>
    <x v="0"/>
    <x v="3"/>
    <n v="50"/>
    <s v="S18_4668"/>
    <x v="63"/>
    <s v="7675-3555"/>
    <s v="Kirchgasse 6"/>
    <s v=""/>
    <s v="Graz"/>
    <s v=""/>
    <s v="8010"/>
    <x v="5"/>
    <s v="EMEA"/>
    <s v="Mendel"/>
    <s v="Roland"/>
    <s v="Roland, Mendel"/>
    <s v="Small"/>
  </r>
  <r>
    <n v="10174"/>
    <n v="49"/>
    <n v="4478"/>
    <n v="219422"/>
    <n v="219422"/>
    <n v="2"/>
    <s v="11/6/2003 0:00"/>
    <x v="0"/>
    <x v="3"/>
    <x v="5"/>
    <x v="0"/>
    <x v="3"/>
    <n v="50"/>
    <s v="S18_4668"/>
    <x v="28"/>
    <s v="61-7-3844-6555"/>
    <s v="31 Duncan St. West End"/>
    <s v=""/>
    <s v="South Brisbane"/>
    <s v="Queensland"/>
    <s v="4101"/>
    <x v="3"/>
    <s v="APAC"/>
    <s v="Calaghan"/>
    <s v="Tony"/>
    <s v="Tony, Calaghan"/>
    <s v="Small"/>
  </r>
  <r>
    <n v="10183"/>
    <n v="40"/>
    <n v="493"/>
    <n v="19720"/>
    <n v="19720"/>
    <n v="6"/>
    <s v="11/13/2003 0:00"/>
    <x v="0"/>
    <x v="3"/>
    <x v="5"/>
    <x v="0"/>
    <x v="3"/>
    <n v="50"/>
    <s v="S18_4668"/>
    <x v="29"/>
    <s v="2155554695"/>
    <s v="782 First Street"/>
    <s v=""/>
    <s v="Philadelphia"/>
    <s v="PA"/>
    <s v="71270"/>
    <x v="0"/>
    <s v="NA"/>
    <s v="Cervantes"/>
    <s v="Francisca"/>
    <s v="Francisca, Cervantes"/>
    <s v="Small"/>
  </r>
  <r>
    <n v="10194"/>
    <n v="41"/>
    <n v="4478"/>
    <n v="183598"/>
    <n v="183598"/>
    <n v="9"/>
    <s v="11/25/2003 0:00"/>
    <x v="0"/>
    <x v="3"/>
    <x v="5"/>
    <x v="0"/>
    <x v="3"/>
    <n v="50"/>
    <s v="S18_4668"/>
    <x v="30"/>
    <s v="78.32.5555"/>
    <s v="2, rue du Commerce"/>
    <s v=""/>
    <s v="Lyon"/>
    <s v=""/>
    <s v="69004"/>
    <x v="1"/>
    <s v="EMEA"/>
    <s v="Saveley"/>
    <s v="Mary"/>
    <s v="Mary, Saveley"/>
    <s v="Small"/>
  </r>
  <r>
    <n v="10206"/>
    <n v="21"/>
    <n v="5333"/>
    <n v="111993"/>
    <n v="111993"/>
    <n v="4"/>
    <s v="12/5/2003 0:00"/>
    <x v="0"/>
    <x v="3"/>
    <x v="6"/>
    <x v="0"/>
    <x v="3"/>
    <n v="50"/>
    <s v="S18_4668"/>
    <x v="31"/>
    <s v="(604) 555-3392"/>
    <s v="1900 Oak St."/>
    <s v=""/>
    <s v="Vancouver"/>
    <s v="BC"/>
    <s v="V3F 2K1"/>
    <x v="10"/>
    <s v="NA"/>
    <s v="Tannamuri"/>
    <s v="Yoshi"/>
    <s v="Yoshi, Tannamuri"/>
    <s v="Small"/>
  </r>
  <r>
    <n v="10215"/>
    <n v="46"/>
    <n v="4528"/>
    <n v="208288"/>
    <n v="208288"/>
    <n v="1"/>
    <s v="1/29/2004 0:00"/>
    <x v="0"/>
    <x v="0"/>
    <x v="7"/>
    <x v="1"/>
    <x v="3"/>
    <n v="50"/>
    <s v="S18_4668"/>
    <x v="32"/>
    <s v="3105553722"/>
    <s v="3675 Furth Circle"/>
    <s v=""/>
    <s v="Burbank"/>
    <s v="CA"/>
    <s v="94019"/>
    <x v="0"/>
    <s v="NA"/>
    <s v="Thompson"/>
    <s v="Steve"/>
    <s v="Steve, Thompson"/>
    <s v="Small"/>
  </r>
  <r>
    <n v="10229"/>
    <n v="39"/>
    <n v="4025"/>
    <n v="156975"/>
    <n v="156975"/>
    <n v="14"/>
    <s v="3/11/2004 0:00"/>
    <x v="0"/>
    <x v="0"/>
    <x v="11"/>
    <x v="1"/>
    <x v="3"/>
    <n v="50"/>
    <s v="S18_4668"/>
    <x v="39"/>
    <s v="4155551450"/>
    <s v="5677 Strong St."/>
    <s v=""/>
    <s v="San Rafael"/>
    <s v="CA"/>
    <s v="97562"/>
    <x v="0"/>
    <s v="NA"/>
    <s v="Nelson"/>
    <s v="Valarie"/>
    <s v="Valarie, Nelson"/>
    <s v="Small"/>
  </r>
  <r>
    <n v="10245"/>
    <n v="45"/>
    <n v="5987"/>
    <n v="269415"/>
    <n v="269415"/>
    <n v="7"/>
    <s v="5/4/2004 0:00"/>
    <x v="0"/>
    <x v="1"/>
    <x v="1"/>
    <x v="1"/>
    <x v="3"/>
    <n v="50"/>
    <s v="S18_4668"/>
    <x v="34"/>
    <s v="2035559545"/>
    <s v="567 North Pendale Street"/>
    <s v=""/>
    <s v="New Haven"/>
    <s v="CT"/>
    <s v="97823"/>
    <x v="0"/>
    <s v="NA"/>
    <s v="Murphy"/>
    <s v="Leslie"/>
    <s v="Leslie, Murphy"/>
    <s v="Small"/>
  </r>
  <r>
    <n v="10258"/>
    <n v="21"/>
    <n v="5987"/>
    <n v="125727"/>
    <n v="125727"/>
    <n v="4"/>
    <s v="6/15/2004 0:00"/>
    <x v="0"/>
    <x v="1"/>
    <x v="9"/>
    <x v="1"/>
    <x v="3"/>
    <n v="50"/>
    <s v="S18_4668"/>
    <x v="35"/>
    <s v="+81 3 3584 0555"/>
    <s v="2-2-8 Roppongi"/>
    <s v=""/>
    <s v="Minato-ku"/>
    <s v="Tokyo"/>
    <s v="106-0032"/>
    <x v="11"/>
    <s v="Japan"/>
    <s v="Shimamura"/>
    <s v="Akiko"/>
    <s v="Akiko, Shimamura"/>
    <s v="Small"/>
  </r>
  <r>
    <n v="10270"/>
    <n v="44"/>
    <n v="5836"/>
    <n v="256784"/>
    <n v="256784"/>
    <n v="7"/>
    <s v="7/19/2004 0:00"/>
    <x v="0"/>
    <x v="2"/>
    <x v="2"/>
    <x v="1"/>
    <x v="3"/>
    <n v="50"/>
    <s v="S18_4668"/>
    <x v="20"/>
    <s v="+61 2 9495 8555"/>
    <s v="Monitor Money Building, 815 Pacific Hwy"/>
    <s v="Level 6"/>
    <s v="Chatswood"/>
    <s v="NSW"/>
    <s v="2067"/>
    <x v="3"/>
    <s v="APAC"/>
    <s v="Huxley"/>
    <s v="Adrian"/>
    <s v="Adrian, Huxley"/>
    <s v="Small"/>
  </r>
  <r>
    <n v="10281"/>
    <n v="44"/>
    <n v="5987"/>
    <n v="263428"/>
    <n v="263428"/>
    <n v="14"/>
    <s v="8/19/2004 0:00"/>
    <x v="0"/>
    <x v="2"/>
    <x v="3"/>
    <x v="1"/>
    <x v="3"/>
    <n v="50"/>
    <s v="S18_4668"/>
    <x v="18"/>
    <s v="2155551555"/>
    <s v="7586 Pompton St."/>
    <s v=""/>
    <s v="Allentown"/>
    <s v="PA"/>
    <s v="70267"/>
    <x v="0"/>
    <s v="NA"/>
    <s v="Yu"/>
    <s v="Kyung"/>
    <s v="Kyung, Yu"/>
    <s v="Small"/>
  </r>
  <r>
    <n v="10291"/>
    <n v="29"/>
    <n v="5182"/>
    <n v="150278"/>
    <n v="150278"/>
    <n v="9"/>
    <s v="9/8/2004 0:00"/>
    <x v="0"/>
    <x v="2"/>
    <x v="10"/>
    <x v="1"/>
    <x v="3"/>
    <n v="50"/>
    <s v="S18_4668"/>
    <x v="37"/>
    <s v="0695-34 6555"/>
    <s v="?kergatan 24"/>
    <s v=""/>
    <s v="Boras"/>
    <s v=""/>
    <s v="S-844 67"/>
    <x v="8"/>
    <s v="EMEA"/>
    <s v="Larsson"/>
    <s v="Maria"/>
    <s v="Maria, Larsson"/>
    <s v="Small"/>
  </r>
  <r>
    <n v="10304"/>
    <n v="34"/>
    <n v="493"/>
    <n v="16762"/>
    <n v="16762"/>
    <n v="4"/>
    <s v="10/11/2004 0:00"/>
    <x v="0"/>
    <x v="3"/>
    <x v="4"/>
    <x v="1"/>
    <x v="3"/>
    <n v="50"/>
    <s v="S18_4668"/>
    <x v="38"/>
    <s v="30.59.8555"/>
    <s v="67, avenue de l'Europe"/>
    <s v=""/>
    <s v="Versailles"/>
    <s v=""/>
    <s v="78000"/>
    <x v="1"/>
    <s v="EMEA"/>
    <s v="Tonini"/>
    <s v="Daniel"/>
    <s v="Daniel, Tonini"/>
    <s v="Small"/>
  </r>
  <r>
    <n v="10312"/>
    <n v="39"/>
    <n v="5685"/>
    <n v="221715"/>
    <n v="221715"/>
    <n v="1"/>
    <s v="10/21/2004 0:00"/>
    <x v="0"/>
    <x v="3"/>
    <x v="4"/>
    <x v="1"/>
    <x v="3"/>
    <n v="50"/>
    <s v="S18_4668"/>
    <x v="39"/>
    <s v="4155551450"/>
    <s v="5677 Strong St."/>
    <s v=""/>
    <s v="San Rafael"/>
    <s v="CA"/>
    <s v="97562"/>
    <x v="0"/>
    <s v="NA"/>
    <s v="Nelson"/>
    <s v="Valarie"/>
    <s v="Valarie, Nelson"/>
    <s v="Small"/>
  </r>
  <r>
    <n v="10324"/>
    <n v="38"/>
    <n v="100"/>
    <n v="3800"/>
    <n v="3800"/>
    <n v="6"/>
    <s v="11/5/2004 0:00"/>
    <x v="0"/>
    <x v="3"/>
    <x v="5"/>
    <x v="1"/>
    <x v="3"/>
    <n v="50"/>
    <s v="S18_4668"/>
    <x v="11"/>
    <s v="2125551500"/>
    <s v="2678 Kingston Rd."/>
    <s v="Suite 101"/>
    <s v="NYC"/>
    <s v="NY"/>
    <s v="10022"/>
    <x v="0"/>
    <s v="NA"/>
    <s v="Frick"/>
    <s v="Michael"/>
    <s v="Michael, Frick"/>
    <s v="Medium"/>
  </r>
  <r>
    <n v="10333"/>
    <n v="24"/>
    <n v="7986"/>
    <n v="191664"/>
    <n v="191664"/>
    <n v="8"/>
    <s v="11/18/2004 0:00"/>
    <x v="0"/>
    <x v="3"/>
    <x v="5"/>
    <x v="1"/>
    <x v="3"/>
    <n v="50"/>
    <s v="S18_4668"/>
    <x v="8"/>
    <s v="6505555787"/>
    <s v="5557 North Pendale Street"/>
    <s v=""/>
    <s v="San Francisco"/>
    <s v="CA"/>
    <s v=""/>
    <x v="0"/>
    <s v="NA"/>
    <s v="Murphy"/>
    <s v="Julie"/>
    <s v="Julie, Murphy"/>
    <s v="Small"/>
  </r>
  <r>
    <n v="10348"/>
    <n v="29"/>
    <n v="100"/>
    <n v="2900"/>
    <n v="2900"/>
    <n v="6"/>
    <s v="11/1/2004 0:00"/>
    <x v="0"/>
    <x v="3"/>
    <x v="5"/>
    <x v="1"/>
    <x v="3"/>
    <n v="50"/>
    <s v="S18_4668"/>
    <x v="25"/>
    <s v="(91) 555 22 82"/>
    <s v="C/ Araquil, 67"/>
    <s v=""/>
    <s v="Madrid"/>
    <s v=""/>
    <s v="28023"/>
    <x v="7"/>
    <s v="EMEA"/>
    <s v="Sommer"/>
    <s v="Mart¡n"/>
    <s v="Mart¡n, Sommer"/>
    <s v="Large"/>
  </r>
  <r>
    <n v="10358"/>
    <n v="30"/>
    <n v="100"/>
    <n v="3000"/>
    <n v="3000"/>
    <n v="8"/>
    <s v="12/10/2004 0:00"/>
    <x v="0"/>
    <x v="3"/>
    <x v="6"/>
    <x v="1"/>
    <x v="3"/>
    <n v="50"/>
    <s v="S18_4668"/>
    <x v="23"/>
    <s v="(91) 555 94 44"/>
    <s v="C/ Moralzarzal, 86"/>
    <s v=""/>
    <s v="Madrid"/>
    <s v=""/>
    <s v="28034"/>
    <x v="7"/>
    <s v="EMEA"/>
    <s v="Freyre"/>
    <s v="Diego"/>
    <s v="Diego, Freyre"/>
    <s v="Medium"/>
  </r>
  <r>
    <n v="10370"/>
    <n v="20"/>
    <n v="100"/>
    <n v="2000"/>
    <n v="2000"/>
    <n v="2"/>
    <s v="1/20/2005 0:00"/>
    <x v="0"/>
    <x v="0"/>
    <x v="7"/>
    <x v="2"/>
    <x v="3"/>
    <n v="50"/>
    <s v="S18_4668"/>
    <x v="42"/>
    <s v="02 9936 8555"/>
    <s v="201 Miller Street"/>
    <s v="Level 15"/>
    <s v="North Sydney"/>
    <s v="NSW"/>
    <s v="2060"/>
    <x v="3"/>
    <s v="APAC"/>
    <s v="O'Hara"/>
    <s v="Anna"/>
    <s v="Anna, O'Hara"/>
    <s v="Small"/>
  </r>
  <r>
    <n v="10382"/>
    <n v="39"/>
    <n v="100"/>
    <n v="3900"/>
    <n v="3900"/>
    <n v="2"/>
    <s v="2/17/2005 0:00"/>
    <x v="0"/>
    <x v="0"/>
    <x v="0"/>
    <x v="2"/>
    <x v="3"/>
    <n v="50"/>
    <s v="S18_4668"/>
    <x v="39"/>
    <s v="4155551450"/>
    <s v="5677 Strong St."/>
    <s v=""/>
    <s v="San Rafael"/>
    <s v="CA"/>
    <s v="97562"/>
    <x v="0"/>
    <s v="NA"/>
    <s v="Nelson"/>
    <s v="Valarie"/>
    <s v="Valarie, Nelson"/>
    <s v="Large"/>
  </r>
  <r>
    <n v="10411"/>
    <n v="35"/>
    <n v="5987"/>
    <n v="209545"/>
    <n v="209545"/>
    <n v="7"/>
    <s v="5/1/2005 0:00"/>
    <x v="0"/>
    <x v="1"/>
    <x v="1"/>
    <x v="2"/>
    <x v="3"/>
    <n v="50"/>
    <s v="S18_4668"/>
    <x v="43"/>
    <s v="(514) 555-8054"/>
    <s v="43 rue St. Laurent"/>
    <s v=""/>
    <s v="Montreal"/>
    <s v="Quebec"/>
    <s v="H1J 1C3"/>
    <x v="10"/>
    <s v="NA"/>
    <s v="Fresnisre"/>
    <s v="Jean"/>
    <s v="Jean, Fresnisre"/>
    <s v="Small"/>
  </r>
  <r>
    <n v="10424"/>
    <n v="26"/>
    <n v="5987"/>
    <n v="155662"/>
    <n v="0"/>
    <n v="4"/>
    <s v="5/31/2005 0:00"/>
    <x v="2"/>
    <x v="1"/>
    <x v="1"/>
    <x v="2"/>
    <x v="3"/>
    <n v="50"/>
    <s v="S18_4668"/>
    <x v="23"/>
    <s v="(91) 555 94 44"/>
    <s v="C/ Moralzarzal, 86"/>
    <s v=""/>
    <s v="Madrid"/>
    <s v=""/>
    <s v="28034"/>
    <x v="7"/>
    <s v="EMEA"/>
    <s v="Freyre"/>
    <s v="Diego"/>
    <s v="Diego, Freyre"/>
    <s v="Small"/>
  </r>
  <r>
    <n v="10108"/>
    <n v="44"/>
    <n v="100"/>
    <n v="4400"/>
    <n v="4400"/>
    <n v="11"/>
    <s v="3/3/2003 0:00"/>
    <x v="0"/>
    <x v="0"/>
    <x v="11"/>
    <x v="0"/>
    <x v="1"/>
    <n v="148"/>
    <s v="S18_4721"/>
    <x v="66"/>
    <s v="+63 2 555 3587"/>
    <s v="15 McCallum Street - NatWest Center #13-03"/>
    <s v=""/>
    <s v="Makati City"/>
    <s v=""/>
    <s v="1227 MM"/>
    <x v="15"/>
    <s v="Japan"/>
    <s v="Cruz"/>
    <s v="Arnold"/>
    <s v="Arnold, Cruz"/>
    <s v="Medium"/>
  </r>
  <r>
    <n v="10122"/>
    <n v="28"/>
    <n v="100"/>
    <n v="2800"/>
    <n v="2800"/>
    <n v="15"/>
    <s v="5/8/2003 0:00"/>
    <x v="0"/>
    <x v="1"/>
    <x v="1"/>
    <x v="0"/>
    <x v="1"/>
    <n v="148"/>
    <s v="S18_4721"/>
    <x v="67"/>
    <s v="91.24.4555"/>
    <s v="12, rue des Bouchers"/>
    <s v=""/>
    <s v="Marseille"/>
    <s v=""/>
    <s v="13008"/>
    <x v="1"/>
    <s v="EMEA"/>
    <s v="Lebihan"/>
    <s v="Laurence"/>
    <s v="Laurence, Lebihan"/>
    <s v="Medium"/>
  </r>
  <r>
    <n v="10135"/>
    <n v="31"/>
    <n v="100"/>
    <n v="3100"/>
    <n v="3100"/>
    <n v="12"/>
    <s v="7/2/2003 0:00"/>
    <x v="0"/>
    <x v="2"/>
    <x v="2"/>
    <x v="0"/>
    <x v="1"/>
    <n v="148"/>
    <s v="S18_4721"/>
    <x v="39"/>
    <s v="4155551450"/>
    <s v="5677 Strong St."/>
    <s v=""/>
    <s v="San Rafael"/>
    <s v="CA"/>
    <s v="97562"/>
    <x v="0"/>
    <s v="NA"/>
    <s v="Nelson"/>
    <s v="Valarie"/>
    <s v="Valarie, Nelson"/>
    <s v="Medium"/>
  </r>
  <r>
    <n v="10146"/>
    <n v="29"/>
    <n v="100"/>
    <n v="2900"/>
    <n v="2900"/>
    <n v="1"/>
    <s v="9/3/2003 0:00"/>
    <x v="0"/>
    <x v="2"/>
    <x v="10"/>
    <x v="0"/>
    <x v="1"/>
    <n v="148"/>
    <s v="S18_4721"/>
    <x v="88"/>
    <s v="2035554407"/>
    <s v="2440 Pompton St."/>
    <s v=""/>
    <s v="Glendale"/>
    <s v="CT"/>
    <s v="97561"/>
    <x v="0"/>
    <s v="NA"/>
    <s v="Lewis"/>
    <s v="Dan"/>
    <s v="Dan, Lewis"/>
    <s v="Medium"/>
  </r>
  <r>
    <n v="10159"/>
    <n v="32"/>
    <n v="100"/>
    <n v="3200"/>
    <n v="3200"/>
    <n v="7"/>
    <s v="10/10/2003 0:00"/>
    <x v="0"/>
    <x v="3"/>
    <x v="4"/>
    <x v="0"/>
    <x v="1"/>
    <n v="148"/>
    <s v="S18_4721"/>
    <x v="4"/>
    <s v="6505551386"/>
    <s v="7734 Strong St."/>
    <s v=""/>
    <s v="San Francisco"/>
    <s v="CA"/>
    <s v=""/>
    <x v="0"/>
    <s v="NA"/>
    <s v="Brown"/>
    <s v="Julie"/>
    <s v="Julie, Brown"/>
    <s v="Medium"/>
  </r>
  <r>
    <n v="10169"/>
    <n v="33"/>
    <n v="100"/>
    <n v="3300"/>
    <n v="3300"/>
    <n v="7"/>
    <s v="11/4/2003 0:00"/>
    <x v="0"/>
    <x v="3"/>
    <x v="5"/>
    <x v="0"/>
    <x v="1"/>
    <n v="148"/>
    <s v="S18_4721"/>
    <x v="42"/>
    <s v="02 9936 8555"/>
    <s v="201 Miller Street"/>
    <s v="Level 15"/>
    <s v="North Sydney"/>
    <s v="NSW"/>
    <s v="2060"/>
    <x v="3"/>
    <s v="APAC"/>
    <s v="O'Hara"/>
    <s v="Anna"/>
    <s v="Anna, O'Hara"/>
    <s v="Medium"/>
  </r>
  <r>
    <n v="10180"/>
    <n v="44"/>
    <n v="100"/>
    <n v="4400"/>
    <n v="4400"/>
    <n v="2"/>
    <s v="11/11/2003 0:00"/>
    <x v="0"/>
    <x v="3"/>
    <x v="5"/>
    <x v="0"/>
    <x v="1"/>
    <n v="148"/>
    <s v="S18_4721"/>
    <x v="6"/>
    <s v="20.16.1555"/>
    <s v="184, chausse de Tournai"/>
    <s v=""/>
    <s v="Lille"/>
    <s v=""/>
    <s v="59000"/>
    <x v="1"/>
    <s v="EMEA"/>
    <s v="Rance"/>
    <s v="Martine"/>
    <s v="Martine, Rance"/>
    <s v="Medium"/>
  </r>
  <r>
    <n v="10191"/>
    <n v="32"/>
    <n v="100"/>
    <n v="3200"/>
    <n v="3200"/>
    <n v="8"/>
    <s v="11/20/2003 0:00"/>
    <x v="0"/>
    <x v="3"/>
    <x v="5"/>
    <x v="0"/>
    <x v="1"/>
    <n v="148"/>
    <s v="S18_4721"/>
    <x v="68"/>
    <s v="0221-5554327"/>
    <s v="Mehrheimerstr. 369"/>
    <s v=""/>
    <s v="Koln"/>
    <s v=""/>
    <s v="50739"/>
    <x v="16"/>
    <s v="EMEA"/>
    <s v="Pfalzheim"/>
    <s v="Henriette"/>
    <s v="Henriette, Pfalzheim"/>
    <s v="Medium"/>
  </r>
  <r>
    <n v="10211"/>
    <n v="41"/>
    <n v="100"/>
    <n v="4100"/>
    <n v="4100"/>
    <n v="7"/>
    <s v="1/15/2004 0:00"/>
    <x v="0"/>
    <x v="0"/>
    <x v="7"/>
    <x v="1"/>
    <x v="1"/>
    <n v="148"/>
    <s v="S18_4721"/>
    <x v="9"/>
    <s v="(1) 47.55.6555"/>
    <s v="25, rue Lauriston"/>
    <s v=""/>
    <s v="Paris"/>
    <s v=""/>
    <s v="75016"/>
    <x v="1"/>
    <s v="EMEA"/>
    <s v="Perrier"/>
    <s v="Dominique"/>
    <s v="Dominique, Perrier"/>
    <s v="Medium"/>
  </r>
  <r>
    <n v="10225"/>
    <n v="35"/>
    <n v="100"/>
    <n v="3500"/>
    <n v="3500"/>
    <n v="14"/>
    <s v="2/22/2004 0:00"/>
    <x v="0"/>
    <x v="0"/>
    <x v="0"/>
    <x v="1"/>
    <x v="1"/>
    <n v="148"/>
    <s v="S18_4721"/>
    <x v="69"/>
    <s v="0897-034555"/>
    <s v="Grenzacherweg 237"/>
    <s v=""/>
    <s v="Gensve"/>
    <s v=""/>
    <s v="1203"/>
    <x v="17"/>
    <s v="EMEA"/>
    <s v="Holz"/>
    <s v="Michael"/>
    <s v="Michael, Holz"/>
    <s v="Medium"/>
  </r>
  <r>
    <n v="10238"/>
    <n v="44"/>
    <n v="100"/>
    <n v="4400"/>
    <n v="4400"/>
    <n v="8"/>
    <s v="4/9/2004 0:00"/>
    <x v="0"/>
    <x v="1"/>
    <x v="8"/>
    <x v="1"/>
    <x v="1"/>
    <n v="148"/>
    <s v="S18_4721"/>
    <x v="48"/>
    <s v="31 12 3555"/>
    <s v="Vinb'ltet 34"/>
    <s v=""/>
    <s v="Kobenhavn"/>
    <s v=""/>
    <s v="1734"/>
    <x v="13"/>
    <s v="EMEA"/>
    <s v="Petersen"/>
    <s v="Jytte"/>
    <s v="Jytte, Petersen"/>
    <s v="Medium"/>
  </r>
  <r>
    <n v="10252"/>
    <n v="26"/>
    <n v="100"/>
    <n v="2600"/>
    <n v="2600"/>
    <n v="4"/>
    <s v="5/26/2004 0:00"/>
    <x v="0"/>
    <x v="1"/>
    <x v="1"/>
    <x v="1"/>
    <x v="1"/>
    <n v="148"/>
    <s v="S18_4721"/>
    <x v="9"/>
    <s v="(1) 47.55.6555"/>
    <s v="25, rue Lauriston"/>
    <s v=""/>
    <s v="Paris"/>
    <s v=""/>
    <s v="75016"/>
    <x v="1"/>
    <s v="EMEA"/>
    <s v="Perrier"/>
    <s v="Dominique"/>
    <s v="Dominique, Perrier"/>
    <s v="Medium"/>
  </r>
  <r>
    <n v="10264"/>
    <n v="20"/>
    <n v="100"/>
    <n v="2000"/>
    <n v="2000"/>
    <n v="2"/>
    <s v="6/30/2004 0:00"/>
    <x v="0"/>
    <x v="1"/>
    <x v="9"/>
    <x v="1"/>
    <x v="1"/>
    <n v="148"/>
    <s v="S18_4721"/>
    <x v="58"/>
    <s v="6175559555"/>
    <s v="8616 Spinnaker Dr."/>
    <s v=""/>
    <s v="Boston"/>
    <s v="MA"/>
    <s v="51003"/>
    <x v="0"/>
    <s v="NA"/>
    <s v="Yoshido"/>
    <s v="Juri"/>
    <s v="Juri, Yoshido"/>
    <s v="Small"/>
  </r>
  <r>
    <n v="10276"/>
    <n v="48"/>
    <n v="100"/>
    <n v="4800"/>
    <n v="4800"/>
    <n v="8"/>
    <s v="8/2/2004 0:00"/>
    <x v="0"/>
    <x v="2"/>
    <x v="3"/>
    <x v="1"/>
    <x v="1"/>
    <n v="148"/>
    <s v="S18_4721"/>
    <x v="71"/>
    <s v="6175557555"/>
    <s v="7635 Spinnaker Dr."/>
    <s v=""/>
    <s v="Brickhaven"/>
    <s v="MA"/>
    <s v="58339"/>
    <x v="0"/>
    <s v="NA"/>
    <s v="Barajas"/>
    <s v="Miguel"/>
    <s v="Miguel, Barajas"/>
    <s v="Medium"/>
  </r>
  <r>
    <n v="10287"/>
    <n v="34"/>
    <n v="100"/>
    <n v="3400"/>
    <n v="3400"/>
    <n v="17"/>
    <s v="8/30/2004 0:00"/>
    <x v="0"/>
    <x v="2"/>
    <x v="3"/>
    <x v="1"/>
    <x v="1"/>
    <n v="148"/>
    <s v="S18_4721"/>
    <x v="69"/>
    <s v="0897-034555"/>
    <s v="Grenzacherweg 237"/>
    <s v=""/>
    <s v="Gensve"/>
    <s v=""/>
    <s v="1203"/>
    <x v="17"/>
    <s v="EMEA"/>
    <s v="Holz"/>
    <s v="Michael"/>
    <s v="Michael, Holz"/>
    <s v="Medium"/>
  </r>
  <r>
    <n v="10299"/>
    <n v="49"/>
    <n v="100"/>
    <n v="4900"/>
    <n v="4900"/>
    <n v="2"/>
    <s v="9/30/2004 0:00"/>
    <x v="0"/>
    <x v="2"/>
    <x v="10"/>
    <x v="1"/>
    <x v="1"/>
    <n v="148"/>
    <s v="S18_4721"/>
    <x v="16"/>
    <s v="90-224 8555"/>
    <s v="Keskuskatu 45"/>
    <s v=""/>
    <s v="Helsinki"/>
    <s v=""/>
    <s v="21240"/>
    <x v="4"/>
    <s v="EMEA"/>
    <s v="Karttunen"/>
    <s v="Matti"/>
    <s v="Matti, Karttunen"/>
    <s v="Large"/>
  </r>
  <r>
    <n v="10310"/>
    <n v="40"/>
    <n v="100"/>
    <n v="4000"/>
    <n v="4000"/>
    <n v="15"/>
    <s v="10/16/2004 0:00"/>
    <x v="0"/>
    <x v="3"/>
    <x v="4"/>
    <x v="1"/>
    <x v="1"/>
    <n v="148"/>
    <s v="S18_4721"/>
    <x v="68"/>
    <s v="0221-5554327"/>
    <s v="Mehrheimerstr. 369"/>
    <s v=""/>
    <s v="Koln"/>
    <s v=""/>
    <s v="50739"/>
    <x v="16"/>
    <s v="EMEA"/>
    <s v="Pfalzheim"/>
    <s v="Henriette"/>
    <s v="Henriette, Pfalzheim"/>
    <s v="Medium"/>
  </r>
  <r>
    <n v="10319"/>
    <n v="45"/>
    <n v="100"/>
    <n v="4500"/>
    <n v="4500"/>
    <n v="3"/>
    <s v="11/3/2004 0:00"/>
    <x v="0"/>
    <x v="3"/>
    <x v="5"/>
    <x v="1"/>
    <x v="1"/>
    <n v="148"/>
    <s v="S18_4721"/>
    <x v="79"/>
    <s v="2125551957"/>
    <s v="5290 North Pendale Street"/>
    <s v="Suite 200"/>
    <s v="NYC"/>
    <s v="NY"/>
    <s v="10022"/>
    <x v="0"/>
    <s v="NA"/>
    <s v="Kuo"/>
    <s v="Kee"/>
    <s v="Kee, Kuo"/>
    <s v="Large"/>
  </r>
  <r>
    <n v="10330"/>
    <n v="50"/>
    <n v="100"/>
    <n v="5000"/>
    <n v="5000"/>
    <n v="4"/>
    <s v="11/16/2004 0:00"/>
    <x v="0"/>
    <x v="3"/>
    <x v="5"/>
    <x v="1"/>
    <x v="1"/>
    <n v="148"/>
    <s v="S18_4721"/>
    <x v="66"/>
    <s v="+63 2 555 3587"/>
    <s v="15 McCallum Street - NatWest Center #13-03"/>
    <s v=""/>
    <s v="Makati City"/>
    <s v=""/>
    <s v="1227 MM"/>
    <x v="15"/>
    <s v="Japan"/>
    <s v="Cruz"/>
    <s v="Arnold"/>
    <s v="Arnold, Cruz"/>
    <s v="Medium"/>
  </r>
  <r>
    <n v="10342"/>
    <n v="38"/>
    <n v="100"/>
    <n v="3800"/>
    <n v="3800"/>
    <n v="11"/>
    <s v="11/24/2004 0:00"/>
    <x v="0"/>
    <x v="3"/>
    <x v="5"/>
    <x v="1"/>
    <x v="1"/>
    <n v="148"/>
    <s v="S18_4721"/>
    <x v="10"/>
    <s v="03 9520 4555"/>
    <s v="636 St Kilda Road"/>
    <s v="Level 3"/>
    <s v="Melbourne"/>
    <s v="Victoria"/>
    <s v="3004"/>
    <x v="3"/>
    <s v="APAC"/>
    <s v="Ferguson"/>
    <s v="Peter"/>
    <s v="Peter, Ferguson"/>
    <s v="Medium"/>
  </r>
  <r>
    <n v="10355"/>
    <n v="25"/>
    <n v="100"/>
    <n v="2500"/>
    <n v="2500"/>
    <n v="2"/>
    <s v="12/7/2004 0:00"/>
    <x v="0"/>
    <x v="3"/>
    <x v="6"/>
    <x v="1"/>
    <x v="1"/>
    <n v="148"/>
    <s v="S18_4721"/>
    <x v="23"/>
    <s v="(91) 555 94 44"/>
    <s v="C/ Moralzarzal, 86"/>
    <s v=""/>
    <s v="Madrid"/>
    <s v=""/>
    <s v="28034"/>
    <x v="7"/>
    <s v="EMEA"/>
    <s v="Freyre"/>
    <s v="Diego"/>
    <s v="Diego, Freyre"/>
    <s v="Medium"/>
  </r>
  <r>
    <n v="10363"/>
    <n v="28"/>
    <n v="5818"/>
    <n v="162904"/>
    <n v="162904"/>
    <n v="13"/>
    <s v="1/6/2005 0:00"/>
    <x v="0"/>
    <x v="0"/>
    <x v="7"/>
    <x v="2"/>
    <x v="1"/>
    <n v="148"/>
    <s v="S18_4721"/>
    <x v="73"/>
    <s v="+358 9 8045 555"/>
    <s v="Software Engineering Center, SEC Oy"/>
    <s v=""/>
    <s v="Espoo"/>
    <s v=""/>
    <s v="FIN-02271"/>
    <x v="4"/>
    <s v="EMEA"/>
    <s v="Suominen"/>
    <s v="Kalle"/>
    <s v="Kalle, Suominen"/>
    <s v="Small"/>
  </r>
  <r>
    <n v="10378"/>
    <n v="49"/>
    <n v="6714"/>
    <n v="328986"/>
    <n v="328986"/>
    <n v="8"/>
    <s v="2/10/2005 0:00"/>
    <x v="0"/>
    <x v="0"/>
    <x v="0"/>
    <x v="2"/>
    <x v="1"/>
    <n v="148"/>
    <s v="S18_4721"/>
    <x v="23"/>
    <s v="(91) 555 94 44"/>
    <s v="C/ Moralzarzal, 86"/>
    <s v=""/>
    <s v="Madrid"/>
    <s v=""/>
    <s v="28034"/>
    <x v="7"/>
    <s v="EMEA"/>
    <s v="Freyre"/>
    <s v="Diego"/>
    <s v="Diego, Freyre"/>
    <s v="Medium"/>
  </r>
  <r>
    <n v="10390"/>
    <n v="49"/>
    <n v="100"/>
    <n v="4900"/>
    <n v="4900"/>
    <n v="3"/>
    <s v="3/4/2005 0:00"/>
    <x v="0"/>
    <x v="0"/>
    <x v="11"/>
    <x v="2"/>
    <x v="1"/>
    <n v="148"/>
    <s v="S18_4721"/>
    <x v="39"/>
    <s v="4155551450"/>
    <s v="5677 Strong St."/>
    <s v=""/>
    <s v="San Rafael"/>
    <s v="CA"/>
    <s v="97562"/>
    <x v="0"/>
    <s v="NA"/>
    <s v="Nelson"/>
    <s v="Valarie"/>
    <s v="Valarie, Nelson"/>
    <s v="Medium"/>
  </r>
  <r>
    <n v="10110"/>
    <n v="42"/>
    <n v="6129"/>
    <n v="257418"/>
    <n v="257418"/>
    <n v="9"/>
    <s v="3/18/2003 0:00"/>
    <x v="0"/>
    <x v="0"/>
    <x v="11"/>
    <x v="0"/>
    <x v="1"/>
    <n v="71"/>
    <s v="S18_4933"/>
    <x v="77"/>
    <s v="(171) 555-1555"/>
    <s v="Fauntleroy Circus"/>
    <s v=""/>
    <s v="Manchester"/>
    <s v=""/>
    <s v="EC2 5NT"/>
    <x v="6"/>
    <s v="EMEA"/>
    <s v="Ashworth"/>
    <s v="Victoria"/>
    <s v="Victoria, Ashworth"/>
    <s v="Small"/>
  </r>
  <r>
    <n v="10124"/>
    <n v="23"/>
    <n v="5773"/>
    <n v="132779"/>
    <n v="132779"/>
    <n v="8"/>
    <s v="5/21/2003 0:00"/>
    <x v="0"/>
    <x v="1"/>
    <x v="1"/>
    <x v="0"/>
    <x v="1"/>
    <n v="71"/>
    <s v="S18_4933"/>
    <x v="84"/>
    <s v="7025551838"/>
    <s v="8489 Strong St."/>
    <s v=""/>
    <s v="Las Vegas"/>
    <s v="NV"/>
    <s v="83030"/>
    <x v="0"/>
    <s v="NA"/>
    <s v="King"/>
    <s v="Sue"/>
    <s v="Sue, King"/>
    <s v="Small"/>
  </r>
  <r>
    <n v="10148"/>
    <n v="29"/>
    <n v="8125"/>
    <n v="235625"/>
    <n v="235625"/>
    <n v="2"/>
    <s v="9/11/2003 0:00"/>
    <x v="0"/>
    <x v="2"/>
    <x v="10"/>
    <x v="0"/>
    <x v="1"/>
    <n v="71"/>
    <s v="S18_4933"/>
    <x v="42"/>
    <s v="02 9936 8555"/>
    <s v="201 Miller Street"/>
    <s v="Level 15"/>
    <s v="North Sydney"/>
    <s v="NSW"/>
    <s v="2060"/>
    <x v="3"/>
    <s v="APAC"/>
    <s v="O'Hara"/>
    <s v="Anna"/>
    <s v="Anna, O'Hara"/>
    <s v="Small"/>
  </r>
  <r>
    <n v="10161"/>
    <n v="25"/>
    <n v="8054"/>
    <n v="201350"/>
    <n v="201350"/>
    <n v="1"/>
    <s v="10/17/2003 0:00"/>
    <x v="0"/>
    <x v="3"/>
    <x v="4"/>
    <x v="0"/>
    <x v="1"/>
    <n v="71"/>
    <s v="S18_4933"/>
    <x v="78"/>
    <s v="86 21 3555"/>
    <s v="Smagsloget 45"/>
    <s v=""/>
    <s v="Aaarhus"/>
    <s v=""/>
    <s v="8200"/>
    <x v="13"/>
    <s v="EMEA"/>
    <s v="Ibsen"/>
    <s v="Palle"/>
    <s v="Palle, Ibsen"/>
    <s v="Small"/>
  </r>
  <r>
    <n v="10173"/>
    <n v="39"/>
    <n v="7198"/>
    <n v="280722"/>
    <n v="280722"/>
    <n v="15"/>
    <s v="11/5/2003 0:00"/>
    <x v="0"/>
    <x v="3"/>
    <x v="5"/>
    <x v="0"/>
    <x v="1"/>
    <n v="71"/>
    <s v="S18_4933"/>
    <x v="86"/>
    <s v="035-640555"/>
    <s v="Via Ludovico il Moro 22"/>
    <s v=""/>
    <s v="Bergamo"/>
    <s v=""/>
    <s v="24100"/>
    <x v="12"/>
    <s v="EMEA"/>
    <s v="Rovelli"/>
    <s v="Giovanni"/>
    <s v="Giovanni, Rovelli"/>
    <s v="Small"/>
  </r>
  <r>
    <n v="10182"/>
    <n v="44"/>
    <n v="6984"/>
    <n v="307296"/>
    <n v="307296"/>
    <n v="12"/>
    <s v="11/12/2003 0:00"/>
    <x v="0"/>
    <x v="3"/>
    <x v="5"/>
    <x v="0"/>
    <x v="1"/>
    <n v="71"/>
    <s v="S18_4933"/>
    <x v="39"/>
    <s v="4155551450"/>
    <s v="5677 Strong St."/>
    <s v=""/>
    <s v="San Rafael"/>
    <s v="CA"/>
    <s v="97562"/>
    <x v="0"/>
    <s v="NA"/>
    <s v="Nelson"/>
    <s v="Valarie"/>
    <s v="Valarie, Nelson"/>
    <s v="Medium"/>
  </r>
  <r>
    <n v="10193"/>
    <n v="25"/>
    <n v="7626"/>
    <n v="190650"/>
    <n v="190650"/>
    <n v="16"/>
    <s v="11/21/2003 0:00"/>
    <x v="0"/>
    <x v="3"/>
    <x v="5"/>
    <x v="0"/>
    <x v="1"/>
    <n v="71"/>
    <s v="S18_4933"/>
    <x v="87"/>
    <s v="61-9-3844-6555"/>
    <s v="7 Allen Street"/>
    <s v=""/>
    <s v="Glen Waverly"/>
    <s v="Victoria"/>
    <s v="3150"/>
    <x v="3"/>
    <s v="APAC"/>
    <s v="Connery"/>
    <s v="Sean"/>
    <s v="Sean, Connery"/>
    <s v="Small"/>
  </r>
  <r>
    <n v="10204"/>
    <n v="45"/>
    <n v="7626"/>
    <n v="343170"/>
    <n v="343170"/>
    <n v="6"/>
    <s v="12/2/2003 0:00"/>
    <x v="0"/>
    <x v="3"/>
    <x v="6"/>
    <x v="0"/>
    <x v="1"/>
    <n v="71"/>
    <s v="S18_4933"/>
    <x v="74"/>
    <s v="2125557413"/>
    <s v="4092 Furth Circle"/>
    <s v="Suite 400"/>
    <s v="NYC"/>
    <s v="NY"/>
    <s v="10022"/>
    <x v="0"/>
    <s v="NA"/>
    <s v="Young"/>
    <s v="Jeff"/>
    <s v="Jeff, Young"/>
    <s v="Medium"/>
  </r>
  <r>
    <n v="10213"/>
    <n v="25"/>
    <n v="8339"/>
    <n v="208475"/>
    <n v="208475"/>
    <n v="2"/>
    <s v="1/22/2004 0:00"/>
    <x v="0"/>
    <x v="0"/>
    <x v="7"/>
    <x v="1"/>
    <x v="1"/>
    <n v="71"/>
    <s v="S18_4933"/>
    <x v="52"/>
    <s v="(171) 555-7555"/>
    <s v="120 Hanover Sq."/>
    <s v=""/>
    <s v="London"/>
    <s v=""/>
    <s v="WA1 1DP"/>
    <x v="6"/>
    <s v="EMEA"/>
    <s v="Hardy"/>
    <s v="Thomas"/>
    <s v="Thomas, Hardy"/>
    <s v="Small"/>
  </r>
  <r>
    <n v="10227"/>
    <n v="37"/>
    <n v="5773"/>
    <n v="213601"/>
    <n v="213601"/>
    <n v="12"/>
    <s v="3/2/2004 0:00"/>
    <x v="0"/>
    <x v="0"/>
    <x v="11"/>
    <x v="1"/>
    <x v="1"/>
    <n v="71"/>
    <s v="S18_4933"/>
    <x v="30"/>
    <s v="78.32.5555"/>
    <s v="2, rue du Commerce"/>
    <s v=""/>
    <s v="Lyon"/>
    <s v=""/>
    <s v="69004"/>
    <x v="1"/>
    <s v="EMEA"/>
    <s v="Saveley"/>
    <s v="Mary"/>
    <s v="Mary, Saveley"/>
    <s v="Small"/>
  </r>
  <r>
    <n v="10241"/>
    <n v="30"/>
    <n v="6699"/>
    <n v="200970"/>
    <n v="200970"/>
    <n v="4"/>
    <s v="4/13/2004 0:00"/>
    <x v="0"/>
    <x v="1"/>
    <x v="8"/>
    <x v="1"/>
    <x v="1"/>
    <n v="71"/>
    <s v="S18_4933"/>
    <x v="83"/>
    <s v="88.60.1555"/>
    <s v="24, place Kluber"/>
    <s v=""/>
    <s v="Strasbourg"/>
    <s v=""/>
    <s v="67000"/>
    <x v="1"/>
    <s v="EMEA"/>
    <s v="Citeaux"/>
    <s v="Frederique"/>
    <s v="Frederique, Citeaux"/>
    <s v="Small"/>
  </r>
  <r>
    <n v="10267"/>
    <n v="36"/>
    <n v="7555"/>
    <n v="271980"/>
    <n v="271980"/>
    <n v="1"/>
    <s v="7/7/2004 0:00"/>
    <x v="0"/>
    <x v="2"/>
    <x v="2"/>
    <x v="1"/>
    <x v="1"/>
    <n v="71"/>
    <s v="S18_4933"/>
    <x v="74"/>
    <s v="2125557413"/>
    <s v="4092 Furth Circle"/>
    <s v="Suite 400"/>
    <s v="NYC"/>
    <s v="NY"/>
    <s v="10022"/>
    <x v="0"/>
    <s v="NA"/>
    <s v="Young"/>
    <s v="Jeff"/>
    <s v="Jeff, Young"/>
    <s v="Small"/>
  </r>
  <r>
    <n v="10279"/>
    <n v="26"/>
    <n v="6058"/>
    <n v="157508"/>
    <n v="157508"/>
    <n v="1"/>
    <s v="8/9/2004 0:00"/>
    <x v="0"/>
    <x v="2"/>
    <x v="3"/>
    <x v="1"/>
    <x v="1"/>
    <n v="71"/>
    <s v="S18_4933"/>
    <x v="23"/>
    <s v="(91) 555 94 44"/>
    <s v="C/ Moralzarzal, 86"/>
    <s v=""/>
    <s v="Madrid"/>
    <s v=""/>
    <s v="28034"/>
    <x v="7"/>
    <s v="EMEA"/>
    <s v="Freyre"/>
    <s v="Diego"/>
    <s v="Diego, Freyre"/>
    <s v="Small"/>
  </r>
  <r>
    <n v="10288"/>
    <n v="23"/>
    <n v="7341"/>
    <n v="168843"/>
    <n v="168843"/>
    <n v="7"/>
    <s v="9/1/2004 0:00"/>
    <x v="0"/>
    <x v="2"/>
    <x v="10"/>
    <x v="1"/>
    <x v="1"/>
    <n v="71"/>
    <s v="S18_4933"/>
    <x v="65"/>
    <s v="+65 224 1555"/>
    <s v="Village Close - 106 Linden Road Sandown"/>
    <s v="2nd Floor"/>
    <s v="Singapore"/>
    <s v=""/>
    <s v="69045"/>
    <x v="9"/>
    <s v="APAC"/>
    <s v="Victorino"/>
    <s v="Wendy"/>
    <s v="Wendy, Victorino"/>
    <s v="Small"/>
  </r>
  <r>
    <n v="10302"/>
    <n v="23"/>
    <n v="727"/>
    <n v="16721"/>
    <n v="16721"/>
    <n v="3"/>
    <s v="10/6/2003 0:00"/>
    <x v="0"/>
    <x v="3"/>
    <x v="4"/>
    <x v="0"/>
    <x v="1"/>
    <n v="71"/>
    <s v="S18_4933"/>
    <x v="22"/>
    <s v="(171) 555-2282"/>
    <s v="Berkeley Gardens 12  Brewery"/>
    <s v=""/>
    <s v="Liverpool"/>
    <s v=""/>
    <s v="WX1 6LT"/>
    <x v="6"/>
    <s v="EMEA"/>
    <s v="Devon"/>
    <s v="Elizabeth"/>
    <s v="Elizabeth, Devon"/>
    <s v="Small"/>
  </r>
  <r>
    <n v="10311"/>
    <n v="25"/>
    <n v="6699"/>
    <n v="167475"/>
    <n v="167475"/>
    <n v="2"/>
    <s v="10/16/2004 0:00"/>
    <x v="0"/>
    <x v="3"/>
    <x v="4"/>
    <x v="1"/>
    <x v="1"/>
    <n v="71"/>
    <s v="S18_4933"/>
    <x v="23"/>
    <s v="(91) 555 94 44"/>
    <s v="C/ Moralzarzal, 86"/>
    <s v=""/>
    <s v="Madrid"/>
    <s v=""/>
    <s v="28034"/>
    <x v="7"/>
    <s v="EMEA"/>
    <s v="Freyre"/>
    <s v="Diego"/>
    <s v="Diego, Freyre"/>
    <s v="Small"/>
  </r>
  <r>
    <n v="10332"/>
    <n v="21"/>
    <n v="100"/>
    <n v="2100"/>
    <n v="2100"/>
    <n v="3"/>
    <s v="11/17/2004 0:00"/>
    <x v="0"/>
    <x v="3"/>
    <x v="5"/>
    <x v="1"/>
    <x v="1"/>
    <n v="71"/>
    <s v="S18_4933"/>
    <x v="77"/>
    <s v="(171) 555-1555"/>
    <s v="Fauntleroy Circus"/>
    <s v=""/>
    <s v="Manchester"/>
    <s v=""/>
    <s v="EC2 5NT"/>
    <x v="6"/>
    <s v="EMEA"/>
    <s v="Ashworth"/>
    <s v="Victoria"/>
    <s v="Victoria, Ashworth"/>
    <s v="Medium"/>
  </r>
  <r>
    <n v="10344"/>
    <n v="26"/>
    <n v="6343"/>
    <n v="164918"/>
    <n v="164918"/>
    <n v="5"/>
    <s v="11/25/2004 0:00"/>
    <x v="0"/>
    <x v="3"/>
    <x v="5"/>
    <x v="1"/>
    <x v="1"/>
    <n v="71"/>
    <s v="S18_4933"/>
    <x v="67"/>
    <s v="91.24.4555"/>
    <s v="12, rue des Bouchers"/>
    <s v=""/>
    <s v="Marseille"/>
    <s v=""/>
    <s v="13008"/>
    <x v="1"/>
    <s v="EMEA"/>
    <s v="Lebihan"/>
    <s v="Laurence"/>
    <s v="Laurence, Lebihan"/>
    <s v="Small"/>
  </r>
  <r>
    <n v="10367"/>
    <n v="44"/>
    <n v="8525"/>
    <n v="375100"/>
    <n v="375100"/>
    <n v="9"/>
    <s v="1/12/2005 0:00"/>
    <x v="5"/>
    <x v="0"/>
    <x v="7"/>
    <x v="2"/>
    <x v="1"/>
    <n v="71"/>
    <s v="S18_4933"/>
    <x v="3"/>
    <s v="6265557265"/>
    <s v="78934 Hillside Dr."/>
    <s v=""/>
    <s v="Pasadena"/>
    <s v="CA"/>
    <s v="90003"/>
    <x v="0"/>
    <s v="NA"/>
    <s v="Young"/>
    <s v="Julie"/>
    <s v="Julie, Young"/>
    <s v="Medium"/>
  </r>
  <r>
    <n v="10380"/>
    <n v="24"/>
    <n v="100"/>
    <n v="2400"/>
    <n v="2400"/>
    <n v="2"/>
    <s v="2/16/2005 0:00"/>
    <x v="0"/>
    <x v="0"/>
    <x v="0"/>
    <x v="2"/>
    <x v="1"/>
    <n v="71"/>
    <s v="S18_4933"/>
    <x v="23"/>
    <s v="(91) 555 94 44"/>
    <s v="C/ Moralzarzal, 86"/>
    <s v=""/>
    <s v="Madrid"/>
    <s v=""/>
    <s v="28034"/>
    <x v="7"/>
    <s v="EMEA"/>
    <s v="Freyre"/>
    <s v="Diego"/>
    <s v="Diego, Freyre"/>
    <s v="Medium"/>
  </r>
  <r>
    <n v="10407"/>
    <n v="66"/>
    <n v="6699"/>
    <n v="442134"/>
    <n v="0"/>
    <n v="4"/>
    <s v="4/22/2005 0:00"/>
    <x v="4"/>
    <x v="1"/>
    <x v="8"/>
    <x v="2"/>
    <x v="1"/>
    <n v="71"/>
    <s v="S18_4933"/>
    <x v="61"/>
    <s v="4085553659"/>
    <s v="3086 Ingle Ln."/>
    <s v=""/>
    <s v="San Jose"/>
    <s v="CA"/>
    <s v="94217"/>
    <x v="0"/>
    <s v="NA"/>
    <s v="Frick"/>
    <s v="Sue"/>
    <s v="Sue, Frick"/>
    <s v="Medium"/>
  </r>
  <r>
    <n v="10420"/>
    <n v="36"/>
    <n v="5773"/>
    <n v="207828"/>
    <n v="0"/>
    <n v="7"/>
    <s v="5/29/2005 0:00"/>
    <x v="2"/>
    <x v="1"/>
    <x v="1"/>
    <x v="2"/>
    <x v="1"/>
    <n v="71"/>
    <s v="S18_4933"/>
    <x v="20"/>
    <s v="+61 2 9495 8555"/>
    <s v="Monitor Money Building, 815 Pacific Hwy"/>
    <s v="Level 6"/>
    <s v="Chatswood"/>
    <s v="NSW"/>
    <s v="2067"/>
    <x v="3"/>
    <s v="APAC"/>
    <s v="Huxley"/>
    <s v="Adrian"/>
    <s v="Adrian, Huxley"/>
    <s v="Small"/>
  </r>
  <r>
    <n v="10110"/>
    <n v="36"/>
    <n v="8525"/>
    <n v="306900"/>
    <n v="306900"/>
    <n v="13"/>
    <s v="3/18/2003 0:00"/>
    <x v="0"/>
    <x v="0"/>
    <x v="11"/>
    <x v="0"/>
    <x v="1"/>
    <n v="73"/>
    <s v="S24_1046"/>
    <x v="77"/>
    <s v="(171) 555-1555"/>
    <s v="Fauntleroy Circus"/>
    <s v=""/>
    <s v="Manchester"/>
    <s v=""/>
    <s v="EC2 5NT"/>
    <x v="6"/>
    <s v="EMEA"/>
    <s v="Ashworth"/>
    <s v="Victoria"/>
    <s v="Victoria, Ashworth"/>
    <s v="Medium"/>
  </r>
  <r>
    <n v="10124"/>
    <n v="22"/>
    <n v="779"/>
    <n v="17138"/>
    <n v="17138"/>
    <n v="12"/>
    <s v="5/21/2003 0:00"/>
    <x v="0"/>
    <x v="1"/>
    <x v="1"/>
    <x v="0"/>
    <x v="1"/>
    <n v="73"/>
    <s v="S24_1046"/>
    <x v="84"/>
    <s v="7025551838"/>
    <s v="8489 Strong St."/>
    <s v=""/>
    <s v="Las Vegas"/>
    <s v="NV"/>
    <s v="83030"/>
    <x v="0"/>
    <s v="NA"/>
    <s v="King"/>
    <s v="Sue"/>
    <s v="Sue, King"/>
    <s v="Small"/>
  </r>
  <r>
    <n v="10148"/>
    <n v="25"/>
    <n v="6026"/>
    <n v="150650"/>
    <n v="150650"/>
    <n v="6"/>
    <s v="9/11/2003 0:00"/>
    <x v="0"/>
    <x v="2"/>
    <x v="10"/>
    <x v="0"/>
    <x v="1"/>
    <n v="73"/>
    <s v="S24_1046"/>
    <x v="42"/>
    <s v="02 9936 8555"/>
    <s v="201 Miller Street"/>
    <s v="Level 15"/>
    <s v="North Sydney"/>
    <s v="NSW"/>
    <s v="2060"/>
    <x v="3"/>
    <s v="APAC"/>
    <s v="O'Hara"/>
    <s v="Anna"/>
    <s v="Anna, O'Hara"/>
    <s v="Small"/>
  </r>
  <r>
    <n v="10161"/>
    <n v="37"/>
    <n v="7276"/>
    <n v="269212"/>
    <n v="269212"/>
    <n v="5"/>
    <s v="10/17/2003 0:00"/>
    <x v="0"/>
    <x v="3"/>
    <x v="4"/>
    <x v="0"/>
    <x v="1"/>
    <n v="73"/>
    <s v="S24_1046"/>
    <x v="78"/>
    <s v="86 21 3555"/>
    <s v="Smagsloget 45"/>
    <s v=""/>
    <s v="Aaarhus"/>
    <s v=""/>
    <s v="8200"/>
    <x v="13"/>
    <s v="EMEA"/>
    <s v="Ibsen"/>
    <s v="Palle"/>
    <s v="Palle, Ibsen"/>
    <s v="Small"/>
  </r>
  <r>
    <n v="10172"/>
    <n v="32"/>
    <n v="7569"/>
    <n v="242208"/>
    <n v="242208"/>
    <n v="3"/>
    <s v="11/5/2003 0:00"/>
    <x v="0"/>
    <x v="3"/>
    <x v="5"/>
    <x v="0"/>
    <x v="1"/>
    <n v="73"/>
    <s v="S24_1046"/>
    <x v="13"/>
    <s v="2035552570"/>
    <s v="25593 South Bay Ln."/>
    <s v=""/>
    <s v="Bridgewater"/>
    <s v="CT"/>
    <s v="97562"/>
    <x v="0"/>
    <s v="NA"/>
    <s v="King"/>
    <s v="Julie"/>
    <s v="Julie, King"/>
    <s v="Small"/>
  </r>
  <r>
    <n v="10182"/>
    <n v="47"/>
    <n v="7422"/>
    <n v="348834"/>
    <n v="348834"/>
    <n v="16"/>
    <s v="11/12/2003 0:00"/>
    <x v="0"/>
    <x v="3"/>
    <x v="5"/>
    <x v="0"/>
    <x v="1"/>
    <n v="73"/>
    <s v="S24_1046"/>
    <x v="39"/>
    <s v="4155551450"/>
    <s v="5677 Strong St."/>
    <s v=""/>
    <s v="San Rafael"/>
    <s v="CA"/>
    <s v="97562"/>
    <x v="0"/>
    <s v="NA"/>
    <s v="Nelson"/>
    <s v="Valarie"/>
    <s v="Valarie, Nelson"/>
    <s v="Medium"/>
  </r>
  <r>
    <n v="10192"/>
    <n v="37"/>
    <n v="6982"/>
    <n v="258334"/>
    <n v="258334"/>
    <n v="4"/>
    <s v="11/20/2003 0:00"/>
    <x v="0"/>
    <x v="3"/>
    <x v="5"/>
    <x v="0"/>
    <x v="1"/>
    <n v="73"/>
    <s v="S24_1046"/>
    <x v="40"/>
    <s v="6035558647"/>
    <s v="2304 Long Airport Avenue"/>
    <s v=""/>
    <s v="Nashua"/>
    <s v="NH"/>
    <s v="62005"/>
    <x v="0"/>
    <s v="NA"/>
    <s v="Young"/>
    <s v="Valarie"/>
    <s v="Valarie, Young"/>
    <s v="Small"/>
  </r>
  <r>
    <n v="10204"/>
    <n v="20"/>
    <n v="6247"/>
    <n v="124940"/>
    <n v="124940"/>
    <n v="10"/>
    <s v="12/2/2003 0:00"/>
    <x v="0"/>
    <x v="3"/>
    <x v="6"/>
    <x v="0"/>
    <x v="1"/>
    <n v="73"/>
    <s v="S24_1046"/>
    <x v="74"/>
    <s v="2125557413"/>
    <s v="4092 Furth Circle"/>
    <s v="Suite 400"/>
    <s v="NYC"/>
    <s v="NY"/>
    <s v="10022"/>
    <x v="0"/>
    <s v="NA"/>
    <s v="Young"/>
    <s v="Jeff"/>
    <s v="Jeff, Young"/>
    <s v="Small"/>
  </r>
  <r>
    <n v="10212"/>
    <n v="41"/>
    <n v="8231"/>
    <n v="337471"/>
    <n v="337471"/>
    <n v="3"/>
    <s v="1/16/2004 0:00"/>
    <x v="0"/>
    <x v="0"/>
    <x v="7"/>
    <x v="1"/>
    <x v="1"/>
    <n v="73"/>
    <s v="S24_1046"/>
    <x v="23"/>
    <s v="(91) 555 94 44"/>
    <s v="C/ Moralzarzal, 86"/>
    <s v=""/>
    <s v="Madrid"/>
    <s v=""/>
    <s v="28034"/>
    <x v="7"/>
    <s v="EMEA"/>
    <s v="Freyre"/>
    <s v="Diego"/>
    <s v="Diego, Freyre"/>
    <s v="Medium"/>
  </r>
  <r>
    <n v="10226"/>
    <n v="21"/>
    <n v="6026"/>
    <n v="126546"/>
    <n v="126546"/>
    <n v="1"/>
    <s v="2/26/2004 0:00"/>
    <x v="0"/>
    <x v="0"/>
    <x v="0"/>
    <x v="1"/>
    <x v="1"/>
    <n v="73"/>
    <s v="S24_1046"/>
    <x v="55"/>
    <s v="7605558146"/>
    <s v="361 Furth Circle"/>
    <s v=""/>
    <s v="San Diego"/>
    <s v="CA"/>
    <s v="91217"/>
    <x v="0"/>
    <s v="NA"/>
    <s v="Thompson"/>
    <s v="Valarie"/>
    <s v="Valarie, Thompson"/>
    <s v="Small"/>
  </r>
  <r>
    <n v="10241"/>
    <n v="22"/>
    <n v="7643"/>
    <n v="168146"/>
    <n v="168146"/>
    <n v="8"/>
    <s v="4/13/2004 0:00"/>
    <x v="0"/>
    <x v="1"/>
    <x v="8"/>
    <x v="1"/>
    <x v="1"/>
    <n v="73"/>
    <s v="S24_1046"/>
    <x v="83"/>
    <s v="88.60.1555"/>
    <s v="24, place Kluber"/>
    <s v=""/>
    <s v="Strasbourg"/>
    <s v=""/>
    <s v="67000"/>
    <x v="1"/>
    <s v="EMEA"/>
    <s v="Citeaux"/>
    <s v="Frederique"/>
    <s v="Frederique, Citeaux"/>
    <s v="Small"/>
  </r>
  <r>
    <n v="10267"/>
    <n v="40"/>
    <n v="801"/>
    <n v="32040"/>
    <n v="32040"/>
    <n v="5"/>
    <s v="7/7/2004 0:00"/>
    <x v="0"/>
    <x v="2"/>
    <x v="2"/>
    <x v="1"/>
    <x v="1"/>
    <n v="73"/>
    <s v="S24_1046"/>
    <x v="74"/>
    <s v="2125557413"/>
    <s v="4092 Furth Circle"/>
    <s v="Suite 400"/>
    <s v="NYC"/>
    <s v="NY"/>
    <s v="10022"/>
    <x v="0"/>
    <s v="NA"/>
    <s v="Young"/>
    <s v="Jeff"/>
    <s v="Jeff, Young"/>
    <s v="Medium"/>
  </r>
  <r>
    <n v="10279"/>
    <n v="32"/>
    <n v="7496"/>
    <n v="239872"/>
    <n v="239872"/>
    <n v="5"/>
    <s v="8/9/2004 0:00"/>
    <x v="0"/>
    <x v="2"/>
    <x v="3"/>
    <x v="1"/>
    <x v="1"/>
    <n v="73"/>
    <s v="S24_1046"/>
    <x v="23"/>
    <s v="(91) 555 94 44"/>
    <s v="C/ Moralzarzal, 86"/>
    <s v=""/>
    <s v="Madrid"/>
    <s v=""/>
    <s v="28034"/>
    <x v="7"/>
    <s v="EMEA"/>
    <s v="Freyre"/>
    <s v="Diego"/>
    <s v="Diego, Freyre"/>
    <s v="Small"/>
  </r>
  <r>
    <n v="10288"/>
    <n v="36"/>
    <n v="6614"/>
    <n v="238104"/>
    <n v="238104"/>
    <n v="11"/>
    <s v="9/1/2004 0:00"/>
    <x v="0"/>
    <x v="2"/>
    <x v="10"/>
    <x v="1"/>
    <x v="1"/>
    <n v="73"/>
    <s v="S24_1046"/>
    <x v="65"/>
    <s v="+65 224 1555"/>
    <s v="Village Close - 106 Linden Road Sandown"/>
    <s v="2nd Floor"/>
    <s v="Singapore"/>
    <s v=""/>
    <s v="69045"/>
    <x v="9"/>
    <s v="APAC"/>
    <s v="Victorino"/>
    <s v="Wendy"/>
    <s v="Wendy, Victorino"/>
    <s v="Small"/>
  </r>
  <r>
    <n v="10301"/>
    <n v="27"/>
    <n v="7202"/>
    <n v="194454"/>
    <n v="194454"/>
    <n v="1"/>
    <s v="10/5/2003 0:00"/>
    <x v="0"/>
    <x v="3"/>
    <x v="4"/>
    <x v="0"/>
    <x v="1"/>
    <n v="73"/>
    <s v="S24_1046"/>
    <x v="85"/>
    <s v="+47 2212 1555"/>
    <s v="Drammensveien 126 A, PB 744 Sentrum"/>
    <s v=""/>
    <s v="Oslo"/>
    <s v=""/>
    <s v="N 0106"/>
    <x v="2"/>
    <s v="EMEA"/>
    <s v="Klaeboe"/>
    <s v="Jan"/>
    <s v="Jan, Klaeboe"/>
    <s v="Small"/>
  </r>
  <r>
    <n v="10311"/>
    <n v="26"/>
    <n v="8745"/>
    <n v="227370"/>
    <n v="227370"/>
    <n v="6"/>
    <s v="10/16/2004 0:00"/>
    <x v="0"/>
    <x v="3"/>
    <x v="4"/>
    <x v="1"/>
    <x v="1"/>
    <n v="73"/>
    <s v="S24_1046"/>
    <x v="23"/>
    <s v="(91) 555 94 44"/>
    <s v="C/ Moralzarzal, 86"/>
    <s v=""/>
    <s v="Madrid"/>
    <s v=""/>
    <s v="28034"/>
    <x v="7"/>
    <s v="EMEA"/>
    <s v="Freyre"/>
    <s v="Diego"/>
    <s v="Diego, Freyre"/>
    <s v="Small"/>
  </r>
  <r>
    <n v="10321"/>
    <n v="30"/>
    <n v="7055"/>
    <n v="211650"/>
    <n v="211650"/>
    <n v="3"/>
    <s v="11/4/2004 0:00"/>
    <x v="0"/>
    <x v="3"/>
    <x v="5"/>
    <x v="1"/>
    <x v="1"/>
    <n v="73"/>
    <s v="S24_1046"/>
    <x v="21"/>
    <s v="5085552555"/>
    <s v="1785 First Street"/>
    <s v=""/>
    <s v="New Bedford"/>
    <s v="MA"/>
    <s v="50553"/>
    <x v="0"/>
    <s v="NA"/>
    <s v="Benitez"/>
    <s v="Violeta"/>
    <s v="Violeta, Benitez"/>
    <s v="Small"/>
  </r>
  <r>
    <n v="10332"/>
    <n v="23"/>
    <n v="5684"/>
    <n v="130732"/>
    <n v="130732"/>
    <n v="4"/>
    <s v="11/17/2004 0:00"/>
    <x v="0"/>
    <x v="3"/>
    <x v="5"/>
    <x v="1"/>
    <x v="1"/>
    <n v="73"/>
    <s v="S24_1046"/>
    <x v="77"/>
    <s v="(171) 555-1555"/>
    <s v="Fauntleroy Circus"/>
    <s v=""/>
    <s v="Manchester"/>
    <s v=""/>
    <s v="EC2 5NT"/>
    <x v="6"/>
    <s v="EMEA"/>
    <s v="Ashworth"/>
    <s v="Victoria"/>
    <s v="Victoria, Ashworth"/>
    <s v="Small"/>
  </r>
  <r>
    <n v="10344"/>
    <n v="29"/>
    <n v="5953"/>
    <n v="172637"/>
    <n v="172637"/>
    <n v="7"/>
    <s v="11/25/2004 0:00"/>
    <x v="0"/>
    <x v="3"/>
    <x v="5"/>
    <x v="1"/>
    <x v="1"/>
    <n v="73"/>
    <s v="S24_1046"/>
    <x v="67"/>
    <s v="91.24.4555"/>
    <s v="12, rue des Bouchers"/>
    <s v=""/>
    <s v="Marseille"/>
    <s v=""/>
    <s v="13008"/>
    <x v="1"/>
    <s v="EMEA"/>
    <s v="Lebihan"/>
    <s v="Laurence"/>
    <s v="Laurence, Lebihan"/>
    <s v="Small"/>
  </r>
  <r>
    <n v="10367"/>
    <n v="21"/>
    <n v="6037"/>
    <n v="126777"/>
    <n v="126777"/>
    <n v="10"/>
    <s v="1/12/2005 0:00"/>
    <x v="5"/>
    <x v="0"/>
    <x v="7"/>
    <x v="2"/>
    <x v="1"/>
    <n v="73"/>
    <s v="S24_1046"/>
    <x v="3"/>
    <s v="6265557265"/>
    <s v="78934 Hillside Dr."/>
    <s v=""/>
    <s v="Pasadena"/>
    <s v="CA"/>
    <s v="90003"/>
    <x v="0"/>
    <s v="NA"/>
    <s v="Young"/>
    <s v="Julie"/>
    <s v="Julie, Young"/>
    <s v="Small"/>
  </r>
  <r>
    <n v="10380"/>
    <n v="34"/>
    <n v="100"/>
    <n v="3400"/>
    <n v="3400"/>
    <n v="3"/>
    <s v="2/16/2005 0:00"/>
    <x v="0"/>
    <x v="0"/>
    <x v="0"/>
    <x v="2"/>
    <x v="1"/>
    <n v="73"/>
    <s v="S24_1046"/>
    <x v="23"/>
    <s v="(91) 555 94 44"/>
    <s v="C/ Moralzarzal, 86"/>
    <s v=""/>
    <s v="Madrid"/>
    <s v=""/>
    <s v="28034"/>
    <x v="7"/>
    <s v="EMEA"/>
    <s v="Freyre"/>
    <s v="Diego"/>
    <s v="Diego, Freyre"/>
    <s v="Medium"/>
  </r>
  <r>
    <n v="10407"/>
    <n v="26"/>
    <n v="7643"/>
    <n v="198718"/>
    <n v="0"/>
    <n v="8"/>
    <s v="4/22/2005 0:00"/>
    <x v="4"/>
    <x v="1"/>
    <x v="8"/>
    <x v="2"/>
    <x v="1"/>
    <n v="73"/>
    <s v="S24_1046"/>
    <x v="61"/>
    <s v="4085553659"/>
    <s v="3086 Ingle Ln."/>
    <s v=""/>
    <s v="San Jose"/>
    <s v="CA"/>
    <s v="94217"/>
    <x v="0"/>
    <s v="NA"/>
    <s v="Frick"/>
    <s v="Sue"/>
    <s v="Sue, Frick"/>
    <s v="Small"/>
  </r>
  <r>
    <n v="10420"/>
    <n v="60"/>
    <n v="6467"/>
    <n v="388020"/>
    <n v="0"/>
    <n v="11"/>
    <s v="5/29/2005 0:00"/>
    <x v="2"/>
    <x v="1"/>
    <x v="1"/>
    <x v="2"/>
    <x v="1"/>
    <n v="73"/>
    <s v="S24_1046"/>
    <x v="20"/>
    <s v="+61 2 9495 8555"/>
    <s v="Monitor Money Building, 815 Pacific Hwy"/>
    <s v="Level 6"/>
    <s v="Chatswood"/>
    <s v="NSW"/>
    <s v="2067"/>
    <x v="3"/>
    <s v="APAC"/>
    <s v="Huxley"/>
    <s v="Adrian"/>
    <s v="Adrian, Huxley"/>
    <s v="Medium"/>
  </r>
  <r>
    <n v="10104"/>
    <n v="35"/>
    <n v="5549"/>
    <n v="194215"/>
    <n v="194215"/>
    <n v="6"/>
    <s v="1/31/2003 0:00"/>
    <x v="0"/>
    <x v="0"/>
    <x v="7"/>
    <x v="0"/>
    <x v="1"/>
    <n v="57"/>
    <s v="S24_1444"/>
    <x v="23"/>
    <s v="(91) 555 94 44"/>
    <s v="C/ Moralzarzal, 86"/>
    <s v=""/>
    <s v="Madrid"/>
    <s v=""/>
    <s v="28034"/>
    <x v="7"/>
    <s v="EMEA"/>
    <s v="Freyre"/>
    <s v="Diego"/>
    <s v="Diego, Freyre"/>
    <s v="Small"/>
  </r>
  <r>
    <n v="10115"/>
    <n v="47"/>
    <n v="6936"/>
    <n v="325992"/>
    <n v="325992"/>
    <n v="2"/>
    <s v="4/4/2003 0:00"/>
    <x v="0"/>
    <x v="1"/>
    <x v="8"/>
    <x v="0"/>
    <x v="1"/>
    <n v="57"/>
    <s v="S24_1444"/>
    <x v="27"/>
    <s v="2125558493"/>
    <s v="5905 Pompton St."/>
    <s v="Suite 750"/>
    <s v="NYC"/>
    <s v="NY"/>
    <s v="10022"/>
    <x v="0"/>
    <s v="NA"/>
    <s v="Hernandez"/>
    <s v="Maria"/>
    <s v="Maria, Hernandez"/>
    <s v="Medium"/>
  </r>
  <r>
    <n v="10127"/>
    <n v="20"/>
    <n v="6069"/>
    <n v="121380"/>
    <n v="121380"/>
    <n v="8"/>
    <s v="6/3/2003 0:00"/>
    <x v="0"/>
    <x v="1"/>
    <x v="9"/>
    <x v="0"/>
    <x v="1"/>
    <n v="57"/>
    <s v="S24_1444"/>
    <x v="74"/>
    <s v="2125557413"/>
    <s v="4092 Furth Circle"/>
    <s v="Suite 400"/>
    <s v="NYC"/>
    <s v="NY"/>
    <s v="10022"/>
    <x v="0"/>
    <s v="NA"/>
    <s v="Young"/>
    <s v="Jeff"/>
    <s v="Jeff, Young"/>
    <s v="Small"/>
  </r>
  <r>
    <n v="10141"/>
    <n v="20"/>
    <n v="5433"/>
    <n v="108660"/>
    <n v="108660"/>
    <n v="2"/>
    <s v="8/1/2003 0:00"/>
    <x v="0"/>
    <x v="2"/>
    <x v="3"/>
    <x v="0"/>
    <x v="1"/>
    <n v="57"/>
    <s v="S24_1444"/>
    <x v="73"/>
    <s v="+358 9 8045 555"/>
    <s v="Software Engineering Center, SEC Oy"/>
    <s v=""/>
    <s v="Espoo"/>
    <s v=""/>
    <s v="FIN-02271"/>
    <x v="4"/>
    <s v="EMEA"/>
    <s v="Suominen"/>
    <s v="Kalle"/>
    <s v="Kalle, Suominen"/>
    <s v="Small"/>
  </r>
  <r>
    <n v="10152"/>
    <n v="25"/>
    <n v="6531"/>
    <n v="163275"/>
    <n v="163275"/>
    <n v="4"/>
    <s v="9/25/2003 0:00"/>
    <x v="0"/>
    <x v="2"/>
    <x v="10"/>
    <x v="0"/>
    <x v="1"/>
    <n v="57"/>
    <s v="S24_1444"/>
    <x v="28"/>
    <s v="61-7-3844-6555"/>
    <s v="31 Duncan St. West End"/>
    <s v=""/>
    <s v="South Brisbane"/>
    <s v="Queensland"/>
    <s v="4101"/>
    <x v="3"/>
    <s v="APAC"/>
    <s v="Calaghan"/>
    <s v="Tony"/>
    <s v="Tony, Calaghan"/>
    <s v="Small"/>
  </r>
  <r>
    <n v="10165"/>
    <n v="25"/>
    <n v="6936"/>
    <n v="173400"/>
    <n v="173400"/>
    <n v="9"/>
    <s v="10/22/2003 0:00"/>
    <x v="0"/>
    <x v="3"/>
    <x v="4"/>
    <x v="0"/>
    <x v="1"/>
    <n v="57"/>
    <s v="S24_1444"/>
    <x v="26"/>
    <s v="+65 221 7555"/>
    <s v="Bronz Sok., Bronz Apt. 3/6 Tesvikiye"/>
    <s v=""/>
    <s v="Singapore"/>
    <s v=""/>
    <s v="79903"/>
    <x v="9"/>
    <s v="Japan"/>
    <s v="Natividad"/>
    <s v="Eric"/>
    <s v="Eric, Natividad"/>
    <s v="Small"/>
  </r>
  <r>
    <n v="10176"/>
    <n v="27"/>
    <n v="6878"/>
    <n v="185706"/>
    <n v="185706"/>
    <n v="8"/>
    <s v="11/6/2003 0:00"/>
    <x v="0"/>
    <x v="3"/>
    <x v="5"/>
    <x v="0"/>
    <x v="1"/>
    <n v="57"/>
    <s v="S24_1444"/>
    <x v="70"/>
    <s v="0522-556555"/>
    <s v="Strada Provinciale 124"/>
    <s v=""/>
    <s v="Reggio Emilia"/>
    <s v=""/>
    <s v="42100"/>
    <x v="12"/>
    <s v="EMEA"/>
    <s v="Moroni"/>
    <s v="Maurizio"/>
    <s v="Maurizio, Moroni"/>
    <s v="Small"/>
  </r>
  <r>
    <n v="10184"/>
    <n v="31"/>
    <n v="6011"/>
    <n v="186341"/>
    <n v="186341"/>
    <n v="3"/>
    <s v="11/14/2003 0:00"/>
    <x v="0"/>
    <x v="3"/>
    <x v="5"/>
    <x v="0"/>
    <x v="1"/>
    <n v="57"/>
    <s v="S24_1444"/>
    <x v="81"/>
    <s v="(95) 555 82 82"/>
    <s v="C/ Romero, 33"/>
    <s v=""/>
    <s v="Sevilla"/>
    <s v=""/>
    <s v="41101"/>
    <x v="7"/>
    <s v="EMEA"/>
    <s v="Roel"/>
    <s v="Jose Pedro"/>
    <s v="Jose Pedro, Roel"/>
    <s v="Small"/>
  </r>
  <r>
    <n v="10195"/>
    <n v="44"/>
    <n v="6647"/>
    <n v="292468"/>
    <n v="292468"/>
    <n v="3"/>
    <s v="11/25/2003 0:00"/>
    <x v="0"/>
    <x v="3"/>
    <x v="5"/>
    <x v="0"/>
    <x v="1"/>
    <n v="57"/>
    <s v="S24_1444"/>
    <x v="47"/>
    <s v="9145554562"/>
    <s v="3758 North Pendale Street"/>
    <s v=""/>
    <s v="White Plains"/>
    <s v="NY"/>
    <s v="24067"/>
    <x v="0"/>
    <s v="NA"/>
    <s v="Frick"/>
    <s v="Steve"/>
    <s v="Steve, Frick"/>
    <s v="Small"/>
  </r>
  <r>
    <n v="10207"/>
    <n v="49"/>
    <n v="4682"/>
    <n v="229418"/>
    <n v="229418"/>
    <n v="4"/>
    <s v="12/9/2003 0:00"/>
    <x v="0"/>
    <x v="3"/>
    <x v="6"/>
    <x v="0"/>
    <x v="1"/>
    <n v="57"/>
    <s v="S24_1444"/>
    <x v="64"/>
    <s v="6175552555"/>
    <s v="6251 Ingle Ln."/>
    <s v=""/>
    <s v="Boston"/>
    <s v="MA"/>
    <s v="51003"/>
    <x v="0"/>
    <s v="NA"/>
    <s v="Franco"/>
    <s v="Valarie"/>
    <s v="Valarie, Franco"/>
    <s v="Small"/>
  </r>
  <r>
    <n v="10220"/>
    <n v="26"/>
    <n v="5607"/>
    <n v="145782"/>
    <n v="145782"/>
    <n v="8"/>
    <s v="2/12/2004 0:00"/>
    <x v="0"/>
    <x v="0"/>
    <x v="0"/>
    <x v="1"/>
    <x v="1"/>
    <n v="57"/>
    <s v="S24_1444"/>
    <x v="75"/>
    <s v="+353 1862 1555"/>
    <s v="25 Maiden Lane"/>
    <s v="Floor No. 4"/>
    <s v="Dublin"/>
    <s v=""/>
    <s v="2"/>
    <x v="18"/>
    <s v="EMEA"/>
    <s v="Cassidy"/>
    <s v="Dean"/>
    <s v="Dean, Cassidy"/>
    <s v="Small"/>
  </r>
  <r>
    <n v="10230"/>
    <n v="36"/>
    <n v="5433"/>
    <n v="195588"/>
    <n v="195588"/>
    <n v="6"/>
    <s v="3/15/2004 0:00"/>
    <x v="0"/>
    <x v="0"/>
    <x v="11"/>
    <x v="1"/>
    <x v="1"/>
    <n v="57"/>
    <s v="S24_1444"/>
    <x v="72"/>
    <s v="+49 69 66 90 2555"/>
    <s v="Lyonerstr. 34"/>
    <s v=""/>
    <s v="Frankfurt"/>
    <s v=""/>
    <s v="60528"/>
    <x v="16"/>
    <s v="EMEA"/>
    <s v="Keitel"/>
    <s v="Roland"/>
    <s v="Roland, Keitel"/>
    <s v="Small"/>
  </r>
  <r>
    <n v="10246"/>
    <n v="44"/>
    <n v="526"/>
    <n v="23144"/>
    <n v="23144"/>
    <n v="2"/>
    <s v="5/5/2004 0:00"/>
    <x v="0"/>
    <x v="1"/>
    <x v="1"/>
    <x v="1"/>
    <x v="1"/>
    <n v="57"/>
    <s v="S24_1444"/>
    <x v="23"/>
    <s v="(91) 555 94 44"/>
    <s v="C/ Moralzarzal, 86"/>
    <s v=""/>
    <s v="Madrid"/>
    <s v=""/>
    <s v="28034"/>
    <x v="7"/>
    <s v="EMEA"/>
    <s v="Freyre"/>
    <s v="Diego"/>
    <s v="Diego, Freyre"/>
    <s v="Small"/>
  </r>
  <r>
    <n v="10259"/>
    <n v="28"/>
    <n v="4682"/>
    <n v="131096"/>
    <n v="131096"/>
    <n v="1"/>
    <s v="6/15/2004 0:00"/>
    <x v="0"/>
    <x v="1"/>
    <x v="9"/>
    <x v="1"/>
    <x v="1"/>
    <n v="57"/>
    <s v="S24_1444"/>
    <x v="65"/>
    <s v="+65 224 1555"/>
    <s v="Village Close - 106 Linden Road Sandown"/>
    <s v="2nd Floor"/>
    <s v="Singapore"/>
    <s v=""/>
    <s v="69045"/>
    <x v="9"/>
    <s v="APAC"/>
    <s v="Victorino"/>
    <s v="Wendy"/>
    <s v="Wendy, Victorino"/>
    <s v="Small"/>
  </r>
  <r>
    <n v="10271"/>
    <n v="45"/>
    <n v="6474"/>
    <n v="291330"/>
    <n v="291330"/>
    <n v="2"/>
    <s v="7/20/2004 0:00"/>
    <x v="0"/>
    <x v="2"/>
    <x v="2"/>
    <x v="1"/>
    <x v="1"/>
    <n v="57"/>
    <s v="S24_1444"/>
    <x v="39"/>
    <s v="4155551450"/>
    <s v="5677 Strong St."/>
    <s v=""/>
    <s v="San Rafael"/>
    <s v="CA"/>
    <s v="97562"/>
    <x v="0"/>
    <s v="NA"/>
    <s v="Nelson"/>
    <s v="Valarie"/>
    <s v="Valarie, Nelson"/>
    <s v="Small"/>
  </r>
  <r>
    <n v="10282"/>
    <n v="29"/>
    <n v="4682"/>
    <n v="135778"/>
    <n v="135778"/>
    <n v="11"/>
    <s v="8/20/2004 0:00"/>
    <x v="0"/>
    <x v="2"/>
    <x v="3"/>
    <x v="1"/>
    <x v="1"/>
    <n v="57"/>
    <s v="S24_1444"/>
    <x v="39"/>
    <s v="4155551450"/>
    <s v="5677 Strong St."/>
    <s v=""/>
    <s v="San Rafael"/>
    <s v="CA"/>
    <s v="97562"/>
    <x v="0"/>
    <s v="NA"/>
    <s v="Nelson"/>
    <s v="Valarie"/>
    <s v="Valarie, Nelson"/>
    <s v="Small"/>
  </r>
  <r>
    <n v="10292"/>
    <n v="40"/>
    <n v="5375"/>
    <n v="215000"/>
    <n v="215000"/>
    <n v="5"/>
    <s v="9/8/2004 0:00"/>
    <x v="0"/>
    <x v="2"/>
    <x v="10"/>
    <x v="1"/>
    <x v="1"/>
    <n v="57"/>
    <s v="S24_1444"/>
    <x v="0"/>
    <s v="2125557818"/>
    <s v="897 Long Airport Avenue"/>
    <s v=""/>
    <s v="NYC"/>
    <s v="NY"/>
    <s v="10022"/>
    <x v="0"/>
    <s v="NA"/>
    <s v="Yu"/>
    <s v="Kwai"/>
    <s v="Kwai, Yu"/>
    <s v="Small"/>
  </r>
  <r>
    <n v="10305"/>
    <n v="45"/>
    <n v="6185"/>
    <n v="278325"/>
    <n v="278325"/>
    <n v="2"/>
    <s v="10/13/2004 0:00"/>
    <x v="0"/>
    <x v="3"/>
    <x v="4"/>
    <x v="1"/>
    <x v="1"/>
    <n v="57"/>
    <s v="S24_1444"/>
    <x v="15"/>
    <s v="6175558555"/>
    <s v="39323 Spinnaker Dr."/>
    <s v=""/>
    <s v="Cambridge"/>
    <s v="MA"/>
    <s v="51247"/>
    <x v="0"/>
    <s v="NA"/>
    <s v="Hernandez"/>
    <s v="Marta"/>
    <s v="Marta, Hernandez"/>
    <s v="Small"/>
  </r>
  <r>
    <n v="10314"/>
    <n v="44"/>
    <n v="5318"/>
    <n v="233992"/>
    <n v="233992"/>
    <n v="11"/>
    <s v="10/22/2004 0:00"/>
    <x v="0"/>
    <x v="3"/>
    <x v="4"/>
    <x v="1"/>
    <x v="1"/>
    <n v="57"/>
    <s v="S24_1444"/>
    <x v="78"/>
    <s v="86 21 3555"/>
    <s v="Smagsloget 45"/>
    <s v=""/>
    <s v="Aaarhus"/>
    <s v=""/>
    <s v="8200"/>
    <x v="13"/>
    <s v="EMEA"/>
    <s v="Ibsen"/>
    <s v="Palle"/>
    <s v="Palle, Ibsen"/>
    <s v="Small"/>
  </r>
  <r>
    <n v="10324"/>
    <n v="25"/>
    <n v="6916"/>
    <n v="172900"/>
    <n v="172900"/>
    <n v="14"/>
    <s v="11/5/2004 0:00"/>
    <x v="0"/>
    <x v="3"/>
    <x v="5"/>
    <x v="1"/>
    <x v="1"/>
    <n v="57"/>
    <s v="S24_1444"/>
    <x v="11"/>
    <s v="2125551500"/>
    <s v="2678 Kingston Rd."/>
    <s v="Suite 101"/>
    <s v="NYC"/>
    <s v="NY"/>
    <s v="10022"/>
    <x v="0"/>
    <s v="NA"/>
    <s v="Frick"/>
    <s v="Michael"/>
    <s v="Michael, Frick"/>
    <s v="Small"/>
  </r>
  <r>
    <n v="10336"/>
    <n v="45"/>
    <n v="100"/>
    <n v="4500"/>
    <n v="4500"/>
    <n v="4"/>
    <s v="11/20/2004 0:00"/>
    <x v="0"/>
    <x v="3"/>
    <x v="5"/>
    <x v="1"/>
    <x v="1"/>
    <n v="57"/>
    <s v="S24_1444"/>
    <x v="62"/>
    <s v="(1) 42.34.2555"/>
    <s v="265, boulevard Charonne"/>
    <s v=""/>
    <s v="Paris"/>
    <s v=""/>
    <s v="75012"/>
    <x v="1"/>
    <s v="EMEA"/>
    <s v="Bertrand"/>
    <s v="Marie"/>
    <s v="Marie, Bertrand"/>
    <s v="Medium"/>
  </r>
  <r>
    <n v="10349"/>
    <n v="48"/>
    <n v="474"/>
    <n v="22752"/>
    <n v="22752"/>
    <n v="4"/>
    <s v="12/1/2004 0:00"/>
    <x v="0"/>
    <x v="3"/>
    <x v="6"/>
    <x v="1"/>
    <x v="1"/>
    <n v="57"/>
    <s v="S24_1444"/>
    <x v="74"/>
    <s v="2125557413"/>
    <s v="4092 Furth Circle"/>
    <s v="Suite 400"/>
    <s v="NYC"/>
    <s v="NY"/>
    <s v="10022"/>
    <x v="0"/>
    <s v="NA"/>
    <s v="Young"/>
    <s v="Jeff"/>
    <s v="Jeff, Young"/>
    <s v="Small"/>
  </r>
  <r>
    <n v="10358"/>
    <n v="44"/>
    <n v="6076"/>
    <n v="267344"/>
    <n v="267344"/>
    <n v="14"/>
    <s v="12/10/2004 0:00"/>
    <x v="0"/>
    <x v="3"/>
    <x v="6"/>
    <x v="1"/>
    <x v="1"/>
    <n v="57"/>
    <s v="S24_1444"/>
    <x v="23"/>
    <s v="(91) 555 94 44"/>
    <s v="C/ Moralzarzal, 86"/>
    <s v=""/>
    <s v="Madrid"/>
    <s v=""/>
    <s v="28034"/>
    <x v="7"/>
    <s v="EMEA"/>
    <s v="Freyre"/>
    <s v="Diego"/>
    <s v="Diego, Freyre"/>
    <s v="Small"/>
  </r>
  <r>
    <n v="10371"/>
    <n v="25"/>
    <n v="9727"/>
    <n v="243175"/>
    <n v="243175"/>
    <n v="12"/>
    <s v="1/23/2005 0:00"/>
    <x v="0"/>
    <x v="0"/>
    <x v="7"/>
    <x v="2"/>
    <x v="1"/>
    <n v="57"/>
    <s v="S24_1444"/>
    <x v="39"/>
    <s v="4155551450"/>
    <s v="5677 Strong St."/>
    <s v=""/>
    <s v="San Rafael"/>
    <s v="CA"/>
    <s v="97562"/>
    <x v="0"/>
    <s v="NA"/>
    <s v="Nelson"/>
    <s v="Valarie"/>
    <s v="Valarie, Nelson"/>
    <s v="Small"/>
  </r>
  <r>
    <n v="10383"/>
    <n v="22"/>
    <n v="9176"/>
    <n v="201872"/>
    <n v="201872"/>
    <n v="2"/>
    <s v="2/22/2005 0:00"/>
    <x v="0"/>
    <x v="0"/>
    <x v="0"/>
    <x v="2"/>
    <x v="1"/>
    <n v="57"/>
    <s v="S24_1444"/>
    <x v="23"/>
    <s v="(91) 555 94 44"/>
    <s v="C/ Moralzarzal, 86"/>
    <s v=""/>
    <s v="Madrid"/>
    <s v=""/>
    <s v="28034"/>
    <x v="7"/>
    <s v="EMEA"/>
    <s v="Freyre"/>
    <s v="Diego"/>
    <s v="Diego, Freyre"/>
    <s v="Small"/>
  </r>
  <r>
    <n v="10394"/>
    <n v="31"/>
    <n v="5029"/>
    <n v="155899"/>
    <n v="155899"/>
    <n v="2"/>
    <s v="3/15/2005 0:00"/>
    <x v="0"/>
    <x v="0"/>
    <x v="11"/>
    <x v="2"/>
    <x v="1"/>
    <n v="57"/>
    <s v="S24_1444"/>
    <x v="23"/>
    <s v="(91) 555 94 44"/>
    <s v="C/ Moralzarzal, 86"/>
    <s v=""/>
    <s v="Madrid"/>
    <s v=""/>
    <s v="28034"/>
    <x v="7"/>
    <s v="EMEA"/>
    <s v="Freyre"/>
    <s v="Diego"/>
    <s v="Diego, Freyre"/>
    <s v="Small"/>
  </r>
  <r>
    <n v="10412"/>
    <n v="21"/>
    <n v="526"/>
    <n v="11046"/>
    <n v="11046"/>
    <n v="2"/>
    <s v="5/3/2005 0:00"/>
    <x v="0"/>
    <x v="1"/>
    <x v="1"/>
    <x v="2"/>
    <x v="1"/>
    <n v="57"/>
    <s v="S24_1444"/>
    <x v="23"/>
    <s v="(91) 555 94 44"/>
    <s v="C/ Moralzarzal, 86"/>
    <s v=""/>
    <s v="Madrid"/>
    <s v=""/>
    <s v="28034"/>
    <x v="7"/>
    <s v="EMEA"/>
    <s v="Freyre"/>
    <s v="Diego"/>
    <s v="Diego, Freyre"/>
    <s v="Small"/>
  </r>
  <r>
    <n v="10425"/>
    <n v="55"/>
    <n v="4682"/>
    <n v="257510"/>
    <n v="0"/>
    <n v="1"/>
    <s v="5/31/2005 0:00"/>
    <x v="2"/>
    <x v="1"/>
    <x v="1"/>
    <x v="2"/>
    <x v="1"/>
    <n v="57"/>
    <s v="S24_1444"/>
    <x v="14"/>
    <s v="40.67.8555"/>
    <s v="67, rue des Cinquante Otages"/>
    <s v=""/>
    <s v="Nantes"/>
    <s v=""/>
    <s v="44000"/>
    <x v="1"/>
    <s v="EMEA"/>
    <s v="Labrune"/>
    <s v="Janine"/>
    <s v="Janine, Labrune"/>
    <s v="Small"/>
  </r>
  <r>
    <n v="10107"/>
    <n v="25"/>
    <n v="100"/>
    <n v="2500"/>
    <n v="2500"/>
    <n v="3"/>
    <s v="2/24/2003 0:00"/>
    <x v="0"/>
    <x v="0"/>
    <x v="0"/>
    <x v="0"/>
    <x v="0"/>
    <n v="112"/>
    <s v="S24_1578"/>
    <x v="0"/>
    <s v="2125557818"/>
    <s v="897 Long Airport Avenue"/>
    <s v=""/>
    <s v="NYC"/>
    <s v="NY"/>
    <s v="10022"/>
    <x v="0"/>
    <s v="NA"/>
    <s v="Yu"/>
    <s v="Kwai"/>
    <s v="Kwai, Yu"/>
    <s v="Small"/>
  </r>
  <r>
    <n v="10120"/>
    <n v="35"/>
    <n v="9805"/>
    <n v="343175"/>
    <n v="343175"/>
    <n v="1"/>
    <s v="4/29/2003 0:00"/>
    <x v="0"/>
    <x v="1"/>
    <x v="8"/>
    <x v="0"/>
    <x v="0"/>
    <n v="112"/>
    <s v="S24_1578"/>
    <x v="10"/>
    <s v="03 9520 4555"/>
    <s v="636 St Kilda Road"/>
    <s v="Level 3"/>
    <s v="Melbourne"/>
    <s v="Victoria"/>
    <s v="3004"/>
    <x v="3"/>
    <s v="APAC"/>
    <s v="Ferguson"/>
    <s v="Peter"/>
    <s v="Peter, Ferguson"/>
    <s v="Medium"/>
  </r>
  <r>
    <n v="10134"/>
    <n v="35"/>
    <n v="9354"/>
    <n v="327390"/>
    <n v="327390"/>
    <n v="3"/>
    <s v="7/1/2003 0:00"/>
    <x v="0"/>
    <x v="2"/>
    <x v="2"/>
    <x v="0"/>
    <x v="0"/>
    <n v="112"/>
    <s v="S24_1578"/>
    <x v="2"/>
    <s v="+33 1 46 62 7555"/>
    <s v="27 rue du Colonel Pierre Avia"/>
    <s v=""/>
    <s v="Paris"/>
    <s v=""/>
    <s v="75508"/>
    <x v="1"/>
    <s v="EMEA"/>
    <s v="Da Cunha"/>
    <s v="Daniel"/>
    <s v="Daniel, Da Cunha"/>
    <s v="Medium"/>
  </r>
  <r>
    <n v="10145"/>
    <n v="43"/>
    <n v="958"/>
    <n v="41194"/>
    <n v="41194"/>
    <n v="7"/>
    <s v="8/25/2003 0:00"/>
    <x v="0"/>
    <x v="2"/>
    <x v="3"/>
    <x v="0"/>
    <x v="0"/>
    <n v="112"/>
    <s v="S24_1578"/>
    <x v="3"/>
    <s v="6265557265"/>
    <s v="78934 Hillside Dr."/>
    <s v=""/>
    <s v="Pasadena"/>
    <s v="CA"/>
    <s v="90003"/>
    <x v="0"/>
    <s v="NA"/>
    <s v="Young"/>
    <s v="Julie"/>
    <s v="Julie, Young"/>
    <s v="Medium"/>
  </r>
  <r>
    <n v="10159"/>
    <n v="44"/>
    <n v="100"/>
    <n v="4400"/>
    <n v="4400"/>
    <n v="15"/>
    <s v="10/10/2003 0:00"/>
    <x v="0"/>
    <x v="3"/>
    <x v="4"/>
    <x v="0"/>
    <x v="0"/>
    <n v="112"/>
    <s v="S24_1578"/>
    <x v="4"/>
    <s v="6505551386"/>
    <s v="7734 Strong St."/>
    <s v=""/>
    <s v="San Francisco"/>
    <s v="CA"/>
    <s v=""/>
    <x v="0"/>
    <s v="NA"/>
    <s v="Brown"/>
    <s v="Julie"/>
    <s v="Julie, Brown"/>
    <s v="Medium"/>
  </r>
  <r>
    <n v="10168"/>
    <n v="50"/>
    <n v="100"/>
    <n v="5000"/>
    <n v="5000"/>
    <n v="2"/>
    <s v="10/28/2003 0:00"/>
    <x v="0"/>
    <x v="3"/>
    <x v="4"/>
    <x v="0"/>
    <x v="0"/>
    <n v="112"/>
    <s v="S24_1578"/>
    <x v="5"/>
    <s v="6505556809"/>
    <s v="9408 Furth Circle"/>
    <s v=""/>
    <s v="Burlingame"/>
    <s v="CA"/>
    <s v="94217"/>
    <x v="0"/>
    <s v="NA"/>
    <s v="Hirano"/>
    <s v="Juri"/>
    <s v="Juri, Hirano"/>
    <s v="Medium"/>
  </r>
  <r>
    <n v="10180"/>
    <n v="48"/>
    <n v="100"/>
    <n v="4800"/>
    <n v="4800"/>
    <n v="10"/>
    <s v="11/11/2003 0:00"/>
    <x v="0"/>
    <x v="3"/>
    <x v="5"/>
    <x v="0"/>
    <x v="0"/>
    <n v="112"/>
    <s v="S24_1578"/>
    <x v="6"/>
    <s v="20.16.1555"/>
    <s v="184, chausse de Tournai"/>
    <s v=""/>
    <s v="Lille"/>
    <s v=""/>
    <s v="59000"/>
    <x v="1"/>
    <s v="EMEA"/>
    <s v="Rance"/>
    <s v="Martine"/>
    <s v="Martine, Rance"/>
    <s v="Medium"/>
  </r>
  <r>
    <n v="10188"/>
    <n v="25"/>
    <n v="100"/>
    <n v="2500"/>
    <n v="2500"/>
    <n v="2"/>
    <s v="11/18/2003 0:00"/>
    <x v="0"/>
    <x v="3"/>
    <x v="5"/>
    <x v="0"/>
    <x v="0"/>
    <n v="112"/>
    <s v="S24_1578"/>
    <x v="7"/>
    <s v="+47 2267 3215"/>
    <s v="Drammen 121, PR 744 Sentrum"/>
    <s v=""/>
    <s v="Bergen"/>
    <s v=""/>
    <s v="N 5804"/>
    <x v="2"/>
    <s v="EMEA"/>
    <s v="Oeztan"/>
    <s v="Veysel"/>
    <s v="Veysel, Oeztan"/>
    <s v="Small"/>
  </r>
  <r>
    <n v="10201"/>
    <n v="39"/>
    <n v="100"/>
    <n v="3900"/>
    <n v="3900"/>
    <n v="3"/>
    <s v="12/1/2003 0:00"/>
    <x v="0"/>
    <x v="3"/>
    <x v="6"/>
    <x v="0"/>
    <x v="0"/>
    <n v="112"/>
    <s v="S24_1578"/>
    <x v="8"/>
    <s v="6505555787"/>
    <s v="5557 North Pendale Street"/>
    <s v=""/>
    <s v="San Francisco"/>
    <s v="CA"/>
    <s v=""/>
    <x v="0"/>
    <s v="NA"/>
    <s v="Murphy"/>
    <s v="Julie"/>
    <s v="Julie, Murphy"/>
    <s v="Medium"/>
  </r>
  <r>
    <n v="10211"/>
    <n v="25"/>
    <n v="9016"/>
    <n v="225400"/>
    <n v="225400"/>
    <n v="15"/>
    <s v="1/15/2004 0:00"/>
    <x v="0"/>
    <x v="0"/>
    <x v="7"/>
    <x v="1"/>
    <x v="0"/>
    <n v="112"/>
    <s v="S24_1578"/>
    <x v="9"/>
    <s v="(1) 47.55.6555"/>
    <s v="25, rue Lauriston"/>
    <s v=""/>
    <s v="Paris"/>
    <s v=""/>
    <s v="75016"/>
    <x v="1"/>
    <s v="EMEA"/>
    <s v="Perrier"/>
    <s v="Dominique"/>
    <s v="Dominique, Perrier"/>
    <s v="Small"/>
  </r>
  <r>
    <n v="10223"/>
    <n v="32"/>
    <n v="9129"/>
    <n v="292128"/>
    <n v="292128"/>
    <n v="2"/>
    <s v="2/20/2004 0:00"/>
    <x v="0"/>
    <x v="0"/>
    <x v="0"/>
    <x v="1"/>
    <x v="0"/>
    <n v="112"/>
    <s v="S24_1578"/>
    <x v="10"/>
    <s v="03 9520 4555"/>
    <s v="636 St Kilda Road"/>
    <s v="Level 3"/>
    <s v="Melbourne"/>
    <s v="Victoria"/>
    <s v="3004"/>
    <x v="3"/>
    <s v="APAC"/>
    <s v="Ferguson"/>
    <s v="Peter"/>
    <s v="Peter, Ferguson"/>
    <s v="Small"/>
  </r>
  <r>
    <n v="10237"/>
    <n v="20"/>
    <n v="100"/>
    <n v="2000"/>
    <n v="2000"/>
    <n v="8"/>
    <s v="4/5/2004 0:00"/>
    <x v="0"/>
    <x v="1"/>
    <x v="8"/>
    <x v="1"/>
    <x v="0"/>
    <n v="112"/>
    <s v="S24_1578"/>
    <x v="11"/>
    <s v="2125551500"/>
    <s v="2678 Kingston Rd."/>
    <s v="Suite 101"/>
    <s v="NYC"/>
    <s v="NY"/>
    <s v="10022"/>
    <x v="0"/>
    <s v="NA"/>
    <s v="Frick"/>
    <s v="Michael"/>
    <s v="Michael, Frick"/>
    <s v="Small"/>
  </r>
  <r>
    <n v="10251"/>
    <n v="26"/>
    <n v="100"/>
    <n v="2600"/>
    <n v="2600"/>
    <n v="3"/>
    <s v="5/18/2004 0:00"/>
    <x v="0"/>
    <x v="1"/>
    <x v="1"/>
    <x v="1"/>
    <x v="0"/>
    <n v="112"/>
    <s v="S24_1578"/>
    <x v="12"/>
    <s v="2015559350"/>
    <s v="7476 Moss Rd."/>
    <s v=""/>
    <s v="Newark"/>
    <s v="NJ"/>
    <s v="94019"/>
    <x v="0"/>
    <s v="NA"/>
    <s v="Brown"/>
    <s v="William"/>
    <s v="William, Brown"/>
    <s v="Small"/>
  </r>
  <r>
    <n v="10263"/>
    <n v="42"/>
    <n v="100"/>
    <n v="4200"/>
    <n v="4200"/>
    <n v="3"/>
    <s v="6/28/2004 0:00"/>
    <x v="0"/>
    <x v="1"/>
    <x v="9"/>
    <x v="1"/>
    <x v="0"/>
    <n v="112"/>
    <s v="S24_1578"/>
    <x v="13"/>
    <s v="2035552570"/>
    <s v="25593 South Bay Ln."/>
    <s v=""/>
    <s v="Bridgewater"/>
    <s v="CT"/>
    <s v="97562"/>
    <x v="0"/>
    <s v="NA"/>
    <s v="King"/>
    <s v="Julie"/>
    <s v="Julie, King"/>
    <s v="Medium"/>
  </r>
  <r>
    <n v="10275"/>
    <n v="21"/>
    <n v="100"/>
    <n v="2100"/>
    <n v="2100"/>
    <n v="2"/>
    <s v="7/23/2004 0:00"/>
    <x v="0"/>
    <x v="2"/>
    <x v="2"/>
    <x v="1"/>
    <x v="0"/>
    <n v="112"/>
    <s v="S24_1578"/>
    <x v="14"/>
    <s v="40.67.8555"/>
    <s v="67, rue des Cinquante Otages"/>
    <s v=""/>
    <s v="Nantes"/>
    <s v=""/>
    <s v="44000"/>
    <x v="1"/>
    <s v="EMEA"/>
    <s v="Labrune"/>
    <s v="Janine"/>
    <s v="Janine, Labrune"/>
    <s v="Small"/>
  </r>
  <r>
    <n v="10285"/>
    <n v="34"/>
    <n v="100"/>
    <n v="3400"/>
    <n v="3400"/>
    <n v="7"/>
    <s v="8/27/2004 0:00"/>
    <x v="0"/>
    <x v="2"/>
    <x v="3"/>
    <x v="1"/>
    <x v="0"/>
    <n v="112"/>
    <s v="S24_1578"/>
    <x v="15"/>
    <s v="6175558555"/>
    <s v="39323 Spinnaker Dr."/>
    <s v=""/>
    <s v="Cambridge"/>
    <s v="MA"/>
    <s v="51247"/>
    <x v="0"/>
    <s v="NA"/>
    <s v="Hernandez"/>
    <s v="Marta"/>
    <s v="Marta, Hernandez"/>
    <s v="Medium"/>
  </r>
  <r>
    <n v="10299"/>
    <n v="47"/>
    <n v="100"/>
    <n v="4700"/>
    <n v="4700"/>
    <n v="10"/>
    <s v="9/30/2004 0:00"/>
    <x v="0"/>
    <x v="2"/>
    <x v="10"/>
    <x v="1"/>
    <x v="0"/>
    <n v="112"/>
    <s v="S24_1578"/>
    <x v="16"/>
    <s v="90-224 8555"/>
    <s v="Keskuskatu 45"/>
    <s v=""/>
    <s v="Helsinki"/>
    <s v=""/>
    <s v="21240"/>
    <x v="4"/>
    <s v="EMEA"/>
    <s v="Karttunen"/>
    <s v="Matti"/>
    <s v="Matti, Karttunen"/>
    <s v="Medium"/>
  </r>
  <r>
    <n v="10309"/>
    <n v="21"/>
    <n v="100"/>
    <n v="2100"/>
    <n v="2100"/>
    <n v="6"/>
    <s v="10/15/2004 0:00"/>
    <x v="0"/>
    <x v="3"/>
    <x v="4"/>
    <x v="1"/>
    <x v="0"/>
    <n v="112"/>
    <s v="S24_1578"/>
    <x v="17"/>
    <s v="07-98 9555"/>
    <s v="Erling Skakkes gate 78"/>
    <s v=""/>
    <s v="Stavern"/>
    <s v=""/>
    <s v="4110"/>
    <x v="2"/>
    <s v="EMEA"/>
    <s v="Bergulfsen"/>
    <s v="Jonas"/>
    <s v="Jonas, Bergulfsen"/>
    <s v="Small"/>
  </r>
  <r>
    <n v="10318"/>
    <n v="48"/>
    <n v="100"/>
    <n v="4800"/>
    <n v="4800"/>
    <n v="2"/>
    <s v="11/2/2004 0:00"/>
    <x v="0"/>
    <x v="3"/>
    <x v="5"/>
    <x v="1"/>
    <x v="0"/>
    <n v="112"/>
    <s v="S24_1578"/>
    <x v="18"/>
    <s v="2155551555"/>
    <s v="7586 Pompton St."/>
    <s v=""/>
    <s v="Allentown"/>
    <s v="PA"/>
    <s v="70267"/>
    <x v="0"/>
    <s v="NA"/>
    <s v="Yu"/>
    <s v="Kyung"/>
    <s v="Kyung, Yu"/>
    <s v="Medium"/>
  </r>
  <r>
    <n v="10329"/>
    <n v="30"/>
    <n v="8778"/>
    <n v="263340"/>
    <n v="263340"/>
    <n v="7"/>
    <s v="11/15/2004 0:00"/>
    <x v="0"/>
    <x v="3"/>
    <x v="5"/>
    <x v="1"/>
    <x v="0"/>
    <n v="112"/>
    <s v="S24_1578"/>
    <x v="0"/>
    <s v="2125557818"/>
    <s v="897 Long Airport Avenue"/>
    <s v=""/>
    <s v="NYC"/>
    <s v="NY"/>
    <s v="10022"/>
    <x v="0"/>
    <s v="NA"/>
    <s v="Yu"/>
    <s v="Kwai"/>
    <s v="Kwai, Yu"/>
    <s v="Small"/>
  </r>
  <r>
    <n v="10339"/>
    <n v="27"/>
    <n v="8439"/>
    <n v="227853"/>
    <n v="227853"/>
    <n v="10"/>
    <s v="11/23/2004 0:00"/>
    <x v="0"/>
    <x v="3"/>
    <x v="5"/>
    <x v="1"/>
    <x v="0"/>
    <n v="112"/>
    <s v="S24_1578"/>
    <x v="35"/>
    <s v="+81 3 3584 0555"/>
    <s v="2-2-8 Roppongi"/>
    <s v=""/>
    <s v="Minato-ku"/>
    <s v="Tokyo"/>
    <s v="106-0032"/>
    <x v="11"/>
    <s v="Japan"/>
    <s v="Shimamura"/>
    <s v="Akiko"/>
    <s v="Akiko, Shimamura"/>
    <s v="Small"/>
  </r>
  <r>
    <n v="10362"/>
    <n v="50"/>
    <n v="9692"/>
    <n v="484600"/>
    <n v="484600"/>
    <n v="2"/>
    <s v="1/5/2005 0:00"/>
    <x v="0"/>
    <x v="0"/>
    <x v="7"/>
    <x v="2"/>
    <x v="0"/>
    <n v="112"/>
    <s v="S24_1578"/>
    <x v="5"/>
    <s v="6505556809"/>
    <s v="9408 Furth Circle"/>
    <s v=""/>
    <s v="Burlingame"/>
    <s v="CA"/>
    <s v="94217"/>
    <x v="0"/>
    <s v="NA"/>
    <s v="Hirano"/>
    <s v="Juri"/>
    <s v="Juri, Hirano"/>
    <s v="Medium"/>
  </r>
  <r>
    <n v="10374"/>
    <n v="38"/>
    <n v="100"/>
    <n v="3800"/>
    <n v="3800"/>
    <n v="6"/>
    <s v="2/2/2005 0:00"/>
    <x v="0"/>
    <x v="0"/>
    <x v="0"/>
    <x v="2"/>
    <x v="0"/>
    <n v="112"/>
    <s v="S24_1578"/>
    <x v="28"/>
    <s v="61-7-3844-6555"/>
    <s v="31 Duncan St. West End"/>
    <s v=""/>
    <s v="South Brisbane"/>
    <s v="Queensland"/>
    <s v="4101"/>
    <x v="3"/>
    <s v="APAC"/>
    <s v="Calaghan"/>
    <s v="Tony"/>
    <s v="Tony, Calaghan"/>
    <s v="Medium"/>
  </r>
  <r>
    <n v="10389"/>
    <n v="45"/>
    <n v="100"/>
    <n v="4500"/>
    <n v="4500"/>
    <n v="1"/>
    <s v="3/3/2005 0:00"/>
    <x v="0"/>
    <x v="0"/>
    <x v="11"/>
    <x v="2"/>
    <x v="0"/>
    <n v="112"/>
    <s v="S24_1578"/>
    <x v="37"/>
    <s v="0695-34 6555"/>
    <s v="?kergatan 24"/>
    <s v=""/>
    <s v="Boras"/>
    <s v=""/>
    <s v="S-844 67"/>
    <x v="8"/>
    <s v="EMEA"/>
    <s v="Larsson"/>
    <s v="Maria"/>
    <s v="Maria, Larsson"/>
    <s v="Medium"/>
  </r>
  <r>
    <n v="10403"/>
    <n v="46"/>
    <n v="100"/>
    <n v="4600"/>
    <n v="4600"/>
    <n v="8"/>
    <s v="4/8/2005 0:00"/>
    <x v="0"/>
    <x v="1"/>
    <x v="8"/>
    <x v="2"/>
    <x v="0"/>
    <n v="112"/>
    <s v="S24_1578"/>
    <x v="22"/>
    <s v="(171) 555-2282"/>
    <s v="Berkeley Gardens 12  Brewery"/>
    <s v=""/>
    <s v="Liverpool"/>
    <s v=""/>
    <s v="WX1 6LT"/>
    <x v="6"/>
    <s v="EMEA"/>
    <s v="Devon"/>
    <s v="Elizabeth"/>
    <s v="Elizabeth, Devon"/>
    <s v="Medium"/>
  </r>
  <r>
    <n v="10417"/>
    <n v="35"/>
    <n v="100"/>
    <n v="3500"/>
    <n v="0"/>
    <n v="3"/>
    <s v="5/13/2005 0:00"/>
    <x v="1"/>
    <x v="1"/>
    <x v="1"/>
    <x v="2"/>
    <x v="0"/>
    <n v="112"/>
    <s v="S24_1578"/>
    <x v="23"/>
    <s v="(91) 555 94 44"/>
    <s v="C/ Moralzarzal, 86"/>
    <s v=""/>
    <s v="Madrid"/>
    <s v=""/>
    <s v="28034"/>
    <x v="7"/>
    <s v="EMEA"/>
    <s v="Freyre"/>
    <s v="Diego"/>
    <s v="Diego, Freyre"/>
    <s v="Medium"/>
  </r>
  <r>
    <n v="10110"/>
    <n v="29"/>
    <n v="5937"/>
    <n v="172173"/>
    <n v="172173"/>
    <n v="15"/>
    <s v="3/18/2003 0:00"/>
    <x v="0"/>
    <x v="0"/>
    <x v="11"/>
    <x v="0"/>
    <x v="1"/>
    <n v="50"/>
    <s v="S24_1628"/>
    <x v="77"/>
    <s v="(171) 555-1555"/>
    <s v="Fauntleroy Circus"/>
    <s v=""/>
    <s v="Manchester"/>
    <s v=""/>
    <s v="EC2 5NT"/>
    <x v="6"/>
    <s v="EMEA"/>
    <s v="Ashworth"/>
    <s v="Victoria"/>
    <s v="Victoria, Ashworth"/>
    <s v="Small"/>
  </r>
  <r>
    <n v="10123"/>
    <n v="50"/>
    <n v="5987"/>
    <n v="299350"/>
    <n v="299350"/>
    <n v="1"/>
    <s v="5/20/2003 0:00"/>
    <x v="0"/>
    <x v="1"/>
    <x v="1"/>
    <x v="0"/>
    <x v="1"/>
    <n v="50"/>
    <s v="S24_1628"/>
    <x v="46"/>
    <s v="40.32.2555"/>
    <s v="54, rue Royale"/>
    <s v=""/>
    <s v="Nantes"/>
    <s v=""/>
    <s v="44000"/>
    <x v="1"/>
    <s v="EMEA"/>
    <s v="Schmitt"/>
    <s v="Carine"/>
    <s v="Carine, Schmitt"/>
    <s v="Small"/>
  </r>
  <r>
    <n v="10137"/>
    <n v="26"/>
    <n v="4981"/>
    <n v="129506"/>
    <n v="129506"/>
    <n v="1"/>
    <s v="7/10/2003 0:00"/>
    <x v="0"/>
    <x v="2"/>
    <x v="2"/>
    <x v="0"/>
    <x v="1"/>
    <n v="50"/>
    <s v="S24_1628"/>
    <x v="1"/>
    <s v="26.47.1555"/>
    <s v="59 rue de l'Abbaye"/>
    <s v=""/>
    <s v="Reims"/>
    <s v=""/>
    <s v="51100"/>
    <x v="1"/>
    <s v="EMEA"/>
    <s v="Henriot"/>
    <s v="Paul"/>
    <s v="Paul, Henriot"/>
    <s v="Small"/>
  </r>
  <r>
    <n v="10148"/>
    <n v="47"/>
    <n v="5685"/>
    <n v="267195"/>
    <n v="267195"/>
    <n v="8"/>
    <s v="9/11/2003 0:00"/>
    <x v="0"/>
    <x v="2"/>
    <x v="10"/>
    <x v="0"/>
    <x v="1"/>
    <n v="50"/>
    <s v="S24_1628"/>
    <x v="42"/>
    <s v="02 9936 8555"/>
    <s v="201 Miller Street"/>
    <s v="Level 15"/>
    <s v="North Sydney"/>
    <s v="NSW"/>
    <s v="2060"/>
    <x v="3"/>
    <s v="APAC"/>
    <s v="O'Hara"/>
    <s v="Anna"/>
    <s v="Anna, O'Hara"/>
    <s v="Small"/>
  </r>
  <r>
    <n v="10161"/>
    <n v="23"/>
    <n v="5333"/>
    <n v="122659"/>
    <n v="122659"/>
    <n v="7"/>
    <s v="10/17/2003 0:00"/>
    <x v="0"/>
    <x v="3"/>
    <x v="4"/>
    <x v="0"/>
    <x v="1"/>
    <n v="50"/>
    <s v="S24_1628"/>
    <x v="78"/>
    <s v="86 21 3555"/>
    <s v="Smagsloget 45"/>
    <s v=""/>
    <s v="Aaarhus"/>
    <s v=""/>
    <s v="8200"/>
    <x v="13"/>
    <s v="EMEA"/>
    <s v="Ibsen"/>
    <s v="Palle"/>
    <s v="Palle, Ibsen"/>
    <s v="Small"/>
  </r>
  <r>
    <n v="10172"/>
    <n v="34"/>
    <n v="4276"/>
    <n v="145384"/>
    <n v="145384"/>
    <n v="5"/>
    <s v="11/5/2003 0:00"/>
    <x v="0"/>
    <x v="3"/>
    <x v="5"/>
    <x v="0"/>
    <x v="1"/>
    <n v="50"/>
    <s v="S24_1628"/>
    <x v="13"/>
    <s v="2035552570"/>
    <s v="25593 South Bay Ln."/>
    <s v=""/>
    <s v="Bridgewater"/>
    <s v="CT"/>
    <s v="97562"/>
    <x v="0"/>
    <s v="NA"/>
    <s v="King"/>
    <s v="Julie"/>
    <s v="Julie, King"/>
    <s v="Small"/>
  </r>
  <r>
    <n v="10181"/>
    <n v="34"/>
    <n v="5383"/>
    <n v="183022"/>
    <n v="183022"/>
    <n v="1"/>
    <s v="11/12/2003 0:00"/>
    <x v="0"/>
    <x v="3"/>
    <x v="5"/>
    <x v="0"/>
    <x v="1"/>
    <n v="50"/>
    <s v="S24_1628"/>
    <x v="7"/>
    <s v="+47 2267 3215"/>
    <s v="Drammen 121, PR 744 Sentrum"/>
    <s v=""/>
    <s v="Bergen"/>
    <s v=""/>
    <s v="N 5804"/>
    <x v="2"/>
    <s v="EMEA"/>
    <s v="Oeztan"/>
    <s v="Veysel"/>
    <s v="Veysel, Oeztan"/>
    <s v="Small"/>
  </r>
  <r>
    <n v="10192"/>
    <n v="47"/>
    <n v="5383"/>
    <n v="253001"/>
    <n v="253001"/>
    <n v="6"/>
    <s v="11/20/2003 0:00"/>
    <x v="0"/>
    <x v="3"/>
    <x v="5"/>
    <x v="0"/>
    <x v="1"/>
    <n v="50"/>
    <s v="S24_1628"/>
    <x v="40"/>
    <s v="6035558647"/>
    <s v="2304 Long Airport Avenue"/>
    <s v=""/>
    <s v="Nashua"/>
    <s v="NH"/>
    <s v="62005"/>
    <x v="0"/>
    <s v="NA"/>
    <s v="Young"/>
    <s v="Valarie"/>
    <s v="Valarie, Young"/>
    <s v="Small"/>
  </r>
  <r>
    <n v="10204"/>
    <n v="45"/>
    <n v="4981"/>
    <n v="224145"/>
    <n v="224145"/>
    <n v="12"/>
    <s v="12/2/2003 0:00"/>
    <x v="0"/>
    <x v="3"/>
    <x v="6"/>
    <x v="0"/>
    <x v="1"/>
    <n v="50"/>
    <s v="S24_1628"/>
    <x v="74"/>
    <s v="2125557413"/>
    <s v="4092 Furth Circle"/>
    <s v="Suite 400"/>
    <s v="NYC"/>
    <s v="NY"/>
    <s v="10022"/>
    <x v="0"/>
    <s v="NA"/>
    <s v="Young"/>
    <s v="Jeff"/>
    <s v="Jeff, Young"/>
    <s v="Small"/>
  </r>
  <r>
    <n v="10212"/>
    <n v="45"/>
    <n v="5333"/>
    <n v="239985"/>
    <n v="239985"/>
    <n v="5"/>
    <s v="1/16/2004 0:00"/>
    <x v="0"/>
    <x v="0"/>
    <x v="7"/>
    <x v="1"/>
    <x v="1"/>
    <n v="50"/>
    <s v="S24_1628"/>
    <x v="23"/>
    <s v="(91) 555 94 44"/>
    <s v="C/ Moralzarzal, 86"/>
    <s v=""/>
    <s v="Madrid"/>
    <s v=""/>
    <s v="28034"/>
    <x v="7"/>
    <s v="EMEA"/>
    <s v="Freyre"/>
    <s v="Diego"/>
    <s v="Diego, Freyre"/>
    <s v="Small"/>
  </r>
  <r>
    <n v="10226"/>
    <n v="36"/>
    <n v="4327"/>
    <n v="155772"/>
    <n v="155772"/>
    <n v="3"/>
    <s v="2/26/2004 0:00"/>
    <x v="0"/>
    <x v="0"/>
    <x v="0"/>
    <x v="1"/>
    <x v="1"/>
    <n v="50"/>
    <s v="S24_1628"/>
    <x v="55"/>
    <s v="7605558146"/>
    <s v="361 Furth Circle"/>
    <s v=""/>
    <s v="San Diego"/>
    <s v="CA"/>
    <s v="91217"/>
    <x v="0"/>
    <s v="NA"/>
    <s v="Thompson"/>
    <s v="Valarie"/>
    <s v="Valarie, Thompson"/>
    <s v="Small"/>
  </r>
  <r>
    <n v="10241"/>
    <n v="21"/>
    <n v="4025"/>
    <n v="84525"/>
    <n v="84525"/>
    <n v="10"/>
    <s v="4/13/2004 0:00"/>
    <x v="0"/>
    <x v="1"/>
    <x v="8"/>
    <x v="1"/>
    <x v="1"/>
    <n v="50"/>
    <s v="S24_1628"/>
    <x v="83"/>
    <s v="88.60.1555"/>
    <s v="24, place Kluber"/>
    <s v=""/>
    <s v="Strasbourg"/>
    <s v=""/>
    <s v="67000"/>
    <x v="1"/>
    <s v="EMEA"/>
    <s v="Citeaux"/>
    <s v="Frederique"/>
    <s v="Frederique, Citeaux"/>
    <s v="Small"/>
  </r>
  <r>
    <n v="10266"/>
    <n v="28"/>
    <n v="483"/>
    <n v="13524"/>
    <n v="13524"/>
    <n v="1"/>
    <s v="7/6/2004 0:00"/>
    <x v="0"/>
    <x v="2"/>
    <x v="2"/>
    <x v="1"/>
    <x v="1"/>
    <n v="50"/>
    <s v="S24_1628"/>
    <x v="70"/>
    <s v="0522-556555"/>
    <s v="Strada Provinciale 124"/>
    <s v=""/>
    <s v="Reggio Emilia"/>
    <s v=""/>
    <s v="42100"/>
    <x v="12"/>
    <s v="EMEA"/>
    <s v="Moroni"/>
    <s v="Maurizio"/>
    <s v="Maurizio, Moroni"/>
    <s v="Small"/>
  </r>
  <r>
    <n v="10278"/>
    <n v="35"/>
    <n v="4528"/>
    <n v="158480"/>
    <n v="158480"/>
    <n v="1"/>
    <s v="8/6/2004 0:00"/>
    <x v="0"/>
    <x v="2"/>
    <x v="3"/>
    <x v="1"/>
    <x v="1"/>
    <n v="50"/>
    <s v="S24_1628"/>
    <x v="84"/>
    <s v="7025551838"/>
    <s v="8489 Strong St."/>
    <s v=""/>
    <s v="Las Vegas"/>
    <s v="NV"/>
    <s v="83030"/>
    <x v="0"/>
    <s v="NA"/>
    <s v="King"/>
    <s v="Sue"/>
    <s v="Sue, King"/>
    <s v="Small"/>
  </r>
  <r>
    <n v="10288"/>
    <n v="50"/>
    <n v="5232"/>
    <n v="261600"/>
    <n v="261600"/>
    <n v="13"/>
    <s v="9/1/2004 0:00"/>
    <x v="0"/>
    <x v="2"/>
    <x v="10"/>
    <x v="1"/>
    <x v="1"/>
    <n v="50"/>
    <s v="S24_1628"/>
    <x v="65"/>
    <s v="+65 224 1555"/>
    <s v="Village Close - 106 Linden Road Sandown"/>
    <s v="2nd Floor"/>
    <s v="Singapore"/>
    <s v=""/>
    <s v="69045"/>
    <x v="9"/>
    <s v="APAC"/>
    <s v="Victorino"/>
    <s v="Wendy"/>
    <s v="Wendy, Victorino"/>
    <s v="Small"/>
  </r>
  <r>
    <n v="10301"/>
    <n v="22"/>
    <n v="5132"/>
    <n v="112904"/>
    <n v="112904"/>
    <n v="3"/>
    <s v="10/5/2003 0:00"/>
    <x v="0"/>
    <x v="3"/>
    <x v="4"/>
    <x v="0"/>
    <x v="1"/>
    <n v="50"/>
    <s v="S24_1628"/>
    <x v="85"/>
    <s v="+47 2212 1555"/>
    <s v="Drammensveien 126 A, PB 744 Sentrum"/>
    <s v=""/>
    <s v="Oslo"/>
    <s v=""/>
    <s v="N 0106"/>
    <x v="2"/>
    <s v="EMEA"/>
    <s v="Klaeboe"/>
    <s v="Jan"/>
    <s v="Jan, Klaeboe"/>
    <s v="Small"/>
  </r>
  <r>
    <n v="10311"/>
    <n v="45"/>
    <n v="493"/>
    <n v="22185"/>
    <n v="22185"/>
    <n v="8"/>
    <s v="10/16/2004 0:00"/>
    <x v="0"/>
    <x v="3"/>
    <x v="4"/>
    <x v="1"/>
    <x v="1"/>
    <n v="50"/>
    <s v="S24_1628"/>
    <x v="23"/>
    <s v="(91) 555 94 44"/>
    <s v="C/ Moralzarzal, 86"/>
    <s v=""/>
    <s v="Madrid"/>
    <s v=""/>
    <s v="28034"/>
    <x v="7"/>
    <s v="EMEA"/>
    <s v="Freyre"/>
    <s v="Diego"/>
    <s v="Diego, Freyre"/>
    <s v="Small"/>
  </r>
  <r>
    <n v="10321"/>
    <n v="48"/>
    <n v="4226"/>
    <n v="202848"/>
    <n v="202848"/>
    <n v="5"/>
    <s v="11/4/2004 0:00"/>
    <x v="0"/>
    <x v="3"/>
    <x v="5"/>
    <x v="1"/>
    <x v="1"/>
    <n v="50"/>
    <s v="S24_1628"/>
    <x v="21"/>
    <s v="5085552555"/>
    <s v="1785 First Street"/>
    <s v=""/>
    <s v="New Bedford"/>
    <s v="MA"/>
    <s v="50553"/>
    <x v="0"/>
    <s v="NA"/>
    <s v="Benitez"/>
    <s v="Violeta"/>
    <s v="Violeta, Benitez"/>
    <s v="Small"/>
  </r>
  <r>
    <n v="10332"/>
    <n v="20"/>
    <n v="8796"/>
    <n v="175920"/>
    <n v="175920"/>
    <n v="5"/>
    <s v="11/17/2004 0:00"/>
    <x v="0"/>
    <x v="3"/>
    <x v="5"/>
    <x v="1"/>
    <x v="1"/>
    <n v="50"/>
    <s v="S24_1628"/>
    <x v="77"/>
    <s v="(171) 555-1555"/>
    <s v="Fauntleroy Circus"/>
    <s v=""/>
    <s v="Manchester"/>
    <s v=""/>
    <s v="EC2 5NT"/>
    <x v="6"/>
    <s v="EMEA"/>
    <s v="Ashworth"/>
    <s v="Victoria"/>
    <s v="Victoria, Ashworth"/>
    <s v="Small"/>
  </r>
  <r>
    <n v="10343"/>
    <n v="27"/>
    <n v="3621"/>
    <n v="97767"/>
    <n v="97767"/>
    <n v="6"/>
    <s v="11/24/2004 0:00"/>
    <x v="0"/>
    <x v="3"/>
    <x v="5"/>
    <x v="1"/>
    <x v="1"/>
    <n v="50"/>
    <s v="S24_1628"/>
    <x v="1"/>
    <s v="26.47.1555"/>
    <s v="59 rue de l'Abbaye"/>
    <s v=""/>
    <s v="Reims"/>
    <s v=""/>
    <s v="51100"/>
    <x v="1"/>
    <s v="EMEA"/>
    <s v="Henriot"/>
    <s v="Paul"/>
    <s v="Paul, Henriot"/>
    <s v="Small"/>
  </r>
  <r>
    <n v="10367"/>
    <n v="38"/>
    <n v="385"/>
    <n v="14630"/>
    <n v="14630"/>
    <n v="11"/>
    <s v="1/12/2005 0:00"/>
    <x v="5"/>
    <x v="0"/>
    <x v="7"/>
    <x v="2"/>
    <x v="1"/>
    <n v="50"/>
    <s v="S24_1628"/>
    <x v="3"/>
    <s v="6265557265"/>
    <s v="78934 Hillside Dr."/>
    <s v=""/>
    <s v="Pasadena"/>
    <s v="CA"/>
    <s v="90003"/>
    <x v="0"/>
    <s v="NA"/>
    <s v="Young"/>
    <s v="Julie"/>
    <s v="Julie, Young"/>
    <s v="Small"/>
  </r>
  <r>
    <n v="10379"/>
    <n v="32"/>
    <n v="100"/>
    <n v="3200"/>
    <n v="3200"/>
    <n v="3"/>
    <s v="2/10/2005 0:00"/>
    <x v="0"/>
    <x v="0"/>
    <x v="0"/>
    <x v="2"/>
    <x v="1"/>
    <n v="50"/>
    <s v="S24_1628"/>
    <x v="23"/>
    <s v="(91) 555 94 44"/>
    <s v="C/ Moralzarzal, 86"/>
    <s v=""/>
    <s v="Madrid"/>
    <s v=""/>
    <s v="28034"/>
    <x v="7"/>
    <s v="EMEA"/>
    <s v="Freyre"/>
    <s v="Diego"/>
    <s v="Diego, Freyre"/>
    <s v="Medium"/>
  </r>
  <r>
    <n v="10407"/>
    <n v="64"/>
    <n v="4025"/>
    <n v="257600"/>
    <n v="0"/>
    <n v="10"/>
    <s v="4/22/2005 0:00"/>
    <x v="4"/>
    <x v="1"/>
    <x v="8"/>
    <x v="2"/>
    <x v="1"/>
    <n v="50"/>
    <s v="S24_1628"/>
    <x v="61"/>
    <s v="4085553659"/>
    <s v="3086 Ingle Ln."/>
    <s v=""/>
    <s v="San Jose"/>
    <s v="CA"/>
    <s v="94217"/>
    <x v="0"/>
    <s v="NA"/>
    <s v="Frick"/>
    <s v="Sue"/>
    <s v="Sue, Frick"/>
    <s v="Small"/>
  </r>
  <r>
    <n v="10420"/>
    <n v="37"/>
    <n v="6037"/>
    <n v="223369"/>
    <n v="0"/>
    <n v="13"/>
    <s v="5/29/2005 0:00"/>
    <x v="2"/>
    <x v="1"/>
    <x v="1"/>
    <x v="2"/>
    <x v="1"/>
    <n v="50"/>
    <s v="S24_1628"/>
    <x v="20"/>
    <s v="+61 2 9495 8555"/>
    <s v="Monitor Money Building, 815 Pacific Hwy"/>
    <s v="Level 6"/>
    <s v="Chatswood"/>
    <s v="NSW"/>
    <s v="2067"/>
    <x v="3"/>
    <s v="APAC"/>
    <s v="Huxley"/>
    <s v="Adrian"/>
    <s v="Adrian, Huxley"/>
    <s v="Small"/>
  </r>
  <r>
    <n v="10106"/>
    <n v="28"/>
    <n v="8863"/>
    <n v="248164"/>
    <n v="248164"/>
    <n v="4"/>
    <s v="2/17/2003 0:00"/>
    <x v="0"/>
    <x v="0"/>
    <x v="0"/>
    <x v="0"/>
    <x v="4"/>
    <n v="109"/>
    <s v="S24_1785"/>
    <x v="86"/>
    <s v="035-640555"/>
    <s v="Via Ludovico il Moro 22"/>
    <s v=""/>
    <s v="Bergamo"/>
    <s v=""/>
    <s v="24100"/>
    <x v="12"/>
    <s v="EMEA"/>
    <s v="Rovelli"/>
    <s v="Giovanni"/>
    <s v="Giovanni, Rovelli"/>
    <s v="Small"/>
  </r>
  <r>
    <n v="10120"/>
    <n v="39"/>
    <n v="100"/>
    <n v="3900"/>
    <n v="3900"/>
    <n v="10"/>
    <s v="4/29/2003 0:00"/>
    <x v="0"/>
    <x v="1"/>
    <x v="8"/>
    <x v="0"/>
    <x v="4"/>
    <n v="109"/>
    <s v="S24_1785"/>
    <x v="10"/>
    <s v="03 9520 4555"/>
    <s v="636 St Kilda Road"/>
    <s v="Level 3"/>
    <s v="Melbourne"/>
    <s v="Victoria"/>
    <s v="3004"/>
    <x v="3"/>
    <s v="APAC"/>
    <s v="Ferguson"/>
    <s v="Peter"/>
    <s v="Peter, Ferguson"/>
    <s v="Medium"/>
  </r>
  <r>
    <n v="10133"/>
    <n v="41"/>
    <n v="941"/>
    <n v="38581"/>
    <n v="38581"/>
    <n v="5"/>
    <s v="6/27/2003 0:00"/>
    <x v="0"/>
    <x v="1"/>
    <x v="9"/>
    <x v="0"/>
    <x v="4"/>
    <n v="109"/>
    <s v="S24_1785"/>
    <x v="23"/>
    <s v="(91) 555 94 44"/>
    <s v="C/ Moralzarzal, 86"/>
    <s v=""/>
    <s v="Madrid"/>
    <s v=""/>
    <s v="28034"/>
    <x v="7"/>
    <s v="EMEA"/>
    <s v="Freyre"/>
    <s v="Diego"/>
    <s v="Diego, Freyre"/>
    <s v="Medium"/>
  </r>
  <r>
    <n v="10145"/>
    <n v="40"/>
    <n v="8754"/>
    <n v="350160"/>
    <n v="350160"/>
    <n v="16"/>
    <s v="8/25/2003 0:00"/>
    <x v="0"/>
    <x v="2"/>
    <x v="3"/>
    <x v="0"/>
    <x v="4"/>
    <n v="109"/>
    <s v="S24_1785"/>
    <x v="3"/>
    <s v="6265557265"/>
    <s v="78934 Hillside Dr."/>
    <s v=""/>
    <s v="Pasadena"/>
    <s v="CA"/>
    <s v="90003"/>
    <x v="0"/>
    <s v="NA"/>
    <s v="Young"/>
    <s v="Julie"/>
    <s v="Julie, Young"/>
    <s v="Medium"/>
  </r>
  <r>
    <n v="10168"/>
    <n v="49"/>
    <n v="100"/>
    <n v="4900"/>
    <n v="4900"/>
    <n v="11"/>
    <s v="10/28/2003 0:00"/>
    <x v="0"/>
    <x v="3"/>
    <x v="4"/>
    <x v="0"/>
    <x v="4"/>
    <n v="109"/>
    <s v="S24_1785"/>
    <x v="5"/>
    <s v="6505556809"/>
    <s v="9408 Furth Circle"/>
    <s v=""/>
    <s v="Burlingame"/>
    <s v="CA"/>
    <s v="94217"/>
    <x v="0"/>
    <s v="NA"/>
    <s v="Hirano"/>
    <s v="Juri"/>
    <s v="Juri, Hirano"/>
    <s v="Medium"/>
  </r>
  <r>
    <n v="10210"/>
    <n v="27"/>
    <n v="9848"/>
    <n v="265896"/>
    <n v="265896"/>
    <n v="9"/>
    <s v="1/12/2004 0:00"/>
    <x v="0"/>
    <x v="0"/>
    <x v="7"/>
    <x v="1"/>
    <x v="4"/>
    <n v="109"/>
    <s v="S24_1785"/>
    <x v="44"/>
    <s v="+81 06 6342 5555"/>
    <s v="Dojima Avanza 4F, 1-6-20 Dojima, Kita-ku"/>
    <s v=""/>
    <s v="Osaka"/>
    <s v="Osaka"/>
    <s v="530-0003"/>
    <x v="11"/>
    <s v="Japan"/>
    <s v="Kentary"/>
    <s v="Mory"/>
    <s v="Mory, Kentary"/>
    <s v="Small"/>
  </r>
  <r>
    <n v="10223"/>
    <n v="34"/>
    <n v="100"/>
    <n v="3400"/>
    <n v="3400"/>
    <n v="11"/>
    <s v="2/20/2004 0:00"/>
    <x v="0"/>
    <x v="0"/>
    <x v="0"/>
    <x v="1"/>
    <x v="4"/>
    <n v="109"/>
    <s v="S24_1785"/>
    <x v="10"/>
    <s v="03 9520 4555"/>
    <s v="636 St Kilda Road"/>
    <s v="Level 3"/>
    <s v="Melbourne"/>
    <s v="Victoria"/>
    <s v="3004"/>
    <x v="3"/>
    <s v="APAC"/>
    <s v="Ferguson"/>
    <s v="Peter"/>
    <s v="Peter, Ferguson"/>
    <s v="Medium"/>
  </r>
  <r>
    <n v="10235"/>
    <n v="23"/>
    <n v="9629"/>
    <n v="221467"/>
    <n v="221467"/>
    <n v="5"/>
    <s v="4/2/2004 0:00"/>
    <x v="0"/>
    <x v="1"/>
    <x v="8"/>
    <x v="1"/>
    <x v="4"/>
    <n v="109"/>
    <s v="S24_1785"/>
    <x v="57"/>
    <s v="(604) 555-4555"/>
    <s v="23 Tsawassen Blvd."/>
    <s v=""/>
    <s v="Tsawassen"/>
    <s v="BC"/>
    <s v="T2F 8M4"/>
    <x v="10"/>
    <s v="NA"/>
    <s v="Lincoln"/>
    <s v="Elizabeth"/>
    <s v="Elizabeth, Lincoln"/>
    <s v="Small"/>
  </r>
  <r>
    <n v="10250"/>
    <n v="31"/>
    <n v="8863"/>
    <n v="274753"/>
    <n v="274753"/>
    <n v="6"/>
    <s v="5/11/2004 0:00"/>
    <x v="0"/>
    <x v="1"/>
    <x v="1"/>
    <x v="1"/>
    <x v="4"/>
    <n v="109"/>
    <s v="S24_1785"/>
    <x v="61"/>
    <s v="4085553659"/>
    <s v="3086 Ingle Ln."/>
    <s v=""/>
    <s v="San Jose"/>
    <s v="CA"/>
    <s v="94217"/>
    <x v="0"/>
    <s v="NA"/>
    <s v="Frick"/>
    <s v="Sue"/>
    <s v="Sue, Frick"/>
    <s v="Small"/>
  </r>
  <r>
    <n v="10262"/>
    <n v="34"/>
    <n v="9738"/>
    <n v="331092"/>
    <n v="0"/>
    <n v="1"/>
    <s v="6/24/2004 0:00"/>
    <x v="3"/>
    <x v="1"/>
    <x v="9"/>
    <x v="1"/>
    <x v="4"/>
    <n v="109"/>
    <s v="S24_1785"/>
    <x v="23"/>
    <s v="(91) 555 94 44"/>
    <s v="C/ Moralzarzal, 86"/>
    <s v=""/>
    <s v="Madrid"/>
    <s v=""/>
    <s v="28034"/>
    <x v="7"/>
    <s v="EMEA"/>
    <s v="Freyre"/>
    <s v="Diego"/>
    <s v="Diego, Freyre"/>
    <s v="Medium"/>
  </r>
  <r>
    <n v="10275"/>
    <n v="25"/>
    <n v="952"/>
    <n v="23800"/>
    <n v="23800"/>
    <n v="11"/>
    <s v="7/23/2004 0:00"/>
    <x v="0"/>
    <x v="2"/>
    <x v="2"/>
    <x v="1"/>
    <x v="4"/>
    <n v="109"/>
    <s v="S24_1785"/>
    <x v="14"/>
    <s v="40.67.8555"/>
    <s v="67, rue des Cinquante Otages"/>
    <s v=""/>
    <s v="Nantes"/>
    <s v=""/>
    <s v="44000"/>
    <x v="1"/>
    <s v="EMEA"/>
    <s v="Labrune"/>
    <s v="Janine"/>
    <s v="Janine, Labrune"/>
    <s v="Small"/>
  </r>
  <r>
    <n v="10284"/>
    <n v="22"/>
    <n v="100"/>
    <n v="2200"/>
    <n v="2200"/>
    <n v="3"/>
    <s v="8/21/2004 0:00"/>
    <x v="0"/>
    <x v="2"/>
    <x v="3"/>
    <x v="1"/>
    <x v="4"/>
    <n v="109"/>
    <s v="S24_1785"/>
    <x v="85"/>
    <s v="+47 2212 1555"/>
    <s v="Drammensveien 126 A, PB 744 Sentrum"/>
    <s v=""/>
    <s v="Oslo"/>
    <s v=""/>
    <s v="N 0106"/>
    <x v="2"/>
    <s v="EMEA"/>
    <s v="Klaeboe"/>
    <s v="Jan"/>
    <s v="Jan, Klaeboe"/>
    <s v="Small"/>
  </r>
  <r>
    <n v="10297"/>
    <n v="32"/>
    <n v="100"/>
    <n v="3200"/>
    <n v="3200"/>
    <n v="6"/>
    <s v="9/16/2004 0:00"/>
    <x v="0"/>
    <x v="2"/>
    <x v="10"/>
    <x v="1"/>
    <x v="4"/>
    <n v="109"/>
    <s v="S24_1785"/>
    <x v="75"/>
    <s v="+353 1862 1555"/>
    <s v="25 Maiden Lane"/>
    <s v="Floor No. 4"/>
    <s v="Dublin"/>
    <s v=""/>
    <s v="2"/>
    <x v="18"/>
    <s v="EMEA"/>
    <s v="Cassidy"/>
    <s v="Dean"/>
    <s v="Dean, Cassidy"/>
    <s v="Medium"/>
  </r>
  <r>
    <n v="10308"/>
    <n v="31"/>
    <n v="100"/>
    <n v="3100"/>
    <n v="3100"/>
    <n v="9"/>
    <s v="10/15/2004 0:00"/>
    <x v="0"/>
    <x v="3"/>
    <x v="4"/>
    <x v="1"/>
    <x v="4"/>
    <n v="109"/>
    <s v="S24_1785"/>
    <x v="47"/>
    <s v="9145554562"/>
    <s v="3758 North Pendale Street"/>
    <s v=""/>
    <s v="White Plains"/>
    <s v="NY"/>
    <s v="24067"/>
    <x v="0"/>
    <s v="NA"/>
    <s v="Frick"/>
    <s v="Steve"/>
    <s v="Steve, Frick"/>
    <s v="Medium"/>
  </r>
  <r>
    <n v="10316"/>
    <n v="25"/>
    <n v="100"/>
    <n v="2500"/>
    <n v="2500"/>
    <n v="1"/>
    <s v="11/1/2004 0:00"/>
    <x v="0"/>
    <x v="3"/>
    <x v="5"/>
    <x v="1"/>
    <x v="4"/>
    <n v="109"/>
    <s v="S24_1785"/>
    <x v="59"/>
    <s v="(198) 555-8888"/>
    <s v="Garden House Crowther Way"/>
    <s v=""/>
    <s v="Cowes"/>
    <s v="Isle of Wight"/>
    <s v="PO31 7PJ"/>
    <x v="6"/>
    <s v="EMEA"/>
    <s v="Bennett"/>
    <s v="Helen"/>
    <s v="Helen, Bennett"/>
    <s v="Small"/>
  </r>
  <r>
    <n v="10328"/>
    <n v="47"/>
    <n v="8754"/>
    <n v="411438"/>
    <n v="411438"/>
    <n v="14"/>
    <s v="11/12/2004 0:00"/>
    <x v="0"/>
    <x v="3"/>
    <x v="5"/>
    <x v="1"/>
    <x v="4"/>
    <n v="109"/>
    <s v="S24_1785"/>
    <x v="86"/>
    <s v="035-640555"/>
    <s v="Via Ludovico il Moro 22"/>
    <s v=""/>
    <s v="Bergamo"/>
    <s v=""/>
    <s v="24100"/>
    <x v="12"/>
    <s v="EMEA"/>
    <s v="Rovelli"/>
    <s v="Giovanni"/>
    <s v="Giovanni, Rovelli"/>
    <s v="Medium"/>
  </r>
  <r>
    <n v="10339"/>
    <n v="21"/>
    <n v="5065"/>
    <n v="106365"/>
    <n v="106365"/>
    <n v="7"/>
    <s v="11/23/2004 0:00"/>
    <x v="0"/>
    <x v="3"/>
    <x v="5"/>
    <x v="1"/>
    <x v="4"/>
    <n v="109"/>
    <s v="S24_1785"/>
    <x v="35"/>
    <s v="+81 3 3584 0555"/>
    <s v="2-2-8 Roppongi"/>
    <s v=""/>
    <s v="Minato-ku"/>
    <s v="Tokyo"/>
    <s v="106-0032"/>
    <x v="11"/>
    <s v="Japan"/>
    <s v="Shimamura"/>
    <s v="Akiko"/>
    <s v="Akiko, Shimamura"/>
    <s v="Small"/>
  </r>
  <r>
    <n v="10353"/>
    <n v="28"/>
    <n v="7173"/>
    <n v="200844"/>
    <n v="200844"/>
    <n v="2"/>
    <s v="12/4/2004 0:00"/>
    <x v="0"/>
    <x v="3"/>
    <x v="6"/>
    <x v="1"/>
    <x v="4"/>
    <n v="109"/>
    <s v="S24_1785"/>
    <x v="88"/>
    <s v="2035554407"/>
    <s v="2440 Pompton St."/>
    <s v=""/>
    <s v="Glendale"/>
    <s v="CT"/>
    <s v="97561"/>
    <x v="0"/>
    <s v="NA"/>
    <s v="Lewis"/>
    <s v="Dan"/>
    <s v="Dan, Lewis"/>
    <s v="Small"/>
  </r>
  <r>
    <n v="10374"/>
    <n v="46"/>
    <n v="941"/>
    <n v="43286"/>
    <n v="43286"/>
    <n v="3"/>
    <s v="2/2/2005 0:00"/>
    <x v="0"/>
    <x v="0"/>
    <x v="0"/>
    <x v="2"/>
    <x v="4"/>
    <n v="109"/>
    <s v="S24_1785"/>
    <x v="28"/>
    <s v="61-7-3844-6555"/>
    <s v="31 Duncan St. West End"/>
    <s v=""/>
    <s v="South Brisbane"/>
    <s v="Queensland"/>
    <s v="4101"/>
    <x v="3"/>
    <s v="APAC"/>
    <s v="Calaghan"/>
    <s v="Tony"/>
    <s v="Tony, Calaghan"/>
    <s v="Medium"/>
  </r>
  <r>
    <n v="10386"/>
    <n v="33"/>
    <n v="4171"/>
    <n v="137643"/>
    <n v="137643"/>
    <n v="11"/>
    <s v="3/1/2005 0:00"/>
    <x v="5"/>
    <x v="0"/>
    <x v="11"/>
    <x v="2"/>
    <x v="4"/>
    <n v="109"/>
    <s v="S24_1785"/>
    <x v="23"/>
    <s v="(91) 555 94 44"/>
    <s v="C/ Moralzarzal, 86"/>
    <s v=""/>
    <s v="Madrid"/>
    <s v=""/>
    <s v="28034"/>
    <x v="7"/>
    <s v="EMEA"/>
    <s v="Freyre"/>
    <s v="Diego"/>
    <s v="Diego, Freyre"/>
    <s v="Small"/>
  </r>
  <r>
    <n v="10398"/>
    <n v="43"/>
    <n v="100"/>
    <n v="4300"/>
    <n v="4300"/>
    <n v="16"/>
    <s v="3/30/2005 0:00"/>
    <x v="0"/>
    <x v="0"/>
    <x v="11"/>
    <x v="2"/>
    <x v="4"/>
    <n v="109"/>
    <s v="S24_1785"/>
    <x v="1"/>
    <s v="26.47.1555"/>
    <s v="59 rue de l'Abbaye"/>
    <s v=""/>
    <s v="Reims"/>
    <s v=""/>
    <s v="51100"/>
    <x v="1"/>
    <s v="EMEA"/>
    <s v="Henriot"/>
    <s v="Paul"/>
    <s v="Paul, Henriot"/>
    <s v="Medium"/>
  </r>
  <r>
    <n v="10401"/>
    <n v="38"/>
    <n v="9629"/>
    <n v="365902"/>
    <n v="0"/>
    <n v="5"/>
    <s v="4/3/2005 0:00"/>
    <x v="4"/>
    <x v="1"/>
    <x v="8"/>
    <x v="2"/>
    <x v="4"/>
    <n v="109"/>
    <s v="S24_1785"/>
    <x v="12"/>
    <s v="2015559350"/>
    <s v="7476 Moss Rd."/>
    <s v=""/>
    <s v="Newark"/>
    <s v="NJ"/>
    <s v="94019"/>
    <x v="0"/>
    <s v="NA"/>
    <s v="Brown"/>
    <s v="William"/>
    <s v="William, Brown"/>
    <s v="Medium"/>
  </r>
  <r>
    <n v="10416"/>
    <n v="47"/>
    <n v="8863"/>
    <n v="416561"/>
    <n v="416561"/>
    <n v="6"/>
    <s v="5/10/2005 0:00"/>
    <x v="0"/>
    <x v="1"/>
    <x v="1"/>
    <x v="2"/>
    <x v="4"/>
    <n v="109"/>
    <s v="S24_1785"/>
    <x v="70"/>
    <s v="0522-556555"/>
    <s v="Strada Provinciale 124"/>
    <s v=""/>
    <s v="Reggio Emilia"/>
    <s v=""/>
    <s v="42100"/>
    <x v="12"/>
    <s v="EMEA"/>
    <s v="Moroni"/>
    <s v="Maurizio"/>
    <s v="Maurizio, Moroni"/>
    <s v="Medium"/>
  </r>
  <r>
    <n v="10101"/>
    <n v="45"/>
    <n v="312"/>
    <n v="14040"/>
    <n v="14040"/>
    <n v="3"/>
    <s v="1/9/2003 0:00"/>
    <x v="0"/>
    <x v="0"/>
    <x v="7"/>
    <x v="0"/>
    <x v="3"/>
    <n v="33"/>
    <s v="S24_1937"/>
    <x v="72"/>
    <s v="+49 69 66 90 2555"/>
    <s v="Lyonerstr. 34"/>
    <s v=""/>
    <s v="Frankfurt"/>
    <s v=""/>
    <s v="60528"/>
    <x v="16"/>
    <s v="EMEA"/>
    <s v="Keitel"/>
    <s v="Roland"/>
    <s v="Roland, Keitel"/>
    <s v="Small"/>
  </r>
  <r>
    <n v="10110"/>
    <n v="20"/>
    <n v="3551"/>
    <n v="71020"/>
    <n v="71020"/>
    <n v="3"/>
    <s v="3/18/2003 0:00"/>
    <x v="0"/>
    <x v="0"/>
    <x v="11"/>
    <x v="0"/>
    <x v="3"/>
    <n v="33"/>
    <s v="S24_1937"/>
    <x v="77"/>
    <s v="(171) 555-1555"/>
    <s v="Fauntleroy Circus"/>
    <s v=""/>
    <s v="Manchester"/>
    <s v=""/>
    <s v="EC2 5NT"/>
    <x v="6"/>
    <s v="EMEA"/>
    <s v="Ashworth"/>
    <s v="Victoria"/>
    <s v="Victoria, Ashworth"/>
    <s v="Small"/>
  </r>
  <r>
    <n v="10124"/>
    <n v="45"/>
    <n v="3784"/>
    <n v="170280"/>
    <n v="170280"/>
    <n v="2"/>
    <s v="5/21/2003 0:00"/>
    <x v="0"/>
    <x v="1"/>
    <x v="1"/>
    <x v="0"/>
    <x v="3"/>
    <n v="33"/>
    <s v="S24_1937"/>
    <x v="84"/>
    <s v="7025551838"/>
    <s v="8489 Strong St."/>
    <s v=""/>
    <s v="Las Vegas"/>
    <s v="NV"/>
    <s v="83030"/>
    <x v="0"/>
    <s v="NA"/>
    <s v="King"/>
    <s v="Sue"/>
    <s v="Sue, King"/>
    <s v="Small"/>
  </r>
  <r>
    <n v="10149"/>
    <n v="36"/>
    <n v="3319"/>
    <n v="119484"/>
    <n v="119484"/>
    <n v="7"/>
    <s v="9/12/2003 0:00"/>
    <x v="0"/>
    <x v="2"/>
    <x v="10"/>
    <x v="0"/>
    <x v="3"/>
    <n v="33"/>
    <s v="S24_1937"/>
    <x v="82"/>
    <s v="4155554312"/>
    <s v="2793 Furth Circle"/>
    <s v=""/>
    <s v="Brisbane"/>
    <s v="CA"/>
    <s v="94217"/>
    <x v="0"/>
    <s v="NA"/>
    <s v="Taylor"/>
    <s v="Sue"/>
    <s v="Sue, Taylor"/>
    <s v="Small"/>
  </r>
  <r>
    <n v="10162"/>
    <n v="37"/>
    <n v="2722"/>
    <n v="100714"/>
    <n v="100714"/>
    <n v="5"/>
    <s v="10/18/2003 0:00"/>
    <x v="0"/>
    <x v="3"/>
    <x v="4"/>
    <x v="0"/>
    <x v="3"/>
    <n v="33"/>
    <s v="S24_1937"/>
    <x v="4"/>
    <s v="6505551386"/>
    <s v="7734 Strong St."/>
    <s v=""/>
    <s v="San Francisco"/>
    <s v="CA"/>
    <s v=""/>
    <x v="0"/>
    <s v="NA"/>
    <s v="Brown"/>
    <s v="Julie"/>
    <s v="Julie, Brown"/>
    <s v="Small"/>
  </r>
  <r>
    <n v="10173"/>
    <n v="31"/>
    <n v="3153"/>
    <n v="97743"/>
    <n v="97743"/>
    <n v="9"/>
    <s v="11/5/2003 0:00"/>
    <x v="0"/>
    <x v="3"/>
    <x v="5"/>
    <x v="0"/>
    <x v="3"/>
    <n v="33"/>
    <s v="S24_1937"/>
    <x v="86"/>
    <s v="035-640555"/>
    <s v="Via Ludovico il Moro 22"/>
    <s v=""/>
    <s v="Bergamo"/>
    <s v=""/>
    <s v="24100"/>
    <x v="12"/>
    <s v="EMEA"/>
    <s v="Rovelli"/>
    <s v="Giovanni"/>
    <s v="Giovanni, Rovelli"/>
    <s v="Small"/>
  </r>
  <r>
    <n v="10182"/>
    <n v="39"/>
    <n v="3684"/>
    <n v="143676"/>
    <n v="143676"/>
    <n v="6"/>
    <s v="11/12/2003 0:00"/>
    <x v="0"/>
    <x v="3"/>
    <x v="5"/>
    <x v="0"/>
    <x v="3"/>
    <n v="33"/>
    <s v="S24_1937"/>
    <x v="39"/>
    <s v="4155551450"/>
    <s v="5677 Strong St."/>
    <s v=""/>
    <s v="San Rafael"/>
    <s v="CA"/>
    <s v="97562"/>
    <x v="0"/>
    <s v="NA"/>
    <s v="Nelson"/>
    <s v="Valarie"/>
    <s v="Valarie, Nelson"/>
    <s v="Small"/>
  </r>
  <r>
    <n v="10193"/>
    <n v="26"/>
    <n v="2921"/>
    <n v="75946"/>
    <n v="75946"/>
    <n v="10"/>
    <s v="11/21/2003 0:00"/>
    <x v="0"/>
    <x v="3"/>
    <x v="5"/>
    <x v="0"/>
    <x v="3"/>
    <n v="33"/>
    <s v="S24_1937"/>
    <x v="87"/>
    <s v="61-9-3844-6555"/>
    <s v="7 Allen Street"/>
    <s v=""/>
    <s v="Glen Waverly"/>
    <s v="Victoria"/>
    <s v="3150"/>
    <x v="3"/>
    <s v="APAC"/>
    <s v="Connery"/>
    <s v="Sean"/>
    <s v="Sean, Connery"/>
    <s v="Small"/>
  </r>
  <r>
    <n v="10205"/>
    <n v="32"/>
    <n v="3717"/>
    <n v="118944"/>
    <n v="118944"/>
    <n v="5"/>
    <s v="12/3/2003 0:00"/>
    <x v="0"/>
    <x v="3"/>
    <x v="6"/>
    <x v="0"/>
    <x v="3"/>
    <n v="33"/>
    <s v="S24_1937"/>
    <x v="23"/>
    <s v="(91) 555 94 44"/>
    <s v="C/ Moralzarzal, 86"/>
    <s v=""/>
    <s v="Madrid"/>
    <s v=""/>
    <s v="28034"/>
    <x v="7"/>
    <s v="EMEA"/>
    <s v="Freyre"/>
    <s v="Diego"/>
    <s v="Diego, Freyre"/>
    <s v="Small"/>
  </r>
  <r>
    <n v="10214"/>
    <n v="20"/>
    <n v="3419"/>
    <n v="68380"/>
    <n v="68380"/>
    <n v="3"/>
    <s v="1/26/2004 0:00"/>
    <x v="0"/>
    <x v="0"/>
    <x v="7"/>
    <x v="1"/>
    <x v="3"/>
    <n v="33"/>
    <s v="S24_1937"/>
    <x v="25"/>
    <s v="(91) 555 22 82"/>
    <s v="C/ Araquil, 67"/>
    <s v=""/>
    <s v="Madrid"/>
    <s v=""/>
    <s v="28023"/>
    <x v="7"/>
    <s v="EMEA"/>
    <s v="Sommer"/>
    <s v="Mart¡n"/>
    <s v="Mart¡n, Sommer"/>
    <s v="Small"/>
  </r>
  <r>
    <n v="10227"/>
    <n v="42"/>
    <n v="2921"/>
    <n v="122682"/>
    <n v="122682"/>
    <n v="6"/>
    <s v="3/2/2004 0:00"/>
    <x v="0"/>
    <x v="0"/>
    <x v="11"/>
    <x v="1"/>
    <x v="3"/>
    <n v="33"/>
    <s v="S24_1937"/>
    <x v="30"/>
    <s v="78.32.5555"/>
    <s v="2, rue du Commerce"/>
    <s v=""/>
    <s v="Lyon"/>
    <s v=""/>
    <s v="69004"/>
    <x v="1"/>
    <s v="EMEA"/>
    <s v="Saveley"/>
    <s v="Mary"/>
    <s v="Mary, Saveley"/>
    <s v="Small"/>
  </r>
  <r>
    <n v="10243"/>
    <n v="33"/>
    <n v="2954"/>
    <n v="97482"/>
    <n v="97482"/>
    <n v="1"/>
    <s v="4/26/2004 0:00"/>
    <x v="0"/>
    <x v="1"/>
    <x v="8"/>
    <x v="1"/>
    <x v="3"/>
    <n v="33"/>
    <s v="S24_1937"/>
    <x v="64"/>
    <s v="6175552555"/>
    <s v="6251 Ingle Ln."/>
    <s v=""/>
    <s v="Boston"/>
    <s v="MA"/>
    <s v="51003"/>
    <x v="0"/>
    <s v="NA"/>
    <s v="Franco"/>
    <s v="Valarie"/>
    <s v="Valarie, Franco"/>
    <s v="Small"/>
  </r>
  <r>
    <n v="10280"/>
    <n v="20"/>
    <n v="2888"/>
    <n v="57760"/>
    <n v="57760"/>
    <n v="12"/>
    <s v="8/17/2004 0:00"/>
    <x v="0"/>
    <x v="2"/>
    <x v="3"/>
    <x v="1"/>
    <x v="3"/>
    <n v="33"/>
    <s v="S24_1937"/>
    <x v="36"/>
    <s v="011-4988555"/>
    <s v="Via Monte Bianco 34"/>
    <s v=""/>
    <s v="Torino"/>
    <s v=""/>
    <s v="10100"/>
    <x v="12"/>
    <s v="EMEA"/>
    <s v="Accorti"/>
    <s v="Paolo"/>
    <s v="Paolo, Accorti"/>
    <s v="Small"/>
  </r>
  <r>
    <n v="10288"/>
    <n v="29"/>
    <n v="3817"/>
    <n v="110693"/>
    <n v="110693"/>
    <n v="1"/>
    <s v="9/1/2004 0:00"/>
    <x v="0"/>
    <x v="2"/>
    <x v="10"/>
    <x v="1"/>
    <x v="3"/>
    <n v="33"/>
    <s v="S24_1937"/>
    <x v="65"/>
    <s v="+65 224 1555"/>
    <s v="Village Close - 106 Linden Road Sandown"/>
    <s v="2nd Floor"/>
    <s v="Singapore"/>
    <s v=""/>
    <s v="69045"/>
    <x v="9"/>
    <s v="APAC"/>
    <s v="Victorino"/>
    <s v="Wendy"/>
    <s v="Wendy, Victorino"/>
    <s v="Small"/>
  </r>
  <r>
    <n v="10304"/>
    <n v="23"/>
    <n v="302"/>
    <n v="6946"/>
    <n v="6946"/>
    <n v="16"/>
    <s v="10/11/2004 0:00"/>
    <x v="0"/>
    <x v="3"/>
    <x v="4"/>
    <x v="1"/>
    <x v="3"/>
    <n v="33"/>
    <s v="S24_1937"/>
    <x v="38"/>
    <s v="30.59.8555"/>
    <s v="67, avenue de l'Europe"/>
    <s v=""/>
    <s v="Versailles"/>
    <s v=""/>
    <s v="78000"/>
    <x v="1"/>
    <s v="EMEA"/>
    <s v="Tonini"/>
    <s v="Daniel"/>
    <s v="Daniel, Tonini"/>
    <s v="Small"/>
  </r>
  <r>
    <n v="10312"/>
    <n v="39"/>
    <n v="2954"/>
    <n v="115206"/>
    <n v="115206"/>
    <n v="13"/>
    <s v="10/21/2004 0:00"/>
    <x v="0"/>
    <x v="3"/>
    <x v="4"/>
    <x v="1"/>
    <x v="3"/>
    <n v="33"/>
    <s v="S24_1937"/>
    <x v="39"/>
    <s v="4155551450"/>
    <s v="5677 Strong St."/>
    <s v=""/>
    <s v="San Rafael"/>
    <s v="CA"/>
    <s v="97562"/>
    <x v="0"/>
    <s v="NA"/>
    <s v="Nelson"/>
    <s v="Valarie"/>
    <s v="Valarie, Nelson"/>
    <s v="Small"/>
  </r>
  <r>
    <n v="10322"/>
    <n v="20"/>
    <n v="100"/>
    <n v="2000"/>
    <n v="2000"/>
    <n v="3"/>
    <s v="11/4/2004 0:00"/>
    <x v="0"/>
    <x v="3"/>
    <x v="5"/>
    <x v="1"/>
    <x v="3"/>
    <n v="33"/>
    <s v="S24_1937"/>
    <x v="40"/>
    <s v="6035558647"/>
    <s v="2304 Long Airport Avenue"/>
    <s v=""/>
    <s v="Nashua"/>
    <s v="NH"/>
    <s v="62005"/>
    <x v="0"/>
    <s v="NA"/>
    <s v="Young"/>
    <s v="Valarie"/>
    <s v="Valarie, Young"/>
    <s v="Small"/>
  </r>
  <r>
    <n v="10332"/>
    <n v="45"/>
    <n v="8191"/>
    <n v="368595"/>
    <n v="368595"/>
    <n v="6"/>
    <s v="11/17/2004 0:00"/>
    <x v="0"/>
    <x v="3"/>
    <x v="5"/>
    <x v="1"/>
    <x v="3"/>
    <n v="33"/>
    <s v="S24_1937"/>
    <x v="77"/>
    <s v="(171) 555-1555"/>
    <s v="Fauntleroy Circus"/>
    <s v=""/>
    <s v="Manchester"/>
    <s v=""/>
    <s v="EC2 5NT"/>
    <x v="6"/>
    <s v="EMEA"/>
    <s v="Ashworth"/>
    <s v="Victoria"/>
    <s v="Victoria, Ashworth"/>
    <s v="Medium"/>
  </r>
  <r>
    <n v="10344"/>
    <n v="20"/>
    <n v="3518"/>
    <n v="70360"/>
    <n v="70360"/>
    <n v="6"/>
    <s v="11/25/2004 0:00"/>
    <x v="0"/>
    <x v="3"/>
    <x v="5"/>
    <x v="1"/>
    <x v="3"/>
    <n v="33"/>
    <s v="S24_1937"/>
    <x v="67"/>
    <s v="91.24.4555"/>
    <s v="12, rue des Bouchers"/>
    <s v=""/>
    <s v="Marseille"/>
    <s v=""/>
    <s v="13008"/>
    <x v="1"/>
    <s v="EMEA"/>
    <s v="Lebihan"/>
    <s v="Laurence"/>
    <s v="Laurence, Lebihan"/>
    <s v="Small"/>
  </r>
  <r>
    <n v="10356"/>
    <n v="48"/>
    <n v="100"/>
    <n v="4800"/>
    <n v="4800"/>
    <n v="5"/>
    <s v="12/9/2004 0:00"/>
    <x v="0"/>
    <x v="3"/>
    <x v="6"/>
    <x v="1"/>
    <x v="3"/>
    <n v="33"/>
    <s v="S24_1937"/>
    <x v="2"/>
    <s v="+33 1 46 62 7555"/>
    <s v="27 rue du Colonel Pierre Avia"/>
    <s v=""/>
    <s v="Paris"/>
    <s v=""/>
    <s v="75508"/>
    <x v="1"/>
    <s v="EMEA"/>
    <s v="Da Cunha"/>
    <s v="Daniel"/>
    <s v="Daniel, Da Cunha"/>
    <s v="Large"/>
  </r>
  <r>
    <n v="10367"/>
    <n v="23"/>
    <n v="3629"/>
    <n v="83467"/>
    <n v="83467"/>
    <n v="13"/>
    <s v="1/12/2005 0:00"/>
    <x v="5"/>
    <x v="0"/>
    <x v="7"/>
    <x v="2"/>
    <x v="3"/>
    <n v="33"/>
    <s v="S24_1937"/>
    <x v="3"/>
    <s v="6265557265"/>
    <s v="78934 Hillside Dr."/>
    <s v=""/>
    <s v="Pasadena"/>
    <s v="CA"/>
    <s v="90003"/>
    <x v="0"/>
    <s v="NA"/>
    <s v="Young"/>
    <s v="Julie"/>
    <s v="Julie, Young"/>
    <s v="Small"/>
  </r>
  <r>
    <n v="10380"/>
    <n v="32"/>
    <n v="7056"/>
    <n v="225792"/>
    <n v="225792"/>
    <n v="4"/>
    <s v="2/16/2005 0:00"/>
    <x v="0"/>
    <x v="0"/>
    <x v="0"/>
    <x v="2"/>
    <x v="3"/>
    <n v="33"/>
    <s v="S24_1937"/>
    <x v="23"/>
    <s v="(91) 555 94 44"/>
    <s v="C/ Moralzarzal, 86"/>
    <s v=""/>
    <s v="Madrid"/>
    <s v=""/>
    <s v="28034"/>
    <x v="7"/>
    <s v="EMEA"/>
    <s v="Freyre"/>
    <s v="Diego"/>
    <s v="Diego, Freyre"/>
    <s v="Small"/>
  </r>
  <r>
    <n v="10391"/>
    <n v="33"/>
    <n v="100"/>
    <n v="3300"/>
    <n v="3300"/>
    <n v="8"/>
    <s v="3/9/2005 0:00"/>
    <x v="0"/>
    <x v="0"/>
    <x v="11"/>
    <x v="2"/>
    <x v="3"/>
    <n v="33"/>
    <s v="S24_1937"/>
    <x v="42"/>
    <s v="02 9936 8555"/>
    <s v="201 Miller Street"/>
    <s v="Level 15"/>
    <s v="North Sydney"/>
    <s v="NSW"/>
    <s v="2060"/>
    <x v="3"/>
    <s v="APAC"/>
    <s v="O'Hara"/>
    <s v="Anna"/>
    <s v="Anna, O'Hara"/>
    <s v="Large"/>
  </r>
  <r>
    <n v="10409"/>
    <n v="61"/>
    <n v="2954"/>
    <n v="180194"/>
    <n v="180194"/>
    <n v="1"/>
    <s v="4/23/2005 0:00"/>
    <x v="0"/>
    <x v="1"/>
    <x v="8"/>
    <x v="2"/>
    <x v="3"/>
    <n v="33"/>
    <s v="S24_1937"/>
    <x v="65"/>
    <s v="+65 224 1555"/>
    <s v="Village Close - 106 Linden Road Sandown"/>
    <s v="2nd Floor"/>
    <s v="Singapore"/>
    <s v=""/>
    <s v="69045"/>
    <x v="9"/>
    <s v="APAC"/>
    <s v="Victorino"/>
    <s v="Wendy"/>
    <s v="Wendy, Victorino"/>
    <s v="Small"/>
  </r>
  <r>
    <n v="10420"/>
    <n v="45"/>
    <n v="2688"/>
    <n v="120960"/>
    <n v="0"/>
    <n v="1"/>
    <s v="5/29/2005 0:00"/>
    <x v="2"/>
    <x v="1"/>
    <x v="1"/>
    <x v="2"/>
    <x v="3"/>
    <n v="33"/>
    <s v="S24_1937"/>
    <x v="20"/>
    <s v="+61 2 9495 8555"/>
    <s v="Monitor Money Building, 815 Pacific Hwy"/>
    <s v="Level 6"/>
    <s v="Chatswood"/>
    <s v="NSW"/>
    <s v="2067"/>
    <x v="3"/>
    <s v="APAC"/>
    <s v="Huxley"/>
    <s v="Adrian"/>
    <s v="Adrian, Huxley"/>
    <s v="Small"/>
  </r>
  <r>
    <n v="10107"/>
    <n v="38"/>
    <n v="8303"/>
    <n v="315514"/>
    <n v="315514"/>
    <n v="7"/>
    <s v="2/24/2003 0:00"/>
    <x v="0"/>
    <x v="0"/>
    <x v="0"/>
    <x v="0"/>
    <x v="0"/>
    <n v="76"/>
    <s v="S24_2000"/>
    <x v="0"/>
    <s v="2125557818"/>
    <s v="897 Long Airport Avenue"/>
    <s v=""/>
    <s v="NYC"/>
    <s v="NY"/>
    <s v="10022"/>
    <x v="0"/>
    <s v="NA"/>
    <s v="Yu"/>
    <s v="Kwai"/>
    <s v="Kwai, Yu"/>
    <s v="Medium"/>
  </r>
  <r>
    <n v="10120"/>
    <n v="34"/>
    <n v="8379"/>
    <n v="284886"/>
    <n v="284886"/>
    <n v="5"/>
    <s v="4/29/2003 0:00"/>
    <x v="0"/>
    <x v="1"/>
    <x v="8"/>
    <x v="0"/>
    <x v="0"/>
    <n v="76"/>
    <s v="S24_2000"/>
    <x v="10"/>
    <s v="03 9520 4555"/>
    <s v="636 St Kilda Road"/>
    <s v="Level 3"/>
    <s v="Melbourne"/>
    <s v="Victoria"/>
    <s v="3004"/>
    <x v="3"/>
    <s v="APAC"/>
    <s v="Ferguson"/>
    <s v="Peter"/>
    <s v="Peter, Ferguson"/>
    <s v="Small"/>
  </r>
  <r>
    <n v="10134"/>
    <n v="43"/>
    <n v="8303"/>
    <n v="357029"/>
    <n v="357029"/>
    <n v="7"/>
    <s v="7/1/2003 0:00"/>
    <x v="0"/>
    <x v="2"/>
    <x v="2"/>
    <x v="0"/>
    <x v="0"/>
    <n v="76"/>
    <s v="S24_2000"/>
    <x v="2"/>
    <s v="+33 1 46 62 7555"/>
    <s v="27 rue du Colonel Pierre Avia"/>
    <s v=""/>
    <s v="Paris"/>
    <s v=""/>
    <s v="75508"/>
    <x v="1"/>
    <s v="EMEA"/>
    <s v="Da Cunha"/>
    <s v="Daniel"/>
    <s v="Daniel, Da Cunha"/>
    <s v="Medium"/>
  </r>
  <r>
    <n v="10145"/>
    <n v="47"/>
    <n v="8303"/>
    <n v="390241"/>
    <n v="390241"/>
    <n v="11"/>
    <s v="8/25/2003 0:00"/>
    <x v="0"/>
    <x v="2"/>
    <x v="3"/>
    <x v="0"/>
    <x v="0"/>
    <n v="76"/>
    <s v="S24_2000"/>
    <x v="3"/>
    <s v="6265557265"/>
    <s v="78934 Hillside Dr."/>
    <s v=""/>
    <s v="Pasadena"/>
    <s v="CA"/>
    <s v="90003"/>
    <x v="0"/>
    <s v="NA"/>
    <s v="Young"/>
    <s v="Julie"/>
    <s v="Julie, Young"/>
    <s v="Medium"/>
  </r>
  <r>
    <n v="10158"/>
    <n v="22"/>
    <n v="6703"/>
    <n v="147466"/>
    <n v="147466"/>
    <n v="1"/>
    <s v="10/10/2003 0:00"/>
    <x v="0"/>
    <x v="3"/>
    <x v="4"/>
    <x v="0"/>
    <x v="0"/>
    <n v="76"/>
    <s v="S24_2000"/>
    <x v="17"/>
    <s v="07-98 9555"/>
    <s v="Erling Skakkes gate 78"/>
    <s v=""/>
    <s v="Stavern"/>
    <s v=""/>
    <s v="4110"/>
    <x v="2"/>
    <s v="EMEA"/>
    <s v="Bergulfsen"/>
    <s v="Jonas"/>
    <s v="Jonas, Bergulfsen"/>
    <s v="Small"/>
  </r>
  <r>
    <n v="10168"/>
    <n v="29"/>
    <n v="7541"/>
    <n v="218689"/>
    <n v="218689"/>
    <n v="6"/>
    <s v="10/28/2003 0:00"/>
    <x v="0"/>
    <x v="3"/>
    <x v="4"/>
    <x v="0"/>
    <x v="0"/>
    <n v="76"/>
    <s v="S24_2000"/>
    <x v="5"/>
    <s v="6505556809"/>
    <s v="9408 Furth Circle"/>
    <s v=""/>
    <s v="Burlingame"/>
    <s v="CA"/>
    <s v="94217"/>
    <x v="0"/>
    <s v="NA"/>
    <s v="Hirano"/>
    <s v="Juri"/>
    <s v="Juri, Hirano"/>
    <s v="Small"/>
  </r>
  <r>
    <n v="10180"/>
    <n v="28"/>
    <n v="6855"/>
    <n v="191940"/>
    <n v="191940"/>
    <n v="14"/>
    <s v="11/11/2003 0:00"/>
    <x v="0"/>
    <x v="3"/>
    <x v="5"/>
    <x v="0"/>
    <x v="0"/>
    <n v="76"/>
    <s v="S24_2000"/>
    <x v="6"/>
    <s v="20.16.1555"/>
    <s v="184, chausse de Tournai"/>
    <s v=""/>
    <s v="Lille"/>
    <s v=""/>
    <s v="59000"/>
    <x v="1"/>
    <s v="EMEA"/>
    <s v="Rance"/>
    <s v="Martine"/>
    <s v="Martine, Rance"/>
    <s v="Small"/>
  </r>
  <r>
    <n v="10188"/>
    <n v="40"/>
    <n v="914"/>
    <n v="36560"/>
    <n v="36560"/>
    <n v="6"/>
    <s v="11/18/2003 0:00"/>
    <x v="0"/>
    <x v="3"/>
    <x v="5"/>
    <x v="0"/>
    <x v="0"/>
    <n v="76"/>
    <s v="S24_2000"/>
    <x v="7"/>
    <s v="+47 2267 3215"/>
    <s v="Drammen 121, PR 744 Sentrum"/>
    <s v=""/>
    <s v="Bergen"/>
    <s v=""/>
    <s v="N 5804"/>
    <x v="2"/>
    <s v="EMEA"/>
    <s v="Oeztan"/>
    <s v="Veysel"/>
    <s v="Veysel, Oeztan"/>
    <s v="Medium"/>
  </r>
  <r>
    <n v="10201"/>
    <n v="25"/>
    <n v="7388"/>
    <n v="184700"/>
    <n v="184700"/>
    <n v="7"/>
    <s v="12/1/2003 0:00"/>
    <x v="0"/>
    <x v="3"/>
    <x v="6"/>
    <x v="0"/>
    <x v="0"/>
    <n v="76"/>
    <s v="S24_2000"/>
    <x v="8"/>
    <s v="6505555787"/>
    <s v="5557 North Pendale Street"/>
    <s v=""/>
    <s v="San Francisco"/>
    <s v="CA"/>
    <s v=""/>
    <x v="0"/>
    <s v="NA"/>
    <s v="Murphy"/>
    <s v="Julie"/>
    <s v="Julie, Murphy"/>
    <s v="Small"/>
  </r>
  <r>
    <n v="10210"/>
    <n v="30"/>
    <n v="617"/>
    <n v="18510"/>
    <n v="18510"/>
    <n v="4"/>
    <s v="1/12/2004 0:00"/>
    <x v="0"/>
    <x v="0"/>
    <x v="7"/>
    <x v="1"/>
    <x v="0"/>
    <n v="76"/>
    <s v="S24_2000"/>
    <x v="44"/>
    <s v="+81 06 6342 5555"/>
    <s v="Dojima Avanza 4F, 1-6-20 Dojima, Kita-ku"/>
    <s v=""/>
    <s v="Osaka"/>
    <s v="Osaka"/>
    <s v="530-0003"/>
    <x v="11"/>
    <s v="Japan"/>
    <s v="Kentary"/>
    <s v="Mory"/>
    <s v="Mory, Kentary"/>
    <s v="Small"/>
  </r>
  <r>
    <n v="10223"/>
    <n v="38"/>
    <n v="6931"/>
    <n v="263378"/>
    <n v="263378"/>
    <n v="6"/>
    <s v="2/20/2004 0:00"/>
    <x v="0"/>
    <x v="0"/>
    <x v="0"/>
    <x v="1"/>
    <x v="0"/>
    <n v="76"/>
    <s v="S24_2000"/>
    <x v="10"/>
    <s v="03 9520 4555"/>
    <s v="636 St Kilda Road"/>
    <s v="Level 3"/>
    <s v="Melbourne"/>
    <s v="Victoria"/>
    <s v="3004"/>
    <x v="3"/>
    <s v="APAC"/>
    <s v="Ferguson"/>
    <s v="Peter"/>
    <s v="Peter, Ferguson"/>
    <s v="Small"/>
  </r>
  <r>
    <n v="10236"/>
    <n v="36"/>
    <n v="876"/>
    <n v="31536"/>
    <n v="31536"/>
    <n v="3"/>
    <s v="4/3/2004 0:00"/>
    <x v="0"/>
    <x v="1"/>
    <x v="8"/>
    <x v="1"/>
    <x v="0"/>
    <n v="76"/>
    <s v="S24_2000"/>
    <x v="45"/>
    <s v="2155559857"/>
    <s v="11328 Douglas Av."/>
    <s v=""/>
    <s v="Philadelphia"/>
    <s v="PA"/>
    <s v="71270"/>
    <x v="0"/>
    <s v="NA"/>
    <s v="Hernandez"/>
    <s v="Rosa"/>
    <s v="Rosa, Hernandez"/>
    <s v="Medium"/>
  </r>
  <r>
    <n v="10250"/>
    <n v="32"/>
    <n v="876"/>
    <n v="28032"/>
    <n v="28032"/>
    <n v="1"/>
    <s v="5/11/2004 0:00"/>
    <x v="0"/>
    <x v="1"/>
    <x v="1"/>
    <x v="1"/>
    <x v="0"/>
    <n v="76"/>
    <s v="S24_2000"/>
    <x v="61"/>
    <s v="4085553659"/>
    <s v="3086 Ingle Ln."/>
    <s v=""/>
    <s v="San Jose"/>
    <s v="CA"/>
    <s v="94217"/>
    <x v="0"/>
    <s v="NA"/>
    <s v="Frick"/>
    <s v="Sue"/>
    <s v="Sue, Frick"/>
    <s v="Small"/>
  </r>
  <r>
    <n v="10263"/>
    <n v="37"/>
    <n v="6246"/>
    <n v="231102"/>
    <n v="231102"/>
    <n v="7"/>
    <s v="6/28/2004 0:00"/>
    <x v="0"/>
    <x v="1"/>
    <x v="9"/>
    <x v="1"/>
    <x v="0"/>
    <n v="76"/>
    <s v="S24_2000"/>
    <x v="13"/>
    <s v="2035552570"/>
    <s v="25593 South Bay Ln."/>
    <s v=""/>
    <s v="Bridgewater"/>
    <s v="CT"/>
    <s v="97562"/>
    <x v="0"/>
    <s v="NA"/>
    <s v="King"/>
    <s v="Julie"/>
    <s v="Julie, King"/>
    <s v="Small"/>
  </r>
  <r>
    <n v="10275"/>
    <n v="30"/>
    <n v="7998"/>
    <n v="239940"/>
    <n v="239940"/>
    <n v="6"/>
    <s v="7/23/2004 0:00"/>
    <x v="0"/>
    <x v="2"/>
    <x v="2"/>
    <x v="1"/>
    <x v="0"/>
    <n v="76"/>
    <s v="S24_2000"/>
    <x v="14"/>
    <s v="40.67.8555"/>
    <s v="67, rue des Cinquante Otages"/>
    <s v=""/>
    <s v="Nantes"/>
    <s v=""/>
    <s v="44000"/>
    <x v="1"/>
    <s v="EMEA"/>
    <s v="Labrune"/>
    <s v="Janine"/>
    <s v="Janine, Labrune"/>
    <s v="Small"/>
  </r>
  <r>
    <n v="10285"/>
    <n v="39"/>
    <n v="7008"/>
    <n v="273312"/>
    <n v="273312"/>
    <n v="11"/>
    <s v="8/27/2004 0:00"/>
    <x v="0"/>
    <x v="2"/>
    <x v="3"/>
    <x v="1"/>
    <x v="0"/>
    <n v="76"/>
    <s v="S24_2000"/>
    <x v="15"/>
    <s v="6175558555"/>
    <s v="39323 Spinnaker Dr."/>
    <s v=""/>
    <s v="Cambridge"/>
    <s v="MA"/>
    <s v="51247"/>
    <x v="0"/>
    <s v="NA"/>
    <s v="Hernandez"/>
    <s v="Marta"/>
    <s v="Marta, Hernandez"/>
    <s v="Small"/>
  </r>
  <r>
    <n v="10297"/>
    <n v="32"/>
    <n v="6551"/>
    <n v="209632"/>
    <n v="209632"/>
    <n v="1"/>
    <s v="9/16/2004 0:00"/>
    <x v="0"/>
    <x v="2"/>
    <x v="10"/>
    <x v="1"/>
    <x v="0"/>
    <n v="76"/>
    <s v="S24_2000"/>
    <x v="75"/>
    <s v="+353 1862 1555"/>
    <s v="25 Maiden Lane"/>
    <s v="Floor No. 4"/>
    <s v="Dublin"/>
    <s v=""/>
    <s v="2"/>
    <x v="18"/>
    <s v="EMEA"/>
    <s v="Cassidy"/>
    <s v="Dean"/>
    <s v="Dean, Cassidy"/>
    <s v="Small"/>
  </r>
  <r>
    <n v="10308"/>
    <n v="47"/>
    <n v="6322"/>
    <n v="297134"/>
    <n v="297134"/>
    <n v="4"/>
    <s v="10/15/2004 0:00"/>
    <x v="0"/>
    <x v="3"/>
    <x v="4"/>
    <x v="1"/>
    <x v="0"/>
    <n v="76"/>
    <s v="S24_2000"/>
    <x v="47"/>
    <s v="9145554562"/>
    <s v="3758 North Pendale Street"/>
    <s v=""/>
    <s v="White Plains"/>
    <s v="NY"/>
    <s v="24067"/>
    <x v="0"/>
    <s v="NA"/>
    <s v="Frick"/>
    <s v="Steve"/>
    <s v="Steve, Frick"/>
    <s v="Small"/>
  </r>
  <r>
    <n v="10318"/>
    <n v="26"/>
    <n v="8683"/>
    <n v="225758"/>
    <n v="225758"/>
    <n v="6"/>
    <s v="11/2/2004 0:00"/>
    <x v="0"/>
    <x v="3"/>
    <x v="5"/>
    <x v="1"/>
    <x v="0"/>
    <n v="76"/>
    <s v="S24_2000"/>
    <x v="18"/>
    <s v="2155551555"/>
    <s v="7586 Pompton St."/>
    <s v=""/>
    <s v="Allentown"/>
    <s v="PA"/>
    <s v="70267"/>
    <x v="0"/>
    <s v="NA"/>
    <s v="Yu"/>
    <s v="Kyung"/>
    <s v="Kyung, Yu"/>
    <s v="Small"/>
  </r>
  <r>
    <n v="10329"/>
    <n v="37"/>
    <n v="9443"/>
    <n v="349391"/>
    <n v="349391"/>
    <n v="4"/>
    <s v="11/15/2004 0:00"/>
    <x v="0"/>
    <x v="3"/>
    <x v="5"/>
    <x v="1"/>
    <x v="0"/>
    <n v="76"/>
    <s v="S24_2000"/>
    <x v="0"/>
    <s v="2125557818"/>
    <s v="897 Long Airport Avenue"/>
    <s v=""/>
    <s v="NYC"/>
    <s v="NY"/>
    <s v="10022"/>
    <x v="0"/>
    <s v="NA"/>
    <s v="Yu"/>
    <s v="Kwai"/>
    <s v="Kwai, Yu"/>
    <s v="Medium"/>
  </r>
  <r>
    <n v="10340"/>
    <n v="55"/>
    <n v="7998"/>
    <n v="439890"/>
    <n v="439890"/>
    <n v="8"/>
    <s v="11/24/2004 0:00"/>
    <x v="0"/>
    <x v="3"/>
    <x v="5"/>
    <x v="1"/>
    <x v="0"/>
    <n v="76"/>
    <s v="S24_2000"/>
    <x v="53"/>
    <s v="(93) 203 4555"/>
    <s v="Rambla de Catalu¤a, 23"/>
    <s v=""/>
    <s v="Barcelona"/>
    <s v=""/>
    <s v="8022"/>
    <x v="7"/>
    <s v="EMEA"/>
    <s v="Saavedra"/>
    <s v="Eduardo"/>
    <s v="Eduardo, Saavedra"/>
    <s v="Medium"/>
  </r>
  <r>
    <n v="10363"/>
    <n v="21"/>
    <n v="100"/>
    <n v="2100"/>
    <n v="2100"/>
    <n v="8"/>
    <s v="1/6/2005 0:00"/>
    <x v="0"/>
    <x v="0"/>
    <x v="7"/>
    <x v="2"/>
    <x v="0"/>
    <n v="76"/>
    <s v="S24_2000"/>
    <x v="73"/>
    <s v="+358 9 8045 555"/>
    <s v="Software Engineering Center, SEC Oy"/>
    <s v=""/>
    <s v="Espoo"/>
    <s v=""/>
    <s v="FIN-02271"/>
    <x v="4"/>
    <s v="EMEA"/>
    <s v="Suominen"/>
    <s v="Kalle"/>
    <s v="Kalle, Suominen"/>
    <s v="Medium"/>
  </r>
  <r>
    <n v="10375"/>
    <n v="23"/>
    <n v="100"/>
    <n v="2300"/>
    <n v="2300"/>
    <n v="9"/>
    <s v="2/3/2005 0:00"/>
    <x v="0"/>
    <x v="0"/>
    <x v="0"/>
    <x v="2"/>
    <x v="0"/>
    <n v="76"/>
    <s v="S24_2000"/>
    <x v="14"/>
    <s v="40.67.8555"/>
    <s v="67, rue des Cinquante Otages"/>
    <s v=""/>
    <s v="Nantes"/>
    <s v=""/>
    <s v="44000"/>
    <x v="1"/>
    <s v="EMEA"/>
    <s v="Labrune"/>
    <s v="Janine"/>
    <s v="Janine, Labrune"/>
    <s v="Small"/>
  </r>
  <r>
    <n v="10389"/>
    <n v="49"/>
    <n v="814"/>
    <n v="39886"/>
    <n v="39886"/>
    <n v="2"/>
    <s v="3/3/2005 0:00"/>
    <x v="0"/>
    <x v="0"/>
    <x v="11"/>
    <x v="2"/>
    <x v="0"/>
    <n v="76"/>
    <s v="S24_2000"/>
    <x v="37"/>
    <s v="0695-34 6555"/>
    <s v="?kergatan 24"/>
    <s v=""/>
    <s v="Boras"/>
    <s v=""/>
    <s v="S-844 67"/>
    <x v="8"/>
    <s v="EMEA"/>
    <s v="Larsson"/>
    <s v="Maria"/>
    <s v="Maria, Larsson"/>
    <s v="Medium"/>
  </r>
  <r>
    <n v="10402"/>
    <n v="59"/>
    <n v="876"/>
    <n v="51684"/>
    <n v="51684"/>
    <n v="3"/>
    <s v="4/7/2005 0:00"/>
    <x v="0"/>
    <x v="1"/>
    <x v="8"/>
    <x v="2"/>
    <x v="0"/>
    <n v="76"/>
    <s v="S24_2000"/>
    <x v="9"/>
    <s v="(1) 47.55.6555"/>
    <s v="25, rue Lauriston"/>
    <s v=""/>
    <s v="Paris"/>
    <s v=""/>
    <s v="75016"/>
    <x v="1"/>
    <s v="EMEA"/>
    <s v="Perrier"/>
    <s v="Dominique"/>
    <s v="Dominique, Perrier"/>
    <s v="Medium"/>
  </r>
  <r>
    <n v="10416"/>
    <n v="32"/>
    <n v="876"/>
    <n v="28032"/>
    <n v="28032"/>
    <n v="1"/>
    <s v="5/10/2005 0:00"/>
    <x v="0"/>
    <x v="1"/>
    <x v="1"/>
    <x v="2"/>
    <x v="0"/>
    <n v="76"/>
    <s v="S24_2000"/>
    <x v="70"/>
    <s v="0522-556555"/>
    <s v="Strada Provinciale 124"/>
    <s v=""/>
    <s v="Reggio Emilia"/>
    <s v=""/>
    <s v="42100"/>
    <x v="12"/>
    <s v="EMEA"/>
    <s v="Moroni"/>
    <s v="Maurizio"/>
    <s v="Maurizio, Moroni"/>
    <s v="Small"/>
  </r>
  <r>
    <n v="10105"/>
    <n v="43"/>
    <n v="100"/>
    <n v="4300"/>
    <n v="4300"/>
    <n v="9"/>
    <s v="2/11/2003 0:00"/>
    <x v="0"/>
    <x v="0"/>
    <x v="0"/>
    <x v="0"/>
    <x v="5"/>
    <n v="122"/>
    <s v="S24_2011"/>
    <x v="48"/>
    <s v="31 12 3555"/>
    <s v="Vinb'ltet 34"/>
    <s v=""/>
    <s v="Kobenhavn"/>
    <s v=""/>
    <s v="1734"/>
    <x v="13"/>
    <s v="EMEA"/>
    <s v="Petersen"/>
    <s v="Jytte"/>
    <s v="Jytte, Petersen"/>
    <s v="Medium"/>
  </r>
  <r>
    <n v="10117"/>
    <n v="41"/>
    <n v="100"/>
    <n v="4100"/>
    <n v="4100"/>
    <n v="3"/>
    <s v="4/16/2003 0:00"/>
    <x v="0"/>
    <x v="1"/>
    <x v="8"/>
    <x v="0"/>
    <x v="5"/>
    <n v="122"/>
    <s v="S24_2011"/>
    <x v="26"/>
    <s v="+65 221 7555"/>
    <s v="Bronz Sok., Bronz Apt. 3/6 Tesvikiye"/>
    <s v=""/>
    <s v="Singapore"/>
    <s v=""/>
    <s v="79903"/>
    <x v="9"/>
    <s v="Japan"/>
    <s v="Natividad"/>
    <s v="Eric"/>
    <s v="Eric, Natividad"/>
    <s v="Medium"/>
  </r>
  <r>
    <n v="10129"/>
    <n v="45"/>
    <n v="100"/>
    <n v="4500"/>
    <n v="4500"/>
    <n v="9"/>
    <s v="6/12/2003 0:00"/>
    <x v="0"/>
    <x v="1"/>
    <x v="9"/>
    <x v="0"/>
    <x v="5"/>
    <n v="122"/>
    <s v="S24_2011"/>
    <x v="49"/>
    <s v="(171) 555-0297"/>
    <s v="35 King George"/>
    <s v=""/>
    <s v="London"/>
    <s v=""/>
    <s v="WX3 6FW"/>
    <x v="6"/>
    <s v="EMEA"/>
    <s v="Brown"/>
    <s v="Ann"/>
    <s v="Ann, Brown"/>
    <s v="Medium"/>
  </r>
  <r>
    <n v="10142"/>
    <n v="33"/>
    <n v="100"/>
    <n v="3300"/>
    <n v="3300"/>
    <n v="6"/>
    <s v="8/8/2003 0:00"/>
    <x v="0"/>
    <x v="2"/>
    <x v="3"/>
    <x v="0"/>
    <x v="5"/>
    <n v="122"/>
    <s v="S24_2011"/>
    <x v="39"/>
    <s v="4155551450"/>
    <s v="5677 Strong St."/>
    <s v=""/>
    <s v="San Rafael"/>
    <s v="CA"/>
    <s v="97562"/>
    <x v="0"/>
    <s v="NA"/>
    <s v="Nelson"/>
    <s v="Valarie"/>
    <s v="Valarie, Nelson"/>
    <s v="Medium"/>
  </r>
  <r>
    <n v="10153"/>
    <n v="40"/>
    <n v="100"/>
    <n v="4000"/>
    <n v="4000"/>
    <n v="5"/>
    <s v="9/28/2003 0:00"/>
    <x v="0"/>
    <x v="2"/>
    <x v="10"/>
    <x v="0"/>
    <x v="5"/>
    <n v="122"/>
    <s v="S24_2011"/>
    <x v="23"/>
    <s v="(91) 555 94 44"/>
    <s v="C/ Moralzarzal, 86"/>
    <s v=""/>
    <s v="Madrid"/>
    <s v=""/>
    <s v="28034"/>
    <x v="7"/>
    <s v="EMEA"/>
    <s v="Freyre"/>
    <s v="Diego"/>
    <s v="Diego, Freyre"/>
    <s v="Medium"/>
  </r>
  <r>
    <n v="10167"/>
    <n v="33"/>
    <n v="100"/>
    <n v="3300"/>
    <n v="0"/>
    <n v="16"/>
    <s v="10/23/2003 0:00"/>
    <x v="3"/>
    <x v="3"/>
    <x v="4"/>
    <x v="0"/>
    <x v="5"/>
    <n v="122"/>
    <s v="S24_2011"/>
    <x v="37"/>
    <s v="0695-34 6555"/>
    <s v="?kergatan 24"/>
    <s v=""/>
    <s v="Boras"/>
    <s v=""/>
    <s v="S-844 67"/>
    <x v="8"/>
    <s v="EMEA"/>
    <s v="Larsson"/>
    <s v="Maria"/>
    <s v="Maria, Larsson"/>
    <s v="Medium"/>
  </r>
  <r>
    <n v="10177"/>
    <n v="50"/>
    <n v="100"/>
    <n v="5000"/>
    <n v="5000"/>
    <n v="7"/>
    <s v="11/7/2003 0:00"/>
    <x v="0"/>
    <x v="3"/>
    <x v="5"/>
    <x v="0"/>
    <x v="5"/>
    <n v="122"/>
    <s v="S24_2011"/>
    <x v="76"/>
    <s v="+34 913 728 555"/>
    <s v="Merchants House, 27-30 Merchant's Quay"/>
    <s v=""/>
    <s v="Madrid"/>
    <s v=""/>
    <s v="28023"/>
    <x v="7"/>
    <s v="EMEA"/>
    <s v="Fernandez"/>
    <s v="Jesus"/>
    <s v="Jesus, Fernandez"/>
    <s v="Medium"/>
  </r>
  <r>
    <n v="10185"/>
    <n v="30"/>
    <n v="100"/>
    <n v="3000"/>
    <n v="3000"/>
    <n v="7"/>
    <s v="11/14/2003 0:00"/>
    <x v="0"/>
    <x v="3"/>
    <x v="5"/>
    <x v="0"/>
    <x v="5"/>
    <n v="122"/>
    <s v="S24_2011"/>
    <x v="50"/>
    <s v="5085559555"/>
    <s v="4575 Hillside Dr."/>
    <s v=""/>
    <s v="New Bedford"/>
    <s v="MA"/>
    <s v="50553"/>
    <x v="0"/>
    <s v="NA"/>
    <s v="Tam"/>
    <s v="Wing C"/>
    <s v="Wing C, Tam"/>
    <s v="Medium"/>
  </r>
  <r>
    <n v="10197"/>
    <n v="41"/>
    <n v="100"/>
    <n v="4100"/>
    <n v="4100"/>
    <n v="13"/>
    <s v="11/26/2003 0:00"/>
    <x v="0"/>
    <x v="3"/>
    <x v="5"/>
    <x v="0"/>
    <x v="5"/>
    <n v="122"/>
    <s v="S24_2011"/>
    <x v="53"/>
    <s v="(93) 203 4555"/>
    <s v="Rambla de Catalu¤a, 23"/>
    <s v=""/>
    <s v="Barcelona"/>
    <s v=""/>
    <s v="8022"/>
    <x v="7"/>
    <s v="EMEA"/>
    <s v="Saavedra"/>
    <s v="Eduardo"/>
    <s v="Eduardo, Saavedra"/>
    <s v="Medium"/>
  </r>
  <r>
    <n v="10208"/>
    <n v="35"/>
    <n v="100"/>
    <n v="3500"/>
    <n v="3500"/>
    <n v="7"/>
    <s v="1/2/2004 0:00"/>
    <x v="0"/>
    <x v="0"/>
    <x v="7"/>
    <x v="1"/>
    <x v="5"/>
    <n v="122"/>
    <s v="S24_2011"/>
    <x v="30"/>
    <s v="78.32.5555"/>
    <s v="2, rue du Commerce"/>
    <s v=""/>
    <s v="Lyon"/>
    <s v=""/>
    <s v="69004"/>
    <x v="1"/>
    <s v="EMEA"/>
    <s v="Saveley"/>
    <s v="Mary"/>
    <s v="Mary, Saveley"/>
    <s v="Medium"/>
  </r>
  <r>
    <n v="10221"/>
    <n v="49"/>
    <n v="100"/>
    <n v="4900"/>
    <n v="4900"/>
    <n v="1"/>
    <s v="2/18/2004 0:00"/>
    <x v="0"/>
    <x v="0"/>
    <x v="0"/>
    <x v="1"/>
    <x v="5"/>
    <n v="122"/>
    <s v="S24_2011"/>
    <x v="56"/>
    <s v="(02) 5554 67"/>
    <s v="Rue Joseph-Bens 532"/>
    <s v=""/>
    <s v="Bruxelles"/>
    <s v=""/>
    <s v="B-1180"/>
    <x v="14"/>
    <s v="EMEA"/>
    <s v="Dewey"/>
    <s v="Catherine"/>
    <s v="Catherine, Dewey"/>
    <s v="Medium"/>
  </r>
  <r>
    <n v="10232"/>
    <n v="46"/>
    <n v="100"/>
    <n v="4600"/>
    <n v="4600"/>
    <n v="4"/>
    <s v="3/20/2004 0:00"/>
    <x v="0"/>
    <x v="0"/>
    <x v="11"/>
    <x v="1"/>
    <x v="5"/>
    <n v="122"/>
    <s v="S24_2011"/>
    <x v="59"/>
    <s v="(198) 555-8888"/>
    <s v="Garden House Crowther Way"/>
    <s v=""/>
    <s v="Cowes"/>
    <s v="Isle of Wight"/>
    <s v="PO31 7PJ"/>
    <x v="6"/>
    <s v="EMEA"/>
    <s v="Bennett"/>
    <s v="Helen"/>
    <s v="Helen, Bennett"/>
    <s v="Medium"/>
  </r>
  <r>
    <n v="10248"/>
    <n v="48"/>
    <n v="100"/>
    <n v="4800"/>
    <n v="0"/>
    <n v="10"/>
    <s v="5/7/2004 0:00"/>
    <x v="3"/>
    <x v="1"/>
    <x v="1"/>
    <x v="1"/>
    <x v="5"/>
    <n v="122"/>
    <s v="S24_2011"/>
    <x v="0"/>
    <s v="2125557818"/>
    <s v="897 Long Airport Avenue"/>
    <s v=""/>
    <s v="NYC"/>
    <s v="NY"/>
    <s v="10022"/>
    <x v="0"/>
    <s v="NA"/>
    <s v="Yu"/>
    <s v="Kwai"/>
    <s v="Kwai, Yu"/>
    <s v="Medium"/>
  </r>
  <r>
    <n v="10261"/>
    <n v="36"/>
    <n v="100"/>
    <n v="3600"/>
    <n v="3600"/>
    <n v="8"/>
    <s v="6/17/2004 0:00"/>
    <x v="0"/>
    <x v="1"/>
    <x v="9"/>
    <x v="1"/>
    <x v="5"/>
    <n v="122"/>
    <s v="S24_2011"/>
    <x v="43"/>
    <s v="(514) 555-8054"/>
    <s v="43 rue St. Laurent"/>
    <s v=""/>
    <s v="Montreal"/>
    <s v="Quebec"/>
    <s v="H1J 1C3"/>
    <x v="10"/>
    <s v="NA"/>
    <s v="Fresnisre"/>
    <s v="Jean"/>
    <s v="Jean, Fresnisre"/>
    <s v="Medium"/>
  </r>
  <r>
    <n v="10273"/>
    <n v="22"/>
    <n v="100"/>
    <n v="2200"/>
    <n v="2200"/>
    <n v="11"/>
    <s v="7/21/2004 0:00"/>
    <x v="0"/>
    <x v="2"/>
    <x v="2"/>
    <x v="1"/>
    <x v="5"/>
    <n v="122"/>
    <s v="S24_2011"/>
    <x v="56"/>
    <s v="(02) 5554 67"/>
    <s v="Rue Joseph-Bens 532"/>
    <s v=""/>
    <s v="Bruxelles"/>
    <s v=""/>
    <s v="B-1180"/>
    <x v="14"/>
    <s v="EMEA"/>
    <s v="Dewey"/>
    <s v="Catherine"/>
    <s v="Catherine, Dewey"/>
    <s v="Small"/>
  </r>
  <r>
    <n v="10283"/>
    <n v="42"/>
    <n v="100"/>
    <n v="4200"/>
    <n v="4200"/>
    <n v="13"/>
    <s v="8/20/2004 0:00"/>
    <x v="0"/>
    <x v="2"/>
    <x v="3"/>
    <x v="1"/>
    <x v="5"/>
    <n v="122"/>
    <s v="S24_2011"/>
    <x v="57"/>
    <s v="(604) 555-4555"/>
    <s v="23 Tsawassen Blvd."/>
    <s v=""/>
    <s v="Tsawassen"/>
    <s v="BC"/>
    <s v="T2F 8M4"/>
    <x v="10"/>
    <s v="NA"/>
    <s v="Lincoln"/>
    <s v="Elizabeth"/>
    <s v="Elizabeth, Lincoln"/>
    <s v="Medium"/>
  </r>
  <r>
    <n v="10293"/>
    <n v="21"/>
    <n v="100"/>
    <n v="2100"/>
    <n v="2100"/>
    <n v="2"/>
    <s v="9/9/2004 0:00"/>
    <x v="0"/>
    <x v="2"/>
    <x v="10"/>
    <x v="1"/>
    <x v="5"/>
    <n v="122"/>
    <s v="S24_2011"/>
    <x v="36"/>
    <s v="011-4988555"/>
    <s v="Via Monte Bianco 34"/>
    <s v=""/>
    <s v="Torino"/>
    <s v=""/>
    <s v="10100"/>
    <x v="12"/>
    <s v="EMEA"/>
    <s v="Accorti"/>
    <s v="Paolo"/>
    <s v="Paolo, Accorti"/>
    <s v="Small"/>
  </r>
  <r>
    <n v="10306"/>
    <n v="29"/>
    <n v="100"/>
    <n v="2900"/>
    <n v="2900"/>
    <n v="7"/>
    <s v="10/14/2004 0:00"/>
    <x v="0"/>
    <x v="3"/>
    <x v="4"/>
    <x v="1"/>
    <x v="5"/>
    <n v="122"/>
    <s v="S24_2011"/>
    <x v="77"/>
    <s v="(171) 555-1555"/>
    <s v="Fauntleroy Circus"/>
    <s v=""/>
    <s v="Manchester"/>
    <s v=""/>
    <s v="EC2 5NT"/>
    <x v="6"/>
    <s v="EMEA"/>
    <s v="Ashworth"/>
    <s v="Victoria"/>
    <s v="Victoria, Ashworth"/>
    <s v="Medium"/>
  </r>
  <r>
    <n v="10315"/>
    <n v="35"/>
    <n v="100"/>
    <n v="3500"/>
    <n v="3500"/>
    <n v="6"/>
    <s v="10/29/2004 0:00"/>
    <x v="0"/>
    <x v="3"/>
    <x v="4"/>
    <x v="1"/>
    <x v="5"/>
    <n v="122"/>
    <s v="S24_2011"/>
    <x v="14"/>
    <s v="40.67.8555"/>
    <s v="67, rue des Cinquante Otages"/>
    <s v=""/>
    <s v="Nantes"/>
    <s v=""/>
    <s v="44000"/>
    <x v="1"/>
    <s v="EMEA"/>
    <s v="Labrune"/>
    <s v="Janine"/>
    <s v="Janine, Labrune"/>
    <s v="Medium"/>
  </r>
  <r>
    <n v="10326"/>
    <n v="41"/>
    <n v="100"/>
    <n v="4100"/>
    <n v="4100"/>
    <n v="4"/>
    <s v="11/9/2004 0:00"/>
    <x v="0"/>
    <x v="3"/>
    <x v="5"/>
    <x v="1"/>
    <x v="5"/>
    <n v="122"/>
    <s v="S24_2011"/>
    <x v="24"/>
    <s v="0921-12 3555"/>
    <s v="Berguvsv„gen  8"/>
    <s v=""/>
    <s v="Lule"/>
    <s v=""/>
    <s v="S-958 22"/>
    <x v="8"/>
    <s v="EMEA"/>
    <s v="Berglund"/>
    <s v="Christina"/>
    <s v="Christina, Berglund"/>
    <s v="Medium"/>
  </r>
  <r>
    <n v="10337"/>
    <n v="29"/>
    <n v="7197"/>
    <n v="208713"/>
    <n v="208713"/>
    <n v="4"/>
    <s v="11/21/2004 0:00"/>
    <x v="0"/>
    <x v="3"/>
    <x v="5"/>
    <x v="1"/>
    <x v="5"/>
    <n v="122"/>
    <s v="S24_2011"/>
    <x v="27"/>
    <s v="2125558493"/>
    <s v="5905 Pompton St."/>
    <s v="Suite 750"/>
    <s v="NYC"/>
    <s v="NY"/>
    <s v="10022"/>
    <x v="0"/>
    <s v="NA"/>
    <s v="Hernandez"/>
    <s v="Maria"/>
    <s v="Maria, Hernandez"/>
    <s v="Small"/>
  </r>
  <r>
    <n v="10350"/>
    <n v="34"/>
    <n v="5033"/>
    <n v="171122"/>
    <n v="171122"/>
    <n v="7"/>
    <s v="12/2/2004 0:00"/>
    <x v="0"/>
    <x v="3"/>
    <x v="6"/>
    <x v="1"/>
    <x v="5"/>
    <n v="122"/>
    <s v="S24_2011"/>
    <x v="23"/>
    <s v="(91) 555 94 44"/>
    <s v="C/ Moralzarzal, 86"/>
    <s v=""/>
    <s v="Madrid"/>
    <s v=""/>
    <s v="28034"/>
    <x v="7"/>
    <s v="EMEA"/>
    <s v="Freyre"/>
    <s v="Diego"/>
    <s v="Diego, Freyre"/>
    <s v="Small"/>
  </r>
  <r>
    <n v="10372"/>
    <n v="37"/>
    <n v="100"/>
    <n v="3700"/>
    <n v="3700"/>
    <n v="8"/>
    <s v="1/26/2005 0:00"/>
    <x v="0"/>
    <x v="0"/>
    <x v="7"/>
    <x v="2"/>
    <x v="5"/>
    <n v="122"/>
    <s v="S24_2011"/>
    <x v="35"/>
    <s v="+81 3 3584 0555"/>
    <s v="2-2-8 Roppongi"/>
    <s v=""/>
    <s v="Minato-ku"/>
    <s v="Tokyo"/>
    <s v="106-0032"/>
    <x v="11"/>
    <s v="Japan"/>
    <s v="Shimamura"/>
    <s v="Akiko"/>
    <s v="Akiko, Shimamura"/>
    <s v="Medium"/>
  </r>
  <r>
    <n v="10384"/>
    <n v="28"/>
    <n v="8054"/>
    <n v="225512"/>
    <n v="225512"/>
    <n v="3"/>
    <s v="2/23/2005 0:00"/>
    <x v="0"/>
    <x v="0"/>
    <x v="0"/>
    <x v="2"/>
    <x v="5"/>
    <n v="122"/>
    <s v="S24_2011"/>
    <x v="4"/>
    <s v="6505551386"/>
    <s v="7734 Strong St."/>
    <s v=""/>
    <s v="San Francisco"/>
    <s v="CA"/>
    <s v=""/>
    <x v="0"/>
    <s v="NA"/>
    <s v="Brown"/>
    <s v="Julie"/>
    <s v="Julie, Brown"/>
    <s v="Small"/>
  </r>
  <r>
    <n v="10396"/>
    <n v="49"/>
    <n v="100"/>
    <n v="4900"/>
    <n v="4900"/>
    <n v="6"/>
    <s v="3/23/2005 0:00"/>
    <x v="0"/>
    <x v="0"/>
    <x v="11"/>
    <x v="2"/>
    <x v="5"/>
    <n v="122"/>
    <s v="S24_2011"/>
    <x v="39"/>
    <s v="4155551450"/>
    <s v="5677 Strong St."/>
    <s v=""/>
    <s v="San Rafael"/>
    <s v="CA"/>
    <s v="97562"/>
    <x v="0"/>
    <s v="NA"/>
    <s v="Nelson"/>
    <s v="Valarie"/>
    <s v="Valarie, Nelson"/>
    <s v="Medium"/>
  </r>
  <r>
    <n v="10414"/>
    <n v="23"/>
    <n v="100"/>
    <n v="2300"/>
    <n v="0"/>
    <n v="10"/>
    <s v="5/6/2005 0:00"/>
    <x v="4"/>
    <x v="1"/>
    <x v="1"/>
    <x v="2"/>
    <x v="5"/>
    <n v="122"/>
    <s v="S24_2011"/>
    <x v="58"/>
    <s v="6175559555"/>
    <s v="8616 Spinnaker Dr."/>
    <s v=""/>
    <s v="Boston"/>
    <s v="MA"/>
    <s v="51003"/>
    <x v="0"/>
    <s v="NA"/>
    <s v="Yoshido"/>
    <s v="Juri"/>
    <s v="Juri, Yoshido"/>
    <s v="Medium"/>
  </r>
  <r>
    <n v="10101"/>
    <n v="46"/>
    <n v="5376"/>
    <n v="247296"/>
    <n v="247296"/>
    <n v="2"/>
    <s v="1/9/2003 0:00"/>
    <x v="0"/>
    <x v="0"/>
    <x v="7"/>
    <x v="0"/>
    <x v="3"/>
    <n v="44"/>
    <s v="S24_2022"/>
    <x v="72"/>
    <s v="+49 69 66 90 2555"/>
    <s v="Lyonerstr. 34"/>
    <s v=""/>
    <s v="Frankfurt"/>
    <s v=""/>
    <s v="60528"/>
    <x v="16"/>
    <s v="EMEA"/>
    <s v="Keitel"/>
    <s v="Roland"/>
    <s v="Roland, Keitel"/>
    <s v="Small"/>
  </r>
  <r>
    <n v="10110"/>
    <n v="39"/>
    <n v="4435"/>
    <n v="172965"/>
    <n v="172965"/>
    <n v="2"/>
    <s v="3/18/2003 0:00"/>
    <x v="0"/>
    <x v="0"/>
    <x v="11"/>
    <x v="0"/>
    <x v="3"/>
    <n v="44"/>
    <s v="S24_2022"/>
    <x v="77"/>
    <s v="(171) 555-1555"/>
    <s v="Fauntleroy Circus"/>
    <s v=""/>
    <s v="Manchester"/>
    <s v=""/>
    <s v="EC2 5NT"/>
    <x v="6"/>
    <s v="EMEA"/>
    <s v="Ashworth"/>
    <s v="Victoria"/>
    <s v="Victoria, Ashworth"/>
    <s v="Small"/>
  </r>
  <r>
    <n v="10124"/>
    <n v="22"/>
    <n v="4525"/>
    <n v="99550"/>
    <n v="99550"/>
    <n v="1"/>
    <s v="5/21/2003 0:00"/>
    <x v="0"/>
    <x v="1"/>
    <x v="1"/>
    <x v="0"/>
    <x v="3"/>
    <n v="44"/>
    <s v="S24_2022"/>
    <x v="84"/>
    <s v="7025551838"/>
    <s v="8489 Strong St."/>
    <s v=""/>
    <s v="Las Vegas"/>
    <s v="NV"/>
    <s v="83030"/>
    <x v="0"/>
    <s v="NA"/>
    <s v="King"/>
    <s v="Sue"/>
    <s v="Sue, King"/>
    <s v="Small"/>
  </r>
  <r>
    <n v="10149"/>
    <n v="49"/>
    <n v="4928"/>
    <n v="241472"/>
    <n v="241472"/>
    <n v="6"/>
    <s v="9/12/2003 0:00"/>
    <x v="0"/>
    <x v="2"/>
    <x v="10"/>
    <x v="0"/>
    <x v="3"/>
    <n v="44"/>
    <s v="S24_2022"/>
    <x v="82"/>
    <s v="4155554312"/>
    <s v="2793 Furth Circle"/>
    <s v=""/>
    <s v="Brisbane"/>
    <s v="CA"/>
    <s v="94217"/>
    <x v="0"/>
    <s v="NA"/>
    <s v="Taylor"/>
    <s v="Sue"/>
    <s v="Sue, Taylor"/>
    <s v="Small"/>
  </r>
  <r>
    <n v="10162"/>
    <n v="43"/>
    <n v="3629"/>
    <n v="156047"/>
    <n v="156047"/>
    <n v="4"/>
    <s v="10/18/2003 0:00"/>
    <x v="0"/>
    <x v="3"/>
    <x v="4"/>
    <x v="0"/>
    <x v="3"/>
    <n v="44"/>
    <s v="S24_2022"/>
    <x v="4"/>
    <s v="6505551386"/>
    <s v="7734 Strong St."/>
    <s v=""/>
    <s v="San Francisco"/>
    <s v="CA"/>
    <s v=""/>
    <x v="0"/>
    <s v="NA"/>
    <s v="Brown"/>
    <s v="Julie"/>
    <s v="Julie, Brown"/>
    <s v="Small"/>
  </r>
  <r>
    <n v="10173"/>
    <n v="27"/>
    <n v="4122"/>
    <n v="111294"/>
    <n v="111294"/>
    <n v="8"/>
    <s v="11/5/2003 0:00"/>
    <x v="0"/>
    <x v="3"/>
    <x v="5"/>
    <x v="0"/>
    <x v="3"/>
    <n v="44"/>
    <s v="S24_2022"/>
    <x v="86"/>
    <s v="035-640555"/>
    <s v="Via Ludovico il Moro 22"/>
    <s v=""/>
    <s v="Bergamo"/>
    <s v=""/>
    <s v="24100"/>
    <x v="12"/>
    <s v="EMEA"/>
    <s v="Rovelli"/>
    <s v="Giovanni"/>
    <s v="Giovanni, Rovelli"/>
    <s v="Small"/>
  </r>
  <r>
    <n v="10182"/>
    <n v="31"/>
    <n v="3674"/>
    <n v="113894"/>
    <n v="113894"/>
    <n v="5"/>
    <s v="11/12/2003 0:00"/>
    <x v="0"/>
    <x v="3"/>
    <x v="5"/>
    <x v="0"/>
    <x v="3"/>
    <n v="44"/>
    <s v="S24_2022"/>
    <x v="39"/>
    <s v="4155551450"/>
    <s v="5677 Strong St."/>
    <s v=""/>
    <s v="San Rafael"/>
    <s v="CA"/>
    <s v="97562"/>
    <x v="0"/>
    <s v="NA"/>
    <s v="Nelson"/>
    <s v="Valarie"/>
    <s v="Valarie, Nelson"/>
    <s v="Small"/>
  </r>
  <r>
    <n v="10193"/>
    <n v="20"/>
    <n v="5062"/>
    <n v="101240"/>
    <n v="101240"/>
    <n v="9"/>
    <s v="11/21/2003 0:00"/>
    <x v="0"/>
    <x v="3"/>
    <x v="5"/>
    <x v="0"/>
    <x v="3"/>
    <n v="44"/>
    <s v="S24_2022"/>
    <x v="87"/>
    <s v="61-9-3844-6555"/>
    <s v="7 Allen Street"/>
    <s v=""/>
    <s v="Glen Waverly"/>
    <s v="Victoria"/>
    <s v="3150"/>
    <x v="3"/>
    <s v="APAC"/>
    <s v="Connery"/>
    <s v="Sean"/>
    <s v="Sean, Connery"/>
    <s v="Small"/>
  </r>
  <r>
    <n v="10205"/>
    <n v="24"/>
    <n v="3808"/>
    <n v="91392"/>
    <n v="91392"/>
    <n v="4"/>
    <s v="12/3/2003 0:00"/>
    <x v="0"/>
    <x v="3"/>
    <x v="6"/>
    <x v="0"/>
    <x v="3"/>
    <n v="44"/>
    <s v="S24_2022"/>
    <x v="23"/>
    <s v="(91) 555 94 44"/>
    <s v="C/ Moralzarzal, 86"/>
    <s v=""/>
    <s v="Madrid"/>
    <s v=""/>
    <s v="28034"/>
    <x v="7"/>
    <s v="EMEA"/>
    <s v="Freyre"/>
    <s v="Diego"/>
    <s v="Diego, Freyre"/>
    <s v="Small"/>
  </r>
  <r>
    <n v="10214"/>
    <n v="49"/>
    <n v="4794"/>
    <n v="234906"/>
    <n v="234906"/>
    <n v="2"/>
    <s v="1/26/2004 0:00"/>
    <x v="0"/>
    <x v="0"/>
    <x v="7"/>
    <x v="1"/>
    <x v="3"/>
    <n v="44"/>
    <s v="S24_2022"/>
    <x v="25"/>
    <s v="(91) 555 22 82"/>
    <s v="C/ Araquil, 67"/>
    <s v=""/>
    <s v="Madrid"/>
    <s v=""/>
    <s v="28023"/>
    <x v="7"/>
    <s v="EMEA"/>
    <s v="Sommer"/>
    <s v="Mart¡n"/>
    <s v="Mart¡n, Sommer"/>
    <s v="Small"/>
  </r>
  <r>
    <n v="10227"/>
    <n v="24"/>
    <n v="4838"/>
    <n v="116112"/>
    <n v="116112"/>
    <n v="5"/>
    <s v="3/2/2004 0:00"/>
    <x v="0"/>
    <x v="0"/>
    <x v="11"/>
    <x v="1"/>
    <x v="3"/>
    <n v="44"/>
    <s v="S24_2022"/>
    <x v="30"/>
    <s v="78.32.5555"/>
    <s v="2, rue du Commerce"/>
    <s v=""/>
    <s v="Lyon"/>
    <s v=""/>
    <s v="69004"/>
    <x v="1"/>
    <s v="EMEA"/>
    <s v="Saveley"/>
    <s v="Mary"/>
    <s v="Mary, Saveley"/>
    <s v="Small"/>
  </r>
  <r>
    <n v="10244"/>
    <n v="39"/>
    <n v="4525"/>
    <n v="176475"/>
    <n v="176475"/>
    <n v="9"/>
    <s v="4/29/2004 0:00"/>
    <x v="0"/>
    <x v="1"/>
    <x v="8"/>
    <x v="1"/>
    <x v="3"/>
    <n v="44"/>
    <s v="S24_2022"/>
    <x v="23"/>
    <s v="(91) 555 94 44"/>
    <s v="C/ Moralzarzal, 86"/>
    <s v=""/>
    <s v="Madrid"/>
    <s v=""/>
    <s v="28034"/>
    <x v="7"/>
    <s v="EMEA"/>
    <s v="Freyre"/>
    <s v="Diego"/>
    <s v="Diego, Freyre"/>
    <s v="Small"/>
  </r>
  <r>
    <n v="10255"/>
    <n v="37"/>
    <n v="457"/>
    <n v="16909"/>
    <n v="16909"/>
    <n v="2"/>
    <s v="6/4/2004 0:00"/>
    <x v="0"/>
    <x v="1"/>
    <x v="9"/>
    <x v="1"/>
    <x v="3"/>
    <n v="44"/>
    <s v="S24_2022"/>
    <x v="83"/>
    <s v="88.60.1555"/>
    <s v="24, place Kluber"/>
    <s v=""/>
    <s v="Strasbourg"/>
    <s v=""/>
    <s v="67000"/>
    <x v="1"/>
    <s v="EMEA"/>
    <s v="Citeaux"/>
    <s v="Frederique"/>
    <s v="Frederique, Citeaux"/>
    <s v="Small"/>
  </r>
  <r>
    <n v="10280"/>
    <n v="45"/>
    <n v="4749"/>
    <n v="213705"/>
    <n v="213705"/>
    <n v="11"/>
    <s v="8/17/2004 0:00"/>
    <x v="0"/>
    <x v="2"/>
    <x v="3"/>
    <x v="1"/>
    <x v="3"/>
    <n v="44"/>
    <s v="S24_2022"/>
    <x v="36"/>
    <s v="011-4988555"/>
    <s v="Via Monte Bianco 34"/>
    <s v=""/>
    <s v="Torino"/>
    <s v=""/>
    <s v="10100"/>
    <x v="12"/>
    <s v="EMEA"/>
    <s v="Accorti"/>
    <s v="Paolo"/>
    <s v="Paolo, Accorti"/>
    <s v="Small"/>
  </r>
  <r>
    <n v="10289"/>
    <n v="45"/>
    <n v="4838"/>
    <n v="217710"/>
    <n v="217710"/>
    <n v="4"/>
    <s v="9/3/2004 0:00"/>
    <x v="0"/>
    <x v="2"/>
    <x v="10"/>
    <x v="1"/>
    <x v="3"/>
    <n v="44"/>
    <s v="S24_2022"/>
    <x v="7"/>
    <s v="+47 2267 3215"/>
    <s v="Drammen 121, PR 744 Sentrum"/>
    <s v=""/>
    <s v="Bergen"/>
    <s v=""/>
    <s v="N 5804"/>
    <x v="2"/>
    <s v="EMEA"/>
    <s v="Oeztan"/>
    <s v="Veysel"/>
    <s v="Veysel, Oeztan"/>
    <s v="Small"/>
  </r>
  <r>
    <n v="10304"/>
    <n v="44"/>
    <n v="3942"/>
    <n v="173448"/>
    <n v="173448"/>
    <n v="15"/>
    <s v="10/11/2004 0:00"/>
    <x v="0"/>
    <x v="3"/>
    <x v="4"/>
    <x v="1"/>
    <x v="3"/>
    <n v="44"/>
    <s v="S24_2022"/>
    <x v="38"/>
    <s v="30.59.8555"/>
    <s v="67, avenue de l'Europe"/>
    <s v=""/>
    <s v="Versailles"/>
    <s v=""/>
    <s v="78000"/>
    <x v="1"/>
    <s v="EMEA"/>
    <s v="Tonini"/>
    <s v="Daniel"/>
    <s v="Daniel, Tonini"/>
    <s v="Small"/>
  </r>
  <r>
    <n v="10312"/>
    <n v="23"/>
    <n v="3763"/>
    <n v="86549"/>
    <n v="86549"/>
    <n v="12"/>
    <s v="10/21/2004 0:00"/>
    <x v="0"/>
    <x v="3"/>
    <x v="4"/>
    <x v="1"/>
    <x v="3"/>
    <n v="44"/>
    <s v="S24_2022"/>
    <x v="39"/>
    <s v="4155551450"/>
    <s v="5677 Strong St."/>
    <s v=""/>
    <s v="San Rafael"/>
    <s v="CA"/>
    <s v="97562"/>
    <x v="0"/>
    <s v="NA"/>
    <s v="Nelson"/>
    <s v="Valarie"/>
    <s v="Valarie, Nelson"/>
    <s v="Small"/>
  </r>
  <r>
    <n v="10322"/>
    <n v="30"/>
    <n v="100"/>
    <n v="3000"/>
    <n v="3000"/>
    <n v="4"/>
    <s v="11/4/2004 0:00"/>
    <x v="0"/>
    <x v="3"/>
    <x v="5"/>
    <x v="1"/>
    <x v="3"/>
    <n v="44"/>
    <s v="S24_2022"/>
    <x v="40"/>
    <s v="6035558647"/>
    <s v="2304 Long Airport Avenue"/>
    <s v=""/>
    <s v="Nashua"/>
    <s v="NH"/>
    <s v="62005"/>
    <x v="0"/>
    <s v="NA"/>
    <s v="Young"/>
    <s v="Valarie"/>
    <s v="Valarie, Young"/>
    <s v="Medium"/>
  </r>
  <r>
    <n v="10332"/>
    <n v="26"/>
    <n v="8552"/>
    <n v="222352"/>
    <n v="222352"/>
    <n v="10"/>
    <s v="11/17/2004 0:00"/>
    <x v="0"/>
    <x v="3"/>
    <x v="5"/>
    <x v="1"/>
    <x v="3"/>
    <n v="44"/>
    <s v="S24_2022"/>
    <x v="77"/>
    <s v="(171) 555-1555"/>
    <s v="Fauntleroy Circus"/>
    <s v=""/>
    <s v="Manchester"/>
    <s v=""/>
    <s v="EC2 5NT"/>
    <x v="6"/>
    <s v="EMEA"/>
    <s v="Ashworth"/>
    <s v="Victoria"/>
    <s v="Victoria, Ashworth"/>
    <s v="Small"/>
  </r>
  <r>
    <n v="10345"/>
    <n v="43"/>
    <n v="5376"/>
    <n v="231168"/>
    <n v="231168"/>
    <n v="1"/>
    <s v="11/25/2004 0:00"/>
    <x v="0"/>
    <x v="3"/>
    <x v="5"/>
    <x v="1"/>
    <x v="3"/>
    <n v="44"/>
    <s v="S24_2022"/>
    <x v="46"/>
    <s v="40.32.2555"/>
    <s v="54, rue Royale"/>
    <s v=""/>
    <s v="Nantes"/>
    <s v=""/>
    <s v="44000"/>
    <x v="1"/>
    <s v="EMEA"/>
    <s v="Schmitt"/>
    <s v="Carine"/>
    <s v="Carine, Schmitt"/>
    <s v="Small"/>
  </r>
  <r>
    <n v="10356"/>
    <n v="26"/>
    <n v="3186"/>
    <n v="82836"/>
    <n v="82836"/>
    <n v="7"/>
    <s v="12/9/2004 0:00"/>
    <x v="0"/>
    <x v="3"/>
    <x v="6"/>
    <x v="1"/>
    <x v="3"/>
    <n v="44"/>
    <s v="S24_2022"/>
    <x v="2"/>
    <s v="+33 1 46 62 7555"/>
    <s v="27 rue du Colonel Pierre Avia"/>
    <s v=""/>
    <s v="Paris"/>
    <s v=""/>
    <s v="75508"/>
    <x v="1"/>
    <s v="EMEA"/>
    <s v="Da Cunha"/>
    <s v="Daniel"/>
    <s v="Daniel, Da Cunha"/>
    <s v="Small"/>
  </r>
  <r>
    <n v="10367"/>
    <n v="28"/>
    <n v="3059"/>
    <n v="85652"/>
    <n v="85652"/>
    <n v="12"/>
    <s v="1/12/2005 0:00"/>
    <x v="5"/>
    <x v="0"/>
    <x v="7"/>
    <x v="2"/>
    <x v="3"/>
    <n v="44"/>
    <s v="S24_2022"/>
    <x v="3"/>
    <s v="6265557265"/>
    <s v="78934 Hillside Dr."/>
    <s v=""/>
    <s v="Pasadena"/>
    <s v="CA"/>
    <s v="90003"/>
    <x v="0"/>
    <s v="NA"/>
    <s v="Young"/>
    <s v="Julie"/>
    <s v="Julie, Young"/>
    <s v="Small"/>
  </r>
  <r>
    <n v="10380"/>
    <n v="27"/>
    <n v="6835"/>
    <n v="184545"/>
    <n v="184545"/>
    <n v="5"/>
    <s v="2/16/2005 0:00"/>
    <x v="0"/>
    <x v="0"/>
    <x v="0"/>
    <x v="2"/>
    <x v="3"/>
    <n v="44"/>
    <s v="S24_2022"/>
    <x v="23"/>
    <s v="(91) 555 94 44"/>
    <s v="C/ Moralzarzal, 86"/>
    <s v=""/>
    <s v="Madrid"/>
    <s v=""/>
    <s v="28034"/>
    <x v="7"/>
    <s v="EMEA"/>
    <s v="Freyre"/>
    <s v="Diego"/>
    <s v="Diego, Freyre"/>
    <s v="Small"/>
  </r>
  <r>
    <n v="10391"/>
    <n v="24"/>
    <n v="100"/>
    <n v="2400"/>
    <n v="2400"/>
    <n v="1"/>
    <s v="3/9/2005 0:00"/>
    <x v="0"/>
    <x v="0"/>
    <x v="11"/>
    <x v="2"/>
    <x v="3"/>
    <n v="44"/>
    <s v="S24_2022"/>
    <x v="42"/>
    <s v="02 9936 8555"/>
    <s v="201 Miller Street"/>
    <s v="Level 15"/>
    <s v="North Sydney"/>
    <s v="NSW"/>
    <s v="2060"/>
    <x v="3"/>
    <s v="APAC"/>
    <s v="O'Hara"/>
    <s v="Anna"/>
    <s v="Anna, O'Hara"/>
    <s v="Medium"/>
  </r>
  <r>
    <n v="10421"/>
    <n v="40"/>
    <n v="457"/>
    <n v="18280"/>
    <n v="0"/>
    <n v="2"/>
    <s v="5/29/2005 0:00"/>
    <x v="2"/>
    <x v="1"/>
    <x v="1"/>
    <x v="2"/>
    <x v="3"/>
    <n v="44"/>
    <s v="S24_2022"/>
    <x v="39"/>
    <s v="4155551450"/>
    <s v="5677 Strong St."/>
    <s v=""/>
    <s v="San Rafael"/>
    <s v="CA"/>
    <s v="97562"/>
    <x v="0"/>
    <s v="NA"/>
    <s v="Nelson"/>
    <s v="Valarie"/>
    <s v="Valarie, Nelson"/>
    <s v="Small"/>
  </r>
  <r>
    <n v="10103"/>
    <n v="36"/>
    <n v="100"/>
    <n v="3600"/>
    <n v="3600"/>
    <n v="1"/>
    <s v="1/29/2003 0:00"/>
    <x v="0"/>
    <x v="0"/>
    <x v="7"/>
    <x v="0"/>
    <x v="2"/>
    <n v="127"/>
    <s v="S24_2300"/>
    <x v="17"/>
    <s v="07-98 9555"/>
    <s v="Erling Skakkes gate 78"/>
    <s v=""/>
    <s v="Stavern"/>
    <s v=""/>
    <s v="4110"/>
    <x v="2"/>
    <s v="EMEA"/>
    <s v="Bergulfsen"/>
    <s v="Jonas"/>
    <s v="Jonas, Bergulfsen"/>
    <s v="Medium"/>
  </r>
  <r>
    <n v="10114"/>
    <n v="21"/>
    <n v="100"/>
    <n v="2100"/>
    <n v="2100"/>
    <n v="5"/>
    <s v="4/1/2003 0:00"/>
    <x v="0"/>
    <x v="1"/>
    <x v="8"/>
    <x v="0"/>
    <x v="2"/>
    <n v="127"/>
    <s v="S24_2300"/>
    <x v="62"/>
    <s v="(1) 42.34.2555"/>
    <s v="265, boulevard Charonne"/>
    <s v=""/>
    <s v="Paris"/>
    <s v=""/>
    <s v="75012"/>
    <x v="1"/>
    <s v="EMEA"/>
    <s v="Bertrand"/>
    <s v="Marie"/>
    <s v="Marie, Bertrand"/>
    <s v="Small"/>
  </r>
  <r>
    <n v="10126"/>
    <n v="27"/>
    <n v="100"/>
    <n v="2700"/>
    <n v="2700"/>
    <n v="1"/>
    <s v="5/28/2003 0:00"/>
    <x v="0"/>
    <x v="1"/>
    <x v="1"/>
    <x v="0"/>
    <x v="2"/>
    <n v="127"/>
    <s v="S24_2300"/>
    <x v="25"/>
    <s v="(91) 555 22 82"/>
    <s v="C/ Araquil, 67"/>
    <s v=""/>
    <s v="Madrid"/>
    <s v=""/>
    <s v="28023"/>
    <x v="7"/>
    <s v="EMEA"/>
    <s v="Sommer"/>
    <s v="Mart¡n"/>
    <s v="Mart¡n, Sommer"/>
    <s v="Medium"/>
  </r>
  <r>
    <n v="10140"/>
    <n v="47"/>
    <n v="100"/>
    <n v="4700"/>
    <n v="4700"/>
    <n v="1"/>
    <s v="7/24/2003 0:00"/>
    <x v="0"/>
    <x v="2"/>
    <x v="2"/>
    <x v="0"/>
    <x v="2"/>
    <n v="127"/>
    <s v="S24_2300"/>
    <x v="5"/>
    <s v="6505556809"/>
    <s v="9408 Furth Circle"/>
    <s v=""/>
    <s v="Burlingame"/>
    <s v="CA"/>
    <s v="94217"/>
    <x v="0"/>
    <s v="NA"/>
    <s v="Hirano"/>
    <s v="Juri"/>
    <s v="Juri, Hirano"/>
    <s v="Medium"/>
  </r>
  <r>
    <n v="10151"/>
    <n v="42"/>
    <n v="100"/>
    <n v="4200"/>
    <n v="4200"/>
    <n v="8"/>
    <s v="9/21/2003 0:00"/>
    <x v="0"/>
    <x v="2"/>
    <x v="10"/>
    <x v="0"/>
    <x v="2"/>
    <n v="127"/>
    <s v="S24_2300"/>
    <x v="60"/>
    <s v="981-443655"/>
    <s v="Torikatu 38"/>
    <s v=""/>
    <s v="Oulu"/>
    <s v=""/>
    <s v="90110"/>
    <x v="4"/>
    <s v="EMEA"/>
    <s v="Koskitalo"/>
    <s v="Pirkko"/>
    <s v="Pirkko, Koskitalo"/>
    <s v="Medium"/>
  </r>
  <r>
    <n v="10165"/>
    <n v="32"/>
    <n v="100"/>
    <n v="3200"/>
    <n v="3200"/>
    <n v="17"/>
    <s v="10/22/2003 0:00"/>
    <x v="0"/>
    <x v="3"/>
    <x v="4"/>
    <x v="0"/>
    <x v="2"/>
    <n v="127"/>
    <s v="S24_2300"/>
    <x v="26"/>
    <s v="+65 221 7555"/>
    <s v="Bronz Sok., Bronz Apt. 3/6 Tesvikiye"/>
    <s v=""/>
    <s v="Singapore"/>
    <s v=""/>
    <s v="79903"/>
    <x v="9"/>
    <s v="Japan"/>
    <s v="Natividad"/>
    <s v="Eric"/>
    <s v="Eric, Natividad"/>
    <s v="Medium"/>
  </r>
  <r>
    <n v="10175"/>
    <n v="28"/>
    <n v="100"/>
    <n v="2800"/>
    <n v="2800"/>
    <n v="6"/>
    <s v="11/6/2003 0:00"/>
    <x v="0"/>
    <x v="3"/>
    <x v="5"/>
    <x v="0"/>
    <x v="2"/>
    <n v="127"/>
    <s v="S24_2300"/>
    <x v="49"/>
    <s v="(171) 555-0297"/>
    <s v="35 King George"/>
    <s v=""/>
    <s v="London"/>
    <s v=""/>
    <s v="WX3 6FW"/>
    <x v="6"/>
    <s v="EMEA"/>
    <s v="Brown"/>
    <s v="Ann"/>
    <s v="Ann, Brown"/>
    <s v="Small"/>
  </r>
  <r>
    <n v="10184"/>
    <n v="24"/>
    <n v="100"/>
    <n v="2400"/>
    <n v="2400"/>
    <n v="11"/>
    <s v="11/14/2003 0:00"/>
    <x v="0"/>
    <x v="3"/>
    <x v="5"/>
    <x v="0"/>
    <x v="2"/>
    <n v="127"/>
    <s v="S24_2300"/>
    <x v="81"/>
    <s v="(95) 555 82 82"/>
    <s v="C/ Romero, 33"/>
    <s v=""/>
    <s v="Sevilla"/>
    <s v=""/>
    <s v="41101"/>
    <x v="7"/>
    <s v="EMEA"/>
    <s v="Roel"/>
    <s v="Jose Pedro"/>
    <s v="Jose Pedro, Roel"/>
    <s v="Medium"/>
  </r>
  <r>
    <n v="10194"/>
    <n v="49"/>
    <n v="100"/>
    <n v="4900"/>
    <n v="4900"/>
    <n v="1"/>
    <s v="11/25/2003 0:00"/>
    <x v="0"/>
    <x v="3"/>
    <x v="5"/>
    <x v="0"/>
    <x v="2"/>
    <n v="127"/>
    <s v="S24_2300"/>
    <x v="30"/>
    <s v="78.32.5555"/>
    <s v="2, rue du Commerce"/>
    <s v=""/>
    <s v="Lyon"/>
    <s v=""/>
    <s v="69004"/>
    <x v="1"/>
    <s v="EMEA"/>
    <s v="Saveley"/>
    <s v="Mary"/>
    <s v="Mary, Saveley"/>
    <s v="Medium"/>
  </r>
  <r>
    <n v="10207"/>
    <n v="46"/>
    <n v="100"/>
    <n v="4600"/>
    <n v="4600"/>
    <n v="12"/>
    <s v="12/9/2003 0:00"/>
    <x v="0"/>
    <x v="3"/>
    <x v="6"/>
    <x v="0"/>
    <x v="2"/>
    <n v="127"/>
    <s v="S24_2300"/>
    <x v="64"/>
    <s v="6175552555"/>
    <s v="6251 Ingle Ln."/>
    <s v=""/>
    <s v="Boston"/>
    <s v="MA"/>
    <s v="51003"/>
    <x v="0"/>
    <s v="NA"/>
    <s v="Franco"/>
    <s v="Valarie"/>
    <s v="Valarie, Franco"/>
    <s v="Medium"/>
  </r>
  <r>
    <n v="10217"/>
    <n v="28"/>
    <n v="100"/>
    <n v="2800"/>
    <n v="2800"/>
    <n v="1"/>
    <s v="2/4/2004 0:00"/>
    <x v="0"/>
    <x v="0"/>
    <x v="0"/>
    <x v="1"/>
    <x v="2"/>
    <n v="127"/>
    <s v="S24_2300"/>
    <x v="65"/>
    <s v="+65 224 1555"/>
    <s v="Village Close - 106 Linden Road Sandown"/>
    <s v="2nd Floor"/>
    <s v="Singapore"/>
    <s v=""/>
    <s v="69045"/>
    <x v="9"/>
    <s v="APAC"/>
    <s v="Victorino"/>
    <s v="Wendy"/>
    <s v="Wendy, Victorino"/>
    <s v="Medium"/>
  </r>
  <r>
    <n v="10229"/>
    <n v="48"/>
    <n v="100"/>
    <n v="4800"/>
    <n v="4800"/>
    <n v="6"/>
    <s v="3/11/2004 0:00"/>
    <x v="0"/>
    <x v="0"/>
    <x v="11"/>
    <x v="1"/>
    <x v="2"/>
    <n v="127"/>
    <s v="S24_2300"/>
    <x v="39"/>
    <s v="4155551450"/>
    <s v="5677 Strong St."/>
    <s v=""/>
    <s v="San Rafael"/>
    <s v="CA"/>
    <s v="97562"/>
    <x v="0"/>
    <s v="NA"/>
    <s v="Nelson"/>
    <s v="Valarie"/>
    <s v="Valarie, Nelson"/>
    <s v="Medium"/>
  </r>
  <r>
    <n v="10246"/>
    <n v="29"/>
    <n v="100"/>
    <n v="2900"/>
    <n v="2900"/>
    <n v="10"/>
    <s v="5/5/2004 0:00"/>
    <x v="0"/>
    <x v="1"/>
    <x v="1"/>
    <x v="1"/>
    <x v="2"/>
    <n v="127"/>
    <s v="S24_2300"/>
    <x v="23"/>
    <s v="(91) 555 94 44"/>
    <s v="C/ Moralzarzal, 86"/>
    <s v=""/>
    <s v="Madrid"/>
    <s v=""/>
    <s v="28034"/>
    <x v="7"/>
    <s v="EMEA"/>
    <s v="Freyre"/>
    <s v="Diego"/>
    <s v="Diego, Freyre"/>
    <s v="Medium"/>
  </r>
  <r>
    <n v="10259"/>
    <n v="47"/>
    <n v="100"/>
    <n v="4700"/>
    <n v="4700"/>
    <n v="9"/>
    <s v="6/15/2004 0:00"/>
    <x v="0"/>
    <x v="1"/>
    <x v="9"/>
    <x v="1"/>
    <x v="2"/>
    <n v="127"/>
    <s v="S24_2300"/>
    <x v="65"/>
    <s v="+65 224 1555"/>
    <s v="Village Close - 106 Linden Road Sandown"/>
    <s v="2nd Floor"/>
    <s v="Singapore"/>
    <s v=""/>
    <s v="69045"/>
    <x v="9"/>
    <s v="APAC"/>
    <s v="Victorino"/>
    <s v="Wendy"/>
    <s v="Wendy, Victorino"/>
    <s v="Medium"/>
  </r>
  <r>
    <n v="10271"/>
    <n v="43"/>
    <n v="100"/>
    <n v="4300"/>
    <n v="4300"/>
    <n v="10"/>
    <s v="7/20/2004 0:00"/>
    <x v="0"/>
    <x v="2"/>
    <x v="2"/>
    <x v="1"/>
    <x v="2"/>
    <n v="127"/>
    <s v="S24_2300"/>
    <x v="39"/>
    <s v="4155551450"/>
    <s v="5677 Strong St."/>
    <s v=""/>
    <s v="San Rafael"/>
    <s v="CA"/>
    <s v="97562"/>
    <x v="0"/>
    <s v="NA"/>
    <s v="Nelson"/>
    <s v="Valarie"/>
    <s v="Valarie, Nelson"/>
    <s v="Medium"/>
  </r>
  <r>
    <n v="10281"/>
    <n v="25"/>
    <n v="100"/>
    <n v="2500"/>
    <n v="2500"/>
    <n v="6"/>
    <s v="8/19/2004 0:00"/>
    <x v="0"/>
    <x v="2"/>
    <x v="3"/>
    <x v="1"/>
    <x v="2"/>
    <n v="127"/>
    <s v="S24_2300"/>
    <x v="18"/>
    <s v="2155551555"/>
    <s v="7586 Pompton St."/>
    <s v=""/>
    <s v="Allentown"/>
    <s v="PA"/>
    <s v="70267"/>
    <x v="0"/>
    <s v="NA"/>
    <s v="Yu"/>
    <s v="Kyung"/>
    <s v="Kyung, Yu"/>
    <s v="Small"/>
  </r>
  <r>
    <n v="10291"/>
    <n v="48"/>
    <n v="100"/>
    <n v="4800"/>
    <n v="4800"/>
    <n v="1"/>
    <s v="9/8/2004 0:00"/>
    <x v="0"/>
    <x v="2"/>
    <x v="10"/>
    <x v="1"/>
    <x v="2"/>
    <n v="127"/>
    <s v="S24_2300"/>
    <x v="37"/>
    <s v="0695-34 6555"/>
    <s v="?kergatan 24"/>
    <s v=""/>
    <s v="Boras"/>
    <s v=""/>
    <s v="S-844 67"/>
    <x v="8"/>
    <s v="EMEA"/>
    <s v="Larsson"/>
    <s v="Maria"/>
    <s v="Maria, Larsson"/>
    <s v="Medium"/>
  </r>
  <r>
    <n v="10305"/>
    <n v="24"/>
    <n v="100"/>
    <n v="2400"/>
    <n v="2400"/>
    <n v="10"/>
    <s v="10/13/2004 0:00"/>
    <x v="0"/>
    <x v="3"/>
    <x v="4"/>
    <x v="1"/>
    <x v="2"/>
    <n v="127"/>
    <s v="S24_2300"/>
    <x v="15"/>
    <s v="6175558555"/>
    <s v="39323 Spinnaker Dr."/>
    <s v=""/>
    <s v="Cambridge"/>
    <s v="MA"/>
    <s v="51247"/>
    <x v="0"/>
    <s v="NA"/>
    <s v="Hernandez"/>
    <s v="Marta"/>
    <s v="Marta, Hernandez"/>
    <s v="Medium"/>
  </r>
  <r>
    <n v="10313"/>
    <n v="42"/>
    <n v="100"/>
    <n v="4200"/>
    <n v="4200"/>
    <n v="4"/>
    <s v="10/22/2004 0:00"/>
    <x v="0"/>
    <x v="3"/>
    <x v="4"/>
    <x v="1"/>
    <x v="2"/>
    <n v="127"/>
    <s v="S24_2300"/>
    <x v="31"/>
    <s v="(604) 555-3392"/>
    <s v="1900 Oak St."/>
    <s v=""/>
    <s v="Vancouver"/>
    <s v="BC"/>
    <s v="V3F 2K1"/>
    <x v="10"/>
    <s v="NA"/>
    <s v="Tannamuri"/>
    <s v="Yoshi"/>
    <s v="Yoshi, Tannamuri"/>
    <s v="Medium"/>
  </r>
  <r>
    <n v="10324"/>
    <n v="31"/>
    <n v="100"/>
    <n v="3100"/>
    <n v="3100"/>
    <n v="2"/>
    <s v="11/5/2004 0:00"/>
    <x v="0"/>
    <x v="3"/>
    <x v="5"/>
    <x v="1"/>
    <x v="2"/>
    <n v="127"/>
    <s v="S24_2300"/>
    <x v="11"/>
    <s v="2125551500"/>
    <s v="2678 Kingston Rd."/>
    <s v="Suite 101"/>
    <s v="NYC"/>
    <s v="NY"/>
    <s v="10022"/>
    <x v="0"/>
    <s v="NA"/>
    <s v="Frick"/>
    <s v="Michael"/>
    <s v="Michael, Frick"/>
    <s v="Medium"/>
  </r>
  <r>
    <n v="10334"/>
    <n v="42"/>
    <n v="100"/>
    <n v="4200"/>
    <n v="0"/>
    <n v="5"/>
    <s v="11/19/2004 0:00"/>
    <x v="4"/>
    <x v="3"/>
    <x v="5"/>
    <x v="1"/>
    <x v="2"/>
    <n v="127"/>
    <s v="S24_2300"/>
    <x v="24"/>
    <s v="0921-12 3555"/>
    <s v="Berguvsv„gen  8"/>
    <s v=""/>
    <s v="Lule"/>
    <s v=""/>
    <s v="S-958 22"/>
    <x v="8"/>
    <s v="EMEA"/>
    <s v="Berglund"/>
    <s v="Christina"/>
    <s v="Christina, Berglund"/>
    <s v="Medium"/>
  </r>
  <r>
    <n v="10348"/>
    <n v="37"/>
    <n v="100"/>
    <n v="3700"/>
    <n v="3700"/>
    <n v="1"/>
    <s v="11/1/2004 0:00"/>
    <x v="0"/>
    <x v="3"/>
    <x v="5"/>
    <x v="1"/>
    <x v="2"/>
    <n v="127"/>
    <s v="S24_2300"/>
    <x v="25"/>
    <s v="(91) 555 22 82"/>
    <s v="C/ Araquil, 67"/>
    <s v=""/>
    <s v="Madrid"/>
    <s v=""/>
    <s v="28023"/>
    <x v="7"/>
    <s v="EMEA"/>
    <s v="Sommer"/>
    <s v="Mart¡n"/>
    <s v="Mart¡n, Sommer"/>
    <s v="Medium"/>
  </r>
  <r>
    <n v="10358"/>
    <n v="41"/>
    <n v="100"/>
    <n v="4100"/>
    <n v="4100"/>
    <n v="7"/>
    <s v="12/10/2004 0:00"/>
    <x v="0"/>
    <x v="3"/>
    <x v="6"/>
    <x v="1"/>
    <x v="2"/>
    <n v="127"/>
    <s v="S24_2300"/>
    <x v="23"/>
    <s v="(91) 555 94 44"/>
    <s v="C/ Moralzarzal, 86"/>
    <s v=""/>
    <s v="Madrid"/>
    <s v=""/>
    <s v="28034"/>
    <x v="7"/>
    <s v="EMEA"/>
    <s v="Freyre"/>
    <s v="Diego"/>
    <s v="Diego, Freyre"/>
    <s v="Medium"/>
  </r>
  <r>
    <n v="10371"/>
    <n v="20"/>
    <n v="100"/>
    <n v="2000"/>
    <n v="2000"/>
    <n v="5"/>
    <s v="1/23/2005 0:00"/>
    <x v="0"/>
    <x v="0"/>
    <x v="7"/>
    <x v="2"/>
    <x v="2"/>
    <n v="127"/>
    <s v="S24_2300"/>
    <x v="39"/>
    <s v="4155551450"/>
    <s v="5677 Strong St."/>
    <s v=""/>
    <s v="San Rafael"/>
    <s v="CA"/>
    <s v="97562"/>
    <x v="0"/>
    <s v="NA"/>
    <s v="Nelson"/>
    <s v="Valarie"/>
    <s v="Valarie, Nelson"/>
    <s v="Medium"/>
  </r>
  <r>
    <n v="10382"/>
    <n v="20"/>
    <n v="100"/>
    <n v="2000"/>
    <n v="2000"/>
    <n v="3"/>
    <s v="2/17/2005 0:00"/>
    <x v="0"/>
    <x v="0"/>
    <x v="0"/>
    <x v="2"/>
    <x v="2"/>
    <n v="127"/>
    <s v="S24_2300"/>
    <x v="39"/>
    <s v="4155551450"/>
    <s v="5677 Strong St."/>
    <s v=""/>
    <s v="San Rafael"/>
    <s v="CA"/>
    <s v="97562"/>
    <x v="0"/>
    <s v="NA"/>
    <s v="Nelson"/>
    <s v="Valarie"/>
    <s v="Valarie, Nelson"/>
    <s v="Small"/>
  </r>
  <r>
    <n v="10412"/>
    <n v="70"/>
    <n v="100"/>
    <n v="7000"/>
    <n v="7000"/>
    <n v="10"/>
    <s v="5/3/2005 0:00"/>
    <x v="0"/>
    <x v="1"/>
    <x v="1"/>
    <x v="2"/>
    <x v="2"/>
    <n v="127"/>
    <s v="S24_2300"/>
    <x v="23"/>
    <s v="(91) 555 94 44"/>
    <s v="C/ Moralzarzal, 86"/>
    <s v=""/>
    <s v="Madrid"/>
    <s v=""/>
    <s v="28034"/>
    <x v="7"/>
    <s v="EMEA"/>
    <s v="Freyre"/>
    <s v="Diego"/>
    <s v="Diego, Freyre"/>
    <s v="Large"/>
  </r>
  <r>
    <n v="10425"/>
    <n v="49"/>
    <n v="100"/>
    <n v="4900"/>
    <n v="0"/>
    <n v="9"/>
    <s v="5/31/2005 0:00"/>
    <x v="2"/>
    <x v="1"/>
    <x v="1"/>
    <x v="2"/>
    <x v="2"/>
    <n v="127"/>
    <s v="S24_2300"/>
    <x v="14"/>
    <s v="40.67.8555"/>
    <s v="67, rue des Cinquante Otages"/>
    <s v=""/>
    <s v="Nantes"/>
    <s v=""/>
    <s v="44000"/>
    <x v="1"/>
    <s v="EMEA"/>
    <s v="Labrune"/>
    <s v="Janine"/>
    <s v="Janine, Labrune"/>
    <s v="Medium"/>
  </r>
  <r>
    <n v="10108"/>
    <n v="35"/>
    <n v="5887"/>
    <n v="206045"/>
    <n v="206045"/>
    <n v="15"/>
    <s v="3/3/2003 0:00"/>
    <x v="0"/>
    <x v="0"/>
    <x v="11"/>
    <x v="0"/>
    <x v="0"/>
    <n v="69"/>
    <s v="S24_2360"/>
    <x v="66"/>
    <s v="+63 2 555 3587"/>
    <s v="15 McCallum Street - NatWest Center #13-03"/>
    <s v=""/>
    <s v="Makati City"/>
    <s v=""/>
    <s v="1227 MM"/>
    <x v="15"/>
    <s v="Japan"/>
    <s v="Cruz"/>
    <s v="Arnold"/>
    <s v="Arnold, Cruz"/>
    <s v="Small"/>
  </r>
  <r>
    <n v="10121"/>
    <n v="32"/>
    <n v="7688"/>
    <n v="246016"/>
    <n v="246016"/>
    <n v="2"/>
    <s v="5/7/2003 0:00"/>
    <x v="0"/>
    <x v="1"/>
    <x v="1"/>
    <x v="0"/>
    <x v="0"/>
    <n v="69"/>
    <s v="S24_2360"/>
    <x v="1"/>
    <s v="26.47.1555"/>
    <s v="59 rue de l'Abbaye"/>
    <s v=""/>
    <s v="Reims"/>
    <s v=""/>
    <s v="51100"/>
    <x v="1"/>
    <s v="EMEA"/>
    <s v="Henriot"/>
    <s v="Paul"/>
    <s v="Paul, Henriot"/>
    <s v="Small"/>
  </r>
  <r>
    <n v="10135"/>
    <n v="29"/>
    <n v="6164"/>
    <n v="178756"/>
    <n v="178756"/>
    <n v="16"/>
    <s v="7/2/2003 0:00"/>
    <x v="0"/>
    <x v="2"/>
    <x v="2"/>
    <x v="0"/>
    <x v="0"/>
    <n v="69"/>
    <s v="S24_2360"/>
    <x v="39"/>
    <s v="4155551450"/>
    <s v="5677 Strong St."/>
    <s v=""/>
    <s v="San Rafael"/>
    <s v="CA"/>
    <s v="97562"/>
    <x v="0"/>
    <s v="NA"/>
    <s v="Nelson"/>
    <s v="Valarie"/>
    <s v="Valarie, Nelson"/>
    <s v="Small"/>
  </r>
  <r>
    <n v="10145"/>
    <n v="27"/>
    <n v="6095"/>
    <n v="164565"/>
    <n v="164565"/>
    <n v="3"/>
    <s v="8/25/2003 0:00"/>
    <x v="0"/>
    <x v="2"/>
    <x v="3"/>
    <x v="0"/>
    <x v="0"/>
    <n v="69"/>
    <s v="S24_2360"/>
    <x v="3"/>
    <s v="6265557265"/>
    <s v="78934 Hillside Dr."/>
    <s v=""/>
    <s v="Pasadena"/>
    <s v="CA"/>
    <s v="90003"/>
    <x v="0"/>
    <s v="NA"/>
    <s v="Young"/>
    <s v="Julie"/>
    <s v="Julie, Young"/>
    <s v="Small"/>
  </r>
  <r>
    <n v="10159"/>
    <n v="27"/>
    <n v="8034"/>
    <n v="216918"/>
    <n v="216918"/>
    <n v="11"/>
    <s v="10/10/2003 0:00"/>
    <x v="0"/>
    <x v="3"/>
    <x v="4"/>
    <x v="0"/>
    <x v="0"/>
    <n v="69"/>
    <s v="S24_2360"/>
    <x v="4"/>
    <s v="6505551386"/>
    <s v="7734 Strong St."/>
    <s v=""/>
    <s v="San Francisco"/>
    <s v="CA"/>
    <s v=""/>
    <x v="0"/>
    <s v="NA"/>
    <s v="Brown"/>
    <s v="Julie"/>
    <s v="Julie, Brown"/>
    <s v="Small"/>
  </r>
  <r>
    <n v="10169"/>
    <n v="38"/>
    <n v="7411"/>
    <n v="281618"/>
    <n v="281618"/>
    <n v="11"/>
    <s v="11/4/2003 0:00"/>
    <x v="0"/>
    <x v="3"/>
    <x v="5"/>
    <x v="0"/>
    <x v="0"/>
    <n v="69"/>
    <s v="S24_2360"/>
    <x v="42"/>
    <s v="02 9936 8555"/>
    <s v="201 Miller Street"/>
    <s v="Level 15"/>
    <s v="North Sydney"/>
    <s v="NSW"/>
    <s v="2060"/>
    <x v="3"/>
    <s v="APAC"/>
    <s v="O'Hara"/>
    <s v="Anna"/>
    <s v="Anna, O'Hara"/>
    <s v="Small"/>
  </r>
  <r>
    <n v="10180"/>
    <n v="35"/>
    <n v="7203"/>
    <n v="252105"/>
    <n v="252105"/>
    <n v="6"/>
    <s v="11/11/2003 0:00"/>
    <x v="0"/>
    <x v="3"/>
    <x v="5"/>
    <x v="0"/>
    <x v="0"/>
    <n v="69"/>
    <s v="S24_2360"/>
    <x v="6"/>
    <s v="20.16.1555"/>
    <s v="184, chausse de Tournai"/>
    <s v=""/>
    <s v="Lille"/>
    <s v=""/>
    <s v="59000"/>
    <x v="1"/>
    <s v="EMEA"/>
    <s v="Rance"/>
    <s v="Martine"/>
    <s v="Martine, Rance"/>
    <s v="Small"/>
  </r>
  <r>
    <n v="10190"/>
    <n v="42"/>
    <n v="7619"/>
    <n v="319998"/>
    <n v="319998"/>
    <n v="3"/>
    <s v="11/19/2003 0:00"/>
    <x v="0"/>
    <x v="3"/>
    <x v="5"/>
    <x v="0"/>
    <x v="0"/>
    <n v="69"/>
    <s v="S24_2360"/>
    <x v="23"/>
    <s v="(91) 555 94 44"/>
    <s v="C/ Moralzarzal, 86"/>
    <s v=""/>
    <s v="Madrid"/>
    <s v=""/>
    <s v="28034"/>
    <x v="7"/>
    <s v="EMEA"/>
    <s v="Freyre"/>
    <s v="Diego"/>
    <s v="Diego, Freyre"/>
    <s v="Medium"/>
  </r>
  <r>
    <n v="10211"/>
    <n v="21"/>
    <n v="6372"/>
    <n v="133812"/>
    <n v="133812"/>
    <n v="11"/>
    <s v="1/15/2004 0:00"/>
    <x v="0"/>
    <x v="0"/>
    <x v="7"/>
    <x v="1"/>
    <x v="0"/>
    <n v="69"/>
    <s v="S24_2360"/>
    <x v="9"/>
    <s v="(1) 47.55.6555"/>
    <s v="25, rue Lauriston"/>
    <s v=""/>
    <s v="Paris"/>
    <s v=""/>
    <s v="75016"/>
    <x v="1"/>
    <s v="EMEA"/>
    <s v="Perrier"/>
    <s v="Dominique"/>
    <s v="Dominique, Perrier"/>
    <s v="Small"/>
  </r>
  <r>
    <n v="10224"/>
    <n v="37"/>
    <n v="8034"/>
    <n v="297258"/>
    <n v="297258"/>
    <n v="4"/>
    <s v="2/21/2004 0:00"/>
    <x v="0"/>
    <x v="0"/>
    <x v="0"/>
    <x v="1"/>
    <x v="0"/>
    <n v="69"/>
    <s v="S24_2360"/>
    <x v="6"/>
    <s v="20.16.1555"/>
    <s v="184, chausse de Tournai"/>
    <s v=""/>
    <s v="Lille"/>
    <s v=""/>
    <s v="59000"/>
    <x v="1"/>
    <s v="EMEA"/>
    <s v="Rance"/>
    <s v="Martine"/>
    <s v="Martine, Rance"/>
    <s v="Small"/>
  </r>
  <r>
    <n v="10237"/>
    <n v="26"/>
    <n v="7965"/>
    <n v="207090"/>
    <n v="207090"/>
    <n v="4"/>
    <s v="4/5/2004 0:00"/>
    <x v="0"/>
    <x v="1"/>
    <x v="8"/>
    <x v="1"/>
    <x v="0"/>
    <n v="69"/>
    <s v="S24_2360"/>
    <x v="11"/>
    <s v="2125551500"/>
    <s v="2678 Kingston Rd."/>
    <s v="Suite 101"/>
    <s v="NYC"/>
    <s v="NY"/>
    <s v="10022"/>
    <x v="0"/>
    <s v="NA"/>
    <s v="Frick"/>
    <s v="Michael"/>
    <s v="Michael, Frick"/>
    <s v="Small"/>
  </r>
  <r>
    <n v="10252"/>
    <n v="47"/>
    <n v="658"/>
    <n v="30926"/>
    <n v="30926"/>
    <n v="8"/>
    <s v="5/26/2004 0:00"/>
    <x v="0"/>
    <x v="1"/>
    <x v="1"/>
    <x v="1"/>
    <x v="0"/>
    <n v="69"/>
    <s v="S24_2360"/>
    <x v="9"/>
    <s v="(1) 47.55.6555"/>
    <s v="25, rue Lauriston"/>
    <s v=""/>
    <s v="Paris"/>
    <s v=""/>
    <s v="75016"/>
    <x v="1"/>
    <s v="EMEA"/>
    <s v="Perrier"/>
    <s v="Dominique"/>
    <s v="Dominique, Perrier"/>
    <s v="Medium"/>
  </r>
  <r>
    <n v="10264"/>
    <n v="37"/>
    <n v="651"/>
    <n v="24087"/>
    <n v="24087"/>
    <n v="6"/>
    <s v="6/30/2004 0:00"/>
    <x v="0"/>
    <x v="1"/>
    <x v="9"/>
    <x v="1"/>
    <x v="0"/>
    <n v="69"/>
    <s v="S24_2360"/>
    <x v="58"/>
    <s v="6175559555"/>
    <s v="8616 Spinnaker Dr."/>
    <s v=""/>
    <s v="Boston"/>
    <s v="MA"/>
    <s v="51003"/>
    <x v="0"/>
    <s v="NA"/>
    <s v="Yoshido"/>
    <s v="Juri"/>
    <s v="Juri, Yoshido"/>
    <s v="Small"/>
  </r>
  <r>
    <n v="10276"/>
    <n v="46"/>
    <n v="7549"/>
    <n v="347254"/>
    <n v="347254"/>
    <n v="12"/>
    <s v="8/2/2004 0:00"/>
    <x v="0"/>
    <x v="2"/>
    <x v="3"/>
    <x v="1"/>
    <x v="0"/>
    <n v="69"/>
    <s v="S24_2360"/>
    <x v="71"/>
    <s v="6175557555"/>
    <s v="7635 Spinnaker Dr."/>
    <s v=""/>
    <s v="Brickhaven"/>
    <s v="MA"/>
    <s v="58339"/>
    <x v="0"/>
    <s v="NA"/>
    <s v="Barajas"/>
    <s v="Miguel"/>
    <s v="Miguel, Barajas"/>
    <s v="Medium"/>
  </r>
  <r>
    <n v="10285"/>
    <n v="38"/>
    <n v="5956"/>
    <n v="226328"/>
    <n v="226328"/>
    <n v="3"/>
    <s v="8/27/2004 0:00"/>
    <x v="0"/>
    <x v="2"/>
    <x v="3"/>
    <x v="1"/>
    <x v="0"/>
    <n v="69"/>
    <s v="S24_2360"/>
    <x v="15"/>
    <s v="6175558555"/>
    <s v="39323 Spinnaker Dr."/>
    <s v=""/>
    <s v="Cambridge"/>
    <s v="MA"/>
    <s v="51247"/>
    <x v="0"/>
    <s v="NA"/>
    <s v="Hernandez"/>
    <s v="Marta"/>
    <s v="Marta, Hernandez"/>
    <s v="Small"/>
  </r>
  <r>
    <n v="10299"/>
    <n v="33"/>
    <n v="6649"/>
    <n v="219417"/>
    <n v="219417"/>
    <n v="6"/>
    <s v="9/30/2004 0:00"/>
    <x v="0"/>
    <x v="2"/>
    <x v="10"/>
    <x v="1"/>
    <x v="0"/>
    <n v="69"/>
    <s v="S24_2360"/>
    <x v="16"/>
    <s v="90-224 8555"/>
    <s v="Keskuskatu 45"/>
    <s v=""/>
    <s v="Helsinki"/>
    <s v=""/>
    <s v="21240"/>
    <x v="4"/>
    <s v="EMEA"/>
    <s v="Karttunen"/>
    <s v="Matti"/>
    <s v="Matti, Karttunen"/>
    <s v="Small"/>
  </r>
  <r>
    <n v="10309"/>
    <n v="24"/>
    <n v="561"/>
    <n v="13464"/>
    <n v="13464"/>
    <n v="2"/>
    <s v="10/15/2004 0:00"/>
    <x v="0"/>
    <x v="3"/>
    <x v="4"/>
    <x v="1"/>
    <x v="0"/>
    <n v="69"/>
    <s v="S24_2360"/>
    <x v="17"/>
    <s v="07-98 9555"/>
    <s v="Erling Skakkes gate 78"/>
    <s v=""/>
    <s v="Stavern"/>
    <s v=""/>
    <s v="4110"/>
    <x v="2"/>
    <s v="EMEA"/>
    <s v="Bergulfsen"/>
    <s v="Jonas"/>
    <s v="Jonas, Bergulfsen"/>
    <s v="Small"/>
  </r>
  <r>
    <n v="10319"/>
    <n v="31"/>
    <n v="8173"/>
    <n v="253363"/>
    <n v="253363"/>
    <n v="7"/>
    <s v="11/3/2004 0:00"/>
    <x v="0"/>
    <x v="3"/>
    <x v="5"/>
    <x v="1"/>
    <x v="0"/>
    <n v="69"/>
    <s v="S24_2360"/>
    <x v="79"/>
    <s v="2125551957"/>
    <s v="5290 North Pendale Street"/>
    <s v="Suite 200"/>
    <s v="NYC"/>
    <s v="NY"/>
    <s v="10022"/>
    <x v="0"/>
    <s v="NA"/>
    <s v="Kuo"/>
    <s v="Kee"/>
    <s v="Kee, Kuo"/>
    <s v="Small"/>
  </r>
  <r>
    <n v="10330"/>
    <n v="42"/>
    <n v="8103"/>
    <n v="340326"/>
    <n v="340326"/>
    <n v="1"/>
    <s v="11/16/2004 0:00"/>
    <x v="0"/>
    <x v="3"/>
    <x v="5"/>
    <x v="1"/>
    <x v="0"/>
    <n v="69"/>
    <s v="S24_2360"/>
    <x v="66"/>
    <s v="+63 2 555 3587"/>
    <s v="15 McCallum Street - NatWest Center #13-03"/>
    <s v=""/>
    <s v="Makati City"/>
    <s v=""/>
    <s v="1227 MM"/>
    <x v="15"/>
    <s v="Japan"/>
    <s v="Cruz"/>
    <s v="Arnold"/>
    <s v="Arnold, Cruz"/>
    <s v="Medium"/>
  </r>
  <r>
    <n v="10341"/>
    <n v="32"/>
    <n v="100"/>
    <n v="3200"/>
    <n v="3200"/>
    <n v="6"/>
    <s v="11/24/2004 0:00"/>
    <x v="0"/>
    <x v="3"/>
    <x v="5"/>
    <x v="1"/>
    <x v="0"/>
    <n v="69"/>
    <s v="S24_2360"/>
    <x v="19"/>
    <s v="6562-9555"/>
    <s v="Geislweg 14"/>
    <s v=""/>
    <s v="Salzburg"/>
    <s v=""/>
    <s v="5020"/>
    <x v="5"/>
    <s v="EMEA"/>
    <s v="Pipps"/>
    <s v="Georg"/>
    <s v="Georg, Pipps"/>
    <s v="Medium"/>
  </r>
  <r>
    <n v="10355"/>
    <n v="41"/>
    <n v="7065"/>
    <n v="289665"/>
    <n v="289665"/>
    <n v="3"/>
    <s v="12/7/2004 0:00"/>
    <x v="0"/>
    <x v="3"/>
    <x v="6"/>
    <x v="1"/>
    <x v="0"/>
    <n v="69"/>
    <s v="S24_2360"/>
    <x v="23"/>
    <s v="(91) 555 94 44"/>
    <s v="C/ Moralzarzal, 86"/>
    <s v=""/>
    <s v="Madrid"/>
    <s v=""/>
    <s v="28034"/>
    <x v="7"/>
    <s v="EMEA"/>
    <s v="Freyre"/>
    <s v="Diego"/>
    <s v="Diego, Freyre"/>
    <s v="Small"/>
  </r>
  <r>
    <n v="10363"/>
    <n v="43"/>
    <n v="6123"/>
    <n v="263289"/>
    <n v="263289"/>
    <n v="14"/>
    <s v="1/6/2005 0:00"/>
    <x v="0"/>
    <x v="0"/>
    <x v="7"/>
    <x v="2"/>
    <x v="0"/>
    <n v="69"/>
    <s v="S24_2360"/>
    <x v="73"/>
    <s v="+358 9 8045 555"/>
    <s v="Software Engineering Center, SEC Oy"/>
    <s v=""/>
    <s v="Espoo"/>
    <s v=""/>
    <s v="FIN-02271"/>
    <x v="4"/>
    <s v="EMEA"/>
    <s v="Suominen"/>
    <s v="Kalle"/>
    <s v="Kalle, Suominen"/>
    <s v="Small"/>
  </r>
  <r>
    <n v="10375"/>
    <n v="20"/>
    <n v="100"/>
    <n v="2000"/>
    <n v="2000"/>
    <n v="14"/>
    <s v="2/3/2005 0:00"/>
    <x v="0"/>
    <x v="0"/>
    <x v="0"/>
    <x v="2"/>
    <x v="0"/>
    <n v="69"/>
    <s v="S24_2360"/>
    <x v="14"/>
    <s v="40.67.8555"/>
    <s v="67, rue des Cinquante Otages"/>
    <s v=""/>
    <s v="Nantes"/>
    <s v=""/>
    <s v="44000"/>
    <x v="1"/>
    <s v="EMEA"/>
    <s v="Labrune"/>
    <s v="Janine"/>
    <s v="Janine, Labrune"/>
    <s v="Small"/>
  </r>
  <r>
    <n v="10390"/>
    <n v="35"/>
    <n v="6513"/>
    <n v="227955"/>
    <n v="227955"/>
    <n v="4"/>
    <s v="3/4/2005 0:00"/>
    <x v="0"/>
    <x v="0"/>
    <x v="11"/>
    <x v="2"/>
    <x v="0"/>
    <n v="69"/>
    <s v="S24_2360"/>
    <x v="39"/>
    <s v="4155551450"/>
    <s v="5677 Strong St."/>
    <s v=""/>
    <s v="San Rafael"/>
    <s v="CA"/>
    <s v="97562"/>
    <x v="0"/>
    <s v="NA"/>
    <s v="Nelson"/>
    <s v="Valarie"/>
    <s v="Valarie, Nelson"/>
    <s v="Small"/>
  </r>
  <r>
    <n v="10403"/>
    <n v="27"/>
    <n v="7965"/>
    <n v="215055"/>
    <n v="215055"/>
    <n v="4"/>
    <s v="4/8/2005 0:00"/>
    <x v="0"/>
    <x v="1"/>
    <x v="8"/>
    <x v="2"/>
    <x v="0"/>
    <n v="69"/>
    <s v="S24_2360"/>
    <x v="22"/>
    <s v="(171) 555-2282"/>
    <s v="Berkeley Gardens 12  Brewery"/>
    <s v=""/>
    <s v="Liverpool"/>
    <s v=""/>
    <s v="WX1 6LT"/>
    <x v="6"/>
    <s v="EMEA"/>
    <s v="Devon"/>
    <s v="Elizabeth"/>
    <s v="Elizabeth, Devon"/>
    <s v="Small"/>
  </r>
  <r>
    <n v="10110"/>
    <n v="43"/>
    <n v="7815"/>
    <n v="336045"/>
    <n v="336045"/>
    <n v="11"/>
    <s v="3/18/2003 0:00"/>
    <x v="0"/>
    <x v="0"/>
    <x v="11"/>
    <x v="0"/>
    <x v="1"/>
    <n v="90"/>
    <s v="S24_2766"/>
    <x v="77"/>
    <s v="(171) 555-1555"/>
    <s v="Fauntleroy Circus"/>
    <s v=""/>
    <s v="Manchester"/>
    <s v=""/>
    <s v="EC2 5NT"/>
    <x v="6"/>
    <s v="EMEA"/>
    <s v="Ashworth"/>
    <s v="Victoria"/>
    <s v="Victoria, Ashworth"/>
    <s v="Medium"/>
  </r>
  <r>
    <n v="10124"/>
    <n v="32"/>
    <n v="727"/>
    <n v="23264"/>
    <n v="23264"/>
    <n v="10"/>
    <s v="5/21/2003 0:00"/>
    <x v="0"/>
    <x v="1"/>
    <x v="1"/>
    <x v="0"/>
    <x v="1"/>
    <n v="90"/>
    <s v="S24_2766"/>
    <x v="84"/>
    <s v="7025551838"/>
    <s v="8489 Strong St."/>
    <s v=""/>
    <s v="Las Vegas"/>
    <s v="NV"/>
    <s v="83030"/>
    <x v="0"/>
    <s v="NA"/>
    <s v="King"/>
    <s v="Sue"/>
    <s v="Sue, King"/>
    <s v="Small"/>
  </r>
  <r>
    <n v="10148"/>
    <n v="21"/>
    <n v="736"/>
    <n v="15456"/>
    <n v="15456"/>
    <n v="4"/>
    <s v="9/11/2003 0:00"/>
    <x v="0"/>
    <x v="2"/>
    <x v="10"/>
    <x v="0"/>
    <x v="1"/>
    <n v="90"/>
    <s v="S24_2766"/>
    <x v="42"/>
    <s v="02 9936 8555"/>
    <s v="201 Miller Street"/>
    <s v="Level 15"/>
    <s v="North Sydney"/>
    <s v="NSW"/>
    <s v="2060"/>
    <x v="3"/>
    <s v="APAC"/>
    <s v="O'Hara"/>
    <s v="Anna"/>
    <s v="Anna, O'Hara"/>
    <s v="Small"/>
  </r>
  <r>
    <n v="10161"/>
    <n v="20"/>
    <n v="100"/>
    <n v="2000"/>
    <n v="2000"/>
    <n v="3"/>
    <s v="10/17/2003 0:00"/>
    <x v="0"/>
    <x v="3"/>
    <x v="4"/>
    <x v="0"/>
    <x v="1"/>
    <n v="90"/>
    <s v="S24_2766"/>
    <x v="78"/>
    <s v="86 21 3555"/>
    <s v="Smagsloget 45"/>
    <s v=""/>
    <s v="Aaarhus"/>
    <s v=""/>
    <s v="8200"/>
    <x v="13"/>
    <s v="EMEA"/>
    <s v="Ibsen"/>
    <s v="Palle"/>
    <s v="Palle, Ibsen"/>
    <s v="Small"/>
  </r>
  <r>
    <n v="10172"/>
    <n v="22"/>
    <n v="7451"/>
    <n v="163922"/>
    <n v="163922"/>
    <n v="1"/>
    <s v="11/5/2003 0:00"/>
    <x v="0"/>
    <x v="3"/>
    <x v="5"/>
    <x v="0"/>
    <x v="1"/>
    <n v="90"/>
    <s v="S24_2766"/>
    <x v="13"/>
    <s v="2035552570"/>
    <s v="25593 South Bay Ln."/>
    <s v=""/>
    <s v="Bridgewater"/>
    <s v="CT"/>
    <s v="97562"/>
    <x v="0"/>
    <s v="NA"/>
    <s v="King"/>
    <s v="Julie"/>
    <s v="Julie, King"/>
    <s v="Small"/>
  </r>
  <r>
    <n v="10182"/>
    <n v="36"/>
    <n v="736"/>
    <n v="26496"/>
    <n v="26496"/>
    <n v="14"/>
    <s v="11/12/2003 0:00"/>
    <x v="0"/>
    <x v="3"/>
    <x v="5"/>
    <x v="0"/>
    <x v="1"/>
    <n v="90"/>
    <s v="S24_2766"/>
    <x v="39"/>
    <s v="4155551450"/>
    <s v="5677 Strong St."/>
    <s v=""/>
    <s v="San Rafael"/>
    <s v="CA"/>
    <s v="97562"/>
    <x v="0"/>
    <s v="NA"/>
    <s v="Nelson"/>
    <s v="Valarie"/>
    <s v="Valarie, Nelson"/>
    <s v="Small"/>
  </r>
  <r>
    <n v="10192"/>
    <n v="46"/>
    <n v="836"/>
    <n v="38456"/>
    <n v="38456"/>
    <n v="2"/>
    <s v="11/20/2003 0:00"/>
    <x v="0"/>
    <x v="3"/>
    <x v="5"/>
    <x v="0"/>
    <x v="1"/>
    <n v="90"/>
    <s v="S24_2766"/>
    <x v="40"/>
    <s v="6035558647"/>
    <s v="2304 Long Airport Avenue"/>
    <s v=""/>
    <s v="Nashua"/>
    <s v="NH"/>
    <s v="62005"/>
    <x v="0"/>
    <s v="NA"/>
    <s v="Young"/>
    <s v="Valarie"/>
    <s v="Valarie, Young"/>
    <s v="Medium"/>
  </r>
  <r>
    <n v="10204"/>
    <n v="47"/>
    <n v="9632"/>
    <n v="452704"/>
    <n v="452704"/>
    <n v="8"/>
    <s v="12/2/2003 0:00"/>
    <x v="0"/>
    <x v="3"/>
    <x v="6"/>
    <x v="0"/>
    <x v="1"/>
    <n v="90"/>
    <s v="S24_2766"/>
    <x v="74"/>
    <s v="2125557413"/>
    <s v="4092 Furth Circle"/>
    <s v="Suite 400"/>
    <s v="NYC"/>
    <s v="NY"/>
    <s v="10022"/>
    <x v="0"/>
    <s v="NA"/>
    <s v="Young"/>
    <s v="Jeff"/>
    <s v="Jeff, Young"/>
    <s v="Medium"/>
  </r>
  <r>
    <n v="10212"/>
    <n v="45"/>
    <n v="8814"/>
    <n v="396630"/>
    <n v="396630"/>
    <n v="1"/>
    <s v="1/16/2004 0:00"/>
    <x v="0"/>
    <x v="0"/>
    <x v="7"/>
    <x v="1"/>
    <x v="1"/>
    <n v="90"/>
    <s v="S24_2766"/>
    <x v="23"/>
    <s v="(91) 555 94 44"/>
    <s v="C/ Moralzarzal, 86"/>
    <s v=""/>
    <s v="Madrid"/>
    <s v=""/>
    <s v="28034"/>
    <x v="7"/>
    <s v="EMEA"/>
    <s v="Freyre"/>
    <s v="Diego"/>
    <s v="Diego, Freyre"/>
    <s v="Medium"/>
  </r>
  <r>
    <n v="10227"/>
    <n v="47"/>
    <n v="8814"/>
    <n v="414258"/>
    <n v="414258"/>
    <n v="14"/>
    <s v="3/2/2004 0:00"/>
    <x v="0"/>
    <x v="0"/>
    <x v="11"/>
    <x v="1"/>
    <x v="1"/>
    <n v="90"/>
    <s v="S24_2766"/>
    <x v="30"/>
    <s v="78.32.5555"/>
    <s v="2, rue du Commerce"/>
    <s v=""/>
    <s v="Lyon"/>
    <s v=""/>
    <s v="69004"/>
    <x v="1"/>
    <s v="EMEA"/>
    <s v="Saveley"/>
    <s v="Mary"/>
    <s v="Mary, Saveley"/>
    <s v="Medium"/>
  </r>
  <r>
    <n v="10241"/>
    <n v="47"/>
    <n v="945"/>
    <n v="44415"/>
    <n v="44415"/>
    <n v="6"/>
    <s v="4/13/2004 0:00"/>
    <x v="0"/>
    <x v="1"/>
    <x v="8"/>
    <x v="1"/>
    <x v="1"/>
    <n v="90"/>
    <s v="S24_2766"/>
    <x v="83"/>
    <s v="88.60.1555"/>
    <s v="24, place Kluber"/>
    <s v=""/>
    <s v="Strasbourg"/>
    <s v=""/>
    <s v="67000"/>
    <x v="1"/>
    <s v="EMEA"/>
    <s v="Citeaux"/>
    <s v="Frederique"/>
    <s v="Frederique, Citeaux"/>
    <s v="Medium"/>
  </r>
  <r>
    <n v="10267"/>
    <n v="38"/>
    <n v="8724"/>
    <n v="331512"/>
    <n v="331512"/>
    <n v="3"/>
    <s v="7/7/2004 0:00"/>
    <x v="0"/>
    <x v="2"/>
    <x v="2"/>
    <x v="1"/>
    <x v="1"/>
    <n v="90"/>
    <s v="S24_2766"/>
    <x v="74"/>
    <s v="2125557413"/>
    <s v="4092 Furth Circle"/>
    <s v="Suite 400"/>
    <s v="NYC"/>
    <s v="NY"/>
    <s v="10022"/>
    <x v="0"/>
    <s v="NA"/>
    <s v="Young"/>
    <s v="Jeff"/>
    <s v="Jeff, Young"/>
    <s v="Medium"/>
  </r>
  <r>
    <n v="10279"/>
    <n v="49"/>
    <n v="7997"/>
    <n v="391853"/>
    <n v="391853"/>
    <n v="3"/>
    <s v="8/9/2004 0:00"/>
    <x v="0"/>
    <x v="2"/>
    <x v="3"/>
    <x v="1"/>
    <x v="1"/>
    <n v="90"/>
    <s v="S24_2766"/>
    <x v="23"/>
    <s v="(91) 555 94 44"/>
    <s v="C/ Moralzarzal, 86"/>
    <s v=""/>
    <s v="Madrid"/>
    <s v=""/>
    <s v="28034"/>
    <x v="7"/>
    <s v="EMEA"/>
    <s v="Freyre"/>
    <s v="Diego"/>
    <s v="Diego, Freyre"/>
    <s v="Medium"/>
  </r>
  <r>
    <n v="10288"/>
    <n v="35"/>
    <n v="8087"/>
    <n v="283045"/>
    <n v="283045"/>
    <n v="9"/>
    <s v="9/1/2004 0:00"/>
    <x v="0"/>
    <x v="2"/>
    <x v="10"/>
    <x v="1"/>
    <x v="1"/>
    <n v="90"/>
    <s v="S24_2766"/>
    <x v="65"/>
    <s v="+65 224 1555"/>
    <s v="Village Close - 106 Linden Road Sandown"/>
    <s v="2nd Floor"/>
    <s v="Singapore"/>
    <s v=""/>
    <s v="69045"/>
    <x v="9"/>
    <s v="APAC"/>
    <s v="Victorino"/>
    <s v="Wendy"/>
    <s v="Wendy, Victorino"/>
    <s v="Small"/>
  </r>
  <r>
    <n v="10302"/>
    <n v="49"/>
    <n v="100"/>
    <n v="4900"/>
    <n v="4900"/>
    <n v="5"/>
    <s v="10/6/2003 0:00"/>
    <x v="0"/>
    <x v="3"/>
    <x v="4"/>
    <x v="0"/>
    <x v="1"/>
    <n v="90"/>
    <s v="S24_2766"/>
    <x v="22"/>
    <s v="(171) 555-2282"/>
    <s v="Berkeley Gardens 12  Brewery"/>
    <s v=""/>
    <s v="Liverpool"/>
    <s v=""/>
    <s v="WX1 6LT"/>
    <x v="6"/>
    <s v="EMEA"/>
    <s v="Devon"/>
    <s v="Elizabeth"/>
    <s v="Elizabeth, Devon"/>
    <s v="Medium"/>
  </r>
  <r>
    <n v="10311"/>
    <n v="28"/>
    <n v="936"/>
    <n v="26208"/>
    <n v="26208"/>
    <n v="4"/>
    <s v="10/16/2004 0:00"/>
    <x v="0"/>
    <x v="3"/>
    <x v="4"/>
    <x v="1"/>
    <x v="1"/>
    <n v="90"/>
    <s v="S24_2766"/>
    <x v="23"/>
    <s v="(91) 555 94 44"/>
    <s v="C/ Moralzarzal, 86"/>
    <s v=""/>
    <s v="Madrid"/>
    <s v=""/>
    <s v="28034"/>
    <x v="7"/>
    <s v="EMEA"/>
    <s v="Freyre"/>
    <s v="Diego"/>
    <s v="Diego, Freyre"/>
    <s v="Small"/>
  </r>
  <r>
    <n v="10321"/>
    <n v="30"/>
    <n v="727"/>
    <n v="21810"/>
    <n v="21810"/>
    <n v="1"/>
    <s v="11/4/2004 0:00"/>
    <x v="0"/>
    <x v="3"/>
    <x v="5"/>
    <x v="1"/>
    <x v="1"/>
    <n v="90"/>
    <s v="S24_2766"/>
    <x v="21"/>
    <s v="5085552555"/>
    <s v="1785 First Street"/>
    <s v=""/>
    <s v="New Bedford"/>
    <s v="MA"/>
    <s v="50553"/>
    <x v="0"/>
    <s v="NA"/>
    <s v="Benitez"/>
    <s v="Violeta"/>
    <s v="Violeta, Benitez"/>
    <s v="Small"/>
  </r>
  <r>
    <n v="10332"/>
    <n v="39"/>
    <n v="8672"/>
    <n v="338208"/>
    <n v="338208"/>
    <n v="7"/>
    <s v="11/17/2004 0:00"/>
    <x v="0"/>
    <x v="3"/>
    <x v="5"/>
    <x v="1"/>
    <x v="1"/>
    <n v="90"/>
    <s v="S24_2766"/>
    <x v="77"/>
    <s v="(171) 555-1555"/>
    <s v="Fauntleroy Circus"/>
    <s v=""/>
    <s v="Manchester"/>
    <s v=""/>
    <s v="EC2 5NT"/>
    <x v="6"/>
    <s v="EMEA"/>
    <s v="Ashworth"/>
    <s v="Victoria"/>
    <s v="Victoria, Ashworth"/>
    <s v="Medium"/>
  </r>
  <r>
    <n v="10346"/>
    <n v="25"/>
    <n v="100"/>
    <n v="2500"/>
    <n v="2500"/>
    <n v="1"/>
    <s v="11/29/2004 0:00"/>
    <x v="0"/>
    <x v="3"/>
    <x v="5"/>
    <x v="1"/>
    <x v="1"/>
    <n v="90"/>
    <s v="S24_2766"/>
    <x v="84"/>
    <s v="7025551838"/>
    <s v="8489 Strong St."/>
    <s v=""/>
    <s v="Las Vegas"/>
    <s v="NV"/>
    <s v="83030"/>
    <x v="0"/>
    <s v="NA"/>
    <s v="King"/>
    <s v="Sue"/>
    <s v="Sue, King"/>
    <s v="Small"/>
  </r>
  <r>
    <n v="10368"/>
    <n v="40"/>
    <n v="100"/>
    <n v="4000"/>
    <n v="4000"/>
    <n v="2"/>
    <s v="1/19/2005 0:00"/>
    <x v="0"/>
    <x v="0"/>
    <x v="7"/>
    <x v="2"/>
    <x v="1"/>
    <n v="90"/>
    <s v="S24_2766"/>
    <x v="39"/>
    <s v="4155551450"/>
    <s v="5677 Strong St."/>
    <s v=""/>
    <s v="San Rafael"/>
    <s v="CA"/>
    <s v="97562"/>
    <x v="0"/>
    <s v="NA"/>
    <s v="Nelson"/>
    <s v="Valarie"/>
    <s v="Valarie, Nelson"/>
    <s v="Medium"/>
  </r>
  <r>
    <n v="10380"/>
    <n v="36"/>
    <n v="375"/>
    <n v="13500"/>
    <n v="13500"/>
    <n v="6"/>
    <s v="2/16/2005 0:00"/>
    <x v="0"/>
    <x v="0"/>
    <x v="0"/>
    <x v="2"/>
    <x v="1"/>
    <n v="90"/>
    <s v="S24_2766"/>
    <x v="23"/>
    <s v="(91) 555 94 44"/>
    <s v="C/ Moralzarzal, 86"/>
    <s v=""/>
    <s v="Madrid"/>
    <s v=""/>
    <s v="28034"/>
    <x v="7"/>
    <s v="EMEA"/>
    <s v="Freyre"/>
    <s v="Diego"/>
    <s v="Diego, Freyre"/>
    <s v="Small"/>
  </r>
  <r>
    <n v="10407"/>
    <n v="76"/>
    <n v="945"/>
    <n v="71820"/>
    <n v="0"/>
    <n v="6"/>
    <s v="4/22/2005 0:00"/>
    <x v="4"/>
    <x v="1"/>
    <x v="8"/>
    <x v="2"/>
    <x v="1"/>
    <n v="90"/>
    <s v="S24_2766"/>
    <x v="61"/>
    <s v="4085553659"/>
    <s v="3086 Ingle Ln."/>
    <s v=""/>
    <s v="San Jose"/>
    <s v="CA"/>
    <s v="94217"/>
    <x v="0"/>
    <s v="NA"/>
    <s v="Frick"/>
    <s v="Sue"/>
    <s v="Sue, Frick"/>
    <s v="Large"/>
  </r>
  <r>
    <n v="10420"/>
    <n v="39"/>
    <n v="100"/>
    <n v="3900"/>
    <n v="0"/>
    <n v="9"/>
    <s v="5/29/2005 0:00"/>
    <x v="2"/>
    <x v="1"/>
    <x v="1"/>
    <x v="2"/>
    <x v="1"/>
    <n v="90"/>
    <s v="S24_2766"/>
    <x v="20"/>
    <s v="+61 2 9495 8555"/>
    <s v="Monitor Money Building, 815 Pacific Hwy"/>
    <s v="Level 6"/>
    <s v="Chatswood"/>
    <s v="NSW"/>
    <s v="2067"/>
    <x v="3"/>
    <s v="APAC"/>
    <s v="Huxley"/>
    <s v="Adrian"/>
    <s v="Adrian, Huxley"/>
    <s v="Medium"/>
  </r>
  <r>
    <n v="10104"/>
    <n v="44"/>
    <n v="396"/>
    <n v="17424"/>
    <n v="17424"/>
    <n v="10"/>
    <s v="1/31/2003 0:00"/>
    <x v="0"/>
    <x v="0"/>
    <x v="7"/>
    <x v="0"/>
    <x v="1"/>
    <n v="35"/>
    <s v="S24_2840"/>
    <x v="23"/>
    <s v="(91) 555 94 44"/>
    <s v="C/ Moralzarzal, 86"/>
    <s v=""/>
    <s v="Madrid"/>
    <s v=""/>
    <s v="28034"/>
    <x v="7"/>
    <s v="EMEA"/>
    <s v="Freyre"/>
    <s v="Diego"/>
    <s v="Diego, Freyre"/>
    <s v="Small"/>
  </r>
  <r>
    <n v="10114"/>
    <n v="24"/>
    <n v="3006"/>
    <n v="72144"/>
    <n v="72144"/>
    <n v="1"/>
    <s v="4/1/2003 0:00"/>
    <x v="0"/>
    <x v="1"/>
    <x v="8"/>
    <x v="0"/>
    <x v="1"/>
    <n v="35"/>
    <s v="S24_2840"/>
    <x v="62"/>
    <s v="(1) 42.34.2555"/>
    <s v="265, boulevard Charonne"/>
    <s v=""/>
    <s v="Paris"/>
    <s v=""/>
    <s v="75012"/>
    <x v="1"/>
    <s v="EMEA"/>
    <s v="Bertrand"/>
    <s v="Marie"/>
    <s v="Marie, Bertrand"/>
    <s v="Small"/>
  </r>
  <r>
    <n v="10127"/>
    <n v="39"/>
    <n v="3819"/>
    <n v="148941"/>
    <n v="148941"/>
    <n v="12"/>
    <s v="6/3/2003 0:00"/>
    <x v="0"/>
    <x v="1"/>
    <x v="9"/>
    <x v="0"/>
    <x v="1"/>
    <n v="35"/>
    <s v="S24_2840"/>
    <x v="74"/>
    <s v="2125557413"/>
    <s v="4092 Furth Circle"/>
    <s v="Suite 400"/>
    <s v="NYC"/>
    <s v="NY"/>
    <s v="10022"/>
    <x v="0"/>
    <s v="NA"/>
    <s v="Young"/>
    <s v="Jeff"/>
    <s v="Jeff, Young"/>
    <s v="Small"/>
  </r>
  <r>
    <n v="10141"/>
    <n v="21"/>
    <n v="4243"/>
    <n v="89103"/>
    <n v="89103"/>
    <n v="6"/>
    <s v="8/1/2003 0:00"/>
    <x v="0"/>
    <x v="2"/>
    <x v="3"/>
    <x v="0"/>
    <x v="1"/>
    <n v="35"/>
    <s v="S24_2840"/>
    <x v="73"/>
    <s v="+358 9 8045 555"/>
    <s v="Software Engineering Center, SEC Oy"/>
    <s v=""/>
    <s v="Espoo"/>
    <s v=""/>
    <s v="FIN-02271"/>
    <x v="4"/>
    <s v="EMEA"/>
    <s v="Suominen"/>
    <s v="Kalle"/>
    <s v="Kalle, Suominen"/>
    <s v="Small"/>
  </r>
  <r>
    <n v="10151"/>
    <n v="30"/>
    <n v="4031"/>
    <n v="120930"/>
    <n v="120930"/>
    <n v="4"/>
    <s v="9/21/2003 0:00"/>
    <x v="0"/>
    <x v="2"/>
    <x v="10"/>
    <x v="0"/>
    <x v="1"/>
    <n v="35"/>
    <s v="S24_2840"/>
    <x v="60"/>
    <s v="981-443655"/>
    <s v="Torikatu 38"/>
    <s v=""/>
    <s v="Oulu"/>
    <s v=""/>
    <s v="90110"/>
    <x v="4"/>
    <s v="EMEA"/>
    <s v="Koskitalo"/>
    <s v="Pirkko"/>
    <s v="Pirkko, Koskitalo"/>
    <s v="Small"/>
  </r>
  <r>
    <n v="10165"/>
    <n v="27"/>
    <n v="3182"/>
    <n v="85914"/>
    <n v="85914"/>
    <n v="13"/>
    <s v="10/22/2003 0:00"/>
    <x v="0"/>
    <x v="3"/>
    <x v="4"/>
    <x v="0"/>
    <x v="1"/>
    <n v="35"/>
    <s v="S24_2840"/>
    <x v="26"/>
    <s v="+65 221 7555"/>
    <s v="Bronz Sok., Bronz Apt. 3/6 Tesvikiye"/>
    <s v=""/>
    <s v="Singapore"/>
    <s v=""/>
    <s v="79903"/>
    <x v="9"/>
    <s v="Japan"/>
    <s v="Natividad"/>
    <s v="Eric"/>
    <s v="Eric, Natividad"/>
    <s v="Small"/>
  </r>
  <r>
    <n v="10175"/>
    <n v="37"/>
    <n v="3112"/>
    <n v="115144"/>
    <n v="115144"/>
    <n v="2"/>
    <s v="11/6/2003 0:00"/>
    <x v="0"/>
    <x v="3"/>
    <x v="5"/>
    <x v="0"/>
    <x v="1"/>
    <n v="35"/>
    <s v="S24_2840"/>
    <x v="49"/>
    <s v="(171) 555-0297"/>
    <s v="35 King George"/>
    <s v=""/>
    <s v="London"/>
    <s v=""/>
    <s v="WX3 6FW"/>
    <x v="6"/>
    <s v="EMEA"/>
    <s v="Brown"/>
    <s v="Ann"/>
    <s v="Ann, Brown"/>
    <s v="Small"/>
  </r>
  <r>
    <n v="10184"/>
    <n v="42"/>
    <n v="3182"/>
    <n v="133644"/>
    <n v="133644"/>
    <n v="7"/>
    <s v="11/14/2003 0:00"/>
    <x v="0"/>
    <x v="3"/>
    <x v="5"/>
    <x v="0"/>
    <x v="1"/>
    <n v="35"/>
    <s v="S24_2840"/>
    <x v="81"/>
    <s v="(95) 555 82 82"/>
    <s v="C/ Romero, 33"/>
    <s v=""/>
    <s v="Sevilla"/>
    <s v=""/>
    <s v="41101"/>
    <x v="7"/>
    <s v="EMEA"/>
    <s v="Roel"/>
    <s v="Jose Pedro"/>
    <s v="Jose Pedro, Roel"/>
    <s v="Small"/>
  </r>
  <r>
    <n v="10195"/>
    <n v="32"/>
    <n v="2829"/>
    <n v="90528"/>
    <n v="90528"/>
    <n v="7"/>
    <s v="11/25/2003 0:00"/>
    <x v="0"/>
    <x v="3"/>
    <x v="5"/>
    <x v="0"/>
    <x v="1"/>
    <n v="35"/>
    <s v="S24_2840"/>
    <x v="47"/>
    <s v="9145554562"/>
    <s v="3758 North Pendale Street"/>
    <s v=""/>
    <s v="White Plains"/>
    <s v="NY"/>
    <s v="24067"/>
    <x v="0"/>
    <s v="NA"/>
    <s v="Frick"/>
    <s v="Steve"/>
    <s v="Steve, Frick"/>
    <s v="Small"/>
  </r>
  <r>
    <n v="10207"/>
    <n v="42"/>
    <n v="297"/>
    <n v="12474"/>
    <n v="12474"/>
    <n v="8"/>
    <s v="12/9/2003 0:00"/>
    <x v="0"/>
    <x v="3"/>
    <x v="6"/>
    <x v="0"/>
    <x v="1"/>
    <n v="35"/>
    <s v="S24_2840"/>
    <x v="64"/>
    <s v="6175552555"/>
    <s v="6251 Ingle Ln."/>
    <s v=""/>
    <s v="Boston"/>
    <s v="MA"/>
    <s v="51003"/>
    <x v="0"/>
    <s v="NA"/>
    <s v="Franco"/>
    <s v="Valarie"/>
    <s v="Valarie, Franco"/>
    <s v="Small"/>
  </r>
  <r>
    <n v="10219"/>
    <n v="21"/>
    <n v="4031"/>
    <n v="84651"/>
    <n v="84651"/>
    <n v="3"/>
    <s v="2/10/2004 0:00"/>
    <x v="0"/>
    <x v="0"/>
    <x v="0"/>
    <x v="1"/>
    <x v="1"/>
    <n v="35"/>
    <s v="S24_2840"/>
    <x v="82"/>
    <s v="4155554312"/>
    <s v="2793 Furth Circle"/>
    <s v=""/>
    <s v="Brisbane"/>
    <s v="CA"/>
    <s v="94217"/>
    <x v="0"/>
    <s v="NA"/>
    <s v="Taylor"/>
    <s v="Sue"/>
    <s v="Sue, Taylor"/>
    <s v="Small"/>
  </r>
  <r>
    <n v="10229"/>
    <n v="33"/>
    <n v="3288"/>
    <n v="108504"/>
    <n v="108504"/>
    <n v="2"/>
    <s v="3/11/2004 0:00"/>
    <x v="0"/>
    <x v="0"/>
    <x v="11"/>
    <x v="1"/>
    <x v="1"/>
    <n v="35"/>
    <s v="S24_2840"/>
    <x v="39"/>
    <s v="4155551450"/>
    <s v="5677 Strong St."/>
    <s v=""/>
    <s v="San Rafael"/>
    <s v="CA"/>
    <s v="97562"/>
    <x v="0"/>
    <s v="NA"/>
    <s v="Nelson"/>
    <s v="Valarie"/>
    <s v="Valarie, Nelson"/>
    <s v="Small"/>
  </r>
  <r>
    <n v="10246"/>
    <n v="49"/>
    <n v="3607"/>
    <n v="176743"/>
    <n v="176743"/>
    <n v="6"/>
    <s v="5/5/2004 0:00"/>
    <x v="0"/>
    <x v="1"/>
    <x v="1"/>
    <x v="1"/>
    <x v="1"/>
    <n v="35"/>
    <s v="S24_2840"/>
    <x v="23"/>
    <s v="(91) 555 94 44"/>
    <s v="C/ Moralzarzal, 86"/>
    <s v=""/>
    <s v="Madrid"/>
    <s v=""/>
    <s v="28034"/>
    <x v="7"/>
    <s v="EMEA"/>
    <s v="Freyre"/>
    <s v="Diego"/>
    <s v="Diego, Freyre"/>
    <s v="Small"/>
  </r>
  <r>
    <n v="10259"/>
    <n v="31"/>
    <n v="3324"/>
    <n v="103044"/>
    <n v="103044"/>
    <n v="5"/>
    <s v="6/15/2004 0:00"/>
    <x v="0"/>
    <x v="1"/>
    <x v="9"/>
    <x v="1"/>
    <x v="1"/>
    <n v="35"/>
    <s v="S24_2840"/>
    <x v="65"/>
    <s v="+65 224 1555"/>
    <s v="Village Close - 106 Linden Road Sandown"/>
    <s v="2nd Floor"/>
    <s v="Singapore"/>
    <s v=""/>
    <s v="69045"/>
    <x v="9"/>
    <s v="APAC"/>
    <s v="Victorino"/>
    <s v="Wendy"/>
    <s v="Wendy, Victorino"/>
    <s v="Small"/>
  </r>
  <r>
    <n v="10271"/>
    <n v="38"/>
    <n v="4172"/>
    <n v="158536"/>
    <n v="158536"/>
    <n v="6"/>
    <s v="7/20/2004 0:00"/>
    <x v="0"/>
    <x v="2"/>
    <x v="2"/>
    <x v="1"/>
    <x v="1"/>
    <n v="35"/>
    <s v="S24_2840"/>
    <x v="39"/>
    <s v="4155551450"/>
    <s v="5677 Strong St."/>
    <s v=""/>
    <s v="San Rafael"/>
    <s v="CA"/>
    <s v="97562"/>
    <x v="0"/>
    <s v="NA"/>
    <s v="Nelson"/>
    <s v="Valarie"/>
    <s v="Valarie, Nelson"/>
    <s v="Small"/>
  </r>
  <r>
    <n v="10281"/>
    <n v="20"/>
    <n v="4066"/>
    <n v="81320"/>
    <n v="81320"/>
    <n v="2"/>
    <s v="8/19/2004 0:00"/>
    <x v="0"/>
    <x v="2"/>
    <x v="3"/>
    <x v="1"/>
    <x v="1"/>
    <n v="35"/>
    <s v="S24_2840"/>
    <x v="18"/>
    <s v="2155551555"/>
    <s v="7586 Pompton St."/>
    <s v=""/>
    <s v="Allentown"/>
    <s v="PA"/>
    <s v="70267"/>
    <x v="0"/>
    <s v="NA"/>
    <s v="Yu"/>
    <s v="Kyung"/>
    <s v="Kyung, Yu"/>
    <s v="Small"/>
  </r>
  <r>
    <n v="10292"/>
    <n v="39"/>
    <n v="3006"/>
    <n v="117234"/>
    <n v="117234"/>
    <n v="9"/>
    <s v="9/8/2004 0:00"/>
    <x v="0"/>
    <x v="2"/>
    <x v="10"/>
    <x v="1"/>
    <x v="1"/>
    <n v="35"/>
    <s v="S24_2840"/>
    <x v="0"/>
    <s v="2125557818"/>
    <s v="897 Long Airport Avenue"/>
    <s v=""/>
    <s v="NYC"/>
    <s v="NY"/>
    <s v="10022"/>
    <x v="0"/>
    <s v="NA"/>
    <s v="Yu"/>
    <s v="Kwai"/>
    <s v="Kwai, Yu"/>
    <s v="Small"/>
  </r>
  <r>
    <n v="10305"/>
    <n v="48"/>
    <n v="3147"/>
    <n v="151056"/>
    <n v="151056"/>
    <n v="6"/>
    <s v="10/13/2004 0:00"/>
    <x v="0"/>
    <x v="3"/>
    <x v="4"/>
    <x v="1"/>
    <x v="1"/>
    <n v="35"/>
    <s v="S24_2840"/>
    <x v="15"/>
    <s v="6175558555"/>
    <s v="39323 Spinnaker Dr."/>
    <s v=""/>
    <s v="Cambridge"/>
    <s v="MA"/>
    <s v="51247"/>
    <x v="0"/>
    <s v="NA"/>
    <s v="Hernandez"/>
    <s v="Marta"/>
    <s v="Marta, Hernandez"/>
    <s v="Small"/>
  </r>
  <r>
    <n v="10314"/>
    <n v="39"/>
    <n v="3713"/>
    <n v="144807"/>
    <n v="144807"/>
    <n v="15"/>
    <s v="10/22/2004 0:00"/>
    <x v="0"/>
    <x v="3"/>
    <x v="4"/>
    <x v="1"/>
    <x v="1"/>
    <n v="35"/>
    <s v="S24_2840"/>
    <x v="78"/>
    <s v="86 21 3555"/>
    <s v="Smagsloget 45"/>
    <s v=""/>
    <s v="Aaarhus"/>
    <s v=""/>
    <s v="8200"/>
    <x v="13"/>
    <s v="EMEA"/>
    <s v="Ibsen"/>
    <s v="Palle"/>
    <s v="Palle, Ibsen"/>
    <s v="Small"/>
  </r>
  <r>
    <n v="10324"/>
    <n v="30"/>
    <n v="100"/>
    <n v="3000"/>
    <n v="3000"/>
    <n v="9"/>
    <s v="11/5/2004 0:00"/>
    <x v="0"/>
    <x v="3"/>
    <x v="5"/>
    <x v="1"/>
    <x v="1"/>
    <n v="35"/>
    <s v="S24_2840"/>
    <x v="11"/>
    <s v="2125551500"/>
    <s v="2678 Kingston Rd."/>
    <s v="Suite 101"/>
    <s v="NYC"/>
    <s v="NY"/>
    <s v="10022"/>
    <x v="0"/>
    <s v="NA"/>
    <s v="Frick"/>
    <s v="Michael"/>
    <s v="Michael, Frick"/>
    <s v="Medium"/>
  </r>
  <r>
    <n v="10335"/>
    <n v="33"/>
    <n v="3713"/>
    <n v="122529"/>
    <n v="122529"/>
    <n v="2"/>
    <s v="11/19/2004 0:00"/>
    <x v="0"/>
    <x v="3"/>
    <x v="5"/>
    <x v="1"/>
    <x v="1"/>
    <n v="35"/>
    <s v="S24_2840"/>
    <x v="39"/>
    <s v="4155551450"/>
    <s v="5677 Strong St."/>
    <s v=""/>
    <s v="San Rafael"/>
    <s v="CA"/>
    <s v="97562"/>
    <x v="0"/>
    <s v="NA"/>
    <s v="Nelson"/>
    <s v="Valarie"/>
    <s v="Valarie, Nelson"/>
    <s v="Small"/>
  </r>
  <r>
    <n v="10349"/>
    <n v="36"/>
    <n v="3713"/>
    <n v="133668"/>
    <n v="133668"/>
    <n v="3"/>
    <s v="12/1/2004 0:00"/>
    <x v="0"/>
    <x v="3"/>
    <x v="6"/>
    <x v="1"/>
    <x v="1"/>
    <n v="35"/>
    <s v="S24_2840"/>
    <x v="74"/>
    <s v="2125557413"/>
    <s v="4092 Furth Circle"/>
    <s v="Suite 400"/>
    <s v="NYC"/>
    <s v="NY"/>
    <s v="10022"/>
    <x v="0"/>
    <s v="NA"/>
    <s v="Young"/>
    <s v="Jeff"/>
    <s v="Jeff, Young"/>
    <s v="Small"/>
  </r>
  <r>
    <n v="10358"/>
    <n v="36"/>
    <n v="8294"/>
    <n v="298584"/>
    <n v="298584"/>
    <n v="4"/>
    <s v="12/10/2004 0:00"/>
    <x v="0"/>
    <x v="3"/>
    <x v="6"/>
    <x v="1"/>
    <x v="1"/>
    <n v="35"/>
    <s v="S24_2840"/>
    <x v="23"/>
    <s v="(91) 555 94 44"/>
    <s v="C/ Moralzarzal, 86"/>
    <s v=""/>
    <s v="Madrid"/>
    <s v=""/>
    <s v="28034"/>
    <x v="7"/>
    <s v="EMEA"/>
    <s v="Freyre"/>
    <s v="Diego"/>
    <s v="Diego, Freyre"/>
    <s v="Small"/>
  </r>
  <r>
    <n v="10371"/>
    <n v="45"/>
    <n v="100"/>
    <n v="4500"/>
    <n v="4500"/>
    <n v="8"/>
    <s v="1/23/2005 0:00"/>
    <x v="0"/>
    <x v="0"/>
    <x v="7"/>
    <x v="2"/>
    <x v="1"/>
    <n v="35"/>
    <s v="S24_2840"/>
    <x v="39"/>
    <s v="4155551450"/>
    <s v="5677 Strong St."/>
    <s v=""/>
    <s v="San Rafael"/>
    <s v="CA"/>
    <s v="97562"/>
    <x v="0"/>
    <s v="NA"/>
    <s v="Nelson"/>
    <s v="Valarie"/>
    <s v="Valarie, Nelson"/>
    <s v="Medium"/>
  </r>
  <r>
    <n v="10383"/>
    <n v="40"/>
    <n v="100"/>
    <n v="4000"/>
    <n v="4000"/>
    <n v="3"/>
    <s v="2/22/2005 0:00"/>
    <x v="0"/>
    <x v="0"/>
    <x v="0"/>
    <x v="2"/>
    <x v="1"/>
    <n v="35"/>
    <s v="S24_2840"/>
    <x v="23"/>
    <s v="(91) 555 94 44"/>
    <s v="C/ Moralzarzal, 86"/>
    <s v=""/>
    <s v="Madrid"/>
    <s v=""/>
    <s v="28034"/>
    <x v="7"/>
    <s v="EMEA"/>
    <s v="Freyre"/>
    <s v="Diego"/>
    <s v="Diego, Freyre"/>
    <s v="Medium"/>
  </r>
  <r>
    <n v="10394"/>
    <n v="46"/>
    <n v="389"/>
    <n v="17894"/>
    <n v="17894"/>
    <n v="6"/>
    <s v="3/15/2005 0:00"/>
    <x v="0"/>
    <x v="0"/>
    <x v="11"/>
    <x v="2"/>
    <x v="1"/>
    <n v="35"/>
    <s v="S24_2840"/>
    <x v="23"/>
    <s v="(91) 555 94 44"/>
    <s v="C/ Moralzarzal, 86"/>
    <s v=""/>
    <s v="Madrid"/>
    <s v=""/>
    <s v="28034"/>
    <x v="7"/>
    <s v="EMEA"/>
    <s v="Freyre"/>
    <s v="Diego"/>
    <s v="Diego, Freyre"/>
    <s v="Small"/>
  </r>
  <r>
    <n v="10412"/>
    <n v="30"/>
    <n v="3607"/>
    <n v="108210"/>
    <n v="108210"/>
    <n v="6"/>
    <s v="5/3/2005 0:00"/>
    <x v="0"/>
    <x v="1"/>
    <x v="1"/>
    <x v="2"/>
    <x v="1"/>
    <n v="35"/>
    <s v="S24_2840"/>
    <x v="23"/>
    <s v="(91) 555 94 44"/>
    <s v="C/ Moralzarzal, 86"/>
    <s v=""/>
    <s v="Madrid"/>
    <s v=""/>
    <s v="28034"/>
    <x v="7"/>
    <s v="EMEA"/>
    <s v="Freyre"/>
    <s v="Diego"/>
    <s v="Diego, Freyre"/>
    <s v="Small"/>
  </r>
  <r>
    <n v="10425"/>
    <n v="31"/>
    <n v="3324"/>
    <n v="103044"/>
    <n v="0"/>
    <n v="5"/>
    <s v="5/31/2005 0:00"/>
    <x v="2"/>
    <x v="1"/>
    <x v="1"/>
    <x v="2"/>
    <x v="1"/>
    <n v="35"/>
    <s v="S24_2840"/>
    <x v="14"/>
    <s v="40.67.8555"/>
    <s v="67, rue des Cinquante Otages"/>
    <s v=""/>
    <s v="Nantes"/>
    <s v=""/>
    <s v="44000"/>
    <x v="1"/>
    <s v="EMEA"/>
    <s v="Labrune"/>
    <s v="Janine"/>
    <s v="Janine, Labrune"/>
    <s v="Small"/>
  </r>
  <r>
    <n v="10106"/>
    <n v="49"/>
    <n v="7468"/>
    <n v="365932"/>
    <n v="365932"/>
    <n v="13"/>
    <s v="2/17/2003 0:00"/>
    <x v="0"/>
    <x v="0"/>
    <x v="0"/>
    <x v="0"/>
    <x v="4"/>
    <n v="68"/>
    <s v="S24_2841"/>
    <x v="86"/>
    <s v="035-640555"/>
    <s v="Via Ludovico il Moro 22"/>
    <s v=""/>
    <s v="Bergamo"/>
    <s v=""/>
    <s v="24100"/>
    <x v="12"/>
    <s v="EMEA"/>
    <s v="Rovelli"/>
    <s v="Giovanni"/>
    <s v="Giovanni, Rovelli"/>
    <s v="Medium"/>
  </r>
  <r>
    <n v="10119"/>
    <n v="41"/>
    <n v="596"/>
    <n v="24436"/>
    <n v="24436"/>
    <n v="4"/>
    <s v="4/28/2003 0:00"/>
    <x v="0"/>
    <x v="1"/>
    <x v="8"/>
    <x v="0"/>
    <x v="4"/>
    <n v="68"/>
    <s v="S24_2841"/>
    <x v="19"/>
    <s v="6562-9555"/>
    <s v="Geislweg 14"/>
    <s v=""/>
    <s v="Salzburg"/>
    <s v=""/>
    <s v="5020"/>
    <x v="5"/>
    <s v="EMEA"/>
    <s v="Pipps"/>
    <s v="Georg"/>
    <s v="Georg, Pipps"/>
    <s v="Small"/>
  </r>
  <r>
    <n v="10131"/>
    <n v="35"/>
    <n v="6714"/>
    <n v="234990"/>
    <n v="234990"/>
    <n v="5"/>
    <s v="6/16/2003 0:00"/>
    <x v="0"/>
    <x v="1"/>
    <x v="9"/>
    <x v="0"/>
    <x v="4"/>
    <n v="68"/>
    <s v="S24_2841"/>
    <x v="88"/>
    <s v="2035554407"/>
    <s v="2440 Pompton St."/>
    <s v=""/>
    <s v="Glendale"/>
    <s v="CT"/>
    <s v="97561"/>
    <x v="0"/>
    <s v="NA"/>
    <s v="Lewis"/>
    <s v="Dan"/>
    <s v="Dan, Lewis"/>
    <s v="Small"/>
  </r>
  <r>
    <n v="10143"/>
    <n v="27"/>
    <n v="6097"/>
    <n v="164619"/>
    <n v="164619"/>
    <n v="8"/>
    <s v="8/10/2003 0:00"/>
    <x v="0"/>
    <x v="2"/>
    <x v="3"/>
    <x v="0"/>
    <x v="4"/>
    <n v="68"/>
    <s v="S24_2841"/>
    <x v="50"/>
    <s v="5085559555"/>
    <s v="4575 Hillside Dr."/>
    <s v=""/>
    <s v="New Bedford"/>
    <s v="MA"/>
    <s v="50553"/>
    <x v="0"/>
    <s v="NA"/>
    <s v="Tam"/>
    <s v="Wing C"/>
    <s v="Wing C, Tam"/>
    <s v="Small"/>
  </r>
  <r>
    <n v="10155"/>
    <n v="23"/>
    <n v="7262"/>
    <n v="167026"/>
    <n v="167026"/>
    <n v="6"/>
    <s v="10/6/2003 0:00"/>
    <x v="0"/>
    <x v="3"/>
    <x v="4"/>
    <x v="0"/>
    <x v="4"/>
    <n v="68"/>
    <s v="S24_2841"/>
    <x v="16"/>
    <s v="90-224 8555"/>
    <s v="Keskuskatu 45"/>
    <s v=""/>
    <s v="Helsinki"/>
    <s v=""/>
    <s v="21240"/>
    <x v="4"/>
    <s v="EMEA"/>
    <s v="Karttunen"/>
    <s v="Matti"/>
    <s v="Matti, Karttunen"/>
    <s v="Small"/>
  </r>
  <r>
    <n v="10167"/>
    <n v="21"/>
    <n v="6988"/>
    <n v="146748"/>
    <n v="0"/>
    <n v="2"/>
    <s v="10/23/2003 0:00"/>
    <x v="3"/>
    <x v="3"/>
    <x v="4"/>
    <x v="0"/>
    <x v="4"/>
    <n v="68"/>
    <s v="S24_2841"/>
    <x v="37"/>
    <s v="0695-34 6555"/>
    <s v="?kergatan 24"/>
    <s v=""/>
    <s v="Boras"/>
    <s v=""/>
    <s v="S-844 67"/>
    <x v="8"/>
    <s v="EMEA"/>
    <s v="Larsson"/>
    <s v="Maria"/>
    <s v="Maria, Larsson"/>
    <s v="Small"/>
  </r>
  <r>
    <n v="10178"/>
    <n v="34"/>
    <n v="8084"/>
    <n v="274856"/>
    <n v="274856"/>
    <n v="5"/>
    <s v="11/8/2003 0:00"/>
    <x v="0"/>
    <x v="3"/>
    <x v="5"/>
    <x v="0"/>
    <x v="4"/>
    <n v="68"/>
    <s v="S24_2841"/>
    <x v="51"/>
    <s v="61.77.6555"/>
    <s v="1 rue Alsace-Lorraine"/>
    <s v=""/>
    <s v="Toulouse"/>
    <s v=""/>
    <s v="31000"/>
    <x v="1"/>
    <s v="EMEA"/>
    <s v="Roulet"/>
    <s v="Annette"/>
    <s v="Annette, Roulet"/>
    <s v="Small"/>
  </r>
  <r>
    <n v="10186"/>
    <n v="22"/>
    <n v="692"/>
    <n v="15224"/>
    <n v="15224"/>
    <n v="2"/>
    <s v="11/14/2003 0:00"/>
    <x v="0"/>
    <x v="3"/>
    <x v="5"/>
    <x v="0"/>
    <x v="4"/>
    <n v="68"/>
    <s v="S24_2841"/>
    <x v="52"/>
    <s v="(171) 555-7555"/>
    <s v="120 Hanover Sq."/>
    <s v=""/>
    <s v="London"/>
    <s v=""/>
    <s v="WA1 1DP"/>
    <x v="6"/>
    <s v="EMEA"/>
    <s v="Hardy"/>
    <s v="Thomas"/>
    <s v="Thomas, Hardy"/>
    <s v="Small"/>
  </r>
  <r>
    <n v="10198"/>
    <n v="48"/>
    <n v="6782"/>
    <n v="325536"/>
    <n v="325536"/>
    <n v="5"/>
    <s v="11/27/2003 0:00"/>
    <x v="0"/>
    <x v="3"/>
    <x v="5"/>
    <x v="0"/>
    <x v="4"/>
    <n v="68"/>
    <s v="S24_2841"/>
    <x v="66"/>
    <s v="+63 2 555 3587"/>
    <s v="15 McCallum Street - NatWest Center #13-03"/>
    <s v=""/>
    <s v="Makati City"/>
    <s v=""/>
    <s v="1227 MM"/>
    <x v="15"/>
    <s v="Japan"/>
    <s v="Cruz"/>
    <s v="Arnold"/>
    <s v="Arnold, Cruz"/>
    <s v="Medium"/>
  </r>
  <r>
    <n v="10209"/>
    <n v="43"/>
    <n v="8221"/>
    <n v="353503"/>
    <n v="353503"/>
    <n v="1"/>
    <s v="1/9/2004 0:00"/>
    <x v="0"/>
    <x v="0"/>
    <x v="7"/>
    <x v="1"/>
    <x v="4"/>
    <n v="68"/>
    <s v="S24_2841"/>
    <x v="54"/>
    <s v="2155554369"/>
    <s v="6047 Douglas Av."/>
    <s v=""/>
    <s v="Los Angeles"/>
    <s v="CA"/>
    <s v=""/>
    <x v="0"/>
    <s v="NA"/>
    <s v="Chandler"/>
    <s v="Michael"/>
    <s v="Michael, Chandler"/>
    <s v="Medium"/>
  </r>
  <r>
    <n v="10222"/>
    <n v="32"/>
    <n v="8153"/>
    <n v="260896"/>
    <n v="260896"/>
    <n v="5"/>
    <s v="2/19/2004 0:00"/>
    <x v="0"/>
    <x v="0"/>
    <x v="0"/>
    <x v="1"/>
    <x v="4"/>
    <n v="68"/>
    <s v="S24_2841"/>
    <x v="55"/>
    <s v="7605558146"/>
    <s v="361 Furth Circle"/>
    <s v=""/>
    <s v="San Diego"/>
    <s v="CA"/>
    <s v="91217"/>
    <x v="0"/>
    <s v="NA"/>
    <s v="Thompson"/>
    <s v="Valarie"/>
    <s v="Valarie, Thompson"/>
    <s v="Small"/>
  </r>
  <r>
    <n v="10249"/>
    <n v="20"/>
    <n v="6782"/>
    <n v="135640"/>
    <n v="135640"/>
    <n v="1"/>
    <s v="5/8/2004 0:00"/>
    <x v="0"/>
    <x v="1"/>
    <x v="1"/>
    <x v="1"/>
    <x v="4"/>
    <n v="68"/>
    <s v="S24_2841"/>
    <x v="33"/>
    <s v="6175555555"/>
    <s v="4658 Baden Av."/>
    <s v=""/>
    <s v="Cambridge"/>
    <s v="MA"/>
    <s v="51247"/>
    <x v="0"/>
    <s v="NA"/>
    <s v="Tseng"/>
    <s v="Kyung"/>
    <s v="Kyung, Tseng"/>
    <s v="Small"/>
  </r>
  <r>
    <n v="10262"/>
    <n v="24"/>
    <n v="6714"/>
    <n v="161136"/>
    <n v="0"/>
    <n v="10"/>
    <s v="6/24/2004 0:00"/>
    <x v="3"/>
    <x v="1"/>
    <x v="9"/>
    <x v="1"/>
    <x v="4"/>
    <n v="68"/>
    <s v="S24_2841"/>
    <x v="23"/>
    <s v="(91) 555 94 44"/>
    <s v="C/ Moralzarzal, 86"/>
    <s v=""/>
    <s v="Madrid"/>
    <s v=""/>
    <s v="28034"/>
    <x v="7"/>
    <s v="EMEA"/>
    <s v="Freyre"/>
    <s v="Diego"/>
    <s v="Diego, Freyre"/>
    <s v="Small"/>
  </r>
  <r>
    <n v="10274"/>
    <n v="40"/>
    <n v="6508"/>
    <n v="260320"/>
    <n v="260320"/>
    <n v="2"/>
    <s v="7/21/2004 0:00"/>
    <x v="0"/>
    <x v="2"/>
    <x v="2"/>
    <x v="1"/>
    <x v="4"/>
    <n v="68"/>
    <s v="S24_2841"/>
    <x v="41"/>
    <s v="6175558555"/>
    <s v="7825 Douglas Av."/>
    <s v=""/>
    <s v="Brickhaven"/>
    <s v="MA"/>
    <s v="58339"/>
    <x v="0"/>
    <s v="NA"/>
    <s v="Nelson"/>
    <s v="Allen"/>
    <s v="Allen, Nelson"/>
    <s v="Small"/>
  </r>
  <r>
    <n v="10284"/>
    <n v="30"/>
    <n v="7399"/>
    <n v="221970"/>
    <n v="221970"/>
    <n v="12"/>
    <s v="8/21/2004 0:00"/>
    <x v="0"/>
    <x v="2"/>
    <x v="3"/>
    <x v="1"/>
    <x v="4"/>
    <n v="68"/>
    <s v="S24_2841"/>
    <x v="85"/>
    <s v="+47 2212 1555"/>
    <s v="Drammensveien 126 A, PB 744 Sentrum"/>
    <s v=""/>
    <s v="Oslo"/>
    <s v=""/>
    <s v="N 0106"/>
    <x v="2"/>
    <s v="EMEA"/>
    <s v="Klaeboe"/>
    <s v="Jan"/>
    <s v="Jan, Klaeboe"/>
    <s v="Small"/>
  </r>
  <r>
    <n v="10296"/>
    <n v="21"/>
    <n v="7125"/>
    <n v="149625"/>
    <n v="149625"/>
    <n v="8"/>
    <s v="9/15/2004 0:00"/>
    <x v="0"/>
    <x v="2"/>
    <x v="10"/>
    <x v="1"/>
    <x v="4"/>
    <n v="68"/>
    <s v="S24_2841"/>
    <x v="89"/>
    <s v="+49 89 61 08 9555"/>
    <s v="Hansastr. 15"/>
    <s v=""/>
    <s v="Munich"/>
    <s v=""/>
    <s v="80686"/>
    <x v="16"/>
    <s v="EMEA"/>
    <s v="Donnermeyer"/>
    <s v="Michael"/>
    <s v="Michael, Donnermeyer"/>
    <s v="Small"/>
  </r>
  <r>
    <n v="10307"/>
    <n v="25"/>
    <n v="7536"/>
    <n v="188400"/>
    <n v="188400"/>
    <n v="2"/>
    <s v="10/14/2004 0:00"/>
    <x v="0"/>
    <x v="3"/>
    <x v="4"/>
    <x v="1"/>
    <x v="4"/>
    <n v="68"/>
    <s v="S24_2841"/>
    <x v="29"/>
    <s v="2155554695"/>
    <s v="782 First Street"/>
    <s v=""/>
    <s v="Philadelphia"/>
    <s v="PA"/>
    <s v="71270"/>
    <x v="0"/>
    <s v="NA"/>
    <s v="Cervantes"/>
    <s v="Francisca"/>
    <s v="Francisca, Cervantes"/>
    <s v="Small"/>
  </r>
  <r>
    <n v="10316"/>
    <n v="34"/>
    <n v="6371"/>
    <n v="216614"/>
    <n v="216614"/>
    <n v="10"/>
    <s v="11/1/2004 0:00"/>
    <x v="0"/>
    <x v="3"/>
    <x v="5"/>
    <x v="1"/>
    <x v="4"/>
    <n v="68"/>
    <s v="S24_2841"/>
    <x v="59"/>
    <s v="(198) 555-8888"/>
    <s v="Garden House Crowther Way"/>
    <s v=""/>
    <s v="Cowes"/>
    <s v="Isle of Wight"/>
    <s v="PO31 7PJ"/>
    <x v="6"/>
    <s v="EMEA"/>
    <s v="Bennett"/>
    <s v="Helen"/>
    <s v="Helen, Bennett"/>
    <s v="Small"/>
  </r>
  <r>
    <n v="10328"/>
    <n v="48"/>
    <n v="5892"/>
    <n v="282816"/>
    <n v="282816"/>
    <n v="1"/>
    <s v="11/12/2004 0:00"/>
    <x v="0"/>
    <x v="3"/>
    <x v="5"/>
    <x v="1"/>
    <x v="4"/>
    <n v="68"/>
    <s v="S24_2841"/>
    <x v="86"/>
    <s v="035-640555"/>
    <s v="Via Ludovico il Moro 22"/>
    <s v=""/>
    <s v="Bergamo"/>
    <s v=""/>
    <s v="24100"/>
    <x v="12"/>
    <s v="EMEA"/>
    <s v="Rovelli"/>
    <s v="Giovanni"/>
    <s v="Giovanni, Rovelli"/>
    <s v="Small"/>
  </r>
  <r>
    <n v="10339"/>
    <n v="55"/>
    <n v="100"/>
    <n v="5500"/>
    <n v="5500"/>
    <n v="12"/>
    <s v="11/23/2004 0:00"/>
    <x v="0"/>
    <x v="3"/>
    <x v="5"/>
    <x v="1"/>
    <x v="4"/>
    <n v="68"/>
    <s v="S24_2841"/>
    <x v="35"/>
    <s v="+81 3 3584 0555"/>
    <s v="2-2-8 Roppongi"/>
    <s v=""/>
    <s v="Minato-ku"/>
    <s v="Tokyo"/>
    <s v="106-0032"/>
    <x v="11"/>
    <s v="Japan"/>
    <s v="Shimamura"/>
    <s v="Akiko"/>
    <s v="Akiko, Shimamura"/>
    <s v="Medium"/>
  </r>
  <r>
    <n v="10351"/>
    <n v="25"/>
    <n v="7468"/>
    <n v="186700"/>
    <n v="186700"/>
    <n v="5"/>
    <s v="12/3/2004 0:00"/>
    <x v="0"/>
    <x v="3"/>
    <x v="6"/>
    <x v="1"/>
    <x v="4"/>
    <n v="68"/>
    <s v="S24_2841"/>
    <x v="49"/>
    <s v="(171) 555-0297"/>
    <s v="35 King George"/>
    <s v=""/>
    <s v="London"/>
    <s v=""/>
    <s v="WX3 6FW"/>
    <x v="6"/>
    <s v="EMEA"/>
    <s v="Brown"/>
    <s v="Ann"/>
    <s v="Ann, Brown"/>
    <s v="Small"/>
  </r>
  <r>
    <n v="10373"/>
    <n v="38"/>
    <n v="7044"/>
    <n v="267672"/>
    <n v="267672"/>
    <n v="7"/>
    <s v="1/31/2005 0:00"/>
    <x v="0"/>
    <x v="0"/>
    <x v="7"/>
    <x v="2"/>
    <x v="4"/>
    <n v="68"/>
    <s v="S24_2841"/>
    <x v="60"/>
    <s v="981-443655"/>
    <s v="Torikatu 38"/>
    <s v=""/>
    <s v="Oulu"/>
    <s v=""/>
    <s v="90110"/>
    <x v="4"/>
    <s v="EMEA"/>
    <s v="Koskitalo"/>
    <s v="Pirkko"/>
    <s v="Pirkko, Koskitalo"/>
    <s v="Small"/>
  </r>
  <r>
    <n v="10386"/>
    <n v="39"/>
    <n v="5596"/>
    <n v="218244"/>
    <n v="218244"/>
    <n v="1"/>
    <s v="3/1/2005 0:00"/>
    <x v="5"/>
    <x v="0"/>
    <x v="11"/>
    <x v="2"/>
    <x v="4"/>
    <n v="68"/>
    <s v="S24_2841"/>
    <x v="23"/>
    <s v="(91) 555 94 44"/>
    <s v="C/ Moralzarzal, 86"/>
    <s v=""/>
    <s v="Madrid"/>
    <s v=""/>
    <s v="28034"/>
    <x v="7"/>
    <s v="EMEA"/>
    <s v="Freyre"/>
    <s v="Diego"/>
    <s v="Diego, Freyre"/>
    <s v="Small"/>
  </r>
  <r>
    <n v="10398"/>
    <n v="28"/>
    <n v="5755"/>
    <n v="161140"/>
    <n v="161140"/>
    <n v="3"/>
    <s v="3/30/2005 0:00"/>
    <x v="0"/>
    <x v="0"/>
    <x v="11"/>
    <x v="2"/>
    <x v="4"/>
    <n v="68"/>
    <s v="S24_2841"/>
    <x v="1"/>
    <s v="26.47.1555"/>
    <s v="59 rue de l'Abbaye"/>
    <s v=""/>
    <s v="Reims"/>
    <s v=""/>
    <s v="51100"/>
    <x v="1"/>
    <s v="EMEA"/>
    <s v="Henriot"/>
    <s v="Paul"/>
    <s v="Paul, Henriot"/>
    <s v="Small"/>
  </r>
  <r>
    <n v="10400"/>
    <n v="24"/>
    <n v="6166"/>
    <n v="147984"/>
    <n v="147984"/>
    <n v="2"/>
    <s v="4/1/2005 0:00"/>
    <x v="0"/>
    <x v="1"/>
    <x v="8"/>
    <x v="2"/>
    <x v="4"/>
    <n v="68"/>
    <s v="S24_2841"/>
    <x v="61"/>
    <s v="4085553659"/>
    <s v="3086 Ingle Ln."/>
    <s v=""/>
    <s v="San Jose"/>
    <s v="CA"/>
    <s v="94217"/>
    <x v="0"/>
    <s v="NA"/>
    <s v="Frick"/>
    <s v="Sue"/>
    <s v="Sue, Frick"/>
    <s v="Small"/>
  </r>
  <r>
    <n v="10415"/>
    <n v="21"/>
    <n v="6782"/>
    <n v="142422"/>
    <n v="0"/>
    <n v="1"/>
    <s v="5/9/2005 0:00"/>
    <x v="1"/>
    <x v="1"/>
    <x v="1"/>
    <x v="2"/>
    <x v="4"/>
    <n v="68"/>
    <s v="S24_2841"/>
    <x v="87"/>
    <s v="61-9-3844-6555"/>
    <s v="7 Allen Street"/>
    <s v=""/>
    <s v="Glen Waverly"/>
    <s v="Victoria"/>
    <s v="3150"/>
    <x v="3"/>
    <s v="APAC"/>
    <s v="Connery"/>
    <s v="Sean"/>
    <s v="Sean, Connery"/>
    <s v="Small"/>
  </r>
  <r>
    <n v="10110"/>
    <n v="46"/>
    <n v="100"/>
    <n v="4600"/>
    <n v="4600"/>
    <n v="10"/>
    <s v="3/18/2003 0:00"/>
    <x v="0"/>
    <x v="0"/>
    <x v="11"/>
    <x v="0"/>
    <x v="1"/>
    <n v="117"/>
    <s v="S24_2887"/>
    <x v="77"/>
    <s v="(171) 555-1555"/>
    <s v="Fauntleroy Circus"/>
    <s v=""/>
    <s v="Manchester"/>
    <s v=""/>
    <s v="EC2 5NT"/>
    <x v="6"/>
    <s v="EMEA"/>
    <s v="Ashworth"/>
    <s v="Victoria"/>
    <s v="Victoria, Ashworth"/>
    <s v="Medium"/>
  </r>
  <r>
    <n v="10124"/>
    <n v="25"/>
    <n v="9395"/>
    <n v="234875"/>
    <n v="234875"/>
    <n v="9"/>
    <s v="5/21/2003 0:00"/>
    <x v="0"/>
    <x v="1"/>
    <x v="1"/>
    <x v="0"/>
    <x v="1"/>
    <n v="117"/>
    <s v="S24_2887"/>
    <x v="84"/>
    <s v="7025551838"/>
    <s v="8489 Strong St."/>
    <s v=""/>
    <s v="Las Vegas"/>
    <s v="NV"/>
    <s v="83030"/>
    <x v="0"/>
    <s v="NA"/>
    <s v="King"/>
    <s v="Sue"/>
    <s v="Sue, King"/>
    <s v="Small"/>
  </r>
  <r>
    <n v="10148"/>
    <n v="34"/>
    <n v="100"/>
    <n v="3400"/>
    <n v="3400"/>
    <n v="3"/>
    <s v="9/11/2003 0:00"/>
    <x v="0"/>
    <x v="2"/>
    <x v="10"/>
    <x v="0"/>
    <x v="1"/>
    <n v="117"/>
    <s v="S24_2887"/>
    <x v="42"/>
    <s v="02 9936 8555"/>
    <s v="201 Miller Street"/>
    <s v="Level 15"/>
    <s v="North Sydney"/>
    <s v="NSW"/>
    <s v="2060"/>
    <x v="3"/>
    <s v="APAC"/>
    <s v="O'Hara"/>
    <s v="Anna"/>
    <s v="Anna, O'Hara"/>
    <s v="Medium"/>
  </r>
  <r>
    <n v="10161"/>
    <n v="25"/>
    <n v="100"/>
    <n v="2500"/>
    <n v="2500"/>
    <n v="2"/>
    <s v="10/17/2003 0:00"/>
    <x v="0"/>
    <x v="3"/>
    <x v="4"/>
    <x v="0"/>
    <x v="1"/>
    <n v="117"/>
    <s v="S24_2887"/>
    <x v="78"/>
    <s v="86 21 3555"/>
    <s v="Smagsloget 45"/>
    <s v=""/>
    <s v="Aaarhus"/>
    <s v=""/>
    <s v="8200"/>
    <x v="13"/>
    <s v="EMEA"/>
    <s v="Ibsen"/>
    <s v="Palle"/>
    <s v="Palle, Ibsen"/>
    <s v="Small"/>
  </r>
  <r>
    <n v="10173"/>
    <n v="23"/>
    <n v="100"/>
    <n v="2300"/>
    <n v="2300"/>
    <n v="16"/>
    <s v="11/5/2003 0:00"/>
    <x v="0"/>
    <x v="3"/>
    <x v="5"/>
    <x v="0"/>
    <x v="1"/>
    <n v="117"/>
    <s v="S24_2887"/>
    <x v="86"/>
    <s v="035-640555"/>
    <s v="Via Ludovico il Moro 22"/>
    <s v=""/>
    <s v="Bergamo"/>
    <s v=""/>
    <s v="24100"/>
    <x v="12"/>
    <s v="EMEA"/>
    <s v="Rovelli"/>
    <s v="Giovanni"/>
    <s v="Giovanni, Rovelli"/>
    <s v="Small"/>
  </r>
  <r>
    <n v="10182"/>
    <n v="20"/>
    <n v="100"/>
    <n v="2000"/>
    <n v="2000"/>
    <n v="13"/>
    <s v="11/12/2003 0:00"/>
    <x v="0"/>
    <x v="3"/>
    <x v="5"/>
    <x v="0"/>
    <x v="1"/>
    <n v="117"/>
    <s v="S24_2887"/>
    <x v="39"/>
    <s v="4155551450"/>
    <s v="5677 Strong St."/>
    <s v=""/>
    <s v="San Rafael"/>
    <s v="CA"/>
    <s v="97562"/>
    <x v="0"/>
    <s v="NA"/>
    <s v="Nelson"/>
    <s v="Valarie"/>
    <s v="Valarie, Nelson"/>
    <s v="Small"/>
  </r>
  <r>
    <n v="10192"/>
    <n v="23"/>
    <n v="100"/>
    <n v="2300"/>
    <n v="2300"/>
    <n v="1"/>
    <s v="11/20/2003 0:00"/>
    <x v="0"/>
    <x v="3"/>
    <x v="5"/>
    <x v="0"/>
    <x v="1"/>
    <n v="117"/>
    <s v="S24_2887"/>
    <x v="40"/>
    <s v="6035558647"/>
    <s v="2304 Long Airport Avenue"/>
    <s v=""/>
    <s v="Nashua"/>
    <s v="NH"/>
    <s v="62005"/>
    <x v="0"/>
    <s v="NA"/>
    <s v="Young"/>
    <s v="Valarie"/>
    <s v="Valarie, Young"/>
    <s v="Medium"/>
  </r>
  <r>
    <n v="10204"/>
    <n v="42"/>
    <n v="100"/>
    <n v="4200"/>
    <n v="4200"/>
    <n v="7"/>
    <s v="12/2/2003 0:00"/>
    <x v="0"/>
    <x v="3"/>
    <x v="6"/>
    <x v="0"/>
    <x v="1"/>
    <n v="117"/>
    <s v="S24_2887"/>
    <x v="74"/>
    <s v="2125557413"/>
    <s v="4092 Furth Circle"/>
    <s v="Suite 400"/>
    <s v="NYC"/>
    <s v="NY"/>
    <s v="10022"/>
    <x v="0"/>
    <s v="NA"/>
    <s v="Young"/>
    <s v="Jeff"/>
    <s v="Jeff, Young"/>
    <s v="Medium"/>
  </r>
  <r>
    <n v="10213"/>
    <n v="27"/>
    <n v="100"/>
    <n v="2700"/>
    <n v="2700"/>
    <n v="3"/>
    <s v="1/22/2004 0:00"/>
    <x v="0"/>
    <x v="0"/>
    <x v="7"/>
    <x v="1"/>
    <x v="1"/>
    <n v="117"/>
    <s v="S24_2887"/>
    <x v="52"/>
    <s v="(171) 555-7555"/>
    <s v="120 Hanover Sq."/>
    <s v=""/>
    <s v="London"/>
    <s v=""/>
    <s v="WA1 1DP"/>
    <x v="6"/>
    <s v="EMEA"/>
    <s v="Hardy"/>
    <s v="Thomas"/>
    <s v="Thomas, Hardy"/>
    <s v="Small"/>
  </r>
  <r>
    <n v="10227"/>
    <n v="33"/>
    <n v="100"/>
    <n v="3300"/>
    <n v="3300"/>
    <n v="13"/>
    <s v="3/2/2004 0:00"/>
    <x v="0"/>
    <x v="0"/>
    <x v="11"/>
    <x v="1"/>
    <x v="1"/>
    <n v="117"/>
    <s v="S24_2887"/>
    <x v="30"/>
    <s v="78.32.5555"/>
    <s v="2, rue du Commerce"/>
    <s v=""/>
    <s v="Lyon"/>
    <s v=""/>
    <s v="69004"/>
    <x v="1"/>
    <s v="EMEA"/>
    <s v="Saveley"/>
    <s v="Mary"/>
    <s v="Mary, Saveley"/>
    <s v="Medium"/>
  </r>
  <r>
    <n v="10241"/>
    <n v="28"/>
    <n v="9865"/>
    <n v="276220"/>
    <n v="276220"/>
    <n v="5"/>
    <s v="4/13/2004 0:00"/>
    <x v="0"/>
    <x v="1"/>
    <x v="8"/>
    <x v="1"/>
    <x v="1"/>
    <n v="117"/>
    <s v="S24_2887"/>
    <x v="83"/>
    <s v="88.60.1555"/>
    <s v="24, place Kluber"/>
    <s v=""/>
    <s v="Strasbourg"/>
    <s v=""/>
    <s v="67000"/>
    <x v="1"/>
    <s v="EMEA"/>
    <s v="Citeaux"/>
    <s v="Frederique"/>
    <s v="Frederique, Citeaux"/>
    <s v="Small"/>
  </r>
  <r>
    <n v="10267"/>
    <n v="43"/>
    <n v="100"/>
    <n v="4300"/>
    <n v="4300"/>
    <n v="2"/>
    <s v="7/7/2004 0:00"/>
    <x v="0"/>
    <x v="2"/>
    <x v="2"/>
    <x v="1"/>
    <x v="1"/>
    <n v="117"/>
    <s v="S24_2887"/>
    <x v="74"/>
    <s v="2125557413"/>
    <s v="4092 Furth Circle"/>
    <s v="Suite 400"/>
    <s v="NYC"/>
    <s v="NY"/>
    <s v="10022"/>
    <x v="0"/>
    <s v="NA"/>
    <s v="Young"/>
    <s v="Jeff"/>
    <s v="Jeff, Young"/>
    <s v="Medium"/>
  </r>
  <r>
    <n v="10279"/>
    <n v="48"/>
    <n v="100"/>
    <n v="4800"/>
    <n v="4800"/>
    <n v="2"/>
    <s v="8/9/2004 0:00"/>
    <x v="0"/>
    <x v="2"/>
    <x v="3"/>
    <x v="1"/>
    <x v="1"/>
    <n v="117"/>
    <s v="S24_2887"/>
    <x v="23"/>
    <s v="(91) 555 94 44"/>
    <s v="C/ Moralzarzal, 86"/>
    <s v=""/>
    <s v="Madrid"/>
    <s v=""/>
    <s v="28034"/>
    <x v="7"/>
    <s v="EMEA"/>
    <s v="Freyre"/>
    <s v="Diego"/>
    <s v="Diego, Freyre"/>
    <s v="Medium"/>
  </r>
  <r>
    <n v="10288"/>
    <n v="48"/>
    <n v="100"/>
    <n v="4800"/>
    <n v="4800"/>
    <n v="8"/>
    <s v="9/1/2004 0:00"/>
    <x v="0"/>
    <x v="2"/>
    <x v="10"/>
    <x v="1"/>
    <x v="1"/>
    <n v="117"/>
    <s v="S24_2887"/>
    <x v="65"/>
    <s v="+65 224 1555"/>
    <s v="Village Close - 106 Linden Road Sandown"/>
    <s v="2nd Floor"/>
    <s v="Singapore"/>
    <s v=""/>
    <s v="69045"/>
    <x v="9"/>
    <s v="APAC"/>
    <s v="Victorino"/>
    <s v="Wendy"/>
    <s v="Wendy, Victorino"/>
    <s v="Medium"/>
  </r>
  <r>
    <n v="10302"/>
    <n v="45"/>
    <n v="100"/>
    <n v="4500"/>
    <n v="4500"/>
    <n v="4"/>
    <s v="10/6/2003 0:00"/>
    <x v="0"/>
    <x v="3"/>
    <x v="4"/>
    <x v="0"/>
    <x v="1"/>
    <n v="117"/>
    <s v="S24_2887"/>
    <x v="22"/>
    <s v="(171) 555-2282"/>
    <s v="Berkeley Gardens 12  Brewery"/>
    <s v=""/>
    <s v="Liverpool"/>
    <s v=""/>
    <s v="WX1 6LT"/>
    <x v="6"/>
    <s v="EMEA"/>
    <s v="Devon"/>
    <s v="Elizabeth"/>
    <s v="Elizabeth, Devon"/>
    <s v="Medium"/>
  </r>
  <r>
    <n v="10311"/>
    <n v="43"/>
    <n v="100"/>
    <n v="4300"/>
    <n v="4300"/>
    <n v="3"/>
    <s v="10/16/2004 0:00"/>
    <x v="0"/>
    <x v="3"/>
    <x v="4"/>
    <x v="1"/>
    <x v="1"/>
    <n v="117"/>
    <s v="S24_2887"/>
    <x v="23"/>
    <s v="(91) 555 94 44"/>
    <s v="C/ Moralzarzal, 86"/>
    <s v=""/>
    <s v="Madrid"/>
    <s v=""/>
    <s v="28034"/>
    <x v="7"/>
    <s v="EMEA"/>
    <s v="Freyre"/>
    <s v="Diego"/>
    <s v="Diego, Freyre"/>
    <s v="Medium"/>
  </r>
  <r>
    <n v="10332"/>
    <n v="44"/>
    <n v="4226"/>
    <n v="185944"/>
    <n v="185944"/>
    <n v="11"/>
    <s v="11/17/2004 0:00"/>
    <x v="0"/>
    <x v="3"/>
    <x v="5"/>
    <x v="1"/>
    <x v="1"/>
    <n v="117"/>
    <s v="S24_2887"/>
    <x v="77"/>
    <s v="(171) 555-1555"/>
    <s v="Fauntleroy Circus"/>
    <s v=""/>
    <s v="Manchester"/>
    <s v=""/>
    <s v="EC2 5NT"/>
    <x v="6"/>
    <s v="EMEA"/>
    <s v="Ashworth"/>
    <s v="Victoria"/>
    <s v="Victoria, Ashworth"/>
    <s v="Small"/>
  </r>
  <r>
    <n v="10346"/>
    <n v="24"/>
    <n v="8724"/>
    <n v="209376"/>
    <n v="209376"/>
    <n v="5"/>
    <s v="11/29/2004 0:00"/>
    <x v="0"/>
    <x v="3"/>
    <x v="5"/>
    <x v="1"/>
    <x v="1"/>
    <n v="117"/>
    <s v="S24_2887"/>
    <x v="84"/>
    <s v="7025551838"/>
    <s v="8489 Strong St."/>
    <s v=""/>
    <s v="Las Vegas"/>
    <s v="NV"/>
    <s v="83030"/>
    <x v="0"/>
    <s v="NA"/>
    <s v="King"/>
    <s v="Sue"/>
    <s v="Sue, King"/>
    <s v="Small"/>
  </r>
  <r>
    <n v="10368"/>
    <n v="31"/>
    <n v="100"/>
    <n v="3100"/>
    <n v="3100"/>
    <n v="5"/>
    <s v="1/19/2005 0:00"/>
    <x v="0"/>
    <x v="0"/>
    <x v="7"/>
    <x v="2"/>
    <x v="1"/>
    <n v="117"/>
    <s v="S24_2887"/>
    <x v="39"/>
    <s v="4155551450"/>
    <s v="5677 Strong St."/>
    <s v=""/>
    <s v="San Rafael"/>
    <s v="CA"/>
    <s v="97562"/>
    <x v="0"/>
    <s v="NA"/>
    <s v="Nelson"/>
    <s v="Valarie"/>
    <s v="Valarie, Nelson"/>
    <s v="Medium"/>
  </r>
  <r>
    <n v="10380"/>
    <n v="44"/>
    <n v="3629"/>
    <n v="159676"/>
    <n v="159676"/>
    <n v="7"/>
    <s v="2/16/2005 0:00"/>
    <x v="0"/>
    <x v="0"/>
    <x v="0"/>
    <x v="2"/>
    <x v="1"/>
    <n v="117"/>
    <s v="S24_2887"/>
    <x v="23"/>
    <s v="(91) 555 94 44"/>
    <s v="C/ Moralzarzal, 86"/>
    <s v=""/>
    <s v="Madrid"/>
    <s v=""/>
    <s v="28034"/>
    <x v="7"/>
    <s v="EMEA"/>
    <s v="Freyre"/>
    <s v="Diego"/>
    <s v="Diego, Freyre"/>
    <s v="Small"/>
  </r>
  <r>
    <n v="10407"/>
    <n v="59"/>
    <n v="9865"/>
    <n v="582035"/>
    <n v="0"/>
    <n v="5"/>
    <s v="4/22/2005 0:00"/>
    <x v="4"/>
    <x v="1"/>
    <x v="8"/>
    <x v="2"/>
    <x v="1"/>
    <n v="117"/>
    <s v="S24_2887"/>
    <x v="61"/>
    <s v="4085553659"/>
    <s v="3086 Ingle Ln."/>
    <s v=""/>
    <s v="San Jose"/>
    <s v="CA"/>
    <s v="94217"/>
    <x v="0"/>
    <s v="NA"/>
    <s v="Frick"/>
    <s v="Sue"/>
    <s v="Sue, Frick"/>
    <s v="Medium"/>
  </r>
  <r>
    <n v="10420"/>
    <n v="55"/>
    <n v="963"/>
    <n v="52965"/>
    <n v="0"/>
    <n v="8"/>
    <s v="5/29/2005 0:00"/>
    <x v="2"/>
    <x v="1"/>
    <x v="1"/>
    <x v="2"/>
    <x v="1"/>
    <n v="117"/>
    <s v="S24_2887"/>
    <x v="20"/>
    <s v="+61 2 9495 8555"/>
    <s v="Monitor Money Building, 815 Pacific Hwy"/>
    <s v="Level 6"/>
    <s v="Chatswood"/>
    <s v="NSW"/>
    <s v="2067"/>
    <x v="3"/>
    <s v="APAC"/>
    <s v="Huxley"/>
    <s v="Adrian"/>
    <s v="Adrian, Huxley"/>
    <s v="Medium"/>
  </r>
  <r>
    <n v="10109"/>
    <n v="29"/>
    <n v="321"/>
    <n v="9309"/>
    <n v="9309"/>
    <n v="6"/>
    <s v="3/10/2003 0:00"/>
    <x v="0"/>
    <x v="0"/>
    <x v="11"/>
    <x v="0"/>
    <x v="1"/>
    <n v="37"/>
    <s v="S24_2972"/>
    <x v="45"/>
    <s v="2155559857"/>
    <s v="11328 Douglas Av."/>
    <s v=""/>
    <s v="Philadelphia"/>
    <s v="PA"/>
    <s v="71270"/>
    <x v="0"/>
    <s v="NA"/>
    <s v="Hernandez"/>
    <s v="Rosa"/>
    <s v="Rosa, Hernandez"/>
    <s v="Small"/>
  </r>
  <r>
    <n v="10122"/>
    <n v="39"/>
    <n v="3096"/>
    <n v="120744"/>
    <n v="120744"/>
    <n v="4"/>
    <s v="5/8/2003 0:00"/>
    <x v="0"/>
    <x v="1"/>
    <x v="1"/>
    <x v="0"/>
    <x v="1"/>
    <n v="37"/>
    <s v="S24_2972"/>
    <x v="67"/>
    <s v="91.24.4555"/>
    <s v="12, rue des Bouchers"/>
    <s v=""/>
    <s v="Marseille"/>
    <s v=""/>
    <s v="13008"/>
    <x v="1"/>
    <s v="EMEA"/>
    <s v="Lebihan"/>
    <s v="Laurence"/>
    <s v="Laurence, Lebihan"/>
    <s v="Small"/>
  </r>
  <r>
    <n v="10135"/>
    <n v="20"/>
    <n v="3587"/>
    <n v="71740"/>
    <n v="71740"/>
    <n v="1"/>
    <s v="7/2/2003 0:00"/>
    <x v="0"/>
    <x v="2"/>
    <x v="2"/>
    <x v="0"/>
    <x v="1"/>
    <n v="37"/>
    <s v="S24_2972"/>
    <x v="39"/>
    <s v="4155551450"/>
    <s v="5677 Strong St."/>
    <s v=""/>
    <s v="San Rafael"/>
    <s v="CA"/>
    <s v="97562"/>
    <x v="0"/>
    <s v="NA"/>
    <s v="Nelson"/>
    <s v="Valarie"/>
    <s v="Valarie, Nelson"/>
    <s v="Small"/>
  </r>
  <r>
    <n v="10147"/>
    <n v="25"/>
    <n v="4267"/>
    <n v="106675"/>
    <n v="106675"/>
    <n v="1"/>
    <s v="9/5/2003 0:00"/>
    <x v="0"/>
    <x v="2"/>
    <x v="10"/>
    <x v="0"/>
    <x v="1"/>
    <n v="37"/>
    <s v="S24_2972"/>
    <x v="41"/>
    <s v="6175558555"/>
    <s v="7825 Douglas Av."/>
    <s v=""/>
    <s v="Brickhaven"/>
    <s v="MA"/>
    <s v="58339"/>
    <x v="0"/>
    <s v="NA"/>
    <s v="Nelson"/>
    <s v="Allen"/>
    <s v="Allen, Nelson"/>
    <s v="Small"/>
  </r>
  <r>
    <n v="10160"/>
    <n v="42"/>
    <n v="37"/>
    <n v="1554"/>
    <n v="1554"/>
    <n v="2"/>
    <s v="10/11/2003 0:00"/>
    <x v="0"/>
    <x v="3"/>
    <x v="4"/>
    <x v="0"/>
    <x v="1"/>
    <n v="37"/>
    <s v="S24_2972"/>
    <x v="54"/>
    <s v="2155554369"/>
    <s v="6047 Douglas Av."/>
    <s v=""/>
    <s v="Los Angeles"/>
    <s v="CA"/>
    <s v=""/>
    <x v="0"/>
    <s v="NA"/>
    <s v="Chandler"/>
    <s v="Michael"/>
    <s v="Michael, Chandler"/>
    <s v="Small"/>
  </r>
  <r>
    <n v="10171"/>
    <n v="36"/>
    <n v="3549"/>
    <n v="127764"/>
    <n v="127764"/>
    <n v="4"/>
    <s v="11/5/2003 0:00"/>
    <x v="0"/>
    <x v="3"/>
    <x v="5"/>
    <x v="0"/>
    <x v="1"/>
    <n v="37"/>
    <s v="S24_2972"/>
    <x v="43"/>
    <s v="(514) 555-8054"/>
    <s v="43 rue St. Laurent"/>
    <s v=""/>
    <s v="Montreal"/>
    <s v="Quebec"/>
    <s v="H1J 1C3"/>
    <x v="10"/>
    <s v="NA"/>
    <s v="Fresnisre"/>
    <s v="Jean"/>
    <s v="Jean, Fresnisre"/>
    <s v="Small"/>
  </r>
  <r>
    <n v="10181"/>
    <n v="37"/>
    <n v="4267"/>
    <n v="157879"/>
    <n v="157879"/>
    <n v="8"/>
    <s v="11/12/2003 0:00"/>
    <x v="0"/>
    <x v="3"/>
    <x v="5"/>
    <x v="0"/>
    <x v="1"/>
    <n v="37"/>
    <s v="S24_2972"/>
    <x v="7"/>
    <s v="+47 2267 3215"/>
    <s v="Drammen 121, PR 744 Sentrum"/>
    <s v=""/>
    <s v="Bergen"/>
    <s v=""/>
    <s v="N 5804"/>
    <x v="2"/>
    <s v="EMEA"/>
    <s v="Oeztan"/>
    <s v="Veysel"/>
    <s v="Veysel, Oeztan"/>
    <s v="Small"/>
  </r>
  <r>
    <n v="10192"/>
    <n v="30"/>
    <n v="3059"/>
    <n v="91770"/>
    <n v="91770"/>
    <n v="13"/>
    <s v="11/20/2003 0:00"/>
    <x v="0"/>
    <x v="3"/>
    <x v="5"/>
    <x v="0"/>
    <x v="1"/>
    <n v="37"/>
    <s v="S24_2972"/>
    <x v="40"/>
    <s v="6035558647"/>
    <s v="2304 Long Airport Avenue"/>
    <s v=""/>
    <s v="Nashua"/>
    <s v="NH"/>
    <s v="62005"/>
    <x v="0"/>
    <s v="NA"/>
    <s v="Young"/>
    <s v="Valarie"/>
    <s v="Valarie, Young"/>
    <s v="Small"/>
  </r>
  <r>
    <n v="10203"/>
    <n v="21"/>
    <n v="37"/>
    <n v="777"/>
    <n v="777"/>
    <n v="2"/>
    <s v="12/2/2003 0:00"/>
    <x v="0"/>
    <x v="3"/>
    <x v="6"/>
    <x v="0"/>
    <x v="1"/>
    <n v="37"/>
    <s v="S24_2972"/>
    <x v="23"/>
    <s v="(91) 555 94 44"/>
    <s v="C/ Moralzarzal, 86"/>
    <s v=""/>
    <s v="Madrid"/>
    <s v=""/>
    <s v="28034"/>
    <x v="7"/>
    <s v="EMEA"/>
    <s v="Freyre"/>
    <s v="Diego"/>
    <s v="Diego, Freyre"/>
    <s v="Small"/>
  </r>
  <r>
    <n v="10212"/>
    <n v="34"/>
    <n v="4342"/>
    <n v="147628"/>
    <n v="147628"/>
    <n v="12"/>
    <s v="1/16/2004 0:00"/>
    <x v="0"/>
    <x v="0"/>
    <x v="7"/>
    <x v="1"/>
    <x v="1"/>
    <n v="37"/>
    <s v="S24_2972"/>
    <x v="23"/>
    <s v="(91) 555 94 44"/>
    <s v="C/ Moralzarzal, 86"/>
    <s v=""/>
    <s v="Madrid"/>
    <s v=""/>
    <s v="28034"/>
    <x v="7"/>
    <s v="EMEA"/>
    <s v="Freyre"/>
    <s v="Diego"/>
    <s v="Diego, Freyre"/>
    <s v="Small"/>
  </r>
  <r>
    <n v="10225"/>
    <n v="42"/>
    <n v="3663"/>
    <n v="153846"/>
    <n v="153846"/>
    <n v="3"/>
    <s v="2/22/2004 0:00"/>
    <x v="0"/>
    <x v="0"/>
    <x v="0"/>
    <x v="1"/>
    <x v="1"/>
    <n v="37"/>
    <s v="S24_2972"/>
    <x v="69"/>
    <s v="0897-034555"/>
    <s v="Grenzacherweg 237"/>
    <s v=""/>
    <s v="Gensve"/>
    <s v=""/>
    <s v="1203"/>
    <x v="17"/>
    <s v="EMEA"/>
    <s v="Holz"/>
    <s v="Michael"/>
    <s v="Michael, Holz"/>
    <s v="Small"/>
  </r>
  <r>
    <n v="10239"/>
    <n v="20"/>
    <n v="4456"/>
    <n v="89120"/>
    <n v="89120"/>
    <n v="2"/>
    <s v="4/12/2004 0:00"/>
    <x v="0"/>
    <x v="1"/>
    <x v="8"/>
    <x v="1"/>
    <x v="1"/>
    <n v="37"/>
    <s v="S24_2972"/>
    <x v="60"/>
    <s v="981-443655"/>
    <s v="Torikatu 38"/>
    <s v=""/>
    <s v="Oulu"/>
    <s v=""/>
    <s v="90110"/>
    <x v="4"/>
    <s v="EMEA"/>
    <s v="Koskitalo"/>
    <s v="Pirkko"/>
    <s v="Pirkko, Koskitalo"/>
    <s v="Small"/>
  </r>
  <r>
    <n v="10253"/>
    <n v="40"/>
    <n v="4267"/>
    <n v="170680"/>
    <n v="0"/>
    <n v="7"/>
    <s v="6/1/2004 0:00"/>
    <x v="3"/>
    <x v="1"/>
    <x v="9"/>
    <x v="1"/>
    <x v="1"/>
    <n v="37"/>
    <s v="S24_2972"/>
    <x v="22"/>
    <s v="(171) 555-2282"/>
    <s v="Berkeley Gardens 12  Brewery"/>
    <s v=""/>
    <s v="Liverpool"/>
    <s v=""/>
    <s v="WX1 6LT"/>
    <x v="6"/>
    <s v="EMEA"/>
    <s v="Devon"/>
    <s v="Elizabeth"/>
    <s v="Elizabeth, Devon"/>
    <s v="Small"/>
  </r>
  <r>
    <n v="10266"/>
    <n v="34"/>
    <n v="404"/>
    <n v="13736"/>
    <n v="13736"/>
    <n v="8"/>
    <s v="7/6/2004 0:00"/>
    <x v="0"/>
    <x v="2"/>
    <x v="2"/>
    <x v="1"/>
    <x v="1"/>
    <n v="37"/>
    <s v="S24_2972"/>
    <x v="70"/>
    <s v="0522-556555"/>
    <s v="Strada Provinciale 124"/>
    <s v=""/>
    <s v="Reggio Emilia"/>
    <s v=""/>
    <s v="42100"/>
    <x v="12"/>
    <s v="EMEA"/>
    <s v="Moroni"/>
    <s v="Maurizio"/>
    <s v="Maurizio, Moroni"/>
    <s v="Small"/>
  </r>
  <r>
    <n v="10278"/>
    <n v="31"/>
    <n v="3889"/>
    <n v="120559"/>
    <n v="120559"/>
    <n v="8"/>
    <s v="8/6/2004 0:00"/>
    <x v="0"/>
    <x v="2"/>
    <x v="3"/>
    <x v="1"/>
    <x v="1"/>
    <n v="37"/>
    <s v="S24_2972"/>
    <x v="84"/>
    <s v="7025551838"/>
    <s v="8489 Strong St."/>
    <s v=""/>
    <s v="Las Vegas"/>
    <s v="NV"/>
    <s v="83030"/>
    <x v="0"/>
    <s v="NA"/>
    <s v="King"/>
    <s v="Sue"/>
    <s v="Sue, King"/>
    <s v="Small"/>
  </r>
  <r>
    <n v="10287"/>
    <n v="36"/>
    <n v="3965"/>
    <n v="142740"/>
    <n v="142740"/>
    <n v="6"/>
    <s v="8/30/2004 0:00"/>
    <x v="0"/>
    <x v="2"/>
    <x v="3"/>
    <x v="1"/>
    <x v="1"/>
    <n v="37"/>
    <s v="S24_2972"/>
    <x v="69"/>
    <s v="0897-034555"/>
    <s v="Grenzacherweg 237"/>
    <s v=""/>
    <s v="Gensve"/>
    <s v=""/>
    <s v="1203"/>
    <x v="17"/>
    <s v="EMEA"/>
    <s v="Holz"/>
    <s v="Michael"/>
    <s v="Michael, Holz"/>
    <s v="Small"/>
  </r>
  <r>
    <n v="10301"/>
    <n v="48"/>
    <n v="3436"/>
    <n v="164928"/>
    <n v="164928"/>
    <n v="10"/>
    <s v="10/5/2003 0:00"/>
    <x v="0"/>
    <x v="3"/>
    <x v="4"/>
    <x v="0"/>
    <x v="1"/>
    <n v="37"/>
    <s v="S24_2972"/>
    <x v="85"/>
    <s v="+47 2212 1555"/>
    <s v="Drammensveien 126 A, PB 744 Sentrum"/>
    <s v=""/>
    <s v="Oslo"/>
    <s v=""/>
    <s v="N 0106"/>
    <x v="2"/>
    <s v="EMEA"/>
    <s v="Klaeboe"/>
    <s v="Jan"/>
    <s v="Jan, Klaeboe"/>
    <s v="Small"/>
  </r>
  <r>
    <n v="10310"/>
    <n v="33"/>
    <n v="4191"/>
    <n v="138303"/>
    <n v="138303"/>
    <n v="4"/>
    <s v="10/16/2004 0:00"/>
    <x v="0"/>
    <x v="3"/>
    <x v="4"/>
    <x v="1"/>
    <x v="1"/>
    <n v="37"/>
    <s v="S24_2972"/>
    <x v="68"/>
    <s v="0221-5554327"/>
    <s v="Mehrheimerstr. 369"/>
    <s v=""/>
    <s v="Koln"/>
    <s v=""/>
    <s v="50739"/>
    <x v="16"/>
    <s v="EMEA"/>
    <s v="Pfalzheim"/>
    <s v="Henriette"/>
    <s v="Henriette, Pfalzheim"/>
    <s v="Small"/>
  </r>
  <r>
    <n v="10321"/>
    <n v="37"/>
    <n v="3323"/>
    <n v="122951"/>
    <n v="122951"/>
    <n v="12"/>
    <s v="11/4/2004 0:00"/>
    <x v="0"/>
    <x v="3"/>
    <x v="5"/>
    <x v="1"/>
    <x v="1"/>
    <n v="37"/>
    <s v="S24_2972"/>
    <x v="21"/>
    <s v="5085552555"/>
    <s v="1785 First Street"/>
    <s v=""/>
    <s v="New Bedford"/>
    <s v="MA"/>
    <s v="50553"/>
    <x v="0"/>
    <s v="NA"/>
    <s v="Benitez"/>
    <s v="Violeta"/>
    <s v="Violeta, Benitez"/>
    <s v="Small"/>
  </r>
  <r>
    <n v="10331"/>
    <n v="27"/>
    <n v="4224"/>
    <n v="114048"/>
    <n v="114048"/>
    <n v="13"/>
    <s v="11/17/2004 0:00"/>
    <x v="0"/>
    <x v="3"/>
    <x v="5"/>
    <x v="1"/>
    <x v="1"/>
    <n v="37"/>
    <s v="S24_2972"/>
    <x v="45"/>
    <s v="2155559857"/>
    <s v="11328 Douglas Av."/>
    <s v=""/>
    <s v="Philadelphia"/>
    <s v="PA"/>
    <s v="71270"/>
    <x v="0"/>
    <s v="NA"/>
    <s v="Hernandez"/>
    <s v="Rosa"/>
    <s v="Rosa, Hernandez"/>
    <s v="Small"/>
  </r>
  <r>
    <n v="10342"/>
    <n v="39"/>
    <n v="404"/>
    <n v="15756"/>
    <n v="15756"/>
    <n v="9"/>
    <s v="11/24/2004 0:00"/>
    <x v="0"/>
    <x v="3"/>
    <x v="5"/>
    <x v="1"/>
    <x v="1"/>
    <n v="37"/>
    <s v="S24_2972"/>
    <x v="10"/>
    <s v="03 9520 4555"/>
    <s v="636 St Kilda Road"/>
    <s v="Level 3"/>
    <s v="Melbourne"/>
    <s v="Victoria"/>
    <s v="3004"/>
    <x v="3"/>
    <s v="APAC"/>
    <s v="Ferguson"/>
    <s v="Peter"/>
    <s v="Peter, Ferguson"/>
    <s v="Small"/>
  </r>
  <r>
    <n v="10355"/>
    <n v="36"/>
    <n v="3852"/>
    <n v="138672"/>
    <n v="138672"/>
    <n v="4"/>
    <s v="12/7/2004 0:00"/>
    <x v="0"/>
    <x v="3"/>
    <x v="6"/>
    <x v="1"/>
    <x v="1"/>
    <n v="37"/>
    <s v="S24_2972"/>
    <x v="23"/>
    <s v="(91) 555 94 44"/>
    <s v="C/ Moralzarzal, 86"/>
    <s v=""/>
    <s v="Madrid"/>
    <s v=""/>
    <s v="28034"/>
    <x v="7"/>
    <s v="EMEA"/>
    <s v="Freyre"/>
    <s v="Diego"/>
    <s v="Diego, Freyre"/>
    <s v="Small"/>
  </r>
  <r>
    <n v="10367"/>
    <n v="36"/>
    <n v="100"/>
    <n v="3600"/>
    <n v="3600"/>
    <n v="2"/>
    <s v="1/12/2005 0:00"/>
    <x v="5"/>
    <x v="0"/>
    <x v="7"/>
    <x v="2"/>
    <x v="1"/>
    <n v="37"/>
    <s v="S24_2972"/>
    <x v="3"/>
    <s v="6265557265"/>
    <s v="78934 Hillside Dr."/>
    <s v=""/>
    <s v="Pasadena"/>
    <s v="CA"/>
    <s v="90003"/>
    <x v="0"/>
    <s v="NA"/>
    <s v="Young"/>
    <s v="Julie"/>
    <s v="Julie, Young"/>
    <s v="Medium"/>
  </r>
  <r>
    <n v="10378"/>
    <n v="41"/>
    <n v="100"/>
    <n v="4100"/>
    <n v="4100"/>
    <n v="7"/>
    <s v="2/10/2005 0:00"/>
    <x v="0"/>
    <x v="0"/>
    <x v="0"/>
    <x v="2"/>
    <x v="1"/>
    <n v="37"/>
    <s v="S24_2972"/>
    <x v="23"/>
    <s v="(91) 555 94 44"/>
    <s v="C/ Moralzarzal, 86"/>
    <s v=""/>
    <s v="Madrid"/>
    <s v=""/>
    <s v="28034"/>
    <x v="7"/>
    <s v="EMEA"/>
    <s v="Freyre"/>
    <s v="Diego"/>
    <s v="Diego, Freyre"/>
    <s v="Medium"/>
  </r>
  <r>
    <n v="10390"/>
    <n v="37"/>
    <n v="100"/>
    <n v="3700"/>
    <n v="3700"/>
    <n v="5"/>
    <s v="3/4/2005 0:00"/>
    <x v="0"/>
    <x v="0"/>
    <x v="11"/>
    <x v="2"/>
    <x v="1"/>
    <n v="37"/>
    <s v="S24_2972"/>
    <x v="39"/>
    <s v="4155551450"/>
    <s v="5677 Strong St."/>
    <s v=""/>
    <s v="San Rafael"/>
    <s v="CA"/>
    <s v="97562"/>
    <x v="0"/>
    <s v="NA"/>
    <s v="Nelson"/>
    <s v="Valarie"/>
    <s v="Valarie, Nelson"/>
    <s v="Medium"/>
  </r>
  <r>
    <n v="10405"/>
    <n v="47"/>
    <n v="4456"/>
    <n v="209432"/>
    <n v="209432"/>
    <n v="2"/>
    <s v="4/14/2005 0:00"/>
    <x v="0"/>
    <x v="1"/>
    <x v="8"/>
    <x v="2"/>
    <x v="1"/>
    <n v="37"/>
    <s v="S24_2972"/>
    <x v="83"/>
    <s v="88.60.1555"/>
    <s v="24, place Kluber"/>
    <s v=""/>
    <s v="Strasbourg"/>
    <s v=""/>
    <s v="67000"/>
    <x v="1"/>
    <s v="EMEA"/>
    <s v="Citeaux"/>
    <s v="Frederique"/>
    <s v="Frederique, Citeaux"/>
    <s v="Small"/>
  </r>
  <r>
    <n v="10419"/>
    <n v="15"/>
    <n v="4267"/>
    <n v="64005"/>
    <n v="64005"/>
    <n v="7"/>
    <s v="5/17/2005 0:00"/>
    <x v="0"/>
    <x v="1"/>
    <x v="1"/>
    <x v="2"/>
    <x v="1"/>
    <n v="37"/>
    <s v="S24_2972"/>
    <x v="19"/>
    <s v="6562-9555"/>
    <s v="Geislweg 14"/>
    <s v=""/>
    <s v="Salzburg"/>
    <s v=""/>
    <s v="5020"/>
    <x v="5"/>
    <s v="EMEA"/>
    <s v="Pipps"/>
    <s v="Georg"/>
    <s v="Georg, Pipps"/>
    <s v="Small"/>
  </r>
  <r>
    <n v="10105"/>
    <n v="44"/>
    <n v="7258"/>
    <n v="319352"/>
    <n v="319352"/>
    <n v="4"/>
    <s v="2/11/2003 0:00"/>
    <x v="0"/>
    <x v="0"/>
    <x v="0"/>
    <x v="0"/>
    <x v="3"/>
    <n v="88"/>
    <s v="S24_3151"/>
    <x v="48"/>
    <s v="31 12 3555"/>
    <s v="Vinb'ltet 34"/>
    <s v=""/>
    <s v="Kobenhavn"/>
    <s v=""/>
    <s v="1734"/>
    <x v="13"/>
    <s v="EMEA"/>
    <s v="Petersen"/>
    <s v="Jytte"/>
    <s v="Jytte, Petersen"/>
    <s v="Medium"/>
  </r>
  <r>
    <n v="10119"/>
    <n v="35"/>
    <n v="8762"/>
    <n v="306670"/>
    <n v="306670"/>
    <n v="13"/>
    <s v="4/28/2003 0:00"/>
    <x v="0"/>
    <x v="1"/>
    <x v="8"/>
    <x v="0"/>
    <x v="3"/>
    <n v="88"/>
    <s v="S24_3151"/>
    <x v="19"/>
    <s v="6562-9555"/>
    <s v="Geislweg 14"/>
    <s v=""/>
    <s v="Salzburg"/>
    <s v=""/>
    <s v="5020"/>
    <x v="5"/>
    <s v="EMEA"/>
    <s v="Pipps"/>
    <s v="Georg"/>
    <s v="Georg, Pipps"/>
    <s v="Medium"/>
  </r>
  <r>
    <n v="10129"/>
    <n v="41"/>
    <n v="9471"/>
    <n v="388311"/>
    <n v="388311"/>
    <n v="4"/>
    <s v="6/12/2003 0:00"/>
    <x v="0"/>
    <x v="1"/>
    <x v="9"/>
    <x v="0"/>
    <x v="3"/>
    <n v="88"/>
    <s v="S24_3151"/>
    <x v="49"/>
    <s v="(171) 555-0297"/>
    <s v="35 King George"/>
    <s v=""/>
    <s v="London"/>
    <s v=""/>
    <s v="WX3 6FW"/>
    <x v="6"/>
    <s v="EMEA"/>
    <s v="Brown"/>
    <s v="Ann"/>
    <s v="Ann, Brown"/>
    <s v="Medium"/>
  </r>
  <r>
    <n v="10142"/>
    <n v="49"/>
    <n v="9825"/>
    <n v="481425"/>
    <n v="481425"/>
    <n v="1"/>
    <s v="8/8/2003 0:00"/>
    <x v="0"/>
    <x v="2"/>
    <x v="3"/>
    <x v="0"/>
    <x v="3"/>
    <n v="88"/>
    <s v="S24_3151"/>
    <x v="39"/>
    <s v="4155551450"/>
    <s v="5677 Strong St."/>
    <s v=""/>
    <s v="San Rafael"/>
    <s v="CA"/>
    <s v="97562"/>
    <x v="0"/>
    <s v="NA"/>
    <s v="Nelson"/>
    <s v="Valarie"/>
    <s v="Valarie, Nelson"/>
    <s v="Medium"/>
  </r>
  <r>
    <n v="10154"/>
    <n v="31"/>
    <n v="9117"/>
    <n v="282627"/>
    <n v="282627"/>
    <n v="2"/>
    <s v="10/2/2003 0:00"/>
    <x v="0"/>
    <x v="3"/>
    <x v="4"/>
    <x v="0"/>
    <x v="3"/>
    <n v="88"/>
    <s v="S24_3151"/>
    <x v="80"/>
    <s v="3105552373"/>
    <s v="4097 Douglas Av."/>
    <s v=""/>
    <s v="Glendale"/>
    <s v="CA"/>
    <s v="92561"/>
    <x v="0"/>
    <s v="NA"/>
    <s v="Young"/>
    <s v="Leslie"/>
    <s v="Leslie, Young"/>
    <s v="Small"/>
  </r>
  <r>
    <n v="10167"/>
    <n v="20"/>
    <n v="7966"/>
    <n v="159320"/>
    <n v="0"/>
    <n v="11"/>
    <s v="10/23/2003 0:00"/>
    <x v="3"/>
    <x v="3"/>
    <x v="4"/>
    <x v="0"/>
    <x v="3"/>
    <n v="88"/>
    <s v="S24_3151"/>
    <x v="37"/>
    <s v="0695-34 6555"/>
    <s v="?kergatan 24"/>
    <s v=""/>
    <s v="Boras"/>
    <s v=""/>
    <s v="S-844 67"/>
    <x v="8"/>
    <s v="EMEA"/>
    <s v="Larsson"/>
    <s v="Maria"/>
    <s v="Maria, Larsson"/>
    <s v="Small"/>
  </r>
  <r>
    <n v="10177"/>
    <n v="45"/>
    <n v="7258"/>
    <n v="326610"/>
    <n v="326610"/>
    <n v="2"/>
    <s v="11/7/2003 0:00"/>
    <x v="0"/>
    <x v="3"/>
    <x v="5"/>
    <x v="0"/>
    <x v="3"/>
    <n v="88"/>
    <s v="S24_3151"/>
    <x v="76"/>
    <s v="+34 913 728 555"/>
    <s v="Merchants House, 27-30 Merchant's Quay"/>
    <s v=""/>
    <s v="Madrid"/>
    <s v=""/>
    <s v="28023"/>
    <x v="7"/>
    <s v="EMEA"/>
    <s v="Fernandez"/>
    <s v="Jesus"/>
    <s v="Jesus, Fernandez"/>
    <s v="Medium"/>
  </r>
  <r>
    <n v="10185"/>
    <n v="33"/>
    <n v="7435"/>
    <n v="245355"/>
    <n v="245355"/>
    <n v="2"/>
    <s v="11/14/2003 0:00"/>
    <x v="0"/>
    <x v="3"/>
    <x v="5"/>
    <x v="0"/>
    <x v="3"/>
    <n v="88"/>
    <s v="S24_3151"/>
    <x v="50"/>
    <s v="5085559555"/>
    <s v="4575 Hillside Dr."/>
    <s v=""/>
    <s v="New Bedford"/>
    <s v="MA"/>
    <s v="50553"/>
    <x v="0"/>
    <s v="NA"/>
    <s v="Tam"/>
    <s v="Wing C"/>
    <s v="Wing C, Tam"/>
    <s v="Small"/>
  </r>
  <r>
    <n v="10197"/>
    <n v="47"/>
    <n v="832"/>
    <n v="39104"/>
    <n v="39104"/>
    <n v="8"/>
    <s v="11/26/2003 0:00"/>
    <x v="0"/>
    <x v="3"/>
    <x v="5"/>
    <x v="0"/>
    <x v="3"/>
    <n v="88"/>
    <s v="S24_3151"/>
    <x v="53"/>
    <s v="(93) 203 4555"/>
    <s v="Rambla de Catalu¤a, 23"/>
    <s v=""/>
    <s v="Barcelona"/>
    <s v=""/>
    <s v="8022"/>
    <x v="7"/>
    <s v="EMEA"/>
    <s v="Saavedra"/>
    <s v="Eduardo"/>
    <s v="Eduardo, Saavedra"/>
    <s v="Medium"/>
  </r>
  <r>
    <n v="10208"/>
    <n v="20"/>
    <n v="894"/>
    <n v="17880"/>
    <n v="17880"/>
    <n v="2"/>
    <s v="1/2/2004 0:00"/>
    <x v="0"/>
    <x v="0"/>
    <x v="7"/>
    <x v="1"/>
    <x v="3"/>
    <n v="88"/>
    <s v="S24_3151"/>
    <x v="30"/>
    <s v="78.32.5555"/>
    <s v="2, rue du Commerce"/>
    <s v=""/>
    <s v="Lyon"/>
    <s v=""/>
    <s v="69004"/>
    <x v="1"/>
    <s v="EMEA"/>
    <s v="Saveley"/>
    <s v="Mary"/>
    <s v="Mary, Saveley"/>
    <s v="Small"/>
  </r>
  <r>
    <n v="10222"/>
    <n v="47"/>
    <n v="7081"/>
    <n v="332807"/>
    <n v="332807"/>
    <n v="14"/>
    <s v="2/19/2004 0:00"/>
    <x v="0"/>
    <x v="0"/>
    <x v="0"/>
    <x v="1"/>
    <x v="3"/>
    <n v="88"/>
    <s v="S24_3151"/>
    <x v="55"/>
    <s v="7605558146"/>
    <s v="361 Furth Circle"/>
    <s v=""/>
    <s v="San Diego"/>
    <s v="CA"/>
    <s v="91217"/>
    <x v="0"/>
    <s v="NA"/>
    <s v="Thompson"/>
    <s v="Valarie"/>
    <s v="Valarie, Thompson"/>
    <s v="Medium"/>
  </r>
  <r>
    <n v="10233"/>
    <n v="40"/>
    <n v="9471"/>
    <n v="378840"/>
    <n v="378840"/>
    <n v="2"/>
    <s v="3/29/2004 0:00"/>
    <x v="0"/>
    <x v="0"/>
    <x v="11"/>
    <x v="1"/>
    <x v="3"/>
    <n v="88"/>
    <s v="S24_3151"/>
    <x v="12"/>
    <s v="2015559350"/>
    <s v="7476 Moss Rd."/>
    <s v=""/>
    <s v="Newark"/>
    <s v="NJ"/>
    <s v="94019"/>
    <x v="0"/>
    <s v="NA"/>
    <s v="Brown"/>
    <s v="William"/>
    <s v="William, Brown"/>
    <s v="Medium"/>
  </r>
  <r>
    <n v="10248"/>
    <n v="30"/>
    <n v="100"/>
    <n v="3000"/>
    <n v="0"/>
    <n v="5"/>
    <s v="5/7/2004 0:00"/>
    <x v="3"/>
    <x v="1"/>
    <x v="1"/>
    <x v="1"/>
    <x v="3"/>
    <n v="88"/>
    <s v="S24_3151"/>
    <x v="0"/>
    <s v="2125557818"/>
    <s v="897 Long Airport Avenue"/>
    <s v=""/>
    <s v="NYC"/>
    <s v="NY"/>
    <s v="10022"/>
    <x v="0"/>
    <s v="NA"/>
    <s v="Yu"/>
    <s v="Kwai"/>
    <s v="Kwai, Yu"/>
    <s v="Medium"/>
  </r>
  <r>
    <n v="10261"/>
    <n v="22"/>
    <n v="9117"/>
    <n v="200574"/>
    <n v="200574"/>
    <n v="3"/>
    <s v="6/17/2004 0:00"/>
    <x v="0"/>
    <x v="1"/>
    <x v="9"/>
    <x v="1"/>
    <x v="3"/>
    <n v="88"/>
    <s v="S24_3151"/>
    <x v="43"/>
    <s v="(514) 555-8054"/>
    <s v="43 rue St. Laurent"/>
    <s v=""/>
    <s v="Montreal"/>
    <s v="Quebec"/>
    <s v="H1J 1C3"/>
    <x v="10"/>
    <s v="NA"/>
    <s v="Fresnisre"/>
    <s v="Jean"/>
    <s v="Jean, Fresnisre"/>
    <s v="Small"/>
  </r>
  <r>
    <n v="10273"/>
    <n v="27"/>
    <n v="100"/>
    <n v="2700"/>
    <n v="2700"/>
    <n v="6"/>
    <s v="7/21/2004 0:00"/>
    <x v="0"/>
    <x v="2"/>
    <x v="2"/>
    <x v="1"/>
    <x v="3"/>
    <n v="88"/>
    <s v="S24_3151"/>
    <x v="56"/>
    <s v="(02) 5554 67"/>
    <s v="Rue Joseph-Bens 532"/>
    <s v=""/>
    <s v="Bruxelles"/>
    <s v=""/>
    <s v="B-1180"/>
    <x v="14"/>
    <s v="EMEA"/>
    <s v="Dewey"/>
    <s v="Catherine"/>
    <s v="Catherine, Dewey"/>
    <s v="Small"/>
  </r>
  <r>
    <n v="10283"/>
    <n v="34"/>
    <n v="9294"/>
    <n v="315996"/>
    <n v="315996"/>
    <n v="8"/>
    <s v="8/20/2004 0:00"/>
    <x v="0"/>
    <x v="2"/>
    <x v="3"/>
    <x v="1"/>
    <x v="3"/>
    <n v="88"/>
    <s v="S24_3151"/>
    <x v="57"/>
    <s v="(604) 555-4555"/>
    <s v="23 Tsawassen Blvd."/>
    <s v=""/>
    <s v="Tsawassen"/>
    <s v="BC"/>
    <s v="T2F 8M4"/>
    <x v="10"/>
    <s v="NA"/>
    <s v="Lincoln"/>
    <s v="Elizabeth"/>
    <s v="Elizabeth, Lincoln"/>
    <s v="Medium"/>
  </r>
  <r>
    <n v="10295"/>
    <n v="46"/>
    <n v="8497"/>
    <n v="390862"/>
    <n v="390862"/>
    <n v="3"/>
    <s v="9/10/2004 0:00"/>
    <x v="0"/>
    <x v="2"/>
    <x v="10"/>
    <x v="1"/>
    <x v="3"/>
    <n v="88"/>
    <s v="S24_3151"/>
    <x v="58"/>
    <s v="6175559555"/>
    <s v="8616 Spinnaker Dr."/>
    <s v=""/>
    <s v="Boston"/>
    <s v="MA"/>
    <s v="51003"/>
    <x v="0"/>
    <s v="NA"/>
    <s v="Yoshido"/>
    <s v="Juri"/>
    <s v="Juri, Yoshido"/>
    <s v="Medium"/>
  </r>
  <r>
    <n v="10306"/>
    <n v="31"/>
    <n v="8408"/>
    <n v="260648"/>
    <n v="260648"/>
    <n v="2"/>
    <s v="10/14/2004 0:00"/>
    <x v="0"/>
    <x v="3"/>
    <x v="4"/>
    <x v="1"/>
    <x v="3"/>
    <n v="88"/>
    <s v="S24_3151"/>
    <x v="77"/>
    <s v="(171) 555-1555"/>
    <s v="Fauntleroy Circus"/>
    <s v=""/>
    <s v="Manchester"/>
    <s v=""/>
    <s v="EC2 5NT"/>
    <x v="6"/>
    <s v="EMEA"/>
    <s v="Ashworth"/>
    <s v="Victoria"/>
    <s v="Victoria, Ashworth"/>
    <s v="Small"/>
  </r>
  <r>
    <n v="10315"/>
    <n v="24"/>
    <n v="8674"/>
    <n v="208176"/>
    <n v="208176"/>
    <n v="1"/>
    <s v="10/29/2004 0:00"/>
    <x v="0"/>
    <x v="3"/>
    <x v="4"/>
    <x v="1"/>
    <x v="3"/>
    <n v="88"/>
    <s v="S24_3151"/>
    <x v="14"/>
    <s v="40.67.8555"/>
    <s v="67, rue des Cinquante Otages"/>
    <s v=""/>
    <s v="Nantes"/>
    <s v=""/>
    <s v="44000"/>
    <x v="1"/>
    <s v="EMEA"/>
    <s v="Labrune"/>
    <s v="Janine"/>
    <s v="Janine, Labrune"/>
    <s v="Small"/>
  </r>
  <r>
    <n v="10326"/>
    <n v="41"/>
    <n v="8585"/>
    <n v="351985"/>
    <n v="351985"/>
    <n v="3"/>
    <s v="11/9/2004 0:00"/>
    <x v="0"/>
    <x v="3"/>
    <x v="5"/>
    <x v="1"/>
    <x v="3"/>
    <n v="88"/>
    <s v="S24_3151"/>
    <x v="24"/>
    <s v="0921-12 3555"/>
    <s v="Berguvsv„gen  8"/>
    <s v=""/>
    <s v="Lule"/>
    <s v=""/>
    <s v="S-958 22"/>
    <x v="8"/>
    <s v="EMEA"/>
    <s v="Berglund"/>
    <s v="Christina"/>
    <s v="Christina, Berglund"/>
    <s v="Medium"/>
  </r>
  <r>
    <n v="10339"/>
    <n v="55"/>
    <n v="100"/>
    <n v="5500"/>
    <n v="5500"/>
    <n v="13"/>
    <s v="11/23/2004 0:00"/>
    <x v="0"/>
    <x v="3"/>
    <x v="5"/>
    <x v="1"/>
    <x v="3"/>
    <n v="88"/>
    <s v="S24_3151"/>
    <x v="35"/>
    <s v="+81 3 3584 0555"/>
    <s v="2-2-8 Roppongi"/>
    <s v=""/>
    <s v="Minato-ku"/>
    <s v="Tokyo"/>
    <s v="106-0032"/>
    <x v="11"/>
    <s v="Japan"/>
    <s v="Shimamura"/>
    <s v="Akiko"/>
    <s v="Akiko, Shimamura"/>
    <s v="Large"/>
  </r>
  <r>
    <n v="10350"/>
    <n v="30"/>
    <n v="100"/>
    <n v="3000"/>
    <n v="3000"/>
    <n v="9"/>
    <s v="12/2/2004 0:00"/>
    <x v="0"/>
    <x v="3"/>
    <x v="6"/>
    <x v="1"/>
    <x v="3"/>
    <n v="88"/>
    <s v="S24_3151"/>
    <x v="23"/>
    <s v="(91) 555 94 44"/>
    <s v="C/ Moralzarzal, 86"/>
    <s v=""/>
    <s v="Madrid"/>
    <s v=""/>
    <s v="28034"/>
    <x v="7"/>
    <s v="EMEA"/>
    <s v="Freyre"/>
    <s v="Diego"/>
    <s v="Diego, Freyre"/>
    <s v="Medium"/>
  </r>
  <r>
    <n v="10373"/>
    <n v="33"/>
    <n v="5732"/>
    <n v="189156"/>
    <n v="189156"/>
    <n v="12"/>
    <s v="1/31/2005 0:00"/>
    <x v="0"/>
    <x v="0"/>
    <x v="7"/>
    <x v="2"/>
    <x v="3"/>
    <n v="88"/>
    <s v="S24_3151"/>
    <x v="60"/>
    <s v="981-443655"/>
    <s v="Torikatu 38"/>
    <s v=""/>
    <s v="Oulu"/>
    <s v=""/>
    <s v="90110"/>
    <x v="4"/>
    <s v="EMEA"/>
    <s v="Koskitalo"/>
    <s v="Pirkko"/>
    <s v="Pirkko, Koskitalo"/>
    <s v="Small"/>
  </r>
  <r>
    <n v="10384"/>
    <n v="43"/>
    <n v="9787"/>
    <n v="420841"/>
    <n v="420841"/>
    <n v="2"/>
    <s v="2/23/2005 0:00"/>
    <x v="0"/>
    <x v="0"/>
    <x v="0"/>
    <x v="2"/>
    <x v="3"/>
    <n v="88"/>
    <s v="S24_3151"/>
    <x v="4"/>
    <s v="6505551386"/>
    <s v="7734 Strong St."/>
    <s v=""/>
    <s v="San Francisco"/>
    <s v="CA"/>
    <s v=""/>
    <x v="0"/>
    <s v="NA"/>
    <s v="Brown"/>
    <s v="Julie"/>
    <s v="Julie, Brown"/>
    <s v="Medium"/>
  </r>
  <r>
    <n v="10396"/>
    <n v="27"/>
    <n v="832"/>
    <n v="22464"/>
    <n v="22464"/>
    <n v="7"/>
    <s v="3/23/2005 0:00"/>
    <x v="0"/>
    <x v="0"/>
    <x v="11"/>
    <x v="2"/>
    <x v="3"/>
    <n v="88"/>
    <s v="S24_3151"/>
    <x v="39"/>
    <s v="4155551450"/>
    <s v="5677 Strong St."/>
    <s v=""/>
    <s v="San Rafael"/>
    <s v="CA"/>
    <s v="97562"/>
    <x v="0"/>
    <s v="NA"/>
    <s v="Nelson"/>
    <s v="Valarie"/>
    <s v="Valarie, Nelson"/>
    <s v="Small"/>
  </r>
  <r>
    <n v="10414"/>
    <n v="60"/>
    <n v="100"/>
    <n v="6000"/>
    <n v="0"/>
    <n v="5"/>
    <s v="5/6/2005 0:00"/>
    <x v="4"/>
    <x v="1"/>
    <x v="1"/>
    <x v="2"/>
    <x v="3"/>
    <n v="88"/>
    <s v="S24_3151"/>
    <x v="58"/>
    <s v="6175559555"/>
    <s v="8616 Spinnaker Dr."/>
    <s v=""/>
    <s v="Boston"/>
    <s v="MA"/>
    <s v="51003"/>
    <x v="0"/>
    <s v="NA"/>
    <s v="Yoshido"/>
    <s v="Juri"/>
    <s v="Juri, Yoshido"/>
    <s v="Medium"/>
  </r>
  <r>
    <n v="10110"/>
    <n v="27"/>
    <n v="7362"/>
    <n v="198774"/>
    <n v="198774"/>
    <n v="12"/>
    <s v="3/18/2003 0:00"/>
    <x v="0"/>
    <x v="0"/>
    <x v="11"/>
    <x v="0"/>
    <x v="1"/>
    <n v="85"/>
    <s v="S24_3191"/>
    <x v="77"/>
    <s v="(171) 555-1555"/>
    <s v="Fauntleroy Circus"/>
    <s v=""/>
    <s v="Manchester"/>
    <s v=""/>
    <s v="EC2 5NT"/>
    <x v="6"/>
    <s v="EMEA"/>
    <s v="Ashworth"/>
    <s v="Victoria"/>
    <s v="Victoria, Ashworth"/>
    <s v="Small"/>
  </r>
  <r>
    <n v="10124"/>
    <n v="49"/>
    <n v="8304"/>
    <n v="406896"/>
    <n v="406896"/>
    <n v="11"/>
    <s v="5/21/2003 0:00"/>
    <x v="0"/>
    <x v="1"/>
    <x v="1"/>
    <x v="0"/>
    <x v="1"/>
    <n v="85"/>
    <s v="S24_3191"/>
    <x v="84"/>
    <s v="7025551838"/>
    <s v="8489 Strong St."/>
    <s v=""/>
    <s v="Las Vegas"/>
    <s v="NV"/>
    <s v="83030"/>
    <x v="0"/>
    <s v="NA"/>
    <s v="King"/>
    <s v="Sue"/>
    <s v="Sue, King"/>
    <s v="Medium"/>
  </r>
  <r>
    <n v="10148"/>
    <n v="31"/>
    <n v="7362"/>
    <n v="228222"/>
    <n v="228222"/>
    <n v="5"/>
    <s v="9/11/2003 0:00"/>
    <x v="0"/>
    <x v="2"/>
    <x v="10"/>
    <x v="0"/>
    <x v="1"/>
    <n v="85"/>
    <s v="S24_3191"/>
    <x v="42"/>
    <s v="02 9936 8555"/>
    <s v="201 Miller Street"/>
    <s v="Level 15"/>
    <s v="North Sydney"/>
    <s v="NSW"/>
    <s v="2060"/>
    <x v="3"/>
    <s v="APAC"/>
    <s v="O'Hara"/>
    <s v="Anna"/>
    <s v="Anna, O'Hara"/>
    <s v="Small"/>
  </r>
  <r>
    <n v="10161"/>
    <n v="20"/>
    <n v="7705"/>
    <n v="154100"/>
    <n v="154100"/>
    <n v="4"/>
    <s v="10/17/2003 0:00"/>
    <x v="0"/>
    <x v="3"/>
    <x v="4"/>
    <x v="0"/>
    <x v="1"/>
    <n v="85"/>
    <s v="S24_3191"/>
    <x v="78"/>
    <s v="86 21 3555"/>
    <s v="Smagsloget 45"/>
    <s v=""/>
    <s v="Aaarhus"/>
    <s v=""/>
    <s v="8200"/>
    <x v="13"/>
    <s v="EMEA"/>
    <s v="Ibsen"/>
    <s v="Palle"/>
    <s v="Palle, Ibsen"/>
    <s v="Small"/>
  </r>
  <r>
    <n v="10172"/>
    <n v="24"/>
    <n v="8133"/>
    <n v="195192"/>
    <n v="195192"/>
    <n v="2"/>
    <s v="11/5/2003 0:00"/>
    <x v="0"/>
    <x v="3"/>
    <x v="5"/>
    <x v="0"/>
    <x v="1"/>
    <n v="85"/>
    <s v="S24_3191"/>
    <x v="13"/>
    <s v="2035552570"/>
    <s v="25593 South Bay Ln."/>
    <s v=""/>
    <s v="Bridgewater"/>
    <s v="CT"/>
    <s v="97562"/>
    <x v="0"/>
    <s v="NA"/>
    <s v="King"/>
    <s v="Julie"/>
    <s v="Julie, King"/>
    <s v="Small"/>
  </r>
  <r>
    <n v="10182"/>
    <n v="33"/>
    <n v="9417"/>
    <n v="310761"/>
    <n v="310761"/>
    <n v="15"/>
    <s v="11/12/2003 0:00"/>
    <x v="0"/>
    <x v="3"/>
    <x v="5"/>
    <x v="0"/>
    <x v="1"/>
    <n v="85"/>
    <s v="S24_3191"/>
    <x v="39"/>
    <s v="4155551450"/>
    <s v="5677 Strong St."/>
    <s v=""/>
    <s v="San Rafael"/>
    <s v="CA"/>
    <s v="97562"/>
    <x v="0"/>
    <s v="NA"/>
    <s v="Nelson"/>
    <s v="Valarie"/>
    <s v="Valarie, Nelson"/>
    <s v="Medium"/>
  </r>
  <r>
    <n v="10192"/>
    <n v="32"/>
    <n v="7277"/>
    <n v="232864"/>
    <n v="232864"/>
    <n v="3"/>
    <s v="11/20/2003 0:00"/>
    <x v="0"/>
    <x v="3"/>
    <x v="5"/>
    <x v="0"/>
    <x v="1"/>
    <n v="85"/>
    <s v="S24_3191"/>
    <x v="40"/>
    <s v="6035558647"/>
    <s v="2304 Long Airport Avenue"/>
    <s v=""/>
    <s v="Nashua"/>
    <s v="NH"/>
    <s v="62005"/>
    <x v="0"/>
    <s v="NA"/>
    <s v="Young"/>
    <s v="Valarie"/>
    <s v="Valarie, Young"/>
    <s v="Small"/>
  </r>
  <r>
    <n v="10204"/>
    <n v="40"/>
    <n v="7962"/>
    <n v="318480"/>
    <n v="318480"/>
    <n v="9"/>
    <s v="12/2/2003 0:00"/>
    <x v="0"/>
    <x v="3"/>
    <x v="6"/>
    <x v="0"/>
    <x v="1"/>
    <n v="85"/>
    <s v="S24_3191"/>
    <x v="74"/>
    <s v="2125557413"/>
    <s v="4092 Furth Circle"/>
    <s v="Suite 400"/>
    <s v="NYC"/>
    <s v="NY"/>
    <s v="10022"/>
    <x v="0"/>
    <s v="NA"/>
    <s v="Young"/>
    <s v="Jeff"/>
    <s v="Jeff, Young"/>
    <s v="Medium"/>
  </r>
  <r>
    <n v="10212"/>
    <n v="27"/>
    <n v="7962"/>
    <n v="214974"/>
    <n v="214974"/>
    <n v="2"/>
    <s v="1/16/2004 0:00"/>
    <x v="0"/>
    <x v="0"/>
    <x v="7"/>
    <x v="1"/>
    <x v="1"/>
    <n v="85"/>
    <s v="S24_3191"/>
    <x v="23"/>
    <s v="(91) 555 94 44"/>
    <s v="C/ Moralzarzal, 86"/>
    <s v=""/>
    <s v="Madrid"/>
    <s v=""/>
    <s v="28034"/>
    <x v="7"/>
    <s v="EMEA"/>
    <s v="Freyre"/>
    <s v="Diego"/>
    <s v="Diego, Freyre"/>
    <s v="Small"/>
  </r>
  <r>
    <n v="10227"/>
    <n v="40"/>
    <n v="7962"/>
    <n v="318480"/>
    <n v="318480"/>
    <n v="15"/>
    <s v="3/2/2004 0:00"/>
    <x v="0"/>
    <x v="0"/>
    <x v="11"/>
    <x v="1"/>
    <x v="1"/>
    <n v="85"/>
    <s v="S24_3191"/>
    <x v="30"/>
    <s v="78.32.5555"/>
    <s v="2, rue du Commerce"/>
    <s v=""/>
    <s v="Lyon"/>
    <s v=""/>
    <s v="69004"/>
    <x v="1"/>
    <s v="EMEA"/>
    <s v="Saveley"/>
    <s v="Mary"/>
    <s v="Mary, Saveley"/>
    <s v="Medium"/>
  </r>
  <r>
    <n v="10241"/>
    <n v="26"/>
    <n v="8133"/>
    <n v="211458"/>
    <n v="211458"/>
    <n v="7"/>
    <s v="4/13/2004 0:00"/>
    <x v="0"/>
    <x v="1"/>
    <x v="8"/>
    <x v="1"/>
    <x v="1"/>
    <n v="85"/>
    <s v="S24_3191"/>
    <x v="83"/>
    <s v="88.60.1555"/>
    <s v="24, place Kluber"/>
    <s v=""/>
    <s v="Strasbourg"/>
    <s v=""/>
    <s v="67000"/>
    <x v="1"/>
    <s v="EMEA"/>
    <s v="Citeaux"/>
    <s v="Frederique"/>
    <s v="Frederique, Citeaux"/>
    <s v="Small"/>
  </r>
  <r>
    <n v="10267"/>
    <n v="44"/>
    <n v="9674"/>
    <n v="425656"/>
    <n v="425656"/>
    <n v="4"/>
    <s v="7/7/2004 0:00"/>
    <x v="0"/>
    <x v="2"/>
    <x v="2"/>
    <x v="1"/>
    <x v="1"/>
    <n v="85"/>
    <s v="S24_3191"/>
    <x v="74"/>
    <s v="2125557413"/>
    <s v="4092 Furth Circle"/>
    <s v="Suite 400"/>
    <s v="NYC"/>
    <s v="NY"/>
    <s v="10022"/>
    <x v="0"/>
    <s v="NA"/>
    <s v="Young"/>
    <s v="Jeff"/>
    <s v="Jeff, Young"/>
    <s v="Medium"/>
  </r>
  <r>
    <n v="10279"/>
    <n v="33"/>
    <n v="7106"/>
    <n v="234498"/>
    <n v="234498"/>
    <n v="4"/>
    <s v="8/9/2004 0:00"/>
    <x v="0"/>
    <x v="2"/>
    <x v="3"/>
    <x v="1"/>
    <x v="1"/>
    <n v="85"/>
    <s v="S24_3191"/>
    <x v="23"/>
    <s v="(91) 555 94 44"/>
    <s v="C/ Moralzarzal, 86"/>
    <s v=""/>
    <s v="Madrid"/>
    <s v=""/>
    <s v="28034"/>
    <x v="7"/>
    <s v="EMEA"/>
    <s v="Freyre"/>
    <s v="Diego"/>
    <s v="Diego, Freyre"/>
    <s v="Small"/>
  </r>
  <r>
    <n v="10288"/>
    <n v="34"/>
    <n v="6849"/>
    <n v="232866"/>
    <n v="232866"/>
    <n v="10"/>
    <s v="9/1/2004 0:00"/>
    <x v="0"/>
    <x v="2"/>
    <x v="10"/>
    <x v="1"/>
    <x v="1"/>
    <n v="85"/>
    <s v="S24_3191"/>
    <x v="65"/>
    <s v="+65 224 1555"/>
    <s v="Village Close - 106 Linden Road Sandown"/>
    <s v="2nd Floor"/>
    <s v="Singapore"/>
    <s v=""/>
    <s v="69045"/>
    <x v="9"/>
    <s v="APAC"/>
    <s v="Victorino"/>
    <s v="Wendy"/>
    <s v="Wendy, Victorino"/>
    <s v="Small"/>
  </r>
  <r>
    <n v="10302"/>
    <n v="48"/>
    <n v="7448"/>
    <n v="357504"/>
    <n v="357504"/>
    <n v="6"/>
    <s v="10/6/2003 0:00"/>
    <x v="0"/>
    <x v="3"/>
    <x v="4"/>
    <x v="0"/>
    <x v="1"/>
    <n v="85"/>
    <s v="S24_3191"/>
    <x v="22"/>
    <s v="(171) 555-2282"/>
    <s v="Berkeley Gardens 12  Brewery"/>
    <s v=""/>
    <s v="Liverpool"/>
    <s v=""/>
    <s v="WX1 6LT"/>
    <x v="6"/>
    <s v="EMEA"/>
    <s v="Devon"/>
    <s v="Elizabeth"/>
    <s v="Elizabeth, Devon"/>
    <s v="Medium"/>
  </r>
  <r>
    <n v="10311"/>
    <n v="25"/>
    <n v="8304"/>
    <n v="207600"/>
    <n v="207600"/>
    <n v="5"/>
    <s v="10/16/2004 0:00"/>
    <x v="0"/>
    <x v="3"/>
    <x v="4"/>
    <x v="1"/>
    <x v="1"/>
    <n v="85"/>
    <s v="S24_3191"/>
    <x v="23"/>
    <s v="(91) 555 94 44"/>
    <s v="C/ Moralzarzal, 86"/>
    <s v=""/>
    <s v="Madrid"/>
    <s v=""/>
    <s v="28034"/>
    <x v="7"/>
    <s v="EMEA"/>
    <s v="Freyre"/>
    <s v="Diego"/>
    <s v="Diego, Freyre"/>
    <s v="Small"/>
  </r>
  <r>
    <n v="10321"/>
    <n v="39"/>
    <n v="8475"/>
    <n v="330525"/>
    <n v="330525"/>
    <n v="2"/>
    <s v="11/4/2004 0:00"/>
    <x v="0"/>
    <x v="3"/>
    <x v="5"/>
    <x v="1"/>
    <x v="1"/>
    <n v="85"/>
    <s v="S24_3191"/>
    <x v="21"/>
    <s v="5085552555"/>
    <s v="1785 First Street"/>
    <s v=""/>
    <s v="New Bedford"/>
    <s v="MA"/>
    <s v="50553"/>
    <x v="0"/>
    <s v="NA"/>
    <s v="Benitez"/>
    <s v="Violeta"/>
    <s v="Violeta, Benitez"/>
    <s v="Medium"/>
  </r>
  <r>
    <n v="10332"/>
    <n v="45"/>
    <n v="3419"/>
    <n v="153855"/>
    <n v="153855"/>
    <n v="12"/>
    <s v="11/17/2004 0:00"/>
    <x v="0"/>
    <x v="3"/>
    <x v="5"/>
    <x v="1"/>
    <x v="1"/>
    <n v="85"/>
    <s v="S24_3191"/>
    <x v="77"/>
    <s v="(171) 555-1555"/>
    <s v="Fauntleroy Circus"/>
    <s v=""/>
    <s v="Manchester"/>
    <s v=""/>
    <s v="EC2 5NT"/>
    <x v="6"/>
    <s v="EMEA"/>
    <s v="Ashworth"/>
    <s v="Victoria"/>
    <s v="Victoria, Ashworth"/>
    <s v="Small"/>
  </r>
  <r>
    <n v="10346"/>
    <n v="24"/>
    <n v="100"/>
    <n v="2400"/>
    <n v="2400"/>
    <n v="2"/>
    <s v="11/29/2004 0:00"/>
    <x v="0"/>
    <x v="3"/>
    <x v="5"/>
    <x v="1"/>
    <x v="1"/>
    <n v="85"/>
    <s v="S24_3191"/>
    <x v="84"/>
    <s v="7025551838"/>
    <s v="8489 Strong St."/>
    <s v=""/>
    <s v="Las Vegas"/>
    <s v="NV"/>
    <s v="83030"/>
    <x v="0"/>
    <s v="NA"/>
    <s v="King"/>
    <s v="Sue"/>
    <s v="Sue, King"/>
    <s v="Medium"/>
  </r>
  <r>
    <n v="10368"/>
    <n v="46"/>
    <n v="7962"/>
    <n v="366252"/>
    <n v="366252"/>
    <n v="1"/>
    <s v="1/19/2005 0:00"/>
    <x v="0"/>
    <x v="0"/>
    <x v="7"/>
    <x v="2"/>
    <x v="1"/>
    <n v="85"/>
    <s v="S24_3191"/>
    <x v="39"/>
    <s v="4155551450"/>
    <s v="5677 Strong St."/>
    <s v=""/>
    <s v="San Rafael"/>
    <s v="CA"/>
    <s v="97562"/>
    <x v="0"/>
    <s v="NA"/>
    <s v="Nelson"/>
    <s v="Valarie"/>
    <s v="Valarie, Nelson"/>
    <s v="Medium"/>
  </r>
  <r>
    <n v="10380"/>
    <n v="44"/>
    <n v="7906"/>
    <n v="347864"/>
    <n v="347864"/>
    <n v="9"/>
    <s v="2/16/2005 0:00"/>
    <x v="0"/>
    <x v="0"/>
    <x v="0"/>
    <x v="2"/>
    <x v="1"/>
    <n v="85"/>
    <s v="S24_3191"/>
    <x v="23"/>
    <s v="(91) 555 94 44"/>
    <s v="C/ Moralzarzal, 86"/>
    <s v=""/>
    <s v="Madrid"/>
    <s v=""/>
    <s v="28034"/>
    <x v="7"/>
    <s v="EMEA"/>
    <s v="Freyre"/>
    <s v="Diego"/>
    <s v="Diego, Freyre"/>
    <s v="Medium"/>
  </r>
  <r>
    <n v="10407"/>
    <n v="13"/>
    <n v="8133"/>
    <n v="105729"/>
    <n v="0"/>
    <n v="7"/>
    <s v="4/22/2005 0:00"/>
    <x v="4"/>
    <x v="1"/>
    <x v="8"/>
    <x v="2"/>
    <x v="1"/>
    <n v="85"/>
    <s v="S24_3191"/>
    <x v="61"/>
    <s v="4085553659"/>
    <s v="3086 Ingle Ln."/>
    <s v=""/>
    <s v="San Jose"/>
    <s v="CA"/>
    <s v="94217"/>
    <x v="0"/>
    <s v="NA"/>
    <s v="Frick"/>
    <s v="Sue"/>
    <s v="Sue, Frick"/>
    <s v="Small"/>
  </r>
  <r>
    <n v="10420"/>
    <n v="35"/>
    <n v="9674"/>
    <n v="338590"/>
    <n v="0"/>
    <n v="10"/>
    <s v="5/29/2005 0:00"/>
    <x v="2"/>
    <x v="1"/>
    <x v="1"/>
    <x v="2"/>
    <x v="1"/>
    <n v="85"/>
    <s v="S24_3191"/>
    <x v="20"/>
    <s v="+61 2 9495 8555"/>
    <s v="Monitor Money Building, 815 Pacific Hwy"/>
    <s v="Level 6"/>
    <s v="Chatswood"/>
    <s v="NSW"/>
    <s v="2067"/>
    <x v="3"/>
    <s v="APAC"/>
    <s v="Huxley"/>
    <s v="Adrian"/>
    <s v="Adrian, Huxley"/>
    <s v="Medium"/>
  </r>
  <r>
    <n v="10108"/>
    <n v="30"/>
    <n v="6307"/>
    <n v="189210"/>
    <n v="189210"/>
    <n v="5"/>
    <s v="3/3/2003 0:00"/>
    <x v="0"/>
    <x v="0"/>
    <x v="11"/>
    <x v="0"/>
    <x v="1"/>
    <n v="61"/>
    <s v="S24_3371"/>
    <x v="66"/>
    <s v="+63 2 555 3587"/>
    <s v="15 McCallum Street - NatWest Center #13-03"/>
    <s v=""/>
    <s v="Makati City"/>
    <s v=""/>
    <s v="1227 MM"/>
    <x v="15"/>
    <s v="Japan"/>
    <s v="Cruz"/>
    <s v="Arnold"/>
    <s v="Arnold, Cruz"/>
    <s v="Small"/>
  </r>
  <r>
    <n v="10122"/>
    <n v="34"/>
    <n v="5021"/>
    <n v="170714"/>
    <n v="170714"/>
    <n v="9"/>
    <s v="5/8/2003 0:00"/>
    <x v="0"/>
    <x v="1"/>
    <x v="1"/>
    <x v="0"/>
    <x v="1"/>
    <n v="61"/>
    <s v="S24_3371"/>
    <x v="67"/>
    <s v="91.24.4555"/>
    <s v="12, rue des Bouchers"/>
    <s v=""/>
    <s v="Marseille"/>
    <s v=""/>
    <s v="13008"/>
    <x v="1"/>
    <s v="EMEA"/>
    <s v="Lebihan"/>
    <s v="Laurence"/>
    <s v="Laurence, Lebihan"/>
    <s v="Small"/>
  </r>
  <r>
    <n v="10135"/>
    <n v="27"/>
    <n v="6613"/>
    <n v="178551"/>
    <n v="178551"/>
    <n v="6"/>
    <s v="7/2/2003 0:00"/>
    <x v="0"/>
    <x v="2"/>
    <x v="2"/>
    <x v="0"/>
    <x v="1"/>
    <n v="61"/>
    <s v="S24_3371"/>
    <x v="39"/>
    <s v="4155551450"/>
    <s v="5677 Strong St."/>
    <s v=""/>
    <s v="San Rafael"/>
    <s v="CA"/>
    <s v="97562"/>
    <x v="0"/>
    <s v="NA"/>
    <s v="Nelson"/>
    <s v="Valarie"/>
    <s v="Valarie, Nelson"/>
    <s v="Small"/>
  </r>
  <r>
    <n v="10147"/>
    <n v="30"/>
    <n v="6858"/>
    <n v="205740"/>
    <n v="205740"/>
    <n v="6"/>
    <s v="9/5/2003 0:00"/>
    <x v="0"/>
    <x v="2"/>
    <x v="10"/>
    <x v="0"/>
    <x v="1"/>
    <n v="61"/>
    <s v="S24_3371"/>
    <x v="41"/>
    <s v="6175558555"/>
    <s v="7825 Douglas Av."/>
    <s v=""/>
    <s v="Brickhaven"/>
    <s v="MA"/>
    <s v="58339"/>
    <x v="0"/>
    <s v="NA"/>
    <s v="Nelson"/>
    <s v="Allen"/>
    <s v="Allen, Nelson"/>
    <s v="Small"/>
  </r>
  <r>
    <n v="10159"/>
    <n v="50"/>
    <n v="698"/>
    <n v="34900"/>
    <n v="34900"/>
    <n v="1"/>
    <s v="10/10/2003 0:00"/>
    <x v="0"/>
    <x v="3"/>
    <x v="4"/>
    <x v="0"/>
    <x v="1"/>
    <n v="61"/>
    <s v="S24_3371"/>
    <x v="4"/>
    <s v="6505551386"/>
    <s v="7734 Strong St."/>
    <s v=""/>
    <s v="San Francisco"/>
    <s v="CA"/>
    <s v=""/>
    <x v="0"/>
    <s v="NA"/>
    <s v="Brown"/>
    <s v="Julie"/>
    <s v="Julie, Brown"/>
    <s v="Medium"/>
  </r>
  <r>
    <n v="10169"/>
    <n v="34"/>
    <n v="5021"/>
    <n v="170714"/>
    <n v="170714"/>
    <n v="1"/>
    <s v="11/4/2003 0:00"/>
    <x v="0"/>
    <x v="3"/>
    <x v="5"/>
    <x v="0"/>
    <x v="1"/>
    <n v="61"/>
    <s v="S24_3371"/>
    <x v="42"/>
    <s v="02 9936 8555"/>
    <s v="201 Miller Street"/>
    <s v="Level 15"/>
    <s v="North Sydney"/>
    <s v="NSW"/>
    <s v="2060"/>
    <x v="3"/>
    <s v="APAC"/>
    <s v="O'Hara"/>
    <s v="Anna"/>
    <s v="Anna, O'Hara"/>
    <s v="Small"/>
  </r>
  <r>
    <n v="10181"/>
    <n v="23"/>
    <n v="6552"/>
    <n v="150696"/>
    <n v="150696"/>
    <n v="13"/>
    <s v="11/12/2003 0:00"/>
    <x v="0"/>
    <x v="3"/>
    <x v="5"/>
    <x v="0"/>
    <x v="1"/>
    <n v="61"/>
    <s v="S24_3371"/>
    <x v="7"/>
    <s v="+47 2267 3215"/>
    <s v="Drammen 121, PR 744 Sentrum"/>
    <s v=""/>
    <s v="Bergen"/>
    <s v=""/>
    <s v="N 5804"/>
    <x v="2"/>
    <s v="EMEA"/>
    <s v="Oeztan"/>
    <s v="Veysel"/>
    <s v="Veysel, Oeztan"/>
    <s v="Small"/>
  </r>
  <r>
    <n v="10191"/>
    <n v="48"/>
    <n v="6001"/>
    <n v="288048"/>
    <n v="288048"/>
    <n v="2"/>
    <s v="11/20/2003 0:00"/>
    <x v="0"/>
    <x v="3"/>
    <x v="5"/>
    <x v="0"/>
    <x v="1"/>
    <n v="61"/>
    <s v="S24_3371"/>
    <x v="68"/>
    <s v="0221-5554327"/>
    <s v="Mehrheimerstr. 369"/>
    <s v=""/>
    <s v="Koln"/>
    <s v=""/>
    <s v="50739"/>
    <x v="16"/>
    <s v="EMEA"/>
    <s v="Pfalzheim"/>
    <s v="Henriette"/>
    <s v="Henriette, Pfalzheim"/>
    <s v="Small"/>
  </r>
  <r>
    <n v="10203"/>
    <n v="34"/>
    <n v="649"/>
    <n v="22066"/>
    <n v="22066"/>
    <n v="7"/>
    <s v="12/2/2003 0:00"/>
    <x v="0"/>
    <x v="3"/>
    <x v="6"/>
    <x v="0"/>
    <x v="1"/>
    <n v="61"/>
    <s v="S24_3371"/>
    <x v="23"/>
    <s v="(91) 555 94 44"/>
    <s v="C/ Moralzarzal, 86"/>
    <s v=""/>
    <s v="Madrid"/>
    <s v=""/>
    <s v="28034"/>
    <x v="7"/>
    <s v="EMEA"/>
    <s v="Freyre"/>
    <s v="Diego"/>
    <s v="Diego, Freyre"/>
    <s v="Small"/>
  </r>
  <r>
    <n v="10211"/>
    <n v="48"/>
    <n v="4898"/>
    <n v="235104"/>
    <n v="235104"/>
    <n v="1"/>
    <s v="1/15/2004 0:00"/>
    <x v="0"/>
    <x v="0"/>
    <x v="7"/>
    <x v="1"/>
    <x v="1"/>
    <n v="61"/>
    <s v="S24_3371"/>
    <x v="9"/>
    <s v="(1) 47.55.6555"/>
    <s v="25, rue Lauriston"/>
    <s v=""/>
    <s v="Paris"/>
    <s v=""/>
    <s v="75016"/>
    <x v="1"/>
    <s v="EMEA"/>
    <s v="Perrier"/>
    <s v="Dominique"/>
    <s v="Dominique, Perrier"/>
    <s v="Small"/>
  </r>
  <r>
    <n v="10225"/>
    <n v="24"/>
    <n v="5021"/>
    <n v="120504"/>
    <n v="120504"/>
    <n v="8"/>
    <s v="2/22/2004 0:00"/>
    <x v="0"/>
    <x v="0"/>
    <x v="0"/>
    <x v="1"/>
    <x v="1"/>
    <n v="61"/>
    <s v="S24_3371"/>
    <x v="69"/>
    <s v="0897-034555"/>
    <s v="Grenzacherweg 237"/>
    <s v=""/>
    <s v="Gensve"/>
    <s v=""/>
    <s v="1203"/>
    <x v="17"/>
    <s v="EMEA"/>
    <s v="Holz"/>
    <s v="Michael"/>
    <s v="Michael, Holz"/>
    <s v="Small"/>
  </r>
  <r>
    <n v="10238"/>
    <n v="47"/>
    <n v="6245"/>
    <n v="293515"/>
    <n v="293515"/>
    <n v="2"/>
    <s v="4/9/2004 0:00"/>
    <x v="0"/>
    <x v="1"/>
    <x v="8"/>
    <x v="1"/>
    <x v="1"/>
    <n v="61"/>
    <s v="S24_3371"/>
    <x v="48"/>
    <s v="31 12 3555"/>
    <s v="Vinb'ltet 34"/>
    <s v=""/>
    <s v="Kobenhavn"/>
    <s v=""/>
    <s v="1734"/>
    <x v="13"/>
    <s v="EMEA"/>
    <s v="Petersen"/>
    <s v="Jytte"/>
    <s v="Jytte, Petersen"/>
    <s v="Small"/>
  </r>
  <r>
    <n v="10253"/>
    <n v="24"/>
    <n v="5266"/>
    <n v="126384"/>
    <n v="0"/>
    <n v="12"/>
    <s v="6/1/2004 0:00"/>
    <x v="3"/>
    <x v="1"/>
    <x v="9"/>
    <x v="1"/>
    <x v="1"/>
    <n v="61"/>
    <s v="S24_3371"/>
    <x v="22"/>
    <s v="(171) 555-2282"/>
    <s v="Berkeley Gardens 12  Brewery"/>
    <s v=""/>
    <s v="Liverpool"/>
    <s v=""/>
    <s v="WX1 6LT"/>
    <x v="6"/>
    <s v="EMEA"/>
    <s v="Devon"/>
    <s v="Elizabeth"/>
    <s v="Elizabeth, Devon"/>
    <s v="Small"/>
  </r>
  <r>
    <n v="10266"/>
    <n v="47"/>
    <n v="6245"/>
    <n v="293515"/>
    <n v="293515"/>
    <n v="13"/>
    <s v="7/6/2004 0:00"/>
    <x v="0"/>
    <x v="2"/>
    <x v="2"/>
    <x v="1"/>
    <x v="1"/>
    <n v="61"/>
    <s v="S24_3371"/>
    <x v="70"/>
    <s v="0522-556555"/>
    <s v="Strada Provinciale 124"/>
    <s v=""/>
    <s v="Reggio Emilia"/>
    <s v=""/>
    <s v="42100"/>
    <x v="12"/>
    <s v="EMEA"/>
    <s v="Moroni"/>
    <s v="Maurizio"/>
    <s v="Maurizio, Moroni"/>
    <s v="Small"/>
  </r>
  <r>
    <n v="10276"/>
    <n v="20"/>
    <n v="6123"/>
    <n v="122460"/>
    <n v="122460"/>
    <n v="2"/>
    <s v="8/2/2004 0:00"/>
    <x v="0"/>
    <x v="2"/>
    <x v="3"/>
    <x v="1"/>
    <x v="1"/>
    <n v="61"/>
    <s v="S24_3371"/>
    <x v="71"/>
    <s v="6175557555"/>
    <s v="7635 Spinnaker Dr."/>
    <s v=""/>
    <s v="Brickhaven"/>
    <s v="MA"/>
    <s v="58339"/>
    <x v="0"/>
    <s v="NA"/>
    <s v="Barajas"/>
    <s v="Miguel"/>
    <s v="Miguel, Barajas"/>
    <s v="Small"/>
  </r>
  <r>
    <n v="10287"/>
    <n v="20"/>
    <n v="6797"/>
    <n v="135940"/>
    <n v="135940"/>
    <n v="11"/>
    <s v="8/30/2004 0:00"/>
    <x v="0"/>
    <x v="2"/>
    <x v="3"/>
    <x v="1"/>
    <x v="1"/>
    <n v="61"/>
    <s v="S24_3371"/>
    <x v="69"/>
    <s v="0897-034555"/>
    <s v="Grenzacherweg 237"/>
    <s v=""/>
    <s v="Gensve"/>
    <s v=""/>
    <s v="1203"/>
    <x v="17"/>
    <s v="EMEA"/>
    <s v="Holz"/>
    <s v="Michael"/>
    <s v="Michael, Holz"/>
    <s v="Small"/>
  </r>
  <r>
    <n v="10300"/>
    <n v="31"/>
    <n v="5878"/>
    <n v="182218"/>
    <n v="182218"/>
    <n v="4"/>
    <s v="10/4/2003 0:00"/>
    <x v="0"/>
    <x v="3"/>
    <x v="4"/>
    <x v="0"/>
    <x v="1"/>
    <n v="61"/>
    <s v="S24_3371"/>
    <x v="72"/>
    <s v="+49 69 66 90 2555"/>
    <s v="Lyonerstr. 34"/>
    <s v=""/>
    <s v="Frankfurt"/>
    <s v=""/>
    <s v="60528"/>
    <x v="16"/>
    <s v="EMEA"/>
    <s v="Keitel"/>
    <s v="Roland"/>
    <s v="Roland, Keitel"/>
    <s v="Small"/>
  </r>
  <r>
    <n v="10310"/>
    <n v="38"/>
    <n v="5694"/>
    <n v="216372"/>
    <n v="216372"/>
    <n v="9"/>
    <s v="10/16/2004 0:00"/>
    <x v="0"/>
    <x v="3"/>
    <x v="4"/>
    <x v="1"/>
    <x v="1"/>
    <n v="61"/>
    <s v="S24_3371"/>
    <x v="68"/>
    <s v="0221-5554327"/>
    <s v="Mehrheimerstr. 369"/>
    <s v=""/>
    <s v="Koln"/>
    <s v=""/>
    <s v="50739"/>
    <x v="16"/>
    <s v="EMEA"/>
    <s v="Pfalzheim"/>
    <s v="Henriette"/>
    <s v="Henriette, Pfalzheim"/>
    <s v="Small"/>
  </r>
  <r>
    <n v="10320"/>
    <n v="26"/>
    <n v="6123"/>
    <n v="159198"/>
    <n v="159198"/>
    <n v="2"/>
    <s v="11/3/2004 0:00"/>
    <x v="0"/>
    <x v="3"/>
    <x v="5"/>
    <x v="1"/>
    <x v="1"/>
    <n v="61"/>
    <s v="S24_3371"/>
    <x v="24"/>
    <s v="0921-12 3555"/>
    <s v="Berguvsv„gen  8"/>
    <s v=""/>
    <s v="Lule"/>
    <s v=""/>
    <s v="S-958 22"/>
    <x v="8"/>
    <s v="EMEA"/>
    <s v="Berglund"/>
    <s v="Christina"/>
    <s v="Christina, Berglund"/>
    <s v="Small"/>
  </r>
  <r>
    <n v="10331"/>
    <n v="25"/>
    <n v="100"/>
    <n v="2500"/>
    <n v="2500"/>
    <n v="9"/>
    <s v="11/17/2004 0:00"/>
    <x v="0"/>
    <x v="3"/>
    <x v="5"/>
    <x v="1"/>
    <x v="1"/>
    <n v="61"/>
    <s v="S24_3371"/>
    <x v="45"/>
    <s v="2155559857"/>
    <s v="11328 Douglas Av."/>
    <s v=""/>
    <s v="Philadelphia"/>
    <s v="PA"/>
    <s v="71270"/>
    <x v="0"/>
    <s v="NA"/>
    <s v="Hernandez"/>
    <s v="Rosa"/>
    <s v="Rosa, Hernandez"/>
    <s v="Medium"/>
  </r>
  <r>
    <n v="10342"/>
    <n v="48"/>
    <n v="6245"/>
    <n v="299760"/>
    <n v="299760"/>
    <n v="10"/>
    <s v="11/24/2004 0:00"/>
    <x v="0"/>
    <x v="3"/>
    <x v="5"/>
    <x v="1"/>
    <x v="1"/>
    <n v="61"/>
    <s v="S24_3371"/>
    <x v="10"/>
    <s v="03 9520 4555"/>
    <s v="636 St Kilda Road"/>
    <s v="Level 3"/>
    <s v="Melbourne"/>
    <s v="Victoria"/>
    <s v="3004"/>
    <x v="3"/>
    <s v="APAC"/>
    <s v="Ferguson"/>
    <s v="Peter"/>
    <s v="Peter, Ferguson"/>
    <s v="Small"/>
  </r>
  <r>
    <n v="10355"/>
    <n v="44"/>
    <n v="6245"/>
    <n v="274780"/>
    <n v="274780"/>
    <n v="6"/>
    <s v="12/7/2004 0:00"/>
    <x v="0"/>
    <x v="3"/>
    <x v="6"/>
    <x v="1"/>
    <x v="1"/>
    <n v="61"/>
    <s v="S24_3371"/>
    <x v="23"/>
    <s v="(91) 555 94 44"/>
    <s v="C/ Moralzarzal, 86"/>
    <s v=""/>
    <s v="Madrid"/>
    <s v=""/>
    <s v="28034"/>
    <x v="7"/>
    <s v="EMEA"/>
    <s v="Freyre"/>
    <s v="Diego"/>
    <s v="Diego, Freyre"/>
    <s v="Small"/>
  </r>
  <r>
    <n v="10363"/>
    <n v="21"/>
    <n v="100"/>
    <n v="2100"/>
    <n v="2100"/>
    <n v="15"/>
    <s v="1/6/2005 0:00"/>
    <x v="0"/>
    <x v="0"/>
    <x v="7"/>
    <x v="2"/>
    <x v="1"/>
    <n v="61"/>
    <s v="S24_3371"/>
    <x v="73"/>
    <s v="+358 9 8045 555"/>
    <s v="Software Engineering Center, SEC Oy"/>
    <s v=""/>
    <s v="Espoo"/>
    <s v=""/>
    <s v="FIN-02271"/>
    <x v="4"/>
    <s v="EMEA"/>
    <s v="Suominen"/>
    <s v="Kalle"/>
    <s v="Kalle, Suominen"/>
    <s v="Small"/>
  </r>
  <r>
    <n v="10378"/>
    <n v="46"/>
    <n v="4154"/>
    <n v="191084"/>
    <n v="191084"/>
    <n v="6"/>
    <s v="2/10/2005 0:00"/>
    <x v="0"/>
    <x v="0"/>
    <x v="0"/>
    <x v="2"/>
    <x v="1"/>
    <n v="61"/>
    <s v="S24_3371"/>
    <x v="23"/>
    <s v="(91) 555 94 44"/>
    <s v="C/ Moralzarzal, 86"/>
    <s v=""/>
    <s v="Madrid"/>
    <s v=""/>
    <s v="28034"/>
    <x v="7"/>
    <s v="EMEA"/>
    <s v="Freyre"/>
    <s v="Diego"/>
    <s v="Diego, Freyre"/>
    <s v="Small"/>
  </r>
  <r>
    <n v="10390"/>
    <n v="46"/>
    <n v="5284"/>
    <n v="243064"/>
    <n v="243064"/>
    <n v="6"/>
    <s v="3/4/2005 0:00"/>
    <x v="0"/>
    <x v="0"/>
    <x v="11"/>
    <x v="2"/>
    <x v="1"/>
    <n v="61"/>
    <s v="S24_3371"/>
    <x v="39"/>
    <s v="4155551450"/>
    <s v="5677 Strong St."/>
    <s v=""/>
    <s v="San Rafael"/>
    <s v="CA"/>
    <s v="97562"/>
    <x v="0"/>
    <s v="NA"/>
    <s v="Nelson"/>
    <s v="Valarie"/>
    <s v="Valarie, Nelson"/>
    <s v="Small"/>
  </r>
  <r>
    <n v="10419"/>
    <n v="55"/>
    <n v="5266"/>
    <n v="289630"/>
    <n v="289630"/>
    <n v="12"/>
    <s v="5/17/2005 0:00"/>
    <x v="0"/>
    <x v="1"/>
    <x v="1"/>
    <x v="2"/>
    <x v="1"/>
    <n v="61"/>
    <s v="S24_3371"/>
    <x v="19"/>
    <s v="6562-9555"/>
    <s v="Geislweg 14"/>
    <s v=""/>
    <s v="Salzburg"/>
    <s v=""/>
    <s v="5020"/>
    <x v="5"/>
    <s v="EMEA"/>
    <s v="Pipps"/>
    <s v="Georg"/>
    <s v="Georg, Pipps"/>
    <s v="Small"/>
  </r>
  <r>
    <n v="10106"/>
    <n v="31"/>
    <n v="526"/>
    <n v="16306"/>
    <n v="16306"/>
    <n v="14"/>
    <s v="2/17/2003 0:00"/>
    <x v="0"/>
    <x v="0"/>
    <x v="0"/>
    <x v="0"/>
    <x v="3"/>
    <n v="65"/>
    <s v="S24_3420"/>
    <x v="86"/>
    <s v="035-640555"/>
    <s v="Via Ludovico il Moro 22"/>
    <s v=""/>
    <s v="Bergamo"/>
    <s v=""/>
    <s v="24100"/>
    <x v="12"/>
    <s v="EMEA"/>
    <s v="Rovelli"/>
    <s v="Giovanni"/>
    <s v="Giovanni, Rovelli"/>
    <s v="Small"/>
  </r>
  <r>
    <n v="10119"/>
    <n v="20"/>
    <n v="7298"/>
    <n v="145960"/>
    <n v="145960"/>
    <n v="5"/>
    <s v="4/28/2003 0:00"/>
    <x v="0"/>
    <x v="1"/>
    <x v="8"/>
    <x v="0"/>
    <x v="3"/>
    <n v="65"/>
    <s v="S24_3420"/>
    <x v="19"/>
    <s v="6562-9555"/>
    <s v="Geislweg 14"/>
    <s v=""/>
    <s v="Salzburg"/>
    <s v=""/>
    <s v="5020"/>
    <x v="5"/>
    <s v="EMEA"/>
    <s v="Pipps"/>
    <s v="Georg"/>
    <s v="Georg, Pipps"/>
    <s v="Small"/>
  </r>
  <r>
    <n v="10131"/>
    <n v="29"/>
    <n v="5918"/>
    <n v="171622"/>
    <n v="171622"/>
    <n v="6"/>
    <s v="6/16/2003 0:00"/>
    <x v="0"/>
    <x v="1"/>
    <x v="9"/>
    <x v="0"/>
    <x v="3"/>
    <n v="65"/>
    <s v="S24_3420"/>
    <x v="88"/>
    <s v="2035554407"/>
    <s v="2440 Pompton St."/>
    <s v=""/>
    <s v="Glendale"/>
    <s v="CT"/>
    <s v="97561"/>
    <x v="0"/>
    <s v="NA"/>
    <s v="Lewis"/>
    <s v="Dan"/>
    <s v="Dan, Lewis"/>
    <s v="Small"/>
  </r>
  <r>
    <n v="10143"/>
    <n v="33"/>
    <n v="7759"/>
    <n v="256047"/>
    <n v="256047"/>
    <n v="9"/>
    <s v="8/10/2003 0:00"/>
    <x v="0"/>
    <x v="2"/>
    <x v="3"/>
    <x v="0"/>
    <x v="3"/>
    <n v="65"/>
    <s v="S24_3420"/>
    <x v="50"/>
    <s v="5085559555"/>
    <s v="4575 Hillside Dr."/>
    <s v=""/>
    <s v="New Bedford"/>
    <s v="MA"/>
    <s v="50553"/>
    <x v="0"/>
    <s v="NA"/>
    <s v="Tam"/>
    <s v="Wing C"/>
    <s v="Wing C, Tam"/>
    <s v="Small"/>
  </r>
  <r>
    <n v="10155"/>
    <n v="34"/>
    <n v="5589"/>
    <n v="190026"/>
    <n v="190026"/>
    <n v="7"/>
    <s v="10/6/2003 0:00"/>
    <x v="0"/>
    <x v="3"/>
    <x v="4"/>
    <x v="0"/>
    <x v="3"/>
    <n v="65"/>
    <s v="S24_3420"/>
    <x v="16"/>
    <s v="90-224 8555"/>
    <s v="Keskuskatu 45"/>
    <s v=""/>
    <s v="Helsinki"/>
    <s v=""/>
    <s v="21240"/>
    <x v="4"/>
    <s v="EMEA"/>
    <s v="Karttunen"/>
    <s v="Matti"/>
    <s v="Matti, Karttunen"/>
    <s v="Small"/>
  </r>
  <r>
    <n v="10167"/>
    <n v="32"/>
    <n v="6312"/>
    <n v="201984"/>
    <n v="0"/>
    <n v="3"/>
    <s v="10/23/2003 0:00"/>
    <x v="3"/>
    <x v="3"/>
    <x v="4"/>
    <x v="0"/>
    <x v="3"/>
    <n v="65"/>
    <s v="S24_3420"/>
    <x v="37"/>
    <s v="0695-34 6555"/>
    <s v="?kergatan 24"/>
    <s v=""/>
    <s v="Boras"/>
    <s v=""/>
    <s v="S-844 67"/>
    <x v="8"/>
    <s v="EMEA"/>
    <s v="Larsson"/>
    <s v="Maria"/>
    <s v="Maria, Larsson"/>
    <s v="Small"/>
  </r>
  <r>
    <n v="10178"/>
    <n v="27"/>
    <n v="7364"/>
    <n v="198828"/>
    <n v="198828"/>
    <n v="6"/>
    <s v="11/8/2003 0:00"/>
    <x v="0"/>
    <x v="3"/>
    <x v="5"/>
    <x v="0"/>
    <x v="3"/>
    <n v="65"/>
    <s v="S24_3420"/>
    <x v="51"/>
    <s v="61.77.6555"/>
    <s v="1 rue Alsace-Lorraine"/>
    <s v=""/>
    <s v="Toulouse"/>
    <s v=""/>
    <s v="31000"/>
    <x v="1"/>
    <s v="EMEA"/>
    <s v="Roulet"/>
    <s v="Annette"/>
    <s v="Annette, Roulet"/>
    <s v="Small"/>
  </r>
  <r>
    <n v="10186"/>
    <n v="21"/>
    <n v="6904"/>
    <n v="144984"/>
    <n v="144984"/>
    <n v="3"/>
    <s v="11/14/2003 0:00"/>
    <x v="0"/>
    <x v="3"/>
    <x v="5"/>
    <x v="0"/>
    <x v="3"/>
    <n v="65"/>
    <s v="S24_3420"/>
    <x v="52"/>
    <s v="(171) 555-7555"/>
    <s v="120 Hanover Sq."/>
    <s v=""/>
    <s v="London"/>
    <s v=""/>
    <s v="WA1 1DP"/>
    <x v="6"/>
    <s v="EMEA"/>
    <s v="Hardy"/>
    <s v="Thomas"/>
    <s v="Thomas, Hardy"/>
    <s v="Small"/>
  </r>
  <r>
    <n v="10198"/>
    <n v="27"/>
    <n v="7167"/>
    <n v="193509"/>
    <n v="193509"/>
    <n v="6"/>
    <s v="11/27/2003 0:00"/>
    <x v="0"/>
    <x v="3"/>
    <x v="5"/>
    <x v="0"/>
    <x v="3"/>
    <n v="65"/>
    <s v="S24_3420"/>
    <x v="66"/>
    <s v="+63 2 555 3587"/>
    <s v="15 McCallum Street - NatWest Center #13-03"/>
    <s v=""/>
    <s v="Makati City"/>
    <s v=""/>
    <s v="1227 MM"/>
    <x v="15"/>
    <s v="Japan"/>
    <s v="Cruz"/>
    <s v="Arnold"/>
    <s v="Arnold, Cruz"/>
    <s v="Small"/>
  </r>
  <r>
    <n v="10209"/>
    <n v="36"/>
    <n v="7759"/>
    <n v="279324"/>
    <n v="279324"/>
    <n v="2"/>
    <s v="1/9/2004 0:00"/>
    <x v="0"/>
    <x v="0"/>
    <x v="7"/>
    <x v="1"/>
    <x v="3"/>
    <n v="65"/>
    <s v="S24_3420"/>
    <x v="54"/>
    <s v="2155554369"/>
    <s v="6047 Douglas Av."/>
    <s v=""/>
    <s v="Los Angeles"/>
    <s v="CA"/>
    <s v=""/>
    <x v="0"/>
    <s v="NA"/>
    <s v="Chandler"/>
    <s v="Michael"/>
    <s v="Michael, Chandler"/>
    <s v="Small"/>
  </r>
  <r>
    <n v="10222"/>
    <n v="43"/>
    <n v="7035"/>
    <n v="302505"/>
    <n v="302505"/>
    <n v="6"/>
    <s v="2/19/2004 0:00"/>
    <x v="0"/>
    <x v="0"/>
    <x v="0"/>
    <x v="1"/>
    <x v="3"/>
    <n v="65"/>
    <s v="S24_3420"/>
    <x v="55"/>
    <s v="7605558146"/>
    <s v="361 Furth Circle"/>
    <s v=""/>
    <s v="San Diego"/>
    <s v="CA"/>
    <s v="91217"/>
    <x v="0"/>
    <s v="NA"/>
    <s v="Thompson"/>
    <s v="Valarie"/>
    <s v="Valarie, Thompson"/>
    <s v="Medium"/>
  </r>
  <r>
    <n v="10249"/>
    <n v="25"/>
    <n v="697"/>
    <n v="17425"/>
    <n v="17425"/>
    <n v="2"/>
    <s v="5/8/2004 0:00"/>
    <x v="0"/>
    <x v="1"/>
    <x v="1"/>
    <x v="1"/>
    <x v="3"/>
    <n v="65"/>
    <s v="S24_3420"/>
    <x v="33"/>
    <s v="6175555555"/>
    <s v="4658 Baden Av."/>
    <s v=""/>
    <s v="Cambridge"/>
    <s v="MA"/>
    <s v="51247"/>
    <x v="0"/>
    <s v="NA"/>
    <s v="Tseng"/>
    <s v="Kyung"/>
    <s v="Kyung, Tseng"/>
    <s v="Small"/>
  </r>
  <r>
    <n v="10262"/>
    <n v="46"/>
    <n v="7035"/>
    <n v="323610"/>
    <n v="0"/>
    <n v="11"/>
    <s v="6/24/2004 0:00"/>
    <x v="3"/>
    <x v="1"/>
    <x v="9"/>
    <x v="1"/>
    <x v="3"/>
    <n v="65"/>
    <s v="S24_3420"/>
    <x v="23"/>
    <s v="(91) 555 94 44"/>
    <s v="C/ Moralzarzal, 86"/>
    <s v=""/>
    <s v="Madrid"/>
    <s v=""/>
    <s v="28034"/>
    <x v="7"/>
    <s v="EMEA"/>
    <s v="Freyre"/>
    <s v="Diego"/>
    <s v="Diego, Freyre"/>
    <s v="Medium"/>
  </r>
  <r>
    <n v="10274"/>
    <n v="24"/>
    <n v="7233"/>
    <n v="173592"/>
    <n v="173592"/>
    <n v="3"/>
    <s v="7/21/2004 0:00"/>
    <x v="0"/>
    <x v="2"/>
    <x v="2"/>
    <x v="1"/>
    <x v="3"/>
    <n v="65"/>
    <s v="S24_3420"/>
    <x v="41"/>
    <s v="6175558555"/>
    <s v="7825 Douglas Av."/>
    <s v=""/>
    <s v="Brickhaven"/>
    <s v="MA"/>
    <s v="58339"/>
    <x v="0"/>
    <s v="NA"/>
    <s v="Nelson"/>
    <s v="Allen"/>
    <s v="Allen, Nelson"/>
    <s v="Small"/>
  </r>
  <r>
    <n v="10284"/>
    <n v="39"/>
    <n v="7167"/>
    <n v="279513"/>
    <n v="279513"/>
    <n v="13"/>
    <s v="8/21/2004 0:00"/>
    <x v="0"/>
    <x v="2"/>
    <x v="3"/>
    <x v="1"/>
    <x v="3"/>
    <n v="65"/>
    <s v="S24_3420"/>
    <x v="85"/>
    <s v="+47 2212 1555"/>
    <s v="Drammensveien 126 A, PB 744 Sentrum"/>
    <s v=""/>
    <s v="Oslo"/>
    <s v=""/>
    <s v="N 0106"/>
    <x v="2"/>
    <s v="EMEA"/>
    <s v="Klaeboe"/>
    <s v="Jan"/>
    <s v="Jan, Klaeboe"/>
    <s v="Small"/>
  </r>
  <r>
    <n v="10296"/>
    <n v="31"/>
    <n v="5392"/>
    <n v="167152"/>
    <n v="167152"/>
    <n v="9"/>
    <s v="9/15/2004 0:00"/>
    <x v="0"/>
    <x v="2"/>
    <x v="10"/>
    <x v="1"/>
    <x v="3"/>
    <n v="65"/>
    <s v="S24_3420"/>
    <x v="89"/>
    <s v="+49 89 61 08 9555"/>
    <s v="Hansastr. 15"/>
    <s v=""/>
    <s v="Munich"/>
    <s v=""/>
    <s v="80686"/>
    <x v="16"/>
    <s v="EMEA"/>
    <s v="Donnermeyer"/>
    <s v="Michael"/>
    <s v="Michael, Donnermeyer"/>
    <s v="Small"/>
  </r>
  <r>
    <n v="10307"/>
    <n v="22"/>
    <n v="7167"/>
    <n v="157674"/>
    <n v="157674"/>
    <n v="3"/>
    <s v="10/14/2004 0:00"/>
    <x v="0"/>
    <x v="3"/>
    <x v="4"/>
    <x v="1"/>
    <x v="3"/>
    <n v="65"/>
    <s v="S24_3420"/>
    <x v="29"/>
    <s v="2155554695"/>
    <s v="782 First Street"/>
    <s v=""/>
    <s v="Philadelphia"/>
    <s v="PA"/>
    <s v="71270"/>
    <x v="0"/>
    <s v="NA"/>
    <s v="Cervantes"/>
    <s v="Francisca"/>
    <s v="Francisca, Cervantes"/>
    <s v="Small"/>
  </r>
  <r>
    <n v="10316"/>
    <n v="47"/>
    <n v="7693"/>
    <n v="361571"/>
    <n v="361571"/>
    <n v="11"/>
    <s v="11/1/2004 0:00"/>
    <x v="0"/>
    <x v="3"/>
    <x v="5"/>
    <x v="1"/>
    <x v="3"/>
    <n v="65"/>
    <s v="S24_3420"/>
    <x v="59"/>
    <s v="(198) 555-8888"/>
    <s v="Garden House Crowther Way"/>
    <s v=""/>
    <s v="Cowes"/>
    <s v="Isle of Wight"/>
    <s v="PO31 7PJ"/>
    <x v="6"/>
    <s v="EMEA"/>
    <s v="Bennett"/>
    <s v="Helen"/>
    <s v="Helen, Bennett"/>
    <s v="Medium"/>
  </r>
  <r>
    <n v="10328"/>
    <n v="20"/>
    <n v="7298"/>
    <n v="145960"/>
    <n v="145960"/>
    <n v="2"/>
    <s v="11/12/2004 0:00"/>
    <x v="0"/>
    <x v="3"/>
    <x v="5"/>
    <x v="1"/>
    <x v="3"/>
    <n v="65"/>
    <s v="S24_3420"/>
    <x v="86"/>
    <s v="035-640555"/>
    <s v="Via Ludovico il Moro 22"/>
    <s v=""/>
    <s v="Bergamo"/>
    <s v=""/>
    <s v="24100"/>
    <x v="12"/>
    <s v="EMEA"/>
    <s v="Rovelli"/>
    <s v="Giovanni"/>
    <s v="Giovanni, Rovelli"/>
    <s v="Small"/>
  </r>
  <r>
    <n v="10339"/>
    <n v="29"/>
    <n v="9969"/>
    <n v="289101"/>
    <n v="289101"/>
    <n v="14"/>
    <s v="11/23/2004 0:00"/>
    <x v="0"/>
    <x v="3"/>
    <x v="5"/>
    <x v="1"/>
    <x v="3"/>
    <n v="65"/>
    <s v="S24_3420"/>
    <x v="35"/>
    <s v="+81 3 3584 0555"/>
    <s v="2-2-8 Roppongi"/>
    <s v=""/>
    <s v="Minato-ku"/>
    <s v="Tokyo"/>
    <s v="106-0032"/>
    <x v="11"/>
    <s v="Japan"/>
    <s v="Shimamura"/>
    <s v="Akiko"/>
    <s v="Akiko, Shimamura"/>
    <s v="Small"/>
  </r>
  <r>
    <n v="10351"/>
    <n v="38"/>
    <n v="6838"/>
    <n v="259844"/>
    <n v="259844"/>
    <n v="4"/>
    <s v="12/3/2004 0:00"/>
    <x v="0"/>
    <x v="3"/>
    <x v="6"/>
    <x v="1"/>
    <x v="3"/>
    <n v="65"/>
    <s v="S24_3420"/>
    <x v="49"/>
    <s v="(171) 555-0297"/>
    <s v="35 King George"/>
    <s v=""/>
    <s v="London"/>
    <s v=""/>
    <s v="WX3 6FW"/>
    <x v="6"/>
    <s v="EMEA"/>
    <s v="Brown"/>
    <s v="Ann"/>
    <s v="Ann, Brown"/>
    <s v="Small"/>
  </r>
  <r>
    <n v="10361"/>
    <n v="34"/>
    <n v="100"/>
    <n v="3400"/>
    <n v="3400"/>
    <n v="6"/>
    <s v="12/17/2004 0:00"/>
    <x v="0"/>
    <x v="3"/>
    <x v="6"/>
    <x v="1"/>
    <x v="3"/>
    <n v="65"/>
    <s v="S24_3420"/>
    <x v="20"/>
    <s v="+61 2 9495 8555"/>
    <s v="Monitor Money Building, 815 Pacific Hwy"/>
    <s v="Level 6"/>
    <s v="Chatswood"/>
    <s v="NSW"/>
    <s v="2067"/>
    <x v="3"/>
    <s v="APAC"/>
    <s v="Huxley"/>
    <s v="Adrian"/>
    <s v="Adrian, Huxley"/>
    <s v="Medium"/>
  </r>
  <r>
    <n v="10373"/>
    <n v="46"/>
    <n v="66"/>
    <n v="3036"/>
    <n v="3036"/>
    <n v="11"/>
    <s v="1/31/2005 0:00"/>
    <x v="0"/>
    <x v="0"/>
    <x v="7"/>
    <x v="2"/>
    <x v="3"/>
    <n v="65"/>
    <s v="S24_3420"/>
    <x v="60"/>
    <s v="981-443655"/>
    <s v="Torikatu 38"/>
    <s v=""/>
    <s v="Oulu"/>
    <s v=""/>
    <s v="90110"/>
    <x v="4"/>
    <s v="EMEA"/>
    <s v="Koskitalo"/>
    <s v="Pirkko"/>
    <s v="Pirkko, Koskitalo"/>
    <s v="Medium"/>
  </r>
  <r>
    <n v="10386"/>
    <n v="35"/>
    <n v="6376"/>
    <n v="223160"/>
    <n v="223160"/>
    <n v="9"/>
    <s v="3/1/2005 0:00"/>
    <x v="5"/>
    <x v="0"/>
    <x v="11"/>
    <x v="2"/>
    <x v="3"/>
    <n v="65"/>
    <s v="S24_3420"/>
    <x v="23"/>
    <s v="(91) 555 94 44"/>
    <s v="C/ Moralzarzal, 86"/>
    <s v=""/>
    <s v="Madrid"/>
    <s v=""/>
    <s v="28034"/>
    <x v="7"/>
    <s v="EMEA"/>
    <s v="Freyre"/>
    <s v="Diego"/>
    <s v="Diego, Freyre"/>
    <s v="Small"/>
  </r>
  <r>
    <n v="10398"/>
    <n v="34"/>
    <n v="7167"/>
    <n v="243678"/>
    <n v="243678"/>
    <n v="13"/>
    <s v="3/30/2005 0:00"/>
    <x v="0"/>
    <x v="0"/>
    <x v="11"/>
    <x v="2"/>
    <x v="3"/>
    <n v="65"/>
    <s v="S24_3420"/>
    <x v="1"/>
    <s v="26.47.1555"/>
    <s v="59 rue de l'Abbaye"/>
    <s v=""/>
    <s v="Reims"/>
    <s v=""/>
    <s v="51100"/>
    <x v="1"/>
    <s v="EMEA"/>
    <s v="Henriot"/>
    <s v="Paul"/>
    <s v="Paul, Henriot"/>
    <s v="Small"/>
  </r>
  <r>
    <n v="10400"/>
    <n v="38"/>
    <n v="572"/>
    <n v="21736"/>
    <n v="21736"/>
    <n v="3"/>
    <s v="4/1/2005 0:00"/>
    <x v="0"/>
    <x v="1"/>
    <x v="8"/>
    <x v="2"/>
    <x v="3"/>
    <n v="65"/>
    <s v="S24_3420"/>
    <x v="61"/>
    <s v="4085553659"/>
    <s v="3086 Ingle Ln."/>
    <s v=""/>
    <s v="San Jose"/>
    <s v="CA"/>
    <s v="94217"/>
    <x v="0"/>
    <s v="NA"/>
    <s v="Frick"/>
    <s v="Sue"/>
    <s v="Sue, Frick"/>
    <s v="Small"/>
  </r>
  <r>
    <n v="10415"/>
    <n v="18"/>
    <n v="697"/>
    <n v="12546"/>
    <n v="0"/>
    <n v="2"/>
    <s v="5/9/2005 0:00"/>
    <x v="1"/>
    <x v="1"/>
    <x v="1"/>
    <x v="2"/>
    <x v="3"/>
    <n v="65"/>
    <s v="S24_3420"/>
    <x v="87"/>
    <s v="61-9-3844-6555"/>
    <s v="7 Allen Street"/>
    <s v=""/>
    <s v="Glen Waverly"/>
    <s v="Victoria"/>
    <s v="3150"/>
    <x v="3"/>
    <s v="APAC"/>
    <s v="Connery"/>
    <s v="Sean"/>
    <s v="Sean, Connery"/>
    <s v="Small"/>
  </r>
  <r>
    <n v="10110"/>
    <n v="37"/>
    <n v="100"/>
    <n v="3700"/>
    <n v="3700"/>
    <n v="14"/>
    <s v="3/18/2003 0:00"/>
    <x v="0"/>
    <x v="0"/>
    <x v="11"/>
    <x v="0"/>
    <x v="1"/>
    <n v="107"/>
    <s v="S24_3432"/>
    <x v="77"/>
    <s v="(171) 555-1555"/>
    <s v="Fauntleroy Circus"/>
    <s v=""/>
    <s v="Manchester"/>
    <s v=""/>
    <s v="EC2 5NT"/>
    <x v="6"/>
    <s v="EMEA"/>
    <s v="Ashworth"/>
    <s v="Victoria"/>
    <s v="Victoria, Ashworth"/>
    <s v="Medium"/>
  </r>
  <r>
    <n v="10124"/>
    <n v="43"/>
    <n v="100"/>
    <n v="4300"/>
    <n v="4300"/>
    <n v="13"/>
    <s v="5/21/2003 0:00"/>
    <x v="0"/>
    <x v="1"/>
    <x v="1"/>
    <x v="0"/>
    <x v="1"/>
    <n v="107"/>
    <s v="S24_3432"/>
    <x v="84"/>
    <s v="7025551838"/>
    <s v="8489 Strong St."/>
    <s v=""/>
    <s v="Las Vegas"/>
    <s v="NV"/>
    <s v="83030"/>
    <x v="0"/>
    <s v="NA"/>
    <s v="King"/>
    <s v="Sue"/>
    <s v="Sue, King"/>
    <s v="Medium"/>
  </r>
  <r>
    <n v="10148"/>
    <n v="27"/>
    <n v="100"/>
    <n v="2700"/>
    <n v="2700"/>
    <n v="7"/>
    <s v="9/11/2003 0:00"/>
    <x v="0"/>
    <x v="2"/>
    <x v="10"/>
    <x v="0"/>
    <x v="1"/>
    <n v="107"/>
    <s v="S24_3432"/>
    <x v="42"/>
    <s v="02 9936 8555"/>
    <s v="201 Miller Street"/>
    <s v="Level 15"/>
    <s v="North Sydney"/>
    <s v="NSW"/>
    <s v="2060"/>
    <x v="3"/>
    <s v="APAC"/>
    <s v="O'Hara"/>
    <s v="Anna"/>
    <s v="Anna, O'Hara"/>
    <s v="Medium"/>
  </r>
  <r>
    <n v="10161"/>
    <n v="30"/>
    <n v="100"/>
    <n v="3000"/>
    <n v="3000"/>
    <n v="6"/>
    <s v="10/17/2003 0:00"/>
    <x v="0"/>
    <x v="3"/>
    <x v="4"/>
    <x v="0"/>
    <x v="1"/>
    <n v="107"/>
    <s v="S24_3432"/>
    <x v="78"/>
    <s v="86 21 3555"/>
    <s v="Smagsloget 45"/>
    <s v=""/>
    <s v="Aaarhus"/>
    <s v=""/>
    <s v="8200"/>
    <x v="13"/>
    <s v="EMEA"/>
    <s v="Ibsen"/>
    <s v="Palle"/>
    <s v="Palle, Ibsen"/>
    <s v="Medium"/>
  </r>
  <r>
    <n v="10172"/>
    <n v="22"/>
    <n v="9851"/>
    <n v="216722"/>
    <n v="216722"/>
    <n v="4"/>
    <s v="11/5/2003 0:00"/>
    <x v="0"/>
    <x v="3"/>
    <x v="5"/>
    <x v="0"/>
    <x v="1"/>
    <n v="107"/>
    <s v="S24_3432"/>
    <x v="13"/>
    <s v="2035552570"/>
    <s v="25593 South Bay Ln."/>
    <s v=""/>
    <s v="Bridgewater"/>
    <s v="CT"/>
    <s v="97562"/>
    <x v="0"/>
    <s v="NA"/>
    <s v="King"/>
    <s v="Julie"/>
    <s v="Julie, King"/>
    <s v="Small"/>
  </r>
  <r>
    <n v="10182"/>
    <n v="49"/>
    <n v="100"/>
    <n v="4900"/>
    <n v="4900"/>
    <n v="17"/>
    <s v="11/12/2003 0:00"/>
    <x v="0"/>
    <x v="3"/>
    <x v="5"/>
    <x v="0"/>
    <x v="1"/>
    <n v="107"/>
    <s v="S24_3432"/>
    <x v="39"/>
    <s v="4155551450"/>
    <s v="5677 Strong St."/>
    <s v=""/>
    <s v="San Rafael"/>
    <s v="CA"/>
    <s v="97562"/>
    <x v="0"/>
    <s v="NA"/>
    <s v="Nelson"/>
    <s v="Valarie"/>
    <s v="Valarie, Nelson"/>
    <s v="Medium"/>
  </r>
  <r>
    <n v="10192"/>
    <n v="46"/>
    <n v="100"/>
    <n v="4600"/>
    <n v="4600"/>
    <n v="5"/>
    <s v="11/20/2003 0:00"/>
    <x v="0"/>
    <x v="3"/>
    <x v="5"/>
    <x v="0"/>
    <x v="1"/>
    <n v="107"/>
    <s v="S24_3432"/>
    <x v="40"/>
    <s v="6035558647"/>
    <s v="2304 Long Airport Avenue"/>
    <s v=""/>
    <s v="Nashua"/>
    <s v="NH"/>
    <s v="62005"/>
    <x v="0"/>
    <s v="NA"/>
    <s v="Young"/>
    <s v="Valarie"/>
    <s v="Valarie, Young"/>
    <s v="Medium"/>
  </r>
  <r>
    <n v="10204"/>
    <n v="48"/>
    <n v="9102"/>
    <n v="436896"/>
    <n v="436896"/>
    <n v="11"/>
    <s v="12/2/2003 0:00"/>
    <x v="0"/>
    <x v="3"/>
    <x v="6"/>
    <x v="0"/>
    <x v="1"/>
    <n v="107"/>
    <s v="S24_3432"/>
    <x v="74"/>
    <s v="2125557413"/>
    <s v="4092 Furth Circle"/>
    <s v="Suite 400"/>
    <s v="NYC"/>
    <s v="NY"/>
    <s v="10022"/>
    <x v="0"/>
    <s v="NA"/>
    <s v="Young"/>
    <s v="Jeff"/>
    <s v="Jeff, Young"/>
    <s v="Medium"/>
  </r>
  <r>
    <n v="10212"/>
    <n v="46"/>
    <n v="8781"/>
    <n v="403926"/>
    <n v="403926"/>
    <n v="4"/>
    <s v="1/16/2004 0:00"/>
    <x v="0"/>
    <x v="0"/>
    <x v="7"/>
    <x v="1"/>
    <x v="1"/>
    <n v="107"/>
    <s v="S24_3432"/>
    <x v="23"/>
    <s v="(91) 555 94 44"/>
    <s v="C/ Moralzarzal, 86"/>
    <s v=""/>
    <s v="Madrid"/>
    <s v=""/>
    <s v="28034"/>
    <x v="7"/>
    <s v="EMEA"/>
    <s v="Freyre"/>
    <s v="Diego"/>
    <s v="Diego, Freyre"/>
    <s v="Medium"/>
  </r>
  <r>
    <n v="10226"/>
    <n v="48"/>
    <n v="9209"/>
    <n v="442032"/>
    <n v="442032"/>
    <n v="2"/>
    <s v="2/26/2004 0:00"/>
    <x v="0"/>
    <x v="0"/>
    <x v="0"/>
    <x v="1"/>
    <x v="1"/>
    <n v="107"/>
    <s v="S24_3432"/>
    <x v="55"/>
    <s v="7605558146"/>
    <s v="361 Furth Circle"/>
    <s v=""/>
    <s v="San Diego"/>
    <s v="CA"/>
    <s v="91217"/>
    <x v="0"/>
    <s v="NA"/>
    <s v="Thompson"/>
    <s v="Valarie"/>
    <s v="Valarie, Thompson"/>
    <s v="Medium"/>
  </r>
  <r>
    <n v="10241"/>
    <n v="27"/>
    <n v="8673"/>
    <n v="234171"/>
    <n v="234171"/>
    <n v="9"/>
    <s v="4/13/2004 0:00"/>
    <x v="0"/>
    <x v="1"/>
    <x v="8"/>
    <x v="1"/>
    <x v="1"/>
    <n v="107"/>
    <s v="S24_3432"/>
    <x v="83"/>
    <s v="88.60.1555"/>
    <s v="24, place Kluber"/>
    <s v=""/>
    <s v="Strasbourg"/>
    <s v=""/>
    <s v="67000"/>
    <x v="1"/>
    <s v="EMEA"/>
    <s v="Citeaux"/>
    <s v="Frederique"/>
    <s v="Frederique, Citeaux"/>
    <s v="Small"/>
  </r>
  <r>
    <n v="10267"/>
    <n v="43"/>
    <n v="100"/>
    <n v="4300"/>
    <n v="4300"/>
    <n v="6"/>
    <s v="7/7/2004 0:00"/>
    <x v="0"/>
    <x v="2"/>
    <x v="2"/>
    <x v="1"/>
    <x v="1"/>
    <n v="107"/>
    <s v="S24_3432"/>
    <x v="74"/>
    <s v="2125557413"/>
    <s v="4092 Furth Circle"/>
    <s v="Suite 400"/>
    <s v="NYC"/>
    <s v="NY"/>
    <s v="10022"/>
    <x v="0"/>
    <s v="NA"/>
    <s v="Young"/>
    <s v="Jeff"/>
    <s v="Jeff, Young"/>
    <s v="Medium"/>
  </r>
  <r>
    <n v="10279"/>
    <n v="48"/>
    <n v="100"/>
    <n v="4800"/>
    <n v="4800"/>
    <n v="6"/>
    <s v="8/9/2004 0:00"/>
    <x v="0"/>
    <x v="2"/>
    <x v="3"/>
    <x v="1"/>
    <x v="1"/>
    <n v="107"/>
    <s v="S24_3432"/>
    <x v="23"/>
    <s v="(91) 555 94 44"/>
    <s v="C/ Moralzarzal, 86"/>
    <s v=""/>
    <s v="Madrid"/>
    <s v=""/>
    <s v="28034"/>
    <x v="7"/>
    <s v="EMEA"/>
    <s v="Freyre"/>
    <s v="Diego"/>
    <s v="Diego, Freyre"/>
    <s v="Medium"/>
  </r>
  <r>
    <n v="10288"/>
    <n v="41"/>
    <n v="100"/>
    <n v="4100"/>
    <n v="4100"/>
    <n v="12"/>
    <s v="9/1/2004 0:00"/>
    <x v="0"/>
    <x v="2"/>
    <x v="10"/>
    <x v="1"/>
    <x v="1"/>
    <n v="107"/>
    <s v="S24_3432"/>
    <x v="65"/>
    <s v="+65 224 1555"/>
    <s v="Village Close - 106 Linden Road Sandown"/>
    <s v="2nd Floor"/>
    <s v="Singapore"/>
    <s v=""/>
    <s v="69045"/>
    <x v="9"/>
    <s v="APAC"/>
    <s v="Victorino"/>
    <s v="Wendy"/>
    <s v="Wendy, Victorino"/>
    <s v="Medium"/>
  </r>
  <r>
    <n v="10301"/>
    <n v="22"/>
    <n v="9637"/>
    <n v="212014"/>
    <n v="212014"/>
    <n v="2"/>
    <s v="10/5/2003 0:00"/>
    <x v="0"/>
    <x v="3"/>
    <x v="4"/>
    <x v="0"/>
    <x v="1"/>
    <n v="107"/>
    <s v="S24_3432"/>
    <x v="85"/>
    <s v="+47 2212 1555"/>
    <s v="Drammensveien 126 A, PB 744 Sentrum"/>
    <s v=""/>
    <s v="Oslo"/>
    <s v=""/>
    <s v="N 0106"/>
    <x v="2"/>
    <s v="EMEA"/>
    <s v="Klaeboe"/>
    <s v="Jan"/>
    <s v="Jan, Klaeboe"/>
    <s v="Small"/>
  </r>
  <r>
    <n v="10311"/>
    <n v="46"/>
    <n v="9209"/>
    <n v="423614"/>
    <n v="423614"/>
    <n v="7"/>
    <s v="10/16/2004 0:00"/>
    <x v="0"/>
    <x v="3"/>
    <x v="4"/>
    <x v="1"/>
    <x v="1"/>
    <n v="107"/>
    <s v="S24_3432"/>
    <x v="23"/>
    <s v="(91) 555 94 44"/>
    <s v="C/ Moralzarzal, 86"/>
    <s v=""/>
    <s v="Madrid"/>
    <s v=""/>
    <s v="28034"/>
    <x v="7"/>
    <s v="EMEA"/>
    <s v="Freyre"/>
    <s v="Diego"/>
    <s v="Diego, Freyre"/>
    <s v="Medium"/>
  </r>
  <r>
    <n v="10321"/>
    <n v="21"/>
    <n v="8995"/>
    <n v="188895"/>
    <n v="188895"/>
    <n v="4"/>
    <s v="11/4/2004 0:00"/>
    <x v="0"/>
    <x v="3"/>
    <x v="5"/>
    <x v="1"/>
    <x v="1"/>
    <n v="107"/>
    <s v="S24_3432"/>
    <x v="21"/>
    <s v="5085552555"/>
    <s v="1785 First Street"/>
    <s v=""/>
    <s v="New Bedford"/>
    <s v="MA"/>
    <s v="50553"/>
    <x v="0"/>
    <s v="NA"/>
    <s v="Benitez"/>
    <s v="Violeta"/>
    <s v="Violeta, Benitez"/>
    <s v="Small"/>
  </r>
  <r>
    <n v="10332"/>
    <n v="31"/>
    <n v="3718"/>
    <n v="115258"/>
    <n v="115258"/>
    <n v="13"/>
    <s v="11/17/2004 0:00"/>
    <x v="0"/>
    <x v="3"/>
    <x v="5"/>
    <x v="1"/>
    <x v="1"/>
    <n v="107"/>
    <s v="S24_3432"/>
    <x v="77"/>
    <s v="(171) 555-1555"/>
    <s v="Fauntleroy Circus"/>
    <s v=""/>
    <s v="Manchester"/>
    <s v=""/>
    <s v="EC2 5NT"/>
    <x v="6"/>
    <s v="EMEA"/>
    <s v="Ashworth"/>
    <s v="Victoria"/>
    <s v="Victoria, Ashworth"/>
    <s v="Small"/>
  </r>
  <r>
    <n v="10346"/>
    <n v="26"/>
    <n v="9588"/>
    <n v="249288"/>
    <n v="249288"/>
    <n v="6"/>
    <s v="11/29/2004 0:00"/>
    <x v="0"/>
    <x v="3"/>
    <x v="5"/>
    <x v="1"/>
    <x v="1"/>
    <n v="107"/>
    <s v="S24_3432"/>
    <x v="84"/>
    <s v="7025551838"/>
    <s v="8489 Strong St."/>
    <s v=""/>
    <s v="Las Vegas"/>
    <s v="NV"/>
    <s v="83030"/>
    <x v="0"/>
    <s v="NA"/>
    <s v="King"/>
    <s v="Sue"/>
    <s v="Sue, King"/>
    <s v="Small"/>
  </r>
  <r>
    <n v="10368"/>
    <n v="20"/>
    <n v="9958"/>
    <n v="199160"/>
    <n v="199160"/>
    <n v="4"/>
    <s v="1/19/2005 0:00"/>
    <x v="0"/>
    <x v="0"/>
    <x v="7"/>
    <x v="2"/>
    <x v="1"/>
    <n v="107"/>
    <s v="S24_3432"/>
    <x v="39"/>
    <s v="4155551450"/>
    <s v="5677 Strong St."/>
    <s v=""/>
    <s v="San Rafael"/>
    <s v="CA"/>
    <s v="97562"/>
    <x v="0"/>
    <s v="NA"/>
    <s v="Nelson"/>
    <s v="Valarie"/>
    <s v="Valarie, Nelson"/>
    <s v="Small"/>
  </r>
  <r>
    <n v="10380"/>
    <n v="34"/>
    <n v="100"/>
    <n v="3400"/>
    <n v="3400"/>
    <n v="11"/>
    <s v="2/16/2005 0:00"/>
    <x v="0"/>
    <x v="0"/>
    <x v="0"/>
    <x v="2"/>
    <x v="1"/>
    <n v="107"/>
    <s v="S24_3432"/>
    <x v="23"/>
    <s v="(91) 555 94 44"/>
    <s v="C/ Moralzarzal, 86"/>
    <s v=""/>
    <s v="Madrid"/>
    <s v=""/>
    <s v="28034"/>
    <x v="7"/>
    <s v="EMEA"/>
    <s v="Freyre"/>
    <s v="Diego"/>
    <s v="Diego, Freyre"/>
    <s v="Medium"/>
  </r>
  <r>
    <n v="10407"/>
    <n v="43"/>
    <n v="8673"/>
    <n v="372939"/>
    <n v="0"/>
    <n v="9"/>
    <s v="4/22/2005 0:00"/>
    <x v="4"/>
    <x v="1"/>
    <x v="8"/>
    <x v="2"/>
    <x v="1"/>
    <n v="107"/>
    <s v="S24_3432"/>
    <x v="61"/>
    <s v="4085553659"/>
    <s v="3086 Ingle Ln."/>
    <s v=""/>
    <s v="San Jose"/>
    <s v="CA"/>
    <s v="94217"/>
    <x v="0"/>
    <s v="NA"/>
    <s v="Frick"/>
    <s v="Sue"/>
    <s v="Sue, Frick"/>
    <s v="Medium"/>
  </r>
  <r>
    <n v="10420"/>
    <n v="26"/>
    <n v="100"/>
    <n v="2600"/>
    <n v="0"/>
    <n v="12"/>
    <s v="5/29/2005 0:00"/>
    <x v="2"/>
    <x v="1"/>
    <x v="1"/>
    <x v="2"/>
    <x v="1"/>
    <n v="107"/>
    <s v="S24_3432"/>
    <x v="20"/>
    <s v="+61 2 9495 8555"/>
    <s v="Monitor Money Building, 815 Pacific Hwy"/>
    <s v="Level 6"/>
    <s v="Chatswood"/>
    <s v="NSW"/>
    <s v="2067"/>
    <x v="3"/>
    <s v="APAC"/>
    <s v="Huxley"/>
    <s v="Adrian"/>
    <s v="Adrian, Huxley"/>
    <s v="Small"/>
  </r>
  <r>
    <n v="10105"/>
    <n v="50"/>
    <n v="7967"/>
    <n v="398350"/>
    <n v="398350"/>
    <n v="1"/>
    <s v="2/11/2003 0:00"/>
    <x v="0"/>
    <x v="0"/>
    <x v="0"/>
    <x v="0"/>
    <x v="3"/>
    <n v="83"/>
    <s v="S24_3816"/>
    <x v="48"/>
    <s v="31 12 3555"/>
    <s v="Vinb'ltet 34"/>
    <s v=""/>
    <s v="Kobenhavn"/>
    <s v=""/>
    <s v="1734"/>
    <x v="13"/>
    <s v="EMEA"/>
    <s v="Petersen"/>
    <s v="Jytte"/>
    <s v="Jytte, Petersen"/>
    <s v="Medium"/>
  </r>
  <r>
    <n v="10119"/>
    <n v="35"/>
    <n v="9057"/>
    <n v="316995"/>
    <n v="316995"/>
    <n v="10"/>
    <s v="4/28/2003 0:00"/>
    <x v="0"/>
    <x v="1"/>
    <x v="8"/>
    <x v="0"/>
    <x v="3"/>
    <n v="83"/>
    <s v="S24_3816"/>
    <x v="19"/>
    <s v="6562-9555"/>
    <s v="Geislweg 14"/>
    <s v=""/>
    <s v="Salzburg"/>
    <s v=""/>
    <s v="5020"/>
    <x v="5"/>
    <s v="EMEA"/>
    <s v="Pipps"/>
    <s v="Georg"/>
    <s v="Georg, Pipps"/>
    <s v="Medium"/>
  </r>
  <r>
    <n v="10129"/>
    <n v="50"/>
    <n v="7799"/>
    <n v="389950"/>
    <n v="389950"/>
    <n v="1"/>
    <s v="6/12/2003 0:00"/>
    <x v="0"/>
    <x v="1"/>
    <x v="9"/>
    <x v="0"/>
    <x v="3"/>
    <n v="83"/>
    <s v="S24_3816"/>
    <x v="49"/>
    <s v="(171) 555-0297"/>
    <s v="35 King George"/>
    <s v=""/>
    <s v="London"/>
    <s v=""/>
    <s v="WX3 6FW"/>
    <x v="6"/>
    <s v="EMEA"/>
    <s v="Brown"/>
    <s v="Ann"/>
    <s v="Ann, Brown"/>
    <s v="Medium"/>
  </r>
  <r>
    <n v="10143"/>
    <n v="23"/>
    <n v="8051"/>
    <n v="185173"/>
    <n v="185173"/>
    <n v="14"/>
    <s v="8/10/2003 0:00"/>
    <x v="0"/>
    <x v="2"/>
    <x v="3"/>
    <x v="0"/>
    <x v="3"/>
    <n v="83"/>
    <s v="S24_3816"/>
    <x v="50"/>
    <s v="5085559555"/>
    <s v="4575 Hillside Dr."/>
    <s v=""/>
    <s v="New Bedford"/>
    <s v="MA"/>
    <s v="50553"/>
    <x v="0"/>
    <s v="NA"/>
    <s v="Tam"/>
    <s v="Wing C"/>
    <s v="Wing C, Tam"/>
    <s v="Small"/>
  </r>
  <r>
    <n v="10155"/>
    <n v="37"/>
    <n v="6793"/>
    <n v="251341"/>
    <n v="251341"/>
    <n v="12"/>
    <s v="10/6/2003 0:00"/>
    <x v="0"/>
    <x v="3"/>
    <x v="4"/>
    <x v="0"/>
    <x v="3"/>
    <n v="83"/>
    <s v="S24_3816"/>
    <x v="16"/>
    <s v="90-224 8555"/>
    <s v="Keskuskatu 45"/>
    <s v=""/>
    <s v="Helsinki"/>
    <s v=""/>
    <s v="21240"/>
    <x v="4"/>
    <s v="EMEA"/>
    <s v="Karttunen"/>
    <s v="Matti"/>
    <s v="Matti, Karttunen"/>
    <s v="Small"/>
  </r>
  <r>
    <n v="10167"/>
    <n v="29"/>
    <n v="8386"/>
    <n v="243194"/>
    <n v="0"/>
    <n v="8"/>
    <s v="10/23/2003 0:00"/>
    <x v="3"/>
    <x v="3"/>
    <x v="4"/>
    <x v="0"/>
    <x v="3"/>
    <n v="83"/>
    <s v="S24_3816"/>
    <x v="37"/>
    <s v="0695-34 6555"/>
    <s v="?kergatan 24"/>
    <s v=""/>
    <s v="Boras"/>
    <s v=""/>
    <s v="S-844 67"/>
    <x v="8"/>
    <s v="EMEA"/>
    <s v="Larsson"/>
    <s v="Maria"/>
    <s v="Maria, Larsson"/>
    <s v="Small"/>
  </r>
  <r>
    <n v="10178"/>
    <n v="21"/>
    <n v="7212"/>
    <n v="151452"/>
    <n v="151452"/>
    <n v="11"/>
    <s v="11/8/2003 0:00"/>
    <x v="0"/>
    <x v="3"/>
    <x v="5"/>
    <x v="0"/>
    <x v="3"/>
    <n v="83"/>
    <s v="S24_3816"/>
    <x v="51"/>
    <s v="61.77.6555"/>
    <s v="1 rue Alsace-Lorraine"/>
    <s v=""/>
    <s v="Toulouse"/>
    <s v=""/>
    <s v="31000"/>
    <x v="1"/>
    <s v="EMEA"/>
    <s v="Roulet"/>
    <s v="Annette"/>
    <s v="Annette, Roulet"/>
    <s v="Small"/>
  </r>
  <r>
    <n v="10186"/>
    <n v="36"/>
    <n v="8554"/>
    <n v="307944"/>
    <n v="307944"/>
    <n v="8"/>
    <s v="11/14/2003 0:00"/>
    <x v="0"/>
    <x v="3"/>
    <x v="5"/>
    <x v="0"/>
    <x v="3"/>
    <n v="83"/>
    <s v="S24_3816"/>
    <x v="52"/>
    <s v="(171) 555-7555"/>
    <s v="120 Hanover Sq."/>
    <s v=""/>
    <s v="London"/>
    <s v=""/>
    <s v="WA1 1DP"/>
    <x v="6"/>
    <s v="EMEA"/>
    <s v="Hardy"/>
    <s v="Thomas"/>
    <s v="Thomas, Hardy"/>
    <s v="Medium"/>
  </r>
  <r>
    <n v="10197"/>
    <n v="22"/>
    <n v="8638"/>
    <n v="190036"/>
    <n v="190036"/>
    <n v="5"/>
    <s v="11/26/2003 0:00"/>
    <x v="0"/>
    <x v="3"/>
    <x v="5"/>
    <x v="0"/>
    <x v="3"/>
    <n v="83"/>
    <s v="S24_3816"/>
    <x v="53"/>
    <s v="(93) 203 4555"/>
    <s v="Rambla de Catalu¤a, 23"/>
    <s v=""/>
    <s v="Barcelona"/>
    <s v=""/>
    <s v="8022"/>
    <x v="7"/>
    <s v="EMEA"/>
    <s v="Saavedra"/>
    <s v="Eduardo"/>
    <s v="Eduardo, Saavedra"/>
    <s v="Small"/>
  </r>
  <r>
    <n v="10209"/>
    <n v="22"/>
    <n v="8973"/>
    <n v="197406"/>
    <n v="197406"/>
    <n v="7"/>
    <s v="1/9/2004 0:00"/>
    <x v="0"/>
    <x v="0"/>
    <x v="7"/>
    <x v="1"/>
    <x v="3"/>
    <n v="83"/>
    <s v="S24_3816"/>
    <x v="54"/>
    <s v="2155554369"/>
    <s v="6047 Douglas Av."/>
    <s v=""/>
    <s v="Los Angeles"/>
    <s v="CA"/>
    <s v=""/>
    <x v="0"/>
    <s v="NA"/>
    <s v="Chandler"/>
    <s v="Michael"/>
    <s v="Michael, Chandler"/>
    <s v="Small"/>
  </r>
  <r>
    <n v="10222"/>
    <n v="46"/>
    <n v="8051"/>
    <n v="370346"/>
    <n v="370346"/>
    <n v="11"/>
    <s v="2/19/2004 0:00"/>
    <x v="0"/>
    <x v="0"/>
    <x v="0"/>
    <x v="1"/>
    <x v="3"/>
    <n v="83"/>
    <s v="S24_3816"/>
    <x v="55"/>
    <s v="7605558146"/>
    <s v="361 Furth Circle"/>
    <s v=""/>
    <s v="San Diego"/>
    <s v="CA"/>
    <s v="91217"/>
    <x v="0"/>
    <s v="NA"/>
    <s v="Thompson"/>
    <s v="Valarie"/>
    <s v="Valarie, Thompson"/>
    <s v="Medium"/>
  </r>
  <r>
    <n v="10248"/>
    <n v="23"/>
    <n v="7631"/>
    <n v="175513"/>
    <n v="0"/>
    <n v="2"/>
    <s v="5/7/2004 0:00"/>
    <x v="3"/>
    <x v="1"/>
    <x v="1"/>
    <x v="1"/>
    <x v="3"/>
    <n v="83"/>
    <s v="S24_3816"/>
    <x v="0"/>
    <s v="2125557818"/>
    <s v="897 Long Airport Avenue"/>
    <s v=""/>
    <s v="NYC"/>
    <s v="NY"/>
    <s v="10022"/>
    <x v="0"/>
    <s v="NA"/>
    <s v="Yu"/>
    <s v="Kwai"/>
    <s v="Kwai, Yu"/>
    <s v="Small"/>
  </r>
  <r>
    <n v="10262"/>
    <n v="49"/>
    <n v="8721"/>
    <n v="427329"/>
    <n v="0"/>
    <n v="16"/>
    <s v="6/24/2004 0:00"/>
    <x v="3"/>
    <x v="1"/>
    <x v="9"/>
    <x v="1"/>
    <x v="3"/>
    <n v="83"/>
    <s v="S24_3816"/>
    <x v="23"/>
    <s v="(91) 555 94 44"/>
    <s v="C/ Moralzarzal, 86"/>
    <s v=""/>
    <s v="Madrid"/>
    <s v=""/>
    <s v="28034"/>
    <x v="7"/>
    <s v="EMEA"/>
    <s v="Freyre"/>
    <s v="Diego"/>
    <s v="Diego, Freyre"/>
    <s v="Medium"/>
  </r>
  <r>
    <n v="10273"/>
    <n v="48"/>
    <n v="8302"/>
    <n v="398496"/>
    <n v="398496"/>
    <n v="3"/>
    <s v="7/21/2004 0:00"/>
    <x v="0"/>
    <x v="2"/>
    <x v="2"/>
    <x v="1"/>
    <x v="3"/>
    <n v="83"/>
    <s v="S24_3816"/>
    <x v="56"/>
    <s v="(02) 5554 67"/>
    <s v="Rue Joseph-Bens 532"/>
    <s v=""/>
    <s v="Bruxelles"/>
    <s v=""/>
    <s v="B-1180"/>
    <x v="14"/>
    <s v="EMEA"/>
    <s v="Dewey"/>
    <s v="Catherine"/>
    <s v="Catherine, Dewey"/>
    <s v="Medium"/>
  </r>
  <r>
    <n v="10283"/>
    <n v="33"/>
    <n v="7296"/>
    <n v="240768"/>
    <n v="240768"/>
    <n v="5"/>
    <s v="8/20/2004 0:00"/>
    <x v="0"/>
    <x v="2"/>
    <x v="3"/>
    <x v="1"/>
    <x v="3"/>
    <n v="83"/>
    <s v="S24_3816"/>
    <x v="57"/>
    <s v="(604) 555-4555"/>
    <s v="23 Tsawassen Blvd."/>
    <s v=""/>
    <s v="Tsawassen"/>
    <s v="BC"/>
    <s v="T2F 8M4"/>
    <x v="10"/>
    <s v="NA"/>
    <s v="Lincoln"/>
    <s v="Elizabeth"/>
    <s v="Elizabeth, Lincoln"/>
    <s v="Small"/>
  </r>
  <r>
    <n v="10296"/>
    <n v="22"/>
    <n v="7715"/>
    <n v="169730"/>
    <n v="169730"/>
    <n v="14"/>
    <s v="9/15/2004 0:00"/>
    <x v="0"/>
    <x v="2"/>
    <x v="10"/>
    <x v="1"/>
    <x v="3"/>
    <n v="83"/>
    <s v="S24_3816"/>
    <x v="89"/>
    <s v="+49 89 61 08 9555"/>
    <s v="Hansastr. 15"/>
    <s v=""/>
    <s v="Munich"/>
    <s v=""/>
    <s v="80686"/>
    <x v="16"/>
    <s v="EMEA"/>
    <s v="Donnermeyer"/>
    <s v="Michael"/>
    <s v="Michael, Donnermeyer"/>
    <s v="Small"/>
  </r>
  <r>
    <n v="10307"/>
    <n v="22"/>
    <n v="9141"/>
    <n v="201102"/>
    <n v="201102"/>
    <n v="8"/>
    <s v="10/14/2004 0:00"/>
    <x v="0"/>
    <x v="3"/>
    <x v="4"/>
    <x v="1"/>
    <x v="3"/>
    <n v="83"/>
    <s v="S24_3816"/>
    <x v="29"/>
    <s v="2155554695"/>
    <s v="782 First Street"/>
    <s v=""/>
    <s v="Philadelphia"/>
    <s v="PA"/>
    <s v="71270"/>
    <x v="0"/>
    <s v="NA"/>
    <s v="Cervantes"/>
    <s v="Francisca"/>
    <s v="Francisca, Cervantes"/>
    <s v="Small"/>
  </r>
  <r>
    <n v="10316"/>
    <n v="25"/>
    <n v="9225"/>
    <n v="230625"/>
    <n v="230625"/>
    <n v="16"/>
    <s v="11/1/2004 0:00"/>
    <x v="0"/>
    <x v="3"/>
    <x v="5"/>
    <x v="1"/>
    <x v="3"/>
    <n v="83"/>
    <s v="S24_3816"/>
    <x v="59"/>
    <s v="(198) 555-8888"/>
    <s v="Garden House Crowther Way"/>
    <s v=""/>
    <s v="Cowes"/>
    <s v="Isle of Wight"/>
    <s v="PO31 7PJ"/>
    <x v="6"/>
    <s v="EMEA"/>
    <s v="Bennett"/>
    <s v="Helen"/>
    <s v="Helen, Bennett"/>
    <s v="Small"/>
  </r>
  <r>
    <n v="10326"/>
    <n v="20"/>
    <n v="9225"/>
    <n v="184500"/>
    <n v="184500"/>
    <n v="2"/>
    <s v="11/9/2004 0:00"/>
    <x v="0"/>
    <x v="3"/>
    <x v="5"/>
    <x v="1"/>
    <x v="3"/>
    <n v="83"/>
    <s v="S24_3816"/>
    <x v="24"/>
    <s v="0921-12 3555"/>
    <s v="Berguvsv„gen  8"/>
    <s v=""/>
    <s v="Lule"/>
    <s v=""/>
    <s v="S-958 22"/>
    <x v="8"/>
    <s v="EMEA"/>
    <s v="Berglund"/>
    <s v="Christina"/>
    <s v="Christina, Berglund"/>
    <s v="Small"/>
  </r>
  <r>
    <n v="10339"/>
    <n v="42"/>
    <n v="5936"/>
    <n v="249312"/>
    <n v="249312"/>
    <n v="16"/>
    <s v="11/23/2004 0:00"/>
    <x v="0"/>
    <x v="3"/>
    <x v="5"/>
    <x v="1"/>
    <x v="3"/>
    <n v="83"/>
    <s v="S24_3816"/>
    <x v="35"/>
    <s v="+81 3 3584 0555"/>
    <s v="2-2-8 Roppongi"/>
    <s v=""/>
    <s v="Minato-ku"/>
    <s v="Tokyo"/>
    <s v="106-0032"/>
    <x v="11"/>
    <s v="Japan"/>
    <s v="Shimamura"/>
    <s v="Akiko"/>
    <s v="Akiko, Shimamura"/>
    <s v="Small"/>
  </r>
  <r>
    <n v="10350"/>
    <n v="25"/>
    <n v="6034"/>
    <n v="150850"/>
    <n v="150850"/>
    <n v="10"/>
    <s v="12/2/2004 0:00"/>
    <x v="0"/>
    <x v="3"/>
    <x v="6"/>
    <x v="1"/>
    <x v="3"/>
    <n v="83"/>
    <s v="S24_3816"/>
    <x v="23"/>
    <s v="(91) 555 94 44"/>
    <s v="C/ Moralzarzal, 86"/>
    <s v=""/>
    <s v="Madrid"/>
    <s v=""/>
    <s v="28034"/>
    <x v="7"/>
    <s v="EMEA"/>
    <s v="Freyre"/>
    <s v="Diego"/>
    <s v="Diego, Freyre"/>
    <s v="Small"/>
  </r>
  <r>
    <n v="10373"/>
    <n v="23"/>
    <n v="100"/>
    <n v="2300"/>
    <n v="2300"/>
    <n v="10"/>
    <s v="1/31/2005 0:00"/>
    <x v="0"/>
    <x v="0"/>
    <x v="7"/>
    <x v="2"/>
    <x v="3"/>
    <n v="83"/>
    <s v="S24_3816"/>
    <x v="60"/>
    <s v="981-443655"/>
    <s v="Torikatu 38"/>
    <s v=""/>
    <s v="Oulu"/>
    <s v=""/>
    <s v="90110"/>
    <x v="4"/>
    <s v="EMEA"/>
    <s v="Koskitalo"/>
    <s v="Pirkko"/>
    <s v="Pirkko, Koskitalo"/>
    <s v="Small"/>
  </r>
  <r>
    <n v="10385"/>
    <n v="37"/>
    <n v="8554"/>
    <n v="316498"/>
    <n v="316498"/>
    <n v="2"/>
    <s v="2/28/2005 0:00"/>
    <x v="0"/>
    <x v="0"/>
    <x v="0"/>
    <x v="2"/>
    <x v="3"/>
    <n v="83"/>
    <s v="S24_3816"/>
    <x v="39"/>
    <s v="4155551450"/>
    <s v="5677 Strong St."/>
    <s v=""/>
    <s v="San Rafael"/>
    <s v="CA"/>
    <s v="97562"/>
    <x v="0"/>
    <s v="NA"/>
    <s v="Nelson"/>
    <s v="Valarie"/>
    <s v="Valarie, Nelson"/>
    <s v="Medium"/>
  </r>
  <r>
    <n v="10396"/>
    <n v="37"/>
    <n v="9057"/>
    <n v="335109"/>
    <n v="335109"/>
    <n v="8"/>
    <s v="3/23/2005 0:00"/>
    <x v="0"/>
    <x v="0"/>
    <x v="11"/>
    <x v="2"/>
    <x v="3"/>
    <n v="83"/>
    <s v="S24_3816"/>
    <x v="39"/>
    <s v="4155551450"/>
    <s v="5677 Strong St."/>
    <s v=""/>
    <s v="San Rafael"/>
    <s v="CA"/>
    <s v="97562"/>
    <x v="0"/>
    <s v="NA"/>
    <s v="Nelson"/>
    <s v="Valarie"/>
    <s v="Valarie, Nelson"/>
    <s v="Medium"/>
  </r>
  <r>
    <n v="10400"/>
    <n v="42"/>
    <n v="7296"/>
    <n v="306432"/>
    <n v="306432"/>
    <n v="8"/>
    <s v="4/1/2005 0:00"/>
    <x v="0"/>
    <x v="1"/>
    <x v="8"/>
    <x v="2"/>
    <x v="3"/>
    <n v="83"/>
    <s v="S24_3816"/>
    <x v="61"/>
    <s v="4085553659"/>
    <s v="3086 Ingle Ln."/>
    <s v=""/>
    <s v="San Jose"/>
    <s v="CA"/>
    <s v="94217"/>
    <x v="0"/>
    <s v="NA"/>
    <s v="Frick"/>
    <s v="Sue"/>
    <s v="Sue, Frick"/>
    <s v="Medium"/>
  </r>
  <r>
    <n v="10414"/>
    <n v="51"/>
    <n v="7631"/>
    <n v="389181"/>
    <n v="0"/>
    <n v="2"/>
    <s v="5/6/2005 0:00"/>
    <x v="4"/>
    <x v="1"/>
    <x v="1"/>
    <x v="2"/>
    <x v="3"/>
    <n v="83"/>
    <s v="S24_3816"/>
    <x v="58"/>
    <s v="6175559555"/>
    <s v="8616 Spinnaker Dr."/>
    <s v=""/>
    <s v="Boston"/>
    <s v="MA"/>
    <s v="51003"/>
    <x v="0"/>
    <s v="NA"/>
    <s v="Yoshido"/>
    <s v="Juri"/>
    <s v="Juri, Yoshido"/>
    <s v="Medium"/>
  </r>
  <r>
    <n v="10108"/>
    <n v="40"/>
    <n v="100"/>
    <n v="4000"/>
    <n v="4000"/>
    <n v="1"/>
    <s v="3/3/2003 0:00"/>
    <x v="0"/>
    <x v="0"/>
    <x v="11"/>
    <x v="0"/>
    <x v="1"/>
    <n v="140"/>
    <s v="S24_3856"/>
    <x v="66"/>
    <s v="+63 2 555 3587"/>
    <s v="15 McCallum Street - NatWest Center #13-03"/>
    <s v=""/>
    <s v="Makati City"/>
    <s v=""/>
    <s v="1227 MM"/>
    <x v="15"/>
    <s v="Japan"/>
    <s v="Cruz"/>
    <s v="Arnold"/>
    <s v="Arnold, Cruz"/>
    <s v="Medium"/>
  </r>
  <r>
    <n v="10122"/>
    <n v="43"/>
    <n v="100"/>
    <n v="4300"/>
    <n v="4300"/>
    <n v="5"/>
    <s v="5/8/2003 0:00"/>
    <x v="0"/>
    <x v="1"/>
    <x v="1"/>
    <x v="0"/>
    <x v="1"/>
    <n v="140"/>
    <s v="S24_3856"/>
    <x v="67"/>
    <s v="91.24.4555"/>
    <s v="12, rue des Bouchers"/>
    <s v=""/>
    <s v="Marseille"/>
    <s v=""/>
    <s v="13008"/>
    <x v="1"/>
    <s v="EMEA"/>
    <s v="Lebihan"/>
    <s v="Laurence"/>
    <s v="Laurence, Lebihan"/>
    <s v="Medium"/>
  </r>
  <r>
    <n v="10135"/>
    <n v="47"/>
    <n v="100"/>
    <n v="4700"/>
    <n v="4700"/>
    <n v="2"/>
    <s v="7/2/2003 0:00"/>
    <x v="0"/>
    <x v="2"/>
    <x v="2"/>
    <x v="0"/>
    <x v="1"/>
    <n v="140"/>
    <s v="S24_3856"/>
    <x v="39"/>
    <s v="4155551450"/>
    <s v="5677 Strong St."/>
    <s v=""/>
    <s v="San Rafael"/>
    <s v="CA"/>
    <s v="97562"/>
    <x v="0"/>
    <s v="NA"/>
    <s v="Nelson"/>
    <s v="Valarie"/>
    <s v="Valarie, Nelson"/>
    <s v="Medium"/>
  </r>
  <r>
    <n v="10147"/>
    <n v="23"/>
    <n v="100"/>
    <n v="2300"/>
    <n v="2300"/>
    <n v="2"/>
    <s v="9/5/2003 0:00"/>
    <x v="0"/>
    <x v="2"/>
    <x v="10"/>
    <x v="0"/>
    <x v="1"/>
    <n v="140"/>
    <s v="S24_3856"/>
    <x v="41"/>
    <s v="6175558555"/>
    <s v="7825 Douglas Av."/>
    <s v=""/>
    <s v="Brickhaven"/>
    <s v="MA"/>
    <s v="58339"/>
    <x v="0"/>
    <s v="NA"/>
    <s v="Nelson"/>
    <s v="Allen"/>
    <s v="Allen, Nelson"/>
    <s v="Small"/>
  </r>
  <r>
    <n v="10160"/>
    <n v="35"/>
    <n v="100"/>
    <n v="3500"/>
    <n v="3500"/>
    <n v="3"/>
    <s v="10/11/2003 0:00"/>
    <x v="0"/>
    <x v="3"/>
    <x v="4"/>
    <x v="0"/>
    <x v="1"/>
    <n v="140"/>
    <s v="S24_3856"/>
    <x v="54"/>
    <s v="2155554369"/>
    <s v="6047 Douglas Av."/>
    <s v=""/>
    <s v="Los Angeles"/>
    <s v="CA"/>
    <s v=""/>
    <x v="0"/>
    <s v="NA"/>
    <s v="Chandler"/>
    <s v="Michael"/>
    <s v="Michael, Chandler"/>
    <s v="Medium"/>
  </r>
  <r>
    <n v="10170"/>
    <n v="34"/>
    <n v="100"/>
    <n v="3400"/>
    <n v="3400"/>
    <n v="1"/>
    <s v="11/4/2003 0:00"/>
    <x v="0"/>
    <x v="3"/>
    <x v="5"/>
    <x v="0"/>
    <x v="1"/>
    <n v="140"/>
    <s v="S24_3856"/>
    <x v="63"/>
    <s v="7675-3555"/>
    <s v="Kirchgasse 6"/>
    <s v=""/>
    <s v="Graz"/>
    <s v=""/>
    <s v="8010"/>
    <x v="5"/>
    <s v="EMEA"/>
    <s v="Mendel"/>
    <s v="Roland"/>
    <s v="Roland, Mendel"/>
    <s v="Medium"/>
  </r>
  <r>
    <n v="10181"/>
    <n v="25"/>
    <n v="100"/>
    <n v="2500"/>
    <n v="2500"/>
    <n v="9"/>
    <s v="11/12/2003 0:00"/>
    <x v="0"/>
    <x v="3"/>
    <x v="5"/>
    <x v="0"/>
    <x v="1"/>
    <n v="140"/>
    <s v="S24_3856"/>
    <x v="7"/>
    <s v="+47 2267 3215"/>
    <s v="Drammen 121, PR 744 Sentrum"/>
    <s v=""/>
    <s v="Bergen"/>
    <s v=""/>
    <s v="N 5804"/>
    <x v="2"/>
    <s v="EMEA"/>
    <s v="Oeztan"/>
    <s v="Veysel"/>
    <s v="Veysel, Oeztan"/>
    <s v="Medium"/>
  </r>
  <r>
    <n v="10192"/>
    <n v="45"/>
    <n v="100"/>
    <n v="4500"/>
    <n v="4500"/>
    <n v="14"/>
    <s v="11/20/2003 0:00"/>
    <x v="0"/>
    <x v="3"/>
    <x v="5"/>
    <x v="0"/>
    <x v="1"/>
    <n v="140"/>
    <s v="S24_3856"/>
    <x v="40"/>
    <s v="6035558647"/>
    <s v="2304 Long Airport Avenue"/>
    <s v=""/>
    <s v="Nashua"/>
    <s v="NH"/>
    <s v="62005"/>
    <x v="0"/>
    <s v="NA"/>
    <s v="Young"/>
    <s v="Valarie"/>
    <s v="Valarie, Young"/>
    <s v="Medium"/>
  </r>
  <r>
    <n v="10203"/>
    <n v="47"/>
    <n v="100"/>
    <n v="4700"/>
    <n v="4700"/>
    <n v="3"/>
    <s v="12/2/2003 0:00"/>
    <x v="0"/>
    <x v="3"/>
    <x v="6"/>
    <x v="0"/>
    <x v="1"/>
    <n v="140"/>
    <s v="S24_3856"/>
    <x v="23"/>
    <s v="(91) 555 94 44"/>
    <s v="C/ Moralzarzal, 86"/>
    <s v=""/>
    <s v="Madrid"/>
    <s v=""/>
    <s v="28034"/>
    <x v="7"/>
    <s v="EMEA"/>
    <s v="Freyre"/>
    <s v="Diego"/>
    <s v="Diego, Freyre"/>
    <s v="Medium"/>
  </r>
  <r>
    <n v="10212"/>
    <n v="49"/>
    <n v="100"/>
    <n v="4900"/>
    <n v="4900"/>
    <n v="13"/>
    <s v="1/16/2004 0:00"/>
    <x v="0"/>
    <x v="0"/>
    <x v="7"/>
    <x v="1"/>
    <x v="1"/>
    <n v="140"/>
    <s v="S24_3856"/>
    <x v="23"/>
    <s v="(91) 555 94 44"/>
    <s v="C/ Moralzarzal, 86"/>
    <s v=""/>
    <s v="Madrid"/>
    <s v=""/>
    <s v="28034"/>
    <x v="7"/>
    <s v="EMEA"/>
    <s v="Freyre"/>
    <s v="Diego"/>
    <s v="Diego, Freyre"/>
    <s v="Medium"/>
  </r>
  <r>
    <n v="10225"/>
    <n v="40"/>
    <n v="100"/>
    <n v="4000"/>
    <n v="4000"/>
    <n v="4"/>
    <s v="2/22/2004 0:00"/>
    <x v="0"/>
    <x v="0"/>
    <x v="0"/>
    <x v="1"/>
    <x v="1"/>
    <n v="140"/>
    <s v="S24_3856"/>
    <x v="69"/>
    <s v="0897-034555"/>
    <s v="Grenzacherweg 237"/>
    <s v=""/>
    <s v="Gensve"/>
    <s v=""/>
    <s v="1203"/>
    <x v="17"/>
    <s v="EMEA"/>
    <s v="Holz"/>
    <s v="Michael"/>
    <s v="Michael, Holz"/>
    <s v="Medium"/>
  </r>
  <r>
    <n v="10239"/>
    <n v="29"/>
    <n v="100"/>
    <n v="2900"/>
    <n v="2900"/>
    <n v="3"/>
    <s v="4/12/2004 0:00"/>
    <x v="0"/>
    <x v="1"/>
    <x v="8"/>
    <x v="1"/>
    <x v="1"/>
    <n v="140"/>
    <s v="S24_3856"/>
    <x v="60"/>
    <s v="981-443655"/>
    <s v="Torikatu 38"/>
    <s v=""/>
    <s v="Oulu"/>
    <s v=""/>
    <s v="90110"/>
    <x v="4"/>
    <s v="EMEA"/>
    <s v="Koskitalo"/>
    <s v="Pirkko"/>
    <s v="Pirkko, Koskitalo"/>
    <s v="Medium"/>
  </r>
  <r>
    <n v="10253"/>
    <n v="39"/>
    <n v="100"/>
    <n v="3900"/>
    <n v="0"/>
    <n v="8"/>
    <s v="6/1/2004 0:00"/>
    <x v="3"/>
    <x v="1"/>
    <x v="9"/>
    <x v="1"/>
    <x v="1"/>
    <n v="140"/>
    <s v="S24_3856"/>
    <x v="22"/>
    <s v="(171) 555-2282"/>
    <s v="Berkeley Gardens 12  Brewery"/>
    <s v=""/>
    <s v="Liverpool"/>
    <s v=""/>
    <s v="WX1 6LT"/>
    <x v="6"/>
    <s v="EMEA"/>
    <s v="Devon"/>
    <s v="Elizabeth"/>
    <s v="Elizabeth, Devon"/>
    <s v="Medium"/>
  </r>
  <r>
    <n v="10266"/>
    <n v="24"/>
    <n v="100"/>
    <n v="2400"/>
    <n v="2400"/>
    <n v="9"/>
    <s v="7/6/2004 0:00"/>
    <x v="0"/>
    <x v="2"/>
    <x v="2"/>
    <x v="1"/>
    <x v="1"/>
    <n v="140"/>
    <s v="S24_3856"/>
    <x v="70"/>
    <s v="0522-556555"/>
    <s v="Strada Provinciale 124"/>
    <s v=""/>
    <s v="Reggio Emilia"/>
    <s v=""/>
    <s v="42100"/>
    <x v="12"/>
    <s v="EMEA"/>
    <s v="Moroni"/>
    <s v="Maurizio"/>
    <s v="Maurizio, Moroni"/>
    <s v="Small"/>
  </r>
  <r>
    <n v="10278"/>
    <n v="25"/>
    <n v="100"/>
    <n v="2500"/>
    <n v="2500"/>
    <n v="9"/>
    <s v="8/6/2004 0:00"/>
    <x v="0"/>
    <x v="2"/>
    <x v="3"/>
    <x v="1"/>
    <x v="1"/>
    <n v="140"/>
    <s v="S24_3856"/>
    <x v="84"/>
    <s v="7025551838"/>
    <s v="8489 Strong St."/>
    <s v=""/>
    <s v="Las Vegas"/>
    <s v="NV"/>
    <s v="83030"/>
    <x v="0"/>
    <s v="NA"/>
    <s v="King"/>
    <s v="Sue"/>
    <s v="Sue, King"/>
    <s v="Medium"/>
  </r>
  <r>
    <n v="10287"/>
    <n v="36"/>
    <n v="100"/>
    <n v="3600"/>
    <n v="3600"/>
    <n v="7"/>
    <s v="8/30/2004 0:00"/>
    <x v="0"/>
    <x v="2"/>
    <x v="3"/>
    <x v="1"/>
    <x v="1"/>
    <n v="140"/>
    <s v="S24_3856"/>
    <x v="69"/>
    <s v="0897-034555"/>
    <s v="Grenzacherweg 237"/>
    <s v=""/>
    <s v="Gensve"/>
    <s v=""/>
    <s v="1203"/>
    <x v="17"/>
    <s v="EMEA"/>
    <s v="Holz"/>
    <s v="Michael"/>
    <s v="Michael, Holz"/>
    <s v="Medium"/>
  </r>
  <r>
    <n v="10301"/>
    <n v="50"/>
    <n v="100"/>
    <n v="5000"/>
    <n v="5000"/>
    <n v="11"/>
    <s v="10/5/2003 0:00"/>
    <x v="0"/>
    <x v="3"/>
    <x v="4"/>
    <x v="0"/>
    <x v="1"/>
    <n v="140"/>
    <s v="S24_3856"/>
    <x v="85"/>
    <s v="+47 2212 1555"/>
    <s v="Drammensveien 126 A, PB 744 Sentrum"/>
    <s v=""/>
    <s v="Oslo"/>
    <s v=""/>
    <s v="N 0106"/>
    <x v="2"/>
    <s v="EMEA"/>
    <s v="Klaeboe"/>
    <s v="Jan"/>
    <s v="Jan, Klaeboe"/>
    <s v="Large"/>
  </r>
  <r>
    <n v="10310"/>
    <n v="45"/>
    <n v="100"/>
    <n v="4500"/>
    <n v="4500"/>
    <n v="5"/>
    <s v="10/16/2004 0:00"/>
    <x v="0"/>
    <x v="3"/>
    <x v="4"/>
    <x v="1"/>
    <x v="1"/>
    <n v="140"/>
    <s v="S24_3856"/>
    <x v="68"/>
    <s v="0221-5554327"/>
    <s v="Mehrheimerstr. 369"/>
    <s v=""/>
    <s v="Koln"/>
    <s v=""/>
    <s v="50739"/>
    <x v="16"/>
    <s v="EMEA"/>
    <s v="Pfalzheim"/>
    <s v="Henriette"/>
    <s v="Henriette, Pfalzheim"/>
    <s v="Medium"/>
  </r>
  <r>
    <n v="10321"/>
    <n v="26"/>
    <n v="100"/>
    <n v="2600"/>
    <n v="2600"/>
    <n v="13"/>
    <s v="11/4/2004 0:00"/>
    <x v="0"/>
    <x v="3"/>
    <x v="5"/>
    <x v="1"/>
    <x v="1"/>
    <n v="140"/>
    <s v="S24_3856"/>
    <x v="21"/>
    <s v="5085552555"/>
    <s v="1785 First Street"/>
    <s v=""/>
    <s v="New Bedford"/>
    <s v="MA"/>
    <s v="50553"/>
    <x v="0"/>
    <s v="NA"/>
    <s v="Benitez"/>
    <s v="Violeta"/>
    <s v="Violeta, Benitez"/>
    <s v="Medium"/>
  </r>
  <r>
    <n v="10331"/>
    <n v="21"/>
    <n v="100"/>
    <n v="2100"/>
    <n v="2100"/>
    <n v="1"/>
    <s v="11/17/2004 0:00"/>
    <x v="0"/>
    <x v="3"/>
    <x v="5"/>
    <x v="1"/>
    <x v="1"/>
    <n v="140"/>
    <s v="S24_3856"/>
    <x v="45"/>
    <s v="2155559857"/>
    <s v="11328 Douglas Av."/>
    <s v=""/>
    <s v="Philadelphia"/>
    <s v="PA"/>
    <s v="71270"/>
    <x v="0"/>
    <s v="NA"/>
    <s v="Hernandez"/>
    <s v="Rosa"/>
    <s v="Rosa, Hernandez"/>
    <s v="Medium"/>
  </r>
  <r>
    <n v="10342"/>
    <n v="42"/>
    <n v="100"/>
    <n v="4200"/>
    <n v="4200"/>
    <n v="6"/>
    <s v="11/24/2004 0:00"/>
    <x v="0"/>
    <x v="3"/>
    <x v="5"/>
    <x v="1"/>
    <x v="1"/>
    <n v="140"/>
    <s v="S24_3856"/>
    <x v="10"/>
    <s v="03 9520 4555"/>
    <s v="636 St Kilda Road"/>
    <s v="Level 3"/>
    <s v="Melbourne"/>
    <s v="Victoria"/>
    <s v="3004"/>
    <x v="3"/>
    <s v="APAC"/>
    <s v="Ferguson"/>
    <s v="Peter"/>
    <s v="Peter, Ferguson"/>
    <s v="Medium"/>
  </r>
  <r>
    <n v="10355"/>
    <n v="32"/>
    <n v="100"/>
    <n v="3200"/>
    <n v="3200"/>
    <n v="8"/>
    <s v="12/7/2004 0:00"/>
    <x v="0"/>
    <x v="3"/>
    <x v="6"/>
    <x v="1"/>
    <x v="1"/>
    <n v="140"/>
    <s v="S24_3856"/>
    <x v="23"/>
    <s v="(91) 555 94 44"/>
    <s v="C/ Moralzarzal, 86"/>
    <s v=""/>
    <s v="Madrid"/>
    <s v=""/>
    <s v="28034"/>
    <x v="7"/>
    <s v="EMEA"/>
    <s v="Freyre"/>
    <s v="Diego"/>
    <s v="Diego, Freyre"/>
    <s v="Medium"/>
  </r>
  <r>
    <n v="10363"/>
    <n v="31"/>
    <n v="9458"/>
    <n v="293198"/>
    <n v="293198"/>
    <n v="1"/>
    <s v="1/6/2005 0:00"/>
    <x v="0"/>
    <x v="0"/>
    <x v="7"/>
    <x v="2"/>
    <x v="1"/>
    <n v="140"/>
    <s v="S24_3856"/>
    <x v="73"/>
    <s v="+358 9 8045 555"/>
    <s v="Software Engineering Center, SEC Oy"/>
    <s v=""/>
    <s v="Espoo"/>
    <s v=""/>
    <s v="FIN-02271"/>
    <x v="4"/>
    <s v="EMEA"/>
    <s v="Suominen"/>
    <s v="Kalle"/>
    <s v="Kalle, Suominen"/>
    <s v="Small"/>
  </r>
  <r>
    <n v="10378"/>
    <n v="33"/>
    <n v="5327"/>
    <n v="175791"/>
    <n v="175791"/>
    <n v="3"/>
    <s v="2/10/2005 0:00"/>
    <x v="0"/>
    <x v="0"/>
    <x v="0"/>
    <x v="2"/>
    <x v="1"/>
    <n v="140"/>
    <s v="S24_3856"/>
    <x v="23"/>
    <s v="(91) 555 94 44"/>
    <s v="C/ Moralzarzal, 86"/>
    <s v=""/>
    <s v="Madrid"/>
    <s v=""/>
    <s v="28034"/>
    <x v="7"/>
    <s v="EMEA"/>
    <s v="Freyre"/>
    <s v="Diego"/>
    <s v="Diego, Freyre"/>
    <s v="Small"/>
  </r>
  <r>
    <n v="10390"/>
    <n v="45"/>
    <n v="100"/>
    <n v="4500"/>
    <n v="4500"/>
    <n v="8"/>
    <s v="3/4/2005 0:00"/>
    <x v="0"/>
    <x v="0"/>
    <x v="11"/>
    <x v="2"/>
    <x v="1"/>
    <n v="140"/>
    <s v="S24_3856"/>
    <x v="39"/>
    <s v="4155551450"/>
    <s v="5677 Strong St."/>
    <s v=""/>
    <s v="San Rafael"/>
    <s v="CA"/>
    <s v="97562"/>
    <x v="0"/>
    <s v="NA"/>
    <s v="Nelson"/>
    <s v="Valarie"/>
    <s v="Valarie, Nelson"/>
    <s v="Medium"/>
  </r>
  <r>
    <n v="10405"/>
    <n v="76"/>
    <n v="100"/>
    <n v="7600"/>
    <n v="7600"/>
    <n v="3"/>
    <s v="4/14/2005 0:00"/>
    <x v="0"/>
    <x v="1"/>
    <x v="8"/>
    <x v="2"/>
    <x v="1"/>
    <n v="140"/>
    <s v="S24_3856"/>
    <x v="83"/>
    <s v="88.60.1555"/>
    <s v="24, place Kluber"/>
    <s v=""/>
    <s v="Strasbourg"/>
    <s v=""/>
    <s v="67000"/>
    <x v="1"/>
    <s v="EMEA"/>
    <s v="Citeaux"/>
    <s v="Frederique"/>
    <s v="Frederique, Citeaux"/>
    <s v="Large"/>
  </r>
  <r>
    <n v="10419"/>
    <n v="70"/>
    <n v="100"/>
    <n v="7000"/>
    <n v="7000"/>
    <n v="8"/>
    <s v="5/17/2005 0:00"/>
    <x v="0"/>
    <x v="1"/>
    <x v="1"/>
    <x v="2"/>
    <x v="1"/>
    <n v="140"/>
    <s v="S24_3856"/>
    <x v="19"/>
    <s v="6562-9555"/>
    <s v="Geislweg 14"/>
    <s v=""/>
    <s v="Salzburg"/>
    <s v=""/>
    <s v="5020"/>
    <x v="5"/>
    <s v="EMEA"/>
    <s v="Pipps"/>
    <s v="Georg"/>
    <s v="Georg, Pipps"/>
    <s v="Large"/>
  </r>
  <r>
    <n v="10106"/>
    <n v="50"/>
    <n v="6483"/>
    <n v="324150"/>
    <n v="324150"/>
    <n v="11"/>
    <s v="2/17/2003 0:00"/>
    <x v="0"/>
    <x v="0"/>
    <x v="0"/>
    <x v="0"/>
    <x v="4"/>
    <n v="68"/>
    <s v="S24_3949"/>
    <x v="86"/>
    <s v="035-640555"/>
    <s v="Via Ludovico il Moro 22"/>
    <s v=""/>
    <s v="Bergamo"/>
    <s v=""/>
    <s v="24100"/>
    <x v="12"/>
    <s v="EMEA"/>
    <s v="Rovelli"/>
    <s v="Giovanni"/>
    <s v="Giovanni, Rovelli"/>
    <s v="Medium"/>
  </r>
  <r>
    <n v="10119"/>
    <n v="28"/>
    <n v="7029"/>
    <n v="196812"/>
    <n v="196812"/>
    <n v="2"/>
    <s v="4/28/2003 0:00"/>
    <x v="0"/>
    <x v="1"/>
    <x v="8"/>
    <x v="0"/>
    <x v="4"/>
    <n v="68"/>
    <s v="S24_3949"/>
    <x v="19"/>
    <s v="6562-9555"/>
    <s v="Geislweg 14"/>
    <s v=""/>
    <s v="Salzburg"/>
    <s v=""/>
    <s v="5020"/>
    <x v="5"/>
    <s v="EMEA"/>
    <s v="Pipps"/>
    <s v="Georg"/>
    <s v="Georg, Pipps"/>
    <s v="Small"/>
  </r>
  <r>
    <n v="10131"/>
    <n v="50"/>
    <n v="8189"/>
    <n v="409450"/>
    <n v="409450"/>
    <n v="3"/>
    <s v="6/16/2003 0:00"/>
    <x v="0"/>
    <x v="1"/>
    <x v="9"/>
    <x v="0"/>
    <x v="4"/>
    <n v="68"/>
    <s v="S24_3949"/>
    <x v="88"/>
    <s v="2035554407"/>
    <s v="2440 Pompton St."/>
    <s v=""/>
    <s v="Glendale"/>
    <s v="CT"/>
    <s v="97561"/>
    <x v="0"/>
    <s v="NA"/>
    <s v="Lewis"/>
    <s v="Dan"/>
    <s v="Dan, Lewis"/>
    <s v="Medium"/>
  </r>
  <r>
    <n v="10143"/>
    <n v="28"/>
    <n v="6619"/>
    <n v="185332"/>
    <n v="185332"/>
    <n v="6"/>
    <s v="8/10/2003 0:00"/>
    <x v="0"/>
    <x v="2"/>
    <x v="3"/>
    <x v="0"/>
    <x v="4"/>
    <n v="68"/>
    <s v="S24_3949"/>
    <x v="50"/>
    <s v="5085559555"/>
    <s v="4575 Hillside Dr."/>
    <s v=""/>
    <s v="New Bedford"/>
    <s v="MA"/>
    <s v="50553"/>
    <x v="0"/>
    <s v="NA"/>
    <s v="Tam"/>
    <s v="Wing C"/>
    <s v="Wing C, Tam"/>
    <s v="Small"/>
  </r>
  <r>
    <n v="10155"/>
    <n v="44"/>
    <n v="7711"/>
    <n v="339284"/>
    <n v="339284"/>
    <n v="4"/>
    <s v="10/6/2003 0:00"/>
    <x v="0"/>
    <x v="3"/>
    <x v="4"/>
    <x v="0"/>
    <x v="4"/>
    <n v="68"/>
    <s v="S24_3949"/>
    <x v="16"/>
    <s v="90-224 8555"/>
    <s v="Keskuskatu 45"/>
    <s v=""/>
    <s v="Helsinki"/>
    <s v=""/>
    <s v="21240"/>
    <x v="4"/>
    <s v="EMEA"/>
    <s v="Karttunen"/>
    <s v="Matti"/>
    <s v="Matti, Karttunen"/>
    <s v="Medium"/>
  </r>
  <r>
    <n v="10168"/>
    <n v="27"/>
    <n v="7302"/>
    <n v="197154"/>
    <n v="197154"/>
    <n v="18"/>
    <s v="10/28/2003 0:00"/>
    <x v="0"/>
    <x v="3"/>
    <x v="4"/>
    <x v="0"/>
    <x v="4"/>
    <n v="68"/>
    <s v="S24_3949"/>
    <x v="5"/>
    <s v="6505556809"/>
    <s v="9408 Furth Circle"/>
    <s v=""/>
    <s v="Burlingame"/>
    <s v="CA"/>
    <s v="94217"/>
    <x v="0"/>
    <s v="NA"/>
    <s v="Hirano"/>
    <s v="Juri"/>
    <s v="Juri, Hirano"/>
    <s v="Small"/>
  </r>
  <r>
    <n v="10178"/>
    <n v="30"/>
    <n v="7233"/>
    <n v="216990"/>
    <n v="216990"/>
    <n v="3"/>
    <s v="11/8/2003 0:00"/>
    <x v="0"/>
    <x v="3"/>
    <x v="5"/>
    <x v="0"/>
    <x v="4"/>
    <n v="68"/>
    <s v="S24_3949"/>
    <x v="51"/>
    <s v="61.77.6555"/>
    <s v="1 rue Alsace-Lorraine"/>
    <s v=""/>
    <s v="Toulouse"/>
    <s v=""/>
    <s v="31000"/>
    <x v="1"/>
    <s v="EMEA"/>
    <s v="Roulet"/>
    <s v="Annette"/>
    <s v="Annette, Roulet"/>
    <s v="Small"/>
  </r>
  <r>
    <n v="10198"/>
    <n v="43"/>
    <n v="6619"/>
    <n v="284617"/>
    <n v="284617"/>
    <n v="3"/>
    <s v="11/27/2003 0:00"/>
    <x v="0"/>
    <x v="3"/>
    <x v="5"/>
    <x v="0"/>
    <x v="4"/>
    <n v="68"/>
    <s v="S24_3949"/>
    <x v="66"/>
    <s v="+63 2 555 3587"/>
    <s v="15 McCallum Street - NatWest Center #13-03"/>
    <s v=""/>
    <s v="Makati City"/>
    <s v=""/>
    <s v="1227 MM"/>
    <x v="15"/>
    <s v="Japan"/>
    <s v="Cruz"/>
    <s v="Arnold"/>
    <s v="Arnold, Cruz"/>
    <s v="Small"/>
  </r>
  <r>
    <n v="10210"/>
    <n v="29"/>
    <n v="696"/>
    <n v="20184"/>
    <n v="20184"/>
    <n v="16"/>
    <s v="1/12/2004 0:00"/>
    <x v="0"/>
    <x v="0"/>
    <x v="7"/>
    <x v="1"/>
    <x v="4"/>
    <n v="68"/>
    <s v="S24_3949"/>
    <x v="44"/>
    <s v="+81 06 6342 5555"/>
    <s v="Dojima Avanza 4F, 1-6-20 Dojima, Kita-ku"/>
    <s v=""/>
    <s v="Osaka"/>
    <s v="Osaka"/>
    <s v="530-0003"/>
    <x v="11"/>
    <s v="Japan"/>
    <s v="Kentary"/>
    <s v="Mory"/>
    <s v="Mory, Kentary"/>
    <s v="Small"/>
  </r>
  <r>
    <n v="10222"/>
    <n v="48"/>
    <n v="5664"/>
    <n v="271872"/>
    <n v="271872"/>
    <n v="3"/>
    <s v="2/19/2004 0:00"/>
    <x v="0"/>
    <x v="0"/>
    <x v="0"/>
    <x v="1"/>
    <x v="4"/>
    <n v="68"/>
    <s v="S24_3949"/>
    <x v="55"/>
    <s v="7605558146"/>
    <s v="361 Furth Circle"/>
    <s v=""/>
    <s v="San Diego"/>
    <s v="CA"/>
    <s v="91217"/>
    <x v="0"/>
    <s v="NA"/>
    <s v="Thompson"/>
    <s v="Valarie"/>
    <s v="Valarie, Thompson"/>
    <s v="Small"/>
  </r>
  <r>
    <n v="10235"/>
    <n v="33"/>
    <n v="6005"/>
    <n v="198165"/>
    <n v="198165"/>
    <n v="12"/>
    <s v="4/2/2004 0:00"/>
    <x v="0"/>
    <x v="1"/>
    <x v="8"/>
    <x v="1"/>
    <x v="4"/>
    <n v="68"/>
    <s v="S24_3949"/>
    <x v="57"/>
    <s v="(604) 555-4555"/>
    <s v="23 Tsawassen Blvd."/>
    <s v=""/>
    <s v="Tsawassen"/>
    <s v="BC"/>
    <s v="T2F 8M4"/>
    <x v="10"/>
    <s v="NA"/>
    <s v="Lincoln"/>
    <s v="Elizabeth"/>
    <s v="Elizabeth, Lincoln"/>
    <s v="Small"/>
  </r>
  <r>
    <n v="10250"/>
    <n v="40"/>
    <n v="7506"/>
    <n v="300240"/>
    <n v="300240"/>
    <n v="13"/>
    <s v="5/11/2004 0:00"/>
    <x v="0"/>
    <x v="1"/>
    <x v="1"/>
    <x v="1"/>
    <x v="4"/>
    <n v="68"/>
    <s v="S24_3949"/>
    <x v="61"/>
    <s v="4085553659"/>
    <s v="3086 Ingle Ln."/>
    <s v=""/>
    <s v="San Jose"/>
    <s v="CA"/>
    <s v="94217"/>
    <x v="0"/>
    <s v="NA"/>
    <s v="Frick"/>
    <s v="Sue"/>
    <s v="Sue, Frick"/>
    <s v="Medium"/>
  </r>
  <r>
    <n v="10262"/>
    <n v="48"/>
    <n v="6142"/>
    <n v="294816"/>
    <n v="0"/>
    <n v="8"/>
    <s v="6/24/2004 0:00"/>
    <x v="3"/>
    <x v="1"/>
    <x v="9"/>
    <x v="1"/>
    <x v="4"/>
    <n v="68"/>
    <s v="S24_3949"/>
    <x v="23"/>
    <s v="(91) 555 94 44"/>
    <s v="C/ Moralzarzal, 86"/>
    <s v=""/>
    <s v="Madrid"/>
    <s v=""/>
    <s v="28034"/>
    <x v="7"/>
    <s v="EMEA"/>
    <s v="Freyre"/>
    <s v="Diego"/>
    <s v="Diego, Freyre"/>
    <s v="Small"/>
  </r>
  <r>
    <n v="10275"/>
    <n v="41"/>
    <n v="8189"/>
    <n v="335749"/>
    <n v="335749"/>
    <n v="18"/>
    <s v="7/23/2004 0:00"/>
    <x v="0"/>
    <x v="2"/>
    <x v="2"/>
    <x v="1"/>
    <x v="4"/>
    <n v="68"/>
    <s v="S24_3949"/>
    <x v="14"/>
    <s v="40.67.8555"/>
    <s v="67, rue des Cinquante Otages"/>
    <s v=""/>
    <s v="Nantes"/>
    <s v=""/>
    <s v="44000"/>
    <x v="1"/>
    <s v="EMEA"/>
    <s v="Labrune"/>
    <s v="Janine"/>
    <s v="Janine, Labrune"/>
    <s v="Medium"/>
  </r>
  <r>
    <n v="10284"/>
    <n v="21"/>
    <n v="5596"/>
    <n v="117516"/>
    <n v="117516"/>
    <n v="10"/>
    <s v="8/21/2004 0:00"/>
    <x v="0"/>
    <x v="2"/>
    <x v="3"/>
    <x v="1"/>
    <x v="4"/>
    <n v="68"/>
    <s v="S24_3949"/>
    <x v="85"/>
    <s v="+47 2212 1555"/>
    <s v="Drammensveien 126 A, PB 744 Sentrum"/>
    <s v=""/>
    <s v="Oslo"/>
    <s v=""/>
    <s v="N 0106"/>
    <x v="2"/>
    <s v="EMEA"/>
    <s v="Klaeboe"/>
    <s v="Jan"/>
    <s v="Jan, Klaeboe"/>
    <s v="Small"/>
  </r>
  <r>
    <n v="10296"/>
    <n v="32"/>
    <n v="7165"/>
    <n v="229280"/>
    <n v="229280"/>
    <n v="6"/>
    <s v="9/15/2004 0:00"/>
    <x v="0"/>
    <x v="2"/>
    <x v="10"/>
    <x v="1"/>
    <x v="4"/>
    <n v="68"/>
    <s v="S24_3949"/>
    <x v="89"/>
    <s v="+49 89 61 08 9555"/>
    <s v="Hansastr. 15"/>
    <s v=""/>
    <s v="Munich"/>
    <s v=""/>
    <s v="80686"/>
    <x v="16"/>
    <s v="EMEA"/>
    <s v="Donnermeyer"/>
    <s v="Michael"/>
    <s v="Michael, Donnermeyer"/>
    <s v="Small"/>
  </r>
  <r>
    <n v="10308"/>
    <n v="43"/>
    <n v="7643"/>
    <n v="328649"/>
    <n v="328649"/>
    <n v="16"/>
    <s v="10/15/2004 0:00"/>
    <x v="0"/>
    <x v="3"/>
    <x v="4"/>
    <x v="1"/>
    <x v="4"/>
    <n v="68"/>
    <s v="S24_3949"/>
    <x v="47"/>
    <s v="9145554562"/>
    <s v="3758 North Pendale Street"/>
    <s v=""/>
    <s v="White Plains"/>
    <s v="NY"/>
    <s v="24067"/>
    <x v="0"/>
    <s v="NA"/>
    <s v="Frick"/>
    <s v="Steve"/>
    <s v="Steve, Frick"/>
    <s v="Medium"/>
  </r>
  <r>
    <n v="10316"/>
    <n v="30"/>
    <n v="7779"/>
    <n v="233370"/>
    <n v="233370"/>
    <n v="8"/>
    <s v="11/1/2004 0:00"/>
    <x v="0"/>
    <x v="3"/>
    <x v="5"/>
    <x v="1"/>
    <x v="4"/>
    <n v="68"/>
    <s v="S24_3949"/>
    <x v="59"/>
    <s v="(198) 555-8888"/>
    <s v="Garden House Crowther Way"/>
    <s v=""/>
    <s v="Cowes"/>
    <s v="Isle of Wight"/>
    <s v="PO31 7PJ"/>
    <x v="6"/>
    <s v="EMEA"/>
    <s v="Bennett"/>
    <s v="Helen"/>
    <s v="Helen, Bennett"/>
    <s v="Small"/>
  </r>
  <r>
    <n v="10328"/>
    <n v="35"/>
    <n v="7643"/>
    <n v="267505"/>
    <n v="267505"/>
    <n v="3"/>
    <s v="11/12/2004 0:00"/>
    <x v="0"/>
    <x v="3"/>
    <x v="5"/>
    <x v="1"/>
    <x v="4"/>
    <n v="68"/>
    <s v="S24_3949"/>
    <x v="86"/>
    <s v="035-640555"/>
    <s v="Via Ludovico il Moro 22"/>
    <s v=""/>
    <s v="Bergamo"/>
    <s v=""/>
    <s v="24100"/>
    <x v="12"/>
    <s v="EMEA"/>
    <s v="Rovelli"/>
    <s v="Giovanni"/>
    <s v="Giovanni, Rovelli"/>
    <s v="Small"/>
  </r>
  <r>
    <n v="10339"/>
    <n v="45"/>
    <n v="9692"/>
    <n v="436140"/>
    <n v="436140"/>
    <n v="11"/>
    <s v="11/23/2004 0:00"/>
    <x v="0"/>
    <x v="3"/>
    <x v="5"/>
    <x v="1"/>
    <x v="4"/>
    <n v="68"/>
    <s v="S24_3949"/>
    <x v="35"/>
    <s v="+81 3 3584 0555"/>
    <s v="2-2-8 Roppongi"/>
    <s v=""/>
    <s v="Minato-ku"/>
    <s v="Tokyo"/>
    <s v="106-0032"/>
    <x v="11"/>
    <s v="Japan"/>
    <s v="Shimamura"/>
    <s v="Akiko"/>
    <s v="Akiko, Shimamura"/>
    <s v="Medium"/>
  </r>
  <r>
    <n v="10351"/>
    <n v="34"/>
    <n v="5937"/>
    <n v="201858"/>
    <n v="201858"/>
    <n v="3"/>
    <s v="12/3/2004 0:00"/>
    <x v="0"/>
    <x v="3"/>
    <x v="6"/>
    <x v="1"/>
    <x v="4"/>
    <n v="68"/>
    <s v="S24_3949"/>
    <x v="49"/>
    <s v="(171) 555-0297"/>
    <s v="35 King George"/>
    <s v=""/>
    <s v="London"/>
    <s v=""/>
    <s v="WX3 6FW"/>
    <x v="6"/>
    <s v="EMEA"/>
    <s v="Brown"/>
    <s v="Ann"/>
    <s v="Ann, Brown"/>
    <s v="Small"/>
  </r>
  <r>
    <n v="10361"/>
    <n v="26"/>
    <n v="100"/>
    <n v="2600"/>
    <n v="2600"/>
    <n v="7"/>
    <s v="12/17/2004 0:00"/>
    <x v="0"/>
    <x v="3"/>
    <x v="6"/>
    <x v="1"/>
    <x v="4"/>
    <n v="68"/>
    <s v="S24_3949"/>
    <x v="20"/>
    <s v="+61 2 9495 8555"/>
    <s v="Monitor Money Building, 815 Pacific Hwy"/>
    <s v="Level 6"/>
    <s v="Chatswood"/>
    <s v="NSW"/>
    <s v="2067"/>
    <x v="3"/>
    <s v="APAC"/>
    <s v="Huxley"/>
    <s v="Adrian"/>
    <s v="Adrian, Huxley"/>
    <s v="Medium"/>
  </r>
  <r>
    <n v="10373"/>
    <n v="39"/>
    <n v="73"/>
    <n v="2847"/>
    <n v="2847"/>
    <n v="13"/>
    <s v="1/31/2005 0:00"/>
    <x v="0"/>
    <x v="0"/>
    <x v="7"/>
    <x v="2"/>
    <x v="4"/>
    <n v="68"/>
    <s v="S24_3949"/>
    <x v="60"/>
    <s v="981-443655"/>
    <s v="Torikatu 38"/>
    <s v=""/>
    <s v="Oulu"/>
    <s v=""/>
    <s v="90110"/>
    <x v="4"/>
    <s v="EMEA"/>
    <s v="Koskitalo"/>
    <s v="Pirkko"/>
    <s v="Pirkko, Koskitalo"/>
    <s v="Small"/>
  </r>
  <r>
    <n v="10386"/>
    <n v="41"/>
    <n v="7332"/>
    <n v="300612"/>
    <n v="300612"/>
    <n v="12"/>
    <s v="3/1/2005 0:00"/>
    <x v="5"/>
    <x v="0"/>
    <x v="11"/>
    <x v="2"/>
    <x v="4"/>
    <n v="68"/>
    <s v="S24_3949"/>
    <x v="23"/>
    <s v="(91) 555 94 44"/>
    <s v="C/ Moralzarzal, 86"/>
    <s v=""/>
    <s v="Madrid"/>
    <s v=""/>
    <s v="28034"/>
    <x v="7"/>
    <s v="EMEA"/>
    <s v="Freyre"/>
    <s v="Diego"/>
    <s v="Diego, Freyre"/>
    <s v="Medium"/>
  </r>
  <r>
    <n v="10398"/>
    <n v="41"/>
    <n v="6824"/>
    <n v="279784"/>
    <n v="279784"/>
    <n v="2"/>
    <s v="3/30/2005 0:00"/>
    <x v="0"/>
    <x v="0"/>
    <x v="11"/>
    <x v="2"/>
    <x v="4"/>
    <n v="68"/>
    <s v="S24_3949"/>
    <x v="1"/>
    <s v="26.47.1555"/>
    <s v="59 rue de l'Abbaye"/>
    <s v=""/>
    <s v="Reims"/>
    <s v=""/>
    <s v="51100"/>
    <x v="1"/>
    <s v="EMEA"/>
    <s v="Henriot"/>
    <s v="Paul"/>
    <s v="Paul, Henriot"/>
    <s v="Small"/>
  </r>
  <r>
    <n v="10401"/>
    <n v="64"/>
    <n v="6005"/>
    <n v="384320"/>
    <n v="0"/>
    <n v="12"/>
    <s v="4/3/2005 0:00"/>
    <x v="4"/>
    <x v="1"/>
    <x v="8"/>
    <x v="2"/>
    <x v="4"/>
    <n v="68"/>
    <s v="S24_3949"/>
    <x v="12"/>
    <s v="2015559350"/>
    <s v="7476 Moss Rd."/>
    <s v=""/>
    <s v="Newark"/>
    <s v="NJ"/>
    <s v="94019"/>
    <x v="0"/>
    <s v="NA"/>
    <s v="Brown"/>
    <s v="William"/>
    <s v="William, Brown"/>
    <s v="Medium"/>
  </r>
  <r>
    <n v="10416"/>
    <n v="18"/>
    <n v="7506"/>
    <n v="135108"/>
    <n v="135108"/>
    <n v="13"/>
    <s v="5/10/2005 0:00"/>
    <x v="0"/>
    <x v="1"/>
    <x v="1"/>
    <x v="2"/>
    <x v="4"/>
    <n v="68"/>
    <s v="S24_3949"/>
    <x v="70"/>
    <s v="0522-556555"/>
    <s v="Strada Provinciale 124"/>
    <s v=""/>
    <s v="Reggio Emilia"/>
    <s v=""/>
    <s v="42100"/>
    <x v="12"/>
    <s v="EMEA"/>
    <s v="Moroni"/>
    <s v="Maurizio"/>
    <s v="Maurizio, Moroni"/>
    <s v="Small"/>
  </r>
  <r>
    <n v="10100"/>
    <n v="49"/>
    <n v="3447"/>
    <n v="168903"/>
    <n v="168903"/>
    <n v="1"/>
    <s v="1/6/2003 0:00"/>
    <x v="0"/>
    <x v="0"/>
    <x v="7"/>
    <x v="0"/>
    <x v="3"/>
    <n v="41"/>
    <s v="S24_3969"/>
    <x v="40"/>
    <s v="6035558647"/>
    <s v="2304 Long Airport Avenue"/>
    <s v=""/>
    <s v="Nashua"/>
    <s v="NH"/>
    <s v="62005"/>
    <x v="0"/>
    <s v="NA"/>
    <s v="Young"/>
    <s v="Valarie"/>
    <s v="Valarie, Young"/>
    <s v="Small"/>
  </r>
  <r>
    <n v="10110"/>
    <n v="48"/>
    <n v="3447"/>
    <n v="165456"/>
    <n v="165456"/>
    <n v="5"/>
    <s v="3/18/2003 0:00"/>
    <x v="0"/>
    <x v="0"/>
    <x v="11"/>
    <x v="0"/>
    <x v="3"/>
    <n v="41"/>
    <s v="S24_3969"/>
    <x v="77"/>
    <s v="(171) 555-1555"/>
    <s v="Fauntleroy Circus"/>
    <s v=""/>
    <s v="Manchester"/>
    <s v=""/>
    <s v="EC2 5NT"/>
    <x v="6"/>
    <s v="EMEA"/>
    <s v="Ashworth"/>
    <s v="Victoria"/>
    <s v="Victoria, Ashworth"/>
    <s v="Small"/>
  </r>
  <r>
    <n v="10124"/>
    <n v="46"/>
    <n v="3323"/>
    <n v="152858"/>
    <n v="152858"/>
    <n v="4"/>
    <s v="5/21/2003 0:00"/>
    <x v="0"/>
    <x v="1"/>
    <x v="1"/>
    <x v="0"/>
    <x v="3"/>
    <n v="41"/>
    <s v="S24_3969"/>
    <x v="84"/>
    <s v="7025551838"/>
    <s v="8489 Strong St."/>
    <s v=""/>
    <s v="Las Vegas"/>
    <s v="NV"/>
    <s v="83030"/>
    <x v="0"/>
    <s v="NA"/>
    <s v="King"/>
    <s v="Sue"/>
    <s v="Sue, King"/>
    <s v="Small"/>
  </r>
  <r>
    <n v="10149"/>
    <n v="26"/>
    <n v="3898"/>
    <n v="101348"/>
    <n v="101348"/>
    <n v="9"/>
    <s v="9/12/2003 0:00"/>
    <x v="0"/>
    <x v="2"/>
    <x v="10"/>
    <x v="0"/>
    <x v="3"/>
    <n v="41"/>
    <s v="S24_3969"/>
    <x v="82"/>
    <s v="4155554312"/>
    <s v="2793 Furth Circle"/>
    <s v=""/>
    <s v="Brisbane"/>
    <s v="CA"/>
    <s v="94217"/>
    <x v="0"/>
    <s v="NA"/>
    <s v="Taylor"/>
    <s v="Sue"/>
    <s v="Sue, Taylor"/>
    <s v="Small"/>
  </r>
  <r>
    <n v="10162"/>
    <n v="37"/>
    <n v="3898"/>
    <n v="144226"/>
    <n v="144226"/>
    <n v="7"/>
    <s v="10/18/2003 0:00"/>
    <x v="0"/>
    <x v="3"/>
    <x v="4"/>
    <x v="0"/>
    <x v="3"/>
    <n v="41"/>
    <s v="S24_3969"/>
    <x v="4"/>
    <s v="6505551386"/>
    <s v="7734 Strong St."/>
    <s v=""/>
    <s v="San Francisco"/>
    <s v="CA"/>
    <s v=""/>
    <x v="0"/>
    <s v="NA"/>
    <s v="Brown"/>
    <s v="Julie"/>
    <s v="Julie, Brown"/>
    <s v="Small"/>
  </r>
  <r>
    <n v="10173"/>
    <n v="35"/>
    <n v="3323"/>
    <n v="116305"/>
    <n v="116305"/>
    <n v="11"/>
    <s v="11/5/2003 0:00"/>
    <x v="0"/>
    <x v="3"/>
    <x v="5"/>
    <x v="0"/>
    <x v="3"/>
    <n v="41"/>
    <s v="S24_3969"/>
    <x v="86"/>
    <s v="035-640555"/>
    <s v="Via Ludovico il Moro 22"/>
    <s v=""/>
    <s v="Bergamo"/>
    <s v=""/>
    <s v="24100"/>
    <x v="12"/>
    <s v="EMEA"/>
    <s v="Rovelli"/>
    <s v="Giovanni"/>
    <s v="Giovanni, Rovelli"/>
    <s v="Small"/>
  </r>
  <r>
    <n v="10182"/>
    <n v="23"/>
    <n v="4226"/>
    <n v="97198"/>
    <n v="97198"/>
    <n v="8"/>
    <s v="11/12/2003 0:00"/>
    <x v="0"/>
    <x v="3"/>
    <x v="5"/>
    <x v="0"/>
    <x v="3"/>
    <n v="41"/>
    <s v="S24_3969"/>
    <x v="39"/>
    <s v="4155551450"/>
    <s v="5677 Strong St."/>
    <s v=""/>
    <s v="San Rafael"/>
    <s v="CA"/>
    <s v="97562"/>
    <x v="0"/>
    <s v="NA"/>
    <s v="Nelson"/>
    <s v="Valarie"/>
    <s v="Valarie, Nelson"/>
    <s v="Small"/>
  </r>
  <r>
    <n v="10193"/>
    <n v="22"/>
    <n v="4103"/>
    <n v="90266"/>
    <n v="90266"/>
    <n v="12"/>
    <s v="11/21/2003 0:00"/>
    <x v="0"/>
    <x v="3"/>
    <x v="5"/>
    <x v="0"/>
    <x v="3"/>
    <n v="41"/>
    <s v="S24_3969"/>
    <x v="87"/>
    <s v="61-9-3844-6555"/>
    <s v="7 Allen Street"/>
    <s v=""/>
    <s v="Glen Waverly"/>
    <s v="Victoria"/>
    <s v="3150"/>
    <x v="3"/>
    <s v="APAC"/>
    <s v="Connery"/>
    <s v="Sean"/>
    <s v="Sean, Connery"/>
    <s v="Small"/>
  </r>
  <r>
    <n v="10204"/>
    <n v="39"/>
    <n v="3323"/>
    <n v="129597"/>
    <n v="129597"/>
    <n v="2"/>
    <s v="12/2/2003 0:00"/>
    <x v="0"/>
    <x v="3"/>
    <x v="6"/>
    <x v="0"/>
    <x v="3"/>
    <n v="41"/>
    <s v="S24_3969"/>
    <x v="74"/>
    <s v="2125557413"/>
    <s v="4092 Furth Circle"/>
    <s v="Suite 400"/>
    <s v="NYC"/>
    <s v="NY"/>
    <s v="10022"/>
    <x v="0"/>
    <s v="NA"/>
    <s v="Young"/>
    <s v="Jeff"/>
    <s v="Jeff, Young"/>
    <s v="Small"/>
  </r>
  <r>
    <n v="10214"/>
    <n v="44"/>
    <n v="3488"/>
    <n v="153472"/>
    <n v="153472"/>
    <n v="5"/>
    <s v="1/26/2004 0:00"/>
    <x v="0"/>
    <x v="0"/>
    <x v="7"/>
    <x v="1"/>
    <x v="3"/>
    <n v="41"/>
    <s v="S24_3969"/>
    <x v="25"/>
    <s v="(91) 555 22 82"/>
    <s v="C/ Araquil, 67"/>
    <s v=""/>
    <s v="Madrid"/>
    <s v=""/>
    <s v="28023"/>
    <x v="7"/>
    <s v="EMEA"/>
    <s v="Sommer"/>
    <s v="Mart¡n"/>
    <s v="Mart¡n, Sommer"/>
    <s v="Small"/>
  </r>
  <r>
    <n v="10227"/>
    <n v="27"/>
    <n v="439"/>
    <n v="11853"/>
    <n v="11853"/>
    <n v="8"/>
    <s v="3/2/2004 0:00"/>
    <x v="0"/>
    <x v="0"/>
    <x v="11"/>
    <x v="1"/>
    <x v="3"/>
    <n v="41"/>
    <s v="S24_3969"/>
    <x v="30"/>
    <s v="78.32.5555"/>
    <s v="2, rue du Commerce"/>
    <s v=""/>
    <s v="Lyon"/>
    <s v=""/>
    <s v="69004"/>
    <x v="1"/>
    <s v="EMEA"/>
    <s v="Saveley"/>
    <s v="Mary"/>
    <s v="Mary, Saveley"/>
    <s v="Small"/>
  </r>
  <r>
    <n v="10242"/>
    <n v="46"/>
    <n v="3693"/>
    <n v="169878"/>
    <n v="169878"/>
    <n v="1"/>
    <s v="4/20/2004 0:00"/>
    <x v="0"/>
    <x v="1"/>
    <x v="8"/>
    <x v="1"/>
    <x v="3"/>
    <n v="41"/>
    <s v="S24_3969"/>
    <x v="79"/>
    <s v="2125551957"/>
    <s v="5290 North Pendale Street"/>
    <s v="Suite 200"/>
    <s v="NYC"/>
    <s v="NY"/>
    <s v="10022"/>
    <x v="0"/>
    <s v="NA"/>
    <s v="Kuo"/>
    <s v="Kee"/>
    <s v="Kee, Kuo"/>
    <s v="Small"/>
  </r>
  <r>
    <n v="10280"/>
    <n v="33"/>
    <n v="4185"/>
    <n v="138105"/>
    <n v="138105"/>
    <n v="14"/>
    <s v="8/17/2004 0:00"/>
    <x v="0"/>
    <x v="2"/>
    <x v="3"/>
    <x v="1"/>
    <x v="3"/>
    <n v="41"/>
    <s v="S24_3969"/>
    <x v="36"/>
    <s v="011-4988555"/>
    <s v="Via Monte Bianco 34"/>
    <s v=""/>
    <s v="Torino"/>
    <s v=""/>
    <s v="10100"/>
    <x v="12"/>
    <s v="EMEA"/>
    <s v="Accorti"/>
    <s v="Paolo"/>
    <s v="Paolo, Accorti"/>
    <s v="Small"/>
  </r>
  <r>
    <n v="10288"/>
    <n v="33"/>
    <n v="4062"/>
    <n v="134046"/>
    <n v="134046"/>
    <n v="3"/>
    <s v="9/1/2004 0:00"/>
    <x v="0"/>
    <x v="2"/>
    <x v="10"/>
    <x v="1"/>
    <x v="3"/>
    <n v="41"/>
    <s v="S24_3969"/>
    <x v="65"/>
    <s v="+65 224 1555"/>
    <s v="Village Close - 106 Linden Road Sandown"/>
    <s v="2nd Floor"/>
    <s v="Singapore"/>
    <s v=""/>
    <s v="69045"/>
    <x v="9"/>
    <s v="APAC"/>
    <s v="Victorino"/>
    <s v="Wendy"/>
    <s v="Wendy, Victorino"/>
    <s v="Small"/>
  </r>
  <r>
    <n v="10303"/>
    <n v="24"/>
    <n v="4021"/>
    <n v="96504"/>
    <n v="96504"/>
    <n v="1"/>
    <s v="10/6/2004 0:00"/>
    <x v="0"/>
    <x v="3"/>
    <x v="4"/>
    <x v="1"/>
    <x v="3"/>
    <n v="41"/>
    <s v="S24_3969"/>
    <x v="81"/>
    <s v="(95) 555 82 82"/>
    <s v="C/ Romero, 33"/>
    <s v=""/>
    <s v="Sevilla"/>
    <s v=""/>
    <s v="41101"/>
    <x v="7"/>
    <s v="EMEA"/>
    <s v="Roel"/>
    <s v="Jose Pedro"/>
    <s v="Jose Pedro, Roel"/>
    <s v="Small"/>
  </r>
  <r>
    <n v="10312"/>
    <n v="31"/>
    <n v="3529"/>
    <n v="109399"/>
    <n v="109399"/>
    <n v="15"/>
    <s v="10/21/2004 0:00"/>
    <x v="0"/>
    <x v="3"/>
    <x v="4"/>
    <x v="1"/>
    <x v="3"/>
    <n v="41"/>
    <s v="S24_3969"/>
    <x v="39"/>
    <s v="4155551450"/>
    <s v="5677 Strong St."/>
    <s v=""/>
    <s v="San Rafael"/>
    <s v="CA"/>
    <s v="97562"/>
    <x v="0"/>
    <s v="NA"/>
    <s v="Nelson"/>
    <s v="Valarie"/>
    <s v="Valarie, Nelson"/>
    <s v="Small"/>
  </r>
  <r>
    <n v="10332"/>
    <n v="41"/>
    <n v="7724"/>
    <n v="316684"/>
    <n v="316684"/>
    <n v="14"/>
    <s v="11/17/2004 0:00"/>
    <x v="0"/>
    <x v="3"/>
    <x v="5"/>
    <x v="1"/>
    <x v="3"/>
    <n v="41"/>
    <s v="S24_3969"/>
    <x v="77"/>
    <s v="(171) 555-1555"/>
    <s v="Fauntleroy Circus"/>
    <s v=""/>
    <s v="Manchester"/>
    <s v=""/>
    <s v="EC2 5NT"/>
    <x v="6"/>
    <s v="EMEA"/>
    <s v="Ashworth"/>
    <s v="Victoria"/>
    <s v="Victoria, Ashworth"/>
    <s v="Medium"/>
  </r>
  <r>
    <n v="10346"/>
    <n v="22"/>
    <n v="9744"/>
    <n v="214368"/>
    <n v="214368"/>
    <n v="4"/>
    <s v="11/29/2004 0:00"/>
    <x v="0"/>
    <x v="3"/>
    <x v="5"/>
    <x v="1"/>
    <x v="3"/>
    <n v="41"/>
    <s v="S24_3969"/>
    <x v="84"/>
    <s v="7025551838"/>
    <s v="8489 Strong St."/>
    <s v=""/>
    <s v="Las Vegas"/>
    <s v="NV"/>
    <s v="83030"/>
    <x v="0"/>
    <s v="NA"/>
    <s v="King"/>
    <s v="Sue"/>
    <s v="Sue, King"/>
    <s v="Small"/>
  </r>
  <r>
    <n v="10368"/>
    <n v="46"/>
    <n v="3734"/>
    <n v="171764"/>
    <n v="171764"/>
    <n v="3"/>
    <s v="1/19/2005 0:00"/>
    <x v="0"/>
    <x v="0"/>
    <x v="7"/>
    <x v="2"/>
    <x v="3"/>
    <n v="41"/>
    <s v="S24_3969"/>
    <x v="39"/>
    <s v="4155551450"/>
    <s v="5677 Strong St."/>
    <s v=""/>
    <s v="San Rafael"/>
    <s v="CA"/>
    <s v="97562"/>
    <x v="0"/>
    <s v="NA"/>
    <s v="Nelson"/>
    <s v="Valarie"/>
    <s v="Valarie, Nelson"/>
    <s v="Small"/>
  </r>
  <r>
    <n v="10380"/>
    <n v="43"/>
    <n v="9503"/>
    <n v="408629"/>
    <n v="408629"/>
    <n v="12"/>
    <s v="2/16/2005 0:00"/>
    <x v="0"/>
    <x v="0"/>
    <x v="0"/>
    <x v="2"/>
    <x v="3"/>
    <n v="41"/>
    <s v="S24_3969"/>
    <x v="23"/>
    <s v="(91) 555 94 44"/>
    <s v="C/ Moralzarzal, 86"/>
    <s v=""/>
    <s v="Madrid"/>
    <s v=""/>
    <s v="28034"/>
    <x v="7"/>
    <s v="EMEA"/>
    <s v="Freyre"/>
    <s v="Diego"/>
    <s v="Diego, Freyre"/>
    <s v="Medium"/>
  </r>
  <r>
    <n v="10408"/>
    <n v="15"/>
    <n v="3693"/>
    <n v="55395"/>
    <n v="55395"/>
    <n v="1"/>
    <s v="4/22/2005 0:00"/>
    <x v="0"/>
    <x v="1"/>
    <x v="8"/>
    <x v="2"/>
    <x v="3"/>
    <n v="41"/>
    <s v="S24_3969"/>
    <x v="35"/>
    <s v="+81 3 3584 0555"/>
    <s v="2-2-8 Roppongi"/>
    <s v=""/>
    <s v="Minato-ku"/>
    <s v="Tokyo"/>
    <s v="106-0032"/>
    <x v="11"/>
    <s v="Japan"/>
    <s v="Shimamura"/>
    <s v="Akiko"/>
    <s v="Akiko, Shimamura"/>
    <s v="Small"/>
  </r>
  <r>
    <n v="10420"/>
    <n v="15"/>
    <n v="4349"/>
    <n v="65235"/>
    <n v="0"/>
    <n v="3"/>
    <s v="5/29/2005 0:00"/>
    <x v="2"/>
    <x v="1"/>
    <x v="1"/>
    <x v="2"/>
    <x v="3"/>
    <n v="41"/>
    <s v="S24_3969"/>
    <x v="20"/>
    <s v="+61 2 9495 8555"/>
    <s v="Monitor Money Building, 815 Pacific Hwy"/>
    <s v="Level 6"/>
    <s v="Chatswood"/>
    <s v="NSW"/>
    <s v="2067"/>
    <x v="3"/>
    <s v="APAC"/>
    <s v="Huxley"/>
    <s v="Adrian"/>
    <s v="Adrian, Huxley"/>
    <s v="Small"/>
  </r>
  <r>
    <n v="10104"/>
    <n v="26"/>
    <n v="100"/>
    <n v="2600"/>
    <n v="2600"/>
    <n v="5"/>
    <s v="1/31/2003 0:00"/>
    <x v="0"/>
    <x v="0"/>
    <x v="7"/>
    <x v="0"/>
    <x v="1"/>
    <n v="118"/>
    <s v="S24_4048"/>
    <x v="23"/>
    <s v="(91) 555 94 44"/>
    <s v="C/ Moralzarzal, 86"/>
    <s v=""/>
    <s v="Madrid"/>
    <s v=""/>
    <s v="28034"/>
    <x v="7"/>
    <s v="EMEA"/>
    <s v="Freyre"/>
    <s v="Diego"/>
    <s v="Diego, Freyre"/>
    <s v="Small"/>
  </r>
  <r>
    <n v="10115"/>
    <n v="44"/>
    <n v="100"/>
    <n v="4400"/>
    <n v="4400"/>
    <n v="1"/>
    <s v="4/4/2003 0:00"/>
    <x v="0"/>
    <x v="1"/>
    <x v="8"/>
    <x v="0"/>
    <x v="1"/>
    <n v="118"/>
    <s v="S24_4048"/>
    <x v="27"/>
    <s v="2125558493"/>
    <s v="5905 Pompton St."/>
    <s v="Suite 750"/>
    <s v="NYC"/>
    <s v="NY"/>
    <s v="10022"/>
    <x v="0"/>
    <s v="NA"/>
    <s v="Hernandez"/>
    <s v="Maria"/>
    <s v="Maria, Hernandez"/>
    <s v="Medium"/>
  </r>
  <r>
    <n v="10127"/>
    <n v="20"/>
    <n v="9699"/>
    <n v="193980"/>
    <n v="193980"/>
    <n v="7"/>
    <s v="6/3/2003 0:00"/>
    <x v="0"/>
    <x v="1"/>
    <x v="9"/>
    <x v="0"/>
    <x v="1"/>
    <n v="118"/>
    <s v="S24_4048"/>
    <x v="74"/>
    <s v="2125557413"/>
    <s v="4092 Furth Circle"/>
    <s v="Suite 400"/>
    <s v="NYC"/>
    <s v="NY"/>
    <s v="10022"/>
    <x v="0"/>
    <s v="NA"/>
    <s v="Young"/>
    <s v="Jeff"/>
    <s v="Jeff, Young"/>
    <s v="Small"/>
  </r>
  <r>
    <n v="10141"/>
    <n v="40"/>
    <n v="9462"/>
    <n v="378480"/>
    <n v="378480"/>
    <n v="1"/>
    <s v="8/1/2003 0:00"/>
    <x v="0"/>
    <x v="2"/>
    <x v="3"/>
    <x v="0"/>
    <x v="1"/>
    <n v="118"/>
    <s v="S24_4048"/>
    <x v="73"/>
    <s v="+358 9 8045 555"/>
    <s v="Software Engineering Center, SEC Oy"/>
    <s v=""/>
    <s v="Espoo"/>
    <s v=""/>
    <s v="FIN-02271"/>
    <x v="4"/>
    <s v="EMEA"/>
    <s v="Suominen"/>
    <s v="Kalle"/>
    <s v="Kalle, Suominen"/>
    <s v="Medium"/>
  </r>
  <r>
    <n v="10152"/>
    <n v="23"/>
    <n v="100"/>
    <n v="2300"/>
    <n v="2300"/>
    <n v="3"/>
    <s v="9/25/2003 0:00"/>
    <x v="0"/>
    <x v="2"/>
    <x v="10"/>
    <x v="0"/>
    <x v="1"/>
    <n v="118"/>
    <s v="S24_4048"/>
    <x v="28"/>
    <s v="61-7-3844-6555"/>
    <s v="31 Duncan St. West End"/>
    <s v=""/>
    <s v="South Brisbane"/>
    <s v="Queensland"/>
    <s v="4101"/>
    <x v="3"/>
    <s v="APAC"/>
    <s v="Calaghan"/>
    <s v="Tony"/>
    <s v="Tony, Calaghan"/>
    <s v="Small"/>
  </r>
  <r>
    <n v="10165"/>
    <n v="24"/>
    <n v="9936"/>
    <n v="238464"/>
    <n v="238464"/>
    <n v="8"/>
    <s v="10/22/2003 0:00"/>
    <x v="0"/>
    <x v="3"/>
    <x v="4"/>
    <x v="0"/>
    <x v="1"/>
    <n v="118"/>
    <s v="S24_4048"/>
    <x v="26"/>
    <s v="+65 221 7555"/>
    <s v="Bronz Sok., Bronz Apt. 3/6 Tesvikiye"/>
    <s v=""/>
    <s v="Singapore"/>
    <s v=""/>
    <s v="79903"/>
    <x v="9"/>
    <s v="Japan"/>
    <s v="Natividad"/>
    <s v="Eric"/>
    <s v="Eric, Natividad"/>
    <s v="Small"/>
  </r>
  <r>
    <n v="10176"/>
    <n v="29"/>
    <n v="100"/>
    <n v="2900"/>
    <n v="2900"/>
    <n v="7"/>
    <s v="11/6/2003 0:00"/>
    <x v="0"/>
    <x v="3"/>
    <x v="5"/>
    <x v="0"/>
    <x v="1"/>
    <n v="118"/>
    <s v="S24_4048"/>
    <x v="70"/>
    <s v="0522-556555"/>
    <s v="Strada Provinciale 124"/>
    <s v=""/>
    <s v="Reggio Emilia"/>
    <s v=""/>
    <s v="42100"/>
    <x v="12"/>
    <s v="EMEA"/>
    <s v="Moroni"/>
    <s v="Maurizio"/>
    <s v="Maurizio, Moroni"/>
    <s v="Small"/>
  </r>
  <r>
    <n v="10184"/>
    <n v="49"/>
    <n v="100"/>
    <n v="4900"/>
    <n v="4900"/>
    <n v="2"/>
    <s v="11/14/2003 0:00"/>
    <x v="0"/>
    <x v="3"/>
    <x v="5"/>
    <x v="0"/>
    <x v="1"/>
    <n v="118"/>
    <s v="S24_4048"/>
    <x v="81"/>
    <s v="(95) 555 82 82"/>
    <s v="C/ Romero, 33"/>
    <s v=""/>
    <s v="Sevilla"/>
    <s v=""/>
    <s v="41101"/>
    <x v="7"/>
    <s v="EMEA"/>
    <s v="Roel"/>
    <s v="Jose Pedro"/>
    <s v="Jose Pedro, Roel"/>
    <s v="Medium"/>
  </r>
  <r>
    <n v="10195"/>
    <n v="34"/>
    <n v="100"/>
    <n v="3400"/>
    <n v="3400"/>
    <n v="2"/>
    <s v="11/25/2003 0:00"/>
    <x v="0"/>
    <x v="3"/>
    <x v="5"/>
    <x v="0"/>
    <x v="1"/>
    <n v="118"/>
    <s v="S24_4048"/>
    <x v="47"/>
    <s v="9145554562"/>
    <s v="3758 North Pendale Street"/>
    <s v=""/>
    <s v="White Plains"/>
    <s v="NY"/>
    <s v="24067"/>
    <x v="0"/>
    <s v="NA"/>
    <s v="Frick"/>
    <s v="Steve"/>
    <s v="Steve, Frick"/>
    <s v="Medium"/>
  </r>
  <r>
    <n v="10207"/>
    <n v="28"/>
    <n v="100"/>
    <n v="2800"/>
    <n v="2800"/>
    <n v="3"/>
    <s v="12/9/2003 0:00"/>
    <x v="0"/>
    <x v="3"/>
    <x v="6"/>
    <x v="0"/>
    <x v="1"/>
    <n v="118"/>
    <s v="S24_4048"/>
    <x v="64"/>
    <s v="6175552555"/>
    <s v="6251 Ingle Ln."/>
    <s v=""/>
    <s v="Boston"/>
    <s v="MA"/>
    <s v="51003"/>
    <x v="0"/>
    <s v="NA"/>
    <s v="Franco"/>
    <s v="Valarie"/>
    <s v="Valarie, Franco"/>
    <s v="Small"/>
  </r>
  <r>
    <n v="10220"/>
    <n v="37"/>
    <n v="100"/>
    <n v="3700"/>
    <n v="3700"/>
    <n v="7"/>
    <s v="2/12/2004 0:00"/>
    <x v="0"/>
    <x v="0"/>
    <x v="0"/>
    <x v="1"/>
    <x v="1"/>
    <n v="118"/>
    <s v="S24_4048"/>
    <x v="75"/>
    <s v="+353 1862 1555"/>
    <s v="25 Maiden Lane"/>
    <s v="Floor No. 4"/>
    <s v="Dublin"/>
    <s v=""/>
    <s v="2"/>
    <x v="18"/>
    <s v="EMEA"/>
    <s v="Cassidy"/>
    <s v="Dean"/>
    <s v="Dean, Cassidy"/>
    <s v="Medium"/>
  </r>
  <r>
    <n v="10230"/>
    <n v="45"/>
    <n v="100"/>
    <n v="4500"/>
    <n v="4500"/>
    <n v="5"/>
    <s v="3/15/2004 0:00"/>
    <x v="0"/>
    <x v="0"/>
    <x v="11"/>
    <x v="1"/>
    <x v="1"/>
    <n v="118"/>
    <s v="S24_4048"/>
    <x v="72"/>
    <s v="+49 69 66 90 2555"/>
    <s v="Lyonerstr. 34"/>
    <s v=""/>
    <s v="Frankfurt"/>
    <s v=""/>
    <s v="60528"/>
    <x v="16"/>
    <s v="EMEA"/>
    <s v="Keitel"/>
    <s v="Roland"/>
    <s v="Roland, Keitel"/>
    <s v="Medium"/>
  </r>
  <r>
    <n v="10246"/>
    <n v="46"/>
    <n v="100"/>
    <n v="4600"/>
    <n v="4600"/>
    <n v="1"/>
    <s v="5/5/2004 0:00"/>
    <x v="0"/>
    <x v="1"/>
    <x v="1"/>
    <x v="1"/>
    <x v="1"/>
    <n v="118"/>
    <s v="S24_4048"/>
    <x v="23"/>
    <s v="(91) 555 94 44"/>
    <s v="C/ Moralzarzal, 86"/>
    <s v=""/>
    <s v="Madrid"/>
    <s v=""/>
    <s v="28034"/>
    <x v="7"/>
    <s v="EMEA"/>
    <s v="Freyre"/>
    <s v="Diego"/>
    <s v="Diego, Freyre"/>
    <s v="Medium"/>
  </r>
  <r>
    <n v="10271"/>
    <n v="22"/>
    <n v="100"/>
    <n v="2200"/>
    <n v="2200"/>
    <n v="1"/>
    <s v="7/20/2004 0:00"/>
    <x v="0"/>
    <x v="2"/>
    <x v="2"/>
    <x v="1"/>
    <x v="1"/>
    <n v="118"/>
    <s v="S24_4048"/>
    <x v="39"/>
    <s v="4155551450"/>
    <s v="5677 Strong St."/>
    <s v=""/>
    <s v="San Rafael"/>
    <s v="CA"/>
    <s v="97562"/>
    <x v="0"/>
    <s v="NA"/>
    <s v="Nelson"/>
    <s v="Valarie"/>
    <s v="Valarie, Nelson"/>
    <s v="Medium"/>
  </r>
  <r>
    <n v="10282"/>
    <n v="39"/>
    <n v="100"/>
    <n v="3900"/>
    <n v="3900"/>
    <n v="10"/>
    <s v="8/20/2004 0:00"/>
    <x v="0"/>
    <x v="2"/>
    <x v="3"/>
    <x v="1"/>
    <x v="1"/>
    <n v="118"/>
    <s v="S24_4048"/>
    <x v="39"/>
    <s v="4155551450"/>
    <s v="5677 Strong St."/>
    <s v=""/>
    <s v="San Rafael"/>
    <s v="CA"/>
    <s v="97562"/>
    <x v="0"/>
    <s v="NA"/>
    <s v="Nelson"/>
    <s v="Valarie"/>
    <s v="Valarie, Nelson"/>
    <s v="Medium"/>
  </r>
  <r>
    <n v="10292"/>
    <n v="27"/>
    <n v="100"/>
    <n v="2700"/>
    <n v="2700"/>
    <n v="4"/>
    <s v="9/8/2004 0:00"/>
    <x v="0"/>
    <x v="2"/>
    <x v="10"/>
    <x v="1"/>
    <x v="1"/>
    <n v="118"/>
    <s v="S24_4048"/>
    <x v="0"/>
    <s v="2125557818"/>
    <s v="897 Long Airport Avenue"/>
    <s v=""/>
    <s v="NYC"/>
    <s v="NY"/>
    <s v="10022"/>
    <x v="0"/>
    <s v="NA"/>
    <s v="Yu"/>
    <s v="Kwai"/>
    <s v="Kwai, Yu"/>
    <s v="Medium"/>
  </r>
  <r>
    <n v="10305"/>
    <n v="36"/>
    <n v="100"/>
    <n v="3600"/>
    <n v="3600"/>
    <n v="1"/>
    <s v="10/13/2004 0:00"/>
    <x v="0"/>
    <x v="3"/>
    <x v="4"/>
    <x v="1"/>
    <x v="1"/>
    <n v="118"/>
    <s v="S24_4048"/>
    <x v="15"/>
    <s v="6175558555"/>
    <s v="39323 Spinnaker Dr."/>
    <s v=""/>
    <s v="Cambridge"/>
    <s v="MA"/>
    <s v="51247"/>
    <x v="0"/>
    <s v="NA"/>
    <s v="Hernandez"/>
    <s v="Marta"/>
    <s v="Marta, Hernandez"/>
    <s v="Medium"/>
  </r>
  <r>
    <n v="10314"/>
    <n v="38"/>
    <n v="100"/>
    <n v="3800"/>
    <n v="3800"/>
    <n v="10"/>
    <s v="10/22/2004 0:00"/>
    <x v="0"/>
    <x v="3"/>
    <x v="4"/>
    <x v="1"/>
    <x v="1"/>
    <n v="118"/>
    <s v="S24_4048"/>
    <x v="78"/>
    <s v="86 21 3555"/>
    <s v="Smagsloget 45"/>
    <s v=""/>
    <s v="Aaarhus"/>
    <s v=""/>
    <s v="8200"/>
    <x v="13"/>
    <s v="EMEA"/>
    <s v="Ibsen"/>
    <s v="Palle"/>
    <s v="Palle, Ibsen"/>
    <s v="Medium"/>
  </r>
  <r>
    <n v="10325"/>
    <n v="44"/>
    <n v="100"/>
    <n v="4400"/>
    <n v="4400"/>
    <n v="5"/>
    <s v="11/5/2004 0:00"/>
    <x v="0"/>
    <x v="3"/>
    <x v="5"/>
    <x v="1"/>
    <x v="1"/>
    <n v="118"/>
    <s v="S24_4048"/>
    <x v="17"/>
    <s v="07-98 9555"/>
    <s v="Erling Skakkes gate 78"/>
    <s v=""/>
    <s v="Stavern"/>
    <s v=""/>
    <s v="4110"/>
    <x v="2"/>
    <s v="EMEA"/>
    <s v="Bergulfsen"/>
    <s v="Jonas"/>
    <s v="Jonas, Bergulfsen"/>
    <s v="Medium"/>
  </r>
  <r>
    <n v="10336"/>
    <n v="31"/>
    <n v="100"/>
    <n v="3100"/>
    <n v="3100"/>
    <n v="5"/>
    <s v="11/20/2004 0:00"/>
    <x v="0"/>
    <x v="3"/>
    <x v="5"/>
    <x v="1"/>
    <x v="1"/>
    <n v="118"/>
    <s v="S24_4048"/>
    <x v="62"/>
    <s v="(1) 42.34.2555"/>
    <s v="265, boulevard Charonne"/>
    <s v=""/>
    <s v="Paris"/>
    <s v=""/>
    <s v="75012"/>
    <x v="1"/>
    <s v="EMEA"/>
    <s v="Bertrand"/>
    <s v="Marie"/>
    <s v="Marie, Bertrand"/>
    <s v="Medium"/>
  </r>
  <r>
    <n v="10349"/>
    <n v="23"/>
    <n v="100"/>
    <n v="2300"/>
    <n v="2300"/>
    <n v="2"/>
    <s v="12/1/2004 0:00"/>
    <x v="0"/>
    <x v="3"/>
    <x v="6"/>
    <x v="1"/>
    <x v="1"/>
    <n v="118"/>
    <s v="S24_4048"/>
    <x v="74"/>
    <s v="2125557413"/>
    <s v="4092 Furth Circle"/>
    <s v="Suite 400"/>
    <s v="NYC"/>
    <s v="NY"/>
    <s v="10022"/>
    <x v="0"/>
    <s v="NA"/>
    <s v="Young"/>
    <s v="Jeff"/>
    <s v="Jeff, Young"/>
    <s v="Medium"/>
  </r>
  <r>
    <n v="10359"/>
    <n v="22"/>
    <n v="100"/>
    <n v="2200"/>
    <n v="2200"/>
    <n v="7"/>
    <s v="12/15/2004 0:00"/>
    <x v="0"/>
    <x v="3"/>
    <x v="6"/>
    <x v="1"/>
    <x v="1"/>
    <n v="118"/>
    <s v="S24_4048"/>
    <x v="1"/>
    <s v="26.47.1555"/>
    <s v="59 rue de l'Abbaye"/>
    <s v=""/>
    <s v="Reims"/>
    <s v=""/>
    <s v="51100"/>
    <x v="1"/>
    <s v="EMEA"/>
    <s v="Henriot"/>
    <s v="Paul"/>
    <s v="Paul, Henriot"/>
    <s v="Small"/>
  </r>
  <r>
    <n v="10371"/>
    <n v="28"/>
    <n v="5032"/>
    <n v="140896"/>
    <n v="140896"/>
    <n v="9"/>
    <s v="1/23/2005 0:00"/>
    <x v="0"/>
    <x v="0"/>
    <x v="7"/>
    <x v="2"/>
    <x v="1"/>
    <n v="118"/>
    <s v="S24_4048"/>
    <x v="39"/>
    <s v="4155551450"/>
    <s v="5677 Strong St."/>
    <s v=""/>
    <s v="San Rafael"/>
    <s v="CA"/>
    <s v="97562"/>
    <x v="0"/>
    <s v="NA"/>
    <s v="Nelson"/>
    <s v="Valarie"/>
    <s v="Valarie, Nelson"/>
    <s v="Small"/>
  </r>
  <r>
    <n v="10383"/>
    <n v="21"/>
    <n v="9391"/>
    <n v="197211"/>
    <n v="197211"/>
    <n v="4"/>
    <s v="2/22/2005 0:00"/>
    <x v="0"/>
    <x v="0"/>
    <x v="0"/>
    <x v="2"/>
    <x v="1"/>
    <n v="118"/>
    <s v="S24_4048"/>
    <x v="23"/>
    <s v="(91) 555 94 44"/>
    <s v="C/ Moralzarzal, 86"/>
    <s v=""/>
    <s v="Madrid"/>
    <s v=""/>
    <s v="28034"/>
    <x v="7"/>
    <s v="EMEA"/>
    <s v="Freyre"/>
    <s v="Diego"/>
    <s v="Diego, Freyre"/>
    <s v="Small"/>
  </r>
  <r>
    <n v="10394"/>
    <n v="37"/>
    <n v="100"/>
    <n v="3700"/>
    <n v="3700"/>
    <n v="7"/>
    <s v="3/15/2005 0:00"/>
    <x v="0"/>
    <x v="0"/>
    <x v="11"/>
    <x v="2"/>
    <x v="1"/>
    <n v="118"/>
    <s v="S24_4048"/>
    <x v="23"/>
    <s v="(91) 555 94 44"/>
    <s v="C/ Moralzarzal, 86"/>
    <s v=""/>
    <s v="Madrid"/>
    <s v=""/>
    <s v="28034"/>
    <x v="7"/>
    <s v="EMEA"/>
    <s v="Freyre"/>
    <s v="Diego"/>
    <s v="Diego, Freyre"/>
    <s v="Medium"/>
  </r>
  <r>
    <n v="10412"/>
    <n v="31"/>
    <n v="100"/>
    <n v="3100"/>
    <n v="3100"/>
    <n v="1"/>
    <s v="5/3/2005 0:00"/>
    <x v="0"/>
    <x v="1"/>
    <x v="1"/>
    <x v="2"/>
    <x v="1"/>
    <n v="118"/>
    <s v="S24_4048"/>
    <x v="23"/>
    <s v="(91) 555 94 44"/>
    <s v="C/ Moralzarzal, 86"/>
    <s v=""/>
    <s v="Madrid"/>
    <s v=""/>
    <s v="28034"/>
    <x v="7"/>
    <s v="EMEA"/>
    <s v="Freyre"/>
    <s v="Diego"/>
    <s v="Diego, Freyre"/>
    <s v="Medium"/>
  </r>
  <r>
    <n v="10103"/>
    <n v="25"/>
    <n v="100"/>
    <n v="2500"/>
    <n v="2500"/>
    <n v="15"/>
    <s v="1/29/2003 0:00"/>
    <x v="0"/>
    <x v="0"/>
    <x v="7"/>
    <x v="0"/>
    <x v="3"/>
    <n v="97"/>
    <s v="S24_4258"/>
    <x v="17"/>
    <s v="07-98 9555"/>
    <s v="Erling Skakkes gate 78"/>
    <s v=""/>
    <s v="Stavern"/>
    <s v=""/>
    <s v="4110"/>
    <x v="2"/>
    <s v="EMEA"/>
    <s v="Bergulfsen"/>
    <s v="Jonas"/>
    <s v="Jonas, Bergulfsen"/>
    <s v="Small"/>
  </r>
  <r>
    <n v="10111"/>
    <n v="26"/>
    <n v="8668"/>
    <n v="225368"/>
    <n v="225368"/>
    <n v="3"/>
    <s v="3/25/2003 0:00"/>
    <x v="0"/>
    <x v="0"/>
    <x v="11"/>
    <x v="0"/>
    <x v="3"/>
    <n v="97"/>
    <s v="S24_4258"/>
    <x v="8"/>
    <s v="6505555787"/>
    <s v="5557 North Pendale Street"/>
    <s v=""/>
    <s v="San Francisco"/>
    <s v="CA"/>
    <s v=""/>
    <x v="0"/>
    <s v="NA"/>
    <s v="Murphy"/>
    <s v="Julie"/>
    <s v="Julie, Murphy"/>
    <s v="Small"/>
  </r>
  <r>
    <n v="10126"/>
    <n v="34"/>
    <n v="100"/>
    <n v="3400"/>
    <n v="3400"/>
    <n v="15"/>
    <s v="5/28/2003 0:00"/>
    <x v="0"/>
    <x v="1"/>
    <x v="1"/>
    <x v="0"/>
    <x v="3"/>
    <n v="97"/>
    <s v="S24_4258"/>
    <x v="25"/>
    <s v="(91) 555 22 82"/>
    <s v="C/ Araquil, 67"/>
    <s v=""/>
    <s v="Madrid"/>
    <s v=""/>
    <s v="28023"/>
    <x v="7"/>
    <s v="EMEA"/>
    <s v="Sommer"/>
    <s v="Mart¡n"/>
    <s v="Mart¡n, Sommer"/>
    <s v="Medium"/>
  </r>
  <r>
    <n v="10139"/>
    <n v="29"/>
    <n v="100"/>
    <n v="2900"/>
    <n v="2900"/>
    <n v="4"/>
    <s v="7/16/2003 0:00"/>
    <x v="0"/>
    <x v="2"/>
    <x v="2"/>
    <x v="0"/>
    <x v="3"/>
    <n v="97"/>
    <s v="S24_4258"/>
    <x v="20"/>
    <s v="+61 2 9495 8555"/>
    <s v="Monitor Money Building, 815 Pacific Hwy"/>
    <s v="Level 6"/>
    <s v="Chatswood"/>
    <s v="NSW"/>
    <s v="2067"/>
    <x v="3"/>
    <s v="APAC"/>
    <s v="Huxley"/>
    <s v="Adrian"/>
    <s v="Adrian, Huxley"/>
    <s v="Medium"/>
  </r>
  <r>
    <n v="10149"/>
    <n v="20"/>
    <n v="9057"/>
    <n v="181140"/>
    <n v="181140"/>
    <n v="1"/>
    <s v="9/12/2003 0:00"/>
    <x v="0"/>
    <x v="2"/>
    <x v="10"/>
    <x v="0"/>
    <x v="3"/>
    <n v="97"/>
    <s v="S24_4258"/>
    <x v="82"/>
    <s v="4155554312"/>
    <s v="2793 Furth Circle"/>
    <s v=""/>
    <s v="Brisbane"/>
    <s v="CA"/>
    <s v="94217"/>
    <x v="0"/>
    <s v="NA"/>
    <s v="Taylor"/>
    <s v="Sue"/>
    <s v="Sue, Taylor"/>
    <s v="Small"/>
  </r>
  <r>
    <n v="10163"/>
    <n v="42"/>
    <n v="9155"/>
    <n v="384510"/>
    <n v="384510"/>
    <n v="5"/>
    <s v="10/20/2003 0:00"/>
    <x v="0"/>
    <x v="3"/>
    <x v="4"/>
    <x v="0"/>
    <x v="3"/>
    <n v="97"/>
    <s v="S24_4258"/>
    <x v="27"/>
    <s v="2125558493"/>
    <s v="5905 Pompton St."/>
    <s v="Suite 750"/>
    <s v="NYC"/>
    <s v="NY"/>
    <s v="10022"/>
    <x v="0"/>
    <s v="NA"/>
    <s v="Hernandez"/>
    <s v="Maria"/>
    <s v="Maria, Hernandez"/>
    <s v="Medium"/>
  </r>
  <r>
    <n v="10173"/>
    <n v="22"/>
    <n v="100"/>
    <n v="2200"/>
    <n v="2200"/>
    <n v="3"/>
    <s v="11/5/2003 0:00"/>
    <x v="0"/>
    <x v="3"/>
    <x v="5"/>
    <x v="0"/>
    <x v="3"/>
    <n v="97"/>
    <s v="S24_4258"/>
    <x v="86"/>
    <s v="035-640555"/>
    <s v="Via Ludovico il Moro 22"/>
    <s v=""/>
    <s v="Bergamo"/>
    <s v=""/>
    <s v="24100"/>
    <x v="12"/>
    <s v="EMEA"/>
    <s v="Rovelli"/>
    <s v="Giovanni"/>
    <s v="Giovanni, Rovelli"/>
    <s v="Small"/>
  </r>
  <r>
    <n v="10183"/>
    <n v="47"/>
    <n v="100"/>
    <n v="4700"/>
    <n v="4700"/>
    <n v="12"/>
    <s v="11/13/2003 0:00"/>
    <x v="0"/>
    <x v="3"/>
    <x v="5"/>
    <x v="0"/>
    <x v="3"/>
    <n v="97"/>
    <s v="S24_4258"/>
    <x v="29"/>
    <s v="2155554695"/>
    <s v="782 First Street"/>
    <s v=""/>
    <s v="Philadelphia"/>
    <s v="PA"/>
    <s v="71270"/>
    <x v="0"/>
    <s v="NA"/>
    <s v="Cervantes"/>
    <s v="Francisca"/>
    <s v="Francisca, Cervantes"/>
    <s v="Medium"/>
  </r>
  <r>
    <n v="10193"/>
    <n v="20"/>
    <n v="100"/>
    <n v="2000"/>
    <n v="2000"/>
    <n v="4"/>
    <s v="11/21/2003 0:00"/>
    <x v="0"/>
    <x v="3"/>
    <x v="5"/>
    <x v="0"/>
    <x v="3"/>
    <n v="97"/>
    <s v="S24_4258"/>
    <x v="87"/>
    <s v="61-9-3844-6555"/>
    <s v="7 Allen Street"/>
    <s v=""/>
    <s v="Glen Waverly"/>
    <s v="Victoria"/>
    <s v="3150"/>
    <x v="3"/>
    <s v="APAC"/>
    <s v="Connery"/>
    <s v="Sean"/>
    <s v="Sean, Connery"/>
    <s v="Small"/>
  </r>
  <r>
    <n v="10206"/>
    <n v="33"/>
    <n v="9739"/>
    <n v="321387"/>
    <n v="321387"/>
    <n v="10"/>
    <s v="12/5/2003 0:00"/>
    <x v="0"/>
    <x v="3"/>
    <x v="6"/>
    <x v="0"/>
    <x v="3"/>
    <n v="97"/>
    <s v="S24_4258"/>
    <x v="31"/>
    <s v="(604) 555-3392"/>
    <s v="1900 Oak St."/>
    <s v=""/>
    <s v="Vancouver"/>
    <s v="BC"/>
    <s v="V3F 2K1"/>
    <x v="10"/>
    <s v="NA"/>
    <s v="Tannamuri"/>
    <s v="Yoshi"/>
    <s v="Yoshi, Tannamuri"/>
    <s v="Medium"/>
  </r>
  <r>
    <n v="10215"/>
    <n v="39"/>
    <n v="9057"/>
    <n v="353223"/>
    <n v="353223"/>
    <n v="7"/>
    <s v="1/29/2004 0:00"/>
    <x v="0"/>
    <x v="0"/>
    <x v="7"/>
    <x v="1"/>
    <x v="3"/>
    <n v="97"/>
    <s v="S24_4258"/>
    <x v="32"/>
    <s v="3105553722"/>
    <s v="3675 Furth Circle"/>
    <s v=""/>
    <s v="Burbank"/>
    <s v="CA"/>
    <s v="94019"/>
    <x v="0"/>
    <s v="NA"/>
    <s v="Thompson"/>
    <s v="Steve"/>
    <s v="Steve, Thompson"/>
    <s v="Medium"/>
  </r>
  <r>
    <n v="10228"/>
    <n v="33"/>
    <n v="100"/>
    <n v="3300"/>
    <n v="3300"/>
    <n v="6"/>
    <s v="3/10/2004 0:00"/>
    <x v="0"/>
    <x v="0"/>
    <x v="11"/>
    <x v="1"/>
    <x v="3"/>
    <n v="97"/>
    <s v="S24_4258"/>
    <x v="33"/>
    <s v="6175555555"/>
    <s v="4658 Baden Av."/>
    <s v=""/>
    <s v="Cambridge"/>
    <s v="MA"/>
    <s v="51247"/>
    <x v="0"/>
    <s v="NA"/>
    <s v="Tseng"/>
    <s v="Kyung"/>
    <s v="Kyung, Tseng"/>
    <s v="Medium"/>
  </r>
  <r>
    <n v="10244"/>
    <n v="40"/>
    <n v="8668"/>
    <n v="346720"/>
    <n v="346720"/>
    <n v="4"/>
    <s v="4/29/2004 0:00"/>
    <x v="0"/>
    <x v="1"/>
    <x v="8"/>
    <x v="1"/>
    <x v="3"/>
    <n v="97"/>
    <s v="S24_4258"/>
    <x v="23"/>
    <s v="(91) 555 94 44"/>
    <s v="C/ Moralzarzal, 86"/>
    <s v=""/>
    <s v="Madrid"/>
    <s v=""/>
    <s v="28034"/>
    <x v="7"/>
    <s v="EMEA"/>
    <s v="Freyre"/>
    <s v="Diego"/>
    <s v="Diego, Freyre"/>
    <s v="Medium"/>
  </r>
  <r>
    <n v="10257"/>
    <n v="46"/>
    <n v="7889"/>
    <n v="362894"/>
    <n v="362894"/>
    <n v="4"/>
    <s v="6/14/2004 0:00"/>
    <x v="0"/>
    <x v="1"/>
    <x v="9"/>
    <x v="1"/>
    <x v="3"/>
    <n v="97"/>
    <s v="S24_4258"/>
    <x v="61"/>
    <s v="4085553659"/>
    <s v="3086 Ingle Ln."/>
    <s v=""/>
    <s v="San Jose"/>
    <s v="CA"/>
    <s v="94217"/>
    <x v="0"/>
    <s v="NA"/>
    <s v="Frick"/>
    <s v="Sue"/>
    <s v="Sue, Frick"/>
    <s v="Medium"/>
  </r>
  <r>
    <n v="10269"/>
    <n v="48"/>
    <n v="9739"/>
    <n v="467472"/>
    <n v="467472"/>
    <n v="2"/>
    <s v="7/16/2004 0:00"/>
    <x v="0"/>
    <x v="2"/>
    <x v="2"/>
    <x v="1"/>
    <x v="3"/>
    <n v="97"/>
    <s v="S24_4258"/>
    <x v="19"/>
    <s v="6562-9555"/>
    <s v="Geislweg 14"/>
    <s v=""/>
    <s v="Salzburg"/>
    <s v=""/>
    <s v="5020"/>
    <x v="5"/>
    <s v="EMEA"/>
    <s v="Pipps"/>
    <s v="Georg"/>
    <s v="Georg, Pipps"/>
    <s v="Medium"/>
  </r>
  <r>
    <n v="10280"/>
    <n v="21"/>
    <n v="7889"/>
    <n v="165669"/>
    <n v="165669"/>
    <n v="6"/>
    <s v="8/17/2004 0:00"/>
    <x v="0"/>
    <x v="2"/>
    <x v="3"/>
    <x v="1"/>
    <x v="3"/>
    <n v="97"/>
    <s v="S24_4258"/>
    <x v="36"/>
    <s v="011-4988555"/>
    <s v="Via Monte Bianco 34"/>
    <s v=""/>
    <s v="Torino"/>
    <s v=""/>
    <s v="10100"/>
    <x v="12"/>
    <s v="EMEA"/>
    <s v="Accorti"/>
    <s v="Paolo"/>
    <s v="Paolo, Accorti"/>
    <s v="Small"/>
  </r>
  <r>
    <n v="10290"/>
    <n v="45"/>
    <n v="100"/>
    <n v="4500"/>
    <n v="4500"/>
    <n v="1"/>
    <s v="9/7/2004 0:00"/>
    <x v="0"/>
    <x v="2"/>
    <x v="10"/>
    <x v="1"/>
    <x v="3"/>
    <n v="97"/>
    <s v="S24_4258"/>
    <x v="91"/>
    <s v="6175558428"/>
    <s v="16780 Pompton St."/>
    <s v=""/>
    <s v="Brickhaven"/>
    <s v="MA"/>
    <s v="58339"/>
    <x v="0"/>
    <s v="NA"/>
    <s v="Taylor"/>
    <s v="Leslie"/>
    <s v="Leslie, Taylor"/>
    <s v="Medium"/>
  </r>
  <r>
    <n v="10304"/>
    <n v="33"/>
    <n v="100"/>
    <n v="3300"/>
    <n v="3300"/>
    <n v="10"/>
    <s v="10/11/2004 0:00"/>
    <x v="0"/>
    <x v="3"/>
    <x v="4"/>
    <x v="1"/>
    <x v="3"/>
    <n v="97"/>
    <s v="S24_4258"/>
    <x v="38"/>
    <s v="30.59.8555"/>
    <s v="67, avenue de l'Europe"/>
    <s v=""/>
    <s v="Versailles"/>
    <s v=""/>
    <s v="78000"/>
    <x v="1"/>
    <s v="EMEA"/>
    <s v="Tonini"/>
    <s v="Daniel"/>
    <s v="Daniel, Tonini"/>
    <s v="Medium"/>
  </r>
  <r>
    <n v="10312"/>
    <n v="44"/>
    <n v="100"/>
    <n v="4400"/>
    <n v="4400"/>
    <n v="7"/>
    <s v="10/21/2004 0:00"/>
    <x v="0"/>
    <x v="3"/>
    <x v="4"/>
    <x v="1"/>
    <x v="3"/>
    <n v="97"/>
    <s v="S24_4258"/>
    <x v="39"/>
    <s v="4155551450"/>
    <s v="5677 Strong St."/>
    <s v=""/>
    <s v="San Rafael"/>
    <s v="CA"/>
    <s v="97562"/>
    <x v="0"/>
    <s v="NA"/>
    <s v="Nelson"/>
    <s v="Valarie"/>
    <s v="Valarie, Nelson"/>
    <s v="Medium"/>
  </r>
  <r>
    <n v="10324"/>
    <n v="33"/>
    <n v="100"/>
    <n v="3300"/>
    <n v="3300"/>
    <n v="3"/>
    <s v="11/5/2004 0:00"/>
    <x v="0"/>
    <x v="3"/>
    <x v="5"/>
    <x v="1"/>
    <x v="3"/>
    <n v="97"/>
    <s v="S24_4258"/>
    <x v="11"/>
    <s v="2125551500"/>
    <s v="2678 Kingston Rd."/>
    <s v="Suite 101"/>
    <s v="NYC"/>
    <s v="NY"/>
    <s v="10022"/>
    <x v="0"/>
    <s v="NA"/>
    <s v="Frick"/>
    <s v="Michael"/>
    <s v="Michael, Frick"/>
    <s v="Medium"/>
  </r>
  <r>
    <n v="10333"/>
    <n v="39"/>
    <n v="100"/>
    <n v="3900"/>
    <n v="3900"/>
    <n v="1"/>
    <s v="11/18/2004 0:00"/>
    <x v="0"/>
    <x v="3"/>
    <x v="5"/>
    <x v="1"/>
    <x v="3"/>
    <n v="97"/>
    <s v="S24_4258"/>
    <x v="8"/>
    <s v="6505555787"/>
    <s v="5557 North Pendale Street"/>
    <s v=""/>
    <s v="San Francisco"/>
    <s v="CA"/>
    <s v=""/>
    <x v="0"/>
    <s v="NA"/>
    <s v="Murphy"/>
    <s v="Julie"/>
    <s v="Julie, Murphy"/>
    <s v="Medium"/>
  </r>
  <r>
    <n v="10348"/>
    <n v="39"/>
    <n v="5031"/>
    <n v="196209"/>
    <n v="196209"/>
    <n v="2"/>
    <s v="11/1/2004 0:00"/>
    <x v="0"/>
    <x v="3"/>
    <x v="5"/>
    <x v="1"/>
    <x v="3"/>
    <n v="97"/>
    <s v="S24_4258"/>
    <x v="25"/>
    <s v="(91) 555 22 82"/>
    <s v="C/ Araquil, 67"/>
    <s v=""/>
    <s v="Madrid"/>
    <s v=""/>
    <s v="28023"/>
    <x v="7"/>
    <s v="EMEA"/>
    <s v="Sommer"/>
    <s v="Mart¡n"/>
    <s v="Mart¡n, Sommer"/>
    <s v="Small"/>
  </r>
  <r>
    <n v="10358"/>
    <n v="41"/>
    <n v="100"/>
    <n v="4100"/>
    <n v="4100"/>
    <n v="6"/>
    <s v="12/10/2004 0:00"/>
    <x v="0"/>
    <x v="3"/>
    <x v="6"/>
    <x v="1"/>
    <x v="3"/>
    <n v="97"/>
    <s v="S24_4258"/>
    <x v="23"/>
    <s v="(91) 555 94 44"/>
    <s v="C/ Moralzarzal, 86"/>
    <s v=""/>
    <s v="Madrid"/>
    <s v=""/>
    <s v="28034"/>
    <x v="7"/>
    <s v="EMEA"/>
    <s v="Freyre"/>
    <s v="Diego"/>
    <s v="Diego, Freyre"/>
    <s v="Medium"/>
  </r>
  <r>
    <n v="10369"/>
    <n v="40"/>
    <n v="8692"/>
    <n v="347680"/>
    <n v="347680"/>
    <n v="3"/>
    <s v="1/20/2005 0:00"/>
    <x v="0"/>
    <x v="0"/>
    <x v="7"/>
    <x v="2"/>
    <x v="3"/>
    <n v="97"/>
    <s v="S24_4258"/>
    <x v="41"/>
    <s v="6175558555"/>
    <s v="7825 Douglas Av."/>
    <s v=""/>
    <s v="Brickhaven"/>
    <s v="MA"/>
    <s v="58339"/>
    <x v="0"/>
    <s v="NA"/>
    <s v="Nelson"/>
    <s v="Allen"/>
    <s v="Allen, Nelson"/>
    <s v="Medium"/>
  </r>
  <r>
    <n v="10382"/>
    <n v="33"/>
    <n v="100"/>
    <n v="3300"/>
    <n v="3300"/>
    <n v="4"/>
    <s v="2/17/2005 0:00"/>
    <x v="0"/>
    <x v="0"/>
    <x v="0"/>
    <x v="2"/>
    <x v="3"/>
    <n v="97"/>
    <s v="S24_4258"/>
    <x v="39"/>
    <s v="4155551450"/>
    <s v="5677 Strong St."/>
    <s v=""/>
    <s v="San Rafael"/>
    <s v="CA"/>
    <s v="97562"/>
    <x v="0"/>
    <s v="NA"/>
    <s v="Nelson"/>
    <s v="Valarie"/>
    <s v="Valarie, Nelson"/>
    <s v="Medium"/>
  </r>
  <r>
    <n v="10423"/>
    <n v="28"/>
    <n v="7889"/>
    <n v="220892"/>
    <n v="0"/>
    <n v="4"/>
    <s v="5/30/2005 0:00"/>
    <x v="2"/>
    <x v="1"/>
    <x v="1"/>
    <x v="2"/>
    <x v="3"/>
    <n v="97"/>
    <s v="S24_4258"/>
    <x v="56"/>
    <s v="(02) 5554 67"/>
    <s v="Rue Joseph-Bens 532"/>
    <s v=""/>
    <s v="Bruxelles"/>
    <s v=""/>
    <s v="B-1180"/>
    <x v="14"/>
    <s v="EMEA"/>
    <s v="Dewey"/>
    <s v="Catherine"/>
    <s v="Catherine, Dewey"/>
    <s v="Small"/>
  </r>
  <r>
    <n v="10106"/>
    <n v="26"/>
    <n v="6376"/>
    <n v="165776"/>
    <n v="165776"/>
    <n v="3"/>
    <s v="2/17/2003 0:00"/>
    <x v="0"/>
    <x v="0"/>
    <x v="0"/>
    <x v="0"/>
    <x v="4"/>
    <n v="72"/>
    <s v="S24_4278"/>
    <x v="86"/>
    <s v="035-640555"/>
    <s v="Via Ludovico il Moro 22"/>
    <s v=""/>
    <s v="Bergamo"/>
    <s v=""/>
    <s v="24100"/>
    <x v="12"/>
    <s v="EMEA"/>
    <s v="Rovelli"/>
    <s v="Giovanni"/>
    <s v="Giovanni, Rovelli"/>
    <s v="Small"/>
  </r>
  <r>
    <n v="10120"/>
    <n v="29"/>
    <n v="8549"/>
    <n v="247921"/>
    <n v="247921"/>
    <n v="9"/>
    <s v="4/29/2003 0:00"/>
    <x v="0"/>
    <x v="1"/>
    <x v="8"/>
    <x v="0"/>
    <x v="4"/>
    <n v="72"/>
    <s v="S24_4278"/>
    <x v="10"/>
    <s v="03 9520 4555"/>
    <s v="636 St Kilda Road"/>
    <s v="Level 3"/>
    <s v="Melbourne"/>
    <s v="Victoria"/>
    <s v="3004"/>
    <x v="3"/>
    <s v="APAC"/>
    <s v="Ferguson"/>
    <s v="Peter"/>
    <s v="Peter, Ferguson"/>
    <s v="Small"/>
  </r>
  <r>
    <n v="10133"/>
    <n v="46"/>
    <n v="7752"/>
    <n v="356592"/>
    <n v="356592"/>
    <n v="4"/>
    <s v="6/27/2003 0:00"/>
    <x v="0"/>
    <x v="1"/>
    <x v="9"/>
    <x v="0"/>
    <x v="4"/>
    <n v="72"/>
    <s v="S24_4278"/>
    <x v="23"/>
    <s v="(91) 555 94 44"/>
    <s v="C/ Moralzarzal, 86"/>
    <s v=""/>
    <s v="Madrid"/>
    <s v=""/>
    <s v="28034"/>
    <x v="7"/>
    <s v="EMEA"/>
    <s v="Freyre"/>
    <s v="Diego"/>
    <s v="Diego, Freyre"/>
    <s v="Medium"/>
  </r>
  <r>
    <n v="10145"/>
    <n v="33"/>
    <n v="8477"/>
    <n v="279741"/>
    <n v="279741"/>
    <n v="15"/>
    <s v="8/25/2003 0:00"/>
    <x v="0"/>
    <x v="2"/>
    <x v="3"/>
    <x v="0"/>
    <x v="4"/>
    <n v="72"/>
    <s v="S24_4278"/>
    <x v="3"/>
    <s v="6265557265"/>
    <s v="78934 Hillside Dr."/>
    <s v=""/>
    <s v="Pasadena"/>
    <s v="CA"/>
    <s v="90003"/>
    <x v="0"/>
    <s v="NA"/>
    <s v="Young"/>
    <s v="Julie"/>
    <s v="Julie, Young"/>
    <s v="Small"/>
  </r>
  <r>
    <n v="10168"/>
    <n v="48"/>
    <n v="7825"/>
    <n v="375600"/>
    <n v="375600"/>
    <n v="10"/>
    <s v="10/28/2003 0:00"/>
    <x v="0"/>
    <x v="3"/>
    <x v="4"/>
    <x v="0"/>
    <x v="4"/>
    <n v="72"/>
    <s v="S24_4278"/>
    <x v="5"/>
    <s v="6505556809"/>
    <s v="9408 Furth Circle"/>
    <s v=""/>
    <s v="Burlingame"/>
    <s v="CA"/>
    <s v="94217"/>
    <x v="0"/>
    <s v="NA"/>
    <s v="Hirano"/>
    <s v="Juri"/>
    <s v="Juri, Hirano"/>
    <s v="Medium"/>
  </r>
  <r>
    <n v="10210"/>
    <n v="40"/>
    <n v="71"/>
    <n v="2840"/>
    <n v="2840"/>
    <n v="8"/>
    <s v="1/12/2004 0:00"/>
    <x v="0"/>
    <x v="0"/>
    <x v="7"/>
    <x v="1"/>
    <x v="4"/>
    <n v="72"/>
    <s v="S24_4278"/>
    <x v="44"/>
    <s v="+81 06 6342 5555"/>
    <s v="Dojima Avanza 4F, 1-6-20 Dojima, Kita-ku"/>
    <s v=""/>
    <s v="Osaka"/>
    <s v="Osaka"/>
    <s v="530-0003"/>
    <x v="11"/>
    <s v="Japan"/>
    <s v="Kentary"/>
    <s v="Mory"/>
    <s v="Mory, Kentary"/>
    <s v="Small"/>
  </r>
  <r>
    <n v="10223"/>
    <n v="23"/>
    <n v="7462"/>
    <n v="171626"/>
    <n v="171626"/>
    <n v="10"/>
    <s v="2/20/2004 0:00"/>
    <x v="0"/>
    <x v="0"/>
    <x v="0"/>
    <x v="1"/>
    <x v="4"/>
    <n v="72"/>
    <s v="S24_4278"/>
    <x v="10"/>
    <s v="03 9520 4555"/>
    <s v="636 St Kilda Road"/>
    <s v="Level 3"/>
    <s v="Melbourne"/>
    <s v="Victoria"/>
    <s v="3004"/>
    <x v="3"/>
    <s v="APAC"/>
    <s v="Ferguson"/>
    <s v="Peter"/>
    <s v="Peter, Ferguson"/>
    <s v="Small"/>
  </r>
  <r>
    <n v="10235"/>
    <n v="40"/>
    <n v="8114"/>
    <n v="324560"/>
    <n v="324560"/>
    <n v="4"/>
    <s v="4/2/2004 0:00"/>
    <x v="0"/>
    <x v="1"/>
    <x v="8"/>
    <x v="1"/>
    <x v="4"/>
    <n v="72"/>
    <s v="S24_4278"/>
    <x v="57"/>
    <s v="(604) 555-4555"/>
    <s v="23 Tsawassen Blvd."/>
    <s v=""/>
    <s v="Tsawassen"/>
    <s v="BC"/>
    <s v="T2F 8M4"/>
    <x v="10"/>
    <s v="NA"/>
    <s v="Lincoln"/>
    <s v="Elizabeth"/>
    <s v="Elizabeth, Lincoln"/>
    <s v="Medium"/>
  </r>
  <r>
    <n v="10250"/>
    <n v="37"/>
    <n v="7462"/>
    <n v="276094"/>
    <n v="276094"/>
    <n v="5"/>
    <s v="5/11/2004 0:00"/>
    <x v="0"/>
    <x v="1"/>
    <x v="1"/>
    <x v="1"/>
    <x v="4"/>
    <n v="72"/>
    <s v="S24_4278"/>
    <x v="61"/>
    <s v="4085553659"/>
    <s v="3086 Ingle Ln."/>
    <s v=""/>
    <s v="San Jose"/>
    <s v="CA"/>
    <s v="94217"/>
    <x v="0"/>
    <s v="NA"/>
    <s v="Frick"/>
    <s v="Sue"/>
    <s v="Sue, Frick"/>
    <s v="Small"/>
  </r>
  <r>
    <n v="10263"/>
    <n v="24"/>
    <n v="7535"/>
    <n v="180840"/>
    <n v="180840"/>
    <n v="11"/>
    <s v="6/28/2004 0:00"/>
    <x v="0"/>
    <x v="1"/>
    <x v="9"/>
    <x v="1"/>
    <x v="4"/>
    <n v="72"/>
    <s v="S24_4278"/>
    <x v="13"/>
    <s v="2035552570"/>
    <s v="25593 South Bay Ln."/>
    <s v=""/>
    <s v="Bridgewater"/>
    <s v="CT"/>
    <s v="97562"/>
    <x v="0"/>
    <s v="NA"/>
    <s v="King"/>
    <s v="Julie"/>
    <s v="Julie, King"/>
    <s v="Small"/>
  </r>
  <r>
    <n v="10275"/>
    <n v="27"/>
    <n v="6231"/>
    <n v="168237"/>
    <n v="168237"/>
    <n v="10"/>
    <s v="7/23/2004 0:00"/>
    <x v="0"/>
    <x v="2"/>
    <x v="2"/>
    <x v="1"/>
    <x v="4"/>
    <n v="72"/>
    <s v="S24_4278"/>
    <x v="14"/>
    <s v="40.67.8555"/>
    <s v="67, rue des Cinquante Otages"/>
    <s v=""/>
    <s v="Nantes"/>
    <s v=""/>
    <s v="44000"/>
    <x v="1"/>
    <s v="EMEA"/>
    <s v="Labrune"/>
    <s v="Janine"/>
    <s v="Janine, Labrune"/>
    <s v="Small"/>
  </r>
  <r>
    <n v="10284"/>
    <n v="21"/>
    <n v="71"/>
    <n v="1491"/>
    <n v="1491"/>
    <n v="2"/>
    <s v="8/21/2004 0:00"/>
    <x v="0"/>
    <x v="2"/>
    <x v="3"/>
    <x v="1"/>
    <x v="4"/>
    <n v="72"/>
    <s v="S24_4278"/>
    <x v="85"/>
    <s v="+47 2212 1555"/>
    <s v="Drammensveien 126 A, PB 744 Sentrum"/>
    <s v=""/>
    <s v="Oslo"/>
    <s v=""/>
    <s v="N 0106"/>
    <x v="2"/>
    <s v="EMEA"/>
    <s v="Klaeboe"/>
    <s v="Jan"/>
    <s v="Jan, Klaeboe"/>
    <s v="Small"/>
  </r>
  <r>
    <n v="10297"/>
    <n v="23"/>
    <n v="7245"/>
    <n v="166635"/>
    <n v="166635"/>
    <n v="5"/>
    <s v="9/16/2004 0:00"/>
    <x v="0"/>
    <x v="2"/>
    <x v="10"/>
    <x v="1"/>
    <x v="4"/>
    <n v="72"/>
    <s v="S24_4278"/>
    <x v="75"/>
    <s v="+353 1862 1555"/>
    <s v="25 Maiden Lane"/>
    <s v="Floor No. 4"/>
    <s v="Dublin"/>
    <s v=""/>
    <s v="2"/>
    <x v="18"/>
    <s v="EMEA"/>
    <s v="Cassidy"/>
    <s v="Dean"/>
    <s v="Dean, Cassidy"/>
    <s v="Small"/>
  </r>
  <r>
    <n v="10308"/>
    <n v="44"/>
    <n v="8332"/>
    <n v="366608"/>
    <n v="366608"/>
    <n v="8"/>
    <s v="10/15/2004 0:00"/>
    <x v="0"/>
    <x v="3"/>
    <x v="4"/>
    <x v="1"/>
    <x v="4"/>
    <n v="72"/>
    <s v="S24_4278"/>
    <x v="47"/>
    <s v="9145554562"/>
    <s v="3758 North Pendale Street"/>
    <s v=""/>
    <s v="White Plains"/>
    <s v="NY"/>
    <s v="24067"/>
    <x v="0"/>
    <s v="NA"/>
    <s v="Frick"/>
    <s v="Steve"/>
    <s v="Steve, Frick"/>
    <s v="Medium"/>
  </r>
  <r>
    <n v="10317"/>
    <n v="35"/>
    <n v="8332"/>
    <n v="291620"/>
    <n v="291620"/>
    <n v="1"/>
    <s v="11/2/2004 0:00"/>
    <x v="0"/>
    <x v="3"/>
    <x v="5"/>
    <x v="1"/>
    <x v="4"/>
    <n v="72"/>
    <s v="S24_4278"/>
    <x v="5"/>
    <s v="6505556809"/>
    <s v="9408 Furth Circle"/>
    <s v=""/>
    <s v="Burlingame"/>
    <s v="CA"/>
    <s v="94217"/>
    <x v="0"/>
    <s v="NA"/>
    <s v="Hirano"/>
    <s v="Juri"/>
    <s v="Juri, Hirano"/>
    <s v="Small"/>
  </r>
  <r>
    <n v="10328"/>
    <n v="43"/>
    <n v="6086"/>
    <n v="261698"/>
    <n v="261698"/>
    <n v="4"/>
    <s v="11/12/2004 0:00"/>
    <x v="0"/>
    <x v="3"/>
    <x v="5"/>
    <x v="1"/>
    <x v="4"/>
    <n v="72"/>
    <s v="S24_4278"/>
    <x v="86"/>
    <s v="035-640555"/>
    <s v="Via Ludovico il Moro 22"/>
    <s v=""/>
    <s v="Bergamo"/>
    <s v=""/>
    <s v="24100"/>
    <x v="12"/>
    <s v="EMEA"/>
    <s v="Rovelli"/>
    <s v="Giovanni"/>
    <s v="Giovanni, Rovelli"/>
    <s v="Small"/>
  </r>
  <r>
    <n v="10340"/>
    <n v="40"/>
    <n v="8477"/>
    <n v="339080"/>
    <n v="339080"/>
    <n v="1"/>
    <s v="11/24/2004 0:00"/>
    <x v="0"/>
    <x v="3"/>
    <x v="5"/>
    <x v="1"/>
    <x v="4"/>
    <n v="72"/>
    <s v="S24_4278"/>
    <x v="53"/>
    <s v="(93) 203 4555"/>
    <s v="Rambla de Catalu¤a, 23"/>
    <s v=""/>
    <s v="Barcelona"/>
    <s v=""/>
    <s v="8022"/>
    <x v="7"/>
    <s v="EMEA"/>
    <s v="Saavedra"/>
    <s v="Eduardo"/>
    <s v="Eduardo, Saavedra"/>
    <s v="Medium"/>
  </r>
  <r>
    <n v="10353"/>
    <n v="35"/>
    <n v="899"/>
    <n v="31465"/>
    <n v="31465"/>
    <n v="3"/>
    <s v="12/4/2004 0:00"/>
    <x v="0"/>
    <x v="3"/>
    <x v="6"/>
    <x v="1"/>
    <x v="4"/>
    <n v="72"/>
    <s v="S24_4278"/>
    <x v="88"/>
    <s v="2035554407"/>
    <s v="2440 Pompton St."/>
    <s v=""/>
    <s v="Glendale"/>
    <s v="CT"/>
    <s v="97561"/>
    <x v="0"/>
    <s v="NA"/>
    <s v="Lewis"/>
    <s v="Dan"/>
    <s v="Dan, Lewis"/>
    <s v="Medium"/>
  </r>
  <r>
    <n v="10361"/>
    <n v="25"/>
    <n v="6246"/>
    <n v="156150"/>
    <n v="156150"/>
    <n v="1"/>
    <s v="12/17/2004 0:00"/>
    <x v="0"/>
    <x v="3"/>
    <x v="6"/>
    <x v="1"/>
    <x v="4"/>
    <n v="72"/>
    <s v="S24_4278"/>
    <x v="20"/>
    <s v="+61 2 9495 8555"/>
    <s v="Monitor Money Building, 815 Pacific Hwy"/>
    <s v="Level 6"/>
    <s v="Chatswood"/>
    <s v="NSW"/>
    <s v="2067"/>
    <x v="3"/>
    <s v="APAC"/>
    <s v="Huxley"/>
    <s v="Adrian"/>
    <s v="Adrian, Huxley"/>
    <s v="Small"/>
  </r>
  <r>
    <n v="10375"/>
    <n v="43"/>
    <n v="100"/>
    <n v="4300"/>
    <n v="4300"/>
    <n v="2"/>
    <s v="2/3/2005 0:00"/>
    <x v="0"/>
    <x v="0"/>
    <x v="0"/>
    <x v="2"/>
    <x v="4"/>
    <n v="72"/>
    <s v="S24_4278"/>
    <x v="14"/>
    <s v="40.67.8555"/>
    <s v="67, rue des Cinquante Otages"/>
    <s v=""/>
    <s v="Nantes"/>
    <s v=""/>
    <s v="44000"/>
    <x v="1"/>
    <s v="EMEA"/>
    <s v="Labrune"/>
    <s v="Janine"/>
    <s v="Janine, Labrune"/>
    <s v="Large"/>
  </r>
  <r>
    <n v="10386"/>
    <n v="50"/>
    <n v="6334"/>
    <n v="316700"/>
    <n v="316700"/>
    <n v="8"/>
    <s v="3/1/2005 0:00"/>
    <x v="5"/>
    <x v="0"/>
    <x v="11"/>
    <x v="2"/>
    <x v="4"/>
    <n v="72"/>
    <s v="S24_4278"/>
    <x v="23"/>
    <s v="(91) 555 94 44"/>
    <s v="C/ Moralzarzal, 86"/>
    <s v=""/>
    <s v="Madrid"/>
    <s v=""/>
    <s v="28034"/>
    <x v="7"/>
    <s v="EMEA"/>
    <s v="Freyre"/>
    <s v="Diego"/>
    <s v="Diego, Freyre"/>
    <s v="Medium"/>
  </r>
  <r>
    <n v="10398"/>
    <n v="45"/>
    <n v="7825"/>
    <n v="352125"/>
    <n v="352125"/>
    <n v="14"/>
    <s v="3/30/2005 0:00"/>
    <x v="0"/>
    <x v="0"/>
    <x v="11"/>
    <x v="2"/>
    <x v="4"/>
    <n v="72"/>
    <s v="S24_4278"/>
    <x v="1"/>
    <s v="26.47.1555"/>
    <s v="59 rue de l'Abbaye"/>
    <s v=""/>
    <s v="Reims"/>
    <s v=""/>
    <s v="51100"/>
    <x v="1"/>
    <s v="EMEA"/>
    <s v="Henriot"/>
    <s v="Paul"/>
    <s v="Paul, Henriot"/>
    <s v="Medium"/>
  </r>
  <r>
    <n v="10401"/>
    <n v="52"/>
    <n v="8114"/>
    <n v="421928"/>
    <n v="0"/>
    <n v="4"/>
    <s v="4/3/2005 0:00"/>
    <x v="4"/>
    <x v="1"/>
    <x v="8"/>
    <x v="2"/>
    <x v="4"/>
    <n v="72"/>
    <s v="S24_4278"/>
    <x v="12"/>
    <s v="2015559350"/>
    <s v="7476 Moss Rd."/>
    <s v=""/>
    <s v="Newark"/>
    <s v="NJ"/>
    <s v="94019"/>
    <x v="0"/>
    <s v="NA"/>
    <s v="Brown"/>
    <s v="William"/>
    <s v="William, Brown"/>
    <s v="Medium"/>
  </r>
  <r>
    <n v="10416"/>
    <n v="48"/>
    <n v="7462"/>
    <n v="358176"/>
    <n v="358176"/>
    <n v="5"/>
    <s v="5/10/2005 0:00"/>
    <x v="0"/>
    <x v="1"/>
    <x v="1"/>
    <x v="2"/>
    <x v="4"/>
    <n v="72"/>
    <s v="S24_4278"/>
    <x v="70"/>
    <s v="0522-556555"/>
    <s v="Strada Provinciale 124"/>
    <s v=""/>
    <s v="Reggio Emilia"/>
    <s v=""/>
    <s v="42100"/>
    <x v="12"/>
    <s v="EMEA"/>
    <s v="Moroni"/>
    <s v="Maurizio"/>
    <s v="Maurizio, Moroni"/>
    <s v="Medium"/>
  </r>
  <r>
    <n v="10108"/>
    <n v="31"/>
    <n v="6871"/>
    <n v="213001"/>
    <n v="213001"/>
    <n v="10"/>
    <s v="3/3/2003 0:00"/>
    <x v="0"/>
    <x v="0"/>
    <x v="11"/>
    <x v="0"/>
    <x v="1"/>
    <n v="80"/>
    <s v="S24_4620"/>
    <x v="66"/>
    <s v="+63 2 555 3587"/>
    <s v="15 McCallum Street - NatWest Center #13-03"/>
    <s v=""/>
    <s v="Makati City"/>
    <s v=""/>
    <s v="1227 MM"/>
    <x v="15"/>
    <s v="Japan"/>
    <s v="Cruz"/>
    <s v="Arnold"/>
    <s v="Arnold, Cruz"/>
    <s v="Small"/>
  </r>
  <r>
    <n v="10122"/>
    <n v="29"/>
    <n v="7114"/>
    <n v="206306"/>
    <n v="206306"/>
    <n v="14"/>
    <s v="5/8/2003 0:00"/>
    <x v="0"/>
    <x v="1"/>
    <x v="1"/>
    <x v="0"/>
    <x v="1"/>
    <n v="80"/>
    <s v="S24_4620"/>
    <x v="67"/>
    <s v="91.24.4555"/>
    <s v="12, rue des Bouchers"/>
    <s v=""/>
    <s v="Marseille"/>
    <s v=""/>
    <s v="13008"/>
    <x v="1"/>
    <s v="EMEA"/>
    <s v="Lebihan"/>
    <s v="Laurence"/>
    <s v="Laurence, Lebihan"/>
    <s v="Small"/>
  </r>
  <r>
    <n v="10135"/>
    <n v="23"/>
    <n v="8731"/>
    <n v="200813"/>
    <n v="200813"/>
    <n v="11"/>
    <s v="7/2/2003 0:00"/>
    <x v="0"/>
    <x v="2"/>
    <x v="2"/>
    <x v="0"/>
    <x v="1"/>
    <n v="80"/>
    <s v="S24_4620"/>
    <x v="39"/>
    <s v="4155551450"/>
    <s v="5677 Strong St."/>
    <s v=""/>
    <s v="San Rafael"/>
    <s v="CA"/>
    <s v="97562"/>
    <x v="0"/>
    <s v="NA"/>
    <s v="Nelson"/>
    <s v="Valarie"/>
    <s v="Valarie, Nelson"/>
    <s v="Small"/>
  </r>
  <r>
    <n v="10147"/>
    <n v="31"/>
    <n v="6467"/>
    <n v="200477"/>
    <n v="200477"/>
    <n v="11"/>
    <s v="9/5/2003 0:00"/>
    <x v="0"/>
    <x v="2"/>
    <x v="10"/>
    <x v="0"/>
    <x v="1"/>
    <n v="80"/>
    <s v="S24_4620"/>
    <x v="41"/>
    <s v="6175558555"/>
    <s v="7825 Douglas Av."/>
    <s v=""/>
    <s v="Brickhaven"/>
    <s v="MA"/>
    <s v="58339"/>
    <x v="0"/>
    <s v="NA"/>
    <s v="Nelson"/>
    <s v="Allen"/>
    <s v="Allen, Nelson"/>
    <s v="Small"/>
  </r>
  <r>
    <n v="10159"/>
    <n v="23"/>
    <n v="671"/>
    <n v="15433"/>
    <n v="15433"/>
    <n v="6"/>
    <s v="10/10/2003 0:00"/>
    <x v="0"/>
    <x v="3"/>
    <x v="4"/>
    <x v="0"/>
    <x v="1"/>
    <n v="80"/>
    <s v="S24_4620"/>
    <x v="4"/>
    <s v="6505551386"/>
    <s v="7734 Strong St."/>
    <s v=""/>
    <s v="San Francisco"/>
    <s v="CA"/>
    <s v=""/>
    <x v="0"/>
    <s v="NA"/>
    <s v="Brown"/>
    <s v="Julie"/>
    <s v="Julie, Brown"/>
    <s v="Small"/>
  </r>
  <r>
    <n v="10169"/>
    <n v="24"/>
    <n v="9458"/>
    <n v="226992"/>
    <n v="226992"/>
    <n v="6"/>
    <s v="11/4/2003 0:00"/>
    <x v="0"/>
    <x v="3"/>
    <x v="5"/>
    <x v="0"/>
    <x v="1"/>
    <n v="80"/>
    <s v="S24_4620"/>
    <x v="42"/>
    <s v="02 9936 8555"/>
    <s v="201 Miller Street"/>
    <s v="Level 15"/>
    <s v="North Sydney"/>
    <s v="NSW"/>
    <s v="2060"/>
    <x v="3"/>
    <s v="APAC"/>
    <s v="O'Hara"/>
    <s v="Anna"/>
    <s v="Anna, O'Hara"/>
    <s v="Small"/>
  </r>
  <r>
    <n v="10180"/>
    <n v="28"/>
    <n v="7114"/>
    <n v="199192"/>
    <n v="199192"/>
    <n v="1"/>
    <s v="11/11/2003 0:00"/>
    <x v="0"/>
    <x v="3"/>
    <x v="5"/>
    <x v="0"/>
    <x v="1"/>
    <n v="80"/>
    <s v="S24_4620"/>
    <x v="6"/>
    <s v="20.16.1555"/>
    <s v="184, chausse de Tournai"/>
    <s v=""/>
    <s v="Lille"/>
    <s v=""/>
    <s v="59000"/>
    <x v="1"/>
    <s v="EMEA"/>
    <s v="Rance"/>
    <s v="Martine"/>
    <s v="Martine, Rance"/>
    <s v="Small"/>
  </r>
  <r>
    <n v="10191"/>
    <n v="44"/>
    <n v="6629"/>
    <n v="291676"/>
    <n v="291676"/>
    <n v="7"/>
    <s v="11/20/2003 0:00"/>
    <x v="0"/>
    <x v="3"/>
    <x v="5"/>
    <x v="0"/>
    <x v="1"/>
    <n v="80"/>
    <s v="S24_4620"/>
    <x v="68"/>
    <s v="0221-5554327"/>
    <s v="Mehrheimerstr. 369"/>
    <s v=""/>
    <s v="Koln"/>
    <s v=""/>
    <s v="50739"/>
    <x v="16"/>
    <s v="EMEA"/>
    <s v="Pfalzheim"/>
    <s v="Henriette"/>
    <s v="Henriette, Pfalzheim"/>
    <s v="Small"/>
  </r>
  <r>
    <n v="10211"/>
    <n v="22"/>
    <n v="9216"/>
    <n v="202752"/>
    <n v="202752"/>
    <n v="6"/>
    <s v="1/15/2004 0:00"/>
    <x v="0"/>
    <x v="0"/>
    <x v="7"/>
    <x v="1"/>
    <x v="1"/>
    <n v="80"/>
    <s v="S24_4620"/>
    <x v="9"/>
    <s v="(1) 47.55.6555"/>
    <s v="25, rue Lauriston"/>
    <s v=""/>
    <s v="Paris"/>
    <s v=""/>
    <s v="75016"/>
    <x v="1"/>
    <s v="EMEA"/>
    <s v="Perrier"/>
    <s v="Dominique"/>
    <s v="Dominique, Perrier"/>
    <s v="Small"/>
  </r>
  <r>
    <n v="10225"/>
    <n v="46"/>
    <n v="7033"/>
    <n v="323518"/>
    <n v="323518"/>
    <n v="13"/>
    <s v="2/22/2004 0:00"/>
    <x v="0"/>
    <x v="0"/>
    <x v="0"/>
    <x v="1"/>
    <x v="1"/>
    <n v="80"/>
    <s v="S24_4620"/>
    <x v="69"/>
    <s v="0897-034555"/>
    <s v="Grenzacherweg 237"/>
    <s v=""/>
    <s v="Gensve"/>
    <s v=""/>
    <s v="1203"/>
    <x v="17"/>
    <s v="EMEA"/>
    <s v="Holz"/>
    <s v="Michael"/>
    <s v="Michael, Holz"/>
    <s v="Medium"/>
  </r>
  <r>
    <n v="10238"/>
    <n v="22"/>
    <n v="9377"/>
    <n v="206294"/>
    <n v="206294"/>
    <n v="7"/>
    <s v="4/9/2004 0:00"/>
    <x v="0"/>
    <x v="1"/>
    <x v="8"/>
    <x v="1"/>
    <x v="1"/>
    <n v="80"/>
    <s v="S24_4620"/>
    <x v="48"/>
    <s v="31 12 3555"/>
    <s v="Vinb'ltet 34"/>
    <s v=""/>
    <s v="Kobenhavn"/>
    <s v=""/>
    <s v="1734"/>
    <x v="13"/>
    <s v="EMEA"/>
    <s v="Petersen"/>
    <s v="Jytte"/>
    <s v="Jytte, Petersen"/>
    <s v="Small"/>
  </r>
  <r>
    <n v="10252"/>
    <n v="38"/>
    <n v="8731"/>
    <n v="331778"/>
    <n v="331778"/>
    <n v="3"/>
    <s v="5/26/2004 0:00"/>
    <x v="0"/>
    <x v="1"/>
    <x v="1"/>
    <x v="1"/>
    <x v="1"/>
    <n v="80"/>
    <s v="S24_4620"/>
    <x v="9"/>
    <s v="(1) 47.55.6555"/>
    <s v="25, rue Lauriston"/>
    <s v=""/>
    <s v="Paris"/>
    <s v=""/>
    <s v="75016"/>
    <x v="1"/>
    <s v="EMEA"/>
    <s v="Perrier"/>
    <s v="Dominique"/>
    <s v="Dominique, Perrier"/>
    <s v="Medium"/>
  </r>
  <r>
    <n v="10264"/>
    <n v="47"/>
    <n v="8327"/>
    <n v="391369"/>
    <n v="391369"/>
    <n v="1"/>
    <s v="6/30/2004 0:00"/>
    <x v="0"/>
    <x v="1"/>
    <x v="9"/>
    <x v="1"/>
    <x v="1"/>
    <n v="80"/>
    <s v="S24_4620"/>
    <x v="58"/>
    <s v="6175559555"/>
    <s v="8616 Spinnaker Dr."/>
    <s v=""/>
    <s v="Boston"/>
    <s v="MA"/>
    <s v="51003"/>
    <x v="0"/>
    <s v="NA"/>
    <s v="Yoshido"/>
    <s v="Juri"/>
    <s v="Juri, Yoshido"/>
    <s v="Medium"/>
  </r>
  <r>
    <n v="10276"/>
    <n v="48"/>
    <n v="7518"/>
    <n v="360864"/>
    <n v="360864"/>
    <n v="7"/>
    <s v="8/2/2004 0:00"/>
    <x v="0"/>
    <x v="2"/>
    <x v="3"/>
    <x v="1"/>
    <x v="1"/>
    <n v="80"/>
    <s v="S24_4620"/>
    <x v="71"/>
    <s v="6175557555"/>
    <s v="7635 Spinnaker Dr."/>
    <s v=""/>
    <s v="Brickhaven"/>
    <s v="MA"/>
    <s v="58339"/>
    <x v="0"/>
    <s v="NA"/>
    <s v="Barajas"/>
    <s v="Miguel"/>
    <s v="Miguel, Barajas"/>
    <s v="Medium"/>
  </r>
  <r>
    <n v="10287"/>
    <n v="40"/>
    <n v="8812"/>
    <n v="352480"/>
    <n v="352480"/>
    <n v="16"/>
    <s v="8/30/2004 0:00"/>
    <x v="0"/>
    <x v="2"/>
    <x v="3"/>
    <x v="1"/>
    <x v="1"/>
    <n v="80"/>
    <s v="S24_4620"/>
    <x v="69"/>
    <s v="0897-034555"/>
    <s v="Grenzacherweg 237"/>
    <s v=""/>
    <s v="Gensve"/>
    <s v=""/>
    <s v="1203"/>
    <x v="17"/>
    <s v="EMEA"/>
    <s v="Holz"/>
    <s v="Michael"/>
    <s v="Michael, Holz"/>
    <s v="Medium"/>
  </r>
  <r>
    <n v="10299"/>
    <n v="32"/>
    <n v="8084"/>
    <n v="258688"/>
    <n v="258688"/>
    <n v="1"/>
    <s v="9/30/2004 0:00"/>
    <x v="0"/>
    <x v="2"/>
    <x v="10"/>
    <x v="1"/>
    <x v="1"/>
    <n v="80"/>
    <s v="S24_4620"/>
    <x v="16"/>
    <s v="90-224 8555"/>
    <s v="Keskuskatu 45"/>
    <s v=""/>
    <s v="Helsinki"/>
    <s v=""/>
    <s v="21240"/>
    <x v="4"/>
    <s v="EMEA"/>
    <s v="Karttunen"/>
    <s v="Matti"/>
    <s v="Matti, Karttunen"/>
    <s v="Small"/>
  </r>
  <r>
    <n v="10310"/>
    <n v="49"/>
    <n v="9701"/>
    <n v="475349"/>
    <n v="475349"/>
    <n v="14"/>
    <s v="10/16/2004 0:00"/>
    <x v="0"/>
    <x v="3"/>
    <x v="4"/>
    <x v="1"/>
    <x v="1"/>
    <n v="80"/>
    <s v="S24_4620"/>
    <x v="68"/>
    <s v="0221-5554327"/>
    <s v="Mehrheimerstr. 369"/>
    <s v=""/>
    <s v="Koln"/>
    <s v=""/>
    <s v="50739"/>
    <x v="16"/>
    <s v="EMEA"/>
    <s v="Pfalzheim"/>
    <s v="Henriette"/>
    <s v="Henriette, Pfalzheim"/>
    <s v="Medium"/>
  </r>
  <r>
    <n v="10319"/>
    <n v="43"/>
    <n v="8569"/>
    <n v="368467"/>
    <n v="368467"/>
    <n v="2"/>
    <s v="11/3/2004 0:00"/>
    <x v="0"/>
    <x v="3"/>
    <x v="5"/>
    <x v="1"/>
    <x v="1"/>
    <n v="80"/>
    <s v="S24_4620"/>
    <x v="79"/>
    <s v="2125551957"/>
    <s v="5290 North Pendale Street"/>
    <s v="Suite 200"/>
    <s v="NYC"/>
    <s v="NY"/>
    <s v="10022"/>
    <x v="0"/>
    <s v="NA"/>
    <s v="Kuo"/>
    <s v="Kee"/>
    <s v="Kee, Kuo"/>
    <s v="Medium"/>
  </r>
  <r>
    <n v="10331"/>
    <n v="41"/>
    <n v="100"/>
    <n v="4100"/>
    <n v="4100"/>
    <n v="2"/>
    <s v="11/17/2004 0:00"/>
    <x v="0"/>
    <x v="3"/>
    <x v="5"/>
    <x v="1"/>
    <x v="1"/>
    <n v="80"/>
    <s v="S24_4620"/>
    <x v="45"/>
    <s v="2155559857"/>
    <s v="11328 Douglas Av."/>
    <s v=""/>
    <s v="Philadelphia"/>
    <s v="PA"/>
    <s v="71270"/>
    <x v="0"/>
    <s v="NA"/>
    <s v="Hernandez"/>
    <s v="Rosa"/>
    <s v="Rosa, Hernandez"/>
    <s v="Medium"/>
  </r>
  <r>
    <n v="10343"/>
    <n v="30"/>
    <n v="100"/>
    <n v="3000"/>
    <n v="3000"/>
    <n v="1"/>
    <s v="11/24/2004 0:00"/>
    <x v="0"/>
    <x v="3"/>
    <x v="5"/>
    <x v="1"/>
    <x v="1"/>
    <n v="80"/>
    <s v="S24_4620"/>
    <x v="1"/>
    <s v="26.47.1555"/>
    <s v="59 rue de l'Abbaye"/>
    <s v=""/>
    <s v="Reims"/>
    <s v=""/>
    <s v="51100"/>
    <x v="1"/>
    <s v="EMEA"/>
    <s v="Henriot"/>
    <s v="Paul"/>
    <s v="Paul, Henriot"/>
    <s v="Medium"/>
  </r>
  <r>
    <n v="10355"/>
    <n v="28"/>
    <n v="9539"/>
    <n v="267092"/>
    <n v="267092"/>
    <n v="9"/>
    <s v="12/7/2004 0:00"/>
    <x v="0"/>
    <x v="3"/>
    <x v="6"/>
    <x v="1"/>
    <x v="1"/>
    <n v="80"/>
    <s v="S24_4620"/>
    <x v="23"/>
    <s v="(91) 555 94 44"/>
    <s v="C/ Moralzarzal, 86"/>
    <s v=""/>
    <s v="Madrid"/>
    <s v=""/>
    <s v="28034"/>
    <x v="7"/>
    <s v="EMEA"/>
    <s v="Freyre"/>
    <s v="Diego"/>
    <s v="Diego, Freyre"/>
    <s v="Small"/>
  </r>
  <r>
    <n v="10363"/>
    <n v="43"/>
    <n v="100"/>
    <n v="4300"/>
    <n v="4300"/>
    <n v="9"/>
    <s v="1/6/2005 0:00"/>
    <x v="0"/>
    <x v="0"/>
    <x v="7"/>
    <x v="2"/>
    <x v="1"/>
    <n v="80"/>
    <s v="S24_4620"/>
    <x v="73"/>
    <s v="+358 9 8045 555"/>
    <s v="Software Engineering Center, SEC Oy"/>
    <s v=""/>
    <s v="Espoo"/>
    <s v=""/>
    <s v="FIN-02271"/>
    <x v="4"/>
    <s v="EMEA"/>
    <s v="Suominen"/>
    <s v="Kalle"/>
    <s v="Kalle, Suominen"/>
    <s v="Medium"/>
  </r>
  <r>
    <n v="10378"/>
    <n v="41"/>
    <n v="100"/>
    <n v="4100"/>
    <n v="4100"/>
    <n v="2"/>
    <s v="2/10/2005 0:00"/>
    <x v="0"/>
    <x v="0"/>
    <x v="0"/>
    <x v="2"/>
    <x v="1"/>
    <n v="80"/>
    <s v="S24_4620"/>
    <x v="23"/>
    <s v="(91) 555 94 44"/>
    <s v="C/ Moralzarzal, 86"/>
    <s v=""/>
    <s v="Madrid"/>
    <s v=""/>
    <s v="28034"/>
    <x v="7"/>
    <s v="EMEA"/>
    <s v="Freyre"/>
    <s v="Diego"/>
    <s v="Diego, Freyre"/>
    <s v="Medium"/>
  </r>
  <r>
    <n v="10390"/>
    <n v="30"/>
    <n v="8242"/>
    <n v="247260"/>
    <n v="247260"/>
    <n v="10"/>
    <s v="3/4/2005 0:00"/>
    <x v="0"/>
    <x v="0"/>
    <x v="11"/>
    <x v="2"/>
    <x v="1"/>
    <n v="80"/>
    <s v="S24_4620"/>
    <x v="39"/>
    <s v="4155551450"/>
    <s v="5677 Strong St."/>
    <s v=""/>
    <s v="San Rafael"/>
    <s v="CA"/>
    <s v="97562"/>
    <x v="0"/>
    <s v="NA"/>
    <s v="Nelson"/>
    <s v="Valarie"/>
    <s v="Valarie, Nelson"/>
    <s v="Small"/>
  </r>
  <r>
    <n v="10103"/>
    <n v="31"/>
    <n v="100"/>
    <n v="3100"/>
    <n v="3100"/>
    <n v="3"/>
    <s v="1/29/2003 0:00"/>
    <x v="0"/>
    <x v="0"/>
    <x v="7"/>
    <x v="0"/>
    <x v="2"/>
    <n v="96"/>
    <s v="S32_1268"/>
    <x v="17"/>
    <s v="07-98 9555"/>
    <s v="Erling Skakkes gate 78"/>
    <s v=""/>
    <s v="Stavern"/>
    <s v=""/>
    <s v="4110"/>
    <x v="2"/>
    <s v="EMEA"/>
    <s v="Bergulfsen"/>
    <s v="Jonas"/>
    <s v="Jonas, Bergulfsen"/>
    <s v="Medium"/>
  </r>
  <r>
    <n v="10114"/>
    <n v="32"/>
    <n v="100"/>
    <n v="3200"/>
    <n v="3200"/>
    <n v="7"/>
    <s v="4/1/2003 0:00"/>
    <x v="0"/>
    <x v="1"/>
    <x v="8"/>
    <x v="0"/>
    <x v="2"/>
    <n v="96"/>
    <s v="S32_1268"/>
    <x v="62"/>
    <s v="(1) 42.34.2555"/>
    <s v="265, boulevard Charonne"/>
    <s v=""/>
    <s v="Paris"/>
    <s v=""/>
    <s v="75012"/>
    <x v="1"/>
    <s v="EMEA"/>
    <s v="Bertrand"/>
    <s v="Marie"/>
    <s v="Marie, Bertrand"/>
    <s v="Medium"/>
  </r>
  <r>
    <n v="10126"/>
    <n v="43"/>
    <n v="9631"/>
    <n v="414133"/>
    <n v="414133"/>
    <n v="3"/>
    <s v="5/28/2003 0:00"/>
    <x v="0"/>
    <x v="1"/>
    <x v="1"/>
    <x v="0"/>
    <x v="2"/>
    <n v="96"/>
    <s v="S32_1268"/>
    <x v="25"/>
    <s v="(91) 555 22 82"/>
    <s v="C/ Araquil, 67"/>
    <s v=""/>
    <s v="Madrid"/>
    <s v=""/>
    <s v="28023"/>
    <x v="7"/>
    <s v="EMEA"/>
    <s v="Sommer"/>
    <s v="Mart¡n"/>
    <s v="Mart¡n, Sommer"/>
    <s v="Medium"/>
  </r>
  <r>
    <n v="10140"/>
    <n v="26"/>
    <n v="100"/>
    <n v="2600"/>
    <n v="2600"/>
    <n v="3"/>
    <s v="7/24/2003 0:00"/>
    <x v="0"/>
    <x v="2"/>
    <x v="2"/>
    <x v="0"/>
    <x v="2"/>
    <n v="96"/>
    <s v="S32_1268"/>
    <x v="5"/>
    <s v="6505556809"/>
    <s v="9408 Furth Circle"/>
    <s v=""/>
    <s v="Burlingame"/>
    <s v="CA"/>
    <s v="94217"/>
    <x v="0"/>
    <s v="NA"/>
    <s v="Hirano"/>
    <s v="Juri"/>
    <s v="Juri, Hirano"/>
    <s v="Small"/>
  </r>
  <r>
    <n v="10151"/>
    <n v="27"/>
    <n v="100"/>
    <n v="2700"/>
    <n v="2700"/>
    <n v="10"/>
    <s v="9/21/2003 0:00"/>
    <x v="0"/>
    <x v="2"/>
    <x v="10"/>
    <x v="0"/>
    <x v="2"/>
    <n v="96"/>
    <s v="S32_1268"/>
    <x v="60"/>
    <s v="981-443655"/>
    <s v="Torikatu 38"/>
    <s v=""/>
    <s v="Oulu"/>
    <s v=""/>
    <s v="90110"/>
    <x v="4"/>
    <s v="EMEA"/>
    <s v="Koskitalo"/>
    <s v="Pirkko"/>
    <s v="Pirkko, Koskitalo"/>
    <s v="Medium"/>
  </r>
  <r>
    <n v="10164"/>
    <n v="24"/>
    <n v="100"/>
    <n v="2400"/>
    <n v="2400"/>
    <n v="1"/>
    <s v="10/21/2003 0:00"/>
    <x v="5"/>
    <x v="3"/>
    <x v="4"/>
    <x v="0"/>
    <x v="2"/>
    <n v="96"/>
    <s v="S32_1268"/>
    <x v="63"/>
    <s v="7675-3555"/>
    <s v="Kirchgasse 6"/>
    <s v=""/>
    <s v="Graz"/>
    <s v=""/>
    <s v="8010"/>
    <x v="5"/>
    <s v="EMEA"/>
    <s v="Mendel"/>
    <s v="Roland"/>
    <s v="Roland, Mendel"/>
    <s v="Small"/>
  </r>
  <r>
    <n v="10175"/>
    <n v="22"/>
    <n v="100"/>
    <n v="2200"/>
    <n v="2200"/>
    <n v="8"/>
    <s v="11/6/2003 0:00"/>
    <x v="0"/>
    <x v="3"/>
    <x v="5"/>
    <x v="0"/>
    <x v="2"/>
    <n v="96"/>
    <s v="S32_1268"/>
    <x v="49"/>
    <s v="(171) 555-0297"/>
    <s v="35 King George"/>
    <s v=""/>
    <s v="London"/>
    <s v=""/>
    <s v="WX3 6FW"/>
    <x v="6"/>
    <s v="EMEA"/>
    <s v="Brown"/>
    <s v="Ann"/>
    <s v="Ann, Brown"/>
    <s v="Small"/>
  </r>
  <r>
    <n v="10184"/>
    <n v="46"/>
    <n v="100"/>
    <n v="4600"/>
    <n v="4600"/>
    <n v="13"/>
    <s v="11/14/2003 0:00"/>
    <x v="0"/>
    <x v="3"/>
    <x v="5"/>
    <x v="0"/>
    <x v="2"/>
    <n v="96"/>
    <s v="S32_1268"/>
    <x v="81"/>
    <s v="(95) 555 82 82"/>
    <s v="C/ Romero, 33"/>
    <s v=""/>
    <s v="Sevilla"/>
    <s v=""/>
    <s v="41101"/>
    <x v="7"/>
    <s v="EMEA"/>
    <s v="Roel"/>
    <s v="Jose Pedro"/>
    <s v="Jose Pedro, Roel"/>
    <s v="Medium"/>
  </r>
  <r>
    <n v="10194"/>
    <n v="37"/>
    <n v="9727"/>
    <n v="359899"/>
    <n v="359899"/>
    <n v="3"/>
    <s v="11/25/2003 0:00"/>
    <x v="0"/>
    <x v="3"/>
    <x v="5"/>
    <x v="0"/>
    <x v="2"/>
    <n v="96"/>
    <s v="S32_1268"/>
    <x v="30"/>
    <s v="78.32.5555"/>
    <s v="2, rue du Commerce"/>
    <s v=""/>
    <s v="Lyon"/>
    <s v=""/>
    <s v="69004"/>
    <x v="1"/>
    <s v="EMEA"/>
    <s v="Saveley"/>
    <s v="Mary"/>
    <s v="Mary, Saveley"/>
    <s v="Medium"/>
  </r>
  <r>
    <n v="10207"/>
    <n v="49"/>
    <n v="809"/>
    <n v="39641"/>
    <n v="39641"/>
    <n v="14"/>
    <s v="12/9/2003 0:00"/>
    <x v="0"/>
    <x v="3"/>
    <x v="6"/>
    <x v="0"/>
    <x v="2"/>
    <n v="96"/>
    <s v="S32_1268"/>
    <x v="64"/>
    <s v="6175552555"/>
    <s v="6251 Ingle Ln."/>
    <s v=""/>
    <s v="Boston"/>
    <s v="MA"/>
    <s v="51003"/>
    <x v="0"/>
    <s v="NA"/>
    <s v="Franco"/>
    <s v="Valarie"/>
    <s v="Valarie, Franco"/>
    <s v="Medium"/>
  </r>
  <r>
    <n v="10217"/>
    <n v="21"/>
    <n v="100"/>
    <n v="2100"/>
    <n v="2100"/>
    <n v="3"/>
    <s v="2/4/2004 0:00"/>
    <x v="0"/>
    <x v="0"/>
    <x v="0"/>
    <x v="1"/>
    <x v="2"/>
    <n v="96"/>
    <s v="S32_1268"/>
    <x v="65"/>
    <s v="+65 224 1555"/>
    <s v="Village Close - 106 Linden Road Sandown"/>
    <s v="2nd Floor"/>
    <s v="Singapore"/>
    <s v=""/>
    <s v="69045"/>
    <x v="9"/>
    <s v="APAC"/>
    <s v="Victorino"/>
    <s v="Wendy"/>
    <s v="Wendy, Victorino"/>
    <s v="Small"/>
  </r>
  <r>
    <n v="10229"/>
    <n v="25"/>
    <n v="100"/>
    <n v="2500"/>
    <n v="2500"/>
    <n v="8"/>
    <s v="3/11/2004 0:00"/>
    <x v="0"/>
    <x v="0"/>
    <x v="11"/>
    <x v="1"/>
    <x v="2"/>
    <n v="96"/>
    <s v="S32_1268"/>
    <x v="39"/>
    <s v="4155551450"/>
    <s v="5677 Strong St."/>
    <s v=""/>
    <s v="San Rafael"/>
    <s v="CA"/>
    <s v="97562"/>
    <x v="0"/>
    <s v="NA"/>
    <s v="Nelson"/>
    <s v="Valarie"/>
    <s v="Valarie, Nelson"/>
    <s v="Small"/>
  </r>
  <r>
    <n v="10245"/>
    <n v="37"/>
    <n v="100"/>
    <n v="3700"/>
    <n v="3700"/>
    <n v="1"/>
    <s v="5/4/2004 0:00"/>
    <x v="0"/>
    <x v="1"/>
    <x v="1"/>
    <x v="1"/>
    <x v="2"/>
    <n v="96"/>
    <s v="S32_1268"/>
    <x v="34"/>
    <s v="2035559545"/>
    <s v="567 North Pendale Street"/>
    <s v=""/>
    <s v="New Haven"/>
    <s v="CT"/>
    <s v="97823"/>
    <x v="0"/>
    <s v="NA"/>
    <s v="Murphy"/>
    <s v="Leslie"/>
    <s v="Leslie, Murphy"/>
    <s v="Medium"/>
  </r>
  <r>
    <n v="10259"/>
    <n v="45"/>
    <n v="8668"/>
    <n v="390060"/>
    <n v="390060"/>
    <n v="11"/>
    <s v="6/15/2004 0:00"/>
    <x v="0"/>
    <x v="1"/>
    <x v="9"/>
    <x v="1"/>
    <x v="2"/>
    <n v="96"/>
    <s v="S32_1268"/>
    <x v="65"/>
    <s v="+65 224 1555"/>
    <s v="Village Close - 106 Linden Road Sandown"/>
    <s v="2nd Floor"/>
    <s v="Singapore"/>
    <s v=""/>
    <s v="69045"/>
    <x v="9"/>
    <s v="APAC"/>
    <s v="Victorino"/>
    <s v="Wendy"/>
    <s v="Wendy, Victorino"/>
    <s v="Medium"/>
  </r>
  <r>
    <n v="10270"/>
    <n v="32"/>
    <n v="8572"/>
    <n v="274304"/>
    <n v="274304"/>
    <n v="1"/>
    <s v="7/19/2004 0:00"/>
    <x v="0"/>
    <x v="2"/>
    <x v="2"/>
    <x v="1"/>
    <x v="2"/>
    <n v="96"/>
    <s v="S32_1268"/>
    <x v="20"/>
    <s v="+61 2 9495 8555"/>
    <s v="Monitor Money Building, 815 Pacific Hwy"/>
    <s v="Level 6"/>
    <s v="Chatswood"/>
    <s v="NSW"/>
    <s v="2067"/>
    <x v="3"/>
    <s v="APAC"/>
    <s v="Huxley"/>
    <s v="Adrian"/>
    <s v="Adrian, Huxley"/>
    <s v="Small"/>
  </r>
  <r>
    <n v="10281"/>
    <n v="29"/>
    <n v="8283"/>
    <n v="240207"/>
    <n v="240207"/>
    <n v="8"/>
    <s v="8/19/2004 0:00"/>
    <x v="0"/>
    <x v="2"/>
    <x v="3"/>
    <x v="1"/>
    <x v="2"/>
    <n v="96"/>
    <s v="S32_1268"/>
    <x v="18"/>
    <s v="2155551555"/>
    <s v="7586 Pompton St."/>
    <s v=""/>
    <s v="Allentown"/>
    <s v="PA"/>
    <s v="70267"/>
    <x v="0"/>
    <s v="NA"/>
    <s v="Yu"/>
    <s v="Kyung"/>
    <s v="Kyung, Yu"/>
    <s v="Small"/>
  </r>
  <r>
    <n v="10291"/>
    <n v="26"/>
    <n v="8379"/>
    <n v="217854"/>
    <n v="217854"/>
    <n v="3"/>
    <s v="9/8/2004 0:00"/>
    <x v="0"/>
    <x v="2"/>
    <x v="10"/>
    <x v="1"/>
    <x v="2"/>
    <n v="96"/>
    <s v="S32_1268"/>
    <x v="37"/>
    <s v="0695-34 6555"/>
    <s v="?kergatan 24"/>
    <s v=""/>
    <s v="Boras"/>
    <s v=""/>
    <s v="S-844 67"/>
    <x v="8"/>
    <s v="EMEA"/>
    <s v="Larsson"/>
    <s v="Maria"/>
    <s v="Maria, Larsson"/>
    <s v="Small"/>
  </r>
  <r>
    <n v="10305"/>
    <n v="28"/>
    <n v="100"/>
    <n v="2800"/>
    <n v="2800"/>
    <n v="12"/>
    <s v="10/13/2004 0:00"/>
    <x v="0"/>
    <x v="3"/>
    <x v="4"/>
    <x v="1"/>
    <x v="2"/>
    <n v="96"/>
    <s v="S32_1268"/>
    <x v="15"/>
    <s v="6175558555"/>
    <s v="39323 Spinnaker Dr."/>
    <s v=""/>
    <s v="Cambridge"/>
    <s v="MA"/>
    <s v="51247"/>
    <x v="0"/>
    <s v="NA"/>
    <s v="Hernandez"/>
    <s v="Marta"/>
    <s v="Marta, Hernandez"/>
    <s v="Medium"/>
  </r>
  <r>
    <n v="10313"/>
    <n v="27"/>
    <n v="8764"/>
    <n v="236628"/>
    <n v="236628"/>
    <n v="6"/>
    <s v="10/22/2004 0:00"/>
    <x v="0"/>
    <x v="3"/>
    <x v="4"/>
    <x v="1"/>
    <x v="2"/>
    <n v="96"/>
    <s v="S32_1268"/>
    <x v="31"/>
    <s v="(604) 555-3392"/>
    <s v="1900 Oak St."/>
    <s v=""/>
    <s v="Vancouver"/>
    <s v="BC"/>
    <s v="V3F 2K1"/>
    <x v="10"/>
    <s v="NA"/>
    <s v="Tannamuri"/>
    <s v="Yoshi"/>
    <s v="Yoshi, Tannamuri"/>
    <s v="Small"/>
  </r>
  <r>
    <n v="10324"/>
    <n v="20"/>
    <n v="9818"/>
    <n v="196360"/>
    <n v="196360"/>
    <n v="11"/>
    <s v="11/5/2004 0:00"/>
    <x v="0"/>
    <x v="3"/>
    <x v="5"/>
    <x v="1"/>
    <x v="2"/>
    <n v="96"/>
    <s v="S32_1268"/>
    <x v="11"/>
    <s v="2125551500"/>
    <s v="2678 Kingston Rd."/>
    <s v="Suite 101"/>
    <s v="NYC"/>
    <s v="NY"/>
    <s v="10022"/>
    <x v="0"/>
    <s v="NA"/>
    <s v="Frick"/>
    <s v="Michael"/>
    <s v="Michael, Frick"/>
    <s v="Small"/>
  </r>
  <r>
    <n v="10335"/>
    <n v="44"/>
    <n v="100"/>
    <n v="4400"/>
    <n v="4400"/>
    <n v="1"/>
    <s v="11/19/2004 0:00"/>
    <x v="0"/>
    <x v="3"/>
    <x v="5"/>
    <x v="1"/>
    <x v="2"/>
    <n v="96"/>
    <s v="S32_1268"/>
    <x v="39"/>
    <s v="4155551450"/>
    <s v="5677 Strong St."/>
    <s v=""/>
    <s v="San Rafael"/>
    <s v="CA"/>
    <s v="97562"/>
    <x v="0"/>
    <s v="NA"/>
    <s v="Nelson"/>
    <s v="Valarie"/>
    <s v="Valarie, Nelson"/>
    <s v="Medium"/>
  </r>
  <r>
    <n v="10348"/>
    <n v="42"/>
    <n v="100"/>
    <n v="4200"/>
    <n v="4200"/>
    <n v="3"/>
    <s v="11/1/2004 0:00"/>
    <x v="0"/>
    <x v="3"/>
    <x v="5"/>
    <x v="1"/>
    <x v="2"/>
    <n v="96"/>
    <s v="S32_1268"/>
    <x v="25"/>
    <s v="(91) 555 22 82"/>
    <s v="C/ Araquil, 67"/>
    <s v=""/>
    <s v="Madrid"/>
    <s v=""/>
    <s v="28023"/>
    <x v="7"/>
    <s v="EMEA"/>
    <s v="Sommer"/>
    <s v="Mart¡n"/>
    <s v="Mart¡n, Sommer"/>
    <s v="Medium"/>
  </r>
  <r>
    <n v="10358"/>
    <n v="41"/>
    <n v="100"/>
    <n v="4100"/>
    <n v="4100"/>
    <n v="1"/>
    <s v="12/10/2004 0:00"/>
    <x v="0"/>
    <x v="3"/>
    <x v="6"/>
    <x v="1"/>
    <x v="2"/>
    <n v="96"/>
    <s v="S32_1268"/>
    <x v="23"/>
    <s v="(91) 555 94 44"/>
    <s v="C/ Moralzarzal, 86"/>
    <s v=""/>
    <s v="Madrid"/>
    <s v=""/>
    <s v="28034"/>
    <x v="7"/>
    <s v="EMEA"/>
    <s v="Freyre"/>
    <s v="Diego"/>
    <s v="Diego, Freyre"/>
    <s v="Medium"/>
  </r>
  <r>
    <n v="10371"/>
    <n v="26"/>
    <n v="100"/>
    <n v="2600"/>
    <n v="2600"/>
    <n v="1"/>
    <s v="1/23/2005 0:00"/>
    <x v="0"/>
    <x v="0"/>
    <x v="7"/>
    <x v="2"/>
    <x v="2"/>
    <n v="96"/>
    <s v="S32_1268"/>
    <x v="39"/>
    <s v="4155551450"/>
    <s v="5677 Strong St."/>
    <s v=""/>
    <s v="San Rafael"/>
    <s v="CA"/>
    <s v="97562"/>
    <x v="0"/>
    <s v="NA"/>
    <s v="Nelson"/>
    <s v="Valarie"/>
    <s v="Valarie, Nelson"/>
    <s v="Medium"/>
  </r>
  <r>
    <n v="10382"/>
    <n v="26"/>
    <n v="100"/>
    <n v="2600"/>
    <n v="2600"/>
    <n v="6"/>
    <s v="2/17/2005 0:00"/>
    <x v="0"/>
    <x v="0"/>
    <x v="0"/>
    <x v="2"/>
    <x v="2"/>
    <n v="96"/>
    <s v="S32_1268"/>
    <x v="39"/>
    <s v="4155551450"/>
    <s v="5677 Strong St."/>
    <s v=""/>
    <s v="San Rafael"/>
    <s v="CA"/>
    <s v="97562"/>
    <x v="0"/>
    <s v="NA"/>
    <s v="Nelson"/>
    <s v="Valarie"/>
    <s v="Valarie, Nelson"/>
    <s v="Small"/>
  </r>
  <r>
    <n v="10411"/>
    <n v="26"/>
    <n v="100"/>
    <n v="2600"/>
    <n v="2600"/>
    <n v="1"/>
    <s v="5/1/2005 0:00"/>
    <x v="0"/>
    <x v="1"/>
    <x v="1"/>
    <x v="2"/>
    <x v="2"/>
    <n v="96"/>
    <s v="S32_1268"/>
    <x v="43"/>
    <s v="(514) 555-8054"/>
    <s v="43 rue St. Laurent"/>
    <s v=""/>
    <s v="Montreal"/>
    <s v="Quebec"/>
    <s v="H1J 1C3"/>
    <x v="10"/>
    <s v="NA"/>
    <s v="Fresnisre"/>
    <s v="Jean"/>
    <s v="Jean, Fresnisre"/>
    <s v="Small"/>
  </r>
  <r>
    <n v="10425"/>
    <n v="41"/>
    <n v="8668"/>
    <n v="355388"/>
    <n v="0"/>
    <n v="11"/>
    <s v="5/31/2005 0:00"/>
    <x v="2"/>
    <x v="1"/>
    <x v="1"/>
    <x v="2"/>
    <x v="2"/>
    <n v="96"/>
    <s v="S32_1268"/>
    <x v="14"/>
    <s v="40.67.8555"/>
    <s v="67, rue des Cinquante Otages"/>
    <s v=""/>
    <s v="Nantes"/>
    <s v=""/>
    <s v="44000"/>
    <x v="1"/>
    <s v="EMEA"/>
    <s v="Labrune"/>
    <s v="Janine"/>
    <s v="Janine, Labrune"/>
    <s v="Medium"/>
  </r>
  <r>
    <n v="10107"/>
    <n v="20"/>
    <n v="929"/>
    <n v="18580"/>
    <n v="18580"/>
    <n v="8"/>
    <s v="2/24/2003 0:00"/>
    <x v="0"/>
    <x v="0"/>
    <x v="0"/>
    <x v="0"/>
    <x v="0"/>
    <n v="99"/>
    <s v="S32_1374"/>
    <x v="0"/>
    <s v="2125557818"/>
    <s v="897 Long Airport Avenue"/>
    <s v=""/>
    <s v="NYC"/>
    <s v="NY"/>
    <s v="10022"/>
    <x v="0"/>
    <s v="NA"/>
    <s v="Yu"/>
    <s v="Kwai"/>
    <s v="Kwai, Yu"/>
    <s v="Small"/>
  </r>
  <r>
    <n v="10120"/>
    <n v="22"/>
    <n v="100"/>
    <n v="2200"/>
    <n v="2200"/>
    <n v="6"/>
    <s v="4/29/2003 0:00"/>
    <x v="0"/>
    <x v="1"/>
    <x v="8"/>
    <x v="0"/>
    <x v="0"/>
    <n v="99"/>
    <s v="S32_1374"/>
    <x v="10"/>
    <s v="03 9520 4555"/>
    <s v="636 St Kilda Road"/>
    <s v="Level 3"/>
    <s v="Melbourne"/>
    <s v="Victoria"/>
    <s v="3004"/>
    <x v="3"/>
    <s v="APAC"/>
    <s v="Ferguson"/>
    <s v="Peter"/>
    <s v="Peter, Ferguson"/>
    <s v="Small"/>
  </r>
  <r>
    <n v="10133"/>
    <n v="23"/>
    <n v="100"/>
    <n v="2300"/>
    <n v="2300"/>
    <n v="1"/>
    <s v="6/27/2003 0:00"/>
    <x v="0"/>
    <x v="1"/>
    <x v="9"/>
    <x v="0"/>
    <x v="0"/>
    <n v="99"/>
    <s v="S32_1374"/>
    <x v="23"/>
    <s v="(91) 555 94 44"/>
    <s v="C/ Moralzarzal, 86"/>
    <s v=""/>
    <s v="Madrid"/>
    <s v=""/>
    <s v="28034"/>
    <x v="7"/>
    <s v="EMEA"/>
    <s v="Freyre"/>
    <s v="Diego"/>
    <s v="Diego, Freyre"/>
    <s v="Small"/>
  </r>
  <r>
    <n v="10145"/>
    <n v="33"/>
    <n v="939"/>
    <n v="30987"/>
    <n v="30987"/>
    <n v="12"/>
    <s v="8/25/2003 0:00"/>
    <x v="0"/>
    <x v="2"/>
    <x v="3"/>
    <x v="0"/>
    <x v="0"/>
    <n v="99"/>
    <s v="S32_1374"/>
    <x v="3"/>
    <s v="6265557265"/>
    <s v="78934 Hillside Dr."/>
    <s v=""/>
    <s v="Pasadena"/>
    <s v="CA"/>
    <s v="90003"/>
    <x v="0"/>
    <s v="NA"/>
    <s v="Young"/>
    <s v="Julie"/>
    <s v="Julie, Young"/>
    <s v="Medium"/>
  </r>
  <r>
    <n v="10168"/>
    <n v="28"/>
    <n v="100"/>
    <n v="2800"/>
    <n v="2800"/>
    <n v="7"/>
    <s v="10/28/2003 0:00"/>
    <x v="0"/>
    <x v="3"/>
    <x v="4"/>
    <x v="0"/>
    <x v="0"/>
    <n v="99"/>
    <s v="S32_1374"/>
    <x v="5"/>
    <s v="6505556809"/>
    <s v="9408 Furth Circle"/>
    <s v=""/>
    <s v="Burlingame"/>
    <s v="CA"/>
    <s v="94217"/>
    <x v="0"/>
    <s v="NA"/>
    <s v="Hirano"/>
    <s v="Juri"/>
    <s v="Juri, Hirano"/>
    <s v="Medium"/>
  </r>
  <r>
    <n v="10188"/>
    <n v="44"/>
    <n v="9889"/>
    <n v="435116"/>
    <n v="435116"/>
    <n v="7"/>
    <s v="11/18/2003 0:00"/>
    <x v="0"/>
    <x v="3"/>
    <x v="5"/>
    <x v="0"/>
    <x v="0"/>
    <n v="99"/>
    <s v="S32_1374"/>
    <x v="7"/>
    <s v="+47 2267 3215"/>
    <s v="Drammen 121, PR 744 Sentrum"/>
    <s v=""/>
    <s v="Bergen"/>
    <s v=""/>
    <s v="N 5804"/>
    <x v="2"/>
    <s v="EMEA"/>
    <s v="Oeztan"/>
    <s v="Veysel"/>
    <s v="Veysel, Oeztan"/>
    <s v="Medium"/>
  </r>
  <r>
    <n v="10210"/>
    <n v="46"/>
    <n v="7991"/>
    <n v="367586"/>
    <n v="367586"/>
    <n v="5"/>
    <s v="1/12/2004 0:00"/>
    <x v="0"/>
    <x v="0"/>
    <x v="7"/>
    <x v="1"/>
    <x v="0"/>
    <n v="99"/>
    <s v="S32_1374"/>
    <x v="44"/>
    <s v="+81 06 6342 5555"/>
    <s v="Dojima Avanza 4F, 1-6-20 Dojima, Kita-ku"/>
    <s v=""/>
    <s v="Osaka"/>
    <s v="Osaka"/>
    <s v="530-0003"/>
    <x v="11"/>
    <s v="Japan"/>
    <s v="Kentary"/>
    <s v="Mory"/>
    <s v="Mory, Kentary"/>
    <s v="Medium"/>
  </r>
  <r>
    <n v="10223"/>
    <n v="21"/>
    <n v="100"/>
    <n v="2100"/>
    <n v="2100"/>
    <n v="7"/>
    <s v="2/20/2004 0:00"/>
    <x v="0"/>
    <x v="0"/>
    <x v="0"/>
    <x v="1"/>
    <x v="0"/>
    <n v="99"/>
    <s v="S32_1374"/>
    <x v="10"/>
    <s v="03 9520 4555"/>
    <s v="636 St Kilda Road"/>
    <s v="Level 3"/>
    <s v="Melbourne"/>
    <s v="Victoria"/>
    <s v="3004"/>
    <x v="3"/>
    <s v="APAC"/>
    <s v="Ferguson"/>
    <s v="Peter"/>
    <s v="Peter, Ferguson"/>
    <s v="Small"/>
  </r>
  <r>
    <n v="10235"/>
    <n v="41"/>
    <n v="100"/>
    <n v="4100"/>
    <n v="4100"/>
    <n v="1"/>
    <s v="4/2/2004 0:00"/>
    <x v="0"/>
    <x v="1"/>
    <x v="8"/>
    <x v="1"/>
    <x v="0"/>
    <n v="99"/>
    <s v="S32_1374"/>
    <x v="57"/>
    <s v="(604) 555-4555"/>
    <s v="23 Tsawassen Blvd."/>
    <s v=""/>
    <s v="Tsawassen"/>
    <s v="BC"/>
    <s v="T2F 8M4"/>
    <x v="10"/>
    <s v="NA"/>
    <s v="Lincoln"/>
    <s v="Elizabeth"/>
    <s v="Elizabeth, Lincoln"/>
    <s v="Medium"/>
  </r>
  <r>
    <n v="10250"/>
    <n v="31"/>
    <n v="100"/>
    <n v="3100"/>
    <n v="3100"/>
    <n v="2"/>
    <s v="5/11/2004 0:00"/>
    <x v="0"/>
    <x v="1"/>
    <x v="1"/>
    <x v="1"/>
    <x v="0"/>
    <n v="99"/>
    <s v="S32_1374"/>
    <x v="61"/>
    <s v="4085553659"/>
    <s v="3086 Ingle Ln."/>
    <s v=""/>
    <s v="San Jose"/>
    <s v="CA"/>
    <s v="94217"/>
    <x v="0"/>
    <s v="NA"/>
    <s v="Frick"/>
    <s v="Sue"/>
    <s v="Sue, Frick"/>
    <s v="Medium"/>
  </r>
  <r>
    <n v="10263"/>
    <n v="31"/>
    <n v="7991"/>
    <n v="247721"/>
    <n v="247721"/>
    <n v="8"/>
    <s v="6/28/2004 0:00"/>
    <x v="0"/>
    <x v="1"/>
    <x v="9"/>
    <x v="1"/>
    <x v="0"/>
    <n v="99"/>
    <s v="S32_1374"/>
    <x v="13"/>
    <s v="2035552570"/>
    <s v="25593 South Bay Ln."/>
    <s v=""/>
    <s v="Bridgewater"/>
    <s v="CT"/>
    <s v="97562"/>
    <x v="0"/>
    <s v="NA"/>
    <s v="King"/>
    <s v="Julie"/>
    <s v="Julie, King"/>
    <s v="Small"/>
  </r>
  <r>
    <n v="10275"/>
    <n v="23"/>
    <n v="8191"/>
    <n v="188393"/>
    <n v="188393"/>
    <n v="7"/>
    <s v="7/23/2004 0:00"/>
    <x v="0"/>
    <x v="2"/>
    <x v="2"/>
    <x v="1"/>
    <x v="0"/>
    <n v="99"/>
    <s v="S32_1374"/>
    <x v="14"/>
    <s v="40.67.8555"/>
    <s v="67, rue des Cinquante Otages"/>
    <s v=""/>
    <s v="Nantes"/>
    <s v=""/>
    <s v="44000"/>
    <x v="1"/>
    <s v="EMEA"/>
    <s v="Labrune"/>
    <s v="Janine"/>
    <s v="Janine, Labrune"/>
    <s v="Small"/>
  </r>
  <r>
    <n v="10285"/>
    <n v="37"/>
    <n v="9889"/>
    <n v="365893"/>
    <n v="365893"/>
    <n v="12"/>
    <s v="8/27/2004 0:00"/>
    <x v="0"/>
    <x v="2"/>
    <x v="3"/>
    <x v="1"/>
    <x v="0"/>
    <n v="99"/>
    <s v="S32_1374"/>
    <x v="15"/>
    <s v="6175558555"/>
    <s v="39323 Spinnaker Dr."/>
    <s v=""/>
    <s v="Cambridge"/>
    <s v="MA"/>
    <s v="51247"/>
    <x v="0"/>
    <s v="NA"/>
    <s v="Hernandez"/>
    <s v="Marta"/>
    <s v="Marta, Hernandez"/>
    <s v="Medium"/>
  </r>
  <r>
    <n v="10297"/>
    <n v="26"/>
    <n v="100"/>
    <n v="2600"/>
    <n v="2600"/>
    <n v="2"/>
    <s v="9/16/2004 0:00"/>
    <x v="0"/>
    <x v="2"/>
    <x v="10"/>
    <x v="1"/>
    <x v="0"/>
    <n v="99"/>
    <s v="S32_1374"/>
    <x v="75"/>
    <s v="+353 1862 1555"/>
    <s v="25 Maiden Lane"/>
    <s v="Floor No. 4"/>
    <s v="Dublin"/>
    <s v=""/>
    <s v="2"/>
    <x v="18"/>
    <s v="EMEA"/>
    <s v="Cassidy"/>
    <s v="Dean"/>
    <s v="Dean, Cassidy"/>
    <s v="Small"/>
  </r>
  <r>
    <n v="10308"/>
    <n v="24"/>
    <n v="7991"/>
    <n v="191784"/>
    <n v="191784"/>
    <n v="5"/>
    <s v="10/15/2004 0:00"/>
    <x v="0"/>
    <x v="3"/>
    <x v="4"/>
    <x v="1"/>
    <x v="0"/>
    <n v="99"/>
    <s v="S32_1374"/>
    <x v="47"/>
    <s v="9145554562"/>
    <s v="3758 North Pendale Street"/>
    <s v=""/>
    <s v="White Plains"/>
    <s v="NY"/>
    <s v="24067"/>
    <x v="0"/>
    <s v="NA"/>
    <s v="Frick"/>
    <s v="Steve"/>
    <s v="Steve, Frick"/>
    <s v="Small"/>
  </r>
  <r>
    <n v="10318"/>
    <n v="47"/>
    <n v="100"/>
    <n v="4700"/>
    <n v="4700"/>
    <n v="7"/>
    <s v="11/2/2004 0:00"/>
    <x v="0"/>
    <x v="3"/>
    <x v="5"/>
    <x v="1"/>
    <x v="0"/>
    <n v="99"/>
    <s v="S32_1374"/>
    <x v="18"/>
    <s v="2155551555"/>
    <s v="7586 Pompton St."/>
    <s v=""/>
    <s v="Allentown"/>
    <s v="PA"/>
    <s v="70267"/>
    <x v="0"/>
    <s v="NA"/>
    <s v="Yu"/>
    <s v="Kyung"/>
    <s v="Kyung, Yu"/>
    <s v="Medium"/>
  </r>
  <r>
    <n v="10329"/>
    <n v="45"/>
    <n v="6391"/>
    <n v="287595"/>
    <n v="287595"/>
    <n v="11"/>
    <s v="11/15/2004 0:00"/>
    <x v="0"/>
    <x v="3"/>
    <x v="5"/>
    <x v="1"/>
    <x v="0"/>
    <n v="99"/>
    <s v="S32_1374"/>
    <x v="0"/>
    <s v="2125557818"/>
    <s v="897 Long Airport Avenue"/>
    <s v=""/>
    <s v="NYC"/>
    <s v="NY"/>
    <s v="10022"/>
    <x v="0"/>
    <s v="NA"/>
    <s v="Yu"/>
    <s v="Kwai"/>
    <s v="Kwai, Yu"/>
    <s v="Small"/>
  </r>
  <r>
    <n v="10340"/>
    <n v="55"/>
    <n v="100"/>
    <n v="5500"/>
    <n v="5500"/>
    <n v="2"/>
    <s v="11/24/2004 0:00"/>
    <x v="0"/>
    <x v="3"/>
    <x v="5"/>
    <x v="1"/>
    <x v="0"/>
    <n v="99"/>
    <s v="S32_1374"/>
    <x v="53"/>
    <s v="(93) 203 4555"/>
    <s v="Rambla de Catalu¤a, 23"/>
    <s v=""/>
    <s v="Barcelona"/>
    <s v=""/>
    <s v="8022"/>
    <x v="7"/>
    <s v="EMEA"/>
    <s v="Saavedra"/>
    <s v="Eduardo"/>
    <s v="Eduardo, Saavedra"/>
    <s v="Medium"/>
  </r>
  <r>
    <n v="10353"/>
    <n v="46"/>
    <n v="8117"/>
    <n v="373382"/>
    <n v="373382"/>
    <n v="5"/>
    <s v="12/4/2004 0:00"/>
    <x v="0"/>
    <x v="3"/>
    <x v="6"/>
    <x v="1"/>
    <x v="0"/>
    <n v="99"/>
    <s v="S32_1374"/>
    <x v="88"/>
    <s v="2035554407"/>
    <s v="2440 Pompton St."/>
    <s v=""/>
    <s v="Glendale"/>
    <s v="CT"/>
    <s v="97561"/>
    <x v="0"/>
    <s v="NA"/>
    <s v="Lewis"/>
    <s v="Dan"/>
    <s v="Dan, Lewis"/>
    <s v="Medium"/>
  </r>
  <r>
    <n v="10363"/>
    <n v="50"/>
    <n v="100"/>
    <n v="5000"/>
    <n v="5000"/>
    <n v="2"/>
    <s v="1/6/2005 0:00"/>
    <x v="0"/>
    <x v="0"/>
    <x v="7"/>
    <x v="2"/>
    <x v="0"/>
    <n v="99"/>
    <s v="S32_1374"/>
    <x v="73"/>
    <s v="+358 9 8045 555"/>
    <s v="Software Engineering Center, SEC Oy"/>
    <s v=""/>
    <s v="Espoo"/>
    <s v=""/>
    <s v="FIN-02271"/>
    <x v="4"/>
    <s v="EMEA"/>
    <s v="Suominen"/>
    <s v="Kalle"/>
    <s v="Kalle, Suominen"/>
    <s v="Medium"/>
  </r>
  <r>
    <n v="10375"/>
    <n v="37"/>
    <n v="100"/>
    <n v="3700"/>
    <n v="3700"/>
    <n v="3"/>
    <s v="2/3/2005 0:00"/>
    <x v="0"/>
    <x v="0"/>
    <x v="0"/>
    <x v="2"/>
    <x v="0"/>
    <n v="99"/>
    <s v="S32_1374"/>
    <x v="14"/>
    <s v="40.67.8555"/>
    <s v="67, rue des Cinquante Otages"/>
    <s v=""/>
    <s v="Nantes"/>
    <s v=""/>
    <s v="44000"/>
    <x v="1"/>
    <s v="EMEA"/>
    <s v="Labrune"/>
    <s v="Janine"/>
    <s v="Janine, Labrune"/>
    <s v="Medium"/>
  </r>
  <r>
    <n v="10387"/>
    <n v="44"/>
    <n v="949"/>
    <n v="41756"/>
    <n v="41756"/>
    <n v="1"/>
    <s v="3/2/2005 0:00"/>
    <x v="0"/>
    <x v="0"/>
    <x v="11"/>
    <x v="2"/>
    <x v="0"/>
    <n v="99"/>
    <s v="S32_1374"/>
    <x v="26"/>
    <s v="+65 221 7555"/>
    <s v="Bronz Sok., Bronz Apt. 3/6 Tesvikiye"/>
    <s v=""/>
    <s v="Singapore"/>
    <s v=""/>
    <s v="79903"/>
    <x v="9"/>
    <s v="Japan"/>
    <s v="Natividad"/>
    <s v="Eric"/>
    <s v="Eric, Natividad"/>
    <s v="Medium"/>
  </r>
  <r>
    <n v="10401"/>
    <n v="49"/>
    <n v="100"/>
    <n v="4900"/>
    <n v="0"/>
    <n v="1"/>
    <s v="4/3/2005 0:00"/>
    <x v="4"/>
    <x v="1"/>
    <x v="8"/>
    <x v="2"/>
    <x v="0"/>
    <n v="99"/>
    <s v="S32_1374"/>
    <x v="12"/>
    <s v="2015559350"/>
    <s v="7476 Moss Rd."/>
    <s v=""/>
    <s v="Newark"/>
    <s v="NJ"/>
    <s v="94019"/>
    <x v="0"/>
    <s v="NA"/>
    <s v="Brown"/>
    <s v="William"/>
    <s v="William, Brown"/>
    <s v="Medium"/>
  </r>
  <r>
    <n v="10416"/>
    <n v="45"/>
    <n v="100"/>
    <n v="4500"/>
    <n v="4500"/>
    <n v="2"/>
    <s v="5/10/2005 0:00"/>
    <x v="0"/>
    <x v="1"/>
    <x v="1"/>
    <x v="2"/>
    <x v="0"/>
    <n v="99"/>
    <s v="S32_1374"/>
    <x v="70"/>
    <s v="0522-556555"/>
    <s v="Strada Provinciale 124"/>
    <s v=""/>
    <s v="Reggio Emilia"/>
    <s v=""/>
    <s v="42100"/>
    <x v="12"/>
    <s v="EMEA"/>
    <s v="Moroni"/>
    <s v="Maurizio"/>
    <s v="Maurizio, Moroni"/>
    <s v="Medium"/>
  </r>
  <r>
    <n v="10108"/>
    <n v="27"/>
    <n v="4345"/>
    <n v="117315"/>
    <n v="117315"/>
    <n v="13"/>
    <s v="3/3/2003 0:00"/>
    <x v="0"/>
    <x v="0"/>
    <x v="11"/>
    <x v="0"/>
    <x v="0"/>
    <n v="40"/>
    <s v="S32_2206"/>
    <x v="66"/>
    <s v="+63 2 555 3587"/>
    <s v="15 McCallum Street - NatWest Center #13-03"/>
    <s v=""/>
    <s v="Makati City"/>
    <s v=""/>
    <s v="1227 MM"/>
    <x v="15"/>
    <s v="Japan"/>
    <s v="Cruz"/>
    <s v="Arnold"/>
    <s v="Arnold, Cruz"/>
    <s v="Small"/>
  </r>
  <r>
    <n v="10122"/>
    <n v="31"/>
    <n v="4466"/>
    <n v="138446"/>
    <n v="138446"/>
    <n v="17"/>
    <s v="5/8/2003 0:00"/>
    <x v="0"/>
    <x v="1"/>
    <x v="1"/>
    <x v="0"/>
    <x v="0"/>
    <n v="40"/>
    <s v="S32_2206"/>
    <x v="67"/>
    <s v="91.24.4555"/>
    <s v="12, rue des Bouchers"/>
    <s v=""/>
    <s v="Marseille"/>
    <s v=""/>
    <s v="13008"/>
    <x v="1"/>
    <s v="EMEA"/>
    <s v="Lebihan"/>
    <s v="Laurence"/>
    <s v="Laurence, Lebihan"/>
    <s v="Small"/>
  </r>
  <r>
    <n v="10135"/>
    <n v="33"/>
    <n v="4023"/>
    <n v="132759"/>
    <n v="132759"/>
    <n v="14"/>
    <s v="7/2/2003 0:00"/>
    <x v="0"/>
    <x v="2"/>
    <x v="2"/>
    <x v="0"/>
    <x v="0"/>
    <n v="40"/>
    <s v="S32_2206"/>
    <x v="39"/>
    <s v="4155551450"/>
    <s v="5677 Strong St."/>
    <s v=""/>
    <s v="San Rafael"/>
    <s v="CA"/>
    <s v="97562"/>
    <x v="0"/>
    <s v="NA"/>
    <s v="Nelson"/>
    <s v="Valarie"/>
    <s v="Valarie, Nelson"/>
    <s v="Small"/>
  </r>
  <r>
    <n v="10145"/>
    <n v="31"/>
    <n v="358"/>
    <n v="11098"/>
    <n v="11098"/>
    <n v="1"/>
    <s v="8/25/2003 0:00"/>
    <x v="0"/>
    <x v="2"/>
    <x v="3"/>
    <x v="0"/>
    <x v="0"/>
    <n v="40"/>
    <s v="S32_2206"/>
    <x v="3"/>
    <s v="6265557265"/>
    <s v="78934 Hillside Dr."/>
    <s v=""/>
    <s v="Pasadena"/>
    <s v="CA"/>
    <s v="90003"/>
    <x v="0"/>
    <s v="NA"/>
    <s v="Young"/>
    <s v="Julie"/>
    <s v="Julie, Young"/>
    <s v="Small"/>
  </r>
  <r>
    <n v="10159"/>
    <n v="35"/>
    <n v="354"/>
    <n v="12390"/>
    <n v="12390"/>
    <n v="9"/>
    <s v="10/10/2003 0:00"/>
    <x v="0"/>
    <x v="3"/>
    <x v="4"/>
    <x v="0"/>
    <x v="0"/>
    <n v="40"/>
    <s v="S32_2206"/>
    <x v="4"/>
    <s v="6505551386"/>
    <s v="7734 Strong St."/>
    <s v=""/>
    <s v="San Francisco"/>
    <s v="CA"/>
    <s v=""/>
    <x v="0"/>
    <s v="NA"/>
    <s v="Brown"/>
    <s v="Julie"/>
    <s v="Julie, Brown"/>
    <s v="Small"/>
  </r>
  <r>
    <n v="10169"/>
    <n v="26"/>
    <n v="3983"/>
    <n v="103558"/>
    <n v="103558"/>
    <n v="9"/>
    <s v="11/4/2003 0:00"/>
    <x v="0"/>
    <x v="3"/>
    <x v="5"/>
    <x v="0"/>
    <x v="0"/>
    <n v="40"/>
    <s v="S32_2206"/>
    <x v="42"/>
    <s v="02 9936 8555"/>
    <s v="201 Miller Street"/>
    <s v="Level 15"/>
    <s v="North Sydney"/>
    <s v="NSW"/>
    <s v="2060"/>
    <x v="3"/>
    <s v="APAC"/>
    <s v="O'Hara"/>
    <s v="Anna"/>
    <s v="Anna, O'Hara"/>
    <s v="Small"/>
  </r>
  <r>
    <n v="10180"/>
    <n v="34"/>
    <n v="4546"/>
    <n v="154564"/>
    <n v="154564"/>
    <n v="4"/>
    <s v="11/11/2003 0:00"/>
    <x v="0"/>
    <x v="3"/>
    <x v="5"/>
    <x v="0"/>
    <x v="0"/>
    <n v="40"/>
    <s v="S32_2206"/>
    <x v="6"/>
    <s v="20.16.1555"/>
    <s v="184, chausse de Tournai"/>
    <s v=""/>
    <s v="Lille"/>
    <s v=""/>
    <s v="59000"/>
    <x v="1"/>
    <s v="EMEA"/>
    <s v="Rance"/>
    <s v="Martine"/>
    <s v="Martine, Rance"/>
    <s v="Small"/>
  </r>
  <r>
    <n v="10190"/>
    <n v="46"/>
    <n v="3299"/>
    <n v="151754"/>
    <n v="151754"/>
    <n v="1"/>
    <s v="11/19/2003 0:00"/>
    <x v="0"/>
    <x v="3"/>
    <x v="5"/>
    <x v="0"/>
    <x v="0"/>
    <n v="40"/>
    <s v="S32_2206"/>
    <x v="23"/>
    <s v="(91) 555 94 44"/>
    <s v="C/ Moralzarzal, 86"/>
    <s v=""/>
    <s v="Madrid"/>
    <s v=""/>
    <s v="28034"/>
    <x v="7"/>
    <s v="EMEA"/>
    <s v="Freyre"/>
    <s v="Diego"/>
    <s v="Diego, Freyre"/>
    <s v="Small"/>
  </r>
  <r>
    <n v="10211"/>
    <n v="41"/>
    <n v="4224"/>
    <n v="173184"/>
    <n v="173184"/>
    <n v="9"/>
    <s v="1/15/2004 0:00"/>
    <x v="0"/>
    <x v="0"/>
    <x v="7"/>
    <x v="1"/>
    <x v="0"/>
    <n v="40"/>
    <s v="S32_2206"/>
    <x v="9"/>
    <s v="(1) 47.55.6555"/>
    <s v="25, rue Lauriston"/>
    <s v=""/>
    <s v="Paris"/>
    <s v=""/>
    <s v="75016"/>
    <x v="1"/>
    <s v="EMEA"/>
    <s v="Perrier"/>
    <s v="Dominique"/>
    <s v="Dominique, Perrier"/>
    <s v="Small"/>
  </r>
  <r>
    <n v="10224"/>
    <n v="43"/>
    <n v="3943"/>
    <n v="169549"/>
    <n v="169549"/>
    <n v="2"/>
    <s v="2/21/2004 0:00"/>
    <x v="0"/>
    <x v="0"/>
    <x v="0"/>
    <x v="1"/>
    <x v="0"/>
    <n v="40"/>
    <s v="S32_2206"/>
    <x v="6"/>
    <s v="20.16.1555"/>
    <s v="184, chausse de Tournai"/>
    <s v=""/>
    <s v="Lille"/>
    <s v=""/>
    <s v="59000"/>
    <x v="1"/>
    <s v="EMEA"/>
    <s v="Rance"/>
    <s v="Martine"/>
    <s v="Martine, Rance"/>
    <s v="Small"/>
  </r>
  <r>
    <n v="10237"/>
    <n v="26"/>
    <n v="4023"/>
    <n v="104598"/>
    <n v="104598"/>
    <n v="2"/>
    <s v="4/5/2004 0:00"/>
    <x v="0"/>
    <x v="1"/>
    <x v="8"/>
    <x v="1"/>
    <x v="0"/>
    <n v="40"/>
    <s v="S32_2206"/>
    <x v="11"/>
    <s v="2125551500"/>
    <s v="2678 Kingston Rd."/>
    <s v="Suite 101"/>
    <s v="NYC"/>
    <s v="NY"/>
    <s v="10022"/>
    <x v="0"/>
    <s v="NA"/>
    <s v="Frick"/>
    <s v="Michael"/>
    <s v="Michael, Frick"/>
    <s v="Small"/>
  </r>
  <r>
    <n v="10252"/>
    <n v="36"/>
    <n v="4828"/>
    <n v="173808"/>
    <n v="173808"/>
    <n v="6"/>
    <s v="5/26/2004 0:00"/>
    <x v="0"/>
    <x v="1"/>
    <x v="1"/>
    <x v="1"/>
    <x v="0"/>
    <n v="40"/>
    <s v="S32_2206"/>
    <x v="9"/>
    <s v="(1) 47.55.6555"/>
    <s v="25, rue Lauriston"/>
    <s v=""/>
    <s v="Paris"/>
    <s v=""/>
    <s v="75016"/>
    <x v="1"/>
    <s v="EMEA"/>
    <s v="Perrier"/>
    <s v="Dominique"/>
    <s v="Dominique, Perrier"/>
    <s v="Small"/>
  </r>
  <r>
    <n v="10264"/>
    <n v="20"/>
    <n v="3259"/>
    <n v="65180"/>
    <n v="65180"/>
    <n v="4"/>
    <s v="6/30/2004 0:00"/>
    <x v="0"/>
    <x v="1"/>
    <x v="9"/>
    <x v="1"/>
    <x v="0"/>
    <n v="40"/>
    <s v="S32_2206"/>
    <x v="58"/>
    <s v="6175559555"/>
    <s v="8616 Spinnaker Dr."/>
    <s v=""/>
    <s v="Boston"/>
    <s v="MA"/>
    <s v="51003"/>
    <x v="0"/>
    <s v="NA"/>
    <s v="Yoshido"/>
    <s v="Juri"/>
    <s v="Juri, Yoshido"/>
    <s v="Small"/>
  </r>
  <r>
    <n v="10276"/>
    <n v="27"/>
    <n v="3661"/>
    <n v="98847"/>
    <n v="98847"/>
    <n v="10"/>
    <s v="8/2/2004 0:00"/>
    <x v="0"/>
    <x v="2"/>
    <x v="3"/>
    <x v="1"/>
    <x v="0"/>
    <n v="40"/>
    <s v="S32_2206"/>
    <x v="71"/>
    <s v="6175557555"/>
    <s v="7635 Spinnaker Dr."/>
    <s v=""/>
    <s v="Brickhaven"/>
    <s v="MA"/>
    <s v="58339"/>
    <x v="0"/>
    <s v="NA"/>
    <s v="Barajas"/>
    <s v="Miguel"/>
    <s v="Miguel, Barajas"/>
    <s v="Small"/>
  </r>
  <r>
    <n v="10285"/>
    <n v="37"/>
    <n v="4103"/>
    <n v="151811"/>
    <n v="151811"/>
    <n v="1"/>
    <s v="8/27/2004 0:00"/>
    <x v="0"/>
    <x v="2"/>
    <x v="3"/>
    <x v="1"/>
    <x v="0"/>
    <n v="40"/>
    <s v="S32_2206"/>
    <x v="15"/>
    <s v="6175558555"/>
    <s v="39323 Spinnaker Dr."/>
    <s v=""/>
    <s v="Cambridge"/>
    <s v="MA"/>
    <s v="51247"/>
    <x v="0"/>
    <s v="NA"/>
    <s v="Hernandez"/>
    <s v="Marta"/>
    <s v="Marta, Hernandez"/>
    <s v="Small"/>
  </r>
  <r>
    <n v="10299"/>
    <n v="24"/>
    <n v="4224"/>
    <n v="101376"/>
    <n v="101376"/>
    <n v="4"/>
    <s v="9/30/2004 0:00"/>
    <x v="0"/>
    <x v="2"/>
    <x v="10"/>
    <x v="1"/>
    <x v="0"/>
    <n v="40"/>
    <s v="S32_2206"/>
    <x v="16"/>
    <s v="90-224 8555"/>
    <s v="Keskuskatu 45"/>
    <s v=""/>
    <s v="Helsinki"/>
    <s v=""/>
    <s v="21240"/>
    <x v="4"/>
    <s v="EMEA"/>
    <s v="Karttunen"/>
    <s v="Matti"/>
    <s v="Matti, Karttunen"/>
    <s v="Small"/>
  </r>
  <r>
    <n v="10310"/>
    <n v="36"/>
    <n v="4305"/>
    <n v="154980"/>
    <n v="154980"/>
    <n v="17"/>
    <s v="10/16/2004 0:00"/>
    <x v="0"/>
    <x v="3"/>
    <x v="4"/>
    <x v="1"/>
    <x v="0"/>
    <n v="40"/>
    <s v="S32_2206"/>
    <x v="68"/>
    <s v="0221-5554327"/>
    <s v="Mehrheimerstr. 369"/>
    <s v=""/>
    <s v="Koln"/>
    <s v=""/>
    <s v="50739"/>
    <x v="16"/>
    <s v="EMEA"/>
    <s v="Pfalzheim"/>
    <s v="Henriette"/>
    <s v="Henriette, Pfalzheim"/>
    <s v="Small"/>
  </r>
  <r>
    <n v="10319"/>
    <n v="29"/>
    <n v="3822"/>
    <n v="110838"/>
    <n v="110838"/>
    <n v="5"/>
    <s v="11/3/2004 0:00"/>
    <x v="0"/>
    <x v="3"/>
    <x v="5"/>
    <x v="1"/>
    <x v="0"/>
    <n v="40"/>
    <s v="S32_2206"/>
    <x v="79"/>
    <s v="2125551957"/>
    <s v="5290 North Pendale Street"/>
    <s v="Suite 200"/>
    <s v="NYC"/>
    <s v="NY"/>
    <s v="10022"/>
    <x v="0"/>
    <s v="NA"/>
    <s v="Kuo"/>
    <s v="Kee"/>
    <s v="Kee, Kuo"/>
    <s v="Small"/>
  </r>
  <r>
    <n v="10331"/>
    <n v="28"/>
    <n v="100"/>
    <n v="2800"/>
    <n v="2800"/>
    <n v="3"/>
    <s v="11/17/2004 0:00"/>
    <x v="0"/>
    <x v="3"/>
    <x v="5"/>
    <x v="1"/>
    <x v="0"/>
    <n v="40"/>
    <s v="S32_2206"/>
    <x v="45"/>
    <s v="2155559857"/>
    <s v="11328 Douglas Av."/>
    <s v=""/>
    <s v="Philadelphia"/>
    <s v="PA"/>
    <s v="71270"/>
    <x v="0"/>
    <s v="NA"/>
    <s v="Hernandez"/>
    <s v="Rosa"/>
    <s v="Rosa, Hernandez"/>
    <s v="Medium"/>
  </r>
  <r>
    <n v="10343"/>
    <n v="29"/>
    <n v="100"/>
    <n v="2900"/>
    <n v="2900"/>
    <n v="5"/>
    <s v="11/24/2004 0:00"/>
    <x v="0"/>
    <x v="3"/>
    <x v="5"/>
    <x v="1"/>
    <x v="0"/>
    <n v="40"/>
    <s v="S32_2206"/>
    <x v="1"/>
    <s v="26.47.1555"/>
    <s v="59 rue de l'Abbaye"/>
    <s v=""/>
    <s v="Reims"/>
    <s v=""/>
    <s v="51100"/>
    <x v="1"/>
    <s v="EMEA"/>
    <s v="Henriot"/>
    <s v="Paul"/>
    <s v="Paul, Henriot"/>
    <s v="Medium"/>
  </r>
  <r>
    <n v="10355"/>
    <n v="38"/>
    <n v="3983"/>
    <n v="151354"/>
    <n v="151354"/>
    <n v="10"/>
    <s v="12/7/2004 0:00"/>
    <x v="0"/>
    <x v="3"/>
    <x v="6"/>
    <x v="1"/>
    <x v="0"/>
    <n v="40"/>
    <s v="S32_2206"/>
    <x v="23"/>
    <s v="(91) 555 94 44"/>
    <s v="C/ Moralzarzal, 86"/>
    <s v=""/>
    <s v="Madrid"/>
    <s v=""/>
    <s v="28034"/>
    <x v="7"/>
    <s v="EMEA"/>
    <s v="Freyre"/>
    <s v="Diego"/>
    <s v="Diego, Freyre"/>
    <s v="Small"/>
  </r>
  <r>
    <n v="10364"/>
    <n v="48"/>
    <n v="4828"/>
    <n v="231744"/>
    <n v="231744"/>
    <n v="1"/>
    <s v="1/6/2005 0:00"/>
    <x v="0"/>
    <x v="0"/>
    <x v="7"/>
    <x v="2"/>
    <x v="0"/>
    <n v="40"/>
    <s v="S32_2206"/>
    <x v="67"/>
    <s v="91.24.4555"/>
    <s v="12, rue des Bouchers"/>
    <s v=""/>
    <s v="Marseille"/>
    <s v=""/>
    <s v="13008"/>
    <x v="1"/>
    <s v="EMEA"/>
    <s v="Lebihan"/>
    <s v="Laurence"/>
    <s v="Laurence, Lebihan"/>
    <s v="Small"/>
  </r>
  <r>
    <n v="10378"/>
    <n v="40"/>
    <n v="8246"/>
    <n v="329840"/>
    <n v="329840"/>
    <n v="1"/>
    <s v="2/10/2005 0:00"/>
    <x v="0"/>
    <x v="0"/>
    <x v="0"/>
    <x v="2"/>
    <x v="0"/>
    <n v="40"/>
    <s v="S32_2206"/>
    <x v="23"/>
    <s v="(91) 555 94 44"/>
    <s v="C/ Moralzarzal, 86"/>
    <s v=""/>
    <s v="Madrid"/>
    <s v=""/>
    <s v="28034"/>
    <x v="7"/>
    <s v="EMEA"/>
    <s v="Freyre"/>
    <s v="Diego"/>
    <s v="Diego, Freyre"/>
    <s v="Medium"/>
  </r>
  <r>
    <n v="10390"/>
    <n v="41"/>
    <n v="4456"/>
    <n v="182696"/>
    <n v="182696"/>
    <n v="11"/>
    <s v="3/4/2005 0:00"/>
    <x v="0"/>
    <x v="0"/>
    <x v="11"/>
    <x v="2"/>
    <x v="0"/>
    <n v="40"/>
    <s v="S32_2206"/>
    <x v="39"/>
    <s v="4155551450"/>
    <s v="5677 Strong St."/>
    <s v=""/>
    <s v="San Rafael"/>
    <s v="CA"/>
    <s v="97562"/>
    <x v="0"/>
    <s v="NA"/>
    <s v="Nelson"/>
    <s v="Valarie"/>
    <s v="Valarie, Nelson"/>
    <s v="Small"/>
  </r>
  <r>
    <n v="10403"/>
    <n v="30"/>
    <n v="4023"/>
    <n v="120690"/>
    <n v="120690"/>
    <n v="2"/>
    <s v="4/8/2005 0:00"/>
    <x v="0"/>
    <x v="1"/>
    <x v="8"/>
    <x v="2"/>
    <x v="0"/>
    <n v="40"/>
    <s v="S32_2206"/>
    <x v="22"/>
    <s v="(171) 555-2282"/>
    <s v="Berkeley Gardens 12  Brewery"/>
    <s v=""/>
    <s v="Liverpool"/>
    <s v=""/>
    <s v="WX1 6LT"/>
    <x v="6"/>
    <s v="EMEA"/>
    <s v="Devon"/>
    <s v="Elizabeth"/>
    <s v="Elizabeth, Devon"/>
    <s v="Small"/>
  </r>
  <r>
    <n v="10104"/>
    <n v="35"/>
    <n v="4762"/>
    <n v="166670"/>
    <n v="166670"/>
    <n v="11"/>
    <s v="1/31/2003 0:00"/>
    <x v="0"/>
    <x v="0"/>
    <x v="7"/>
    <x v="0"/>
    <x v="2"/>
    <n v="54"/>
    <s v="S32_2509"/>
    <x v="23"/>
    <s v="(91) 555 94 44"/>
    <s v="C/ Moralzarzal, 86"/>
    <s v=""/>
    <s v="Madrid"/>
    <s v=""/>
    <s v="28034"/>
    <x v="7"/>
    <s v="EMEA"/>
    <s v="Freyre"/>
    <s v="Diego"/>
    <s v="Diego, Freyre"/>
    <s v="Small"/>
  </r>
  <r>
    <n v="10114"/>
    <n v="28"/>
    <n v="5573"/>
    <n v="156044"/>
    <n v="156044"/>
    <n v="2"/>
    <s v="4/1/2003 0:00"/>
    <x v="0"/>
    <x v="1"/>
    <x v="8"/>
    <x v="0"/>
    <x v="2"/>
    <n v="54"/>
    <s v="S32_2509"/>
    <x v="62"/>
    <s v="(1) 42.34.2555"/>
    <s v="265, boulevard Charonne"/>
    <s v=""/>
    <s v="Paris"/>
    <s v=""/>
    <s v="75012"/>
    <x v="1"/>
    <s v="EMEA"/>
    <s v="Bertrand"/>
    <s v="Marie"/>
    <s v="Marie, Bertrand"/>
    <s v="Small"/>
  </r>
  <r>
    <n v="10127"/>
    <n v="45"/>
    <n v="5195"/>
    <n v="233775"/>
    <n v="233775"/>
    <n v="13"/>
    <s v="6/3/2003 0:00"/>
    <x v="0"/>
    <x v="1"/>
    <x v="9"/>
    <x v="0"/>
    <x v="2"/>
    <n v="54"/>
    <s v="S32_2509"/>
    <x v="74"/>
    <s v="2125557413"/>
    <s v="4092 Furth Circle"/>
    <s v="Suite 400"/>
    <s v="NYC"/>
    <s v="NY"/>
    <s v="10022"/>
    <x v="0"/>
    <s v="NA"/>
    <s v="Young"/>
    <s v="Jeff"/>
    <s v="Jeff, Young"/>
    <s v="Small"/>
  </r>
  <r>
    <n v="10141"/>
    <n v="24"/>
    <n v="4599"/>
    <n v="110376"/>
    <n v="110376"/>
    <n v="7"/>
    <s v="8/1/2003 0:00"/>
    <x v="0"/>
    <x v="2"/>
    <x v="3"/>
    <x v="0"/>
    <x v="2"/>
    <n v="54"/>
    <s v="S32_2509"/>
    <x v="73"/>
    <s v="+358 9 8045 555"/>
    <s v="Software Engineering Center, SEC Oy"/>
    <s v=""/>
    <s v="Espoo"/>
    <s v=""/>
    <s v="FIN-02271"/>
    <x v="4"/>
    <s v="EMEA"/>
    <s v="Suominen"/>
    <s v="Kalle"/>
    <s v="Kalle, Suominen"/>
    <s v="Small"/>
  </r>
  <r>
    <n v="10151"/>
    <n v="41"/>
    <n v="6385"/>
    <n v="261785"/>
    <n v="261785"/>
    <n v="5"/>
    <s v="9/21/2003 0:00"/>
    <x v="0"/>
    <x v="2"/>
    <x v="10"/>
    <x v="0"/>
    <x v="2"/>
    <n v="54"/>
    <s v="S32_2509"/>
    <x v="60"/>
    <s v="981-443655"/>
    <s v="Torikatu 38"/>
    <s v=""/>
    <s v="Oulu"/>
    <s v=""/>
    <s v="90110"/>
    <x v="4"/>
    <s v="EMEA"/>
    <s v="Koskitalo"/>
    <s v="Pirkko"/>
    <s v="Pirkko, Koskitalo"/>
    <s v="Small"/>
  </r>
  <r>
    <n v="10165"/>
    <n v="48"/>
    <n v="4599"/>
    <n v="220752"/>
    <n v="220752"/>
    <n v="14"/>
    <s v="10/22/2003 0:00"/>
    <x v="0"/>
    <x v="3"/>
    <x v="4"/>
    <x v="0"/>
    <x v="2"/>
    <n v="54"/>
    <s v="S32_2509"/>
    <x v="26"/>
    <s v="+65 221 7555"/>
    <s v="Bronz Sok., Bronz Apt. 3/6 Tesvikiye"/>
    <s v=""/>
    <s v="Singapore"/>
    <s v=""/>
    <s v="79903"/>
    <x v="9"/>
    <s v="Japan"/>
    <s v="Natividad"/>
    <s v="Eric"/>
    <s v="Eric, Natividad"/>
    <s v="Small"/>
  </r>
  <r>
    <n v="10175"/>
    <n v="50"/>
    <n v="6331"/>
    <n v="316550"/>
    <n v="316550"/>
    <n v="3"/>
    <s v="11/6/2003 0:00"/>
    <x v="0"/>
    <x v="3"/>
    <x v="5"/>
    <x v="0"/>
    <x v="2"/>
    <n v="54"/>
    <s v="S32_2509"/>
    <x v="49"/>
    <s v="(171) 555-0297"/>
    <s v="35 King George"/>
    <s v=""/>
    <s v="London"/>
    <s v=""/>
    <s v="WX3 6FW"/>
    <x v="6"/>
    <s v="EMEA"/>
    <s v="Brown"/>
    <s v="Ann"/>
    <s v="Ann, Brown"/>
    <s v="Medium"/>
  </r>
  <r>
    <n v="10184"/>
    <n v="33"/>
    <n v="6277"/>
    <n v="207141"/>
    <n v="207141"/>
    <n v="8"/>
    <s v="11/14/2003 0:00"/>
    <x v="0"/>
    <x v="3"/>
    <x v="5"/>
    <x v="0"/>
    <x v="2"/>
    <n v="54"/>
    <s v="S32_2509"/>
    <x v="81"/>
    <s v="(95) 555 82 82"/>
    <s v="C/ Romero, 33"/>
    <s v=""/>
    <s v="Sevilla"/>
    <s v=""/>
    <s v="41101"/>
    <x v="7"/>
    <s v="EMEA"/>
    <s v="Roel"/>
    <s v="Jose Pedro"/>
    <s v="Jose Pedro, Roel"/>
    <s v="Small"/>
  </r>
  <r>
    <n v="10195"/>
    <n v="32"/>
    <n v="4329"/>
    <n v="138528"/>
    <n v="138528"/>
    <n v="8"/>
    <s v="11/25/2003 0:00"/>
    <x v="0"/>
    <x v="3"/>
    <x v="5"/>
    <x v="0"/>
    <x v="2"/>
    <n v="54"/>
    <s v="S32_2509"/>
    <x v="47"/>
    <s v="9145554562"/>
    <s v="3758 North Pendale Street"/>
    <s v=""/>
    <s v="White Plains"/>
    <s v="NY"/>
    <s v="24067"/>
    <x v="0"/>
    <s v="NA"/>
    <s v="Frick"/>
    <s v="Steve"/>
    <s v="Steve, Frick"/>
    <s v="Small"/>
  </r>
  <r>
    <n v="10207"/>
    <n v="27"/>
    <n v="6006"/>
    <n v="162162"/>
    <n v="162162"/>
    <n v="9"/>
    <s v="12/9/2003 0:00"/>
    <x v="0"/>
    <x v="3"/>
    <x v="6"/>
    <x v="0"/>
    <x v="2"/>
    <n v="54"/>
    <s v="S32_2509"/>
    <x v="64"/>
    <s v="6175552555"/>
    <s v="6251 Ingle Ln."/>
    <s v=""/>
    <s v="Boston"/>
    <s v="MA"/>
    <s v="51003"/>
    <x v="0"/>
    <s v="NA"/>
    <s v="Franco"/>
    <s v="Valarie"/>
    <s v="Valarie, Franco"/>
    <s v="Small"/>
  </r>
  <r>
    <n v="10219"/>
    <n v="35"/>
    <n v="5519"/>
    <n v="193165"/>
    <n v="193165"/>
    <n v="4"/>
    <s v="2/10/2004 0:00"/>
    <x v="0"/>
    <x v="0"/>
    <x v="0"/>
    <x v="1"/>
    <x v="2"/>
    <n v="54"/>
    <s v="S32_2509"/>
    <x v="82"/>
    <s v="4155554312"/>
    <s v="2793 Furth Circle"/>
    <s v=""/>
    <s v="Brisbane"/>
    <s v="CA"/>
    <s v="94217"/>
    <x v="0"/>
    <s v="NA"/>
    <s v="Taylor"/>
    <s v="Sue"/>
    <s v="Sue, Taylor"/>
    <s v="Small"/>
  </r>
  <r>
    <n v="10229"/>
    <n v="23"/>
    <n v="5411"/>
    <n v="124453"/>
    <n v="124453"/>
    <n v="3"/>
    <s v="3/11/2004 0:00"/>
    <x v="0"/>
    <x v="0"/>
    <x v="11"/>
    <x v="1"/>
    <x v="2"/>
    <n v="54"/>
    <s v="S32_2509"/>
    <x v="39"/>
    <s v="4155551450"/>
    <s v="5677 Strong St."/>
    <s v=""/>
    <s v="San Rafael"/>
    <s v="CA"/>
    <s v="97562"/>
    <x v="0"/>
    <s v="NA"/>
    <s v="Nelson"/>
    <s v="Valarie"/>
    <s v="Valarie, Nelson"/>
    <s v="Small"/>
  </r>
  <r>
    <n v="10246"/>
    <n v="35"/>
    <n v="487"/>
    <n v="17045"/>
    <n v="17045"/>
    <n v="7"/>
    <s v="5/5/2004 0:00"/>
    <x v="0"/>
    <x v="1"/>
    <x v="1"/>
    <x v="1"/>
    <x v="2"/>
    <n v="54"/>
    <s v="S32_2509"/>
    <x v="23"/>
    <s v="(91) 555 94 44"/>
    <s v="C/ Moralzarzal, 86"/>
    <s v=""/>
    <s v="Madrid"/>
    <s v=""/>
    <s v="28034"/>
    <x v="7"/>
    <s v="EMEA"/>
    <s v="Freyre"/>
    <s v="Diego"/>
    <s v="Diego, Freyre"/>
    <s v="Small"/>
  </r>
  <r>
    <n v="10259"/>
    <n v="40"/>
    <n v="4383"/>
    <n v="175320"/>
    <n v="175320"/>
    <n v="6"/>
    <s v="6/15/2004 0:00"/>
    <x v="0"/>
    <x v="1"/>
    <x v="9"/>
    <x v="1"/>
    <x v="2"/>
    <n v="54"/>
    <s v="S32_2509"/>
    <x v="65"/>
    <s v="+65 224 1555"/>
    <s v="Village Close - 106 Linden Road Sandown"/>
    <s v="2nd Floor"/>
    <s v="Singapore"/>
    <s v=""/>
    <s v="69045"/>
    <x v="9"/>
    <s v="APAC"/>
    <s v="Victorino"/>
    <s v="Wendy"/>
    <s v="Wendy, Victorino"/>
    <s v="Small"/>
  </r>
  <r>
    <n v="10271"/>
    <n v="35"/>
    <n v="4762"/>
    <n v="166670"/>
    <n v="166670"/>
    <n v="7"/>
    <s v="7/20/2004 0:00"/>
    <x v="0"/>
    <x v="2"/>
    <x v="2"/>
    <x v="1"/>
    <x v="2"/>
    <n v="54"/>
    <s v="S32_2509"/>
    <x v="39"/>
    <s v="4155551450"/>
    <s v="5677 Strong St."/>
    <s v=""/>
    <s v="San Rafael"/>
    <s v="CA"/>
    <s v="97562"/>
    <x v="0"/>
    <s v="NA"/>
    <s v="Nelson"/>
    <s v="Valarie"/>
    <s v="Valarie, Nelson"/>
    <s v="Small"/>
  </r>
  <r>
    <n v="10281"/>
    <n v="31"/>
    <n v="5519"/>
    <n v="171089"/>
    <n v="171089"/>
    <n v="3"/>
    <s v="8/19/2004 0:00"/>
    <x v="0"/>
    <x v="2"/>
    <x v="3"/>
    <x v="1"/>
    <x v="2"/>
    <n v="54"/>
    <s v="S32_2509"/>
    <x v="18"/>
    <s v="2155551555"/>
    <s v="7586 Pompton St."/>
    <s v=""/>
    <s v="Allentown"/>
    <s v="PA"/>
    <s v="70267"/>
    <x v="0"/>
    <s v="NA"/>
    <s v="Yu"/>
    <s v="Kyung"/>
    <s v="Kyung, Yu"/>
    <s v="Small"/>
  </r>
  <r>
    <n v="10292"/>
    <n v="50"/>
    <n v="4653"/>
    <n v="232650"/>
    <n v="232650"/>
    <n v="10"/>
    <s v="9/8/2004 0:00"/>
    <x v="0"/>
    <x v="2"/>
    <x v="10"/>
    <x v="1"/>
    <x v="2"/>
    <n v="54"/>
    <s v="S32_2509"/>
    <x v="0"/>
    <s v="2125557818"/>
    <s v="897 Long Airport Avenue"/>
    <s v=""/>
    <s v="NYC"/>
    <s v="NY"/>
    <s v="10022"/>
    <x v="0"/>
    <s v="NA"/>
    <s v="Yu"/>
    <s v="Kwai"/>
    <s v="Kwai, Yu"/>
    <s v="Small"/>
  </r>
  <r>
    <n v="10305"/>
    <n v="40"/>
    <n v="579"/>
    <n v="23160"/>
    <n v="23160"/>
    <n v="7"/>
    <s v="10/13/2004 0:00"/>
    <x v="0"/>
    <x v="3"/>
    <x v="4"/>
    <x v="1"/>
    <x v="2"/>
    <n v="54"/>
    <s v="S32_2509"/>
    <x v="15"/>
    <s v="6175558555"/>
    <s v="39323 Spinnaker Dr."/>
    <s v=""/>
    <s v="Cambridge"/>
    <s v="MA"/>
    <s v="51247"/>
    <x v="0"/>
    <s v="NA"/>
    <s v="Hernandez"/>
    <s v="Marta"/>
    <s v="Marta, Hernandez"/>
    <s v="Small"/>
  </r>
  <r>
    <n v="10313"/>
    <n v="38"/>
    <n v="4545"/>
    <n v="172710"/>
    <n v="172710"/>
    <n v="1"/>
    <s v="10/22/2004 0:00"/>
    <x v="0"/>
    <x v="3"/>
    <x v="4"/>
    <x v="1"/>
    <x v="2"/>
    <n v="54"/>
    <s v="S32_2509"/>
    <x v="31"/>
    <s v="(604) 555-3392"/>
    <s v="1900 Oak St."/>
    <s v=""/>
    <s v="Vancouver"/>
    <s v="BC"/>
    <s v="V3F 2K1"/>
    <x v="10"/>
    <s v="NA"/>
    <s v="Tannamuri"/>
    <s v="Yoshi"/>
    <s v="Yoshi, Tannamuri"/>
    <s v="Small"/>
  </r>
  <r>
    <n v="10325"/>
    <n v="38"/>
    <n v="100"/>
    <n v="3800"/>
    <n v="3800"/>
    <n v="3"/>
    <s v="11/5/2004 0:00"/>
    <x v="0"/>
    <x v="3"/>
    <x v="5"/>
    <x v="1"/>
    <x v="2"/>
    <n v="54"/>
    <s v="S32_2509"/>
    <x v="17"/>
    <s v="07-98 9555"/>
    <s v="Erling Skakkes gate 78"/>
    <s v=""/>
    <s v="Stavern"/>
    <s v=""/>
    <s v="4110"/>
    <x v="2"/>
    <s v="EMEA"/>
    <s v="Bergulfsen"/>
    <s v="Jonas"/>
    <s v="Jonas, Bergulfsen"/>
    <s v="Large"/>
  </r>
  <r>
    <n v="10335"/>
    <n v="40"/>
    <n v="606"/>
    <n v="24240"/>
    <n v="24240"/>
    <n v="3"/>
    <s v="11/19/2004 0:00"/>
    <x v="0"/>
    <x v="3"/>
    <x v="5"/>
    <x v="1"/>
    <x v="2"/>
    <n v="54"/>
    <s v="S32_2509"/>
    <x v="39"/>
    <s v="4155551450"/>
    <s v="5677 Strong St."/>
    <s v=""/>
    <s v="San Rafael"/>
    <s v="CA"/>
    <s v="97562"/>
    <x v="0"/>
    <s v="NA"/>
    <s v="Nelson"/>
    <s v="Valarie"/>
    <s v="Valarie, Nelson"/>
    <s v="Small"/>
  </r>
  <r>
    <n v="10349"/>
    <n v="33"/>
    <n v="4653"/>
    <n v="153549"/>
    <n v="153549"/>
    <n v="1"/>
    <s v="12/1/2004 0:00"/>
    <x v="0"/>
    <x v="3"/>
    <x v="6"/>
    <x v="1"/>
    <x v="2"/>
    <n v="54"/>
    <s v="S32_2509"/>
    <x v="74"/>
    <s v="2125557413"/>
    <s v="4092 Furth Circle"/>
    <s v="Suite 400"/>
    <s v="NYC"/>
    <s v="NY"/>
    <s v="10022"/>
    <x v="0"/>
    <s v="NA"/>
    <s v="Young"/>
    <s v="Jeff"/>
    <s v="Jeff, Young"/>
    <s v="Small"/>
  </r>
  <r>
    <n v="10359"/>
    <n v="36"/>
    <n v="100"/>
    <n v="3600"/>
    <n v="3600"/>
    <n v="3"/>
    <s v="12/15/2004 0:00"/>
    <x v="0"/>
    <x v="3"/>
    <x v="6"/>
    <x v="1"/>
    <x v="2"/>
    <n v="54"/>
    <s v="S32_2509"/>
    <x v="1"/>
    <s v="26.47.1555"/>
    <s v="59 rue de l'Abbaye"/>
    <s v=""/>
    <s v="Reims"/>
    <s v=""/>
    <s v="51100"/>
    <x v="1"/>
    <s v="EMEA"/>
    <s v="Henriot"/>
    <s v="Paul"/>
    <s v="Paul, Henriot"/>
    <s v="Medium"/>
  </r>
  <r>
    <n v="10371"/>
    <n v="20"/>
    <n v="6647"/>
    <n v="132940"/>
    <n v="132940"/>
    <n v="2"/>
    <s v="1/23/2005 0:00"/>
    <x v="0"/>
    <x v="0"/>
    <x v="7"/>
    <x v="2"/>
    <x v="2"/>
    <n v="54"/>
    <s v="S32_2509"/>
    <x v="39"/>
    <s v="4155551450"/>
    <s v="5677 Strong St."/>
    <s v=""/>
    <s v="San Rafael"/>
    <s v="CA"/>
    <s v="97562"/>
    <x v="0"/>
    <s v="NA"/>
    <s v="Nelson"/>
    <s v="Valarie"/>
    <s v="Valarie, Nelson"/>
    <s v="Small"/>
  </r>
  <r>
    <n v="10383"/>
    <n v="32"/>
    <n v="5318"/>
    <n v="170176"/>
    <n v="170176"/>
    <n v="5"/>
    <s v="2/22/2005 0:00"/>
    <x v="0"/>
    <x v="0"/>
    <x v="0"/>
    <x v="2"/>
    <x v="2"/>
    <n v="54"/>
    <s v="S32_2509"/>
    <x v="23"/>
    <s v="(91) 555 94 44"/>
    <s v="C/ Moralzarzal, 86"/>
    <s v=""/>
    <s v="Madrid"/>
    <s v=""/>
    <s v="28034"/>
    <x v="7"/>
    <s v="EMEA"/>
    <s v="Freyre"/>
    <s v="Diego"/>
    <s v="Diego, Freyre"/>
    <s v="Small"/>
  </r>
  <r>
    <n v="10394"/>
    <n v="36"/>
    <n v="6277"/>
    <n v="225972"/>
    <n v="225972"/>
    <n v="3"/>
    <s v="3/15/2005 0:00"/>
    <x v="0"/>
    <x v="0"/>
    <x v="11"/>
    <x v="2"/>
    <x v="2"/>
    <n v="54"/>
    <s v="S32_2509"/>
    <x v="23"/>
    <s v="(91) 555 94 44"/>
    <s v="C/ Moralzarzal, 86"/>
    <s v=""/>
    <s v="Madrid"/>
    <s v=""/>
    <s v="28034"/>
    <x v="7"/>
    <s v="EMEA"/>
    <s v="Freyre"/>
    <s v="Diego"/>
    <s v="Diego, Freyre"/>
    <s v="Small"/>
  </r>
  <r>
    <n v="10412"/>
    <n v="19"/>
    <n v="487"/>
    <n v="9253"/>
    <n v="9253"/>
    <n v="7"/>
    <s v="5/3/2005 0:00"/>
    <x v="0"/>
    <x v="1"/>
    <x v="1"/>
    <x v="2"/>
    <x v="2"/>
    <n v="54"/>
    <s v="S32_2509"/>
    <x v="23"/>
    <s v="(91) 555 94 44"/>
    <s v="C/ Moralzarzal, 86"/>
    <s v=""/>
    <s v="Madrid"/>
    <s v=""/>
    <s v="28034"/>
    <x v="7"/>
    <s v="EMEA"/>
    <s v="Freyre"/>
    <s v="Diego"/>
    <s v="Diego, Freyre"/>
    <s v="Small"/>
  </r>
  <r>
    <n v="10425"/>
    <n v="11"/>
    <n v="4383"/>
    <n v="48213"/>
    <n v="0"/>
    <n v="6"/>
    <s v="5/31/2005 0:00"/>
    <x v="2"/>
    <x v="1"/>
    <x v="1"/>
    <x v="2"/>
    <x v="2"/>
    <n v="54"/>
    <s v="S32_2509"/>
    <x v="14"/>
    <s v="40.67.8555"/>
    <s v="67, rue des Cinquante Otages"/>
    <s v=""/>
    <s v="Nantes"/>
    <s v=""/>
    <s v="44000"/>
    <x v="1"/>
    <s v="EMEA"/>
    <s v="Labrune"/>
    <s v="Janine"/>
    <s v="Janine, Labrune"/>
    <s v="Small"/>
  </r>
  <r>
    <n v="10104"/>
    <n v="49"/>
    <n v="6587"/>
    <n v="322763"/>
    <n v="322763"/>
    <n v="4"/>
    <s v="1/31/2003 0:00"/>
    <x v="0"/>
    <x v="0"/>
    <x v="7"/>
    <x v="0"/>
    <x v="6"/>
    <n v="62"/>
    <s v="S32_3207"/>
    <x v="23"/>
    <s v="(91) 555 94 44"/>
    <s v="C/ Moralzarzal, 86"/>
    <s v=""/>
    <s v="Madrid"/>
    <s v=""/>
    <s v="28034"/>
    <x v="7"/>
    <s v="EMEA"/>
    <s v="Freyre"/>
    <s v="Diego"/>
    <s v="Diego, Freyre"/>
    <s v="Medium"/>
  </r>
  <r>
    <n v="10116"/>
    <n v="27"/>
    <n v="6338"/>
    <n v="171126"/>
    <n v="171126"/>
    <n v="1"/>
    <s v="4/11/2003 0:00"/>
    <x v="0"/>
    <x v="1"/>
    <x v="8"/>
    <x v="0"/>
    <x v="6"/>
    <n v="62"/>
    <s v="S32_3207"/>
    <x v="90"/>
    <s v="(071) 23 67 2555"/>
    <s v="Boulevard Tirou, 255"/>
    <s v=""/>
    <s v="Charleroi"/>
    <s v=""/>
    <s v="B-6000"/>
    <x v="14"/>
    <s v="EMEA"/>
    <s v="Cartrain"/>
    <s v="Pascale"/>
    <s v="Pascale, Cartrain"/>
    <s v="Small"/>
  </r>
  <r>
    <n v="10127"/>
    <n v="29"/>
    <n v="7084"/>
    <n v="205436"/>
    <n v="205436"/>
    <n v="6"/>
    <s v="6/3/2003 0:00"/>
    <x v="0"/>
    <x v="1"/>
    <x v="9"/>
    <x v="0"/>
    <x v="6"/>
    <n v="62"/>
    <s v="S32_3207"/>
    <x v="74"/>
    <s v="2125557413"/>
    <s v="4092 Furth Circle"/>
    <s v="Suite 400"/>
    <s v="NYC"/>
    <s v="NY"/>
    <s v="10022"/>
    <x v="0"/>
    <s v="NA"/>
    <s v="Young"/>
    <s v="Jeff"/>
    <s v="Jeff, Young"/>
    <s v="Small"/>
  </r>
  <r>
    <n v="10142"/>
    <n v="42"/>
    <n v="7457"/>
    <n v="313194"/>
    <n v="313194"/>
    <n v="16"/>
    <s v="8/8/2003 0:00"/>
    <x v="0"/>
    <x v="2"/>
    <x v="3"/>
    <x v="0"/>
    <x v="6"/>
    <n v="62"/>
    <s v="S32_3207"/>
    <x v="39"/>
    <s v="4155551450"/>
    <s v="5677 Strong St."/>
    <s v=""/>
    <s v="San Rafael"/>
    <s v="CA"/>
    <s v="97562"/>
    <x v="0"/>
    <s v="NA"/>
    <s v="Nelson"/>
    <s v="Valarie"/>
    <s v="Valarie, Nelson"/>
    <s v="Medium"/>
  </r>
  <r>
    <n v="10152"/>
    <n v="33"/>
    <n v="5095"/>
    <n v="168135"/>
    <n v="168135"/>
    <n v="2"/>
    <s v="9/25/2003 0:00"/>
    <x v="0"/>
    <x v="2"/>
    <x v="10"/>
    <x v="0"/>
    <x v="6"/>
    <n v="62"/>
    <s v="S32_3207"/>
    <x v="28"/>
    <s v="61-7-3844-6555"/>
    <s v="31 Duncan St. West End"/>
    <s v=""/>
    <s v="South Brisbane"/>
    <s v="Queensland"/>
    <s v="4101"/>
    <x v="3"/>
    <s v="APAC"/>
    <s v="Calaghan"/>
    <s v="Tony"/>
    <s v="Tony, Calaghan"/>
    <s v="Small"/>
  </r>
  <r>
    <n v="10165"/>
    <n v="44"/>
    <n v="5344"/>
    <n v="235136"/>
    <n v="235136"/>
    <n v="7"/>
    <s v="10/22/2003 0:00"/>
    <x v="0"/>
    <x v="3"/>
    <x v="4"/>
    <x v="0"/>
    <x v="6"/>
    <n v="62"/>
    <s v="S32_3207"/>
    <x v="26"/>
    <s v="+65 221 7555"/>
    <s v="Bronz Sok., Bronz Apt. 3/6 Tesvikiye"/>
    <s v=""/>
    <s v="Singapore"/>
    <s v=""/>
    <s v="79903"/>
    <x v="9"/>
    <s v="Japan"/>
    <s v="Natividad"/>
    <s v="Eric"/>
    <s v="Eric, Natividad"/>
    <s v="Small"/>
  </r>
  <r>
    <n v="10176"/>
    <n v="22"/>
    <n v="64"/>
    <n v="1408"/>
    <n v="1408"/>
    <n v="6"/>
    <s v="11/6/2003 0:00"/>
    <x v="0"/>
    <x v="3"/>
    <x v="5"/>
    <x v="0"/>
    <x v="6"/>
    <n v="62"/>
    <s v="S32_3207"/>
    <x v="70"/>
    <s v="0522-556555"/>
    <s v="Strada Provinciale 124"/>
    <s v=""/>
    <s v="Reggio Emilia"/>
    <s v=""/>
    <s v="42100"/>
    <x v="12"/>
    <s v="EMEA"/>
    <s v="Moroni"/>
    <s v="Maurizio"/>
    <s v="Maurizio, Moroni"/>
    <s v="Small"/>
  </r>
  <r>
    <n v="10184"/>
    <n v="48"/>
    <n v="5095"/>
    <n v="244560"/>
    <n v="244560"/>
    <n v="1"/>
    <s v="11/14/2003 0:00"/>
    <x v="0"/>
    <x v="3"/>
    <x v="5"/>
    <x v="0"/>
    <x v="6"/>
    <n v="62"/>
    <s v="S32_3207"/>
    <x v="81"/>
    <s v="(95) 555 82 82"/>
    <s v="C/ Romero, 33"/>
    <s v=""/>
    <s v="Sevilla"/>
    <s v=""/>
    <s v="41101"/>
    <x v="7"/>
    <s v="EMEA"/>
    <s v="Roel"/>
    <s v="Jose Pedro"/>
    <s v="Jose Pedro, Roel"/>
    <s v="Small"/>
  </r>
  <r>
    <n v="10195"/>
    <n v="33"/>
    <n v="5468"/>
    <n v="180444"/>
    <n v="180444"/>
    <n v="1"/>
    <s v="11/25/2003 0:00"/>
    <x v="0"/>
    <x v="3"/>
    <x v="5"/>
    <x v="0"/>
    <x v="6"/>
    <n v="62"/>
    <s v="S32_3207"/>
    <x v="47"/>
    <s v="9145554562"/>
    <s v="3758 North Pendale Street"/>
    <s v=""/>
    <s v="White Plains"/>
    <s v="NY"/>
    <s v="24067"/>
    <x v="0"/>
    <s v="NA"/>
    <s v="Frick"/>
    <s v="Steve"/>
    <s v="Steve, Frick"/>
    <s v="Small"/>
  </r>
  <r>
    <n v="10207"/>
    <n v="45"/>
    <n v="5655"/>
    <n v="254475"/>
    <n v="254475"/>
    <n v="2"/>
    <s v="12/9/2003 0:00"/>
    <x v="0"/>
    <x v="3"/>
    <x v="6"/>
    <x v="0"/>
    <x v="6"/>
    <n v="62"/>
    <s v="S32_3207"/>
    <x v="64"/>
    <s v="6175552555"/>
    <s v="6251 Ingle Ln."/>
    <s v=""/>
    <s v="Boston"/>
    <s v="MA"/>
    <s v="51003"/>
    <x v="0"/>
    <s v="NA"/>
    <s v="Franco"/>
    <s v="Valarie"/>
    <s v="Valarie, Franco"/>
    <s v="Small"/>
  </r>
  <r>
    <n v="10220"/>
    <n v="20"/>
    <n v="5282"/>
    <n v="105640"/>
    <n v="105640"/>
    <n v="6"/>
    <s v="2/12/2004 0:00"/>
    <x v="0"/>
    <x v="0"/>
    <x v="0"/>
    <x v="1"/>
    <x v="6"/>
    <n v="62"/>
    <s v="S32_3207"/>
    <x v="75"/>
    <s v="+353 1862 1555"/>
    <s v="25 Maiden Lane"/>
    <s v="Floor No. 4"/>
    <s v="Dublin"/>
    <s v=""/>
    <s v="2"/>
    <x v="18"/>
    <s v="EMEA"/>
    <s v="Cassidy"/>
    <s v="Dean"/>
    <s v="Dean, Cassidy"/>
    <s v="Small"/>
  </r>
  <r>
    <n v="10230"/>
    <n v="46"/>
    <n v="609"/>
    <n v="28014"/>
    <n v="28014"/>
    <n v="4"/>
    <s v="3/15/2004 0:00"/>
    <x v="0"/>
    <x v="0"/>
    <x v="11"/>
    <x v="1"/>
    <x v="6"/>
    <n v="62"/>
    <s v="S32_3207"/>
    <x v="72"/>
    <s v="+49 69 66 90 2555"/>
    <s v="Lyonerstr. 34"/>
    <s v=""/>
    <s v="Frankfurt"/>
    <s v=""/>
    <s v="60528"/>
    <x v="16"/>
    <s v="EMEA"/>
    <s v="Keitel"/>
    <s v="Roland"/>
    <s v="Roland, Keitel"/>
    <s v="Small"/>
  </r>
  <r>
    <n v="10247"/>
    <n v="40"/>
    <n v="4971"/>
    <n v="198840"/>
    <n v="198840"/>
    <n v="6"/>
    <s v="5/5/2004 0:00"/>
    <x v="0"/>
    <x v="1"/>
    <x v="1"/>
    <x v="1"/>
    <x v="6"/>
    <n v="62"/>
    <s v="S32_3207"/>
    <x v="73"/>
    <s v="+358 9 8045 555"/>
    <s v="Software Engineering Center, SEC Oy"/>
    <s v=""/>
    <s v="Espoo"/>
    <s v=""/>
    <s v="FIN-02271"/>
    <x v="4"/>
    <s v="EMEA"/>
    <s v="Suominen"/>
    <s v="Kalle"/>
    <s v="Kalle, Suominen"/>
    <s v="Small"/>
  </r>
  <r>
    <n v="10272"/>
    <n v="45"/>
    <n v="6463"/>
    <n v="290835"/>
    <n v="290835"/>
    <n v="6"/>
    <s v="7/20/2004 0:00"/>
    <x v="0"/>
    <x v="2"/>
    <x v="2"/>
    <x v="1"/>
    <x v="6"/>
    <n v="62"/>
    <s v="S32_3207"/>
    <x v="18"/>
    <s v="2155551555"/>
    <s v="7586 Pompton St."/>
    <s v=""/>
    <s v="Allentown"/>
    <s v="PA"/>
    <s v="70267"/>
    <x v="0"/>
    <s v="NA"/>
    <s v="Yu"/>
    <s v="Kyung"/>
    <s v="Kyung, Yu"/>
    <s v="Small"/>
  </r>
  <r>
    <n v="10282"/>
    <n v="36"/>
    <n v="5965"/>
    <n v="214740"/>
    <n v="214740"/>
    <n v="9"/>
    <s v="8/20/2004 0:00"/>
    <x v="0"/>
    <x v="2"/>
    <x v="3"/>
    <x v="1"/>
    <x v="6"/>
    <n v="62"/>
    <s v="S32_3207"/>
    <x v="39"/>
    <s v="4155551450"/>
    <s v="5677 Strong St."/>
    <s v=""/>
    <s v="San Rafael"/>
    <s v="CA"/>
    <s v="97562"/>
    <x v="0"/>
    <s v="NA"/>
    <s v="Nelson"/>
    <s v="Valarie"/>
    <s v="Valarie, Nelson"/>
    <s v="Small"/>
  </r>
  <r>
    <n v="10292"/>
    <n v="31"/>
    <n v="6773"/>
    <n v="209963"/>
    <n v="209963"/>
    <n v="3"/>
    <s v="9/8/2004 0:00"/>
    <x v="0"/>
    <x v="2"/>
    <x v="10"/>
    <x v="1"/>
    <x v="6"/>
    <n v="62"/>
    <s v="S32_3207"/>
    <x v="0"/>
    <s v="2125557818"/>
    <s v="897 Long Airport Avenue"/>
    <s v=""/>
    <s v="NYC"/>
    <s v="NY"/>
    <s v="10022"/>
    <x v="0"/>
    <s v="NA"/>
    <s v="Yu"/>
    <s v="Kwai"/>
    <s v="Kwai, Yu"/>
    <s v="Small"/>
  </r>
  <r>
    <n v="10306"/>
    <n v="46"/>
    <n v="5033"/>
    <n v="231518"/>
    <n v="231518"/>
    <n v="17"/>
    <s v="10/14/2004 0:00"/>
    <x v="0"/>
    <x v="3"/>
    <x v="4"/>
    <x v="1"/>
    <x v="6"/>
    <n v="62"/>
    <s v="S32_3207"/>
    <x v="77"/>
    <s v="(171) 555-1555"/>
    <s v="Fauntleroy Circus"/>
    <s v=""/>
    <s v="Manchester"/>
    <s v=""/>
    <s v="EC2 5NT"/>
    <x v="6"/>
    <s v="EMEA"/>
    <s v="Ashworth"/>
    <s v="Victoria"/>
    <s v="Victoria, Ashworth"/>
    <s v="Small"/>
  </r>
  <r>
    <n v="10314"/>
    <n v="35"/>
    <n v="6649"/>
    <n v="232715"/>
    <n v="232715"/>
    <n v="9"/>
    <s v="10/22/2004 0:00"/>
    <x v="0"/>
    <x v="3"/>
    <x v="4"/>
    <x v="1"/>
    <x v="6"/>
    <n v="62"/>
    <s v="S32_3207"/>
    <x v="78"/>
    <s v="86 21 3555"/>
    <s v="Smagsloget 45"/>
    <s v=""/>
    <s v="Aaarhus"/>
    <s v=""/>
    <s v="8200"/>
    <x v="13"/>
    <s v="EMEA"/>
    <s v="Ibsen"/>
    <s v="Palle"/>
    <s v="Palle, Ibsen"/>
    <s v="Small"/>
  </r>
  <r>
    <n v="10325"/>
    <n v="28"/>
    <n v="100"/>
    <n v="2800"/>
    <n v="2800"/>
    <n v="2"/>
    <s v="11/5/2004 0:00"/>
    <x v="0"/>
    <x v="3"/>
    <x v="5"/>
    <x v="1"/>
    <x v="6"/>
    <n v="62"/>
    <s v="S32_3207"/>
    <x v="17"/>
    <s v="07-98 9555"/>
    <s v="Erling Skakkes gate 78"/>
    <s v=""/>
    <s v="Stavern"/>
    <s v=""/>
    <s v="4110"/>
    <x v="2"/>
    <s v="EMEA"/>
    <s v="Bergulfsen"/>
    <s v="Jonas"/>
    <s v="Jonas, Bergulfsen"/>
    <s v="Medium"/>
  </r>
  <r>
    <n v="10336"/>
    <n v="31"/>
    <n v="8471"/>
    <n v="262601"/>
    <n v="262601"/>
    <n v="9"/>
    <s v="11/20/2004 0:00"/>
    <x v="0"/>
    <x v="3"/>
    <x v="5"/>
    <x v="1"/>
    <x v="6"/>
    <n v="62"/>
    <s v="S32_3207"/>
    <x v="62"/>
    <s v="(1) 42.34.2555"/>
    <s v="265, boulevard Charonne"/>
    <s v=""/>
    <s v="Paris"/>
    <s v=""/>
    <s v="75012"/>
    <x v="1"/>
    <s v="EMEA"/>
    <s v="Bertrand"/>
    <s v="Marie"/>
    <s v="Marie, Bertrand"/>
    <s v="Small"/>
  </r>
  <r>
    <n v="10350"/>
    <n v="27"/>
    <n v="100"/>
    <n v="2700"/>
    <n v="2700"/>
    <n v="14"/>
    <s v="12/2/2004 0:00"/>
    <x v="0"/>
    <x v="3"/>
    <x v="6"/>
    <x v="1"/>
    <x v="6"/>
    <n v="62"/>
    <s v="S32_3207"/>
    <x v="23"/>
    <s v="(91) 555 94 44"/>
    <s v="C/ Moralzarzal, 86"/>
    <s v=""/>
    <s v="Madrid"/>
    <s v=""/>
    <s v="28034"/>
    <x v="7"/>
    <s v="EMEA"/>
    <s v="Freyre"/>
    <s v="Diego"/>
    <s v="Diego, Freyre"/>
    <s v="Medium"/>
  </r>
  <r>
    <n v="10359"/>
    <n v="22"/>
    <n v="100"/>
    <n v="2200"/>
    <n v="2200"/>
    <n v="1"/>
    <s v="12/15/2004 0:00"/>
    <x v="0"/>
    <x v="3"/>
    <x v="6"/>
    <x v="1"/>
    <x v="6"/>
    <n v="62"/>
    <s v="S32_3207"/>
    <x v="1"/>
    <s v="26.47.1555"/>
    <s v="59 rue de l'Abbaye"/>
    <s v=""/>
    <s v="Reims"/>
    <s v=""/>
    <s v="51100"/>
    <x v="1"/>
    <s v="EMEA"/>
    <s v="Henriot"/>
    <s v="Paul"/>
    <s v="Paul, Henriot"/>
    <s v="Medium"/>
  </r>
  <r>
    <n v="10371"/>
    <n v="30"/>
    <n v="9955"/>
    <n v="298650"/>
    <n v="298650"/>
    <n v="11"/>
    <s v="1/23/2005 0:00"/>
    <x v="0"/>
    <x v="0"/>
    <x v="7"/>
    <x v="2"/>
    <x v="6"/>
    <n v="62"/>
    <s v="S32_3207"/>
    <x v="39"/>
    <s v="4155551450"/>
    <s v="5677 Strong St."/>
    <s v=""/>
    <s v="San Rafael"/>
    <s v="CA"/>
    <s v="97562"/>
    <x v="0"/>
    <s v="NA"/>
    <s v="Nelson"/>
    <s v="Valarie"/>
    <s v="Valarie, Nelson"/>
    <s v="Small"/>
  </r>
  <r>
    <n v="10383"/>
    <n v="44"/>
    <n v="3607"/>
    <n v="158708"/>
    <n v="158708"/>
    <n v="8"/>
    <s v="2/22/2005 0:00"/>
    <x v="0"/>
    <x v="0"/>
    <x v="0"/>
    <x v="2"/>
    <x v="6"/>
    <n v="62"/>
    <s v="S32_3207"/>
    <x v="23"/>
    <s v="(91) 555 94 44"/>
    <s v="C/ Moralzarzal, 86"/>
    <s v=""/>
    <s v="Madrid"/>
    <s v=""/>
    <s v="28034"/>
    <x v="7"/>
    <s v="EMEA"/>
    <s v="Freyre"/>
    <s v="Diego"/>
    <s v="Diego, Freyre"/>
    <s v="Small"/>
  </r>
  <r>
    <n v="10394"/>
    <n v="30"/>
    <n v="6028"/>
    <n v="180840"/>
    <n v="180840"/>
    <n v="4"/>
    <s v="3/15/2005 0:00"/>
    <x v="0"/>
    <x v="0"/>
    <x v="11"/>
    <x v="2"/>
    <x v="6"/>
    <n v="62"/>
    <s v="S32_3207"/>
    <x v="23"/>
    <s v="(91) 555 94 44"/>
    <s v="C/ Moralzarzal, 86"/>
    <s v=""/>
    <s v="Madrid"/>
    <s v=""/>
    <s v="28034"/>
    <x v="7"/>
    <s v="EMEA"/>
    <s v="Freyre"/>
    <s v="Diego"/>
    <s v="Diego, Freyre"/>
    <s v="Small"/>
  </r>
  <r>
    <n v="10413"/>
    <n v="24"/>
    <n v="4971"/>
    <n v="119304"/>
    <n v="119304"/>
    <n v="6"/>
    <s v="5/5/2005 0:00"/>
    <x v="0"/>
    <x v="1"/>
    <x v="1"/>
    <x v="2"/>
    <x v="6"/>
    <n v="62"/>
    <s v="S32_3207"/>
    <x v="13"/>
    <s v="2035552570"/>
    <s v="25593 South Bay Ln."/>
    <s v=""/>
    <s v="Bridgewater"/>
    <s v="CT"/>
    <s v="97562"/>
    <x v="0"/>
    <s v="NA"/>
    <s v="King"/>
    <s v="Julie"/>
    <s v="Julie, King"/>
    <s v="Small"/>
  </r>
  <r>
    <n v="10103"/>
    <n v="45"/>
    <n v="7563"/>
    <n v="340335"/>
    <n v="340335"/>
    <n v="7"/>
    <s v="1/29/2003 0:00"/>
    <x v="0"/>
    <x v="0"/>
    <x v="7"/>
    <x v="0"/>
    <x v="2"/>
    <n v="64"/>
    <s v="S32_3522"/>
    <x v="17"/>
    <s v="07-98 9555"/>
    <s v="Erling Skakkes gate 78"/>
    <s v=""/>
    <s v="Stavern"/>
    <s v=""/>
    <s v="4110"/>
    <x v="2"/>
    <s v="EMEA"/>
    <s v="Bergulfsen"/>
    <s v="Jonas"/>
    <s v="Jonas, Bergulfsen"/>
    <s v="Medium"/>
  </r>
  <r>
    <n v="10113"/>
    <n v="23"/>
    <n v="6852"/>
    <n v="157596"/>
    <n v="157596"/>
    <n v="1"/>
    <s v="3/26/2003 0:00"/>
    <x v="0"/>
    <x v="0"/>
    <x v="11"/>
    <x v="0"/>
    <x v="2"/>
    <n v="64"/>
    <s v="S32_3522"/>
    <x v="39"/>
    <s v="4155551450"/>
    <s v="5677 Strong St."/>
    <s v=""/>
    <s v="San Rafael"/>
    <s v="CA"/>
    <s v="97562"/>
    <x v="0"/>
    <s v="NA"/>
    <s v="Nelson"/>
    <s v="Valarie"/>
    <s v="Valarie, Nelson"/>
    <s v="Small"/>
  </r>
  <r>
    <n v="10126"/>
    <n v="26"/>
    <n v="627"/>
    <n v="16302"/>
    <n v="16302"/>
    <n v="7"/>
    <s v="5/28/2003 0:00"/>
    <x v="0"/>
    <x v="1"/>
    <x v="1"/>
    <x v="0"/>
    <x v="2"/>
    <n v="64"/>
    <s v="S32_3522"/>
    <x v="25"/>
    <s v="(91) 555 22 82"/>
    <s v="C/ Araquil, 67"/>
    <s v=""/>
    <s v="Madrid"/>
    <s v=""/>
    <s v="28023"/>
    <x v="7"/>
    <s v="EMEA"/>
    <s v="Sommer"/>
    <s v="Mart¡n"/>
    <s v="Mart¡n, Sommer"/>
    <s v="Small"/>
  </r>
  <r>
    <n v="10140"/>
    <n v="28"/>
    <n v="6076"/>
    <n v="170128"/>
    <n v="170128"/>
    <n v="7"/>
    <s v="7/24/2003 0:00"/>
    <x v="0"/>
    <x v="2"/>
    <x v="2"/>
    <x v="0"/>
    <x v="2"/>
    <n v="64"/>
    <s v="S32_3522"/>
    <x v="5"/>
    <s v="6505556809"/>
    <s v="9408 Furth Circle"/>
    <s v=""/>
    <s v="Burlingame"/>
    <s v="CA"/>
    <s v="94217"/>
    <x v="0"/>
    <s v="NA"/>
    <s v="Hirano"/>
    <s v="Juri"/>
    <s v="Juri, Hirano"/>
    <s v="Small"/>
  </r>
  <r>
    <n v="10150"/>
    <n v="49"/>
    <n v="5818"/>
    <n v="285082"/>
    <n v="285082"/>
    <n v="4"/>
    <s v="9/19/2003 0:00"/>
    <x v="0"/>
    <x v="2"/>
    <x v="10"/>
    <x v="0"/>
    <x v="2"/>
    <n v="64"/>
    <s v="S32_3522"/>
    <x v="26"/>
    <s v="+65 221 7555"/>
    <s v="Bronz Sok., Bronz Apt. 3/6 Tesvikiye"/>
    <s v=""/>
    <s v="Singapore"/>
    <s v=""/>
    <s v="79903"/>
    <x v="9"/>
    <s v="Japan"/>
    <s v="Natividad"/>
    <s v="Eric"/>
    <s v="Eric, Natividad"/>
    <s v="Small"/>
  </r>
  <r>
    <n v="10164"/>
    <n v="49"/>
    <n v="5494"/>
    <n v="269206"/>
    <n v="269206"/>
    <n v="5"/>
    <s v="10/21/2003 0:00"/>
    <x v="5"/>
    <x v="3"/>
    <x v="4"/>
    <x v="0"/>
    <x v="2"/>
    <n v="64"/>
    <s v="S32_3522"/>
    <x v="63"/>
    <s v="7675-3555"/>
    <s v="Kirchgasse 6"/>
    <s v=""/>
    <s v="Graz"/>
    <s v=""/>
    <s v="8010"/>
    <x v="5"/>
    <s v="EMEA"/>
    <s v="Mendel"/>
    <s v="Roland"/>
    <s v="Roland, Mendel"/>
    <s v="Small"/>
  </r>
  <r>
    <n v="10175"/>
    <n v="29"/>
    <n v="7498"/>
    <n v="217442"/>
    <n v="217442"/>
    <n v="12"/>
    <s v="11/6/2003 0:00"/>
    <x v="0"/>
    <x v="3"/>
    <x v="5"/>
    <x v="0"/>
    <x v="2"/>
    <n v="64"/>
    <s v="S32_3522"/>
    <x v="49"/>
    <s v="(171) 555-0297"/>
    <s v="35 King George"/>
    <s v=""/>
    <s v="London"/>
    <s v=""/>
    <s v="WX3 6FW"/>
    <x v="6"/>
    <s v="EMEA"/>
    <s v="Brown"/>
    <s v="Ann"/>
    <s v="Ann, Brown"/>
    <s v="Small"/>
  </r>
  <r>
    <n v="10183"/>
    <n v="49"/>
    <n v="6464"/>
    <n v="316736"/>
    <n v="316736"/>
    <n v="4"/>
    <s v="11/13/2003 0:00"/>
    <x v="0"/>
    <x v="3"/>
    <x v="5"/>
    <x v="0"/>
    <x v="2"/>
    <n v="64"/>
    <s v="S32_3522"/>
    <x v="29"/>
    <s v="2155554695"/>
    <s v="782 First Street"/>
    <s v=""/>
    <s v="Philadelphia"/>
    <s v="PA"/>
    <s v="71270"/>
    <x v="0"/>
    <s v="NA"/>
    <s v="Cervantes"/>
    <s v="Francisca"/>
    <s v="Francisca, Cervantes"/>
    <s v="Medium"/>
  </r>
  <r>
    <n v="10194"/>
    <n v="39"/>
    <n v="5494"/>
    <n v="214266"/>
    <n v="214266"/>
    <n v="7"/>
    <s v="11/25/2003 0:00"/>
    <x v="0"/>
    <x v="3"/>
    <x v="5"/>
    <x v="0"/>
    <x v="2"/>
    <n v="64"/>
    <s v="S32_3522"/>
    <x v="30"/>
    <s v="78.32.5555"/>
    <s v="2, rue du Commerce"/>
    <s v=""/>
    <s v="Lyon"/>
    <s v=""/>
    <s v="69004"/>
    <x v="1"/>
    <s v="EMEA"/>
    <s v="Saveley"/>
    <s v="Mary"/>
    <s v="Mary, Saveley"/>
    <s v="Small"/>
  </r>
  <r>
    <n v="10206"/>
    <n v="36"/>
    <n v="5882"/>
    <n v="211752"/>
    <n v="211752"/>
    <n v="2"/>
    <s v="12/5/2003 0:00"/>
    <x v="0"/>
    <x v="3"/>
    <x v="6"/>
    <x v="0"/>
    <x v="2"/>
    <n v="64"/>
    <s v="S32_3522"/>
    <x v="31"/>
    <s v="(604) 555-3392"/>
    <s v="1900 Oak St."/>
    <s v=""/>
    <s v="Vancouver"/>
    <s v="BC"/>
    <s v="V3F 2K1"/>
    <x v="10"/>
    <s v="NA"/>
    <s v="Tannamuri"/>
    <s v="Yoshi"/>
    <s v="Yoshi, Tannamuri"/>
    <s v="Small"/>
  </r>
  <r>
    <n v="10217"/>
    <n v="39"/>
    <n v="6205"/>
    <n v="241995"/>
    <n v="241995"/>
    <n v="7"/>
    <s v="2/4/2004 0:00"/>
    <x v="0"/>
    <x v="0"/>
    <x v="0"/>
    <x v="1"/>
    <x v="2"/>
    <n v="64"/>
    <s v="S32_3522"/>
    <x v="65"/>
    <s v="+65 224 1555"/>
    <s v="Village Close - 106 Linden Road Sandown"/>
    <s v="2nd Floor"/>
    <s v="Singapore"/>
    <s v=""/>
    <s v="69045"/>
    <x v="9"/>
    <s v="APAC"/>
    <s v="Victorino"/>
    <s v="Wendy"/>
    <s v="Wendy, Victorino"/>
    <s v="Small"/>
  </r>
  <r>
    <n v="10229"/>
    <n v="30"/>
    <n v="7304"/>
    <n v="219120"/>
    <n v="219120"/>
    <n v="12"/>
    <s v="3/11/2004 0:00"/>
    <x v="0"/>
    <x v="0"/>
    <x v="11"/>
    <x v="1"/>
    <x v="2"/>
    <n v="64"/>
    <s v="S32_3522"/>
    <x v="39"/>
    <s v="4155551450"/>
    <s v="5677 Strong St."/>
    <s v=""/>
    <s v="San Rafael"/>
    <s v="CA"/>
    <s v="97562"/>
    <x v="0"/>
    <s v="NA"/>
    <s v="Nelson"/>
    <s v="Valarie"/>
    <s v="Valarie, Nelson"/>
    <s v="Small"/>
  </r>
  <r>
    <n v="10245"/>
    <n v="44"/>
    <n v="6916"/>
    <n v="304304"/>
    <n v="304304"/>
    <n v="5"/>
    <s v="5/4/2004 0:00"/>
    <x v="0"/>
    <x v="1"/>
    <x v="1"/>
    <x v="1"/>
    <x v="2"/>
    <n v="64"/>
    <s v="S32_3522"/>
    <x v="34"/>
    <s v="2035559545"/>
    <s v="567 North Pendale Street"/>
    <s v=""/>
    <s v="New Haven"/>
    <s v="CT"/>
    <s v="97823"/>
    <x v="0"/>
    <s v="NA"/>
    <s v="Murphy"/>
    <s v="Leslie"/>
    <s v="Leslie, Murphy"/>
    <s v="Medium"/>
  </r>
  <r>
    <n v="10258"/>
    <n v="20"/>
    <n v="6141"/>
    <n v="122820"/>
    <n v="122820"/>
    <n v="2"/>
    <s v="6/15/2004 0:00"/>
    <x v="0"/>
    <x v="1"/>
    <x v="9"/>
    <x v="1"/>
    <x v="2"/>
    <n v="64"/>
    <s v="S32_3522"/>
    <x v="35"/>
    <s v="+81 3 3584 0555"/>
    <s v="2-2-8 Roppongi"/>
    <s v=""/>
    <s v="Minato-ku"/>
    <s v="Tokyo"/>
    <s v="106-0032"/>
    <x v="11"/>
    <s v="Japan"/>
    <s v="Shimamura"/>
    <s v="Akiko"/>
    <s v="Akiko, Shimamura"/>
    <s v="Small"/>
  </r>
  <r>
    <n v="10270"/>
    <n v="21"/>
    <n v="6335"/>
    <n v="133035"/>
    <n v="133035"/>
    <n v="5"/>
    <s v="7/19/2004 0:00"/>
    <x v="0"/>
    <x v="2"/>
    <x v="2"/>
    <x v="1"/>
    <x v="2"/>
    <n v="64"/>
    <s v="S32_3522"/>
    <x v="20"/>
    <s v="+61 2 9495 8555"/>
    <s v="Monitor Money Building, 815 Pacific Hwy"/>
    <s v="Level 6"/>
    <s v="Chatswood"/>
    <s v="NSW"/>
    <s v="2067"/>
    <x v="3"/>
    <s v="APAC"/>
    <s v="Huxley"/>
    <s v="Adrian"/>
    <s v="Adrian, Huxley"/>
    <s v="Small"/>
  </r>
  <r>
    <n v="10281"/>
    <n v="36"/>
    <n v="7757"/>
    <n v="279252"/>
    <n v="279252"/>
    <n v="12"/>
    <s v="8/19/2004 0:00"/>
    <x v="0"/>
    <x v="2"/>
    <x v="3"/>
    <x v="1"/>
    <x v="2"/>
    <n v="64"/>
    <s v="S32_3522"/>
    <x v="18"/>
    <s v="2155551555"/>
    <s v="7586 Pompton St."/>
    <s v=""/>
    <s v="Allentown"/>
    <s v="PA"/>
    <s v="70267"/>
    <x v="0"/>
    <s v="NA"/>
    <s v="Yu"/>
    <s v="Kyung"/>
    <s v="Kyung, Yu"/>
    <s v="Small"/>
  </r>
  <r>
    <n v="10291"/>
    <n v="32"/>
    <n v="7175"/>
    <n v="229600"/>
    <n v="229600"/>
    <n v="7"/>
    <s v="9/8/2004 0:00"/>
    <x v="0"/>
    <x v="2"/>
    <x v="10"/>
    <x v="1"/>
    <x v="2"/>
    <n v="64"/>
    <s v="S32_3522"/>
    <x v="37"/>
    <s v="0695-34 6555"/>
    <s v="?kergatan 24"/>
    <s v=""/>
    <s v="Boras"/>
    <s v=""/>
    <s v="S-844 67"/>
    <x v="8"/>
    <s v="EMEA"/>
    <s v="Larsson"/>
    <s v="Maria"/>
    <s v="Maria, Larsson"/>
    <s v="Small"/>
  </r>
  <r>
    <n v="10304"/>
    <n v="36"/>
    <n v="7304"/>
    <n v="262944"/>
    <n v="262944"/>
    <n v="2"/>
    <s v="10/11/2004 0:00"/>
    <x v="0"/>
    <x v="3"/>
    <x v="4"/>
    <x v="1"/>
    <x v="2"/>
    <n v="64"/>
    <s v="S32_3522"/>
    <x v="38"/>
    <s v="30.59.8555"/>
    <s v="67, avenue de l'Europe"/>
    <s v=""/>
    <s v="Versailles"/>
    <s v=""/>
    <s v="78000"/>
    <x v="1"/>
    <s v="EMEA"/>
    <s v="Tonini"/>
    <s v="Daniel"/>
    <s v="Daniel, Tonini"/>
    <s v="Small"/>
  </r>
  <r>
    <n v="10313"/>
    <n v="34"/>
    <n v="5624"/>
    <n v="191216"/>
    <n v="191216"/>
    <n v="10"/>
    <s v="10/22/2004 0:00"/>
    <x v="0"/>
    <x v="3"/>
    <x v="4"/>
    <x v="1"/>
    <x v="2"/>
    <n v="64"/>
    <s v="S32_3522"/>
    <x v="31"/>
    <s v="(604) 555-3392"/>
    <s v="1900 Oak St."/>
    <s v=""/>
    <s v="Vancouver"/>
    <s v="BC"/>
    <s v="V3F 2K1"/>
    <x v="10"/>
    <s v="NA"/>
    <s v="Tannamuri"/>
    <s v="Yoshi"/>
    <s v="Yoshi, Tannamuri"/>
    <s v="Small"/>
  </r>
  <r>
    <n v="10324"/>
    <n v="48"/>
    <n v="100"/>
    <n v="4800"/>
    <n v="4800"/>
    <n v="4"/>
    <s v="11/5/2004 0:00"/>
    <x v="0"/>
    <x v="3"/>
    <x v="5"/>
    <x v="1"/>
    <x v="2"/>
    <n v="64"/>
    <s v="S32_3522"/>
    <x v="11"/>
    <s v="2125551500"/>
    <s v="2678 Kingston Rd."/>
    <s v="Suite 101"/>
    <s v="NYC"/>
    <s v="NY"/>
    <s v="10022"/>
    <x v="0"/>
    <s v="NA"/>
    <s v="Frick"/>
    <s v="Michael"/>
    <s v="Michael, Frick"/>
    <s v="Large"/>
  </r>
  <r>
    <n v="10333"/>
    <n v="33"/>
    <n v="7369"/>
    <n v="243177"/>
    <n v="243177"/>
    <n v="4"/>
    <s v="11/18/2004 0:00"/>
    <x v="0"/>
    <x v="3"/>
    <x v="5"/>
    <x v="1"/>
    <x v="2"/>
    <n v="64"/>
    <s v="S32_3522"/>
    <x v="8"/>
    <s v="6505555787"/>
    <s v="5557 North Pendale Street"/>
    <s v=""/>
    <s v="San Francisco"/>
    <s v="CA"/>
    <s v=""/>
    <x v="0"/>
    <s v="NA"/>
    <s v="Murphy"/>
    <s v="Julie"/>
    <s v="Julie, Murphy"/>
    <s v="Small"/>
  </r>
  <r>
    <n v="10348"/>
    <n v="31"/>
    <n v="100"/>
    <n v="3100"/>
    <n v="3100"/>
    <n v="5"/>
    <s v="11/1/2004 0:00"/>
    <x v="0"/>
    <x v="3"/>
    <x v="5"/>
    <x v="1"/>
    <x v="2"/>
    <n v="64"/>
    <s v="S32_3522"/>
    <x v="25"/>
    <s v="(91) 555 22 82"/>
    <s v="C/ Araquil, 67"/>
    <s v=""/>
    <s v="Madrid"/>
    <s v=""/>
    <s v="28023"/>
    <x v="7"/>
    <s v="EMEA"/>
    <s v="Sommer"/>
    <s v="Mart¡n"/>
    <s v="Mart¡n, Sommer"/>
    <s v="Medium"/>
  </r>
  <r>
    <n v="10358"/>
    <n v="36"/>
    <n v="100"/>
    <n v="3600"/>
    <n v="3600"/>
    <n v="2"/>
    <s v="12/10/2004 0:00"/>
    <x v="0"/>
    <x v="3"/>
    <x v="6"/>
    <x v="1"/>
    <x v="2"/>
    <n v="64"/>
    <s v="S32_3522"/>
    <x v="23"/>
    <s v="(91) 555 94 44"/>
    <s v="C/ Moralzarzal, 86"/>
    <s v=""/>
    <s v="Madrid"/>
    <s v=""/>
    <s v="28034"/>
    <x v="7"/>
    <s v="EMEA"/>
    <s v="Freyre"/>
    <s v="Diego"/>
    <s v="Diego, Freyre"/>
    <s v="Medium"/>
  </r>
  <r>
    <n v="10370"/>
    <n v="25"/>
    <n v="100"/>
    <n v="2500"/>
    <n v="2500"/>
    <n v="3"/>
    <s v="1/20/2005 0:00"/>
    <x v="0"/>
    <x v="0"/>
    <x v="7"/>
    <x v="2"/>
    <x v="2"/>
    <n v="64"/>
    <s v="S32_3522"/>
    <x v="42"/>
    <s v="02 9936 8555"/>
    <s v="201 Miller Street"/>
    <s v="Level 15"/>
    <s v="North Sydney"/>
    <s v="NSW"/>
    <s v="2060"/>
    <x v="3"/>
    <s v="APAC"/>
    <s v="O'Hara"/>
    <s v="Anna"/>
    <s v="Anna, O'Hara"/>
    <s v="Medium"/>
  </r>
  <r>
    <n v="10382"/>
    <n v="48"/>
    <n v="100"/>
    <n v="4800"/>
    <n v="4800"/>
    <n v="8"/>
    <s v="2/17/2005 0:00"/>
    <x v="0"/>
    <x v="0"/>
    <x v="0"/>
    <x v="2"/>
    <x v="2"/>
    <n v="64"/>
    <s v="S32_3522"/>
    <x v="39"/>
    <s v="4155551450"/>
    <s v="5677 Strong St."/>
    <s v=""/>
    <s v="San Rafael"/>
    <s v="CA"/>
    <s v="97562"/>
    <x v="0"/>
    <s v="NA"/>
    <s v="Nelson"/>
    <s v="Valarie"/>
    <s v="Valarie, Nelson"/>
    <s v="Medium"/>
  </r>
  <r>
    <n v="10411"/>
    <n v="27"/>
    <n v="6916"/>
    <n v="186732"/>
    <n v="186732"/>
    <n v="5"/>
    <s v="5/1/2005 0:00"/>
    <x v="0"/>
    <x v="1"/>
    <x v="1"/>
    <x v="2"/>
    <x v="2"/>
    <n v="64"/>
    <s v="S32_3522"/>
    <x v="43"/>
    <s v="(514) 555-8054"/>
    <s v="43 rue St. Laurent"/>
    <s v=""/>
    <s v="Montreal"/>
    <s v="Quebec"/>
    <s v="H1J 1C3"/>
    <x v="10"/>
    <s v="NA"/>
    <s v="Fresnisre"/>
    <s v="Jean"/>
    <s v="Jean, Fresnisre"/>
    <s v="Small"/>
  </r>
  <r>
    <n v="10424"/>
    <n v="44"/>
    <n v="6141"/>
    <n v="270204"/>
    <n v="0"/>
    <n v="2"/>
    <s v="5/31/2005 0:00"/>
    <x v="2"/>
    <x v="1"/>
    <x v="1"/>
    <x v="2"/>
    <x v="2"/>
    <n v="64"/>
    <s v="S32_3522"/>
    <x v="23"/>
    <s v="(91) 555 94 44"/>
    <s v="C/ Moralzarzal, 86"/>
    <s v=""/>
    <s v="Madrid"/>
    <s v=""/>
    <s v="28034"/>
    <x v="7"/>
    <s v="EMEA"/>
    <s v="Freyre"/>
    <s v="Diego"/>
    <s v="Diego, Freyre"/>
    <s v="Small"/>
  </r>
  <r>
    <n v="10106"/>
    <n v="33"/>
    <n v="7292"/>
    <n v="240636"/>
    <n v="240636"/>
    <n v="5"/>
    <s v="2/17/2003 0:00"/>
    <x v="0"/>
    <x v="0"/>
    <x v="0"/>
    <x v="0"/>
    <x v="3"/>
    <n v="68"/>
    <s v="S32_4289"/>
    <x v="86"/>
    <s v="035-640555"/>
    <s v="Via Ludovico il Moro 22"/>
    <s v=""/>
    <s v="Bergamo"/>
    <s v=""/>
    <s v="24100"/>
    <x v="12"/>
    <s v="EMEA"/>
    <s v="Rovelli"/>
    <s v="Giovanni"/>
    <s v="Giovanni, Rovelli"/>
    <s v="Small"/>
  </r>
  <r>
    <n v="10120"/>
    <n v="29"/>
    <n v="7223"/>
    <n v="209467"/>
    <n v="209467"/>
    <n v="11"/>
    <s v="4/29/2003 0:00"/>
    <x v="0"/>
    <x v="1"/>
    <x v="8"/>
    <x v="0"/>
    <x v="3"/>
    <n v="68"/>
    <s v="S32_4289"/>
    <x v="10"/>
    <s v="03 9520 4555"/>
    <s v="636 St Kilda Road"/>
    <s v="Level 3"/>
    <s v="Melbourne"/>
    <s v="Victoria"/>
    <s v="3004"/>
    <x v="3"/>
    <s v="APAC"/>
    <s v="Ferguson"/>
    <s v="Peter"/>
    <s v="Peter, Ferguson"/>
    <s v="Small"/>
  </r>
  <r>
    <n v="10133"/>
    <n v="49"/>
    <n v="571"/>
    <n v="27979"/>
    <n v="27979"/>
    <n v="6"/>
    <s v="6/27/2003 0:00"/>
    <x v="0"/>
    <x v="1"/>
    <x v="9"/>
    <x v="0"/>
    <x v="3"/>
    <n v="68"/>
    <s v="S32_4289"/>
    <x v="23"/>
    <s v="(91) 555 94 44"/>
    <s v="C/ Moralzarzal, 86"/>
    <s v=""/>
    <s v="Madrid"/>
    <s v=""/>
    <s v="28034"/>
    <x v="7"/>
    <s v="EMEA"/>
    <s v="Freyre"/>
    <s v="Diego"/>
    <s v="Diego, Freyre"/>
    <s v="Small"/>
  </r>
  <r>
    <n v="10144"/>
    <n v="20"/>
    <n v="8186"/>
    <n v="163720"/>
    <n v="163720"/>
    <n v="1"/>
    <s v="8/13/2003 0:00"/>
    <x v="0"/>
    <x v="2"/>
    <x v="3"/>
    <x v="0"/>
    <x v="3"/>
    <n v="68"/>
    <s v="S32_4289"/>
    <x v="90"/>
    <s v="(071) 23 67 2555"/>
    <s v="Boulevard Tirou, 255"/>
    <s v=""/>
    <s v="Charleroi"/>
    <s v=""/>
    <s v="B-6000"/>
    <x v="14"/>
    <s v="EMEA"/>
    <s v="Cartrain"/>
    <s v="Pascale"/>
    <s v="Pascale, Cartrain"/>
    <s v="Small"/>
  </r>
  <r>
    <n v="10168"/>
    <n v="31"/>
    <n v="7361"/>
    <n v="228191"/>
    <n v="228191"/>
    <n v="12"/>
    <s v="10/28/2003 0:00"/>
    <x v="0"/>
    <x v="3"/>
    <x v="4"/>
    <x v="0"/>
    <x v="3"/>
    <n v="68"/>
    <s v="S32_4289"/>
    <x v="5"/>
    <s v="6505556809"/>
    <s v="9408 Furth Circle"/>
    <s v=""/>
    <s v="Burlingame"/>
    <s v="CA"/>
    <s v="94217"/>
    <x v="0"/>
    <s v="NA"/>
    <s v="Hirano"/>
    <s v="Juri"/>
    <s v="Juri, Hirano"/>
    <s v="Small"/>
  </r>
  <r>
    <n v="10210"/>
    <n v="39"/>
    <n v="5916"/>
    <n v="230724"/>
    <n v="230724"/>
    <n v="10"/>
    <s v="1/12/2004 0:00"/>
    <x v="0"/>
    <x v="0"/>
    <x v="7"/>
    <x v="1"/>
    <x v="3"/>
    <n v="68"/>
    <s v="S32_4289"/>
    <x v="44"/>
    <s v="+81 06 6342 5555"/>
    <s v="Dojima Avanza 4F, 1-6-20 Dojima, Kita-ku"/>
    <s v=""/>
    <s v="Osaka"/>
    <s v="Osaka"/>
    <s v="530-0003"/>
    <x v="11"/>
    <s v="Japan"/>
    <s v="Kentary"/>
    <s v="Mory"/>
    <s v="Mory, Kentary"/>
    <s v="Small"/>
  </r>
  <r>
    <n v="10223"/>
    <n v="20"/>
    <n v="6604"/>
    <n v="132080"/>
    <n v="132080"/>
    <n v="12"/>
    <s v="2/20/2004 0:00"/>
    <x v="0"/>
    <x v="0"/>
    <x v="0"/>
    <x v="1"/>
    <x v="3"/>
    <n v="68"/>
    <s v="S32_4289"/>
    <x v="10"/>
    <s v="03 9520 4555"/>
    <s v="636 St Kilda Road"/>
    <s v="Level 3"/>
    <s v="Melbourne"/>
    <s v="Victoria"/>
    <s v="3004"/>
    <x v="3"/>
    <s v="APAC"/>
    <s v="Ferguson"/>
    <s v="Peter"/>
    <s v="Peter, Ferguson"/>
    <s v="Small"/>
  </r>
  <r>
    <n v="10235"/>
    <n v="34"/>
    <n v="7773"/>
    <n v="264282"/>
    <n v="264282"/>
    <n v="6"/>
    <s v="4/2/2004 0:00"/>
    <x v="0"/>
    <x v="1"/>
    <x v="8"/>
    <x v="1"/>
    <x v="3"/>
    <n v="68"/>
    <s v="S32_4289"/>
    <x v="57"/>
    <s v="(604) 555-4555"/>
    <s v="23 Tsawassen Blvd."/>
    <s v=""/>
    <s v="Tsawassen"/>
    <s v="BC"/>
    <s v="T2F 8M4"/>
    <x v="10"/>
    <s v="NA"/>
    <s v="Lincoln"/>
    <s v="Elizabeth"/>
    <s v="Elizabeth, Lincoln"/>
    <s v="Small"/>
  </r>
  <r>
    <n v="10250"/>
    <n v="50"/>
    <n v="6122"/>
    <n v="306100"/>
    <n v="306100"/>
    <n v="7"/>
    <s v="5/11/2004 0:00"/>
    <x v="0"/>
    <x v="1"/>
    <x v="1"/>
    <x v="1"/>
    <x v="3"/>
    <n v="68"/>
    <s v="S32_4289"/>
    <x v="61"/>
    <s v="4085553659"/>
    <s v="3086 Ingle Ln."/>
    <s v=""/>
    <s v="San Jose"/>
    <s v="CA"/>
    <s v="94217"/>
    <x v="0"/>
    <s v="NA"/>
    <s v="Frick"/>
    <s v="Sue"/>
    <s v="Sue, Frick"/>
    <s v="Medium"/>
  </r>
  <r>
    <n v="10262"/>
    <n v="40"/>
    <n v="7911"/>
    <n v="316440"/>
    <n v="0"/>
    <n v="2"/>
    <s v="6/24/2004 0:00"/>
    <x v="3"/>
    <x v="1"/>
    <x v="9"/>
    <x v="1"/>
    <x v="3"/>
    <n v="68"/>
    <s v="S32_4289"/>
    <x v="23"/>
    <s v="(91) 555 94 44"/>
    <s v="C/ Moralzarzal, 86"/>
    <s v=""/>
    <s v="Madrid"/>
    <s v=""/>
    <s v="28034"/>
    <x v="7"/>
    <s v="EMEA"/>
    <s v="Freyre"/>
    <s v="Diego"/>
    <s v="Diego, Freyre"/>
    <s v="Medium"/>
  </r>
  <r>
    <n v="10275"/>
    <n v="28"/>
    <n v="6397"/>
    <n v="179116"/>
    <n v="179116"/>
    <n v="12"/>
    <s v="7/23/2004 0:00"/>
    <x v="0"/>
    <x v="2"/>
    <x v="2"/>
    <x v="1"/>
    <x v="3"/>
    <n v="68"/>
    <s v="S32_4289"/>
    <x v="14"/>
    <s v="40.67.8555"/>
    <s v="67, rue des Cinquante Otages"/>
    <s v=""/>
    <s v="Nantes"/>
    <s v=""/>
    <s v="44000"/>
    <x v="1"/>
    <s v="EMEA"/>
    <s v="Labrune"/>
    <s v="Janine"/>
    <s v="Janine, Labrune"/>
    <s v="Small"/>
  </r>
  <r>
    <n v="10284"/>
    <n v="50"/>
    <n v="8186"/>
    <n v="409300"/>
    <n v="409300"/>
    <n v="4"/>
    <s v="8/21/2004 0:00"/>
    <x v="0"/>
    <x v="2"/>
    <x v="3"/>
    <x v="1"/>
    <x v="3"/>
    <n v="68"/>
    <s v="S32_4289"/>
    <x v="85"/>
    <s v="+47 2212 1555"/>
    <s v="Drammensveien 126 A, PB 744 Sentrum"/>
    <s v=""/>
    <s v="Oslo"/>
    <s v=""/>
    <s v="N 0106"/>
    <x v="2"/>
    <s v="EMEA"/>
    <s v="Klaeboe"/>
    <s v="Jan"/>
    <s v="Jan, Klaeboe"/>
    <s v="Medium"/>
  </r>
  <r>
    <n v="10297"/>
    <n v="28"/>
    <n v="798"/>
    <n v="22344"/>
    <n v="22344"/>
    <n v="7"/>
    <s v="9/16/2004 0:00"/>
    <x v="0"/>
    <x v="2"/>
    <x v="10"/>
    <x v="1"/>
    <x v="3"/>
    <n v="68"/>
    <s v="S32_4289"/>
    <x v="75"/>
    <s v="+353 1862 1555"/>
    <s v="25 Maiden Lane"/>
    <s v="Floor No. 4"/>
    <s v="Dublin"/>
    <s v=""/>
    <s v="2"/>
    <x v="18"/>
    <s v="EMEA"/>
    <s v="Cassidy"/>
    <s v="Dean"/>
    <s v="Dean, Cassidy"/>
    <s v="Small"/>
  </r>
  <r>
    <n v="10308"/>
    <n v="46"/>
    <n v="6604"/>
    <n v="303784"/>
    <n v="303784"/>
    <n v="10"/>
    <s v="10/15/2004 0:00"/>
    <x v="0"/>
    <x v="3"/>
    <x v="4"/>
    <x v="1"/>
    <x v="3"/>
    <n v="68"/>
    <s v="S32_4289"/>
    <x v="47"/>
    <s v="9145554562"/>
    <s v="3758 North Pendale Street"/>
    <s v=""/>
    <s v="White Plains"/>
    <s v="NY"/>
    <s v="24067"/>
    <x v="0"/>
    <s v="NA"/>
    <s v="Frick"/>
    <s v="Steve"/>
    <s v="Steve, Frick"/>
    <s v="Medium"/>
  </r>
  <r>
    <n v="10316"/>
    <n v="24"/>
    <n v="5916"/>
    <n v="141984"/>
    <n v="141984"/>
    <n v="2"/>
    <s v="11/1/2004 0:00"/>
    <x v="0"/>
    <x v="3"/>
    <x v="5"/>
    <x v="1"/>
    <x v="3"/>
    <n v="68"/>
    <s v="S32_4289"/>
    <x v="59"/>
    <s v="(198) 555-8888"/>
    <s v="Garden House Crowther Way"/>
    <s v=""/>
    <s v="Cowes"/>
    <s v="Isle of Wight"/>
    <s v="PO31 7PJ"/>
    <x v="6"/>
    <s v="EMEA"/>
    <s v="Bennett"/>
    <s v="Helen"/>
    <s v="Helen, Bennett"/>
    <s v="Small"/>
  </r>
  <r>
    <n v="10328"/>
    <n v="24"/>
    <n v="8117"/>
    <n v="194808"/>
    <n v="194808"/>
    <n v="5"/>
    <s v="11/12/2004 0:00"/>
    <x v="0"/>
    <x v="3"/>
    <x v="5"/>
    <x v="1"/>
    <x v="3"/>
    <n v="68"/>
    <s v="S32_4289"/>
    <x v="86"/>
    <s v="035-640555"/>
    <s v="Via Ludovico il Moro 22"/>
    <s v=""/>
    <s v="Bergamo"/>
    <s v=""/>
    <s v="24100"/>
    <x v="12"/>
    <s v="EMEA"/>
    <s v="Rovelli"/>
    <s v="Giovanni"/>
    <s v="Giovanni, Rovelli"/>
    <s v="Small"/>
  </r>
  <r>
    <n v="10340"/>
    <n v="39"/>
    <n v="5916"/>
    <n v="230724"/>
    <n v="230724"/>
    <n v="3"/>
    <s v="11/24/2004 0:00"/>
    <x v="0"/>
    <x v="3"/>
    <x v="5"/>
    <x v="1"/>
    <x v="3"/>
    <n v="68"/>
    <s v="S32_4289"/>
    <x v="53"/>
    <s v="(93) 203 4555"/>
    <s v="Rambla de Catalu¤a, 23"/>
    <s v=""/>
    <s v="Barcelona"/>
    <s v=""/>
    <s v="8022"/>
    <x v="7"/>
    <s v="EMEA"/>
    <s v="Saavedra"/>
    <s v="Eduardo"/>
    <s v="Eduardo, Saavedra"/>
    <s v="Small"/>
  </r>
  <r>
    <n v="10353"/>
    <n v="40"/>
    <n v="4451"/>
    <n v="178040"/>
    <n v="178040"/>
    <n v="7"/>
    <s v="12/4/2004 0:00"/>
    <x v="0"/>
    <x v="3"/>
    <x v="6"/>
    <x v="1"/>
    <x v="3"/>
    <n v="68"/>
    <s v="S32_4289"/>
    <x v="88"/>
    <s v="2035554407"/>
    <s v="2440 Pompton St."/>
    <s v=""/>
    <s v="Glendale"/>
    <s v="CT"/>
    <s v="97561"/>
    <x v="0"/>
    <s v="NA"/>
    <s v="Lewis"/>
    <s v="Dan"/>
    <s v="Dan, Lewis"/>
    <s v="Small"/>
  </r>
  <r>
    <n v="10361"/>
    <n v="49"/>
    <n v="7233"/>
    <n v="354417"/>
    <n v="354417"/>
    <n v="2"/>
    <s v="12/17/2004 0:00"/>
    <x v="0"/>
    <x v="3"/>
    <x v="6"/>
    <x v="1"/>
    <x v="3"/>
    <n v="68"/>
    <s v="S32_4289"/>
    <x v="20"/>
    <s v="+61 2 9495 8555"/>
    <s v="Monitor Money Building, 815 Pacific Hwy"/>
    <s v="Level 6"/>
    <s v="Chatswood"/>
    <s v="NSW"/>
    <s v="2067"/>
    <x v="3"/>
    <s v="APAC"/>
    <s v="Huxley"/>
    <s v="Adrian"/>
    <s v="Adrian, Huxley"/>
    <s v="Medium"/>
  </r>
  <r>
    <n v="10375"/>
    <n v="44"/>
    <n v="8226"/>
    <n v="361944"/>
    <n v="361944"/>
    <n v="4"/>
    <s v="2/3/2005 0:00"/>
    <x v="0"/>
    <x v="0"/>
    <x v="0"/>
    <x v="2"/>
    <x v="3"/>
    <n v="68"/>
    <s v="S32_4289"/>
    <x v="14"/>
    <s v="40.67.8555"/>
    <s v="67, rue des Cinquante Otages"/>
    <s v=""/>
    <s v="Nantes"/>
    <s v=""/>
    <s v="44000"/>
    <x v="1"/>
    <s v="EMEA"/>
    <s v="Labrune"/>
    <s v="Janine"/>
    <s v="Janine, Labrune"/>
    <s v="Medium"/>
  </r>
  <r>
    <n v="10388"/>
    <n v="35"/>
    <n v="100"/>
    <n v="3500"/>
    <n v="3500"/>
    <n v="8"/>
    <s v="3/3/2005 0:00"/>
    <x v="0"/>
    <x v="0"/>
    <x v="11"/>
    <x v="2"/>
    <x v="3"/>
    <n v="68"/>
    <s v="S32_4289"/>
    <x v="21"/>
    <s v="5085552555"/>
    <s v="1785 First Street"/>
    <s v=""/>
    <s v="New Bedford"/>
    <s v="MA"/>
    <s v="50553"/>
    <x v="0"/>
    <s v="NA"/>
    <s v="Benitez"/>
    <s v="Violeta"/>
    <s v="Violeta, Benitez"/>
    <s v="Medium"/>
  </r>
  <r>
    <n v="10398"/>
    <n v="22"/>
    <n v="6741"/>
    <n v="148302"/>
    <n v="148302"/>
    <n v="4"/>
    <s v="3/30/2005 0:00"/>
    <x v="0"/>
    <x v="0"/>
    <x v="11"/>
    <x v="2"/>
    <x v="3"/>
    <n v="68"/>
    <s v="S32_4289"/>
    <x v="1"/>
    <s v="26.47.1555"/>
    <s v="59 rue de l'Abbaye"/>
    <s v=""/>
    <s v="Reims"/>
    <s v=""/>
    <s v="51100"/>
    <x v="1"/>
    <s v="EMEA"/>
    <s v="Henriot"/>
    <s v="Paul"/>
    <s v="Paul, Henriot"/>
    <s v="Small"/>
  </r>
  <r>
    <n v="10401"/>
    <n v="62"/>
    <n v="7773"/>
    <n v="481926"/>
    <n v="0"/>
    <n v="6"/>
    <s v="4/3/2005 0:00"/>
    <x v="4"/>
    <x v="1"/>
    <x v="8"/>
    <x v="2"/>
    <x v="3"/>
    <n v="68"/>
    <s v="S32_4289"/>
    <x v="12"/>
    <s v="2015559350"/>
    <s v="7476 Moss Rd."/>
    <s v=""/>
    <s v="Newark"/>
    <s v="NJ"/>
    <s v="94019"/>
    <x v="0"/>
    <s v="NA"/>
    <s v="Brown"/>
    <s v="William"/>
    <s v="William, Brown"/>
    <s v="Medium"/>
  </r>
  <r>
    <n v="10416"/>
    <n v="26"/>
    <n v="6122"/>
    <n v="159172"/>
    <n v="159172"/>
    <n v="7"/>
    <s v="5/10/2005 0:00"/>
    <x v="0"/>
    <x v="1"/>
    <x v="1"/>
    <x v="2"/>
    <x v="3"/>
    <n v="68"/>
    <s v="S32_4289"/>
    <x v="70"/>
    <s v="0522-556555"/>
    <s v="Strada Provinciale 124"/>
    <s v=""/>
    <s v="Reggio Emilia"/>
    <s v=""/>
    <s v="42100"/>
    <x v="12"/>
    <s v="EMEA"/>
    <s v="Moroni"/>
    <s v="Maurizio"/>
    <s v="Maurizio, Moroni"/>
    <s v="Small"/>
  </r>
  <r>
    <n v="10108"/>
    <n v="31"/>
    <n v="100"/>
    <n v="3100"/>
    <n v="3100"/>
    <n v="16"/>
    <s v="3/3/2003 0:00"/>
    <x v="0"/>
    <x v="0"/>
    <x v="11"/>
    <x v="0"/>
    <x v="0"/>
    <n v="102"/>
    <s v="S32_4485"/>
    <x v="66"/>
    <s v="+63 2 555 3587"/>
    <s v="15 McCallum Street - NatWest Center #13-03"/>
    <s v=""/>
    <s v="Makati City"/>
    <s v=""/>
    <s v="1227 MM"/>
    <x v="15"/>
    <s v="Japan"/>
    <s v="Cruz"/>
    <s v="Arnold"/>
    <s v="Arnold, Cruz"/>
    <s v="Medium"/>
  </r>
  <r>
    <n v="10121"/>
    <n v="25"/>
    <n v="8674"/>
    <n v="216850"/>
    <n v="216850"/>
    <n v="3"/>
    <s v="5/7/2003 0:00"/>
    <x v="0"/>
    <x v="1"/>
    <x v="1"/>
    <x v="0"/>
    <x v="0"/>
    <n v="102"/>
    <s v="S32_4485"/>
    <x v="1"/>
    <s v="26.47.1555"/>
    <s v="59 rue de l'Abbaye"/>
    <s v=""/>
    <s v="Reims"/>
    <s v=""/>
    <s v="51100"/>
    <x v="1"/>
    <s v="EMEA"/>
    <s v="Henriot"/>
    <s v="Paul"/>
    <s v="Paul, Henriot"/>
    <s v="Small"/>
  </r>
  <r>
    <n v="10135"/>
    <n v="30"/>
    <n v="898"/>
    <n v="26940"/>
    <n v="26940"/>
    <n v="17"/>
    <s v="7/2/2003 0:00"/>
    <x v="0"/>
    <x v="2"/>
    <x v="2"/>
    <x v="0"/>
    <x v="0"/>
    <n v="102"/>
    <s v="S32_4485"/>
    <x v="39"/>
    <s v="4155551450"/>
    <s v="5677 Strong St."/>
    <s v=""/>
    <s v="San Rafael"/>
    <s v="CA"/>
    <s v="97562"/>
    <x v="0"/>
    <s v="NA"/>
    <s v="Nelson"/>
    <s v="Valarie"/>
    <s v="Valarie, Nelson"/>
    <s v="Small"/>
  </r>
  <r>
    <n v="10145"/>
    <n v="27"/>
    <n v="100"/>
    <n v="2700"/>
    <n v="2700"/>
    <n v="4"/>
    <s v="8/25/2003 0:00"/>
    <x v="0"/>
    <x v="2"/>
    <x v="3"/>
    <x v="0"/>
    <x v="0"/>
    <n v="102"/>
    <s v="S32_4485"/>
    <x v="3"/>
    <s v="6265557265"/>
    <s v="78934 Hillside Dr."/>
    <s v=""/>
    <s v="Pasadena"/>
    <s v="CA"/>
    <s v="90003"/>
    <x v="0"/>
    <s v="NA"/>
    <s v="Young"/>
    <s v="Julie"/>
    <s v="Julie, Young"/>
    <s v="Medium"/>
  </r>
  <r>
    <n v="10159"/>
    <n v="23"/>
    <n v="100"/>
    <n v="2300"/>
    <n v="2300"/>
    <n v="12"/>
    <s v="10/10/2003 0:00"/>
    <x v="0"/>
    <x v="3"/>
    <x v="4"/>
    <x v="0"/>
    <x v="0"/>
    <n v="102"/>
    <s v="S32_4485"/>
    <x v="4"/>
    <s v="6505551386"/>
    <s v="7734 Strong St."/>
    <s v=""/>
    <s v="San Francisco"/>
    <s v="CA"/>
    <s v=""/>
    <x v="0"/>
    <s v="NA"/>
    <s v="Brown"/>
    <s v="Julie"/>
    <s v="Julie, Brown"/>
    <s v="Small"/>
  </r>
  <r>
    <n v="10169"/>
    <n v="34"/>
    <n v="100"/>
    <n v="3400"/>
    <n v="3400"/>
    <n v="12"/>
    <s v="11/4/2003 0:00"/>
    <x v="0"/>
    <x v="3"/>
    <x v="5"/>
    <x v="0"/>
    <x v="0"/>
    <n v="102"/>
    <s v="S32_4485"/>
    <x v="42"/>
    <s v="02 9936 8555"/>
    <s v="201 Miller Street"/>
    <s v="Level 15"/>
    <s v="North Sydney"/>
    <s v="NSW"/>
    <s v="2060"/>
    <x v="3"/>
    <s v="APAC"/>
    <s v="O'Hara"/>
    <s v="Anna"/>
    <s v="Anna, O'Hara"/>
    <s v="Medium"/>
  </r>
  <r>
    <n v="10180"/>
    <n v="22"/>
    <n v="100"/>
    <n v="2200"/>
    <n v="2200"/>
    <n v="7"/>
    <s v="11/11/2003 0:00"/>
    <x v="0"/>
    <x v="3"/>
    <x v="5"/>
    <x v="0"/>
    <x v="0"/>
    <n v="102"/>
    <s v="S32_4485"/>
    <x v="6"/>
    <s v="20.16.1555"/>
    <s v="184, chausse de Tournai"/>
    <s v=""/>
    <s v="Lille"/>
    <s v=""/>
    <s v="59000"/>
    <x v="1"/>
    <s v="EMEA"/>
    <s v="Rance"/>
    <s v="Martine"/>
    <s v="Martine, Rance"/>
    <s v="Small"/>
  </r>
  <r>
    <n v="10190"/>
    <n v="42"/>
    <n v="8572"/>
    <n v="360024"/>
    <n v="360024"/>
    <n v="4"/>
    <s v="11/19/2003 0:00"/>
    <x v="0"/>
    <x v="3"/>
    <x v="5"/>
    <x v="0"/>
    <x v="0"/>
    <n v="102"/>
    <s v="S32_4485"/>
    <x v="23"/>
    <s v="(91) 555 94 44"/>
    <s v="C/ Moralzarzal, 86"/>
    <s v=""/>
    <s v="Madrid"/>
    <s v=""/>
    <s v="28034"/>
    <x v="7"/>
    <s v="EMEA"/>
    <s v="Freyre"/>
    <s v="Diego"/>
    <s v="Diego, Freyre"/>
    <s v="Medium"/>
  </r>
  <r>
    <n v="10211"/>
    <n v="37"/>
    <n v="100"/>
    <n v="3700"/>
    <n v="3700"/>
    <n v="12"/>
    <s v="1/15/2004 0:00"/>
    <x v="0"/>
    <x v="0"/>
    <x v="7"/>
    <x v="1"/>
    <x v="0"/>
    <n v="102"/>
    <s v="S32_4485"/>
    <x v="9"/>
    <s v="(1) 47.55.6555"/>
    <s v="25, rue Lauriston"/>
    <s v=""/>
    <s v="Paris"/>
    <s v=""/>
    <s v="75016"/>
    <x v="1"/>
    <s v="EMEA"/>
    <s v="Perrier"/>
    <s v="Dominique"/>
    <s v="Dominique, Perrier"/>
    <s v="Medium"/>
  </r>
  <r>
    <n v="10224"/>
    <n v="30"/>
    <n v="100"/>
    <n v="3000"/>
    <n v="3000"/>
    <n v="5"/>
    <s v="2/21/2004 0:00"/>
    <x v="0"/>
    <x v="0"/>
    <x v="0"/>
    <x v="1"/>
    <x v="0"/>
    <n v="102"/>
    <s v="S32_4485"/>
    <x v="6"/>
    <s v="20.16.1555"/>
    <s v="184, chausse de Tournai"/>
    <s v=""/>
    <s v="Lille"/>
    <s v=""/>
    <s v="59000"/>
    <x v="1"/>
    <s v="EMEA"/>
    <s v="Rance"/>
    <s v="Martine"/>
    <s v="Martine, Rance"/>
    <s v="Medium"/>
  </r>
  <r>
    <n v="10237"/>
    <n v="27"/>
    <n v="100"/>
    <n v="2700"/>
    <n v="2700"/>
    <n v="5"/>
    <s v="4/5/2004 0:00"/>
    <x v="0"/>
    <x v="1"/>
    <x v="8"/>
    <x v="1"/>
    <x v="0"/>
    <n v="102"/>
    <s v="S32_4485"/>
    <x v="11"/>
    <s v="2125551500"/>
    <s v="2678 Kingston Rd."/>
    <s v="Suite 101"/>
    <s v="NYC"/>
    <s v="NY"/>
    <s v="10022"/>
    <x v="0"/>
    <s v="NA"/>
    <s v="Frick"/>
    <s v="Michael"/>
    <s v="Michael, Frick"/>
    <s v="Medium"/>
  </r>
  <r>
    <n v="10252"/>
    <n v="25"/>
    <n v="100"/>
    <n v="2500"/>
    <n v="2500"/>
    <n v="9"/>
    <s v="5/26/2004 0:00"/>
    <x v="0"/>
    <x v="1"/>
    <x v="1"/>
    <x v="1"/>
    <x v="0"/>
    <n v="102"/>
    <s v="S32_4485"/>
    <x v="9"/>
    <s v="(1) 47.55.6555"/>
    <s v="25, rue Lauriston"/>
    <s v=""/>
    <s v="Paris"/>
    <s v=""/>
    <s v="75016"/>
    <x v="1"/>
    <s v="EMEA"/>
    <s v="Perrier"/>
    <s v="Dominique"/>
    <s v="Dominique, Perrier"/>
    <s v="Small"/>
  </r>
  <r>
    <n v="10264"/>
    <n v="34"/>
    <n v="9797"/>
    <n v="333098"/>
    <n v="333098"/>
    <n v="7"/>
    <s v="6/30/2004 0:00"/>
    <x v="0"/>
    <x v="1"/>
    <x v="9"/>
    <x v="1"/>
    <x v="0"/>
    <n v="102"/>
    <s v="S32_4485"/>
    <x v="58"/>
    <s v="6175559555"/>
    <s v="8616 Spinnaker Dr."/>
    <s v=""/>
    <s v="Boston"/>
    <s v="MA"/>
    <s v="51003"/>
    <x v="0"/>
    <s v="NA"/>
    <s v="Yoshido"/>
    <s v="Juri"/>
    <s v="Juri, Yoshido"/>
    <s v="Medium"/>
  </r>
  <r>
    <n v="10276"/>
    <n v="38"/>
    <n v="100"/>
    <n v="3800"/>
    <n v="3800"/>
    <n v="13"/>
    <s v="8/2/2004 0:00"/>
    <x v="0"/>
    <x v="2"/>
    <x v="3"/>
    <x v="1"/>
    <x v="0"/>
    <n v="102"/>
    <s v="S32_4485"/>
    <x v="71"/>
    <s v="6175557555"/>
    <s v="7635 Spinnaker Dr."/>
    <s v=""/>
    <s v="Brickhaven"/>
    <s v="MA"/>
    <s v="58339"/>
    <x v="0"/>
    <s v="NA"/>
    <s v="Barajas"/>
    <s v="Miguel"/>
    <s v="Miguel, Barajas"/>
    <s v="Medium"/>
  </r>
  <r>
    <n v="10285"/>
    <n v="26"/>
    <n v="100"/>
    <n v="2600"/>
    <n v="2600"/>
    <n v="4"/>
    <s v="8/27/2004 0:00"/>
    <x v="0"/>
    <x v="2"/>
    <x v="3"/>
    <x v="1"/>
    <x v="0"/>
    <n v="102"/>
    <s v="S32_4485"/>
    <x v="15"/>
    <s v="6175558555"/>
    <s v="39323 Spinnaker Dr."/>
    <s v=""/>
    <s v="Cambridge"/>
    <s v="MA"/>
    <s v="51247"/>
    <x v="0"/>
    <s v="NA"/>
    <s v="Hernandez"/>
    <s v="Marta"/>
    <s v="Marta, Hernandez"/>
    <s v="Small"/>
  </r>
  <r>
    <n v="10299"/>
    <n v="38"/>
    <n v="100"/>
    <n v="3800"/>
    <n v="3800"/>
    <n v="7"/>
    <s v="9/30/2004 0:00"/>
    <x v="0"/>
    <x v="2"/>
    <x v="10"/>
    <x v="1"/>
    <x v="0"/>
    <n v="102"/>
    <s v="S32_4485"/>
    <x v="16"/>
    <s v="90-224 8555"/>
    <s v="Keskuskatu 45"/>
    <s v=""/>
    <s v="Helsinki"/>
    <s v=""/>
    <s v="21240"/>
    <x v="4"/>
    <s v="EMEA"/>
    <s v="Karttunen"/>
    <s v="Matti"/>
    <s v="Matti, Karttunen"/>
    <s v="Medium"/>
  </r>
  <r>
    <n v="10309"/>
    <n v="50"/>
    <n v="847"/>
    <n v="42350"/>
    <n v="42350"/>
    <n v="3"/>
    <s v="10/15/2004 0:00"/>
    <x v="0"/>
    <x v="3"/>
    <x v="4"/>
    <x v="1"/>
    <x v="0"/>
    <n v="102"/>
    <s v="S32_4485"/>
    <x v="17"/>
    <s v="07-98 9555"/>
    <s v="Erling Skakkes gate 78"/>
    <s v=""/>
    <s v="Stavern"/>
    <s v=""/>
    <s v="4110"/>
    <x v="2"/>
    <s v="EMEA"/>
    <s v="Bergulfsen"/>
    <s v="Jonas"/>
    <s v="Jonas, Bergulfsen"/>
    <s v="Medium"/>
  </r>
  <r>
    <n v="10319"/>
    <n v="22"/>
    <n v="100"/>
    <n v="2200"/>
    <n v="2200"/>
    <n v="8"/>
    <s v="11/3/2004 0:00"/>
    <x v="0"/>
    <x v="3"/>
    <x v="5"/>
    <x v="1"/>
    <x v="0"/>
    <n v="102"/>
    <s v="S32_4485"/>
    <x v="79"/>
    <s v="2125551957"/>
    <s v="5290 North Pendale Street"/>
    <s v="Suite 200"/>
    <s v="NYC"/>
    <s v="NY"/>
    <s v="10022"/>
    <x v="0"/>
    <s v="NA"/>
    <s v="Kuo"/>
    <s v="Kee"/>
    <s v="Kee, Kuo"/>
    <s v="Small"/>
  </r>
  <r>
    <n v="10331"/>
    <n v="32"/>
    <n v="100"/>
    <n v="3200"/>
    <n v="3200"/>
    <n v="4"/>
    <s v="11/17/2004 0:00"/>
    <x v="0"/>
    <x v="3"/>
    <x v="5"/>
    <x v="1"/>
    <x v="0"/>
    <n v="102"/>
    <s v="S32_4485"/>
    <x v="45"/>
    <s v="2155559857"/>
    <s v="11328 Douglas Av."/>
    <s v=""/>
    <s v="Philadelphia"/>
    <s v="PA"/>
    <s v="71270"/>
    <x v="0"/>
    <s v="NA"/>
    <s v="Hernandez"/>
    <s v="Rosa"/>
    <s v="Rosa, Hernandez"/>
    <s v="Medium"/>
  </r>
  <r>
    <n v="10341"/>
    <n v="31"/>
    <n v="7102"/>
    <n v="220162"/>
    <n v="220162"/>
    <n v="4"/>
    <s v="11/24/2004 0:00"/>
    <x v="0"/>
    <x v="3"/>
    <x v="5"/>
    <x v="1"/>
    <x v="0"/>
    <n v="102"/>
    <s v="S32_4485"/>
    <x v="19"/>
    <s v="6562-9555"/>
    <s v="Geislweg 14"/>
    <s v=""/>
    <s v="Salzburg"/>
    <s v=""/>
    <s v="5020"/>
    <x v="5"/>
    <s v="EMEA"/>
    <s v="Pipps"/>
    <s v="Georg"/>
    <s v="Georg, Pipps"/>
    <s v="Small"/>
  </r>
  <r>
    <n v="10355"/>
    <n v="40"/>
    <n v="100"/>
    <n v="4000"/>
    <n v="4000"/>
    <n v="5"/>
    <s v="12/7/2004 0:00"/>
    <x v="0"/>
    <x v="3"/>
    <x v="6"/>
    <x v="1"/>
    <x v="0"/>
    <n v="102"/>
    <s v="S32_4485"/>
    <x v="23"/>
    <s v="(91) 555 94 44"/>
    <s v="C/ Moralzarzal, 86"/>
    <s v=""/>
    <s v="Madrid"/>
    <s v=""/>
    <s v="28034"/>
    <x v="7"/>
    <s v="EMEA"/>
    <s v="Freyre"/>
    <s v="Diego"/>
    <s v="Diego, Freyre"/>
    <s v="Medium"/>
  </r>
  <r>
    <n v="10365"/>
    <n v="22"/>
    <n v="100"/>
    <n v="2200"/>
    <n v="2200"/>
    <n v="3"/>
    <s v="1/7/2005 0:00"/>
    <x v="0"/>
    <x v="0"/>
    <x v="7"/>
    <x v="2"/>
    <x v="0"/>
    <n v="102"/>
    <s v="S32_4485"/>
    <x v="50"/>
    <s v="5085559555"/>
    <s v="4575 Hillside Dr."/>
    <s v=""/>
    <s v="New Bedford"/>
    <s v="MA"/>
    <s v="50553"/>
    <x v="0"/>
    <s v="NA"/>
    <s v="Tam"/>
    <s v="Wing C"/>
    <s v="Wing C, Tam"/>
    <s v="Medium"/>
  </r>
  <r>
    <n v="10375"/>
    <n v="41"/>
    <n v="100"/>
    <n v="4100"/>
    <n v="4100"/>
    <n v="15"/>
    <s v="2/3/2005 0:00"/>
    <x v="0"/>
    <x v="0"/>
    <x v="0"/>
    <x v="2"/>
    <x v="0"/>
    <n v="102"/>
    <s v="S32_4485"/>
    <x v="14"/>
    <s v="40.67.8555"/>
    <s v="67, rue des Cinquante Otages"/>
    <s v=""/>
    <s v="Nantes"/>
    <s v=""/>
    <s v="44000"/>
    <x v="1"/>
    <s v="EMEA"/>
    <s v="Labrune"/>
    <s v="Janine"/>
    <s v="Janine, Labrune"/>
    <s v="Medium"/>
  </r>
  <r>
    <n v="10390"/>
    <n v="45"/>
    <n v="4898"/>
    <n v="220410"/>
    <n v="220410"/>
    <n v="12"/>
    <s v="3/4/2005 0:00"/>
    <x v="0"/>
    <x v="0"/>
    <x v="11"/>
    <x v="2"/>
    <x v="0"/>
    <n v="102"/>
    <s v="S32_4485"/>
    <x v="39"/>
    <s v="4155551450"/>
    <s v="5677 Strong St."/>
    <s v=""/>
    <s v="San Rafael"/>
    <s v="CA"/>
    <s v="97562"/>
    <x v="0"/>
    <s v="NA"/>
    <s v="Nelson"/>
    <s v="Valarie"/>
    <s v="Valarie, Nelson"/>
    <s v="Small"/>
  </r>
  <r>
    <n v="10403"/>
    <n v="45"/>
    <n v="100"/>
    <n v="4500"/>
    <n v="4500"/>
    <n v="5"/>
    <s v="4/8/2005 0:00"/>
    <x v="0"/>
    <x v="1"/>
    <x v="8"/>
    <x v="2"/>
    <x v="0"/>
    <n v="102"/>
    <s v="S32_4485"/>
    <x v="22"/>
    <s v="(171) 555-2282"/>
    <s v="Berkeley Gardens 12  Brewery"/>
    <s v=""/>
    <s v="Liverpool"/>
    <s v=""/>
    <s v="WX1 6LT"/>
    <x v="6"/>
    <s v="EMEA"/>
    <s v="Devon"/>
    <s v="Elizabeth"/>
    <s v="Elizabeth, Devon"/>
    <s v="Medium"/>
  </r>
  <r>
    <n v="10106"/>
    <n v="39"/>
    <n v="4015"/>
    <n v="156585"/>
    <n v="156585"/>
    <n v="6"/>
    <s v="2/17/2003 0:00"/>
    <x v="0"/>
    <x v="0"/>
    <x v="0"/>
    <x v="0"/>
    <x v="3"/>
    <n v="43"/>
    <s v="S50_1341"/>
    <x v="86"/>
    <s v="035-640555"/>
    <s v="Via Ludovico il Moro 22"/>
    <s v=""/>
    <s v="Bergamo"/>
    <s v=""/>
    <s v="24100"/>
    <x v="12"/>
    <s v="EMEA"/>
    <s v="Rovelli"/>
    <s v="Giovanni"/>
    <s v="Giovanni, Rovelli"/>
    <s v="Small"/>
  </r>
  <r>
    <n v="10120"/>
    <n v="49"/>
    <n v="5062"/>
    <n v="248038"/>
    <n v="248038"/>
    <n v="12"/>
    <s v="4/29/2003 0:00"/>
    <x v="0"/>
    <x v="1"/>
    <x v="8"/>
    <x v="0"/>
    <x v="3"/>
    <n v="43"/>
    <s v="S50_1341"/>
    <x v="10"/>
    <s v="03 9520 4555"/>
    <s v="636 St Kilda Road"/>
    <s v="Level 3"/>
    <s v="Melbourne"/>
    <s v="Victoria"/>
    <s v="3004"/>
    <x v="3"/>
    <s v="APAC"/>
    <s v="Ferguson"/>
    <s v="Peter"/>
    <s v="Peter, Ferguson"/>
    <s v="Small"/>
  </r>
  <r>
    <n v="10133"/>
    <n v="27"/>
    <n v="5019"/>
    <n v="135513"/>
    <n v="135513"/>
    <n v="7"/>
    <s v="6/27/2003 0:00"/>
    <x v="0"/>
    <x v="1"/>
    <x v="9"/>
    <x v="0"/>
    <x v="3"/>
    <n v="43"/>
    <s v="S50_1341"/>
    <x v="23"/>
    <s v="(91) 555 94 44"/>
    <s v="C/ Moralzarzal, 86"/>
    <s v=""/>
    <s v="Madrid"/>
    <s v=""/>
    <s v="28034"/>
    <x v="7"/>
    <s v="EMEA"/>
    <s v="Freyre"/>
    <s v="Diego"/>
    <s v="Diego, Freyre"/>
    <s v="Small"/>
  </r>
  <r>
    <n v="10143"/>
    <n v="34"/>
    <n v="3666"/>
    <n v="124644"/>
    <n v="124644"/>
    <n v="1"/>
    <s v="8/10/2003 0:00"/>
    <x v="0"/>
    <x v="2"/>
    <x v="3"/>
    <x v="0"/>
    <x v="3"/>
    <n v="43"/>
    <s v="S50_1341"/>
    <x v="50"/>
    <s v="5085559555"/>
    <s v="4575 Hillside Dr."/>
    <s v=""/>
    <s v="New Bedford"/>
    <s v="MA"/>
    <s v="50553"/>
    <x v="0"/>
    <s v="NA"/>
    <s v="Tam"/>
    <s v="Wing C"/>
    <s v="Wing C, Tam"/>
    <s v="Small"/>
  </r>
  <r>
    <n v="10156"/>
    <n v="20"/>
    <n v="4102"/>
    <n v="82040"/>
    <n v="82040"/>
    <n v="1"/>
    <s v="10/8/2003 0:00"/>
    <x v="0"/>
    <x v="3"/>
    <x v="4"/>
    <x v="0"/>
    <x v="3"/>
    <n v="43"/>
    <s v="S50_1341"/>
    <x v="23"/>
    <s v="(91) 555 94 44"/>
    <s v="C/ Moralzarzal, 86"/>
    <s v=""/>
    <s v="Madrid"/>
    <s v=""/>
    <s v="28034"/>
    <x v="7"/>
    <s v="EMEA"/>
    <s v="Freyre"/>
    <s v="Diego"/>
    <s v="Diego, Freyre"/>
    <s v="Small"/>
  </r>
  <r>
    <n v="10168"/>
    <n v="48"/>
    <n v="5193"/>
    <n v="249264"/>
    <n v="249264"/>
    <n v="13"/>
    <s v="10/28/2003 0:00"/>
    <x v="0"/>
    <x v="3"/>
    <x v="4"/>
    <x v="0"/>
    <x v="3"/>
    <n v="43"/>
    <s v="S50_1341"/>
    <x v="5"/>
    <s v="6505556809"/>
    <s v="9408 Furth Circle"/>
    <s v=""/>
    <s v="Burlingame"/>
    <s v="CA"/>
    <s v="94217"/>
    <x v="0"/>
    <s v="NA"/>
    <s v="Hirano"/>
    <s v="Juri"/>
    <s v="Juri, Hirano"/>
    <s v="Small"/>
  </r>
  <r>
    <n v="10199"/>
    <n v="29"/>
    <n v="384"/>
    <n v="11136"/>
    <n v="11136"/>
    <n v="1"/>
    <s v="12/1/2003 0:00"/>
    <x v="0"/>
    <x v="3"/>
    <x v="6"/>
    <x v="0"/>
    <x v="3"/>
    <n v="43"/>
    <s v="S50_1341"/>
    <x v="32"/>
    <s v="3105553722"/>
    <s v="3675 Furth Circle"/>
    <s v=""/>
    <s v="Burbank"/>
    <s v="CA"/>
    <s v="94019"/>
    <x v="0"/>
    <s v="NA"/>
    <s v="Thompson"/>
    <s v="Steve"/>
    <s v="Steve, Thompson"/>
    <s v="Small"/>
  </r>
  <r>
    <n v="10210"/>
    <n v="43"/>
    <n v="4102"/>
    <n v="176386"/>
    <n v="176386"/>
    <n v="11"/>
    <s v="1/12/2004 0:00"/>
    <x v="0"/>
    <x v="0"/>
    <x v="7"/>
    <x v="1"/>
    <x v="3"/>
    <n v="43"/>
    <s v="S50_1341"/>
    <x v="44"/>
    <s v="+81 06 6342 5555"/>
    <s v="Dojima Avanza 4F, 1-6-20 Dojima, Kita-ku"/>
    <s v=""/>
    <s v="Osaka"/>
    <s v="Osaka"/>
    <s v="530-0003"/>
    <x v="11"/>
    <s v="Japan"/>
    <s v="Kentary"/>
    <s v="Mory"/>
    <s v="Mory, Kentary"/>
    <s v="Small"/>
  </r>
  <r>
    <n v="10223"/>
    <n v="41"/>
    <n v="4626"/>
    <n v="189666"/>
    <n v="189666"/>
    <n v="13"/>
    <s v="2/20/2004 0:00"/>
    <x v="0"/>
    <x v="0"/>
    <x v="0"/>
    <x v="1"/>
    <x v="3"/>
    <n v="43"/>
    <s v="S50_1341"/>
    <x v="10"/>
    <s v="03 9520 4555"/>
    <s v="636 St Kilda Road"/>
    <s v="Level 3"/>
    <s v="Melbourne"/>
    <s v="Victoria"/>
    <s v="3004"/>
    <x v="3"/>
    <s v="APAC"/>
    <s v="Ferguson"/>
    <s v="Peter"/>
    <s v="Peter, Ferguson"/>
    <s v="Small"/>
  </r>
  <r>
    <n v="10235"/>
    <n v="41"/>
    <n v="3535"/>
    <n v="144935"/>
    <n v="144935"/>
    <n v="7"/>
    <s v="4/2/2004 0:00"/>
    <x v="0"/>
    <x v="1"/>
    <x v="8"/>
    <x v="1"/>
    <x v="3"/>
    <n v="43"/>
    <s v="S50_1341"/>
    <x v="57"/>
    <s v="(604) 555-4555"/>
    <s v="23 Tsawassen Blvd."/>
    <s v=""/>
    <s v="Tsawassen"/>
    <s v="BC"/>
    <s v="T2F 8M4"/>
    <x v="10"/>
    <s v="NA"/>
    <s v="Lincoln"/>
    <s v="Elizabeth"/>
    <s v="Elizabeth, Lincoln"/>
    <s v="Small"/>
  </r>
  <r>
    <n v="10250"/>
    <n v="36"/>
    <n v="5193"/>
    <n v="186948"/>
    <n v="186948"/>
    <n v="8"/>
    <s v="5/11/2004 0:00"/>
    <x v="0"/>
    <x v="1"/>
    <x v="1"/>
    <x v="1"/>
    <x v="3"/>
    <n v="43"/>
    <s v="S50_1341"/>
    <x v="61"/>
    <s v="4085553659"/>
    <s v="3086 Ingle Ln."/>
    <s v=""/>
    <s v="San Jose"/>
    <s v="CA"/>
    <s v="94217"/>
    <x v="0"/>
    <s v="NA"/>
    <s v="Frick"/>
    <s v="Sue"/>
    <s v="Sue, Frick"/>
    <s v="Small"/>
  </r>
  <r>
    <n v="10262"/>
    <n v="49"/>
    <n v="3797"/>
    <n v="186053"/>
    <n v="0"/>
    <n v="3"/>
    <s v="6/24/2004 0:00"/>
    <x v="3"/>
    <x v="1"/>
    <x v="9"/>
    <x v="1"/>
    <x v="3"/>
    <n v="43"/>
    <s v="S50_1341"/>
    <x v="23"/>
    <s v="(91) 555 94 44"/>
    <s v="C/ Moralzarzal, 86"/>
    <s v=""/>
    <s v="Madrid"/>
    <s v=""/>
    <s v="28034"/>
    <x v="7"/>
    <s v="EMEA"/>
    <s v="Freyre"/>
    <s v="Diego"/>
    <s v="Diego, Freyre"/>
    <s v="Small"/>
  </r>
  <r>
    <n v="10275"/>
    <n v="38"/>
    <n v="4539"/>
    <n v="172482"/>
    <n v="172482"/>
    <n v="13"/>
    <s v="7/23/2004 0:00"/>
    <x v="0"/>
    <x v="2"/>
    <x v="2"/>
    <x v="1"/>
    <x v="3"/>
    <n v="43"/>
    <s v="S50_1341"/>
    <x v="14"/>
    <s v="40.67.8555"/>
    <s v="67, rue des Cinquante Otages"/>
    <s v=""/>
    <s v="Nantes"/>
    <s v=""/>
    <s v="44000"/>
    <x v="1"/>
    <s v="EMEA"/>
    <s v="Labrune"/>
    <s v="Janine"/>
    <s v="Janine, Labrune"/>
    <s v="Small"/>
  </r>
  <r>
    <n v="10284"/>
    <n v="33"/>
    <n v="5193"/>
    <n v="171369"/>
    <n v="171369"/>
    <n v="5"/>
    <s v="8/21/2004 0:00"/>
    <x v="0"/>
    <x v="2"/>
    <x v="3"/>
    <x v="1"/>
    <x v="3"/>
    <n v="43"/>
    <s v="S50_1341"/>
    <x v="85"/>
    <s v="+47 2212 1555"/>
    <s v="Drammensveien 126 A, PB 744 Sentrum"/>
    <s v=""/>
    <s v="Oslo"/>
    <s v=""/>
    <s v="N 0106"/>
    <x v="2"/>
    <s v="EMEA"/>
    <s v="Klaeboe"/>
    <s v="Jan"/>
    <s v="Jan, Klaeboe"/>
    <s v="Small"/>
  </r>
  <r>
    <n v="10296"/>
    <n v="26"/>
    <n v="4844"/>
    <n v="125944"/>
    <n v="125944"/>
    <n v="1"/>
    <s v="9/15/2004 0:00"/>
    <x v="0"/>
    <x v="2"/>
    <x v="10"/>
    <x v="1"/>
    <x v="3"/>
    <n v="43"/>
    <s v="S50_1341"/>
    <x v="89"/>
    <s v="+49 89 61 08 9555"/>
    <s v="Hansastr. 15"/>
    <s v=""/>
    <s v="Munich"/>
    <s v=""/>
    <s v="80686"/>
    <x v="16"/>
    <s v="EMEA"/>
    <s v="Donnermeyer"/>
    <s v="Michael"/>
    <s v="Michael, Donnermeyer"/>
    <s v="Small"/>
  </r>
  <r>
    <n v="10308"/>
    <n v="47"/>
    <n v="4364"/>
    <n v="205108"/>
    <n v="205108"/>
    <n v="11"/>
    <s v="10/15/2004 0:00"/>
    <x v="0"/>
    <x v="3"/>
    <x v="4"/>
    <x v="1"/>
    <x v="3"/>
    <n v="43"/>
    <s v="S50_1341"/>
    <x v="47"/>
    <s v="9145554562"/>
    <s v="3758 North Pendale Street"/>
    <s v=""/>
    <s v="White Plains"/>
    <s v="NY"/>
    <s v="24067"/>
    <x v="0"/>
    <s v="NA"/>
    <s v="Frick"/>
    <s v="Steve"/>
    <s v="Steve, Frick"/>
    <s v="Small"/>
  </r>
  <r>
    <n v="10316"/>
    <n v="34"/>
    <n v="4757"/>
    <n v="161738"/>
    <n v="161738"/>
    <n v="3"/>
    <s v="11/1/2004 0:00"/>
    <x v="0"/>
    <x v="3"/>
    <x v="5"/>
    <x v="1"/>
    <x v="3"/>
    <n v="43"/>
    <s v="S50_1341"/>
    <x v="59"/>
    <s v="(198) 555-8888"/>
    <s v="Garden House Crowther Way"/>
    <s v=""/>
    <s v="Cowes"/>
    <s v="Isle of Wight"/>
    <s v="PO31 7PJ"/>
    <x v="6"/>
    <s v="EMEA"/>
    <s v="Bennett"/>
    <s v="Helen"/>
    <s v="Helen, Bennett"/>
    <s v="Small"/>
  </r>
  <r>
    <n v="10328"/>
    <n v="34"/>
    <n v="5193"/>
    <n v="176562"/>
    <n v="176562"/>
    <n v="7"/>
    <s v="11/12/2004 0:00"/>
    <x v="0"/>
    <x v="3"/>
    <x v="5"/>
    <x v="1"/>
    <x v="3"/>
    <n v="43"/>
    <s v="S50_1341"/>
    <x v="86"/>
    <s v="035-640555"/>
    <s v="Via Ludovico il Moro 22"/>
    <s v=""/>
    <s v="Bergamo"/>
    <s v=""/>
    <s v="24100"/>
    <x v="12"/>
    <s v="EMEA"/>
    <s v="Rovelli"/>
    <s v="Giovanni"/>
    <s v="Giovanni, Rovelli"/>
    <s v="Small"/>
  </r>
  <r>
    <n v="10340"/>
    <n v="40"/>
    <n v="5062"/>
    <n v="202480"/>
    <n v="202480"/>
    <n v="4"/>
    <s v="11/24/2004 0:00"/>
    <x v="0"/>
    <x v="3"/>
    <x v="5"/>
    <x v="1"/>
    <x v="3"/>
    <n v="43"/>
    <s v="S50_1341"/>
    <x v="53"/>
    <s v="(93) 203 4555"/>
    <s v="Rambla de Catalu¤a, 23"/>
    <s v=""/>
    <s v="Barcelona"/>
    <s v=""/>
    <s v="8022"/>
    <x v="7"/>
    <s v="EMEA"/>
    <s v="Saavedra"/>
    <s v="Eduardo"/>
    <s v="Eduardo, Saavedra"/>
    <s v="Small"/>
  </r>
  <r>
    <n v="10353"/>
    <n v="40"/>
    <n v="8221"/>
    <n v="328840"/>
    <n v="328840"/>
    <n v="8"/>
    <s v="12/4/2004 0:00"/>
    <x v="0"/>
    <x v="3"/>
    <x v="6"/>
    <x v="1"/>
    <x v="3"/>
    <n v="43"/>
    <s v="S50_1341"/>
    <x v="88"/>
    <s v="2035554407"/>
    <s v="2440 Pompton St."/>
    <s v=""/>
    <s v="Glendale"/>
    <s v="CT"/>
    <s v="97561"/>
    <x v="0"/>
    <s v="NA"/>
    <s v="Lewis"/>
    <s v="Dan"/>
    <s v="Dan, Lewis"/>
    <s v="Medium"/>
  </r>
  <r>
    <n v="10361"/>
    <n v="33"/>
    <n v="8259"/>
    <n v="272547"/>
    <n v="272547"/>
    <n v="3"/>
    <s v="12/17/2004 0:00"/>
    <x v="0"/>
    <x v="3"/>
    <x v="6"/>
    <x v="1"/>
    <x v="3"/>
    <n v="43"/>
    <s v="S50_1341"/>
    <x v="20"/>
    <s v="+61 2 9495 8555"/>
    <s v="Monitor Money Building, 815 Pacific Hwy"/>
    <s v="Level 6"/>
    <s v="Chatswood"/>
    <s v="NSW"/>
    <s v="2067"/>
    <x v="3"/>
    <s v="APAC"/>
    <s v="Huxley"/>
    <s v="Adrian"/>
    <s v="Adrian, Huxley"/>
    <s v="Small"/>
  </r>
  <r>
    <n v="10375"/>
    <n v="49"/>
    <n v="658"/>
    <n v="32242"/>
    <n v="32242"/>
    <n v="5"/>
    <s v="2/3/2005 0:00"/>
    <x v="0"/>
    <x v="0"/>
    <x v="0"/>
    <x v="2"/>
    <x v="3"/>
    <n v="43"/>
    <s v="S50_1341"/>
    <x v="14"/>
    <s v="40.67.8555"/>
    <s v="67, rue des Cinquante Otages"/>
    <s v=""/>
    <s v="Nantes"/>
    <s v=""/>
    <s v="44000"/>
    <x v="1"/>
    <s v="EMEA"/>
    <s v="Labrune"/>
    <s v="Janine"/>
    <s v="Janine, Labrune"/>
    <s v="Medium"/>
  </r>
  <r>
    <n v="10388"/>
    <n v="27"/>
    <n v="100"/>
    <n v="2700"/>
    <n v="2700"/>
    <n v="1"/>
    <s v="3/3/2005 0:00"/>
    <x v="0"/>
    <x v="0"/>
    <x v="11"/>
    <x v="2"/>
    <x v="3"/>
    <n v="43"/>
    <s v="S50_1341"/>
    <x v="21"/>
    <s v="5085552555"/>
    <s v="1785 First Street"/>
    <s v=""/>
    <s v="New Bedford"/>
    <s v="MA"/>
    <s v="50553"/>
    <x v="0"/>
    <s v="NA"/>
    <s v="Benitez"/>
    <s v="Violeta"/>
    <s v="Violeta, Benitez"/>
    <s v="Medium"/>
  </r>
  <r>
    <n v="10398"/>
    <n v="49"/>
    <n v="3666"/>
    <n v="179634"/>
    <n v="179634"/>
    <n v="5"/>
    <s v="3/30/2005 0:00"/>
    <x v="0"/>
    <x v="0"/>
    <x v="11"/>
    <x v="2"/>
    <x v="3"/>
    <n v="43"/>
    <s v="S50_1341"/>
    <x v="1"/>
    <s v="26.47.1555"/>
    <s v="59 rue de l'Abbaye"/>
    <s v=""/>
    <s v="Reims"/>
    <s v=""/>
    <s v="51100"/>
    <x v="1"/>
    <s v="EMEA"/>
    <s v="Henriot"/>
    <s v="Paul"/>
    <s v="Paul, Henriot"/>
    <s v="Small"/>
  </r>
  <r>
    <n v="10401"/>
    <n v="56"/>
    <n v="3535"/>
    <n v="197960"/>
    <n v="0"/>
    <n v="7"/>
    <s v="4/3/2005 0:00"/>
    <x v="4"/>
    <x v="1"/>
    <x v="8"/>
    <x v="2"/>
    <x v="3"/>
    <n v="43"/>
    <s v="S50_1341"/>
    <x v="12"/>
    <s v="2015559350"/>
    <s v="7476 Moss Rd."/>
    <s v=""/>
    <s v="Newark"/>
    <s v="NJ"/>
    <s v="94019"/>
    <x v="0"/>
    <s v="NA"/>
    <s v="Brown"/>
    <s v="William"/>
    <s v="William, Brown"/>
    <s v="Small"/>
  </r>
  <r>
    <n v="10416"/>
    <n v="37"/>
    <n v="5193"/>
    <n v="192141"/>
    <n v="192141"/>
    <n v="8"/>
    <s v="5/10/2005 0:00"/>
    <x v="0"/>
    <x v="1"/>
    <x v="1"/>
    <x v="2"/>
    <x v="3"/>
    <n v="43"/>
    <s v="S50_1341"/>
    <x v="70"/>
    <s v="0522-556555"/>
    <s v="Strada Provinciale 124"/>
    <s v=""/>
    <s v="Reggio Emilia"/>
    <s v=""/>
    <s v="42100"/>
    <x v="12"/>
    <s v="EMEA"/>
    <s v="Moroni"/>
    <s v="Maurizio"/>
    <s v="Maurizio, Moroni"/>
    <s v="Small"/>
  </r>
  <r>
    <n v="10104"/>
    <n v="33"/>
    <n v="100"/>
    <n v="3300"/>
    <n v="3300"/>
    <n v="7"/>
    <s v="1/31/2003 0:00"/>
    <x v="0"/>
    <x v="0"/>
    <x v="7"/>
    <x v="0"/>
    <x v="2"/>
    <n v="115"/>
    <s v="S50_1392"/>
    <x v="23"/>
    <s v="(91) 555 94 44"/>
    <s v="C/ Moralzarzal, 86"/>
    <s v=""/>
    <s v="Madrid"/>
    <s v=""/>
    <s v="28034"/>
    <x v="7"/>
    <s v="EMEA"/>
    <s v="Freyre"/>
    <s v="Diego"/>
    <s v="Diego, Freyre"/>
    <s v="Medium"/>
  </r>
  <r>
    <n v="10115"/>
    <n v="27"/>
    <n v="100"/>
    <n v="2700"/>
    <n v="2700"/>
    <n v="3"/>
    <s v="4/4/2003 0:00"/>
    <x v="0"/>
    <x v="1"/>
    <x v="8"/>
    <x v="0"/>
    <x v="2"/>
    <n v="115"/>
    <s v="S50_1392"/>
    <x v="27"/>
    <s v="2125558493"/>
    <s v="5905 Pompton St."/>
    <s v="Suite 750"/>
    <s v="NYC"/>
    <s v="NY"/>
    <s v="10022"/>
    <x v="0"/>
    <s v="NA"/>
    <s v="Hernandez"/>
    <s v="Maria"/>
    <s v="Maria, Hernandez"/>
    <s v="Small"/>
  </r>
  <r>
    <n v="10127"/>
    <n v="46"/>
    <n v="100"/>
    <n v="4600"/>
    <n v="4600"/>
    <n v="9"/>
    <s v="6/3/2003 0:00"/>
    <x v="0"/>
    <x v="1"/>
    <x v="9"/>
    <x v="0"/>
    <x v="2"/>
    <n v="115"/>
    <s v="S50_1392"/>
    <x v="74"/>
    <s v="2125557413"/>
    <s v="4092 Furth Circle"/>
    <s v="Suite 400"/>
    <s v="NYC"/>
    <s v="NY"/>
    <s v="10022"/>
    <x v="0"/>
    <s v="NA"/>
    <s v="Young"/>
    <s v="Jeff"/>
    <s v="Jeff, Young"/>
    <s v="Medium"/>
  </r>
  <r>
    <n v="10141"/>
    <n v="44"/>
    <n v="100"/>
    <n v="4400"/>
    <n v="4400"/>
    <n v="3"/>
    <s v="8/1/2003 0:00"/>
    <x v="0"/>
    <x v="2"/>
    <x v="3"/>
    <x v="0"/>
    <x v="2"/>
    <n v="115"/>
    <s v="S50_1392"/>
    <x v="73"/>
    <s v="+358 9 8045 555"/>
    <s v="Software Engineering Center, SEC Oy"/>
    <s v=""/>
    <s v="Espoo"/>
    <s v=""/>
    <s v="FIN-02271"/>
    <x v="4"/>
    <s v="EMEA"/>
    <s v="Suominen"/>
    <s v="Kalle"/>
    <s v="Kalle, Suominen"/>
    <s v="Medium"/>
  </r>
  <r>
    <n v="10151"/>
    <n v="26"/>
    <n v="100"/>
    <n v="2600"/>
    <n v="2600"/>
    <n v="1"/>
    <s v="9/21/2003 0:00"/>
    <x v="0"/>
    <x v="2"/>
    <x v="10"/>
    <x v="0"/>
    <x v="2"/>
    <n v="115"/>
    <s v="S50_1392"/>
    <x v="60"/>
    <s v="981-443655"/>
    <s v="Torikatu 38"/>
    <s v=""/>
    <s v="Oulu"/>
    <s v=""/>
    <s v="90110"/>
    <x v="4"/>
    <s v="EMEA"/>
    <s v="Koskitalo"/>
    <s v="Pirkko"/>
    <s v="Pirkko, Koskitalo"/>
    <s v="Medium"/>
  </r>
  <r>
    <n v="10165"/>
    <n v="48"/>
    <n v="9492"/>
    <n v="455616"/>
    <n v="455616"/>
    <n v="10"/>
    <s v="10/22/2003 0:00"/>
    <x v="0"/>
    <x v="3"/>
    <x v="4"/>
    <x v="0"/>
    <x v="2"/>
    <n v="115"/>
    <s v="S50_1392"/>
    <x v="26"/>
    <s v="+65 221 7555"/>
    <s v="Bronz Sok., Bronz Apt. 3/6 Tesvikiye"/>
    <s v=""/>
    <s v="Singapore"/>
    <s v=""/>
    <s v="79903"/>
    <x v="9"/>
    <s v="Japan"/>
    <s v="Natividad"/>
    <s v="Eric"/>
    <s v="Eric, Natividad"/>
    <s v="Medium"/>
  </r>
  <r>
    <n v="10176"/>
    <n v="23"/>
    <n v="100"/>
    <n v="2300"/>
    <n v="2300"/>
    <n v="9"/>
    <s v="11/6/2003 0:00"/>
    <x v="0"/>
    <x v="3"/>
    <x v="5"/>
    <x v="0"/>
    <x v="2"/>
    <n v="115"/>
    <s v="S50_1392"/>
    <x v="70"/>
    <s v="0522-556555"/>
    <s v="Strada Provinciale 124"/>
    <s v=""/>
    <s v="Reggio Emilia"/>
    <s v=""/>
    <s v="42100"/>
    <x v="12"/>
    <s v="EMEA"/>
    <s v="Moroni"/>
    <s v="Maurizio"/>
    <s v="Maurizio, Moroni"/>
    <s v="Medium"/>
  </r>
  <r>
    <n v="10184"/>
    <n v="45"/>
    <n v="100"/>
    <n v="4500"/>
    <n v="4500"/>
    <n v="4"/>
    <s v="11/14/2003 0:00"/>
    <x v="0"/>
    <x v="3"/>
    <x v="5"/>
    <x v="0"/>
    <x v="2"/>
    <n v="115"/>
    <s v="S50_1392"/>
    <x v="81"/>
    <s v="(95) 555 82 82"/>
    <s v="C/ Romero, 33"/>
    <s v=""/>
    <s v="Sevilla"/>
    <s v=""/>
    <s v="41101"/>
    <x v="7"/>
    <s v="EMEA"/>
    <s v="Roel"/>
    <s v="Jose Pedro"/>
    <s v="Jose Pedro, Roel"/>
    <s v="Medium"/>
  </r>
  <r>
    <n v="10195"/>
    <n v="49"/>
    <n v="100"/>
    <n v="4900"/>
    <n v="4900"/>
    <n v="4"/>
    <s v="11/25/2003 0:00"/>
    <x v="0"/>
    <x v="3"/>
    <x v="5"/>
    <x v="0"/>
    <x v="2"/>
    <n v="115"/>
    <s v="S50_1392"/>
    <x v="47"/>
    <s v="9145554562"/>
    <s v="3758 North Pendale Street"/>
    <s v=""/>
    <s v="White Plains"/>
    <s v="NY"/>
    <s v="24067"/>
    <x v="0"/>
    <s v="NA"/>
    <s v="Frick"/>
    <s v="Steve"/>
    <s v="Steve, Frick"/>
    <s v="Medium"/>
  </r>
  <r>
    <n v="10207"/>
    <n v="28"/>
    <n v="9492"/>
    <n v="265776"/>
    <n v="265776"/>
    <n v="5"/>
    <s v="12/9/2003 0:00"/>
    <x v="0"/>
    <x v="3"/>
    <x v="6"/>
    <x v="0"/>
    <x v="2"/>
    <n v="115"/>
    <s v="S50_1392"/>
    <x v="64"/>
    <s v="6175552555"/>
    <s v="6251 Ingle Ln."/>
    <s v=""/>
    <s v="Boston"/>
    <s v="MA"/>
    <s v="51003"/>
    <x v="0"/>
    <s v="NA"/>
    <s v="Franco"/>
    <s v="Valarie"/>
    <s v="Valarie, Franco"/>
    <s v="Small"/>
  </r>
  <r>
    <n v="10220"/>
    <n v="37"/>
    <n v="100"/>
    <n v="3700"/>
    <n v="3700"/>
    <n v="9"/>
    <s v="2/12/2004 0:00"/>
    <x v="0"/>
    <x v="0"/>
    <x v="0"/>
    <x v="1"/>
    <x v="2"/>
    <n v="115"/>
    <s v="S50_1392"/>
    <x v="75"/>
    <s v="+353 1862 1555"/>
    <s v="25 Maiden Lane"/>
    <s v="Floor No. 4"/>
    <s v="Dublin"/>
    <s v=""/>
    <s v="2"/>
    <x v="18"/>
    <s v="EMEA"/>
    <s v="Cassidy"/>
    <s v="Dean"/>
    <s v="Dean, Cassidy"/>
    <s v="Medium"/>
  </r>
  <r>
    <n v="10230"/>
    <n v="34"/>
    <n v="100"/>
    <n v="3400"/>
    <n v="3400"/>
    <n v="7"/>
    <s v="3/15/2004 0:00"/>
    <x v="0"/>
    <x v="0"/>
    <x v="11"/>
    <x v="1"/>
    <x v="2"/>
    <n v="115"/>
    <s v="S50_1392"/>
    <x v="72"/>
    <s v="+49 69 66 90 2555"/>
    <s v="Lyonerstr. 34"/>
    <s v=""/>
    <s v="Frankfurt"/>
    <s v=""/>
    <s v="60528"/>
    <x v="16"/>
    <s v="EMEA"/>
    <s v="Keitel"/>
    <s v="Roland"/>
    <s v="Roland, Keitel"/>
    <s v="Medium"/>
  </r>
  <r>
    <n v="10246"/>
    <n v="22"/>
    <n v="100"/>
    <n v="2200"/>
    <n v="2200"/>
    <n v="3"/>
    <s v="5/5/2004 0:00"/>
    <x v="0"/>
    <x v="1"/>
    <x v="1"/>
    <x v="1"/>
    <x v="2"/>
    <n v="115"/>
    <s v="S50_1392"/>
    <x v="23"/>
    <s v="(91) 555 94 44"/>
    <s v="C/ Moralzarzal, 86"/>
    <s v=""/>
    <s v="Madrid"/>
    <s v=""/>
    <s v="28034"/>
    <x v="7"/>
    <s v="EMEA"/>
    <s v="Freyre"/>
    <s v="Diego"/>
    <s v="Diego, Freyre"/>
    <s v="Small"/>
  </r>
  <r>
    <n v="10259"/>
    <n v="29"/>
    <n v="100"/>
    <n v="2900"/>
    <n v="2900"/>
    <n v="2"/>
    <s v="6/15/2004 0:00"/>
    <x v="0"/>
    <x v="1"/>
    <x v="9"/>
    <x v="1"/>
    <x v="2"/>
    <n v="115"/>
    <s v="S50_1392"/>
    <x v="65"/>
    <s v="+65 224 1555"/>
    <s v="Village Close - 106 Linden Road Sandown"/>
    <s v="2nd Floor"/>
    <s v="Singapore"/>
    <s v=""/>
    <s v="69045"/>
    <x v="9"/>
    <s v="APAC"/>
    <s v="Victorino"/>
    <s v="Wendy"/>
    <s v="Wendy, Victorino"/>
    <s v="Medium"/>
  </r>
  <r>
    <n v="10271"/>
    <n v="34"/>
    <n v="9839"/>
    <n v="334526"/>
    <n v="334526"/>
    <n v="3"/>
    <s v="7/20/2004 0:00"/>
    <x v="0"/>
    <x v="2"/>
    <x v="2"/>
    <x v="1"/>
    <x v="2"/>
    <n v="115"/>
    <s v="S50_1392"/>
    <x v="39"/>
    <s v="4155551450"/>
    <s v="5677 Strong St."/>
    <s v=""/>
    <s v="San Rafael"/>
    <s v="CA"/>
    <s v="97562"/>
    <x v="0"/>
    <s v="NA"/>
    <s v="Nelson"/>
    <s v="Valarie"/>
    <s v="Valarie, Nelson"/>
    <s v="Medium"/>
  </r>
  <r>
    <n v="10282"/>
    <n v="38"/>
    <n v="100"/>
    <n v="3800"/>
    <n v="3800"/>
    <n v="12"/>
    <s v="8/20/2004 0:00"/>
    <x v="0"/>
    <x v="2"/>
    <x v="3"/>
    <x v="1"/>
    <x v="2"/>
    <n v="115"/>
    <s v="S50_1392"/>
    <x v="39"/>
    <s v="4155551450"/>
    <s v="5677 Strong St."/>
    <s v=""/>
    <s v="San Rafael"/>
    <s v="CA"/>
    <s v="97562"/>
    <x v="0"/>
    <s v="NA"/>
    <s v="Nelson"/>
    <s v="Valarie"/>
    <s v="Valarie, Nelson"/>
    <s v="Medium"/>
  </r>
  <r>
    <n v="10292"/>
    <n v="41"/>
    <n v="100"/>
    <n v="4100"/>
    <n v="4100"/>
    <n v="6"/>
    <s v="9/8/2004 0:00"/>
    <x v="0"/>
    <x v="2"/>
    <x v="10"/>
    <x v="1"/>
    <x v="2"/>
    <n v="115"/>
    <s v="S50_1392"/>
    <x v="0"/>
    <s v="2125557818"/>
    <s v="897 Long Airport Avenue"/>
    <s v=""/>
    <s v="NYC"/>
    <s v="NY"/>
    <s v="10022"/>
    <x v="0"/>
    <s v="NA"/>
    <s v="Yu"/>
    <s v="Kwai"/>
    <s v="Kwai, Yu"/>
    <s v="Medium"/>
  </r>
  <r>
    <n v="10305"/>
    <n v="42"/>
    <n v="100"/>
    <n v="4200"/>
    <n v="4200"/>
    <n v="3"/>
    <s v="10/13/2004 0:00"/>
    <x v="0"/>
    <x v="3"/>
    <x v="4"/>
    <x v="1"/>
    <x v="2"/>
    <n v="115"/>
    <s v="S50_1392"/>
    <x v="15"/>
    <s v="6175558555"/>
    <s v="39323 Spinnaker Dr."/>
    <s v=""/>
    <s v="Cambridge"/>
    <s v="MA"/>
    <s v="51247"/>
    <x v="0"/>
    <s v="NA"/>
    <s v="Hernandez"/>
    <s v="Marta"/>
    <s v="Marta, Hernandez"/>
    <s v="Medium"/>
  </r>
  <r>
    <n v="10314"/>
    <n v="28"/>
    <n v="100"/>
    <n v="2800"/>
    <n v="2800"/>
    <n v="12"/>
    <s v="10/22/2004 0:00"/>
    <x v="0"/>
    <x v="3"/>
    <x v="4"/>
    <x v="1"/>
    <x v="2"/>
    <n v="115"/>
    <s v="S50_1392"/>
    <x v="78"/>
    <s v="86 21 3555"/>
    <s v="Smagsloget 45"/>
    <s v=""/>
    <s v="Aaarhus"/>
    <s v=""/>
    <s v="8200"/>
    <x v="13"/>
    <s v="EMEA"/>
    <s v="Ibsen"/>
    <s v="Palle"/>
    <s v="Palle, Ibsen"/>
    <s v="Medium"/>
  </r>
  <r>
    <n v="10325"/>
    <n v="38"/>
    <n v="100"/>
    <n v="3800"/>
    <n v="3800"/>
    <n v="4"/>
    <s v="11/5/2004 0:00"/>
    <x v="0"/>
    <x v="3"/>
    <x v="5"/>
    <x v="1"/>
    <x v="2"/>
    <n v="115"/>
    <s v="S50_1392"/>
    <x v="17"/>
    <s v="07-98 9555"/>
    <s v="Erling Skakkes gate 78"/>
    <s v=""/>
    <s v="Stavern"/>
    <s v=""/>
    <s v="4110"/>
    <x v="2"/>
    <s v="EMEA"/>
    <s v="Bergulfsen"/>
    <s v="Jonas"/>
    <s v="Jonas, Bergulfsen"/>
    <s v="Medium"/>
  </r>
  <r>
    <n v="10336"/>
    <n v="23"/>
    <n v="100"/>
    <n v="2300"/>
    <n v="2300"/>
    <n v="8"/>
    <s v="11/20/2004 0:00"/>
    <x v="0"/>
    <x v="3"/>
    <x v="5"/>
    <x v="1"/>
    <x v="2"/>
    <n v="115"/>
    <s v="S50_1392"/>
    <x v="62"/>
    <s v="(1) 42.34.2555"/>
    <s v="265, boulevard Charonne"/>
    <s v=""/>
    <s v="Paris"/>
    <s v=""/>
    <s v="75012"/>
    <x v="1"/>
    <s v="EMEA"/>
    <s v="Bertrand"/>
    <s v="Marie"/>
    <s v="Marie, Bertrand"/>
    <s v="Medium"/>
  </r>
  <r>
    <n v="10350"/>
    <n v="31"/>
    <n v="714"/>
    <n v="22134"/>
    <n v="22134"/>
    <n v="8"/>
    <s v="12/2/2004 0:00"/>
    <x v="0"/>
    <x v="3"/>
    <x v="6"/>
    <x v="1"/>
    <x v="2"/>
    <n v="115"/>
    <s v="S50_1392"/>
    <x v="23"/>
    <s v="(91) 555 94 44"/>
    <s v="C/ Moralzarzal, 86"/>
    <s v=""/>
    <s v="Madrid"/>
    <s v=""/>
    <s v="28034"/>
    <x v="7"/>
    <s v="EMEA"/>
    <s v="Freyre"/>
    <s v="Diego"/>
    <s v="Diego, Freyre"/>
    <s v="Small"/>
  </r>
  <r>
    <n v="10359"/>
    <n v="46"/>
    <n v="100"/>
    <n v="4600"/>
    <n v="4600"/>
    <n v="2"/>
    <s v="12/15/2004 0:00"/>
    <x v="0"/>
    <x v="3"/>
    <x v="6"/>
    <x v="1"/>
    <x v="2"/>
    <n v="115"/>
    <s v="S50_1392"/>
    <x v="1"/>
    <s v="26.47.1555"/>
    <s v="59 rue de l'Abbaye"/>
    <s v=""/>
    <s v="Reims"/>
    <s v=""/>
    <s v="51100"/>
    <x v="1"/>
    <s v="EMEA"/>
    <s v="Henriot"/>
    <s v="Paul"/>
    <s v="Paul, Henriot"/>
    <s v="Medium"/>
  </r>
  <r>
    <n v="10371"/>
    <n v="48"/>
    <n v="5655"/>
    <n v="271440"/>
    <n v="271440"/>
    <n v="10"/>
    <s v="1/23/2005 0:00"/>
    <x v="0"/>
    <x v="0"/>
    <x v="7"/>
    <x v="2"/>
    <x v="2"/>
    <n v="115"/>
    <s v="S50_1392"/>
    <x v="39"/>
    <s v="4155551450"/>
    <s v="5677 Strong St."/>
    <s v=""/>
    <s v="San Rafael"/>
    <s v="CA"/>
    <s v="97562"/>
    <x v="0"/>
    <s v="NA"/>
    <s v="Nelson"/>
    <s v="Valarie"/>
    <s v="Valarie, Nelson"/>
    <s v="Small"/>
  </r>
  <r>
    <n v="10383"/>
    <n v="29"/>
    <n v="100"/>
    <n v="2900"/>
    <n v="2900"/>
    <n v="13"/>
    <s v="2/22/2005 0:00"/>
    <x v="0"/>
    <x v="0"/>
    <x v="0"/>
    <x v="2"/>
    <x v="2"/>
    <n v="115"/>
    <s v="S50_1392"/>
    <x v="23"/>
    <s v="(91) 555 94 44"/>
    <s v="C/ Moralzarzal, 86"/>
    <s v=""/>
    <s v="Madrid"/>
    <s v=""/>
    <s v="28034"/>
    <x v="7"/>
    <s v="EMEA"/>
    <s v="Freyre"/>
    <s v="Diego"/>
    <s v="Diego, Freyre"/>
    <s v="Medium"/>
  </r>
  <r>
    <n v="10395"/>
    <n v="46"/>
    <n v="100"/>
    <n v="4600"/>
    <n v="4600"/>
    <n v="4"/>
    <s v="3/17/2005 0:00"/>
    <x v="0"/>
    <x v="0"/>
    <x v="11"/>
    <x v="2"/>
    <x v="2"/>
    <n v="115"/>
    <s v="S50_1392"/>
    <x v="2"/>
    <s v="+33 1 46 62 7555"/>
    <s v="27 rue du Colonel Pierre Avia"/>
    <s v=""/>
    <s v="Paris"/>
    <s v=""/>
    <s v="75508"/>
    <x v="1"/>
    <s v="EMEA"/>
    <s v="Da Cunha"/>
    <s v="Daniel"/>
    <s v="Daniel, Da Cunha"/>
    <s v="Medium"/>
  </r>
  <r>
    <n v="10412"/>
    <n v="26"/>
    <n v="100"/>
    <n v="2600"/>
    <n v="2600"/>
    <n v="3"/>
    <s v="5/3/2005 0:00"/>
    <x v="0"/>
    <x v="1"/>
    <x v="1"/>
    <x v="2"/>
    <x v="2"/>
    <n v="115"/>
    <s v="S50_1392"/>
    <x v="23"/>
    <s v="(91) 555 94 44"/>
    <s v="C/ Moralzarzal, 86"/>
    <s v=""/>
    <s v="Madrid"/>
    <s v=""/>
    <s v="28034"/>
    <x v="7"/>
    <s v="EMEA"/>
    <s v="Freyre"/>
    <s v="Diego"/>
    <s v="Diego, Freyre"/>
    <s v="Medium"/>
  </r>
  <r>
    <n v="10425"/>
    <n v="18"/>
    <n v="100"/>
    <n v="1800"/>
    <n v="0"/>
    <n v="2"/>
    <s v="5/31/2005 0:00"/>
    <x v="2"/>
    <x v="1"/>
    <x v="1"/>
    <x v="2"/>
    <x v="2"/>
    <n v="115"/>
    <s v="S50_1392"/>
    <x v="14"/>
    <s v="40.67.8555"/>
    <s v="67, rue des Cinquante Otages"/>
    <s v=""/>
    <s v="Nantes"/>
    <s v=""/>
    <s v="44000"/>
    <x v="1"/>
    <s v="EMEA"/>
    <s v="Labrune"/>
    <s v="Janine"/>
    <s v="Janine, Labrune"/>
    <s v="Small"/>
  </r>
  <r>
    <n v="10104"/>
    <n v="32"/>
    <n v="5331"/>
    <n v="170592"/>
    <n v="170592"/>
    <n v="2"/>
    <s v="1/31/2003 0:00"/>
    <x v="0"/>
    <x v="0"/>
    <x v="7"/>
    <x v="0"/>
    <x v="6"/>
    <n v="58"/>
    <s v="S50_1514"/>
    <x v="23"/>
    <s v="(91) 555 94 44"/>
    <s v="C/ Moralzarzal, 86"/>
    <s v=""/>
    <s v="Madrid"/>
    <s v=""/>
    <s v="28034"/>
    <x v="7"/>
    <s v="EMEA"/>
    <s v="Freyre"/>
    <s v="Diego"/>
    <s v="Diego, Freyre"/>
    <s v="Small"/>
  </r>
  <r>
    <n v="10117"/>
    <n v="21"/>
    <n v="4921"/>
    <n v="103341"/>
    <n v="103341"/>
    <n v="11"/>
    <s v="4/16/2003 0:00"/>
    <x v="0"/>
    <x v="1"/>
    <x v="8"/>
    <x v="0"/>
    <x v="6"/>
    <n v="58"/>
    <s v="S50_1514"/>
    <x v="26"/>
    <s v="+65 221 7555"/>
    <s v="Bronz Sok., Bronz Apt. 3/6 Tesvikiye"/>
    <s v=""/>
    <s v="Singapore"/>
    <s v=""/>
    <s v="79903"/>
    <x v="9"/>
    <s v="Japan"/>
    <s v="Natividad"/>
    <s v="Eric"/>
    <s v="Eric, Natividad"/>
    <s v="Small"/>
  </r>
  <r>
    <n v="10127"/>
    <n v="46"/>
    <n v="6912"/>
    <n v="317952"/>
    <n v="317952"/>
    <n v="4"/>
    <s v="6/3/2003 0:00"/>
    <x v="0"/>
    <x v="1"/>
    <x v="9"/>
    <x v="0"/>
    <x v="6"/>
    <n v="58"/>
    <s v="S50_1514"/>
    <x v="74"/>
    <s v="2125557413"/>
    <s v="4092 Furth Circle"/>
    <s v="Suite 400"/>
    <s v="NYC"/>
    <s v="NY"/>
    <s v="10022"/>
    <x v="0"/>
    <s v="NA"/>
    <s v="Young"/>
    <s v="Jeff"/>
    <s v="Jeff, Young"/>
    <s v="Medium"/>
  </r>
  <r>
    <n v="10142"/>
    <n v="42"/>
    <n v="4979"/>
    <n v="209118"/>
    <n v="209118"/>
    <n v="14"/>
    <s v="8/8/2003 0:00"/>
    <x v="0"/>
    <x v="2"/>
    <x v="3"/>
    <x v="0"/>
    <x v="6"/>
    <n v="58"/>
    <s v="S50_1514"/>
    <x v="39"/>
    <s v="4155551450"/>
    <s v="5677 Strong St."/>
    <s v=""/>
    <s v="San Rafael"/>
    <s v="CA"/>
    <s v="97562"/>
    <x v="0"/>
    <s v="NA"/>
    <s v="Nelson"/>
    <s v="Valarie"/>
    <s v="Valarie, Nelson"/>
    <s v="Small"/>
  </r>
  <r>
    <n v="10153"/>
    <n v="31"/>
    <n v="5741"/>
    <n v="177971"/>
    <n v="177971"/>
    <n v="13"/>
    <s v="9/28/2003 0:00"/>
    <x v="0"/>
    <x v="2"/>
    <x v="10"/>
    <x v="0"/>
    <x v="6"/>
    <n v="58"/>
    <s v="S50_1514"/>
    <x v="23"/>
    <s v="(91) 555 94 44"/>
    <s v="C/ Moralzarzal, 86"/>
    <s v=""/>
    <s v="Madrid"/>
    <s v=""/>
    <s v="28034"/>
    <x v="7"/>
    <s v="EMEA"/>
    <s v="Freyre"/>
    <s v="Diego"/>
    <s v="Diego, Freyre"/>
    <s v="Small"/>
  </r>
  <r>
    <n v="10165"/>
    <n v="38"/>
    <n v="6678"/>
    <n v="253764"/>
    <n v="253764"/>
    <n v="5"/>
    <s v="10/22/2003 0:00"/>
    <x v="0"/>
    <x v="3"/>
    <x v="4"/>
    <x v="0"/>
    <x v="6"/>
    <n v="58"/>
    <s v="S50_1514"/>
    <x v="26"/>
    <s v="+65 221 7555"/>
    <s v="Bronz Sok., Bronz Apt. 3/6 Tesvikiye"/>
    <s v=""/>
    <s v="Singapore"/>
    <s v=""/>
    <s v="79903"/>
    <x v="9"/>
    <s v="Japan"/>
    <s v="Natividad"/>
    <s v="Eric"/>
    <s v="Eric, Natividad"/>
    <s v="Small"/>
  </r>
  <r>
    <n v="10176"/>
    <n v="38"/>
    <n v="6444"/>
    <n v="244872"/>
    <n v="244872"/>
    <n v="4"/>
    <s v="11/6/2003 0:00"/>
    <x v="0"/>
    <x v="3"/>
    <x v="5"/>
    <x v="0"/>
    <x v="6"/>
    <n v="58"/>
    <s v="S50_1514"/>
    <x v="70"/>
    <s v="0522-556555"/>
    <s v="Strada Provinciale 124"/>
    <s v=""/>
    <s v="Reggio Emilia"/>
    <s v=""/>
    <s v="42100"/>
    <x v="12"/>
    <s v="EMEA"/>
    <s v="Moroni"/>
    <s v="Maurizio"/>
    <s v="Maurizio, Moroni"/>
    <s v="Small"/>
  </r>
  <r>
    <n v="10185"/>
    <n v="20"/>
    <n v="4862"/>
    <n v="97240"/>
    <n v="97240"/>
    <n v="15"/>
    <s v="11/14/2003 0:00"/>
    <x v="0"/>
    <x v="3"/>
    <x v="5"/>
    <x v="0"/>
    <x v="6"/>
    <n v="58"/>
    <s v="S50_1514"/>
    <x v="50"/>
    <s v="5085559555"/>
    <s v="4575 Hillside Dr."/>
    <s v=""/>
    <s v="New Bedford"/>
    <s v="MA"/>
    <s v="50553"/>
    <x v="0"/>
    <s v="NA"/>
    <s v="Tam"/>
    <s v="Wing C"/>
    <s v="Wing C, Tam"/>
    <s v="Small"/>
  </r>
  <r>
    <n v="10196"/>
    <n v="46"/>
    <n v="6209"/>
    <n v="285614"/>
    <n v="285614"/>
    <n v="7"/>
    <s v="11/26/2003 0:00"/>
    <x v="0"/>
    <x v="3"/>
    <x v="5"/>
    <x v="0"/>
    <x v="6"/>
    <n v="58"/>
    <s v="S50_1514"/>
    <x v="34"/>
    <s v="2035559545"/>
    <s v="567 North Pendale Street"/>
    <s v=""/>
    <s v="New Haven"/>
    <s v="CT"/>
    <s v="97823"/>
    <x v="0"/>
    <s v="NA"/>
    <s v="Murphy"/>
    <s v="Leslie"/>
    <s v="Leslie, Murphy"/>
    <s v="Small"/>
  </r>
  <r>
    <n v="10208"/>
    <n v="30"/>
    <n v="6561"/>
    <n v="196830"/>
    <n v="196830"/>
    <n v="15"/>
    <s v="1/2/2004 0:00"/>
    <x v="0"/>
    <x v="0"/>
    <x v="7"/>
    <x v="1"/>
    <x v="6"/>
    <n v="58"/>
    <s v="S50_1514"/>
    <x v="30"/>
    <s v="78.32.5555"/>
    <s v="2, rue du Commerce"/>
    <s v=""/>
    <s v="Lyon"/>
    <s v=""/>
    <s v="69004"/>
    <x v="1"/>
    <s v="EMEA"/>
    <s v="Saveley"/>
    <s v="Mary"/>
    <s v="Mary, Saveley"/>
    <s v="Small"/>
  </r>
  <r>
    <n v="10220"/>
    <n v="30"/>
    <n v="6854"/>
    <n v="205620"/>
    <n v="205620"/>
    <n v="4"/>
    <s v="2/12/2004 0:00"/>
    <x v="0"/>
    <x v="0"/>
    <x v="0"/>
    <x v="1"/>
    <x v="6"/>
    <n v="58"/>
    <s v="S50_1514"/>
    <x v="75"/>
    <s v="+353 1862 1555"/>
    <s v="25 Maiden Lane"/>
    <s v="Floor No. 4"/>
    <s v="Dublin"/>
    <s v=""/>
    <s v="2"/>
    <x v="18"/>
    <s v="EMEA"/>
    <s v="Cassidy"/>
    <s v="Dean"/>
    <s v="Dean, Cassidy"/>
    <s v="Small"/>
  </r>
  <r>
    <n v="10230"/>
    <n v="43"/>
    <n v="5214"/>
    <n v="224202"/>
    <n v="224202"/>
    <n v="2"/>
    <s v="3/15/2004 0:00"/>
    <x v="0"/>
    <x v="0"/>
    <x v="11"/>
    <x v="1"/>
    <x v="6"/>
    <n v="58"/>
    <s v="S50_1514"/>
    <x v="72"/>
    <s v="+49 69 66 90 2555"/>
    <s v="Lyonerstr. 34"/>
    <s v=""/>
    <s v="Frankfurt"/>
    <s v=""/>
    <s v="60528"/>
    <x v="16"/>
    <s v="EMEA"/>
    <s v="Keitel"/>
    <s v="Roland"/>
    <s v="Roland, Keitel"/>
    <s v="Small"/>
  </r>
  <r>
    <n v="10247"/>
    <n v="49"/>
    <n v="6385"/>
    <n v="312865"/>
    <n v="312865"/>
    <n v="4"/>
    <s v="5/5/2004 0:00"/>
    <x v="0"/>
    <x v="1"/>
    <x v="1"/>
    <x v="1"/>
    <x v="6"/>
    <n v="58"/>
    <s v="S50_1514"/>
    <x v="73"/>
    <s v="+358 9 8045 555"/>
    <s v="Software Engineering Center, SEC Oy"/>
    <s v=""/>
    <s v="Espoo"/>
    <s v=""/>
    <s v="FIN-02271"/>
    <x v="4"/>
    <s v="EMEA"/>
    <s v="Suominen"/>
    <s v="Kalle"/>
    <s v="Kalle, Suominen"/>
    <s v="Medium"/>
  </r>
  <r>
    <n v="10272"/>
    <n v="43"/>
    <n v="5682"/>
    <n v="244326"/>
    <n v="244326"/>
    <n v="4"/>
    <s v="7/20/2004 0:00"/>
    <x v="0"/>
    <x v="2"/>
    <x v="2"/>
    <x v="1"/>
    <x v="6"/>
    <n v="58"/>
    <s v="S50_1514"/>
    <x v="18"/>
    <s v="2155551555"/>
    <s v="7586 Pompton St."/>
    <s v=""/>
    <s v="Allentown"/>
    <s v="PA"/>
    <s v="70267"/>
    <x v="0"/>
    <s v="NA"/>
    <s v="Yu"/>
    <s v="Kyung"/>
    <s v="Kyung, Yu"/>
    <s v="Small"/>
  </r>
  <r>
    <n v="10282"/>
    <n v="37"/>
    <n v="6678"/>
    <n v="247086"/>
    <n v="247086"/>
    <n v="7"/>
    <s v="8/20/2004 0:00"/>
    <x v="0"/>
    <x v="2"/>
    <x v="3"/>
    <x v="1"/>
    <x v="6"/>
    <n v="58"/>
    <s v="S50_1514"/>
    <x v="39"/>
    <s v="4155551450"/>
    <s v="5677 Strong St."/>
    <s v=""/>
    <s v="San Rafael"/>
    <s v="CA"/>
    <s v="97562"/>
    <x v="0"/>
    <s v="NA"/>
    <s v="Nelson"/>
    <s v="Valarie"/>
    <s v="Valarie, Nelson"/>
    <s v="Small"/>
  </r>
  <r>
    <n v="10292"/>
    <n v="35"/>
    <n v="5507"/>
    <n v="192745"/>
    <n v="192745"/>
    <n v="1"/>
    <s v="9/8/2004 0:00"/>
    <x v="0"/>
    <x v="2"/>
    <x v="10"/>
    <x v="1"/>
    <x v="6"/>
    <n v="58"/>
    <s v="S50_1514"/>
    <x v="0"/>
    <s v="2125557818"/>
    <s v="897 Long Airport Avenue"/>
    <s v=""/>
    <s v="NYC"/>
    <s v="NY"/>
    <s v="10022"/>
    <x v="0"/>
    <s v="NA"/>
    <s v="Yu"/>
    <s v="Kwai"/>
    <s v="Kwai, Yu"/>
    <s v="Small"/>
  </r>
  <r>
    <n v="10306"/>
    <n v="34"/>
    <n v="6034"/>
    <n v="205156"/>
    <n v="205156"/>
    <n v="15"/>
    <s v="10/14/2004 0:00"/>
    <x v="0"/>
    <x v="3"/>
    <x v="4"/>
    <x v="1"/>
    <x v="6"/>
    <n v="58"/>
    <s v="S50_1514"/>
    <x v="77"/>
    <s v="(171) 555-1555"/>
    <s v="Fauntleroy Circus"/>
    <s v=""/>
    <s v="Manchester"/>
    <s v=""/>
    <s v="EC2 5NT"/>
    <x v="6"/>
    <s v="EMEA"/>
    <s v="Ashworth"/>
    <s v="Victoria"/>
    <s v="Victoria, Ashworth"/>
    <s v="Small"/>
  </r>
  <r>
    <n v="10314"/>
    <n v="38"/>
    <n v="6151"/>
    <n v="233738"/>
    <n v="233738"/>
    <n v="7"/>
    <s v="10/22/2004 0:00"/>
    <x v="0"/>
    <x v="3"/>
    <x v="4"/>
    <x v="1"/>
    <x v="6"/>
    <n v="58"/>
    <s v="S50_1514"/>
    <x v="78"/>
    <s v="86 21 3555"/>
    <s v="Smagsloget 45"/>
    <s v=""/>
    <s v="Aaarhus"/>
    <s v=""/>
    <s v="8200"/>
    <x v="13"/>
    <s v="EMEA"/>
    <s v="Ibsen"/>
    <s v="Palle"/>
    <s v="Palle, Ibsen"/>
    <s v="Small"/>
  </r>
  <r>
    <n v="10325"/>
    <n v="44"/>
    <n v="100"/>
    <n v="4400"/>
    <n v="4400"/>
    <n v="7"/>
    <s v="11/5/2004 0:00"/>
    <x v="0"/>
    <x v="3"/>
    <x v="5"/>
    <x v="1"/>
    <x v="6"/>
    <n v="58"/>
    <s v="S50_1514"/>
    <x v="17"/>
    <s v="07-98 9555"/>
    <s v="Erling Skakkes gate 78"/>
    <s v=""/>
    <s v="Stavern"/>
    <s v=""/>
    <s v="4110"/>
    <x v="2"/>
    <s v="EMEA"/>
    <s v="Bergulfsen"/>
    <s v="Jonas"/>
    <s v="Jonas, Bergulfsen"/>
    <s v="Medium"/>
  </r>
  <r>
    <n v="10337"/>
    <n v="21"/>
    <n v="100"/>
    <n v="2100"/>
    <n v="2100"/>
    <n v="6"/>
    <s v="11/21/2004 0:00"/>
    <x v="0"/>
    <x v="3"/>
    <x v="5"/>
    <x v="1"/>
    <x v="6"/>
    <n v="58"/>
    <s v="S50_1514"/>
    <x v="27"/>
    <s v="2125558493"/>
    <s v="5905 Pompton St."/>
    <s v="Suite 750"/>
    <s v="NYC"/>
    <s v="NY"/>
    <s v="10022"/>
    <x v="0"/>
    <s v="NA"/>
    <s v="Hernandez"/>
    <s v="Maria"/>
    <s v="Maria, Hernandez"/>
    <s v="Small"/>
  </r>
  <r>
    <n v="10350"/>
    <n v="44"/>
    <n v="100"/>
    <n v="4400"/>
    <n v="4400"/>
    <n v="17"/>
    <s v="12/2/2004 0:00"/>
    <x v="0"/>
    <x v="3"/>
    <x v="6"/>
    <x v="1"/>
    <x v="6"/>
    <n v="58"/>
    <s v="S50_1514"/>
    <x v="23"/>
    <s v="(91) 555 94 44"/>
    <s v="C/ Moralzarzal, 86"/>
    <s v=""/>
    <s v="Madrid"/>
    <s v=""/>
    <s v="28034"/>
    <x v="7"/>
    <s v="EMEA"/>
    <s v="Freyre"/>
    <s v="Diego"/>
    <s v="Diego, Freyre"/>
    <s v="Medium"/>
  </r>
  <r>
    <n v="10359"/>
    <n v="25"/>
    <n v="6493"/>
    <n v="162325"/>
    <n v="162325"/>
    <n v="4"/>
    <s v="12/15/2004 0:00"/>
    <x v="0"/>
    <x v="3"/>
    <x v="6"/>
    <x v="1"/>
    <x v="6"/>
    <n v="58"/>
    <s v="S50_1514"/>
    <x v="1"/>
    <s v="26.47.1555"/>
    <s v="59 rue de l'Abbaye"/>
    <s v=""/>
    <s v="Reims"/>
    <s v=""/>
    <s v="51100"/>
    <x v="1"/>
    <s v="EMEA"/>
    <s v="Henriot"/>
    <s v="Paul"/>
    <s v="Paul, Henriot"/>
    <s v="Small"/>
  </r>
  <r>
    <n v="10372"/>
    <n v="24"/>
    <n v="5858"/>
    <n v="140592"/>
    <n v="140592"/>
    <n v="9"/>
    <s v="1/26/2005 0:00"/>
    <x v="0"/>
    <x v="0"/>
    <x v="7"/>
    <x v="2"/>
    <x v="6"/>
    <n v="58"/>
    <s v="S50_1514"/>
    <x v="35"/>
    <s v="+81 3 3584 0555"/>
    <s v="2-2-8 Roppongi"/>
    <s v=""/>
    <s v="Minato-ku"/>
    <s v="Tokyo"/>
    <s v="106-0032"/>
    <x v="11"/>
    <s v="Japan"/>
    <s v="Shimamura"/>
    <s v="Akiko"/>
    <s v="Akiko, Shimamura"/>
    <s v="Small"/>
  </r>
  <r>
    <n v="10383"/>
    <n v="38"/>
    <n v="6006"/>
    <n v="228228"/>
    <n v="228228"/>
    <n v="10"/>
    <s v="2/22/2005 0:00"/>
    <x v="0"/>
    <x v="0"/>
    <x v="0"/>
    <x v="2"/>
    <x v="6"/>
    <n v="58"/>
    <s v="S50_1514"/>
    <x v="23"/>
    <s v="(91) 555 94 44"/>
    <s v="C/ Moralzarzal, 86"/>
    <s v=""/>
    <s v="Madrid"/>
    <s v=""/>
    <s v="28034"/>
    <x v="7"/>
    <s v="EMEA"/>
    <s v="Freyre"/>
    <s v="Diego"/>
    <s v="Diego, Freyre"/>
    <s v="Small"/>
  </r>
  <r>
    <n v="10395"/>
    <n v="45"/>
    <n v="100"/>
    <n v="4500"/>
    <n v="4500"/>
    <n v="3"/>
    <s v="3/17/2005 0:00"/>
    <x v="0"/>
    <x v="0"/>
    <x v="11"/>
    <x v="2"/>
    <x v="6"/>
    <n v="58"/>
    <s v="S50_1514"/>
    <x v="2"/>
    <s v="+33 1 46 62 7555"/>
    <s v="27 rue du Colonel Pierre Avia"/>
    <s v=""/>
    <s v="Paris"/>
    <s v=""/>
    <s v="75508"/>
    <x v="1"/>
    <s v="EMEA"/>
    <s v="Da Cunha"/>
    <s v="Daniel"/>
    <s v="Daniel, Da Cunha"/>
    <s v="Large"/>
  </r>
  <r>
    <n v="10413"/>
    <n v="51"/>
    <n v="6385"/>
    <n v="325635"/>
    <n v="325635"/>
    <n v="4"/>
    <s v="5/5/2005 0:00"/>
    <x v="0"/>
    <x v="1"/>
    <x v="1"/>
    <x v="2"/>
    <x v="6"/>
    <n v="58"/>
    <s v="S50_1514"/>
    <x v="13"/>
    <s v="2035552570"/>
    <s v="25593 South Bay Ln."/>
    <s v=""/>
    <s v="Bridgewater"/>
    <s v="CT"/>
    <s v="97562"/>
    <x v="0"/>
    <s v="NA"/>
    <s v="King"/>
    <s v="Julie"/>
    <s v="Julie, King"/>
    <s v="Medium"/>
  </r>
  <r>
    <n v="10108"/>
    <n v="34"/>
    <n v="8299"/>
    <n v="282166"/>
    <n v="282166"/>
    <n v="14"/>
    <s v="3/3/2003 0:00"/>
    <x v="0"/>
    <x v="0"/>
    <x v="11"/>
    <x v="0"/>
    <x v="0"/>
    <n v="81"/>
    <s v="S50_4713"/>
    <x v="66"/>
    <s v="+63 2 555 3587"/>
    <s v="15 McCallum Street - NatWest Center #13-03"/>
    <s v=""/>
    <s v="Makati City"/>
    <s v=""/>
    <s v="1227 MM"/>
    <x v="15"/>
    <s v="Japan"/>
    <s v="Cruz"/>
    <s v="Arnold"/>
    <s v="Arnold, Cruz"/>
    <s v="Small"/>
  </r>
  <r>
    <n v="10121"/>
    <n v="44"/>
    <n v="7485"/>
    <n v="329340"/>
    <n v="329340"/>
    <n v="1"/>
    <s v="5/7/2003 0:00"/>
    <x v="0"/>
    <x v="1"/>
    <x v="1"/>
    <x v="0"/>
    <x v="0"/>
    <n v="81"/>
    <s v="S50_4713"/>
    <x v="1"/>
    <s v="26.47.1555"/>
    <s v="59 rue de l'Abbaye"/>
    <s v=""/>
    <s v="Reims"/>
    <s v=""/>
    <s v="51100"/>
    <x v="1"/>
    <s v="EMEA"/>
    <s v="Henriot"/>
    <s v="Paul"/>
    <s v="Paul, Henriot"/>
    <s v="Medium"/>
  </r>
  <r>
    <n v="10135"/>
    <n v="44"/>
    <n v="96"/>
    <n v="4224"/>
    <n v="4224"/>
    <n v="15"/>
    <s v="7/2/2003 0:00"/>
    <x v="0"/>
    <x v="2"/>
    <x v="2"/>
    <x v="0"/>
    <x v="0"/>
    <n v="81"/>
    <s v="S50_4713"/>
    <x v="39"/>
    <s v="4155551450"/>
    <s v="5677 Strong St."/>
    <s v=""/>
    <s v="San Rafael"/>
    <s v="CA"/>
    <s v="97562"/>
    <x v="0"/>
    <s v="NA"/>
    <s v="Nelson"/>
    <s v="Valarie"/>
    <s v="Valarie, Nelson"/>
    <s v="Medium"/>
  </r>
  <r>
    <n v="10145"/>
    <n v="38"/>
    <n v="8136"/>
    <n v="309168"/>
    <n v="309168"/>
    <n v="2"/>
    <s v="8/25/2003 0:00"/>
    <x v="0"/>
    <x v="2"/>
    <x v="3"/>
    <x v="0"/>
    <x v="0"/>
    <n v="81"/>
    <s v="S50_4713"/>
    <x v="3"/>
    <s v="6265557265"/>
    <s v="78934 Hillside Dr."/>
    <s v=""/>
    <s v="Pasadena"/>
    <s v="CA"/>
    <s v="90003"/>
    <x v="0"/>
    <s v="NA"/>
    <s v="Young"/>
    <s v="Julie"/>
    <s v="Julie, Young"/>
    <s v="Medium"/>
  </r>
  <r>
    <n v="10159"/>
    <n v="31"/>
    <n v="716"/>
    <n v="22196"/>
    <n v="22196"/>
    <n v="10"/>
    <s v="10/10/2003 0:00"/>
    <x v="0"/>
    <x v="3"/>
    <x v="4"/>
    <x v="0"/>
    <x v="0"/>
    <n v="81"/>
    <s v="S50_4713"/>
    <x v="4"/>
    <s v="6505551386"/>
    <s v="7734 Strong St."/>
    <s v=""/>
    <s v="San Francisco"/>
    <s v="CA"/>
    <s v=""/>
    <x v="0"/>
    <s v="NA"/>
    <s v="Brown"/>
    <s v="Julie"/>
    <s v="Julie, Brown"/>
    <s v="Small"/>
  </r>
  <r>
    <n v="10169"/>
    <n v="48"/>
    <n v="8055"/>
    <n v="386640"/>
    <n v="386640"/>
    <n v="10"/>
    <s v="11/4/2003 0:00"/>
    <x v="0"/>
    <x v="3"/>
    <x v="5"/>
    <x v="0"/>
    <x v="0"/>
    <n v="81"/>
    <s v="S50_4713"/>
    <x v="42"/>
    <s v="02 9936 8555"/>
    <s v="201 Miller Street"/>
    <s v="Level 15"/>
    <s v="North Sydney"/>
    <s v="NSW"/>
    <s v="2060"/>
    <x v="3"/>
    <s v="APAC"/>
    <s v="O'Hara"/>
    <s v="Anna"/>
    <s v="Anna, O'Hara"/>
    <s v="Medium"/>
  </r>
  <r>
    <n v="10180"/>
    <n v="21"/>
    <n v="9356"/>
    <n v="196476"/>
    <n v="196476"/>
    <n v="5"/>
    <s v="11/11/2003 0:00"/>
    <x v="0"/>
    <x v="3"/>
    <x v="5"/>
    <x v="0"/>
    <x v="0"/>
    <n v="81"/>
    <s v="S50_4713"/>
    <x v="6"/>
    <s v="20.16.1555"/>
    <s v="184, chausse de Tournai"/>
    <s v=""/>
    <s v="Lille"/>
    <s v=""/>
    <s v="59000"/>
    <x v="1"/>
    <s v="EMEA"/>
    <s v="Rance"/>
    <s v="Martine"/>
    <s v="Martine, Rance"/>
    <s v="Small"/>
  </r>
  <r>
    <n v="10190"/>
    <n v="40"/>
    <n v="6672"/>
    <n v="266880"/>
    <n v="266880"/>
    <n v="2"/>
    <s v="11/19/2003 0:00"/>
    <x v="0"/>
    <x v="3"/>
    <x v="5"/>
    <x v="0"/>
    <x v="0"/>
    <n v="81"/>
    <s v="S50_4713"/>
    <x v="23"/>
    <s v="(91) 555 94 44"/>
    <s v="C/ Moralzarzal, 86"/>
    <s v=""/>
    <s v="Madrid"/>
    <s v=""/>
    <s v="28034"/>
    <x v="7"/>
    <s v="EMEA"/>
    <s v="Freyre"/>
    <s v="Diego"/>
    <s v="Diego, Freyre"/>
    <s v="Small"/>
  </r>
  <r>
    <n v="10211"/>
    <n v="40"/>
    <n v="8055"/>
    <n v="322200"/>
    <n v="322200"/>
    <n v="10"/>
    <s v="1/15/2004 0:00"/>
    <x v="0"/>
    <x v="0"/>
    <x v="7"/>
    <x v="1"/>
    <x v="0"/>
    <n v="81"/>
    <s v="S50_4713"/>
    <x v="9"/>
    <s v="(1) 47.55.6555"/>
    <s v="25, rue Lauriston"/>
    <s v=""/>
    <s v="Paris"/>
    <s v=""/>
    <s v="75016"/>
    <x v="1"/>
    <s v="EMEA"/>
    <s v="Perrier"/>
    <s v="Dominique"/>
    <s v="Dominique, Perrier"/>
    <s v="Medium"/>
  </r>
  <r>
    <n v="10224"/>
    <n v="50"/>
    <n v="7729"/>
    <n v="386450"/>
    <n v="386450"/>
    <n v="3"/>
    <s v="2/21/2004 0:00"/>
    <x v="0"/>
    <x v="0"/>
    <x v="0"/>
    <x v="1"/>
    <x v="0"/>
    <n v="81"/>
    <s v="S50_4713"/>
    <x v="6"/>
    <s v="20.16.1555"/>
    <s v="184, chausse de Tournai"/>
    <s v=""/>
    <s v="Lille"/>
    <s v=""/>
    <s v="59000"/>
    <x v="1"/>
    <s v="EMEA"/>
    <s v="Rance"/>
    <s v="Martine"/>
    <s v="Martine, Rance"/>
    <s v="Medium"/>
  </r>
  <r>
    <n v="10237"/>
    <n v="20"/>
    <n v="6834"/>
    <n v="136680"/>
    <n v="136680"/>
    <n v="3"/>
    <s v="4/5/2004 0:00"/>
    <x v="0"/>
    <x v="1"/>
    <x v="8"/>
    <x v="1"/>
    <x v="0"/>
    <n v="81"/>
    <s v="S50_4713"/>
    <x v="11"/>
    <s v="2125551500"/>
    <s v="2678 Kingston Rd."/>
    <s v="Suite 101"/>
    <s v="NYC"/>
    <s v="NY"/>
    <s v="10022"/>
    <x v="0"/>
    <s v="NA"/>
    <s v="Frick"/>
    <s v="Michael"/>
    <s v="Michael, Frick"/>
    <s v="Small"/>
  </r>
  <r>
    <n v="10252"/>
    <n v="48"/>
    <n v="7241"/>
    <n v="347568"/>
    <n v="347568"/>
    <n v="7"/>
    <s v="5/26/2004 0:00"/>
    <x v="0"/>
    <x v="1"/>
    <x v="1"/>
    <x v="1"/>
    <x v="0"/>
    <n v="81"/>
    <s v="S50_4713"/>
    <x v="9"/>
    <s v="(1) 47.55.6555"/>
    <s v="25, rue Lauriston"/>
    <s v=""/>
    <s v="Paris"/>
    <s v=""/>
    <s v="75016"/>
    <x v="1"/>
    <s v="EMEA"/>
    <s v="Perrier"/>
    <s v="Dominique"/>
    <s v="Dominique, Perrier"/>
    <s v="Medium"/>
  </r>
  <r>
    <n v="10264"/>
    <n v="47"/>
    <n v="895"/>
    <n v="42065"/>
    <n v="42065"/>
    <n v="5"/>
    <s v="6/30/2004 0:00"/>
    <x v="0"/>
    <x v="1"/>
    <x v="9"/>
    <x v="1"/>
    <x v="0"/>
    <n v="81"/>
    <s v="S50_4713"/>
    <x v="58"/>
    <s v="6175559555"/>
    <s v="8616 Spinnaker Dr."/>
    <s v=""/>
    <s v="Boston"/>
    <s v="MA"/>
    <s v="51003"/>
    <x v="0"/>
    <s v="NA"/>
    <s v="Yoshido"/>
    <s v="Juri"/>
    <s v="Juri, Yoshido"/>
    <s v="Medium"/>
  </r>
  <r>
    <n v="10276"/>
    <n v="21"/>
    <n v="7078"/>
    <n v="148638"/>
    <n v="148638"/>
    <n v="11"/>
    <s v="8/2/2004 0:00"/>
    <x v="0"/>
    <x v="2"/>
    <x v="3"/>
    <x v="1"/>
    <x v="0"/>
    <n v="81"/>
    <s v="S50_4713"/>
    <x v="71"/>
    <s v="6175557555"/>
    <s v="7635 Spinnaker Dr."/>
    <s v=""/>
    <s v="Brickhaven"/>
    <s v="MA"/>
    <s v="58339"/>
    <x v="0"/>
    <s v="NA"/>
    <s v="Barajas"/>
    <s v="Miguel"/>
    <s v="Miguel, Barajas"/>
    <s v="Small"/>
  </r>
  <r>
    <n v="10285"/>
    <n v="39"/>
    <n v="7892"/>
    <n v="307788"/>
    <n v="307788"/>
    <n v="2"/>
    <s v="8/27/2004 0:00"/>
    <x v="0"/>
    <x v="2"/>
    <x v="3"/>
    <x v="1"/>
    <x v="0"/>
    <n v="81"/>
    <s v="S50_4713"/>
    <x v="15"/>
    <s v="6175558555"/>
    <s v="39323 Spinnaker Dr."/>
    <s v=""/>
    <s v="Cambridge"/>
    <s v="MA"/>
    <s v="51247"/>
    <x v="0"/>
    <s v="NA"/>
    <s v="Hernandez"/>
    <s v="Marta"/>
    <s v="Marta, Hernandez"/>
    <s v="Medium"/>
  </r>
  <r>
    <n v="10299"/>
    <n v="44"/>
    <n v="8055"/>
    <n v="354420"/>
    <n v="354420"/>
    <n v="5"/>
    <s v="9/30/2004 0:00"/>
    <x v="0"/>
    <x v="2"/>
    <x v="10"/>
    <x v="1"/>
    <x v="0"/>
    <n v="81"/>
    <s v="S50_4713"/>
    <x v="16"/>
    <s v="90-224 8555"/>
    <s v="Keskuskatu 45"/>
    <s v=""/>
    <s v="Helsinki"/>
    <s v=""/>
    <s v="21240"/>
    <x v="4"/>
    <s v="EMEA"/>
    <s v="Karttunen"/>
    <s v="Matti"/>
    <s v="Matti, Karttunen"/>
    <s v="Medium"/>
  </r>
  <r>
    <n v="10309"/>
    <n v="28"/>
    <n v="8868"/>
    <n v="248304"/>
    <n v="248304"/>
    <n v="1"/>
    <s v="10/15/2004 0:00"/>
    <x v="0"/>
    <x v="3"/>
    <x v="4"/>
    <x v="1"/>
    <x v="0"/>
    <n v="81"/>
    <s v="S50_4713"/>
    <x v="17"/>
    <s v="07-98 9555"/>
    <s v="Erling Skakkes gate 78"/>
    <s v=""/>
    <s v="Stavern"/>
    <s v=""/>
    <s v="4110"/>
    <x v="2"/>
    <s v="EMEA"/>
    <s v="Bergulfsen"/>
    <s v="Jonas"/>
    <s v="Jonas, Bergulfsen"/>
    <s v="Small"/>
  </r>
  <r>
    <n v="10319"/>
    <n v="45"/>
    <n v="7729"/>
    <n v="347805"/>
    <n v="347805"/>
    <n v="6"/>
    <s v="11/3/2004 0:00"/>
    <x v="0"/>
    <x v="3"/>
    <x v="5"/>
    <x v="1"/>
    <x v="0"/>
    <n v="81"/>
    <s v="S50_4713"/>
    <x v="79"/>
    <s v="2125551957"/>
    <s v="5290 North Pendale Street"/>
    <s v="Suite 200"/>
    <s v="NYC"/>
    <s v="NY"/>
    <s v="10022"/>
    <x v="0"/>
    <s v="NA"/>
    <s v="Kuo"/>
    <s v="Kee"/>
    <s v="Kee, Kuo"/>
    <s v="Medium"/>
  </r>
  <r>
    <n v="10331"/>
    <n v="20"/>
    <n v="100"/>
    <n v="2000"/>
    <n v="2000"/>
    <n v="5"/>
    <s v="11/17/2004 0:00"/>
    <x v="0"/>
    <x v="3"/>
    <x v="5"/>
    <x v="1"/>
    <x v="0"/>
    <n v="81"/>
    <s v="S50_4713"/>
    <x v="45"/>
    <s v="2155559857"/>
    <s v="11328 Douglas Av."/>
    <s v=""/>
    <s v="Philadelphia"/>
    <s v="PA"/>
    <s v="71270"/>
    <x v="0"/>
    <s v="NA"/>
    <s v="Hernandez"/>
    <s v="Rosa"/>
    <s v="Rosa, Hernandez"/>
    <s v="Medium"/>
  </r>
  <r>
    <n v="10341"/>
    <n v="38"/>
    <n v="100"/>
    <n v="3800"/>
    <n v="3800"/>
    <n v="3"/>
    <s v="11/24/2004 0:00"/>
    <x v="0"/>
    <x v="3"/>
    <x v="5"/>
    <x v="1"/>
    <x v="0"/>
    <n v="81"/>
    <s v="S50_4713"/>
    <x v="19"/>
    <s v="6562-9555"/>
    <s v="Geislweg 14"/>
    <s v=""/>
    <s v="Salzburg"/>
    <s v=""/>
    <s v="5020"/>
    <x v="5"/>
    <s v="EMEA"/>
    <s v="Pipps"/>
    <s v="Georg"/>
    <s v="Georg, Pipps"/>
    <s v="Medium"/>
  </r>
  <r>
    <n v="10356"/>
    <n v="26"/>
    <n v="100"/>
    <n v="2600"/>
    <n v="2600"/>
    <n v="4"/>
    <s v="12/9/2004 0:00"/>
    <x v="0"/>
    <x v="3"/>
    <x v="6"/>
    <x v="1"/>
    <x v="0"/>
    <n v="81"/>
    <s v="S50_4713"/>
    <x v="2"/>
    <s v="+33 1 46 62 7555"/>
    <s v="27 rue du Colonel Pierre Avia"/>
    <s v=""/>
    <s v="Paris"/>
    <s v=""/>
    <s v="75508"/>
    <x v="1"/>
    <s v="EMEA"/>
    <s v="Da Cunha"/>
    <s v="Daniel"/>
    <s v="Daniel, Da Cunha"/>
    <s v="Medium"/>
  </r>
  <r>
    <n v="10365"/>
    <n v="44"/>
    <n v="100"/>
    <n v="4400"/>
    <n v="4400"/>
    <n v="2"/>
    <s v="1/7/2005 0:00"/>
    <x v="0"/>
    <x v="0"/>
    <x v="7"/>
    <x v="2"/>
    <x v="0"/>
    <n v="81"/>
    <s v="S50_4713"/>
    <x v="50"/>
    <s v="5085559555"/>
    <s v="4575 Hillside Dr."/>
    <s v=""/>
    <s v="New Bedford"/>
    <s v="MA"/>
    <s v="50553"/>
    <x v="0"/>
    <s v="NA"/>
    <s v="Tam"/>
    <s v="Wing C"/>
    <s v="Wing C, Tam"/>
    <s v="Medium"/>
  </r>
  <r>
    <n v="10375"/>
    <n v="49"/>
    <n v="100"/>
    <n v="4900"/>
    <n v="4900"/>
    <n v="8"/>
    <s v="2/3/2005 0:00"/>
    <x v="0"/>
    <x v="0"/>
    <x v="0"/>
    <x v="2"/>
    <x v="0"/>
    <n v="81"/>
    <s v="S50_4713"/>
    <x v="14"/>
    <s v="40.67.8555"/>
    <s v="67, rue des Cinquante Otages"/>
    <s v=""/>
    <s v="Nantes"/>
    <s v=""/>
    <s v="44000"/>
    <x v="1"/>
    <s v="EMEA"/>
    <s v="Labrune"/>
    <s v="Janine"/>
    <s v="Janine, Labrune"/>
    <s v="Medium"/>
  </r>
  <r>
    <n v="10390"/>
    <n v="22"/>
    <n v="100"/>
    <n v="2200"/>
    <n v="2200"/>
    <n v="13"/>
    <s v="3/4/2005 0:00"/>
    <x v="0"/>
    <x v="0"/>
    <x v="11"/>
    <x v="2"/>
    <x v="0"/>
    <n v="81"/>
    <s v="S50_4713"/>
    <x v="39"/>
    <s v="4155551450"/>
    <s v="5677 Strong St."/>
    <s v=""/>
    <s v="San Rafael"/>
    <s v="CA"/>
    <s v="97562"/>
    <x v="0"/>
    <s v="NA"/>
    <s v="Nelson"/>
    <s v="Valarie"/>
    <s v="Valarie, Nelson"/>
    <s v="Medium"/>
  </r>
  <r>
    <n v="10403"/>
    <n v="31"/>
    <n v="6834"/>
    <n v="211854"/>
    <n v="211854"/>
    <n v="3"/>
    <s v="4/8/2005 0:00"/>
    <x v="0"/>
    <x v="1"/>
    <x v="8"/>
    <x v="2"/>
    <x v="0"/>
    <n v="81"/>
    <s v="S50_4713"/>
    <x v="22"/>
    <s v="(171) 555-2282"/>
    <s v="Berkeley Gardens 12  Brewery"/>
    <s v=""/>
    <s v="Liverpool"/>
    <s v=""/>
    <s v="WX1 6LT"/>
    <x v="6"/>
    <s v="EMEA"/>
    <s v="Devon"/>
    <s v="Elizabeth"/>
    <s v="Elizabeth, Devon"/>
    <s v="Small"/>
  </r>
  <r>
    <n v="10105"/>
    <n v="41"/>
    <n v="7067"/>
    <n v="289747"/>
    <n v="289747"/>
    <n v="5"/>
    <s v="2/11/2003 0:00"/>
    <x v="0"/>
    <x v="0"/>
    <x v="0"/>
    <x v="0"/>
    <x v="5"/>
    <n v="66"/>
    <s v="S700_1138"/>
    <x v="48"/>
    <s v="31 12 3555"/>
    <s v="Vinb'ltet 34"/>
    <s v=""/>
    <s v="Kobenhavn"/>
    <s v=""/>
    <s v="1734"/>
    <x v="13"/>
    <s v="EMEA"/>
    <s v="Petersen"/>
    <s v="Jytte"/>
    <s v="Jytte, Petersen"/>
    <s v="Small"/>
  </r>
  <r>
    <n v="10119"/>
    <n v="25"/>
    <n v="7667"/>
    <n v="191675"/>
    <n v="191675"/>
    <n v="14"/>
    <s v="4/28/2003 0:00"/>
    <x v="0"/>
    <x v="1"/>
    <x v="8"/>
    <x v="0"/>
    <x v="5"/>
    <n v="66"/>
    <s v="S700_1138"/>
    <x v="19"/>
    <s v="6562-9555"/>
    <s v="Geislweg 14"/>
    <s v=""/>
    <s v="Salzburg"/>
    <s v=""/>
    <s v="5020"/>
    <x v="5"/>
    <s v="EMEA"/>
    <s v="Pipps"/>
    <s v="Georg"/>
    <s v="Georg, Pipps"/>
    <s v="Small"/>
  </r>
  <r>
    <n v="10129"/>
    <n v="31"/>
    <n v="60"/>
    <n v="1860"/>
    <n v="1860"/>
    <n v="5"/>
    <s v="6/12/2003 0:00"/>
    <x v="0"/>
    <x v="1"/>
    <x v="9"/>
    <x v="0"/>
    <x v="5"/>
    <n v="66"/>
    <s v="S700_1138"/>
    <x v="49"/>
    <s v="(171) 555-0297"/>
    <s v="35 King George"/>
    <s v=""/>
    <s v="London"/>
    <s v=""/>
    <s v="WX3 6FW"/>
    <x v="6"/>
    <s v="EMEA"/>
    <s v="Brown"/>
    <s v="Ann"/>
    <s v="Ann, Brown"/>
    <s v="Small"/>
  </r>
  <r>
    <n v="10142"/>
    <n v="41"/>
    <n v="64"/>
    <n v="2624"/>
    <n v="2624"/>
    <n v="2"/>
    <s v="8/8/2003 0:00"/>
    <x v="0"/>
    <x v="2"/>
    <x v="3"/>
    <x v="0"/>
    <x v="5"/>
    <n v="66"/>
    <s v="S700_1138"/>
    <x v="39"/>
    <s v="4155551450"/>
    <s v="5677 Strong St."/>
    <s v=""/>
    <s v="San Rafael"/>
    <s v="CA"/>
    <s v="97562"/>
    <x v="0"/>
    <s v="NA"/>
    <s v="Nelson"/>
    <s v="Valarie"/>
    <s v="Valarie, Nelson"/>
    <s v="Small"/>
  </r>
  <r>
    <n v="10153"/>
    <n v="43"/>
    <n v="6467"/>
    <n v="278081"/>
    <n v="278081"/>
    <n v="1"/>
    <s v="9/28/2003 0:00"/>
    <x v="0"/>
    <x v="2"/>
    <x v="10"/>
    <x v="0"/>
    <x v="5"/>
    <n v="66"/>
    <s v="S700_1138"/>
    <x v="23"/>
    <s v="(91) 555 94 44"/>
    <s v="C/ Moralzarzal, 86"/>
    <s v=""/>
    <s v="Madrid"/>
    <s v=""/>
    <s v="28034"/>
    <x v="7"/>
    <s v="EMEA"/>
    <s v="Freyre"/>
    <s v="Diego"/>
    <s v="Diego, Freyre"/>
    <s v="Small"/>
  </r>
  <r>
    <n v="10167"/>
    <n v="43"/>
    <n v="7534"/>
    <n v="323962"/>
    <n v="0"/>
    <n v="12"/>
    <s v="10/23/2003 0:00"/>
    <x v="3"/>
    <x v="3"/>
    <x v="4"/>
    <x v="0"/>
    <x v="5"/>
    <n v="66"/>
    <s v="S700_1138"/>
    <x v="37"/>
    <s v="0695-34 6555"/>
    <s v="?kergatan 24"/>
    <s v=""/>
    <s v="Boras"/>
    <s v=""/>
    <s v="S-844 67"/>
    <x v="8"/>
    <s v="EMEA"/>
    <s v="Larsson"/>
    <s v="Maria"/>
    <s v="Maria, Larsson"/>
    <s v="Medium"/>
  </r>
  <r>
    <n v="10177"/>
    <n v="24"/>
    <n v="76"/>
    <n v="1824"/>
    <n v="1824"/>
    <n v="3"/>
    <s v="11/7/2003 0:00"/>
    <x v="0"/>
    <x v="3"/>
    <x v="5"/>
    <x v="0"/>
    <x v="5"/>
    <n v="66"/>
    <s v="S700_1138"/>
    <x v="76"/>
    <s v="+34 913 728 555"/>
    <s v="Merchants House, 27-30 Merchant's Quay"/>
    <s v=""/>
    <s v="Madrid"/>
    <s v=""/>
    <s v="28023"/>
    <x v="7"/>
    <s v="EMEA"/>
    <s v="Fernandez"/>
    <s v="Jesus"/>
    <s v="Jesus, Fernandez"/>
    <s v="Small"/>
  </r>
  <r>
    <n v="10185"/>
    <n v="21"/>
    <n v="54"/>
    <n v="1134"/>
    <n v="1134"/>
    <n v="3"/>
    <s v="11/14/2003 0:00"/>
    <x v="0"/>
    <x v="3"/>
    <x v="5"/>
    <x v="0"/>
    <x v="5"/>
    <n v="66"/>
    <s v="S700_1138"/>
    <x v="50"/>
    <s v="5085559555"/>
    <s v="4575 Hillside Dr."/>
    <s v=""/>
    <s v="New Bedford"/>
    <s v="MA"/>
    <s v="50553"/>
    <x v="0"/>
    <s v="NA"/>
    <s v="Tam"/>
    <s v="Wing C"/>
    <s v="Wing C, Tam"/>
    <s v="Small"/>
  </r>
  <r>
    <n v="10197"/>
    <n v="23"/>
    <n v="6467"/>
    <n v="148741"/>
    <n v="148741"/>
    <n v="9"/>
    <s v="11/26/2003 0:00"/>
    <x v="0"/>
    <x v="3"/>
    <x v="5"/>
    <x v="0"/>
    <x v="5"/>
    <n v="66"/>
    <s v="S700_1138"/>
    <x v="53"/>
    <s v="(93) 203 4555"/>
    <s v="Rambla de Catalu¤a, 23"/>
    <s v=""/>
    <s v="Barcelona"/>
    <s v=""/>
    <s v="8022"/>
    <x v="7"/>
    <s v="EMEA"/>
    <s v="Saavedra"/>
    <s v="Eduardo"/>
    <s v="Eduardo, Saavedra"/>
    <s v="Small"/>
  </r>
  <r>
    <n v="10208"/>
    <n v="38"/>
    <n v="7467"/>
    <n v="283746"/>
    <n v="283746"/>
    <n v="3"/>
    <s v="1/2/2004 0:00"/>
    <x v="0"/>
    <x v="0"/>
    <x v="7"/>
    <x v="1"/>
    <x v="5"/>
    <n v="66"/>
    <s v="S700_1138"/>
    <x v="30"/>
    <s v="78.32.5555"/>
    <s v="2, rue du Commerce"/>
    <s v=""/>
    <s v="Lyon"/>
    <s v=""/>
    <s v="69004"/>
    <x v="1"/>
    <s v="EMEA"/>
    <s v="Saveley"/>
    <s v="Mary"/>
    <s v="Mary, Saveley"/>
    <s v="Small"/>
  </r>
  <r>
    <n v="10222"/>
    <n v="31"/>
    <n v="6267"/>
    <n v="194277"/>
    <n v="194277"/>
    <n v="15"/>
    <s v="2/19/2004 0:00"/>
    <x v="0"/>
    <x v="0"/>
    <x v="0"/>
    <x v="1"/>
    <x v="5"/>
    <n v="66"/>
    <s v="S700_1138"/>
    <x v="55"/>
    <s v="7605558146"/>
    <s v="361 Furth Circle"/>
    <s v=""/>
    <s v="San Diego"/>
    <s v="CA"/>
    <s v="91217"/>
    <x v="0"/>
    <s v="NA"/>
    <s v="Thompson"/>
    <s v="Valarie"/>
    <s v="Valarie, Thompson"/>
    <s v="Small"/>
  </r>
  <r>
    <n v="10233"/>
    <n v="36"/>
    <n v="7067"/>
    <n v="254412"/>
    <n v="254412"/>
    <n v="3"/>
    <s v="3/29/2004 0:00"/>
    <x v="0"/>
    <x v="0"/>
    <x v="11"/>
    <x v="1"/>
    <x v="5"/>
    <n v="66"/>
    <s v="S700_1138"/>
    <x v="12"/>
    <s v="2015559350"/>
    <s v="7476 Moss Rd."/>
    <s v=""/>
    <s v="Newark"/>
    <s v="NJ"/>
    <s v="94019"/>
    <x v="0"/>
    <s v="NA"/>
    <s v="Brown"/>
    <s v="William"/>
    <s v="William, Brown"/>
    <s v="Small"/>
  </r>
  <r>
    <n v="10248"/>
    <n v="36"/>
    <n v="7134"/>
    <n v="256824"/>
    <n v="0"/>
    <n v="6"/>
    <s v="5/7/2004 0:00"/>
    <x v="3"/>
    <x v="1"/>
    <x v="1"/>
    <x v="1"/>
    <x v="5"/>
    <n v="66"/>
    <s v="S700_1138"/>
    <x v="0"/>
    <s v="2125557818"/>
    <s v="897 Long Airport Avenue"/>
    <s v=""/>
    <s v="NYC"/>
    <s v="NY"/>
    <s v="10022"/>
    <x v="0"/>
    <s v="NA"/>
    <s v="Yu"/>
    <s v="Kwai"/>
    <s v="Kwai, Yu"/>
    <s v="Small"/>
  </r>
  <r>
    <n v="10261"/>
    <n v="34"/>
    <n v="62"/>
    <n v="2108"/>
    <n v="2108"/>
    <n v="4"/>
    <s v="6/17/2004 0:00"/>
    <x v="0"/>
    <x v="1"/>
    <x v="9"/>
    <x v="1"/>
    <x v="5"/>
    <n v="66"/>
    <s v="S700_1138"/>
    <x v="43"/>
    <s v="(514) 555-8054"/>
    <s v="43 rue St. Laurent"/>
    <s v=""/>
    <s v="Montreal"/>
    <s v="Quebec"/>
    <s v="H1J 1C3"/>
    <x v="10"/>
    <s v="NA"/>
    <s v="Fresnisre"/>
    <s v="Jean"/>
    <s v="Jean, Fresnisre"/>
    <s v="Small"/>
  </r>
  <r>
    <n v="10273"/>
    <n v="21"/>
    <n v="6534"/>
    <n v="137214"/>
    <n v="137214"/>
    <n v="7"/>
    <s v="7/21/2004 0:00"/>
    <x v="0"/>
    <x v="2"/>
    <x v="2"/>
    <x v="1"/>
    <x v="5"/>
    <n v="66"/>
    <s v="S700_1138"/>
    <x v="56"/>
    <s v="(02) 5554 67"/>
    <s v="Rue Joseph-Bens 532"/>
    <s v=""/>
    <s v="Bruxelles"/>
    <s v=""/>
    <s v="B-1180"/>
    <x v="14"/>
    <s v="EMEA"/>
    <s v="Dewey"/>
    <s v="Catherine"/>
    <s v="Catherine, Dewey"/>
    <s v="Small"/>
  </r>
  <r>
    <n v="10283"/>
    <n v="45"/>
    <n v="7867"/>
    <n v="354015"/>
    <n v="354015"/>
    <n v="9"/>
    <s v="8/20/2004 0:00"/>
    <x v="0"/>
    <x v="2"/>
    <x v="3"/>
    <x v="1"/>
    <x v="5"/>
    <n v="66"/>
    <s v="S700_1138"/>
    <x v="57"/>
    <s v="(604) 555-4555"/>
    <s v="23 Tsawassen Blvd."/>
    <s v=""/>
    <s v="Tsawassen"/>
    <s v="BC"/>
    <s v="T2F 8M4"/>
    <x v="10"/>
    <s v="NA"/>
    <s v="Lincoln"/>
    <s v="Elizabeth"/>
    <s v="Elizabeth, Lincoln"/>
    <s v="Medium"/>
  </r>
  <r>
    <n v="10295"/>
    <n v="26"/>
    <n v="7534"/>
    <n v="195884"/>
    <n v="195884"/>
    <n v="4"/>
    <s v="9/10/2004 0:00"/>
    <x v="0"/>
    <x v="2"/>
    <x v="10"/>
    <x v="1"/>
    <x v="5"/>
    <n v="66"/>
    <s v="S700_1138"/>
    <x v="58"/>
    <s v="6175559555"/>
    <s v="8616 Spinnaker Dr."/>
    <s v=""/>
    <s v="Boston"/>
    <s v="MA"/>
    <s v="51003"/>
    <x v="0"/>
    <s v="NA"/>
    <s v="Yoshido"/>
    <s v="Juri"/>
    <s v="Juri, Yoshido"/>
    <s v="Small"/>
  </r>
  <r>
    <n v="10306"/>
    <n v="50"/>
    <n v="54"/>
    <n v="2700"/>
    <n v="2700"/>
    <n v="3"/>
    <s v="10/14/2004 0:00"/>
    <x v="0"/>
    <x v="3"/>
    <x v="4"/>
    <x v="1"/>
    <x v="5"/>
    <n v="66"/>
    <s v="S700_1138"/>
    <x v="77"/>
    <s v="(171) 555-1555"/>
    <s v="Fauntleroy Circus"/>
    <s v=""/>
    <s v="Manchester"/>
    <s v=""/>
    <s v="EC2 5NT"/>
    <x v="6"/>
    <s v="EMEA"/>
    <s v="Ashworth"/>
    <s v="Victoria"/>
    <s v="Victoria, Ashworth"/>
    <s v="Small"/>
  </r>
  <r>
    <n v="10315"/>
    <n v="41"/>
    <n v="62"/>
    <n v="2542"/>
    <n v="2542"/>
    <n v="2"/>
    <s v="10/29/2004 0:00"/>
    <x v="0"/>
    <x v="3"/>
    <x v="4"/>
    <x v="1"/>
    <x v="5"/>
    <n v="66"/>
    <s v="S700_1138"/>
    <x v="14"/>
    <s v="40.67.8555"/>
    <s v="67, rue des Cinquante Otages"/>
    <s v=""/>
    <s v="Nantes"/>
    <s v=""/>
    <s v="44000"/>
    <x v="1"/>
    <s v="EMEA"/>
    <s v="Labrune"/>
    <s v="Janine"/>
    <s v="Janine, Labrune"/>
    <s v="Small"/>
  </r>
  <r>
    <n v="10326"/>
    <n v="39"/>
    <n v="60"/>
    <n v="2340"/>
    <n v="2340"/>
    <n v="1"/>
    <s v="11/9/2004 0:00"/>
    <x v="0"/>
    <x v="3"/>
    <x v="5"/>
    <x v="1"/>
    <x v="5"/>
    <n v="66"/>
    <s v="S700_1138"/>
    <x v="24"/>
    <s v="0921-12 3555"/>
    <s v="Berguvsv„gen  8"/>
    <s v=""/>
    <s v="Lule"/>
    <s v=""/>
    <s v="S-958 22"/>
    <x v="8"/>
    <s v="EMEA"/>
    <s v="Berglund"/>
    <s v="Christina"/>
    <s v="Christina, Berglund"/>
    <s v="Small"/>
  </r>
  <r>
    <n v="10339"/>
    <n v="22"/>
    <n v="100"/>
    <n v="2200"/>
    <n v="2200"/>
    <n v="5"/>
    <s v="11/23/2004 0:00"/>
    <x v="0"/>
    <x v="3"/>
    <x v="5"/>
    <x v="1"/>
    <x v="5"/>
    <n v="66"/>
    <s v="S700_1138"/>
    <x v="35"/>
    <s v="+81 3 3584 0555"/>
    <s v="2-2-8 Roppongi"/>
    <s v=""/>
    <s v="Minato-ku"/>
    <s v="Tokyo"/>
    <s v="106-0032"/>
    <x v="11"/>
    <s v="Japan"/>
    <s v="Shimamura"/>
    <s v="Akiko"/>
    <s v="Akiko, Shimamura"/>
    <s v="Small"/>
  </r>
  <r>
    <n v="10350"/>
    <n v="46"/>
    <n v="7667"/>
    <n v="352682"/>
    <n v="352682"/>
    <n v="11"/>
    <s v="12/2/2004 0:00"/>
    <x v="0"/>
    <x v="3"/>
    <x v="6"/>
    <x v="1"/>
    <x v="5"/>
    <n v="66"/>
    <s v="S700_1138"/>
    <x v="23"/>
    <s v="(91) 555 94 44"/>
    <s v="C/ Moralzarzal, 86"/>
    <s v=""/>
    <s v="Madrid"/>
    <s v=""/>
    <s v="28034"/>
    <x v="7"/>
    <s v="EMEA"/>
    <s v="Freyre"/>
    <s v="Diego"/>
    <s v="Diego, Freyre"/>
    <s v="Medium"/>
  </r>
  <r>
    <n v="10373"/>
    <n v="44"/>
    <n v="100"/>
    <n v="4400"/>
    <n v="4400"/>
    <n v="14"/>
    <s v="1/31/2005 0:00"/>
    <x v="0"/>
    <x v="0"/>
    <x v="7"/>
    <x v="2"/>
    <x v="5"/>
    <n v="66"/>
    <s v="S700_1138"/>
    <x v="60"/>
    <s v="981-443655"/>
    <s v="Torikatu 38"/>
    <s v=""/>
    <s v="Oulu"/>
    <s v=""/>
    <s v="90110"/>
    <x v="4"/>
    <s v="EMEA"/>
    <s v="Koskitalo"/>
    <s v="Pirkko"/>
    <s v="Pirkko, Koskitalo"/>
    <s v="Medium"/>
  </r>
  <r>
    <n v="10385"/>
    <n v="25"/>
    <n v="7734"/>
    <n v="193350"/>
    <n v="193350"/>
    <n v="1"/>
    <s v="2/28/2005 0:00"/>
    <x v="0"/>
    <x v="0"/>
    <x v="0"/>
    <x v="2"/>
    <x v="5"/>
    <n v="66"/>
    <s v="S700_1138"/>
    <x v="39"/>
    <s v="4155551450"/>
    <s v="5677 Strong St."/>
    <s v=""/>
    <s v="San Rafael"/>
    <s v="CA"/>
    <s v="97562"/>
    <x v="0"/>
    <s v="NA"/>
    <s v="Nelson"/>
    <s v="Valarie"/>
    <s v="Valarie, Nelson"/>
    <s v="Small"/>
  </r>
  <r>
    <n v="10396"/>
    <n v="39"/>
    <n v="6667"/>
    <n v="260013"/>
    <n v="260013"/>
    <n v="1"/>
    <s v="3/23/2005 0:00"/>
    <x v="0"/>
    <x v="0"/>
    <x v="11"/>
    <x v="2"/>
    <x v="5"/>
    <n v="66"/>
    <s v="S700_1138"/>
    <x v="39"/>
    <s v="4155551450"/>
    <s v="5677 Strong St."/>
    <s v=""/>
    <s v="San Rafael"/>
    <s v="CA"/>
    <s v="97562"/>
    <x v="0"/>
    <s v="NA"/>
    <s v="Nelson"/>
    <s v="Valarie"/>
    <s v="Valarie, Nelson"/>
    <s v="Small"/>
  </r>
  <r>
    <n v="10414"/>
    <n v="37"/>
    <n v="7134"/>
    <n v="263958"/>
    <n v="0"/>
    <n v="6"/>
    <s v="5/6/2005 0:00"/>
    <x v="4"/>
    <x v="1"/>
    <x v="1"/>
    <x v="2"/>
    <x v="5"/>
    <n v="66"/>
    <s v="S700_1138"/>
    <x v="58"/>
    <s v="6175559555"/>
    <s v="8616 Spinnaker Dr."/>
    <s v=""/>
    <s v="Boston"/>
    <s v="MA"/>
    <s v="51003"/>
    <x v="0"/>
    <s v="NA"/>
    <s v="Yoshido"/>
    <s v="Juri"/>
    <s v="Juri, Yoshido"/>
    <s v="Small"/>
  </r>
  <r>
    <n v="10106"/>
    <n v="31"/>
    <n v="100"/>
    <n v="3100"/>
    <n v="3100"/>
    <n v="7"/>
    <s v="2/17/2003 0:00"/>
    <x v="0"/>
    <x v="0"/>
    <x v="0"/>
    <x v="0"/>
    <x v="4"/>
    <n v="91"/>
    <s v="S700_1691"/>
    <x v="86"/>
    <s v="035-640555"/>
    <s v="Via Ludovico il Moro 22"/>
    <s v=""/>
    <s v="Bergamo"/>
    <s v=""/>
    <s v="24100"/>
    <x v="12"/>
    <s v="EMEA"/>
    <s v="Rovelli"/>
    <s v="Giovanni"/>
    <s v="Giovanni, Rovelli"/>
    <s v="Medium"/>
  </r>
  <r>
    <n v="10120"/>
    <n v="47"/>
    <n v="8221"/>
    <n v="386387"/>
    <n v="386387"/>
    <n v="13"/>
    <s v="4/29/2003 0:00"/>
    <x v="0"/>
    <x v="1"/>
    <x v="8"/>
    <x v="0"/>
    <x v="4"/>
    <n v="91"/>
    <s v="S700_1691"/>
    <x v="10"/>
    <s v="03 9520 4555"/>
    <s v="636 St Kilda Road"/>
    <s v="Level 3"/>
    <s v="Melbourne"/>
    <s v="Victoria"/>
    <s v="3004"/>
    <x v="3"/>
    <s v="APAC"/>
    <s v="Ferguson"/>
    <s v="Peter"/>
    <s v="Peter, Ferguson"/>
    <s v="Medium"/>
  </r>
  <r>
    <n v="10133"/>
    <n v="24"/>
    <n v="7764"/>
    <n v="186336"/>
    <n v="186336"/>
    <n v="8"/>
    <s v="6/27/2003 0:00"/>
    <x v="0"/>
    <x v="1"/>
    <x v="9"/>
    <x v="0"/>
    <x v="4"/>
    <n v="91"/>
    <s v="S700_1691"/>
    <x v="23"/>
    <s v="(91) 555 94 44"/>
    <s v="C/ Moralzarzal, 86"/>
    <s v=""/>
    <s v="Madrid"/>
    <s v=""/>
    <s v="28034"/>
    <x v="7"/>
    <s v="EMEA"/>
    <s v="Freyre"/>
    <s v="Diego"/>
    <s v="Diego, Freyre"/>
    <s v="Small"/>
  </r>
  <r>
    <n v="10143"/>
    <n v="36"/>
    <n v="100"/>
    <n v="3600"/>
    <n v="3600"/>
    <n v="2"/>
    <s v="8/10/2003 0:00"/>
    <x v="0"/>
    <x v="2"/>
    <x v="3"/>
    <x v="0"/>
    <x v="4"/>
    <n v="91"/>
    <s v="S700_1691"/>
    <x v="50"/>
    <s v="5085559555"/>
    <s v="4575 Hillside Dr."/>
    <s v=""/>
    <s v="New Bedford"/>
    <s v="MA"/>
    <s v="50553"/>
    <x v="0"/>
    <s v="NA"/>
    <s v="Tam"/>
    <s v="Wing C"/>
    <s v="Wing C, Tam"/>
    <s v="Medium"/>
  </r>
  <r>
    <n v="10156"/>
    <n v="48"/>
    <n v="100"/>
    <n v="4800"/>
    <n v="4800"/>
    <n v="2"/>
    <s v="10/8/2003 0:00"/>
    <x v="0"/>
    <x v="3"/>
    <x v="4"/>
    <x v="0"/>
    <x v="4"/>
    <n v="91"/>
    <s v="S700_1691"/>
    <x v="23"/>
    <s v="(91) 555 94 44"/>
    <s v="C/ Moralzarzal, 86"/>
    <s v=""/>
    <s v="Madrid"/>
    <s v=""/>
    <s v="28034"/>
    <x v="7"/>
    <s v="EMEA"/>
    <s v="Freyre"/>
    <s v="Diego"/>
    <s v="Diego, Freyre"/>
    <s v="Medium"/>
  </r>
  <r>
    <n v="10168"/>
    <n v="28"/>
    <n v="9865"/>
    <n v="276220"/>
    <n v="276220"/>
    <n v="14"/>
    <s v="10/28/2003 0:00"/>
    <x v="0"/>
    <x v="3"/>
    <x v="4"/>
    <x v="0"/>
    <x v="4"/>
    <n v="91"/>
    <s v="S700_1691"/>
    <x v="5"/>
    <s v="6505556809"/>
    <s v="9408 Furth Circle"/>
    <s v=""/>
    <s v="Burlingame"/>
    <s v="CA"/>
    <s v="94217"/>
    <x v="0"/>
    <s v="NA"/>
    <s v="Hirano"/>
    <s v="Juri"/>
    <s v="Juri, Hirano"/>
    <s v="Small"/>
  </r>
  <r>
    <n v="10199"/>
    <n v="48"/>
    <n v="8312"/>
    <n v="398976"/>
    <n v="398976"/>
    <n v="2"/>
    <s v="12/1/2003 0:00"/>
    <x v="0"/>
    <x v="3"/>
    <x v="6"/>
    <x v="0"/>
    <x v="4"/>
    <n v="91"/>
    <s v="S700_1691"/>
    <x v="32"/>
    <s v="3105553722"/>
    <s v="3675 Furth Circle"/>
    <s v=""/>
    <s v="Burbank"/>
    <s v="CA"/>
    <s v="94019"/>
    <x v="0"/>
    <s v="NA"/>
    <s v="Thompson"/>
    <s v="Steve"/>
    <s v="Steve, Thompson"/>
    <s v="Medium"/>
  </r>
  <r>
    <n v="10210"/>
    <n v="21"/>
    <n v="7855"/>
    <n v="164955"/>
    <n v="164955"/>
    <n v="12"/>
    <s v="1/12/2004 0:00"/>
    <x v="0"/>
    <x v="0"/>
    <x v="7"/>
    <x v="1"/>
    <x v="4"/>
    <n v="91"/>
    <s v="S700_1691"/>
    <x v="44"/>
    <s v="+81 06 6342 5555"/>
    <s v="Dojima Avanza 4F, 1-6-20 Dojima, Kita-ku"/>
    <s v=""/>
    <s v="Osaka"/>
    <s v="Osaka"/>
    <s v="530-0003"/>
    <x v="11"/>
    <s v="Japan"/>
    <s v="Kentary"/>
    <s v="Mory"/>
    <s v="Mory, Kentary"/>
    <s v="Small"/>
  </r>
  <r>
    <n v="10223"/>
    <n v="25"/>
    <n v="100"/>
    <n v="2500"/>
    <n v="2500"/>
    <n v="14"/>
    <s v="2/20/2004 0:00"/>
    <x v="0"/>
    <x v="0"/>
    <x v="0"/>
    <x v="1"/>
    <x v="4"/>
    <n v="91"/>
    <s v="S700_1691"/>
    <x v="10"/>
    <s v="03 9520 4555"/>
    <s v="636 St Kilda Road"/>
    <s v="Level 3"/>
    <s v="Melbourne"/>
    <s v="Victoria"/>
    <s v="3004"/>
    <x v="3"/>
    <s v="APAC"/>
    <s v="Ferguson"/>
    <s v="Peter"/>
    <s v="Peter, Ferguson"/>
    <s v="Small"/>
  </r>
  <r>
    <n v="10235"/>
    <n v="25"/>
    <n v="100"/>
    <n v="2500"/>
    <n v="2500"/>
    <n v="8"/>
    <s v="4/2/2004 0:00"/>
    <x v="0"/>
    <x v="1"/>
    <x v="8"/>
    <x v="1"/>
    <x v="4"/>
    <n v="91"/>
    <s v="S700_1691"/>
    <x v="57"/>
    <s v="(604) 555-4555"/>
    <s v="23 Tsawassen Blvd."/>
    <s v=""/>
    <s v="Tsawassen"/>
    <s v="BC"/>
    <s v="T2F 8M4"/>
    <x v="10"/>
    <s v="NA"/>
    <s v="Lincoln"/>
    <s v="Elizabeth"/>
    <s v="Elizabeth, Lincoln"/>
    <s v="Small"/>
  </r>
  <r>
    <n v="10250"/>
    <n v="31"/>
    <n v="9134"/>
    <n v="283154"/>
    <n v="283154"/>
    <n v="9"/>
    <s v="5/11/2004 0:00"/>
    <x v="0"/>
    <x v="1"/>
    <x v="1"/>
    <x v="1"/>
    <x v="4"/>
    <n v="91"/>
    <s v="S700_1691"/>
    <x v="61"/>
    <s v="4085553659"/>
    <s v="3086 Ingle Ln."/>
    <s v=""/>
    <s v="San Jose"/>
    <s v="CA"/>
    <s v="94217"/>
    <x v="0"/>
    <s v="NA"/>
    <s v="Frick"/>
    <s v="Sue"/>
    <s v="Sue, Frick"/>
    <s v="Small"/>
  </r>
  <r>
    <n v="10262"/>
    <n v="40"/>
    <n v="8403"/>
    <n v="336120"/>
    <n v="0"/>
    <n v="4"/>
    <s v="6/24/2004 0:00"/>
    <x v="3"/>
    <x v="1"/>
    <x v="9"/>
    <x v="1"/>
    <x v="4"/>
    <n v="91"/>
    <s v="S700_1691"/>
    <x v="23"/>
    <s v="(91) 555 94 44"/>
    <s v="C/ Moralzarzal, 86"/>
    <s v=""/>
    <s v="Madrid"/>
    <s v=""/>
    <s v="28034"/>
    <x v="7"/>
    <s v="EMEA"/>
    <s v="Freyre"/>
    <s v="Diego"/>
    <s v="Diego, Freyre"/>
    <s v="Medium"/>
  </r>
  <r>
    <n v="10275"/>
    <n v="32"/>
    <n v="8951"/>
    <n v="286432"/>
    <n v="286432"/>
    <n v="14"/>
    <s v="7/23/2004 0:00"/>
    <x v="0"/>
    <x v="2"/>
    <x v="2"/>
    <x v="1"/>
    <x v="4"/>
    <n v="91"/>
    <s v="S700_1691"/>
    <x v="14"/>
    <s v="40.67.8555"/>
    <s v="67, rue des Cinquante Otages"/>
    <s v=""/>
    <s v="Nantes"/>
    <s v=""/>
    <s v="44000"/>
    <x v="1"/>
    <s v="EMEA"/>
    <s v="Labrune"/>
    <s v="Janine"/>
    <s v="Janine, Labrune"/>
    <s v="Small"/>
  </r>
  <r>
    <n v="10284"/>
    <n v="24"/>
    <n v="8312"/>
    <n v="199488"/>
    <n v="199488"/>
    <n v="6"/>
    <s v="8/21/2004 0:00"/>
    <x v="0"/>
    <x v="2"/>
    <x v="3"/>
    <x v="1"/>
    <x v="4"/>
    <n v="91"/>
    <s v="S700_1691"/>
    <x v="85"/>
    <s v="+47 2212 1555"/>
    <s v="Drammensveien 126 A, PB 744 Sentrum"/>
    <s v=""/>
    <s v="Oslo"/>
    <s v=""/>
    <s v="N 0106"/>
    <x v="2"/>
    <s v="EMEA"/>
    <s v="Klaeboe"/>
    <s v="Jan"/>
    <s v="Jan, Klaeboe"/>
    <s v="Small"/>
  </r>
  <r>
    <n v="10296"/>
    <n v="42"/>
    <n v="100"/>
    <n v="4200"/>
    <n v="4200"/>
    <n v="2"/>
    <s v="9/15/2004 0:00"/>
    <x v="0"/>
    <x v="2"/>
    <x v="10"/>
    <x v="1"/>
    <x v="4"/>
    <n v="91"/>
    <s v="S700_1691"/>
    <x v="89"/>
    <s v="+49 89 61 08 9555"/>
    <s v="Hansastr. 15"/>
    <s v=""/>
    <s v="Munich"/>
    <s v=""/>
    <s v="80686"/>
    <x v="16"/>
    <s v="EMEA"/>
    <s v="Donnermeyer"/>
    <s v="Michael"/>
    <s v="Michael, Donnermeyer"/>
    <s v="Medium"/>
  </r>
  <r>
    <n v="10308"/>
    <n v="21"/>
    <n v="100"/>
    <n v="2100"/>
    <n v="2100"/>
    <n v="12"/>
    <s v="10/15/2004 0:00"/>
    <x v="0"/>
    <x v="3"/>
    <x v="4"/>
    <x v="1"/>
    <x v="4"/>
    <n v="91"/>
    <s v="S700_1691"/>
    <x v="47"/>
    <s v="9145554562"/>
    <s v="3758 North Pendale Street"/>
    <s v=""/>
    <s v="White Plains"/>
    <s v="NY"/>
    <s v="24067"/>
    <x v="0"/>
    <s v="NA"/>
    <s v="Frick"/>
    <s v="Steve"/>
    <s v="Steve, Frick"/>
    <s v="Small"/>
  </r>
  <r>
    <n v="10316"/>
    <n v="34"/>
    <n v="8221"/>
    <n v="279514"/>
    <n v="279514"/>
    <n v="4"/>
    <s v="11/1/2004 0:00"/>
    <x v="0"/>
    <x v="3"/>
    <x v="5"/>
    <x v="1"/>
    <x v="4"/>
    <n v="91"/>
    <s v="S700_1691"/>
    <x v="59"/>
    <s v="(198) 555-8888"/>
    <s v="Garden House Crowther Way"/>
    <s v=""/>
    <s v="Cowes"/>
    <s v="Isle of Wight"/>
    <s v="PO31 7PJ"/>
    <x v="6"/>
    <s v="EMEA"/>
    <s v="Bennett"/>
    <s v="Helen"/>
    <s v="Helen, Bennett"/>
    <s v="Small"/>
  </r>
  <r>
    <n v="10328"/>
    <n v="27"/>
    <n v="100"/>
    <n v="2700"/>
    <n v="2700"/>
    <n v="8"/>
    <s v="11/12/2004 0:00"/>
    <x v="0"/>
    <x v="3"/>
    <x v="5"/>
    <x v="1"/>
    <x v="4"/>
    <n v="91"/>
    <s v="S700_1691"/>
    <x v="86"/>
    <s v="035-640555"/>
    <s v="Via Ludovico il Moro 22"/>
    <s v=""/>
    <s v="Bergamo"/>
    <s v=""/>
    <s v="24100"/>
    <x v="12"/>
    <s v="EMEA"/>
    <s v="Rovelli"/>
    <s v="Giovanni"/>
    <s v="Giovanni, Rovelli"/>
    <s v="Small"/>
  </r>
  <r>
    <n v="10340"/>
    <n v="30"/>
    <n v="886"/>
    <n v="26580"/>
    <n v="26580"/>
    <n v="5"/>
    <s v="11/24/2004 0:00"/>
    <x v="0"/>
    <x v="3"/>
    <x v="5"/>
    <x v="1"/>
    <x v="4"/>
    <n v="91"/>
    <s v="S700_1691"/>
    <x v="53"/>
    <s v="(93) 203 4555"/>
    <s v="Rambla de Catalu¤a, 23"/>
    <s v=""/>
    <s v="Barcelona"/>
    <s v=""/>
    <s v="8022"/>
    <x v="7"/>
    <s v="EMEA"/>
    <s v="Saavedra"/>
    <s v="Eduardo"/>
    <s v="Eduardo, Saavedra"/>
    <s v="Small"/>
  </r>
  <r>
    <n v="10353"/>
    <n v="39"/>
    <n v="100"/>
    <n v="3900"/>
    <n v="3900"/>
    <n v="9"/>
    <s v="12/4/2004 0:00"/>
    <x v="0"/>
    <x v="3"/>
    <x v="6"/>
    <x v="1"/>
    <x v="4"/>
    <n v="91"/>
    <s v="S700_1691"/>
    <x v="88"/>
    <s v="2035554407"/>
    <s v="2440 Pompton St."/>
    <s v=""/>
    <s v="Glendale"/>
    <s v="CT"/>
    <s v="97561"/>
    <x v="0"/>
    <s v="NA"/>
    <s v="Lewis"/>
    <s v="Dan"/>
    <s v="Dan, Lewis"/>
    <s v="Medium"/>
  </r>
  <r>
    <n v="10361"/>
    <n v="20"/>
    <n v="6054"/>
    <n v="121080"/>
    <n v="121080"/>
    <n v="4"/>
    <s v="12/17/2004 0:00"/>
    <x v="0"/>
    <x v="3"/>
    <x v="6"/>
    <x v="1"/>
    <x v="4"/>
    <n v="91"/>
    <s v="S700_1691"/>
    <x v="20"/>
    <s v="+61 2 9495 8555"/>
    <s v="Monitor Money Building, 815 Pacific Hwy"/>
    <s v="Level 6"/>
    <s v="Chatswood"/>
    <s v="NSW"/>
    <s v="2067"/>
    <x v="3"/>
    <s v="APAC"/>
    <s v="Huxley"/>
    <s v="Adrian"/>
    <s v="Adrian, Huxley"/>
    <s v="Small"/>
  </r>
  <r>
    <n v="10375"/>
    <n v="37"/>
    <n v="8187"/>
    <n v="302919"/>
    <n v="302919"/>
    <n v="6"/>
    <s v="2/3/2005 0:00"/>
    <x v="0"/>
    <x v="0"/>
    <x v="0"/>
    <x v="2"/>
    <x v="4"/>
    <n v="91"/>
    <s v="S700_1691"/>
    <x v="14"/>
    <s v="40.67.8555"/>
    <s v="67, rue des Cinquante Otages"/>
    <s v=""/>
    <s v="Nantes"/>
    <s v=""/>
    <s v="44000"/>
    <x v="1"/>
    <s v="EMEA"/>
    <s v="Labrune"/>
    <s v="Janine"/>
    <s v="Janine, Labrune"/>
    <s v="Medium"/>
  </r>
  <r>
    <n v="10388"/>
    <n v="46"/>
    <n v="100"/>
    <n v="4600"/>
    <n v="4600"/>
    <n v="2"/>
    <s v="3/3/2005 0:00"/>
    <x v="0"/>
    <x v="0"/>
    <x v="11"/>
    <x v="2"/>
    <x v="4"/>
    <n v="91"/>
    <s v="S700_1691"/>
    <x v="21"/>
    <s v="5085552555"/>
    <s v="1785 First Street"/>
    <s v=""/>
    <s v="New Bedford"/>
    <s v="MA"/>
    <s v="50553"/>
    <x v="0"/>
    <s v="NA"/>
    <s v="Benitez"/>
    <s v="Violeta"/>
    <s v="Violeta, Benitez"/>
    <s v="Large"/>
  </r>
  <r>
    <n v="10398"/>
    <n v="47"/>
    <n v="8769"/>
    <n v="412143"/>
    <n v="412143"/>
    <n v="6"/>
    <s v="3/30/2005 0:00"/>
    <x v="0"/>
    <x v="0"/>
    <x v="11"/>
    <x v="2"/>
    <x v="4"/>
    <n v="91"/>
    <s v="S700_1691"/>
    <x v="1"/>
    <s v="26.47.1555"/>
    <s v="59 rue de l'Abbaye"/>
    <s v=""/>
    <s v="Reims"/>
    <s v=""/>
    <s v="51100"/>
    <x v="1"/>
    <s v="EMEA"/>
    <s v="Henriot"/>
    <s v="Paul"/>
    <s v="Paul, Henriot"/>
    <s v="Medium"/>
  </r>
  <r>
    <n v="10401"/>
    <n v="11"/>
    <n v="100"/>
    <n v="1100"/>
    <n v="0"/>
    <n v="8"/>
    <s v="4/3/2005 0:00"/>
    <x v="4"/>
    <x v="1"/>
    <x v="8"/>
    <x v="2"/>
    <x v="4"/>
    <n v="91"/>
    <s v="S700_1691"/>
    <x v="12"/>
    <s v="2015559350"/>
    <s v="7476 Moss Rd."/>
    <s v=""/>
    <s v="Newark"/>
    <s v="NJ"/>
    <s v="94019"/>
    <x v="0"/>
    <s v="NA"/>
    <s v="Brown"/>
    <s v="William"/>
    <s v="William, Brown"/>
    <s v="Small"/>
  </r>
  <r>
    <n v="10416"/>
    <n v="23"/>
    <n v="9134"/>
    <n v="210082"/>
    <n v="210082"/>
    <n v="9"/>
    <s v="5/10/2005 0:00"/>
    <x v="0"/>
    <x v="1"/>
    <x v="1"/>
    <x v="2"/>
    <x v="4"/>
    <n v="91"/>
    <s v="S700_1691"/>
    <x v="70"/>
    <s v="0522-556555"/>
    <s v="Strada Provinciale 124"/>
    <s v=""/>
    <s v="Reggio Emilia"/>
    <s v=""/>
    <s v="42100"/>
    <x v="12"/>
    <s v="EMEA"/>
    <s v="Moroni"/>
    <s v="Maurizio"/>
    <s v="Maurizio, Moroni"/>
    <s v="Small"/>
  </r>
  <r>
    <n v="10105"/>
    <n v="29"/>
    <n v="7015"/>
    <n v="203435"/>
    <n v="203435"/>
    <n v="12"/>
    <s v="2/11/2003 0:00"/>
    <x v="0"/>
    <x v="0"/>
    <x v="0"/>
    <x v="0"/>
    <x v="5"/>
    <n v="86"/>
    <s v="S700_1938"/>
    <x v="48"/>
    <s v="31 12 3555"/>
    <s v="Vinb'ltet 34"/>
    <s v=""/>
    <s v="Kobenhavn"/>
    <s v=""/>
    <s v="1734"/>
    <x v="13"/>
    <s v="EMEA"/>
    <s v="Petersen"/>
    <s v="Jytte"/>
    <s v="Jytte, Petersen"/>
    <s v="Small"/>
  </r>
  <r>
    <n v="10117"/>
    <n v="38"/>
    <n v="7968"/>
    <n v="302784"/>
    <n v="302784"/>
    <n v="6"/>
    <s v="4/16/2003 0:00"/>
    <x v="0"/>
    <x v="1"/>
    <x v="8"/>
    <x v="0"/>
    <x v="5"/>
    <n v="86"/>
    <s v="S700_1938"/>
    <x v="26"/>
    <s v="+65 221 7555"/>
    <s v="Bronz Sok., Bronz Apt. 3/6 Tesvikiye"/>
    <s v=""/>
    <s v="Singapore"/>
    <s v=""/>
    <s v="79903"/>
    <x v="9"/>
    <s v="Japan"/>
    <s v="Natividad"/>
    <s v="Eric"/>
    <s v="Eric, Natividad"/>
    <s v="Medium"/>
  </r>
  <r>
    <n v="10128"/>
    <n v="32"/>
    <n v="97"/>
    <n v="3104"/>
    <n v="3104"/>
    <n v="3"/>
    <s v="6/6/2003 0:00"/>
    <x v="0"/>
    <x v="1"/>
    <x v="9"/>
    <x v="0"/>
    <x v="5"/>
    <n v="86"/>
    <s v="S700_1938"/>
    <x v="23"/>
    <s v="(91) 555 94 44"/>
    <s v="C/ Moralzarzal, 86"/>
    <s v=""/>
    <s v="Madrid"/>
    <s v=""/>
    <s v="28034"/>
    <x v="7"/>
    <s v="EMEA"/>
    <s v="Freyre"/>
    <s v="Diego"/>
    <s v="Diego, Freyre"/>
    <s v="Medium"/>
  </r>
  <r>
    <n v="10142"/>
    <n v="43"/>
    <n v="8401"/>
    <n v="361243"/>
    <n v="361243"/>
    <n v="9"/>
    <s v="8/8/2003 0:00"/>
    <x v="0"/>
    <x v="2"/>
    <x v="3"/>
    <x v="0"/>
    <x v="5"/>
    <n v="86"/>
    <s v="S700_1938"/>
    <x v="39"/>
    <s v="4155551450"/>
    <s v="5677 Strong St."/>
    <s v=""/>
    <s v="San Rafael"/>
    <s v="CA"/>
    <s v="97562"/>
    <x v="0"/>
    <s v="NA"/>
    <s v="Nelson"/>
    <s v="Valarie"/>
    <s v="Valarie, Nelson"/>
    <s v="Medium"/>
  </r>
  <r>
    <n v="10153"/>
    <n v="31"/>
    <n v="8748"/>
    <n v="271188"/>
    <n v="271188"/>
    <n v="8"/>
    <s v="9/28/2003 0:00"/>
    <x v="0"/>
    <x v="2"/>
    <x v="10"/>
    <x v="0"/>
    <x v="5"/>
    <n v="86"/>
    <s v="S700_1938"/>
    <x v="23"/>
    <s v="(91) 555 94 44"/>
    <s v="C/ Moralzarzal, 86"/>
    <s v=""/>
    <s v="Madrid"/>
    <s v=""/>
    <s v="28034"/>
    <x v="7"/>
    <s v="EMEA"/>
    <s v="Freyre"/>
    <s v="Diego"/>
    <s v="Diego, Freyre"/>
    <s v="Small"/>
  </r>
  <r>
    <n v="10166"/>
    <n v="29"/>
    <n v="100"/>
    <n v="2900"/>
    <n v="2900"/>
    <n v="3"/>
    <s v="10/21/2003 0:00"/>
    <x v="0"/>
    <x v="3"/>
    <x v="4"/>
    <x v="0"/>
    <x v="5"/>
    <n v="86"/>
    <s v="S700_1938"/>
    <x v="21"/>
    <s v="5085552555"/>
    <s v="1785 First Street"/>
    <s v=""/>
    <s v="New Bedford"/>
    <s v="MA"/>
    <s v="50553"/>
    <x v="0"/>
    <s v="NA"/>
    <s v="Benitez"/>
    <s v="Violeta"/>
    <s v="Violeta, Benitez"/>
    <s v="Medium"/>
  </r>
  <r>
    <n v="10177"/>
    <n v="31"/>
    <n v="8834"/>
    <n v="273854"/>
    <n v="273854"/>
    <n v="10"/>
    <s v="11/7/2003 0:00"/>
    <x v="0"/>
    <x v="3"/>
    <x v="5"/>
    <x v="0"/>
    <x v="5"/>
    <n v="86"/>
    <s v="S700_1938"/>
    <x v="76"/>
    <s v="+34 913 728 555"/>
    <s v="Merchants House, 27-30 Merchant's Quay"/>
    <s v=""/>
    <s v="Madrid"/>
    <s v=""/>
    <s v="28023"/>
    <x v="7"/>
    <s v="EMEA"/>
    <s v="Fernandez"/>
    <s v="Jesus"/>
    <s v="Jesus, Fernandez"/>
    <s v="Small"/>
  </r>
  <r>
    <n v="10185"/>
    <n v="30"/>
    <n v="944"/>
    <n v="28320"/>
    <n v="28320"/>
    <n v="10"/>
    <s v="11/14/2003 0:00"/>
    <x v="0"/>
    <x v="3"/>
    <x v="5"/>
    <x v="0"/>
    <x v="5"/>
    <n v="86"/>
    <s v="S700_1938"/>
    <x v="50"/>
    <s v="5085559555"/>
    <s v="4575 Hillside Dr."/>
    <s v=""/>
    <s v="New Bedford"/>
    <s v="MA"/>
    <s v="50553"/>
    <x v="0"/>
    <s v="NA"/>
    <s v="Tam"/>
    <s v="Wing C"/>
    <s v="Wing C, Tam"/>
    <s v="Small"/>
  </r>
  <r>
    <n v="10196"/>
    <n v="50"/>
    <n v="944"/>
    <n v="47200"/>
    <n v="47200"/>
    <n v="2"/>
    <s v="11/26/2003 0:00"/>
    <x v="0"/>
    <x v="3"/>
    <x v="5"/>
    <x v="0"/>
    <x v="5"/>
    <n v="86"/>
    <s v="S700_1938"/>
    <x v="34"/>
    <s v="2035559545"/>
    <s v="567 North Pendale Street"/>
    <s v=""/>
    <s v="New Haven"/>
    <s v="CT"/>
    <s v="97823"/>
    <x v="0"/>
    <s v="NA"/>
    <s v="Murphy"/>
    <s v="Leslie"/>
    <s v="Leslie, Murphy"/>
    <s v="Medium"/>
  </r>
  <r>
    <n v="10208"/>
    <n v="40"/>
    <n v="8055"/>
    <n v="322200"/>
    <n v="322200"/>
    <n v="10"/>
    <s v="1/2/2004 0:00"/>
    <x v="0"/>
    <x v="0"/>
    <x v="7"/>
    <x v="1"/>
    <x v="5"/>
    <n v="86"/>
    <s v="S700_1938"/>
    <x v="30"/>
    <s v="78.32.5555"/>
    <s v="2, rue du Commerce"/>
    <s v=""/>
    <s v="Lyon"/>
    <s v=""/>
    <s v="69004"/>
    <x v="1"/>
    <s v="EMEA"/>
    <s v="Saveley"/>
    <s v="Mary"/>
    <s v="Mary, Saveley"/>
    <s v="Medium"/>
  </r>
  <r>
    <n v="10221"/>
    <n v="23"/>
    <n v="97"/>
    <n v="2231"/>
    <n v="2231"/>
    <n v="4"/>
    <s v="2/18/2004 0:00"/>
    <x v="0"/>
    <x v="0"/>
    <x v="0"/>
    <x v="1"/>
    <x v="5"/>
    <n v="86"/>
    <s v="S700_1938"/>
    <x v="56"/>
    <s v="(02) 5554 67"/>
    <s v="Rue Joseph-Bens 532"/>
    <s v=""/>
    <s v="Bruxelles"/>
    <s v=""/>
    <s v="B-1180"/>
    <x v="14"/>
    <s v="EMEA"/>
    <s v="Dewey"/>
    <s v="Catherine"/>
    <s v="Catherine, Dewey"/>
    <s v="Small"/>
  </r>
  <r>
    <n v="10232"/>
    <n v="26"/>
    <n v="8834"/>
    <n v="229684"/>
    <n v="229684"/>
    <n v="7"/>
    <s v="3/20/2004 0:00"/>
    <x v="0"/>
    <x v="0"/>
    <x v="11"/>
    <x v="1"/>
    <x v="5"/>
    <n v="86"/>
    <s v="S700_1938"/>
    <x v="59"/>
    <s v="(198) 555-8888"/>
    <s v="Garden House Crowther Way"/>
    <s v=""/>
    <s v="Cowes"/>
    <s v="Isle of Wight"/>
    <s v="PO31 7PJ"/>
    <x v="6"/>
    <s v="EMEA"/>
    <s v="Bennett"/>
    <s v="Helen"/>
    <s v="Helen, Bennett"/>
    <s v="Small"/>
  </r>
  <r>
    <n v="10248"/>
    <n v="40"/>
    <n v="100"/>
    <n v="4000"/>
    <n v="0"/>
    <n v="13"/>
    <s v="5/7/2004 0:00"/>
    <x v="3"/>
    <x v="1"/>
    <x v="1"/>
    <x v="1"/>
    <x v="5"/>
    <n v="86"/>
    <s v="S700_1938"/>
    <x v="0"/>
    <s v="2125557818"/>
    <s v="897 Long Airport Avenue"/>
    <s v=""/>
    <s v="NYC"/>
    <s v="NY"/>
    <s v="10022"/>
    <x v="0"/>
    <s v="NA"/>
    <s v="Yu"/>
    <s v="Kwai"/>
    <s v="Kwai, Yu"/>
    <s v="Medium"/>
  </r>
  <r>
    <n v="10273"/>
    <n v="21"/>
    <n v="100"/>
    <n v="2100"/>
    <n v="2100"/>
    <n v="14"/>
    <s v="7/21/2004 0:00"/>
    <x v="0"/>
    <x v="2"/>
    <x v="2"/>
    <x v="1"/>
    <x v="5"/>
    <n v="86"/>
    <s v="S700_1938"/>
    <x v="56"/>
    <s v="(02) 5554 67"/>
    <s v="Rue Joseph-Bens 532"/>
    <s v=""/>
    <s v="Bruxelles"/>
    <s v=""/>
    <s v="B-1180"/>
    <x v="14"/>
    <s v="EMEA"/>
    <s v="Dewey"/>
    <s v="Catherine"/>
    <s v="Catherine, Dewey"/>
    <s v="Small"/>
  </r>
  <r>
    <n v="10282"/>
    <n v="43"/>
    <n v="8661"/>
    <n v="372423"/>
    <n v="372423"/>
    <n v="2"/>
    <s v="8/20/2004 0:00"/>
    <x v="0"/>
    <x v="2"/>
    <x v="3"/>
    <x v="1"/>
    <x v="5"/>
    <n v="86"/>
    <s v="S700_1938"/>
    <x v="39"/>
    <s v="4155551450"/>
    <s v="5677 Strong St."/>
    <s v=""/>
    <s v="San Rafael"/>
    <s v="CA"/>
    <s v="97562"/>
    <x v="0"/>
    <s v="NA"/>
    <s v="Nelson"/>
    <s v="Valarie"/>
    <s v="Valarie, Nelson"/>
    <s v="Medium"/>
  </r>
  <r>
    <n v="10293"/>
    <n v="29"/>
    <n v="7189"/>
    <n v="208481"/>
    <n v="208481"/>
    <n v="5"/>
    <s v="9/9/2004 0:00"/>
    <x v="0"/>
    <x v="2"/>
    <x v="10"/>
    <x v="1"/>
    <x v="5"/>
    <n v="86"/>
    <s v="S700_1938"/>
    <x v="36"/>
    <s v="011-4988555"/>
    <s v="Via Monte Bianco 34"/>
    <s v=""/>
    <s v="Torino"/>
    <s v=""/>
    <s v="10100"/>
    <x v="12"/>
    <s v="EMEA"/>
    <s v="Accorti"/>
    <s v="Paolo"/>
    <s v="Paolo, Accorti"/>
    <s v="Small"/>
  </r>
  <r>
    <n v="10306"/>
    <n v="38"/>
    <n v="9181"/>
    <n v="348878"/>
    <n v="348878"/>
    <n v="10"/>
    <s v="10/14/2004 0:00"/>
    <x v="0"/>
    <x v="3"/>
    <x v="4"/>
    <x v="1"/>
    <x v="5"/>
    <n v="86"/>
    <s v="S700_1938"/>
    <x v="77"/>
    <s v="(171) 555-1555"/>
    <s v="Fauntleroy Circus"/>
    <s v=""/>
    <s v="Manchester"/>
    <s v=""/>
    <s v="EC2 5NT"/>
    <x v="6"/>
    <s v="EMEA"/>
    <s v="Ashworth"/>
    <s v="Victoria"/>
    <s v="Victoria, Ashworth"/>
    <s v="Medium"/>
  </r>
  <r>
    <n v="10314"/>
    <n v="23"/>
    <n v="7622"/>
    <n v="175306"/>
    <n v="175306"/>
    <n v="2"/>
    <s v="10/22/2004 0:00"/>
    <x v="0"/>
    <x v="3"/>
    <x v="4"/>
    <x v="1"/>
    <x v="5"/>
    <n v="86"/>
    <s v="S700_1938"/>
    <x v="78"/>
    <s v="86 21 3555"/>
    <s v="Smagsloget 45"/>
    <s v=""/>
    <s v="Aaarhus"/>
    <s v=""/>
    <s v="8200"/>
    <x v="13"/>
    <s v="EMEA"/>
    <s v="Ibsen"/>
    <s v="Palle"/>
    <s v="Palle, Ibsen"/>
    <s v="Small"/>
  </r>
  <r>
    <n v="10327"/>
    <n v="20"/>
    <n v="100"/>
    <n v="2000"/>
    <n v="2000"/>
    <n v="7"/>
    <s v="11/10/2004 0:00"/>
    <x v="5"/>
    <x v="3"/>
    <x v="5"/>
    <x v="1"/>
    <x v="5"/>
    <n v="86"/>
    <s v="S700_1938"/>
    <x v="48"/>
    <s v="31 12 3555"/>
    <s v="Vinb'ltet 34"/>
    <s v=""/>
    <s v="Kobenhavn"/>
    <s v=""/>
    <s v="1734"/>
    <x v="13"/>
    <s v="EMEA"/>
    <s v="Petersen"/>
    <s v="Jytte"/>
    <s v="Jytte, Petersen"/>
    <s v="Medium"/>
  </r>
  <r>
    <n v="10337"/>
    <n v="36"/>
    <n v="703"/>
    <n v="25308"/>
    <n v="25308"/>
    <n v="9"/>
    <s v="11/21/2004 0:00"/>
    <x v="0"/>
    <x v="3"/>
    <x v="5"/>
    <x v="1"/>
    <x v="5"/>
    <n v="86"/>
    <s v="S700_1938"/>
    <x v="27"/>
    <s v="2125558493"/>
    <s v="5905 Pompton St."/>
    <s v="Suite 750"/>
    <s v="NYC"/>
    <s v="NY"/>
    <s v="10022"/>
    <x v="0"/>
    <s v="NA"/>
    <s v="Hernandez"/>
    <s v="Maria"/>
    <s v="Maria, Hernandez"/>
    <s v="Small"/>
  </r>
  <r>
    <n v="10350"/>
    <n v="28"/>
    <n v="100"/>
    <n v="2800"/>
    <n v="2800"/>
    <n v="4"/>
    <s v="12/2/2004 0:00"/>
    <x v="0"/>
    <x v="3"/>
    <x v="6"/>
    <x v="1"/>
    <x v="5"/>
    <n v="86"/>
    <s v="S700_1938"/>
    <x v="23"/>
    <s v="(91) 555 94 44"/>
    <s v="C/ Moralzarzal, 86"/>
    <s v=""/>
    <s v="Madrid"/>
    <s v=""/>
    <s v="28034"/>
    <x v="7"/>
    <s v="EMEA"/>
    <s v="Freyre"/>
    <s v="Diego"/>
    <s v="Diego, Freyre"/>
    <s v="Small"/>
  </r>
  <r>
    <n v="10372"/>
    <n v="44"/>
    <n v="100"/>
    <n v="4400"/>
    <n v="4400"/>
    <n v="2"/>
    <s v="1/26/2005 0:00"/>
    <x v="0"/>
    <x v="0"/>
    <x v="7"/>
    <x v="2"/>
    <x v="5"/>
    <n v="86"/>
    <s v="S700_1938"/>
    <x v="35"/>
    <s v="+81 3 3584 0555"/>
    <s v="2-2-8 Roppongi"/>
    <s v=""/>
    <s v="Minato-ku"/>
    <s v="Tokyo"/>
    <s v="106-0032"/>
    <x v="11"/>
    <s v="Japan"/>
    <s v="Shimamura"/>
    <s v="Akiko"/>
    <s v="Akiko, Shimamura"/>
    <s v="Medium"/>
  </r>
  <r>
    <n v="10384"/>
    <n v="49"/>
    <n v="100"/>
    <n v="4900"/>
    <n v="4900"/>
    <n v="1"/>
    <s v="2/23/2005 0:00"/>
    <x v="0"/>
    <x v="0"/>
    <x v="0"/>
    <x v="2"/>
    <x v="5"/>
    <n v="86"/>
    <s v="S700_1938"/>
    <x v="4"/>
    <s v="6505551386"/>
    <s v="7734 Strong St."/>
    <s v=""/>
    <s v="San Francisco"/>
    <s v="CA"/>
    <s v=""/>
    <x v="0"/>
    <s v="NA"/>
    <s v="Brown"/>
    <s v="Julie"/>
    <s v="Julie, Brown"/>
    <s v="Medium"/>
  </r>
  <r>
    <n v="10397"/>
    <n v="32"/>
    <n v="8055"/>
    <n v="257760"/>
    <n v="257760"/>
    <n v="5"/>
    <s v="3/28/2005 0:00"/>
    <x v="0"/>
    <x v="0"/>
    <x v="11"/>
    <x v="2"/>
    <x v="5"/>
    <n v="86"/>
    <s v="S700_1938"/>
    <x v="51"/>
    <s v="61.77.6555"/>
    <s v="1 rue Alsace-Lorraine"/>
    <s v=""/>
    <s v="Toulouse"/>
    <s v=""/>
    <s v="31000"/>
    <x v="1"/>
    <s v="EMEA"/>
    <s v="Roulet"/>
    <s v="Annette"/>
    <s v="Annette, Roulet"/>
    <s v="Small"/>
  </r>
  <r>
    <n v="10414"/>
    <n v="34"/>
    <n v="100"/>
    <n v="3400"/>
    <n v="0"/>
    <n v="13"/>
    <s v="5/6/2005 0:00"/>
    <x v="4"/>
    <x v="1"/>
    <x v="1"/>
    <x v="2"/>
    <x v="5"/>
    <n v="86"/>
    <s v="S700_1938"/>
    <x v="58"/>
    <s v="6175559555"/>
    <s v="8616 Spinnaker Dr."/>
    <s v=""/>
    <s v="Boston"/>
    <s v="MA"/>
    <s v="51003"/>
    <x v="0"/>
    <s v="NA"/>
    <s v="Yoshido"/>
    <s v="Juri"/>
    <s v="Juri, Yoshido"/>
    <s v="Medium"/>
  </r>
  <r>
    <n v="10106"/>
    <n v="30"/>
    <n v="100"/>
    <n v="3000"/>
    <n v="3000"/>
    <n v="16"/>
    <s v="2/17/2003 0:00"/>
    <x v="0"/>
    <x v="0"/>
    <x v="0"/>
    <x v="0"/>
    <x v="5"/>
    <n v="90"/>
    <s v="S700_2047"/>
    <x v="86"/>
    <s v="035-640555"/>
    <s v="Via Ludovico il Moro 22"/>
    <s v=""/>
    <s v="Bergamo"/>
    <s v=""/>
    <s v="24100"/>
    <x v="12"/>
    <s v="EMEA"/>
    <s v="Rovelli"/>
    <s v="Giovanni"/>
    <s v="Giovanni, Rovelli"/>
    <s v="Medium"/>
  </r>
  <r>
    <n v="10119"/>
    <n v="29"/>
    <n v="9414"/>
    <n v="273006"/>
    <n v="273006"/>
    <n v="7"/>
    <s v="4/28/2003 0:00"/>
    <x v="0"/>
    <x v="1"/>
    <x v="8"/>
    <x v="0"/>
    <x v="5"/>
    <n v="90"/>
    <s v="S700_2047"/>
    <x v="19"/>
    <s v="6562-9555"/>
    <s v="Geislweg 14"/>
    <s v=""/>
    <s v="Salzburg"/>
    <s v=""/>
    <s v="5020"/>
    <x v="5"/>
    <s v="EMEA"/>
    <s v="Pipps"/>
    <s v="Georg"/>
    <s v="Georg, Pipps"/>
    <s v="Small"/>
  </r>
  <r>
    <n v="10131"/>
    <n v="22"/>
    <n v="8599"/>
    <n v="189178"/>
    <n v="189178"/>
    <n v="8"/>
    <s v="6/16/2003 0:00"/>
    <x v="0"/>
    <x v="1"/>
    <x v="9"/>
    <x v="0"/>
    <x v="5"/>
    <n v="90"/>
    <s v="S700_2047"/>
    <x v="88"/>
    <s v="2035554407"/>
    <s v="2440 Pompton St."/>
    <s v=""/>
    <s v="Glendale"/>
    <s v="CT"/>
    <s v="97561"/>
    <x v="0"/>
    <s v="NA"/>
    <s v="Lewis"/>
    <s v="Dan"/>
    <s v="Dan, Lewis"/>
    <s v="Small"/>
  </r>
  <r>
    <n v="10143"/>
    <n v="26"/>
    <n v="100"/>
    <n v="2600"/>
    <n v="2600"/>
    <n v="11"/>
    <s v="8/10/2003 0:00"/>
    <x v="0"/>
    <x v="2"/>
    <x v="3"/>
    <x v="0"/>
    <x v="5"/>
    <n v="90"/>
    <s v="S700_2047"/>
    <x v="50"/>
    <s v="5085559555"/>
    <s v="4575 Hillside Dr."/>
    <s v=""/>
    <s v="New Bedford"/>
    <s v="MA"/>
    <s v="50553"/>
    <x v="0"/>
    <s v="NA"/>
    <s v="Tam"/>
    <s v="Wing C"/>
    <s v="Wing C, Tam"/>
    <s v="Small"/>
  </r>
  <r>
    <n v="10155"/>
    <n v="32"/>
    <n v="9143"/>
    <n v="292576"/>
    <n v="292576"/>
    <n v="9"/>
    <s v="10/6/2003 0:00"/>
    <x v="0"/>
    <x v="3"/>
    <x v="4"/>
    <x v="0"/>
    <x v="5"/>
    <n v="90"/>
    <s v="S700_2047"/>
    <x v="16"/>
    <s v="90-224 8555"/>
    <s v="Keskuskatu 45"/>
    <s v=""/>
    <s v="Helsinki"/>
    <s v=""/>
    <s v="21240"/>
    <x v="4"/>
    <s v="EMEA"/>
    <s v="Karttunen"/>
    <s v="Matti"/>
    <s v="Matti, Karttunen"/>
    <s v="Small"/>
  </r>
  <r>
    <n v="10167"/>
    <n v="29"/>
    <n v="100"/>
    <n v="2900"/>
    <n v="0"/>
    <n v="5"/>
    <s v="10/23/2003 0:00"/>
    <x v="3"/>
    <x v="3"/>
    <x v="4"/>
    <x v="0"/>
    <x v="5"/>
    <n v="90"/>
    <s v="S700_2047"/>
    <x v="37"/>
    <s v="0695-34 6555"/>
    <s v="?kergatan 24"/>
    <s v=""/>
    <s v="Boras"/>
    <s v=""/>
    <s v="S-844 67"/>
    <x v="8"/>
    <s v="EMEA"/>
    <s v="Larsson"/>
    <s v="Maria"/>
    <s v="Maria, Larsson"/>
    <s v="Small"/>
  </r>
  <r>
    <n v="10178"/>
    <n v="34"/>
    <n v="9686"/>
    <n v="329324"/>
    <n v="329324"/>
    <n v="8"/>
    <s v="11/8/2003 0:00"/>
    <x v="0"/>
    <x v="3"/>
    <x v="5"/>
    <x v="0"/>
    <x v="5"/>
    <n v="90"/>
    <s v="S700_2047"/>
    <x v="51"/>
    <s v="61.77.6555"/>
    <s v="1 rue Alsace-Lorraine"/>
    <s v=""/>
    <s v="Toulouse"/>
    <s v=""/>
    <s v="31000"/>
    <x v="1"/>
    <s v="EMEA"/>
    <s v="Roulet"/>
    <s v="Annette"/>
    <s v="Annette, Roulet"/>
    <s v="Medium"/>
  </r>
  <r>
    <n v="10186"/>
    <n v="24"/>
    <n v="9957"/>
    <n v="238968"/>
    <n v="238968"/>
    <n v="5"/>
    <s v="11/14/2003 0:00"/>
    <x v="0"/>
    <x v="3"/>
    <x v="5"/>
    <x v="0"/>
    <x v="5"/>
    <n v="90"/>
    <s v="S700_2047"/>
    <x v="52"/>
    <s v="(171) 555-7555"/>
    <s v="120 Hanover Sq."/>
    <s v=""/>
    <s v="London"/>
    <s v=""/>
    <s v="WA1 1DP"/>
    <x v="6"/>
    <s v="EMEA"/>
    <s v="Hardy"/>
    <s v="Thomas"/>
    <s v="Thomas, Hardy"/>
    <s v="Small"/>
  </r>
  <r>
    <n v="10197"/>
    <n v="24"/>
    <n v="9052"/>
    <n v="217248"/>
    <n v="217248"/>
    <n v="2"/>
    <s v="11/26/2003 0:00"/>
    <x v="0"/>
    <x v="3"/>
    <x v="5"/>
    <x v="0"/>
    <x v="5"/>
    <n v="90"/>
    <s v="S700_2047"/>
    <x v="53"/>
    <s v="(93) 203 4555"/>
    <s v="Rambla de Catalu¤a, 23"/>
    <s v=""/>
    <s v="Barcelona"/>
    <s v=""/>
    <s v="8022"/>
    <x v="7"/>
    <s v="EMEA"/>
    <s v="Saavedra"/>
    <s v="Eduardo"/>
    <s v="Eduardo, Saavedra"/>
    <s v="Small"/>
  </r>
  <r>
    <n v="10209"/>
    <n v="33"/>
    <n v="8871"/>
    <n v="292743"/>
    <n v="292743"/>
    <n v="4"/>
    <s v="1/9/2004 0:00"/>
    <x v="0"/>
    <x v="0"/>
    <x v="7"/>
    <x v="1"/>
    <x v="5"/>
    <n v="90"/>
    <s v="S700_2047"/>
    <x v="54"/>
    <s v="2155554369"/>
    <s v="6047 Douglas Av."/>
    <s v=""/>
    <s v="Los Angeles"/>
    <s v="CA"/>
    <s v=""/>
    <x v="0"/>
    <s v="NA"/>
    <s v="Chandler"/>
    <s v="Michael"/>
    <s v="Michael, Chandler"/>
    <s v="Small"/>
  </r>
  <r>
    <n v="10222"/>
    <n v="26"/>
    <n v="100"/>
    <n v="2600"/>
    <n v="2600"/>
    <n v="8"/>
    <s v="2/19/2004 0:00"/>
    <x v="0"/>
    <x v="0"/>
    <x v="0"/>
    <x v="1"/>
    <x v="5"/>
    <n v="90"/>
    <s v="S700_2047"/>
    <x v="55"/>
    <s v="7605558146"/>
    <s v="361 Furth Circle"/>
    <s v=""/>
    <s v="San Diego"/>
    <s v="CA"/>
    <s v="91217"/>
    <x v="0"/>
    <s v="NA"/>
    <s v="Thompson"/>
    <s v="Valarie"/>
    <s v="Valarie, Thompson"/>
    <s v="Small"/>
  </r>
  <r>
    <n v="10249"/>
    <n v="40"/>
    <n v="9595"/>
    <n v="383800"/>
    <n v="383800"/>
    <n v="4"/>
    <s v="5/8/2004 0:00"/>
    <x v="0"/>
    <x v="1"/>
    <x v="1"/>
    <x v="1"/>
    <x v="5"/>
    <n v="90"/>
    <s v="S700_2047"/>
    <x v="33"/>
    <s v="6175555555"/>
    <s v="4658 Baden Av."/>
    <s v=""/>
    <s v="Cambridge"/>
    <s v="MA"/>
    <s v="51247"/>
    <x v="0"/>
    <s v="NA"/>
    <s v="Tseng"/>
    <s v="Kyung"/>
    <s v="Kyung, Tseng"/>
    <s v="Medium"/>
  </r>
  <r>
    <n v="10262"/>
    <n v="44"/>
    <n v="9414"/>
    <n v="414216"/>
    <n v="0"/>
    <n v="13"/>
    <s v="6/24/2004 0:00"/>
    <x v="3"/>
    <x v="1"/>
    <x v="9"/>
    <x v="1"/>
    <x v="5"/>
    <n v="90"/>
    <s v="S700_2047"/>
    <x v="23"/>
    <s v="(91) 555 94 44"/>
    <s v="C/ Moralzarzal, 86"/>
    <s v=""/>
    <s v="Madrid"/>
    <s v=""/>
    <s v="28034"/>
    <x v="7"/>
    <s v="EMEA"/>
    <s v="Freyre"/>
    <s v="Diego"/>
    <s v="Diego, Freyre"/>
    <s v="Medium"/>
  </r>
  <r>
    <n v="10274"/>
    <n v="24"/>
    <n v="9052"/>
    <n v="217248"/>
    <n v="217248"/>
    <n v="5"/>
    <s v="7/21/2004 0:00"/>
    <x v="0"/>
    <x v="2"/>
    <x v="2"/>
    <x v="1"/>
    <x v="5"/>
    <n v="90"/>
    <s v="S700_2047"/>
    <x v="41"/>
    <s v="6175558555"/>
    <s v="7825 Douglas Av."/>
    <s v=""/>
    <s v="Brickhaven"/>
    <s v="MA"/>
    <s v="58339"/>
    <x v="0"/>
    <s v="NA"/>
    <s v="Nelson"/>
    <s v="Allen"/>
    <s v="Allen, Nelson"/>
    <s v="Small"/>
  </r>
  <r>
    <n v="10283"/>
    <n v="20"/>
    <n v="9414"/>
    <n v="188280"/>
    <n v="188280"/>
    <n v="2"/>
    <s v="8/20/2004 0:00"/>
    <x v="0"/>
    <x v="2"/>
    <x v="3"/>
    <x v="1"/>
    <x v="5"/>
    <n v="90"/>
    <s v="S700_2047"/>
    <x v="57"/>
    <s v="(604) 555-4555"/>
    <s v="23 Tsawassen Blvd."/>
    <s v=""/>
    <s v="Tsawassen"/>
    <s v="BC"/>
    <s v="T2F 8M4"/>
    <x v="10"/>
    <s v="NA"/>
    <s v="Lincoln"/>
    <s v="Elizabeth"/>
    <s v="Elizabeth, Lincoln"/>
    <s v="Small"/>
  </r>
  <r>
    <n v="10296"/>
    <n v="34"/>
    <n v="100"/>
    <n v="3400"/>
    <n v="3400"/>
    <n v="11"/>
    <s v="9/15/2004 0:00"/>
    <x v="0"/>
    <x v="2"/>
    <x v="10"/>
    <x v="1"/>
    <x v="5"/>
    <n v="90"/>
    <s v="S700_2047"/>
    <x v="89"/>
    <s v="+49 89 61 08 9555"/>
    <s v="Hansastr. 15"/>
    <s v=""/>
    <s v="Munich"/>
    <s v=""/>
    <s v="80686"/>
    <x v="16"/>
    <s v="EMEA"/>
    <s v="Donnermeyer"/>
    <s v="Michael"/>
    <s v="Michael, Donnermeyer"/>
    <s v="Medium"/>
  </r>
  <r>
    <n v="10307"/>
    <n v="34"/>
    <n v="9776"/>
    <n v="332384"/>
    <n v="332384"/>
    <n v="5"/>
    <s v="10/14/2004 0:00"/>
    <x v="0"/>
    <x v="3"/>
    <x v="4"/>
    <x v="1"/>
    <x v="5"/>
    <n v="90"/>
    <s v="S700_2047"/>
    <x v="29"/>
    <s v="2155554695"/>
    <s v="782 First Street"/>
    <s v=""/>
    <s v="Philadelphia"/>
    <s v="PA"/>
    <s v="71270"/>
    <x v="0"/>
    <s v="NA"/>
    <s v="Cervantes"/>
    <s v="Francisca"/>
    <s v="Francisca, Cervantes"/>
    <s v="Medium"/>
  </r>
  <r>
    <n v="10316"/>
    <n v="45"/>
    <n v="9324"/>
    <n v="419580"/>
    <n v="419580"/>
    <n v="13"/>
    <s v="11/1/2004 0:00"/>
    <x v="0"/>
    <x v="3"/>
    <x v="5"/>
    <x v="1"/>
    <x v="5"/>
    <n v="90"/>
    <s v="S700_2047"/>
    <x v="59"/>
    <s v="(198) 555-8888"/>
    <s v="Garden House Crowther Way"/>
    <s v=""/>
    <s v="Cowes"/>
    <s v="Isle of Wight"/>
    <s v="PO31 7PJ"/>
    <x v="6"/>
    <s v="EMEA"/>
    <s v="Bennett"/>
    <s v="Helen"/>
    <s v="Helen, Bennett"/>
    <s v="Medium"/>
  </r>
  <r>
    <n v="10328"/>
    <n v="41"/>
    <n v="100"/>
    <n v="4100"/>
    <n v="4100"/>
    <n v="9"/>
    <s v="11/12/2004 0:00"/>
    <x v="0"/>
    <x v="3"/>
    <x v="5"/>
    <x v="1"/>
    <x v="5"/>
    <n v="90"/>
    <s v="S700_2047"/>
    <x v="86"/>
    <s v="035-640555"/>
    <s v="Via Ludovico il Moro 22"/>
    <s v=""/>
    <s v="Bergamo"/>
    <s v=""/>
    <s v="24100"/>
    <x v="12"/>
    <s v="EMEA"/>
    <s v="Rovelli"/>
    <s v="Giovanni"/>
    <s v="Giovanni, Rovelli"/>
    <s v="Medium"/>
  </r>
  <r>
    <n v="10339"/>
    <n v="55"/>
    <n v="7125"/>
    <n v="391875"/>
    <n v="391875"/>
    <n v="15"/>
    <s v="11/23/2004 0:00"/>
    <x v="0"/>
    <x v="3"/>
    <x v="5"/>
    <x v="1"/>
    <x v="5"/>
    <n v="90"/>
    <s v="S700_2047"/>
    <x v="35"/>
    <s v="+81 3 3584 0555"/>
    <s v="2-2-8 Roppongi"/>
    <s v=""/>
    <s v="Minato-ku"/>
    <s v="Tokyo"/>
    <s v="106-0032"/>
    <x v="11"/>
    <s v="Japan"/>
    <s v="Shimamura"/>
    <s v="Akiko"/>
    <s v="Akiko, Shimamura"/>
    <s v="Medium"/>
  </r>
  <r>
    <n v="10352"/>
    <n v="23"/>
    <n v="100"/>
    <n v="2300"/>
    <n v="2300"/>
    <n v="3"/>
    <s v="12/3/2004 0:00"/>
    <x v="0"/>
    <x v="3"/>
    <x v="6"/>
    <x v="1"/>
    <x v="5"/>
    <n v="90"/>
    <s v="S700_2047"/>
    <x v="91"/>
    <s v="6175558428"/>
    <s v="16780 Pompton St."/>
    <s v=""/>
    <s v="Brickhaven"/>
    <s v="MA"/>
    <s v="58339"/>
    <x v="0"/>
    <s v="NA"/>
    <s v="Taylor"/>
    <s v="Leslie"/>
    <s v="Leslie, Taylor"/>
    <s v="Small"/>
  </r>
  <r>
    <n v="10361"/>
    <n v="24"/>
    <n v="4539"/>
    <n v="108936"/>
    <n v="108936"/>
    <n v="14"/>
    <s v="12/17/2004 0:00"/>
    <x v="0"/>
    <x v="3"/>
    <x v="6"/>
    <x v="1"/>
    <x v="5"/>
    <n v="90"/>
    <s v="S700_2047"/>
    <x v="20"/>
    <s v="+61 2 9495 8555"/>
    <s v="Monitor Money Building, 815 Pacific Hwy"/>
    <s v="Level 6"/>
    <s v="Chatswood"/>
    <s v="NSW"/>
    <s v="2067"/>
    <x v="3"/>
    <s v="APAC"/>
    <s v="Huxley"/>
    <s v="Adrian"/>
    <s v="Adrian, Huxley"/>
    <s v="Small"/>
  </r>
  <r>
    <n v="10373"/>
    <n v="32"/>
    <n v="8441"/>
    <n v="270112"/>
    <n v="270112"/>
    <n v="15"/>
    <s v="1/31/2005 0:00"/>
    <x v="0"/>
    <x v="0"/>
    <x v="7"/>
    <x v="2"/>
    <x v="5"/>
    <n v="90"/>
    <s v="S700_2047"/>
    <x v="60"/>
    <s v="981-443655"/>
    <s v="Torikatu 38"/>
    <s v=""/>
    <s v="Oulu"/>
    <s v=""/>
    <s v="90110"/>
    <x v="4"/>
    <s v="EMEA"/>
    <s v="Koskitalo"/>
    <s v="Pirkko"/>
    <s v="Pirkko, Koskitalo"/>
    <s v="Small"/>
  </r>
  <r>
    <n v="10386"/>
    <n v="29"/>
    <n v="8576"/>
    <n v="248704"/>
    <n v="248704"/>
    <n v="13"/>
    <s v="3/1/2005 0:00"/>
    <x v="5"/>
    <x v="0"/>
    <x v="11"/>
    <x v="2"/>
    <x v="5"/>
    <n v="90"/>
    <s v="S700_2047"/>
    <x v="23"/>
    <s v="(91) 555 94 44"/>
    <s v="C/ Moralzarzal, 86"/>
    <s v=""/>
    <s v="Madrid"/>
    <s v=""/>
    <s v="28034"/>
    <x v="7"/>
    <s v="EMEA"/>
    <s v="Freyre"/>
    <s v="Diego"/>
    <s v="Diego, Freyre"/>
    <s v="Small"/>
  </r>
  <r>
    <n v="10398"/>
    <n v="36"/>
    <n v="100"/>
    <n v="3600"/>
    <n v="3600"/>
    <n v="7"/>
    <s v="3/30/2005 0:00"/>
    <x v="0"/>
    <x v="0"/>
    <x v="11"/>
    <x v="2"/>
    <x v="5"/>
    <n v="90"/>
    <s v="S700_2047"/>
    <x v="1"/>
    <s v="26.47.1555"/>
    <s v="59 rue de l'Abbaye"/>
    <s v=""/>
    <s v="Reims"/>
    <s v=""/>
    <s v="51100"/>
    <x v="1"/>
    <s v="EMEA"/>
    <s v="Henriot"/>
    <s v="Paul"/>
    <s v="Paul, Henriot"/>
    <s v="Medium"/>
  </r>
  <r>
    <n v="10400"/>
    <n v="46"/>
    <n v="878"/>
    <n v="40388"/>
    <n v="40388"/>
    <n v="5"/>
    <s v="4/1/2005 0:00"/>
    <x v="0"/>
    <x v="1"/>
    <x v="8"/>
    <x v="2"/>
    <x v="5"/>
    <n v="90"/>
    <s v="S700_2047"/>
    <x v="61"/>
    <s v="4085553659"/>
    <s v="3086 Ingle Ln."/>
    <s v=""/>
    <s v="San Jose"/>
    <s v="CA"/>
    <s v="94217"/>
    <x v="0"/>
    <s v="NA"/>
    <s v="Frick"/>
    <s v="Sue"/>
    <s v="Sue, Frick"/>
    <s v="Medium"/>
  </r>
  <r>
    <n v="10415"/>
    <n v="32"/>
    <n v="9595"/>
    <n v="307040"/>
    <n v="0"/>
    <n v="4"/>
    <s v="5/9/2005 0:00"/>
    <x v="1"/>
    <x v="1"/>
    <x v="1"/>
    <x v="2"/>
    <x v="5"/>
    <n v="90"/>
    <s v="S700_2047"/>
    <x v="87"/>
    <s v="61-9-3844-6555"/>
    <s v="7 Allen Street"/>
    <s v=""/>
    <s v="Glen Waverly"/>
    <s v="Victoria"/>
    <s v="3150"/>
    <x v="3"/>
    <s v="APAC"/>
    <s v="Connery"/>
    <s v="Sean"/>
    <s v="Sean, Connery"/>
    <s v="Medium"/>
  </r>
  <r>
    <n v="10106"/>
    <n v="34"/>
    <n v="100"/>
    <n v="3400"/>
    <n v="3400"/>
    <n v="9"/>
    <s v="2/17/2003 0:00"/>
    <x v="0"/>
    <x v="0"/>
    <x v="0"/>
    <x v="0"/>
    <x v="4"/>
    <n v="99"/>
    <s v="S700_2466"/>
    <x v="86"/>
    <s v="035-640555"/>
    <s v="Via Ludovico il Moro 22"/>
    <s v=""/>
    <s v="Bergamo"/>
    <s v=""/>
    <s v="24100"/>
    <x v="12"/>
    <s v="EMEA"/>
    <s v="Rovelli"/>
    <s v="Giovanni"/>
    <s v="Giovanni, Rovelli"/>
    <s v="Medium"/>
  </r>
  <r>
    <n v="10120"/>
    <n v="24"/>
    <n v="100"/>
    <n v="2400"/>
    <n v="2400"/>
    <n v="15"/>
    <s v="4/29/2003 0:00"/>
    <x v="0"/>
    <x v="1"/>
    <x v="8"/>
    <x v="0"/>
    <x v="4"/>
    <n v="99"/>
    <s v="S700_2466"/>
    <x v="10"/>
    <s v="03 9520 4555"/>
    <s v="636 St Kilda Road"/>
    <s v="Level 3"/>
    <s v="Melbourne"/>
    <s v="Victoria"/>
    <s v="3004"/>
    <x v="3"/>
    <s v="APAC"/>
    <s v="Ferguson"/>
    <s v="Peter"/>
    <s v="Peter, Ferguson"/>
    <s v="Small"/>
  </r>
  <r>
    <n v="10131"/>
    <n v="40"/>
    <n v="100"/>
    <n v="4000"/>
    <n v="4000"/>
    <n v="1"/>
    <s v="6/16/2003 0:00"/>
    <x v="0"/>
    <x v="1"/>
    <x v="9"/>
    <x v="0"/>
    <x v="4"/>
    <n v="99"/>
    <s v="S700_2466"/>
    <x v="88"/>
    <s v="2035554407"/>
    <s v="2440 Pompton St."/>
    <s v=""/>
    <s v="Glendale"/>
    <s v="CT"/>
    <s v="97561"/>
    <x v="0"/>
    <s v="NA"/>
    <s v="Lewis"/>
    <s v="Dan"/>
    <s v="Dan, Lewis"/>
    <s v="Medium"/>
  </r>
  <r>
    <n v="10143"/>
    <n v="26"/>
    <n v="8277"/>
    <n v="215202"/>
    <n v="215202"/>
    <n v="4"/>
    <s v="8/10/2003 0:00"/>
    <x v="0"/>
    <x v="2"/>
    <x v="3"/>
    <x v="0"/>
    <x v="4"/>
    <n v="99"/>
    <s v="S700_2466"/>
    <x v="50"/>
    <s v="5085559555"/>
    <s v="4575 Hillside Dr."/>
    <s v=""/>
    <s v="New Bedford"/>
    <s v="MA"/>
    <s v="50553"/>
    <x v="0"/>
    <s v="NA"/>
    <s v="Tam"/>
    <s v="Wing C"/>
    <s v="Wing C, Tam"/>
    <s v="Small"/>
  </r>
  <r>
    <n v="10155"/>
    <n v="20"/>
    <n v="100"/>
    <n v="2000"/>
    <n v="2000"/>
    <n v="2"/>
    <s v="10/6/2003 0:00"/>
    <x v="0"/>
    <x v="3"/>
    <x v="4"/>
    <x v="0"/>
    <x v="4"/>
    <n v="99"/>
    <s v="S700_2466"/>
    <x v="16"/>
    <s v="90-224 8555"/>
    <s v="Keskuskatu 45"/>
    <s v=""/>
    <s v="Helsinki"/>
    <s v=""/>
    <s v="21240"/>
    <x v="4"/>
    <s v="EMEA"/>
    <s v="Karttunen"/>
    <s v="Matti"/>
    <s v="Matti, Karttunen"/>
    <s v="Small"/>
  </r>
  <r>
    <n v="10168"/>
    <n v="31"/>
    <n v="100"/>
    <n v="3100"/>
    <n v="3100"/>
    <n v="16"/>
    <s v="10/28/2003 0:00"/>
    <x v="0"/>
    <x v="3"/>
    <x v="4"/>
    <x v="0"/>
    <x v="4"/>
    <n v="99"/>
    <s v="S700_2466"/>
    <x v="5"/>
    <s v="6505556809"/>
    <s v="9408 Furth Circle"/>
    <s v=""/>
    <s v="Burlingame"/>
    <s v="CA"/>
    <s v="94217"/>
    <x v="0"/>
    <s v="NA"/>
    <s v="Hirano"/>
    <s v="Juri"/>
    <s v="Juri, Hirano"/>
    <s v="Medium"/>
  </r>
  <r>
    <n v="10178"/>
    <n v="22"/>
    <n v="8775"/>
    <n v="193050"/>
    <n v="193050"/>
    <n v="1"/>
    <s v="11/8/2003 0:00"/>
    <x v="0"/>
    <x v="3"/>
    <x v="5"/>
    <x v="0"/>
    <x v="4"/>
    <n v="99"/>
    <s v="S700_2466"/>
    <x v="51"/>
    <s v="61.77.6555"/>
    <s v="1 rue Alsace-Lorraine"/>
    <s v=""/>
    <s v="Toulouse"/>
    <s v=""/>
    <s v="31000"/>
    <x v="1"/>
    <s v="EMEA"/>
    <s v="Roulet"/>
    <s v="Annette"/>
    <s v="Annette, Roulet"/>
    <s v="Small"/>
  </r>
  <r>
    <n v="10198"/>
    <n v="42"/>
    <n v="100"/>
    <n v="4200"/>
    <n v="4200"/>
    <n v="1"/>
    <s v="11/27/2003 0:00"/>
    <x v="0"/>
    <x v="3"/>
    <x v="5"/>
    <x v="0"/>
    <x v="4"/>
    <n v="99"/>
    <s v="S700_2466"/>
    <x v="66"/>
    <s v="+63 2 555 3587"/>
    <s v="15 McCallum Street - NatWest Center #13-03"/>
    <s v=""/>
    <s v="Makati City"/>
    <s v=""/>
    <s v="1227 MM"/>
    <x v="15"/>
    <s v="Japan"/>
    <s v="Cruz"/>
    <s v="Arnold"/>
    <s v="Arnold, Cruz"/>
    <s v="Medium"/>
  </r>
  <r>
    <n v="10210"/>
    <n v="26"/>
    <n v="9972"/>
    <n v="259272"/>
    <n v="259272"/>
    <n v="14"/>
    <s v="1/12/2004 0:00"/>
    <x v="0"/>
    <x v="0"/>
    <x v="7"/>
    <x v="1"/>
    <x v="4"/>
    <n v="99"/>
    <s v="S700_2466"/>
    <x v="44"/>
    <s v="+81 06 6342 5555"/>
    <s v="Dojima Avanza 4F, 1-6-20 Dojima, Kita-ku"/>
    <s v=""/>
    <s v="Osaka"/>
    <s v="Osaka"/>
    <s v="530-0003"/>
    <x v="11"/>
    <s v="Japan"/>
    <s v="Kentary"/>
    <s v="Mory"/>
    <s v="Mory, Kentary"/>
    <s v="Small"/>
  </r>
  <r>
    <n v="10222"/>
    <n v="37"/>
    <n v="8775"/>
    <n v="324675"/>
    <n v="324675"/>
    <n v="1"/>
    <s v="2/19/2004 0:00"/>
    <x v="0"/>
    <x v="0"/>
    <x v="0"/>
    <x v="1"/>
    <x v="4"/>
    <n v="99"/>
    <s v="S700_2466"/>
    <x v="55"/>
    <s v="7605558146"/>
    <s v="361 Furth Circle"/>
    <s v=""/>
    <s v="San Diego"/>
    <s v="CA"/>
    <s v="91217"/>
    <x v="0"/>
    <s v="NA"/>
    <s v="Thompson"/>
    <s v="Valarie"/>
    <s v="Valarie, Thompson"/>
    <s v="Medium"/>
  </r>
  <r>
    <n v="10235"/>
    <n v="38"/>
    <n v="8875"/>
    <n v="337250"/>
    <n v="337250"/>
    <n v="10"/>
    <s v="4/2/2004 0:00"/>
    <x v="0"/>
    <x v="1"/>
    <x v="8"/>
    <x v="1"/>
    <x v="4"/>
    <n v="99"/>
    <s v="S700_2466"/>
    <x v="57"/>
    <s v="(604) 555-4555"/>
    <s v="23 Tsawassen Blvd."/>
    <s v=""/>
    <s v="Tsawassen"/>
    <s v="BC"/>
    <s v="T2F 8M4"/>
    <x v="10"/>
    <s v="NA"/>
    <s v="Lincoln"/>
    <s v="Elizabeth"/>
    <s v="Elizabeth, Lincoln"/>
    <s v="Medium"/>
  </r>
  <r>
    <n v="10250"/>
    <n v="35"/>
    <n v="100"/>
    <n v="3500"/>
    <n v="3500"/>
    <n v="11"/>
    <s v="5/11/2004 0:00"/>
    <x v="0"/>
    <x v="1"/>
    <x v="1"/>
    <x v="1"/>
    <x v="4"/>
    <n v="99"/>
    <s v="S700_2466"/>
    <x v="61"/>
    <s v="4085553659"/>
    <s v="3086 Ingle Ln."/>
    <s v=""/>
    <s v="San Jose"/>
    <s v="CA"/>
    <s v="94217"/>
    <x v="0"/>
    <s v="NA"/>
    <s v="Frick"/>
    <s v="Sue"/>
    <s v="Sue, Frick"/>
    <s v="Medium"/>
  </r>
  <r>
    <n v="10262"/>
    <n v="33"/>
    <n v="9075"/>
    <n v="299475"/>
    <n v="0"/>
    <n v="6"/>
    <s v="6/24/2004 0:00"/>
    <x v="3"/>
    <x v="1"/>
    <x v="9"/>
    <x v="1"/>
    <x v="4"/>
    <n v="99"/>
    <s v="S700_2466"/>
    <x v="23"/>
    <s v="(91) 555 94 44"/>
    <s v="C/ Moralzarzal, 86"/>
    <s v=""/>
    <s v="Madrid"/>
    <s v=""/>
    <s v="28034"/>
    <x v="7"/>
    <s v="EMEA"/>
    <s v="Freyre"/>
    <s v="Diego"/>
    <s v="Diego, Freyre"/>
    <s v="Small"/>
  </r>
  <r>
    <n v="10275"/>
    <n v="39"/>
    <n v="100"/>
    <n v="3900"/>
    <n v="3900"/>
    <n v="16"/>
    <s v="7/23/2004 0:00"/>
    <x v="0"/>
    <x v="2"/>
    <x v="2"/>
    <x v="1"/>
    <x v="4"/>
    <n v="99"/>
    <s v="S700_2466"/>
    <x v="14"/>
    <s v="40.67.8555"/>
    <s v="67, rue des Cinquante Otages"/>
    <s v=""/>
    <s v="Nantes"/>
    <s v=""/>
    <s v="44000"/>
    <x v="1"/>
    <s v="EMEA"/>
    <s v="Labrune"/>
    <s v="Janine"/>
    <s v="Janine, Labrune"/>
    <s v="Medium"/>
  </r>
  <r>
    <n v="10284"/>
    <n v="45"/>
    <n v="100"/>
    <n v="4500"/>
    <n v="4500"/>
    <n v="8"/>
    <s v="8/21/2004 0:00"/>
    <x v="0"/>
    <x v="2"/>
    <x v="3"/>
    <x v="1"/>
    <x v="4"/>
    <n v="99"/>
    <s v="S700_2466"/>
    <x v="85"/>
    <s v="+47 2212 1555"/>
    <s v="Drammensveien 126 A, PB 744 Sentrum"/>
    <s v=""/>
    <s v="Oslo"/>
    <s v=""/>
    <s v="N 0106"/>
    <x v="2"/>
    <s v="EMEA"/>
    <s v="Klaeboe"/>
    <s v="Jan"/>
    <s v="Jan, Klaeboe"/>
    <s v="Medium"/>
  </r>
  <r>
    <n v="10296"/>
    <n v="24"/>
    <n v="100"/>
    <n v="2400"/>
    <n v="2400"/>
    <n v="4"/>
    <s v="9/15/2004 0:00"/>
    <x v="0"/>
    <x v="2"/>
    <x v="10"/>
    <x v="1"/>
    <x v="4"/>
    <n v="99"/>
    <s v="S700_2466"/>
    <x v="89"/>
    <s v="+49 89 61 08 9555"/>
    <s v="Hansastr. 15"/>
    <s v=""/>
    <s v="Munich"/>
    <s v=""/>
    <s v="80686"/>
    <x v="16"/>
    <s v="EMEA"/>
    <s v="Donnermeyer"/>
    <s v="Michael"/>
    <s v="Michael, Donnermeyer"/>
    <s v="Small"/>
  </r>
  <r>
    <n v="10308"/>
    <n v="35"/>
    <n v="8875"/>
    <n v="310625"/>
    <n v="310625"/>
    <n v="14"/>
    <s v="10/15/2004 0:00"/>
    <x v="0"/>
    <x v="3"/>
    <x v="4"/>
    <x v="1"/>
    <x v="4"/>
    <n v="99"/>
    <s v="S700_2466"/>
    <x v="47"/>
    <s v="9145554562"/>
    <s v="3758 North Pendale Street"/>
    <s v=""/>
    <s v="White Plains"/>
    <s v="NY"/>
    <s v="24067"/>
    <x v="0"/>
    <s v="NA"/>
    <s v="Frick"/>
    <s v="Steve"/>
    <s v="Steve, Frick"/>
    <s v="Medium"/>
  </r>
  <r>
    <n v="10316"/>
    <n v="23"/>
    <n v="100"/>
    <n v="2300"/>
    <n v="2300"/>
    <n v="6"/>
    <s v="11/1/2004 0:00"/>
    <x v="0"/>
    <x v="3"/>
    <x v="5"/>
    <x v="1"/>
    <x v="4"/>
    <n v="99"/>
    <s v="S700_2466"/>
    <x v="59"/>
    <s v="(198) 555-8888"/>
    <s v="Garden House Crowther Way"/>
    <s v=""/>
    <s v="Cowes"/>
    <s v="Isle of Wight"/>
    <s v="PO31 7PJ"/>
    <x v="6"/>
    <s v="EMEA"/>
    <s v="Bennett"/>
    <s v="Helen"/>
    <s v="Helen, Bennett"/>
    <s v="Small"/>
  </r>
  <r>
    <n v="10328"/>
    <n v="37"/>
    <n v="100"/>
    <n v="3700"/>
    <n v="3700"/>
    <n v="10"/>
    <s v="11/12/2004 0:00"/>
    <x v="0"/>
    <x v="3"/>
    <x v="5"/>
    <x v="1"/>
    <x v="4"/>
    <n v="99"/>
    <s v="S700_2466"/>
    <x v="86"/>
    <s v="035-640555"/>
    <s v="Via Ludovico il Moro 22"/>
    <s v=""/>
    <s v="Bergamo"/>
    <s v=""/>
    <s v="24100"/>
    <x v="12"/>
    <s v="EMEA"/>
    <s v="Rovelli"/>
    <s v="Giovanni"/>
    <s v="Giovanni, Rovelli"/>
    <s v="Medium"/>
  </r>
  <r>
    <n v="10340"/>
    <n v="55"/>
    <n v="8775"/>
    <n v="482625"/>
    <n v="482625"/>
    <n v="7"/>
    <s v="11/24/2004 0:00"/>
    <x v="0"/>
    <x v="3"/>
    <x v="5"/>
    <x v="1"/>
    <x v="4"/>
    <n v="99"/>
    <s v="S700_2466"/>
    <x v="53"/>
    <s v="(93) 203 4555"/>
    <s v="Rambla de Catalu¤a, 23"/>
    <s v=""/>
    <s v="Barcelona"/>
    <s v=""/>
    <s v="8022"/>
    <x v="7"/>
    <s v="EMEA"/>
    <s v="Saavedra"/>
    <s v="Eduardo"/>
    <s v="Eduardo, Saavedra"/>
    <s v="Medium"/>
  </r>
  <r>
    <n v="10352"/>
    <n v="49"/>
    <n v="100"/>
    <n v="4900"/>
    <n v="4900"/>
    <n v="2"/>
    <s v="12/3/2004 0:00"/>
    <x v="0"/>
    <x v="3"/>
    <x v="6"/>
    <x v="1"/>
    <x v="4"/>
    <n v="99"/>
    <s v="S700_2466"/>
    <x v="91"/>
    <s v="6175558428"/>
    <s v="16780 Pompton St."/>
    <s v=""/>
    <s v="Brickhaven"/>
    <s v="MA"/>
    <s v="58339"/>
    <x v="0"/>
    <s v="NA"/>
    <s v="Taylor"/>
    <s v="Leslie"/>
    <s v="Leslie, Taylor"/>
    <s v="Medium"/>
  </r>
  <r>
    <n v="10361"/>
    <n v="26"/>
    <n v="100"/>
    <n v="2600"/>
    <n v="2600"/>
    <n v="9"/>
    <s v="12/17/2004 0:00"/>
    <x v="0"/>
    <x v="3"/>
    <x v="6"/>
    <x v="1"/>
    <x v="4"/>
    <n v="99"/>
    <s v="S700_2466"/>
    <x v="20"/>
    <s v="+61 2 9495 8555"/>
    <s v="Monitor Money Building, 815 Pacific Hwy"/>
    <s v="Level 6"/>
    <s v="Chatswood"/>
    <s v="NSW"/>
    <s v="2067"/>
    <x v="3"/>
    <s v="APAC"/>
    <s v="Huxley"/>
    <s v="Adrian"/>
    <s v="Adrian, Huxley"/>
    <s v="Small"/>
  </r>
  <r>
    <n v="10375"/>
    <n v="33"/>
    <n v="100"/>
    <n v="3300"/>
    <n v="3300"/>
    <n v="1"/>
    <s v="2/3/2005 0:00"/>
    <x v="0"/>
    <x v="0"/>
    <x v="0"/>
    <x v="2"/>
    <x v="4"/>
    <n v="99"/>
    <s v="S700_2466"/>
    <x v="14"/>
    <s v="40.67.8555"/>
    <s v="67, rue des Cinquante Otages"/>
    <s v=""/>
    <s v="Nantes"/>
    <s v=""/>
    <s v="44000"/>
    <x v="1"/>
    <s v="EMEA"/>
    <s v="Labrune"/>
    <s v="Janine"/>
    <s v="Janine, Labrune"/>
    <s v="Medium"/>
  </r>
  <r>
    <n v="10386"/>
    <n v="37"/>
    <n v="8384"/>
    <n v="310208"/>
    <n v="310208"/>
    <n v="14"/>
    <s v="3/1/2005 0:00"/>
    <x v="5"/>
    <x v="0"/>
    <x v="11"/>
    <x v="2"/>
    <x v="4"/>
    <n v="99"/>
    <s v="S700_2466"/>
    <x v="23"/>
    <s v="(91) 555 94 44"/>
    <s v="C/ Moralzarzal, 86"/>
    <s v=""/>
    <s v="Madrid"/>
    <s v=""/>
    <s v="28034"/>
    <x v="7"/>
    <s v="EMEA"/>
    <s v="Freyre"/>
    <s v="Diego"/>
    <s v="Diego, Freyre"/>
    <s v="Medium"/>
  </r>
  <r>
    <n v="10398"/>
    <n v="22"/>
    <n v="8676"/>
    <n v="190872"/>
    <n v="190872"/>
    <n v="8"/>
    <s v="3/30/2005 0:00"/>
    <x v="0"/>
    <x v="0"/>
    <x v="11"/>
    <x v="2"/>
    <x v="4"/>
    <n v="99"/>
    <s v="S700_2466"/>
    <x v="1"/>
    <s v="26.47.1555"/>
    <s v="59 rue de l'Abbaye"/>
    <s v=""/>
    <s v="Reims"/>
    <s v=""/>
    <s v="51100"/>
    <x v="1"/>
    <s v="EMEA"/>
    <s v="Henriot"/>
    <s v="Paul"/>
    <s v="Paul, Henriot"/>
    <s v="Small"/>
  </r>
  <r>
    <n v="10401"/>
    <n v="85"/>
    <n v="8875"/>
    <n v="754375"/>
    <n v="0"/>
    <n v="10"/>
    <s v="4/3/2005 0:00"/>
    <x v="4"/>
    <x v="1"/>
    <x v="8"/>
    <x v="2"/>
    <x v="4"/>
    <n v="99"/>
    <s v="S700_2466"/>
    <x v="12"/>
    <s v="2015559350"/>
    <s v="7476 Moss Rd."/>
    <s v=""/>
    <s v="Newark"/>
    <s v="NJ"/>
    <s v="94019"/>
    <x v="0"/>
    <s v="NA"/>
    <s v="Brown"/>
    <s v="William"/>
    <s v="William, Brown"/>
    <s v="Large"/>
  </r>
  <r>
    <n v="10416"/>
    <n v="22"/>
    <n v="100"/>
    <n v="2200"/>
    <n v="2200"/>
    <n v="11"/>
    <s v="5/10/2005 0:00"/>
    <x v="0"/>
    <x v="1"/>
    <x v="1"/>
    <x v="2"/>
    <x v="4"/>
    <n v="99"/>
    <s v="S700_2466"/>
    <x v="70"/>
    <s v="0522-556555"/>
    <s v="Strada Provinciale 124"/>
    <s v=""/>
    <s v="Reggio Emilia"/>
    <s v=""/>
    <s v="42100"/>
    <x v="12"/>
    <s v="EMEA"/>
    <s v="Moroni"/>
    <s v="Maurizio"/>
    <s v="Maurizio, Moroni"/>
    <s v="Small"/>
  </r>
  <r>
    <n v="10105"/>
    <n v="31"/>
    <n v="6577"/>
    <n v="203887"/>
    <n v="203887"/>
    <n v="3"/>
    <s v="2/11/2003 0:00"/>
    <x v="0"/>
    <x v="0"/>
    <x v="0"/>
    <x v="0"/>
    <x v="5"/>
    <n v="72"/>
    <s v="S700_2610"/>
    <x v="48"/>
    <s v="31 12 3555"/>
    <s v="Vinb'ltet 34"/>
    <s v=""/>
    <s v="Kobenhavn"/>
    <s v=""/>
    <s v="1734"/>
    <x v="13"/>
    <s v="EMEA"/>
    <s v="Petersen"/>
    <s v="Jytte"/>
    <s v="Jytte, Petersen"/>
    <s v="Small"/>
  </r>
  <r>
    <n v="10119"/>
    <n v="38"/>
    <n v="6577"/>
    <n v="249926"/>
    <n v="249926"/>
    <n v="12"/>
    <s v="4/28/2003 0:00"/>
    <x v="0"/>
    <x v="1"/>
    <x v="8"/>
    <x v="0"/>
    <x v="5"/>
    <n v="72"/>
    <s v="S700_2610"/>
    <x v="19"/>
    <s v="6562-9555"/>
    <s v="Geislweg 14"/>
    <s v=""/>
    <s v="Salzburg"/>
    <s v=""/>
    <s v="5020"/>
    <x v="5"/>
    <s v="EMEA"/>
    <s v="Pipps"/>
    <s v="Georg"/>
    <s v="Georg, Pipps"/>
    <s v="Small"/>
  </r>
  <r>
    <n v="10129"/>
    <n v="45"/>
    <n v="8529"/>
    <n v="383805"/>
    <n v="383805"/>
    <n v="3"/>
    <s v="6/12/2003 0:00"/>
    <x v="0"/>
    <x v="1"/>
    <x v="9"/>
    <x v="0"/>
    <x v="5"/>
    <n v="72"/>
    <s v="S700_2610"/>
    <x v="49"/>
    <s v="(171) 555-0297"/>
    <s v="35 King George"/>
    <s v=""/>
    <s v="London"/>
    <s v=""/>
    <s v="WX3 6FW"/>
    <x v="6"/>
    <s v="EMEA"/>
    <s v="Brown"/>
    <s v="Ann"/>
    <s v="Ann, Brown"/>
    <s v="Medium"/>
  </r>
  <r>
    <n v="10143"/>
    <n v="31"/>
    <n v="8529"/>
    <n v="264399"/>
    <n v="264399"/>
    <n v="16"/>
    <s v="8/10/2003 0:00"/>
    <x v="0"/>
    <x v="2"/>
    <x v="3"/>
    <x v="0"/>
    <x v="5"/>
    <n v="72"/>
    <s v="S700_2610"/>
    <x v="50"/>
    <s v="5085559555"/>
    <s v="4575 Hillside Dr."/>
    <s v=""/>
    <s v="New Bedford"/>
    <s v="MA"/>
    <s v="50553"/>
    <x v="0"/>
    <s v="NA"/>
    <s v="Tam"/>
    <s v="Wing C"/>
    <s v="Wing C, Tam"/>
    <s v="Small"/>
  </r>
  <r>
    <n v="10154"/>
    <n v="36"/>
    <n v="6433"/>
    <n v="231588"/>
    <n v="231588"/>
    <n v="1"/>
    <s v="10/2/2003 0:00"/>
    <x v="0"/>
    <x v="3"/>
    <x v="4"/>
    <x v="0"/>
    <x v="5"/>
    <n v="72"/>
    <s v="S700_2610"/>
    <x v="80"/>
    <s v="3105552373"/>
    <s v="4097 Douglas Av."/>
    <s v=""/>
    <s v="Glendale"/>
    <s v="CA"/>
    <s v="92561"/>
    <x v="0"/>
    <s v="NA"/>
    <s v="Young"/>
    <s v="Leslie"/>
    <s v="Leslie, Young"/>
    <s v="Small"/>
  </r>
  <r>
    <n v="10167"/>
    <n v="46"/>
    <n v="7011"/>
    <n v="322506"/>
    <n v="0"/>
    <n v="10"/>
    <s v="10/23/2003 0:00"/>
    <x v="3"/>
    <x v="3"/>
    <x v="4"/>
    <x v="0"/>
    <x v="5"/>
    <n v="72"/>
    <s v="S700_2610"/>
    <x v="37"/>
    <s v="0695-34 6555"/>
    <s v="?kergatan 24"/>
    <s v=""/>
    <s v="Boras"/>
    <s v=""/>
    <s v="S-844 67"/>
    <x v="8"/>
    <s v="EMEA"/>
    <s v="Larsson"/>
    <s v="Maria"/>
    <s v="Maria, Larsson"/>
    <s v="Medium"/>
  </r>
  <r>
    <n v="10177"/>
    <n v="32"/>
    <n v="7662"/>
    <n v="245184"/>
    <n v="245184"/>
    <n v="1"/>
    <s v="11/7/2003 0:00"/>
    <x v="0"/>
    <x v="3"/>
    <x v="5"/>
    <x v="0"/>
    <x v="5"/>
    <n v="72"/>
    <s v="S700_2610"/>
    <x v="76"/>
    <s v="+34 913 728 555"/>
    <s v="Merchants House, 27-30 Merchant's Quay"/>
    <s v=""/>
    <s v="Madrid"/>
    <s v=""/>
    <s v="28023"/>
    <x v="7"/>
    <s v="EMEA"/>
    <s v="Fernandez"/>
    <s v="Jesus"/>
    <s v="Jesus, Fernandez"/>
    <s v="Small"/>
  </r>
  <r>
    <n v="10185"/>
    <n v="39"/>
    <n v="5782"/>
    <n v="225498"/>
    <n v="225498"/>
    <n v="1"/>
    <s v="11/14/2003 0:00"/>
    <x v="0"/>
    <x v="3"/>
    <x v="5"/>
    <x v="0"/>
    <x v="5"/>
    <n v="72"/>
    <s v="S700_2610"/>
    <x v="50"/>
    <s v="5085559555"/>
    <s v="4575 Hillside Dr."/>
    <s v=""/>
    <s v="New Bedford"/>
    <s v="MA"/>
    <s v="50553"/>
    <x v="0"/>
    <s v="NA"/>
    <s v="Tam"/>
    <s v="Wing C"/>
    <s v="Wing C, Tam"/>
    <s v="Small"/>
  </r>
  <r>
    <n v="10197"/>
    <n v="50"/>
    <n v="7879"/>
    <n v="393950"/>
    <n v="393950"/>
    <n v="7"/>
    <s v="11/26/2003 0:00"/>
    <x v="0"/>
    <x v="3"/>
    <x v="5"/>
    <x v="0"/>
    <x v="5"/>
    <n v="72"/>
    <s v="S700_2610"/>
    <x v="53"/>
    <s v="(93) 203 4555"/>
    <s v="Rambla de Catalu¤a, 23"/>
    <s v=""/>
    <s v="Barcelona"/>
    <s v=""/>
    <s v="8022"/>
    <x v="7"/>
    <s v="EMEA"/>
    <s v="Saavedra"/>
    <s v="Eduardo"/>
    <s v="Eduardo, Saavedra"/>
    <s v="Medium"/>
  </r>
  <r>
    <n v="10208"/>
    <n v="46"/>
    <n v="7445"/>
    <n v="342470"/>
    <n v="342470"/>
    <n v="1"/>
    <s v="1/2/2004 0:00"/>
    <x v="0"/>
    <x v="0"/>
    <x v="7"/>
    <x v="1"/>
    <x v="5"/>
    <n v="72"/>
    <s v="S700_2610"/>
    <x v="30"/>
    <s v="78.32.5555"/>
    <s v="2, rue du Commerce"/>
    <s v=""/>
    <s v="Lyon"/>
    <s v=""/>
    <s v="69004"/>
    <x v="1"/>
    <s v="EMEA"/>
    <s v="Saveley"/>
    <s v="Mary"/>
    <s v="Mary, Saveley"/>
    <s v="Medium"/>
  </r>
  <r>
    <n v="10222"/>
    <n v="36"/>
    <n v="8095"/>
    <n v="291420"/>
    <n v="291420"/>
    <n v="13"/>
    <s v="2/19/2004 0:00"/>
    <x v="0"/>
    <x v="0"/>
    <x v="0"/>
    <x v="1"/>
    <x v="5"/>
    <n v="72"/>
    <s v="S700_2610"/>
    <x v="55"/>
    <s v="7605558146"/>
    <s v="361 Furth Circle"/>
    <s v=""/>
    <s v="San Diego"/>
    <s v="CA"/>
    <s v="91217"/>
    <x v="0"/>
    <s v="NA"/>
    <s v="Thompson"/>
    <s v="Valarie"/>
    <s v="Valarie, Thompson"/>
    <s v="Small"/>
  </r>
  <r>
    <n v="10233"/>
    <n v="29"/>
    <n v="824"/>
    <n v="23896"/>
    <n v="23896"/>
    <n v="1"/>
    <s v="3/29/2004 0:00"/>
    <x v="0"/>
    <x v="0"/>
    <x v="11"/>
    <x v="1"/>
    <x v="5"/>
    <n v="72"/>
    <s v="S700_2610"/>
    <x v="12"/>
    <s v="2015559350"/>
    <s v="7476 Moss Rd."/>
    <s v=""/>
    <s v="Newark"/>
    <s v="NJ"/>
    <s v="94019"/>
    <x v="0"/>
    <s v="NA"/>
    <s v="Brown"/>
    <s v="William"/>
    <s v="William, Brown"/>
    <s v="Small"/>
  </r>
  <r>
    <n v="10248"/>
    <n v="32"/>
    <n v="7589"/>
    <n v="242848"/>
    <n v="0"/>
    <n v="4"/>
    <s v="5/7/2004 0:00"/>
    <x v="3"/>
    <x v="1"/>
    <x v="1"/>
    <x v="1"/>
    <x v="5"/>
    <n v="72"/>
    <s v="S700_2610"/>
    <x v="0"/>
    <s v="2125557818"/>
    <s v="897 Long Airport Avenue"/>
    <s v=""/>
    <s v="NYC"/>
    <s v="NY"/>
    <s v="10022"/>
    <x v="0"/>
    <s v="NA"/>
    <s v="Yu"/>
    <s v="Kwai"/>
    <s v="Kwai, Yu"/>
    <s v="Small"/>
  </r>
  <r>
    <n v="10261"/>
    <n v="44"/>
    <n v="6867"/>
    <n v="302148"/>
    <n v="302148"/>
    <n v="2"/>
    <s v="6/17/2004 0:00"/>
    <x v="0"/>
    <x v="1"/>
    <x v="9"/>
    <x v="1"/>
    <x v="5"/>
    <n v="72"/>
    <s v="S700_2610"/>
    <x v="43"/>
    <s v="(514) 555-8054"/>
    <s v="43 rue St. Laurent"/>
    <s v=""/>
    <s v="Montreal"/>
    <s v="Quebec"/>
    <s v="H1J 1C3"/>
    <x v="10"/>
    <s v="NA"/>
    <s v="Fresnisre"/>
    <s v="Jean"/>
    <s v="Jean, Fresnisre"/>
    <s v="Medium"/>
  </r>
  <r>
    <n v="10273"/>
    <n v="42"/>
    <n v="6216"/>
    <n v="261072"/>
    <n v="261072"/>
    <n v="5"/>
    <s v="7/21/2004 0:00"/>
    <x v="0"/>
    <x v="2"/>
    <x v="2"/>
    <x v="1"/>
    <x v="5"/>
    <n v="72"/>
    <s v="S700_2610"/>
    <x v="56"/>
    <s v="(02) 5554 67"/>
    <s v="Rue Joseph-Bens 532"/>
    <s v=""/>
    <s v="Bruxelles"/>
    <s v=""/>
    <s v="B-1180"/>
    <x v="14"/>
    <s v="EMEA"/>
    <s v="Dewey"/>
    <s v="Catherine"/>
    <s v="Catherine, Dewey"/>
    <s v="Small"/>
  </r>
  <r>
    <n v="10283"/>
    <n v="47"/>
    <n v="6577"/>
    <n v="309119"/>
    <n v="309119"/>
    <n v="7"/>
    <s v="8/20/2004 0:00"/>
    <x v="0"/>
    <x v="2"/>
    <x v="3"/>
    <x v="1"/>
    <x v="5"/>
    <n v="72"/>
    <s v="S700_2610"/>
    <x v="57"/>
    <s v="(604) 555-4555"/>
    <s v="23 Tsawassen Blvd."/>
    <s v=""/>
    <s v="Tsawassen"/>
    <s v="BC"/>
    <s v="T2F 8M4"/>
    <x v="10"/>
    <s v="NA"/>
    <s v="Lincoln"/>
    <s v="Elizabeth"/>
    <s v="Elizabeth, Lincoln"/>
    <s v="Medium"/>
  </r>
  <r>
    <n v="10295"/>
    <n v="44"/>
    <n v="5855"/>
    <n v="257620"/>
    <n v="257620"/>
    <n v="2"/>
    <s v="9/10/2004 0:00"/>
    <x v="0"/>
    <x v="2"/>
    <x v="10"/>
    <x v="1"/>
    <x v="5"/>
    <n v="72"/>
    <s v="S700_2610"/>
    <x v="58"/>
    <s v="6175559555"/>
    <s v="8616 Spinnaker Dr."/>
    <s v=""/>
    <s v="Boston"/>
    <s v="MA"/>
    <s v="51003"/>
    <x v="0"/>
    <s v="NA"/>
    <s v="Yoshido"/>
    <s v="Juri"/>
    <s v="Juri, Yoshido"/>
    <s v="Small"/>
  </r>
  <r>
    <n v="10306"/>
    <n v="43"/>
    <n v="7517"/>
    <n v="323231"/>
    <n v="323231"/>
    <n v="1"/>
    <s v="10/14/2004 0:00"/>
    <x v="0"/>
    <x v="3"/>
    <x v="4"/>
    <x v="1"/>
    <x v="5"/>
    <n v="72"/>
    <s v="S700_2610"/>
    <x v="77"/>
    <s v="(171) 555-1555"/>
    <s v="Fauntleroy Circus"/>
    <s v=""/>
    <s v="Manchester"/>
    <s v=""/>
    <s v="EC2 5NT"/>
    <x v="6"/>
    <s v="EMEA"/>
    <s v="Ashworth"/>
    <s v="Victoria"/>
    <s v="Victoria, Ashworth"/>
    <s v="Medium"/>
  </r>
  <r>
    <n v="10316"/>
    <n v="48"/>
    <n v="7445"/>
    <n v="357360"/>
    <n v="357360"/>
    <n v="18"/>
    <s v="11/1/2004 0:00"/>
    <x v="0"/>
    <x v="3"/>
    <x v="5"/>
    <x v="1"/>
    <x v="5"/>
    <n v="72"/>
    <s v="S700_2610"/>
    <x v="59"/>
    <s v="(198) 555-8888"/>
    <s v="Garden House Crowther Way"/>
    <s v=""/>
    <s v="Cowes"/>
    <s v="Isle of Wight"/>
    <s v="PO31 7PJ"/>
    <x v="6"/>
    <s v="EMEA"/>
    <s v="Bennett"/>
    <s v="Helen"/>
    <s v="Helen, Bennett"/>
    <s v="Medium"/>
  </r>
  <r>
    <n v="10327"/>
    <n v="21"/>
    <n v="9631"/>
    <n v="202251"/>
    <n v="202251"/>
    <n v="1"/>
    <s v="11/10/2004 0:00"/>
    <x v="5"/>
    <x v="3"/>
    <x v="5"/>
    <x v="1"/>
    <x v="5"/>
    <n v="72"/>
    <s v="S700_2610"/>
    <x v="48"/>
    <s v="31 12 3555"/>
    <s v="Vinb'ltet 34"/>
    <s v=""/>
    <s v="Kobenhavn"/>
    <s v=""/>
    <s v="1734"/>
    <x v="13"/>
    <s v="EMEA"/>
    <s v="Petersen"/>
    <s v="Jytte"/>
    <s v="Jytte, Petersen"/>
    <s v="Small"/>
  </r>
  <r>
    <n v="10339"/>
    <n v="50"/>
    <n v="7435"/>
    <n v="371750"/>
    <n v="371750"/>
    <n v="9"/>
    <s v="11/23/2004 0:00"/>
    <x v="0"/>
    <x v="3"/>
    <x v="5"/>
    <x v="1"/>
    <x v="5"/>
    <n v="72"/>
    <s v="S700_2610"/>
    <x v="35"/>
    <s v="+81 3 3584 0555"/>
    <s v="2-2-8 Roppongi"/>
    <s v=""/>
    <s v="Minato-ku"/>
    <s v="Tokyo"/>
    <s v="106-0032"/>
    <x v="11"/>
    <s v="Japan"/>
    <s v="Shimamura"/>
    <s v="Akiko"/>
    <s v="Akiko, Shimamura"/>
    <s v="Medium"/>
  </r>
  <r>
    <n v="10350"/>
    <n v="29"/>
    <n v="7535"/>
    <n v="218515"/>
    <n v="218515"/>
    <n v="12"/>
    <s v="12/2/2004 0:00"/>
    <x v="0"/>
    <x v="3"/>
    <x v="6"/>
    <x v="1"/>
    <x v="5"/>
    <n v="72"/>
    <s v="S700_2610"/>
    <x v="23"/>
    <s v="(91) 555 94 44"/>
    <s v="C/ Moralzarzal, 86"/>
    <s v=""/>
    <s v="Madrid"/>
    <s v=""/>
    <s v="28034"/>
    <x v="7"/>
    <s v="EMEA"/>
    <s v="Freyre"/>
    <s v="Diego"/>
    <s v="Diego, Freyre"/>
    <s v="Small"/>
  </r>
  <r>
    <n v="10373"/>
    <n v="41"/>
    <n v="7033"/>
    <n v="288353"/>
    <n v="288353"/>
    <n v="16"/>
    <s v="1/31/2005 0:00"/>
    <x v="0"/>
    <x v="0"/>
    <x v="7"/>
    <x v="2"/>
    <x v="5"/>
    <n v="72"/>
    <s v="S700_2610"/>
    <x v="60"/>
    <s v="981-443655"/>
    <s v="Torikatu 38"/>
    <s v=""/>
    <s v="Oulu"/>
    <s v=""/>
    <s v="90110"/>
    <x v="4"/>
    <s v="EMEA"/>
    <s v="Koskitalo"/>
    <s v="Pirkko"/>
    <s v="Pirkko, Koskitalo"/>
    <s v="Small"/>
  </r>
  <r>
    <n v="10386"/>
    <n v="37"/>
    <n v="100"/>
    <n v="3700"/>
    <n v="3700"/>
    <n v="10"/>
    <s v="3/1/2005 0:00"/>
    <x v="5"/>
    <x v="0"/>
    <x v="11"/>
    <x v="2"/>
    <x v="5"/>
    <n v="72"/>
    <s v="S700_2610"/>
    <x v="23"/>
    <s v="(91) 555 94 44"/>
    <s v="C/ Moralzarzal, 86"/>
    <s v=""/>
    <s v="Madrid"/>
    <s v=""/>
    <s v="28034"/>
    <x v="7"/>
    <s v="EMEA"/>
    <s v="Freyre"/>
    <s v="Diego"/>
    <s v="Diego, Freyre"/>
    <s v="Medium"/>
  </r>
  <r>
    <n v="10397"/>
    <n v="22"/>
    <n v="665"/>
    <n v="14630"/>
    <n v="14630"/>
    <n v="4"/>
    <s v="3/28/2005 0:00"/>
    <x v="0"/>
    <x v="0"/>
    <x v="11"/>
    <x v="2"/>
    <x v="5"/>
    <n v="72"/>
    <s v="S700_2610"/>
    <x v="51"/>
    <s v="61.77.6555"/>
    <s v="1 rue Alsace-Lorraine"/>
    <s v=""/>
    <s v="Toulouse"/>
    <s v=""/>
    <s v="31000"/>
    <x v="1"/>
    <s v="EMEA"/>
    <s v="Roulet"/>
    <s v="Annette"/>
    <s v="Annette, Roulet"/>
    <s v="Small"/>
  </r>
  <r>
    <n v="10414"/>
    <n v="31"/>
    <n v="7589"/>
    <n v="235259"/>
    <n v="0"/>
    <n v="4"/>
    <s v="5/6/2005 0:00"/>
    <x v="4"/>
    <x v="1"/>
    <x v="1"/>
    <x v="2"/>
    <x v="5"/>
    <n v="72"/>
    <s v="S700_2610"/>
    <x v="58"/>
    <s v="6175559555"/>
    <s v="8616 Spinnaker Dr."/>
    <s v=""/>
    <s v="Boston"/>
    <s v="MA"/>
    <s v="51003"/>
    <x v="0"/>
    <s v="NA"/>
    <s v="Yoshido"/>
    <s v="Juri"/>
    <s v="Juri, Yoshido"/>
    <s v="Small"/>
  </r>
  <r>
    <n v="10103"/>
    <n v="42"/>
    <n v="100"/>
    <n v="4200"/>
    <n v="4200"/>
    <n v="6"/>
    <s v="1/29/2003 0:00"/>
    <x v="0"/>
    <x v="0"/>
    <x v="7"/>
    <x v="0"/>
    <x v="1"/>
    <n v="101"/>
    <s v="S700_2824"/>
    <x v="17"/>
    <s v="07-98 9555"/>
    <s v="Erling Skakkes gate 78"/>
    <s v=""/>
    <s v="Stavern"/>
    <s v=""/>
    <s v="4110"/>
    <x v="2"/>
    <s v="EMEA"/>
    <s v="Bergulfsen"/>
    <s v="Jonas"/>
    <s v="Jonas, Bergulfsen"/>
    <s v="Medium"/>
  </r>
  <r>
    <n v="10114"/>
    <n v="42"/>
    <n v="100"/>
    <n v="4200"/>
    <n v="4200"/>
    <n v="10"/>
    <s v="4/1/2003 0:00"/>
    <x v="0"/>
    <x v="1"/>
    <x v="8"/>
    <x v="0"/>
    <x v="1"/>
    <n v="101"/>
    <s v="S700_2824"/>
    <x v="62"/>
    <s v="(1) 42.34.2555"/>
    <s v="265, boulevard Charonne"/>
    <s v=""/>
    <s v="Paris"/>
    <s v=""/>
    <s v="75012"/>
    <x v="1"/>
    <s v="EMEA"/>
    <s v="Bertrand"/>
    <s v="Marie"/>
    <s v="Marie, Bertrand"/>
    <s v="Medium"/>
  </r>
  <r>
    <n v="10126"/>
    <n v="45"/>
    <n v="100"/>
    <n v="4500"/>
    <n v="4500"/>
    <n v="6"/>
    <s v="5/28/2003 0:00"/>
    <x v="0"/>
    <x v="1"/>
    <x v="1"/>
    <x v="0"/>
    <x v="1"/>
    <n v="101"/>
    <s v="S700_2824"/>
    <x v="25"/>
    <s v="(91) 555 22 82"/>
    <s v="C/ Araquil, 67"/>
    <s v=""/>
    <s v="Madrid"/>
    <s v=""/>
    <s v="28023"/>
    <x v="7"/>
    <s v="EMEA"/>
    <s v="Sommer"/>
    <s v="Mart¡n"/>
    <s v="Mart¡n, Sommer"/>
    <s v="Medium"/>
  </r>
  <r>
    <n v="10140"/>
    <n v="36"/>
    <n v="100"/>
    <n v="3600"/>
    <n v="3600"/>
    <n v="6"/>
    <s v="7/24/2003 0:00"/>
    <x v="0"/>
    <x v="2"/>
    <x v="2"/>
    <x v="0"/>
    <x v="1"/>
    <n v="101"/>
    <s v="S700_2824"/>
    <x v="5"/>
    <s v="6505556809"/>
    <s v="9408 Furth Circle"/>
    <s v=""/>
    <s v="Burlingame"/>
    <s v="CA"/>
    <s v="94217"/>
    <x v="0"/>
    <s v="NA"/>
    <s v="Hirano"/>
    <s v="Juri"/>
    <s v="Juri, Hirano"/>
    <s v="Medium"/>
  </r>
  <r>
    <n v="10150"/>
    <n v="20"/>
    <n v="100"/>
    <n v="2000"/>
    <n v="2000"/>
    <n v="3"/>
    <s v="9/19/2003 0:00"/>
    <x v="0"/>
    <x v="2"/>
    <x v="10"/>
    <x v="0"/>
    <x v="1"/>
    <n v="101"/>
    <s v="S700_2824"/>
    <x v="26"/>
    <s v="+65 221 7555"/>
    <s v="Bronz Sok., Bronz Apt. 3/6 Tesvikiye"/>
    <s v=""/>
    <s v="Singapore"/>
    <s v=""/>
    <s v="79903"/>
    <x v="9"/>
    <s v="Japan"/>
    <s v="Natividad"/>
    <s v="Eric"/>
    <s v="Eric, Natividad"/>
    <s v="Small"/>
  </r>
  <r>
    <n v="10164"/>
    <n v="39"/>
    <n v="8193"/>
    <n v="319527"/>
    <n v="319527"/>
    <n v="4"/>
    <s v="10/21/2003 0:00"/>
    <x v="5"/>
    <x v="3"/>
    <x v="4"/>
    <x v="0"/>
    <x v="1"/>
    <n v="101"/>
    <s v="S700_2824"/>
    <x v="63"/>
    <s v="7675-3555"/>
    <s v="Kirchgasse 6"/>
    <s v=""/>
    <s v="Graz"/>
    <s v=""/>
    <s v="8010"/>
    <x v="5"/>
    <s v="EMEA"/>
    <s v="Mendel"/>
    <s v="Roland"/>
    <s v="Roland, Mendel"/>
    <s v="Medium"/>
  </r>
  <r>
    <n v="10175"/>
    <n v="42"/>
    <n v="8598"/>
    <n v="361116"/>
    <n v="361116"/>
    <n v="11"/>
    <s v="11/6/2003 0:00"/>
    <x v="0"/>
    <x v="3"/>
    <x v="5"/>
    <x v="0"/>
    <x v="1"/>
    <n v="101"/>
    <s v="S700_2824"/>
    <x v="49"/>
    <s v="(171) 555-0297"/>
    <s v="35 King George"/>
    <s v=""/>
    <s v="London"/>
    <s v=""/>
    <s v="WX3 6FW"/>
    <x v="6"/>
    <s v="EMEA"/>
    <s v="Brown"/>
    <s v="Ann"/>
    <s v="Ann, Brown"/>
    <s v="Medium"/>
  </r>
  <r>
    <n v="10183"/>
    <n v="23"/>
    <n v="8699"/>
    <n v="200077"/>
    <n v="200077"/>
    <n v="3"/>
    <s v="11/13/2003 0:00"/>
    <x v="0"/>
    <x v="3"/>
    <x v="5"/>
    <x v="0"/>
    <x v="1"/>
    <n v="101"/>
    <s v="S700_2824"/>
    <x v="29"/>
    <s v="2155554695"/>
    <s v="782 First Street"/>
    <s v=""/>
    <s v="Philadelphia"/>
    <s v="PA"/>
    <s v="71270"/>
    <x v="0"/>
    <s v="NA"/>
    <s v="Cervantes"/>
    <s v="Francisca"/>
    <s v="Francisca, Cervantes"/>
    <s v="Small"/>
  </r>
  <r>
    <n v="10194"/>
    <n v="26"/>
    <n v="8901"/>
    <n v="231426"/>
    <n v="231426"/>
    <n v="6"/>
    <s v="11/25/2003 0:00"/>
    <x v="0"/>
    <x v="3"/>
    <x v="5"/>
    <x v="0"/>
    <x v="1"/>
    <n v="101"/>
    <s v="S700_2824"/>
    <x v="30"/>
    <s v="78.32.5555"/>
    <s v="2, rue du Commerce"/>
    <s v=""/>
    <s v="Lyon"/>
    <s v=""/>
    <s v="69004"/>
    <x v="1"/>
    <s v="EMEA"/>
    <s v="Saveley"/>
    <s v="Mary"/>
    <s v="Mary, Saveley"/>
    <s v="Small"/>
  </r>
  <r>
    <n v="10206"/>
    <n v="33"/>
    <n v="100"/>
    <n v="3300"/>
    <n v="3300"/>
    <n v="1"/>
    <s v="12/5/2003 0:00"/>
    <x v="0"/>
    <x v="3"/>
    <x v="6"/>
    <x v="0"/>
    <x v="1"/>
    <n v="101"/>
    <s v="S700_2824"/>
    <x v="31"/>
    <s v="(604) 555-3392"/>
    <s v="1900 Oak St."/>
    <s v=""/>
    <s v="Vancouver"/>
    <s v="BC"/>
    <s v="V3F 2K1"/>
    <x v="10"/>
    <s v="NA"/>
    <s v="Tannamuri"/>
    <s v="Yoshi"/>
    <s v="Yoshi, Tannamuri"/>
    <s v="Medium"/>
  </r>
  <r>
    <n v="10217"/>
    <n v="31"/>
    <n v="88"/>
    <n v="2728"/>
    <n v="2728"/>
    <n v="6"/>
    <s v="2/4/2004 0:00"/>
    <x v="0"/>
    <x v="0"/>
    <x v="0"/>
    <x v="1"/>
    <x v="1"/>
    <n v="101"/>
    <s v="S700_2824"/>
    <x v="65"/>
    <s v="+65 224 1555"/>
    <s v="Village Close - 106 Linden Road Sandown"/>
    <s v="2nd Floor"/>
    <s v="Singapore"/>
    <s v=""/>
    <s v="69045"/>
    <x v="9"/>
    <s v="APAC"/>
    <s v="Victorino"/>
    <s v="Wendy"/>
    <s v="Wendy, Victorino"/>
    <s v="Small"/>
  </r>
  <r>
    <n v="10229"/>
    <n v="50"/>
    <n v="100"/>
    <n v="5000"/>
    <n v="5000"/>
    <n v="11"/>
    <s v="3/11/2004 0:00"/>
    <x v="0"/>
    <x v="0"/>
    <x v="11"/>
    <x v="1"/>
    <x v="1"/>
    <n v="101"/>
    <s v="S700_2824"/>
    <x v="39"/>
    <s v="4155551450"/>
    <s v="5677 Strong St."/>
    <s v=""/>
    <s v="San Rafael"/>
    <s v="CA"/>
    <s v="97562"/>
    <x v="0"/>
    <s v="NA"/>
    <s v="Nelson"/>
    <s v="Valarie"/>
    <s v="Valarie, Nelson"/>
    <s v="Medium"/>
  </r>
  <r>
    <n v="10245"/>
    <n v="44"/>
    <n v="100"/>
    <n v="4400"/>
    <n v="4400"/>
    <n v="4"/>
    <s v="5/4/2004 0:00"/>
    <x v="0"/>
    <x v="1"/>
    <x v="1"/>
    <x v="1"/>
    <x v="1"/>
    <n v="101"/>
    <s v="S700_2824"/>
    <x v="34"/>
    <s v="2035559545"/>
    <s v="567 North Pendale Street"/>
    <s v=""/>
    <s v="New Haven"/>
    <s v="CT"/>
    <s v="97823"/>
    <x v="0"/>
    <s v="NA"/>
    <s v="Murphy"/>
    <s v="Leslie"/>
    <s v="Leslie, Murphy"/>
    <s v="Medium"/>
  </r>
  <r>
    <n v="10258"/>
    <n v="45"/>
    <n v="8092"/>
    <n v="364140"/>
    <n v="364140"/>
    <n v="1"/>
    <s v="6/15/2004 0:00"/>
    <x v="0"/>
    <x v="1"/>
    <x v="9"/>
    <x v="1"/>
    <x v="1"/>
    <n v="101"/>
    <s v="S700_2824"/>
    <x v="35"/>
    <s v="+81 3 3584 0555"/>
    <s v="2-2-8 Roppongi"/>
    <s v=""/>
    <s v="Minato-ku"/>
    <s v="Tokyo"/>
    <s v="106-0032"/>
    <x v="11"/>
    <s v="Japan"/>
    <s v="Shimamura"/>
    <s v="Akiko"/>
    <s v="Akiko, Shimamura"/>
    <s v="Medium"/>
  </r>
  <r>
    <n v="10270"/>
    <n v="46"/>
    <n v="88"/>
    <n v="4048"/>
    <n v="4048"/>
    <n v="4"/>
    <s v="7/19/2004 0:00"/>
    <x v="0"/>
    <x v="2"/>
    <x v="2"/>
    <x v="1"/>
    <x v="1"/>
    <n v="101"/>
    <s v="S700_2824"/>
    <x v="20"/>
    <s v="+61 2 9495 8555"/>
    <s v="Monitor Money Building, 815 Pacific Hwy"/>
    <s v="Level 6"/>
    <s v="Chatswood"/>
    <s v="NSW"/>
    <s v="2067"/>
    <x v="3"/>
    <s v="APAC"/>
    <s v="Huxley"/>
    <s v="Adrian"/>
    <s v="Adrian, Huxley"/>
    <s v="Medium"/>
  </r>
  <r>
    <n v="10281"/>
    <n v="27"/>
    <n v="8598"/>
    <n v="232146"/>
    <n v="232146"/>
    <n v="11"/>
    <s v="8/19/2004 0:00"/>
    <x v="0"/>
    <x v="2"/>
    <x v="3"/>
    <x v="1"/>
    <x v="1"/>
    <n v="101"/>
    <s v="S700_2824"/>
    <x v="18"/>
    <s v="2155551555"/>
    <s v="7586 Pompton St."/>
    <s v=""/>
    <s v="Allentown"/>
    <s v="PA"/>
    <s v="70267"/>
    <x v="0"/>
    <s v="NA"/>
    <s v="Yu"/>
    <s v="Kyung"/>
    <s v="Kyung, Yu"/>
    <s v="Small"/>
  </r>
  <r>
    <n v="10291"/>
    <n v="28"/>
    <n v="100"/>
    <n v="2800"/>
    <n v="2800"/>
    <n v="6"/>
    <s v="9/8/2004 0:00"/>
    <x v="0"/>
    <x v="2"/>
    <x v="10"/>
    <x v="1"/>
    <x v="1"/>
    <n v="101"/>
    <s v="S700_2824"/>
    <x v="37"/>
    <s v="0695-34 6555"/>
    <s v="?kergatan 24"/>
    <s v=""/>
    <s v="Boras"/>
    <s v=""/>
    <s v="S-844 67"/>
    <x v="8"/>
    <s v="EMEA"/>
    <s v="Larsson"/>
    <s v="Maria"/>
    <s v="Maria, Larsson"/>
    <s v="Medium"/>
  </r>
  <r>
    <n v="10304"/>
    <n v="40"/>
    <n v="100"/>
    <n v="4000"/>
    <n v="4000"/>
    <n v="1"/>
    <s v="10/11/2004 0:00"/>
    <x v="0"/>
    <x v="3"/>
    <x v="4"/>
    <x v="1"/>
    <x v="1"/>
    <n v="101"/>
    <s v="S700_2824"/>
    <x v="38"/>
    <s v="30.59.8555"/>
    <s v="67, avenue de l'Europe"/>
    <s v=""/>
    <s v="Versailles"/>
    <s v=""/>
    <s v="78000"/>
    <x v="1"/>
    <s v="EMEA"/>
    <s v="Tonini"/>
    <s v="Daniel"/>
    <s v="Daniel, Tonini"/>
    <s v="Medium"/>
  </r>
  <r>
    <n v="10313"/>
    <n v="30"/>
    <n v="9913"/>
    <n v="297390"/>
    <n v="297390"/>
    <n v="9"/>
    <s v="10/22/2004 0:00"/>
    <x v="0"/>
    <x v="3"/>
    <x v="4"/>
    <x v="1"/>
    <x v="1"/>
    <n v="101"/>
    <s v="S700_2824"/>
    <x v="31"/>
    <s v="(604) 555-3392"/>
    <s v="1900 Oak St."/>
    <s v=""/>
    <s v="Vancouver"/>
    <s v="BC"/>
    <s v="V3F 2K1"/>
    <x v="10"/>
    <s v="NA"/>
    <s v="Tannamuri"/>
    <s v="Yoshi"/>
    <s v="Yoshi, Tannamuri"/>
    <s v="Small"/>
  </r>
  <r>
    <n v="10324"/>
    <n v="34"/>
    <n v="100"/>
    <n v="3400"/>
    <n v="3400"/>
    <n v="5"/>
    <s v="11/5/2004 0:00"/>
    <x v="0"/>
    <x v="3"/>
    <x v="5"/>
    <x v="1"/>
    <x v="1"/>
    <n v="101"/>
    <s v="S700_2824"/>
    <x v="11"/>
    <s v="2125551500"/>
    <s v="2678 Kingston Rd."/>
    <s v="Suite 101"/>
    <s v="NYC"/>
    <s v="NY"/>
    <s v="10022"/>
    <x v="0"/>
    <s v="NA"/>
    <s v="Frick"/>
    <s v="Michael"/>
    <s v="Michael, Frick"/>
    <s v="Medium"/>
  </r>
  <r>
    <n v="10336"/>
    <n v="46"/>
    <n v="100"/>
    <n v="4600"/>
    <n v="4600"/>
    <n v="2"/>
    <s v="11/20/2004 0:00"/>
    <x v="0"/>
    <x v="3"/>
    <x v="5"/>
    <x v="1"/>
    <x v="1"/>
    <n v="101"/>
    <s v="S700_2824"/>
    <x v="62"/>
    <s v="(1) 42.34.2555"/>
    <s v="265, boulevard Charonne"/>
    <s v=""/>
    <s v="Paris"/>
    <s v=""/>
    <s v="75012"/>
    <x v="1"/>
    <s v="EMEA"/>
    <s v="Bertrand"/>
    <s v="Marie"/>
    <s v="Marie, Bertrand"/>
    <s v="Large"/>
  </r>
  <r>
    <n v="10348"/>
    <n v="32"/>
    <n v="8283"/>
    <n v="265056"/>
    <n v="265056"/>
    <n v="7"/>
    <s v="11/1/2004 0:00"/>
    <x v="0"/>
    <x v="3"/>
    <x v="5"/>
    <x v="1"/>
    <x v="1"/>
    <n v="101"/>
    <s v="S700_2824"/>
    <x v="25"/>
    <s v="(91) 555 22 82"/>
    <s v="C/ Araquil, 67"/>
    <s v=""/>
    <s v="Madrid"/>
    <s v=""/>
    <s v="28023"/>
    <x v="7"/>
    <s v="EMEA"/>
    <s v="Sommer"/>
    <s v="Mart¡n"/>
    <s v="Mart¡n, Sommer"/>
    <s v="Small"/>
  </r>
  <r>
    <n v="10358"/>
    <n v="27"/>
    <n v="100"/>
    <n v="2700"/>
    <n v="2700"/>
    <n v="3"/>
    <s v="12/10/2004 0:00"/>
    <x v="0"/>
    <x v="3"/>
    <x v="6"/>
    <x v="1"/>
    <x v="1"/>
    <n v="101"/>
    <s v="S700_2824"/>
    <x v="23"/>
    <s v="(91) 555 94 44"/>
    <s v="C/ Moralzarzal, 86"/>
    <s v=""/>
    <s v="Madrid"/>
    <s v=""/>
    <s v="28034"/>
    <x v="7"/>
    <s v="EMEA"/>
    <s v="Freyre"/>
    <s v="Diego"/>
    <s v="Diego, Freyre"/>
    <s v="Medium"/>
  </r>
  <r>
    <n v="10371"/>
    <n v="34"/>
    <n v="100"/>
    <n v="3400"/>
    <n v="3400"/>
    <n v="3"/>
    <s v="1/23/2005 0:00"/>
    <x v="0"/>
    <x v="0"/>
    <x v="7"/>
    <x v="2"/>
    <x v="1"/>
    <n v="101"/>
    <s v="S700_2824"/>
    <x v="39"/>
    <s v="4155551450"/>
    <s v="5677 Strong St."/>
    <s v=""/>
    <s v="San Rafael"/>
    <s v="CA"/>
    <s v="97562"/>
    <x v="0"/>
    <s v="NA"/>
    <s v="Nelson"/>
    <s v="Valarie"/>
    <s v="Valarie, Nelson"/>
    <s v="Medium"/>
  </r>
  <r>
    <n v="10382"/>
    <n v="34"/>
    <n v="5484"/>
    <n v="186456"/>
    <n v="186456"/>
    <n v="9"/>
    <s v="2/17/2005 0:00"/>
    <x v="0"/>
    <x v="0"/>
    <x v="0"/>
    <x v="2"/>
    <x v="1"/>
    <n v="101"/>
    <s v="S700_2824"/>
    <x v="39"/>
    <s v="4155551450"/>
    <s v="5677 Strong St."/>
    <s v=""/>
    <s v="San Rafael"/>
    <s v="CA"/>
    <s v="97562"/>
    <x v="0"/>
    <s v="NA"/>
    <s v="Nelson"/>
    <s v="Valarie"/>
    <s v="Valarie, Nelson"/>
    <s v="Small"/>
  </r>
  <r>
    <n v="10411"/>
    <n v="34"/>
    <n v="100"/>
    <n v="3400"/>
    <n v="3400"/>
    <n v="4"/>
    <s v="5/1/2005 0:00"/>
    <x v="0"/>
    <x v="1"/>
    <x v="1"/>
    <x v="2"/>
    <x v="1"/>
    <n v="101"/>
    <s v="S700_2824"/>
    <x v="43"/>
    <s v="(514) 555-8054"/>
    <s v="43 rue St. Laurent"/>
    <s v=""/>
    <s v="Montreal"/>
    <s v="Quebec"/>
    <s v="H1J 1C3"/>
    <x v="10"/>
    <s v="NA"/>
    <s v="Fresnisre"/>
    <s v="Jean"/>
    <s v="Jean, Fresnisre"/>
    <s v="Medium"/>
  </r>
  <r>
    <n v="10424"/>
    <n v="46"/>
    <n v="8092"/>
    <n v="372232"/>
    <n v="0"/>
    <n v="1"/>
    <s v="5/31/2005 0:00"/>
    <x v="2"/>
    <x v="1"/>
    <x v="1"/>
    <x v="2"/>
    <x v="1"/>
    <n v="101"/>
    <s v="S700_2824"/>
    <x v="23"/>
    <s v="(91) 555 94 44"/>
    <s v="C/ Moralzarzal, 86"/>
    <s v=""/>
    <s v="Madrid"/>
    <s v=""/>
    <s v="28034"/>
    <x v="7"/>
    <s v="EMEA"/>
    <s v="Freyre"/>
    <s v="Diego"/>
    <s v="Diego, Freyre"/>
    <s v="Medium"/>
  </r>
  <r>
    <n v="10106"/>
    <n v="32"/>
    <n v="100"/>
    <n v="3200"/>
    <n v="3200"/>
    <n v="1"/>
    <s v="2/17/2003 0:00"/>
    <x v="0"/>
    <x v="0"/>
    <x v="0"/>
    <x v="0"/>
    <x v="4"/>
    <n v="118"/>
    <s v="S700_2834"/>
    <x v="86"/>
    <s v="035-640555"/>
    <s v="Via Ludovico il Moro 22"/>
    <s v=""/>
    <s v="Bergamo"/>
    <s v=""/>
    <s v="24100"/>
    <x v="12"/>
    <s v="EMEA"/>
    <s v="Rovelli"/>
    <s v="Giovanni"/>
    <s v="Giovanni, Rovelli"/>
    <s v="Medium"/>
  </r>
  <r>
    <n v="10120"/>
    <n v="24"/>
    <n v="100"/>
    <n v="2400"/>
    <n v="2400"/>
    <n v="7"/>
    <s v="4/29/2003 0:00"/>
    <x v="0"/>
    <x v="1"/>
    <x v="8"/>
    <x v="0"/>
    <x v="4"/>
    <n v="118"/>
    <s v="S700_2834"/>
    <x v="10"/>
    <s v="03 9520 4555"/>
    <s v="636 St Kilda Road"/>
    <s v="Level 3"/>
    <s v="Melbourne"/>
    <s v="Victoria"/>
    <s v="3004"/>
    <x v="3"/>
    <s v="APAC"/>
    <s v="Ferguson"/>
    <s v="Peter"/>
    <s v="Peter, Ferguson"/>
    <s v="Medium"/>
  </r>
  <r>
    <n v="10133"/>
    <n v="27"/>
    <n v="9967"/>
    <n v="269109"/>
    <n v="269109"/>
    <n v="2"/>
    <s v="6/27/2003 0:00"/>
    <x v="0"/>
    <x v="1"/>
    <x v="9"/>
    <x v="0"/>
    <x v="4"/>
    <n v="118"/>
    <s v="S700_2834"/>
    <x v="23"/>
    <s v="(91) 555 94 44"/>
    <s v="C/ Moralzarzal, 86"/>
    <s v=""/>
    <s v="Madrid"/>
    <s v=""/>
    <s v="28034"/>
    <x v="7"/>
    <s v="EMEA"/>
    <s v="Freyre"/>
    <s v="Diego"/>
    <s v="Diego, Freyre"/>
    <s v="Small"/>
  </r>
  <r>
    <n v="10145"/>
    <n v="20"/>
    <n v="100"/>
    <n v="2000"/>
    <n v="2000"/>
    <n v="13"/>
    <s v="8/25/2003 0:00"/>
    <x v="0"/>
    <x v="2"/>
    <x v="3"/>
    <x v="0"/>
    <x v="4"/>
    <n v="118"/>
    <s v="S700_2834"/>
    <x v="3"/>
    <s v="6265557265"/>
    <s v="78934 Hillside Dr."/>
    <s v=""/>
    <s v="Pasadena"/>
    <s v="CA"/>
    <s v="90003"/>
    <x v="0"/>
    <s v="NA"/>
    <s v="Young"/>
    <s v="Julie"/>
    <s v="Julie, Young"/>
    <s v="Small"/>
  </r>
  <r>
    <n v="10168"/>
    <n v="36"/>
    <n v="100"/>
    <n v="3600"/>
    <n v="3600"/>
    <n v="8"/>
    <s v="10/28/2003 0:00"/>
    <x v="0"/>
    <x v="3"/>
    <x v="4"/>
    <x v="0"/>
    <x v="4"/>
    <n v="118"/>
    <s v="S700_2834"/>
    <x v="5"/>
    <s v="6505556809"/>
    <s v="9408 Furth Circle"/>
    <s v=""/>
    <s v="Burlingame"/>
    <s v="CA"/>
    <s v="94217"/>
    <x v="0"/>
    <s v="NA"/>
    <s v="Hirano"/>
    <s v="Juri"/>
    <s v="Juri, Hirano"/>
    <s v="Medium"/>
  </r>
  <r>
    <n v="10188"/>
    <n v="29"/>
    <n v="100"/>
    <n v="2900"/>
    <n v="2900"/>
    <n v="8"/>
    <s v="11/18/2003 0:00"/>
    <x v="0"/>
    <x v="3"/>
    <x v="5"/>
    <x v="0"/>
    <x v="4"/>
    <n v="118"/>
    <s v="S700_2834"/>
    <x v="7"/>
    <s v="+47 2267 3215"/>
    <s v="Drammen 121, PR 744 Sentrum"/>
    <s v=""/>
    <s v="Bergen"/>
    <s v=""/>
    <s v="N 5804"/>
    <x v="2"/>
    <s v="EMEA"/>
    <s v="Oeztan"/>
    <s v="Veysel"/>
    <s v="Veysel, Oeztan"/>
    <s v="Medium"/>
  </r>
  <r>
    <n v="10210"/>
    <n v="25"/>
    <n v="100"/>
    <n v="2500"/>
    <n v="2500"/>
    <n v="6"/>
    <s v="1/12/2004 0:00"/>
    <x v="0"/>
    <x v="0"/>
    <x v="7"/>
    <x v="1"/>
    <x v="4"/>
    <n v="118"/>
    <s v="S700_2834"/>
    <x v="44"/>
    <s v="+81 06 6342 5555"/>
    <s v="Dojima Avanza 4F, 1-6-20 Dojima, Kita-ku"/>
    <s v=""/>
    <s v="Osaka"/>
    <s v="Osaka"/>
    <s v="530-0003"/>
    <x v="11"/>
    <s v="Japan"/>
    <s v="Kentary"/>
    <s v="Mory"/>
    <s v="Mory, Kentary"/>
    <s v="Small"/>
  </r>
  <r>
    <n v="10223"/>
    <n v="29"/>
    <n v="100"/>
    <n v="2900"/>
    <n v="2900"/>
    <n v="8"/>
    <s v="2/20/2004 0:00"/>
    <x v="0"/>
    <x v="0"/>
    <x v="0"/>
    <x v="1"/>
    <x v="4"/>
    <n v="118"/>
    <s v="S700_2834"/>
    <x v="10"/>
    <s v="03 9520 4555"/>
    <s v="636 St Kilda Road"/>
    <s v="Level 3"/>
    <s v="Melbourne"/>
    <s v="Victoria"/>
    <s v="3004"/>
    <x v="3"/>
    <s v="APAC"/>
    <s v="Ferguson"/>
    <s v="Peter"/>
    <s v="Peter, Ferguson"/>
    <s v="Medium"/>
  </r>
  <r>
    <n v="10235"/>
    <n v="25"/>
    <n v="9611"/>
    <n v="240275"/>
    <n v="240275"/>
    <n v="2"/>
    <s v="4/2/2004 0:00"/>
    <x v="0"/>
    <x v="1"/>
    <x v="8"/>
    <x v="1"/>
    <x v="4"/>
    <n v="118"/>
    <s v="S700_2834"/>
    <x v="57"/>
    <s v="(604) 555-4555"/>
    <s v="23 Tsawassen Blvd."/>
    <s v=""/>
    <s v="Tsawassen"/>
    <s v="BC"/>
    <s v="T2F 8M4"/>
    <x v="10"/>
    <s v="NA"/>
    <s v="Lincoln"/>
    <s v="Elizabeth"/>
    <s v="Elizabeth, Lincoln"/>
    <s v="Small"/>
  </r>
  <r>
    <n v="10250"/>
    <n v="44"/>
    <n v="100"/>
    <n v="4400"/>
    <n v="4400"/>
    <n v="3"/>
    <s v="5/11/2004 0:00"/>
    <x v="0"/>
    <x v="1"/>
    <x v="1"/>
    <x v="1"/>
    <x v="4"/>
    <n v="118"/>
    <s v="S700_2834"/>
    <x v="61"/>
    <s v="4085553659"/>
    <s v="3086 Ingle Ln."/>
    <s v=""/>
    <s v="San Jose"/>
    <s v="CA"/>
    <s v="94217"/>
    <x v="0"/>
    <s v="NA"/>
    <s v="Frick"/>
    <s v="Sue"/>
    <s v="Sue, Frick"/>
    <s v="Medium"/>
  </r>
  <r>
    <n v="10263"/>
    <n v="47"/>
    <n v="100"/>
    <n v="4700"/>
    <n v="4700"/>
    <n v="9"/>
    <s v="6/28/2004 0:00"/>
    <x v="0"/>
    <x v="1"/>
    <x v="9"/>
    <x v="1"/>
    <x v="4"/>
    <n v="118"/>
    <s v="S700_2834"/>
    <x v="13"/>
    <s v="2035552570"/>
    <s v="25593 South Bay Ln."/>
    <s v=""/>
    <s v="Bridgewater"/>
    <s v="CT"/>
    <s v="97562"/>
    <x v="0"/>
    <s v="NA"/>
    <s v="King"/>
    <s v="Julie"/>
    <s v="Julie, King"/>
    <s v="Medium"/>
  </r>
  <r>
    <n v="10275"/>
    <n v="48"/>
    <n v="100"/>
    <n v="4800"/>
    <n v="4800"/>
    <n v="8"/>
    <s v="7/23/2004 0:00"/>
    <x v="0"/>
    <x v="2"/>
    <x v="2"/>
    <x v="1"/>
    <x v="4"/>
    <n v="118"/>
    <s v="S700_2834"/>
    <x v="14"/>
    <s v="40.67.8555"/>
    <s v="67, rue des Cinquante Otages"/>
    <s v=""/>
    <s v="Nantes"/>
    <s v=""/>
    <s v="44000"/>
    <x v="1"/>
    <s v="EMEA"/>
    <s v="Labrune"/>
    <s v="Janine"/>
    <s v="Janine, Labrune"/>
    <s v="Medium"/>
  </r>
  <r>
    <n v="10285"/>
    <n v="45"/>
    <n v="100"/>
    <n v="4500"/>
    <n v="4500"/>
    <n v="13"/>
    <s v="8/27/2004 0:00"/>
    <x v="0"/>
    <x v="2"/>
    <x v="3"/>
    <x v="1"/>
    <x v="4"/>
    <n v="118"/>
    <s v="S700_2834"/>
    <x v="15"/>
    <s v="6175558555"/>
    <s v="39323 Spinnaker Dr."/>
    <s v=""/>
    <s v="Cambridge"/>
    <s v="MA"/>
    <s v="51247"/>
    <x v="0"/>
    <s v="NA"/>
    <s v="Hernandez"/>
    <s v="Marta"/>
    <s v="Marta, Hernandez"/>
    <s v="Medium"/>
  </r>
  <r>
    <n v="10297"/>
    <n v="35"/>
    <n v="100"/>
    <n v="3500"/>
    <n v="3500"/>
    <n v="3"/>
    <s v="9/16/2004 0:00"/>
    <x v="0"/>
    <x v="2"/>
    <x v="10"/>
    <x v="1"/>
    <x v="4"/>
    <n v="118"/>
    <s v="S700_2834"/>
    <x v="75"/>
    <s v="+353 1862 1555"/>
    <s v="25 Maiden Lane"/>
    <s v="Floor No. 4"/>
    <s v="Dublin"/>
    <s v=""/>
    <s v="2"/>
    <x v="18"/>
    <s v="EMEA"/>
    <s v="Cassidy"/>
    <s v="Dean"/>
    <s v="Dean, Cassidy"/>
    <s v="Medium"/>
  </r>
  <r>
    <n v="10308"/>
    <n v="31"/>
    <n v="100"/>
    <n v="3100"/>
    <n v="3100"/>
    <n v="6"/>
    <s v="10/15/2004 0:00"/>
    <x v="0"/>
    <x v="3"/>
    <x v="4"/>
    <x v="1"/>
    <x v="4"/>
    <n v="118"/>
    <s v="S700_2834"/>
    <x v="47"/>
    <s v="9145554562"/>
    <s v="3758 North Pendale Street"/>
    <s v=""/>
    <s v="White Plains"/>
    <s v="NY"/>
    <s v="24067"/>
    <x v="0"/>
    <s v="NA"/>
    <s v="Frick"/>
    <s v="Steve"/>
    <s v="Steve, Frick"/>
    <s v="Medium"/>
  </r>
  <r>
    <n v="10318"/>
    <n v="50"/>
    <n v="100"/>
    <n v="5000"/>
    <n v="5000"/>
    <n v="8"/>
    <s v="11/2/2004 0:00"/>
    <x v="0"/>
    <x v="3"/>
    <x v="5"/>
    <x v="1"/>
    <x v="4"/>
    <n v="118"/>
    <s v="S700_2834"/>
    <x v="18"/>
    <s v="2155551555"/>
    <s v="7586 Pompton St."/>
    <s v=""/>
    <s v="Allentown"/>
    <s v="PA"/>
    <s v="70267"/>
    <x v="0"/>
    <s v="NA"/>
    <s v="Yu"/>
    <s v="Kyung"/>
    <s v="Kyung, Yu"/>
    <s v="Large"/>
  </r>
  <r>
    <n v="10328"/>
    <n v="33"/>
    <n v="100"/>
    <n v="3300"/>
    <n v="3300"/>
    <n v="11"/>
    <s v="11/12/2004 0:00"/>
    <x v="0"/>
    <x v="3"/>
    <x v="5"/>
    <x v="1"/>
    <x v="4"/>
    <n v="118"/>
    <s v="S700_2834"/>
    <x v="86"/>
    <s v="035-640555"/>
    <s v="Via Ludovico il Moro 22"/>
    <s v=""/>
    <s v="Bergamo"/>
    <s v=""/>
    <s v="24100"/>
    <x v="12"/>
    <s v="EMEA"/>
    <s v="Rovelli"/>
    <s v="Giovanni"/>
    <s v="Giovanni, Rovelli"/>
    <s v="Medium"/>
  </r>
  <r>
    <n v="10340"/>
    <n v="29"/>
    <n v="100"/>
    <n v="2900"/>
    <n v="2900"/>
    <n v="6"/>
    <s v="11/24/2004 0:00"/>
    <x v="0"/>
    <x v="3"/>
    <x v="5"/>
    <x v="1"/>
    <x v="4"/>
    <n v="118"/>
    <s v="S700_2834"/>
    <x v="53"/>
    <s v="(93) 203 4555"/>
    <s v="Rambla de Catalu¤a, 23"/>
    <s v=""/>
    <s v="Barcelona"/>
    <s v=""/>
    <s v="8022"/>
    <x v="7"/>
    <s v="EMEA"/>
    <s v="Saavedra"/>
    <s v="Eduardo"/>
    <s v="Eduardo, Saavedra"/>
    <s v="Medium"/>
  </r>
  <r>
    <n v="10353"/>
    <n v="48"/>
    <n v="688"/>
    <n v="33024"/>
    <n v="33024"/>
    <n v="4"/>
    <s v="12/4/2004 0:00"/>
    <x v="0"/>
    <x v="3"/>
    <x v="6"/>
    <x v="1"/>
    <x v="4"/>
    <n v="118"/>
    <s v="S700_2834"/>
    <x v="88"/>
    <s v="2035554407"/>
    <s v="2440 Pompton St."/>
    <s v=""/>
    <s v="Glendale"/>
    <s v="CT"/>
    <s v="97561"/>
    <x v="0"/>
    <s v="NA"/>
    <s v="Lewis"/>
    <s v="Dan"/>
    <s v="Dan, Lewis"/>
    <s v="Medium"/>
  </r>
  <r>
    <n v="10361"/>
    <n v="44"/>
    <n v="7242"/>
    <n v="318648"/>
    <n v="318648"/>
    <n v="5"/>
    <s v="12/17/2004 0:00"/>
    <x v="0"/>
    <x v="3"/>
    <x v="6"/>
    <x v="1"/>
    <x v="4"/>
    <n v="118"/>
    <s v="S700_2834"/>
    <x v="20"/>
    <s v="+61 2 9495 8555"/>
    <s v="Monitor Money Building, 815 Pacific Hwy"/>
    <s v="Level 6"/>
    <s v="Chatswood"/>
    <s v="NSW"/>
    <s v="2067"/>
    <x v="3"/>
    <s v="APAC"/>
    <s v="Huxley"/>
    <s v="Adrian"/>
    <s v="Adrian, Huxley"/>
    <s v="Medium"/>
  </r>
  <r>
    <n v="10375"/>
    <n v="25"/>
    <n v="6673"/>
    <n v="166825"/>
    <n v="166825"/>
    <n v="10"/>
    <s v="2/3/2005 0:00"/>
    <x v="0"/>
    <x v="0"/>
    <x v="0"/>
    <x v="2"/>
    <x v="4"/>
    <n v="118"/>
    <s v="S700_2834"/>
    <x v="14"/>
    <s v="40.67.8555"/>
    <s v="67, rue des Cinquante Otages"/>
    <s v=""/>
    <s v="Nantes"/>
    <s v=""/>
    <s v="44000"/>
    <x v="1"/>
    <s v="EMEA"/>
    <s v="Labrune"/>
    <s v="Janine"/>
    <s v="Janine, Labrune"/>
    <s v="Small"/>
  </r>
  <r>
    <n v="10388"/>
    <n v="50"/>
    <n v="100"/>
    <n v="5000"/>
    <n v="5000"/>
    <n v="3"/>
    <s v="3/3/2005 0:00"/>
    <x v="0"/>
    <x v="0"/>
    <x v="11"/>
    <x v="2"/>
    <x v="4"/>
    <n v="118"/>
    <s v="S700_2834"/>
    <x v="21"/>
    <s v="5085552555"/>
    <s v="1785 First Street"/>
    <s v=""/>
    <s v="New Bedford"/>
    <s v="MA"/>
    <s v="50553"/>
    <x v="0"/>
    <s v="NA"/>
    <s v="Benitez"/>
    <s v="Violeta"/>
    <s v="Violeta, Benitez"/>
    <s v="Large"/>
  </r>
  <r>
    <n v="10398"/>
    <n v="23"/>
    <n v="100"/>
    <n v="2300"/>
    <n v="2300"/>
    <n v="9"/>
    <s v="3/30/2005 0:00"/>
    <x v="0"/>
    <x v="0"/>
    <x v="11"/>
    <x v="2"/>
    <x v="4"/>
    <n v="118"/>
    <s v="S700_2834"/>
    <x v="1"/>
    <s v="26.47.1555"/>
    <s v="59 rue de l'Abbaye"/>
    <s v=""/>
    <s v="Reims"/>
    <s v=""/>
    <s v="51100"/>
    <x v="1"/>
    <s v="EMEA"/>
    <s v="Henriot"/>
    <s v="Paul"/>
    <s v="Paul, Henriot"/>
    <s v="Small"/>
  </r>
  <r>
    <n v="10401"/>
    <n v="21"/>
    <n v="9611"/>
    <n v="201831"/>
    <n v="0"/>
    <n v="2"/>
    <s v="4/3/2005 0:00"/>
    <x v="4"/>
    <x v="1"/>
    <x v="8"/>
    <x v="2"/>
    <x v="4"/>
    <n v="118"/>
    <s v="S700_2834"/>
    <x v="12"/>
    <s v="2015559350"/>
    <s v="7476 Moss Rd."/>
    <s v=""/>
    <s v="Newark"/>
    <s v="NJ"/>
    <s v="94019"/>
    <x v="0"/>
    <s v="NA"/>
    <s v="Brown"/>
    <s v="William"/>
    <s v="William, Brown"/>
    <s v="Small"/>
  </r>
  <r>
    <n v="10416"/>
    <n v="41"/>
    <n v="100"/>
    <n v="4100"/>
    <n v="4100"/>
    <n v="3"/>
    <s v="5/10/2005 0:00"/>
    <x v="0"/>
    <x v="1"/>
    <x v="1"/>
    <x v="2"/>
    <x v="4"/>
    <n v="118"/>
    <s v="S700_2834"/>
    <x v="70"/>
    <s v="0522-556555"/>
    <s v="Strada Provinciale 124"/>
    <s v=""/>
    <s v="Reggio Emilia"/>
    <s v=""/>
    <s v="42100"/>
    <x v="12"/>
    <s v="EMEA"/>
    <s v="Moroni"/>
    <s v="Maurizio"/>
    <s v="Maurizio, Moroni"/>
    <s v="Medium"/>
  </r>
  <r>
    <n v="10106"/>
    <n v="44"/>
    <n v="744"/>
    <n v="32736"/>
    <n v="32736"/>
    <n v="8"/>
    <s v="2/17/2003 0:00"/>
    <x v="0"/>
    <x v="0"/>
    <x v="0"/>
    <x v="0"/>
    <x v="4"/>
    <n v="80"/>
    <s v="S700_3167"/>
    <x v="86"/>
    <s v="035-640555"/>
    <s v="Via Ludovico il Moro 22"/>
    <s v=""/>
    <s v="Bergamo"/>
    <s v=""/>
    <s v="24100"/>
    <x v="12"/>
    <s v="EMEA"/>
    <s v="Rovelli"/>
    <s v="Giovanni"/>
    <s v="Giovanni, Rovelli"/>
    <s v="Medium"/>
  </r>
  <r>
    <n v="10120"/>
    <n v="43"/>
    <n v="76"/>
    <n v="3268"/>
    <n v="3268"/>
    <n v="14"/>
    <s v="4/29/2003 0:00"/>
    <x v="0"/>
    <x v="1"/>
    <x v="8"/>
    <x v="0"/>
    <x v="4"/>
    <n v="80"/>
    <s v="S700_3167"/>
    <x v="10"/>
    <s v="03 9520 4555"/>
    <s v="636 St Kilda Road"/>
    <s v="Level 3"/>
    <s v="Melbourne"/>
    <s v="Victoria"/>
    <s v="3004"/>
    <x v="3"/>
    <s v="APAC"/>
    <s v="Ferguson"/>
    <s v="Peter"/>
    <s v="Peter, Ferguson"/>
    <s v="Medium"/>
  </r>
  <r>
    <n v="10143"/>
    <n v="28"/>
    <n v="96"/>
    <n v="2688"/>
    <n v="2688"/>
    <n v="3"/>
    <s v="8/10/2003 0:00"/>
    <x v="0"/>
    <x v="2"/>
    <x v="3"/>
    <x v="0"/>
    <x v="4"/>
    <n v="80"/>
    <s v="S700_3167"/>
    <x v="50"/>
    <s v="5085559555"/>
    <s v="4575 Hillside Dr."/>
    <s v=""/>
    <s v="New Bedford"/>
    <s v="MA"/>
    <s v="50553"/>
    <x v="0"/>
    <s v="NA"/>
    <s v="Tam"/>
    <s v="Wing C"/>
    <s v="Wing C, Tam"/>
    <s v="Small"/>
  </r>
  <r>
    <n v="10155"/>
    <n v="43"/>
    <n v="864"/>
    <n v="37152"/>
    <n v="37152"/>
    <n v="1"/>
    <s v="10/6/2003 0:00"/>
    <x v="0"/>
    <x v="3"/>
    <x v="4"/>
    <x v="0"/>
    <x v="4"/>
    <n v="80"/>
    <s v="S700_3167"/>
    <x v="16"/>
    <s v="90-224 8555"/>
    <s v="Keskuskatu 45"/>
    <s v=""/>
    <s v="Helsinki"/>
    <s v=""/>
    <s v="21240"/>
    <x v="4"/>
    <s v="EMEA"/>
    <s v="Karttunen"/>
    <s v="Matti"/>
    <s v="Matti, Karttunen"/>
    <s v="Medium"/>
  </r>
  <r>
    <n v="10168"/>
    <n v="48"/>
    <n v="96"/>
    <n v="4608"/>
    <n v="4608"/>
    <n v="15"/>
    <s v="10/28/2003 0:00"/>
    <x v="0"/>
    <x v="3"/>
    <x v="4"/>
    <x v="0"/>
    <x v="4"/>
    <n v="80"/>
    <s v="S700_3167"/>
    <x v="5"/>
    <s v="6505556809"/>
    <s v="9408 Furth Circle"/>
    <s v=""/>
    <s v="Burlingame"/>
    <s v="CA"/>
    <s v="94217"/>
    <x v="0"/>
    <s v="NA"/>
    <s v="Hirano"/>
    <s v="Juri"/>
    <s v="Juri, Hirano"/>
    <s v="Medium"/>
  </r>
  <r>
    <n v="10199"/>
    <n v="38"/>
    <n v="824"/>
    <n v="31312"/>
    <n v="31312"/>
    <n v="3"/>
    <s v="12/1/2003 0:00"/>
    <x v="0"/>
    <x v="3"/>
    <x v="6"/>
    <x v="0"/>
    <x v="4"/>
    <n v="80"/>
    <s v="S700_3167"/>
    <x v="32"/>
    <s v="3105553722"/>
    <s v="3675 Furth Circle"/>
    <s v=""/>
    <s v="Burbank"/>
    <s v="CA"/>
    <s v="94019"/>
    <x v="0"/>
    <s v="NA"/>
    <s v="Thompson"/>
    <s v="Steve"/>
    <s v="Steve, Thompson"/>
    <s v="Medium"/>
  </r>
  <r>
    <n v="10210"/>
    <n v="31"/>
    <n v="864"/>
    <n v="26784"/>
    <n v="26784"/>
    <n v="13"/>
    <s v="1/12/2004 0:00"/>
    <x v="0"/>
    <x v="0"/>
    <x v="7"/>
    <x v="1"/>
    <x v="4"/>
    <n v="80"/>
    <s v="S700_3167"/>
    <x v="44"/>
    <s v="+81 06 6342 5555"/>
    <s v="Dojima Avanza 4F, 1-6-20 Dojima, Kita-ku"/>
    <s v=""/>
    <s v="Osaka"/>
    <s v="Osaka"/>
    <s v="530-0003"/>
    <x v="11"/>
    <s v="Japan"/>
    <s v="Kentary"/>
    <s v="Mory"/>
    <s v="Mory, Kentary"/>
    <s v="Small"/>
  </r>
  <r>
    <n v="10223"/>
    <n v="26"/>
    <n v="672"/>
    <n v="17472"/>
    <n v="17472"/>
    <n v="15"/>
    <s v="2/20/2004 0:00"/>
    <x v="0"/>
    <x v="0"/>
    <x v="0"/>
    <x v="1"/>
    <x v="4"/>
    <n v="80"/>
    <s v="S700_3167"/>
    <x v="10"/>
    <s v="03 9520 4555"/>
    <s v="636 St Kilda Road"/>
    <s v="Level 3"/>
    <s v="Melbourne"/>
    <s v="Victoria"/>
    <s v="3004"/>
    <x v="3"/>
    <s v="APAC"/>
    <s v="Ferguson"/>
    <s v="Peter"/>
    <s v="Peter, Ferguson"/>
    <s v="Small"/>
  </r>
  <r>
    <n v="10235"/>
    <n v="32"/>
    <n v="92"/>
    <n v="2944"/>
    <n v="2944"/>
    <n v="9"/>
    <s v="4/2/2004 0:00"/>
    <x v="0"/>
    <x v="1"/>
    <x v="8"/>
    <x v="1"/>
    <x v="4"/>
    <n v="80"/>
    <s v="S700_3167"/>
    <x v="57"/>
    <s v="(604) 555-4555"/>
    <s v="23 Tsawassen Blvd."/>
    <s v=""/>
    <s v="Tsawassen"/>
    <s v="BC"/>
    <s v="T2F 8M4"/>
    <x v="10"/>
    <s v="NA"/>
    <s v="Lincoln"/>
    <s v="Elizabeth"/>
    <s v="Elizabeth, Lincoln"/>
    <s v="Small"/>
  </r>
  <r>
    <n v="10250"/>
    <n v="44"/>
    <n v="672"/>
    <n v="29568"/>
    <n v="29568"/>
    <n v="10"/>
    <s v="5/11/2004 0:00"/>
    <x v="0"/>
    <x v="1"/>
    <x v="1"/>
    <x v="1"/>
    <x v="4"/>
    <n v="80"/>
    <s v="S700_3167"/>
    <x v="61"/>
    <s v="4085553659"/>
    <s v="3086 Ingle Ln."/>
    <s v=""/>
    <s v="San Jose"/>
    <s v="CA"/>
    <s v="94217"/>
    <x v="0"/>
    <s v="NA"/>
    <s v="Frick"/>
    <s v="Sue"/>
    <s v="Sue, Frick"/>
    <s v="Small"/>
  </r>
  <r>
    <n v="10262"/>
    <n v="27"/>
    <n v="76"/>
    <n v="2052"/>
    <n v="0"/>
    <n v="5"/>
    <s v="6/24/2004 0:00"/>
    <x v="3"/>
    <x v="1"/>
    <x v="9"/>
    <x v="1"/>
    <x v="4"/>
    <n v="80"/>
    <s v="S700_3167"/>
    <x v="23"/>
    <s v="(91) 555 94 44"/>
    <s v="C/ Moralzarzal, 86"/>
    <s v=""/>
    <s v="Madrid"/>
    <s v=""/>
    <s v="28034"/>
    <x v="7"/>
    <s v="EMEA"/>
    <s v="Freyre"/>
    <s v="Diego"/>
    <s v="Diego, Freyre"/>
    <s v="Small"/>
  </r>
  <r>
    <n v="10275"/>
    <n v="43"/>
    <n v="736"/>
    <n v="31648"/>
    <n v="31648"/>
    <n v="15"/>
    <s v="7/23/2004 0:00"/>
    <x v="0"/>
    <x v="2"/>
    <x v="2"/>
    <x v="1"/>
    <x v="4"/>
    <n v="80"/>
    <s v="S700_3167"/>
    <x v="14"/>
    <s v="40.67.8555"/>
    <s v="67, rue des Cinquante Otages"/>
    <s v=""/>
    <s v="Nantes"/>
    <s v=""/>
    <s v="44000"/>
    <x v="1"/>
    <s v="EMEA"/>
    <s v="Labrune"/>
    <s v="Janine"/>
    <s v="Janine, Labrune"/>
    <s v="Medium"/>
  </r>
  <r>
    <n v="10284"/>
    <n v="25"/>
    <n v="696"/>
    <n v="17400"/>
    <n v="17400"/>
    <n v="7"/>
    <s v="8/21/2004 0:00"/>
    <x v="0"/>
    <x v="2"/>
    <x v="3"/>
    <x v="1"/>
    <x v="4"/>
    <n v="80"/>
    <s v="S700_3167"/>
    <x v="85"/>
    <s v="+47 2212 1555"/>
    <s v="Drammensveien 126 A, PB 744 Sentrum"/>
    <s v=""/>
    <s v="Oslo"/>
    <s v=""/>
    <s v="N 0106"/>
    <x v="2"/>
    <s v="EMEA"/>
    <s v="Klaeboe"/>
    <s v="Jan"/>
    <s v="Jan, Klaeboe"/>
    <s v="Small"/>
  </r>
  <r>
    <n v="10296"/>
    <n v="22"/>
    <n v="808"/>
    <n v="17776"/>
    <n v="17776"/>
    <n v="3"/>
    <s v="9/15/2004 0:00"/>
    <x v="0"/>
    <x v="2"/>
    <x v="10"/>
    <x v="1"/>
    <x v="4"/>
    <n v="80"/>
    <s v="S700_3167"/>
    <x v="89"/>
    <s v="+49 89 61 08 9555"/>
    <s v="Hansastr. 15"/>
    <s v=""/>
    <s v="Munich"/>
    <s v=""/>
    <s v="80686"/>
    <x v="16"/>
    <s v="EMEA"/>
    <s v="Donnermeyer"/>
    <s v="Michael"/>
    <s v="Michael, Donnermeyer"/>
    <s v="Small"/>
  </r>
  <r>
    <n v="10308"/>
    <n v="21"/>
    <n v="872"/>
    <n v="18312"/>
    <n v="18312"/>
    <n v="13"/>
    <s v="10/15/2004 0:00"/>
    <x v="0"/>
    <x v="3"/>
    <x v="4"/>
    <x v="1"/>
    <x v="4"/>
    <n v="80"/>
    <s v="S700_3167"/>
    <x v="47"/>
    <s v="9145554562"/>
    <s v="3758 North Pendale Street"/>
    <s v=""/>
    <s v="White Plains"/>
    <s v="NY"/>
    <s v="24067"/>
    <x v="0"/>
    <s v="NA"/>
    <s v="Frick"/>
    <s v="Steve"/>
    <s v="Steve, Frick"/>
    <s v="Small"/>
  </r>
  <r>
    <n v="10316"/>
    <n v="48"/>
    <n v="752"/>
    <n v="36096"/>
    <n v="36096"/>
    <n v="5"/>
    <s v="11/1/2004 0:00"/>
    <x v="0"/>
    <x v="3"/>
    <x v="5"/>
    <x v="1"/>
    <x v="4"/>
    <n v="80"/>
    <s v="S700_3167"/>
    <x v="59"/>
    <s v="(198) 555-8888"/>
    <s v="Garden House Crowther Way"/>
    <s v=""/>
    <s v="Cowes"/>
    <s v="Isle of Wight"/>
    <s v="PO31 7PJ"/>
    <x v="6"/>
    <s v="EMEA"/>
    <s v="Bennett"/>
    <s v="Helen"/>
    <s v="Helen, Bennett"/>
    <s v="Medium"/>
  </r>
  <r>
    <n v="10328"/>
    <n v="33"/>
    <n v="64"/>
    <n v="2112"/>
    <n v="2112"/>
    <n v="13"/>
    <s v="11/12/2004 0:00"/>
    <x v="0"/>
    <x v="3"/>
    <x v="5"/>
    <x v="1"/>
    <x v="4"/>
    <n v="80"/>
    <s v="S700_3167"/>
    <x v="86"/>
    <s v="035-640555"/>
    <s v="Via Ludovico il Moro 22"/>
    <s v=""/>
    <s v="Bergamo"/>
    <s v=""/>
    <s v="24100"/>
    <x v="12"/>
    <s v="EMEA"/>
    <s v="Rovelli"/>
    <s v="Giovanni"/>
    <s v="Giovanni, Rovelli"/>
    <s v="Small"/>
  </r>
  <r>
    <n v="10341"/>
    <n v="34"/>
    <n v="100"/>
    <n v="3400"/>
    <n v="3400"/>
    <n v="5"/>
    <s v="11/24/2004 0:00"/>
    <x v="0"/>
    <x v="3"/>
    <x v="5"/>
    <x v="1"/>
    <x v="4"/>
    <n v="80"/>
    <s v="S700_3167"/>
    <x v="19"/>
    <s v="6562-9555"/>
    <s v="Geislweg 14"/>
    <s v=""/>
    <s v="Salzburg"/>
    <s v=""/>
    <s v="5020"/>
    <x v="5"/>
    <s v="EMEA"/>
    <s v="Pipps"/>
    <s v="Georg"/>
    <s v="Georg, Pipps"/>
    <s v="Medium"/>
  </r>
  <r>
    <n v="10353"/>
    <n v="43"/>
    <n v="8195"/>
    <n v="352385"/>
    <n v="352385"/>
    <n v="6"/>
    <s v="12/4/2004 0:00"/>
    <x v="0"/>
    <x v="3"/>
    <x v="6"/>
    <x v="1"/>
    <x v="4"/>
    <n v="80"/>
    <s v="S700_3167"/>
    <x v="88"/>
    <s v="2035554407"/>
    <s v="2440 Pompton St."/>
    <s v=""/>
    <s v="Glendale"/>
    <s v="CT"/>
    <s v="97561"/>
    <x v="0"/>
    <s v="NA"/>
    <s v="Lewis"/>
    <s v="Dan"/>
    <s v="Dan, Lewis"/>
    <s v="Medium"/>
  </r>
  <r>
    <n v="10361"/>
    <n v="44"/>
    <n v="100"/>
    <n v="4400"/>
    <n v="4400"/>
    <n v="10"/>
    <s v="12/17/2004 0:00"/>
    <x v="0"/>
    <x v="3"/>
    <x v="6"/>
    <x v="1"/>
    <x v="4"/>
    <n v="80"/>
    <s v="S700_3167"/>
    <x v="20"/>
    <s v="+61 2 9495 8555"/>
    <s v="Monitor Money Building, 815 Pacific Hwy"/>
    <s v="Level 6"/>
    <s v="Chatswood"/>
    <s v="NSW"/>
    <s v="2067"/>
    <x v="3"/>
    <s v="APAC"/>
    <s v="Huxley"/>
    <s v="Adrian"/>
    <s v="Adrian, Huxley"/>
    <s v="Medium"/>
  </r>
  <r>
    <n v="10375"/>
    <n v="44"/>
    <n v="100"/>
    <n v="4400"/>
    <n v="4400"/>
    <n v="11"/>
    <s v="2/3/2005 0:00"/>
    <x v="0"/>
    <x v="0"/>
    <x v="0"/>
    <x v="2"/>
    <x v="4"/>
    <n v="80"/>
    <s v="S700_3167"/>
    <x v="14"/>
    <s v="40.67.8555"/>
    <s v="67, rue des Cinquante Otages"/>
    <s v=""/>
    <s v="Nantes"/>
    <s v=""/>
    <s v="44000"/>
    <x v="1"/>
    <s v="EMEA"/>
    <s v="Labrune"/>
    <s v="Janine"/>
    <s v="Janine, Labrune"/>
    <s v="Medium"/>
  </r>
  <r>
    <n v="10386"/>
    <n v="32"/>
    <n v="9434"/>
    <n v="301888"/>
    <n v="301888"/>
    <n v="17"/>
    <s v="3/1/2005 0:00"/>
    <x v="5"/>
    <x v="0"/>
    <x v="11"/>
    <x v="2"/>
    <x v="4"/>
    <n v="80"/>
    <s v="S700_3167"/>
    <x v="23"/>
    <s v="(91) 555 94 44"/>
    <s v="C/ Moralzarzal, 86"/>
    <s v=""/>
    <s v="Madrid"/>
    <s v=""/>
    <s v="28034"/>
    <x v="7"/>
    <s v="EMEA"/>
    <s v="Freyre"/>
    <s v="Diego"/>
    <s v="Diego, Freyre"/>
    <s v="Medium"/>
  </r>
  <r>
    <n v="10398"/>
    <n v="29"/>
    <n v="656"/>
    <n v="19024"/>
    <n v="19024"/>
    <n v="10"/>
    <s v="3/30/2005 0:00"/>
    <x v="0"/>
    <x v="0"/>
    <x v="11"/>
    <x v="2"/>
    <x v="4"/>
    <n v="80"/>
    <s v="S700_3167"/>
    <x v="1"/>
    <s v="26.47.1555"/>
    <s v="59 rue de l'Abbaye"/>
    <s v=""/>
    <s v="Reims"/>
    <s v=""/>
    <s v="51100"/>
    <x v="1"/>
    <s v="EMEA"/>
    <s v="Henriot"/>
    <s v="Paul"/>
    <s v="Paul, Henriot"/>
    <s v="Small"/>
  </r>
  <r>
    <n v="10401"/>
    <n v="77"/>
    <n v="92"/>
    <n v="7084"/>
    <n v="0"/>
    <n v="9"/>
    <s v="4/3/2005 0:00"/>
    <x v="4"/>
    <x v="1"/>
    <x v="8"/>
    <x v="2"/>
    <x v="4"/>
    <n v="80"/>
    <s v="S700_3167"/>
    <x v="12"/>
    <s v="2015559350"/>
    <s v="7476 Moss Rd."/>
    <s v=""/>
    <s v="Newark"/>
    <s v="NJ"/>
    <s v="94019"/>
    <x v="0"/>
    <s v="NA"/>
    <s v="Brown"/>
    <s v="William"/>
    <s v="William, Brown"/>
    <s v="Large"/>
  </r>
  <r>
    <n v="10416"/>
    <n v="39"/>
    <n v="672"/>
    <n v="26208"/>
    <n v="26208"/>
    <n v="10"/>
    <s v="5/10/2005 0:00"/>
    <x v="0"/>
    <x v="1"/>
    <x v="1"/>
    <x v="2"/>
    <x v="4"/>
    <n v="80"/>
    <s v="S700_3167"/>
    <x v="70"/>
    <s v="0522-556555"/>
    <s v="Strada Provinciale 124"/>
    <s v=""/>
    <s v="Reggio Emilia"/>
    <s v=""/>
    <s v="42100"/>
    <x v="12"/>
    <s v="EMEA"/>
    <s v="Moroni"/>
    <s v="Maurizio"/>
    <s v="Maurizio, Moroni"/>
    <s v="Small"/>
  </r>
  <r>
    <n v="10105"/>
    <n v="39"/>
    <n v="8114"/>
    <n v="316446"/>
    <n v="316446"/>
    <n v="6"/>
    <s v="2/11/2003 0:00"/>
    <x v="0"/>
    <x v="0"/>
    <x v="0"/>
    <x v="0"/>
    <x v="5"/>
    <n v="100"/>
    <s v="S700_3505"/>
    <x v="48"/>
    <s v="31 12 3555"/>
    <s v="Vinb'ltet 34"/>
    <s v=""/>
    <s v="Kobenhavn"/>
    <s v=""/>
    <s v="1734"/>
    <x v="13"/>
    <s v="EMEA"/>
    <s v="Petersen"/>
    <s v="Jytte"/>
    <s v="Jytte, Petersen"/>
    <s v="Medium"/>
  </r>
  <r>
    <n v="10118"/>
    <n v="36"/>
    <n v="100"/>
    <n v="3600"/>
    <n v="3600"/>
    <n v="1"/>
    <s v="4/21/2003 0:00"/>
    <x v="0"/>
    <x v="1"/>
    <x v="8"/>
    <x v="0"/>
    <x v="5"/>
    <n v="100"/>
    <s v="S700_3505"/>
    <x v="53"/>
    <s v="(93) 203 4555"/>
    <s v="Rambla de Catalu¤a, 23"/>
    <s v=""/>
    <s v="Barcelona"/>
    <s v=""/>
    <s v="8022"/>
    <x v="7"/>
    <s v="EMEA"/>
    <s v="Saavedra"/>
    <s v="Eduardo"/>
    <s v="Eduardo, Saavedra"/>
    <s v="Medium"/>
  </r>
  <r>
    <n v="10129"/>
    <n v="42"/>
    <n v="9115"/>
    <n v="382830"/>
    <n v="382830"/>
    <n v="6"/>
    <s v="6/12/2003 0:00"/>
    <x v="0"/>
    <x v="1"/>
    <x v="9"/>
    <x v="0"/>
    <x v="5"/>
    <n v="100"/>
    <s v="S700_3505"/>
    <x v="49"/>
    <s v="(171) 555-0297"/>
    <s v="35 King George"/>
    <s v=""/>
    <s v="London"/>
    <s v=""/>
    <s v="WX3 6FW"/>
    <x v="6"/>
    <s v="EMEA"/>
    <s v="Brown"/>
    <s v="Ann"/>
    <s v="Ann, Brown"/>
    <s v="Medium"/>
  </r>
  <r>
    <n v="10142"/>
    <n v="21"/>
    <n v="100"/>
    <n v="2100"/>
    <n v="2100"/>
    <n v="3"/>
    <s v="8/8/2003 0:00"/>
    <x v="0"/>
    <x v="2"/>
    <x v="3"/>
    <x v="0"/>
    <x v="5"/>
    <n v="100"/>
    <s v="S700_3505"/>
    <x v="39"/>
    <s v="4155551450"/>
    <s v="5677 Strong St."/>
    <s v=""/>
    <s v="San Rafael"/>
    <s v="CA"/>
    <s v="97562"/>
    <x v="0"/>
    <s v="NA"/>
    <s v="Nelson"/>
    <s v="Valarie"/>
    <s v="Valarie, Nelson"/>
    <s v="Small"/>
  </r>
  <r>
    <n v="10153"/>
    <n v="50"/>
    <n v="8815"/>
    <n v="440750"/>
    <n v="440750"/>
    <n v="2"/>
    <s v="9/28/2003 0:00"/>
    <x v="0"/>
    <x v="2"/>
    <x v="10"/>
    <x v="0"/>
    <x v="5"/>
    <n v="100"/>
    <s v="S700_3505"/>
    <x v="23"/>
    <s v="(91) 555 94 44"/>
    <s v="C/ Moralzarzal, 86"/>
    <s v=""/>
    <s v="Madrid"/>
    <s v=""/>
    <s v="28034"/>
    <x v="7"/>
    <s v="EMEA"/>
    <s v="Freyre"/>
    <s v="Diego"/>
    <s v="Diego, Freyre"/>
    <s v="Medium"/>
  </r>
  <r>
    <n v="10167"/>
    <n v="24"/>
    <n v="100"/>
    <n v="2400"/>
    <n v="0"/>
    <n v="13"/>
    <s v="10/23/2003 0:00"/>
    <x v="3"/>
    <x v="3"/>
    <x v="4"/>
    <x v="0"/>
    <x v="5"/>
    <n v="100"/>
    <s v="S700_3505"/>
    <x v="37"/>
    <s v="0695-34 6555"/>
    <s v="?kergatan 24"/>
    <s v=""/>
    <s v="Boras"/>
    <s v=""/>
    <s v="S-844 67"/>
    <x v="8"/>
    <s v="EMEA"/>
    <s v="Larsson"/>
    <s v="Maria"/>
    <s v="Maria, Larsson"/>
    <s v="Small"/>
  </r>
  <r>
    <n v="10177"/>
    <n v="44"/>
    <n v="9216"/>
    <n v="405504"/>
    <n v="405504"/>
    <n v="4"/>
    <s v="11/7/2003 0:00"/>
    <x v="0"/>
    <x v="3"/>
    <x v="5"/>
    <x v="0"/>
    <x v="5"/>
    <n v="100"/>
    <s v="S700_3505"/>
    <x v="76"/>
    <s v="+34 913 728 555"/>
    <s v="Merchants House, 27-30 Merchant's Quay"/>
    <s v=""/>
    <s v="Madrid"/>
    <s v=""/>
    <s v="28023"/>
    <x v="7"/>
    <s v="EMEA"/>
    <s v="Fernandez"/>
    <s v="Jesus"/>
    <s v="Jesus, Fernandez"/>
    <s v="Medium"/>
  </r>
  <r>
    <n v="10185"/>
    <n v="37"/>
    <n v="100"/>
    <n v="3700"/>
    <n v="3700"/>
    <n v="4"/>
    <s v="11/14/2003 0:00"/>
    <x v="0"/>
    <x v="3"/>
    <x v="5"/>
    <x v="0"/>
    <x v="5"/>
    <n v="100"/>
    <s v="S700_3505"/>
    <x v="50"/>
    <s v="5085559555"/>
    <s v="4575 Hillside Dr."/>
    <s v=""/>
    <s v="New Bedford"/>
    <s v="MA"/>
    <s v="50553"/>
    <x v="0"/>
    <s v="NA"/>
    <s v="Tam"/>
    <s v="Wing C"/>
    <s v="Wing C, Tam"/>
    <s v="Medium"/>
  </r>
  <r>
    <n v="10197"/>
    <n v="27"/>
    <n v="9216"/>
    <n v="248832"/>
    <n v="248832"/>
    <n v="10"/>
    <s v="11/26/2003 0:00"/>
    <x v="0"/>
    <x v="3"/>
    <x v="5"/>
    <x v="0"/>
    <x v="5"/>
    <n v="100"/>
    <s v="S700_3505"/>
    <x v="53"/>
    <s v="(93) 203 4555"/>
    <s v="Rambla de Catalu¤a, 23"/>
    <s v=""/>
    <s v="Barcelona"/>
    <s v=""/>
    <s v="8022"/>
    <x v="7"/>
    <s v="EMEA"/>
    <s v="Saavedra"/>
    <s v="Eduardo"/>
    <s v="Eduardo, Saavedra"/>
    <s v="Small"/>
  </r>
  <r>
    <n v="10208"/>
    <n v="37"/>
    <n v="100"/>
    <n v="3700"/>
    <n v="3700"/>
    <n v="4"/>
    <s v="1/2/2004 0:00"/>
    <x v="0"/>
    <x v="0"/>
    <x v="7"/>
    <x v="1"/>
    <x v="5"/>
    <n v="100"/>
    <s v="S700_3505"/>
    <x v="30"/>
    <s v="78.32.5555"/>
    <s v="2, rue du Commerce"/>
    <s v=""/>
    <s v="Lyon"/>
    <s v=""/>
    <s v="69004"/>
    <x v="1"/>
    <s v="EMEA"/>
    <s v="Saveley"/>
    <s v="Mary"/>
    <s v="Mary, Saveley"/>
    <s v="Medium"/>
  </r>
  <r>
    <n v="10222"/>
    <n v="38"/>
    <n v="100"/>
    <n v="3800"/>
    <n v="3800"/>
    <n v="16"/>
    <s v="2/19/2004 0:00"/>
    <x v="0"/>
    <x v="0"/>
    <x v="0"/>
    <x v="1"/>
    <x v="5"/>
    <n v="100"/>
    <s v="S700_3505"/>
    <x v="55"/>
    <s v="7605558146"/>
    <s v="361 Furth Circle"/>
    <s v=""/>
    <s v="San Diego"/>
    <s v="CA"/>
    <s v="91217"/>
    <x v="0"/>
    <s v="NA"/>
    <s v="Thompson"/>
    <s v="Valarie"/>
    <s v="Valarie, Thompson"/>
    <s v="Medium"/>
  </r>
  <r>
    <n v="10232"/>
    <n v="48"/>
    <n v="9616"/>
    <n v="461568"/>
    <n v="461568"/>
    <n v="1"/>
    <s v="3/20/2004 0:00"/>
    <x v="0"/>
    <x v="0"/>
    <x v="11"/>
    <x v="1"/>
    <x v="5"/>
    <n v="100"/>
    <s v="S700_3505"/>
    <x v="59"/>
    <s v="(198) 555-8888"/>
    <s v="Garden House Crowther Way"/>
    <s v=""/>
    <s v="Cowes"/>
    <s v="Isle of Wight"/>
    <s v="PO31 7PJ"/>
    <x v="6"/>
    <s v="EMEA"/>
    <s v="Bennett"/>
    <s v="Helen"/>
    <s v="Helen, Bennett"/>
    <s v="Medium"/>
  </r>
  <r>
    <n v="10248"/>
    <n v="30"/>
    <n v="100"/>
    <n v="3000"/>
    <n v="0"/>
    <n v="7"/>
    <s v="5/7/2004 0:00"/>
    <x v="3"/>
    <x v="1"/>
    <x v="1"/>
    <x v="1"/>
    <x v="5"/>
    <n v="100"/>
    <s v="S700_3505"/>
    <x v="0"/>
    <s v="2125557818"/>
    <s v="897 Long Airport Avenue"/>
    <s v=""/>
    <s v="NYC"/>
    <s v="NY"/>
    <s v="10022"/>
    <x v="0"/>
    <s v="NA"/>
    <s v="Yu"/>
    <s v="Kwai"/>
    <s v="Kwai, Yu"/>
    <s v="Medium"/>
  </r>
  <r>
    <n v="10261"/>
    <n v="25"/>
    <n v="8815"/>
    <n v="220375"/>
    <n v="220375"/>
    <n v="5"/>
    <s v="6/17/2004 0:00"/>
    <x v="0"/>
    <x v="1"/>
    <x v="9"/>
    <x v="1"/>
    <x v="5"/>
    <n v="100"/>
    <s v="S700_3505"/>
    <x v="43"/>
    <s v="(514) 555-8054"/>
    <s v="43 rue St. Laurent"/>
    <s v=""/>
    <s v="Montreal"/>
    <s v="Quebec"/>
    <s v="H1J 1C3"/>
    <x v="10"/>
    <s v="NA"/>
    <s v="Fresnisre"/>
    <s v="Jean"/>
    <s v="Jean, Fresnisre"/>
    <s v="Small"/>
  </r>
  <r>
    <n v="10273"/>
    <n v="40"/>
    <n v="8615"/>
    <n v="344600"/>
    <n v="344600"/>
    <n v="8"/>
    <s v="7/21/2004 0:00"/>
    <x v="0"/>
    <x v="2"/>
    <x v="2"/>
    <x v="1"/>
    <x v="5"/>
    <n v="100"/>
    <s v="S700_3505"/>
    <x v="56"/>
    <s v="(02) 5554 67"/>
    <s v="Rue Joseph-Bens 532"/>
    <s v=""/>
    <s v="Bruxelles"/>
    <s v=""/>
    <s v="B-1180"/>
    <x v="14"/>
    <s v="EMEA"/>
    <s v="Dewey"/>
    <s v="Catherine"/>
    <s v="Catherine, Dewey"/>
    <s v="Medium"/>
  </r>
  <r>
    <n v="10283"/>
    <n v="22"/>
    <n v="8815"/>
    <n v="193930"/>
    <n v="193930"/>
    <n v="10"/>
    <s v="8/20/2004 0:00"/>
    <x v="0"/>
    <x v="2"/>
    <x v="3"/>
    <x v="1"/>
    <x v="5"/>
    <n v="100"/>
    <s v="S700_3505"/>
    <x v="57"/>
    <s v="(604) 555-4555"/>
    <s v="23 Tsawassen Blvd."/>
    <s v=""/>
    <s v="Tsawassen"/>
    <s v="BC"/>
    <s v="T2F 8M4"/>
    <x v="10"/>
    <s v="NA"/>
    <s v="Lincoln"/>
    <s v="Elizabeth"/>
    <s v="Elizabeth, Lincoln"/>
    <s v="Small"/>
  </r>
  <r>
    <n v="10295"/>
    <n v="34"/>
    <n v="100"/>
    <n v="3400"/>
    <n v="3400"/>
    <n v="5"/>
    <s v="9/10/2004 0:00"/>
    <x v="0"/>
    <x v="2"/>
    <x v="10"/>
    <x v="1"/>
    <x v="5"/>
    <n v="100"/>
    <s v="S700_3505"/>
    <x v="58"/>
    <s v="6175559555"/>
    <s v="8616 Spinnaker Dr."/>
    <s v=""/>
    <s v="Boston"/>
    <s v="MA"/>
    <s v="51003"/>
    <x v="0"/>
    <s v="NA"/>
    <s v="Yoshido"/>
    <s v="Juri"/>
    <s v="Juri, Yoshido"/>
    <s v="Medium"/>
  </r>
  <r>
    <n v="10306"/>
    <n v="32"/>
    <n v="9015"/>
    <n v="288480"/>
    <n v="288480"/>
    <n v="4"/>
    <s v="10/14/2004 0:00"/>
    <x v="0"/>
    <x v="3"/>
    <x v="4"/>
    <x v="1"/>
    <x v="5"/>
    <n v="100"/>
    <s v="S700_3505"/>
    <x v="77"/>
    <s v="(171) 555-1555"/>
    <s v="Fauntleroy Circus"/>
    <s v=""/>
    <s v="Manchester"/>
    <s v=""/>
    <s v="EC2 5NT"/>
    <x v="6"/>
    <s v="EMEA"/>
    <s v="Ashworth"/>
    <s v="Victoria"/>
    <s v="Victoria, Ashworth"/>
    <s v="Small"/>
  </r>
  <r>
    <n v="10315"/>
    <n v="31"/>
    <n v="8615"/>
    <n v="267065"/>
    <n v="267065"/>
    <n v="3"/>
    <s v="10/29/2004 0:00"/>
    <x v="0"/>
    <x v="3"/>
    <x v="4"/>
    <x v="1"/>
    <x v="5"/>
    <n v="100"/>
    <s v="S700_3505"/>
    <x v="14"/>
    <s v="40.67.8555"/>
    <s v="67, rue des Cinquante Otages"/>
    <s v=""/>
    <s v="Nantes"/>
    <s v=""/>
    <s v="44000"/>
    <x v="1"/>
    <s v="EMEA"/>
    <s v="Labrune"/>
    <s v="Janine"/>
    <s v="Janine, Labrune"/>
    <s v="Small"/>
  </r>
  <r>
    <n v="10327"/>
    <n v="43"/>
    <n v="80"/>
    <n v="3440"/>
    <n v="3440"/>
    <n v="2"/>
    <s v="11/10/2004 0:00"/>
    <x v="5"/>
    <x v="3"/>
    <x v="5"/>
    <x v="1"/>
    <x v="5"/>
    <n v="100"/>
    <s v="S700_3505"/>
    <x v="48"/>
    <s v="31 12 3555"/>
    <s v="Vinb'ltet 34"/>
    <s v=""/>
    <s v="Kobenhavn"/>
    <s v=""/>
    <s v="1734"/>
    <x v="13"/>
    <s v="EMEA"/>
    <s v="Petersen"/>
    <s v="Jytte"/>
    <s v="Jytte, Petersen"/>
    <s v="Medium"/>
  </r>
  <r>
    <n v="10337"/>
    <n v="31"/>
    <n v="8938"/>
    <n v="277078"/>
    <n v="277078"/>
    <n v="1"/>
    <s v="11/21/2004 0:00"/>
    <x v="0"/>
    <x v="3"/>
    <x v="5"/>
    <x v="1"/>
    <x v="5"/>
    <n v="100"/>
    <s v="S700_3505"/>
    <x v="27"/>
    <s v="2125558493"/>
    <s v="5905 Pompton St."/>
    <s v="Suite 750"/>
    <s v="NYC"/>
    <s v="NY"/>
    <s v="10022"/>
    <x v="0"/>
    <s v="NA"/>
    <s v="Hernandez"/>
    <s v="Maria"/>
    <s v="Maria, Hernandez"/>
    <s v="Small"/>
  </r>
  <r>
    <n v="10350"/>
    <n v="31"/>
    <n v="7734"/>
    <n v="239754"/>
    <n v="239754"/>
    <n v="13"/>
    <s v="12/2/2004 0:00"/>
    <x v="0"/>
    <x v="3"/>
    <x v="6"/>
    <x v="1"/>
    <x v="5"/>
    <n v="100"/>
    <s v="S700_3505"/>
    <x v="23"/>
    <s v="(91) 555 94 44"/>
    <s v="C/ Moralzarzal, 86"/>
    <s v=""/>
    <s v="Madrid"/>
    <s v=""/>
    <s v="28034"/>
    <x v="7"/>
    <s v="EMEA"/>
    <s v="Freyre"/>
    <s v="Diego"/>
    <s v="Diego, Freyre"/>
    <s v="Small"/>
  </r>
  <r>
    <n v="10373"/>
    <n v="34"/>
    <n v="9634"/>
    <n v="327556"/>
    <n v="327556"/>
    <n v="2"/>
    <s v="1/31/2005 0:00"/>
    <x v="0"/>
    <x v="0"/>
    <x v="7"/>
    <x v="2"/>
    <x v="5"/>
    <n v="100"/>
    <s v="S700_3505"/>
    <x v="60"/>
    <s v="981-443655"/>
    <s v="Torikatu 38"/>
    <s v=""/>
    <s v="Oulu"/>
    <s v=""/>
    <s v="90110"/>
    <x v="4"/>
    <s v="EMEA"/>
    <s v="Koskitalo"/>
    <s v="Pirkko"/>
    <s v="Pirkko, Koskitalo"/>
    <s v="Medium"/>
  </r>
  <r>
    <n v="10386"/>
    <n v="45"/>
    <n v="9208"/>
    <n v="414360"/>
    <n v="414360"/>
    <n v="2"/>
    <s v="3/1/2005 0:00"/>
    <x v="5"/>
    <x v="0"/>
    <x v="11"/>
    <x v="2"/>
    <x v="5"/>
    <n v="100"/>
    <s v="S700_3505"/>
    <x v="23"/>
    <s v="(91) 555 94 44"/>
    <s v="C/ Moralzarzal, 86"/>
    <s v=""/>
    <s v="Madrid"/>
    <s v=""/>
    <s v="28034"/>
    <x v="7"/>
    <s v="EMEA"/>
    <s v="Freyre"/>
    <s v="Diego"/>
    <s v="Diego, Freyre"/>
    <s v="Medium"/>
  </r>
  <r>
    <n v="10397"/>
    <n v="48"/>
    <n v="100"/>
    <n v="4800"/>
    <n v="4800"/>
    <n v="3"/>
    <s v="3/28/2005 0:00"/>
    <x v="0"/>
    <x v="0"/>
    <x v="11"/>
    <x v="2"/>
    <x v="5"/>
    <n v="100"/>
    <s v="S700_3505"/>
    <x v="51"/>
    <s v="61.77.6555"/>
    <s v="1 rue Alsace-Lorraine"/>
    <s v=""/>
    <s v="Toulouse"/>
    <s v=""/>
    <s v="31000"/>
    <x v="1"/>
    <s v="EMEA"/>
    <s v="Roulet"/>
    <s v="Annette"/>
    <s v="Annette, Roulet"/>
    <s v="Medium"/>
  </r>
  <r>
    <n v="10414"/>
    <n v="28"/>
    <n v="100"/>
    <n v="2800"/>
    <n v="0"/>
    <n v="7"/>
    <s v="5/6/2005 0:00"/>
    <x v="4"/>
    <x v="1"/>
    <x v="1"/>
    <x v="2"/>
    <x v="5"/>
    <n v="100"/>
    <s v="S700_3505"/>
    <x v="58"/>
    <s v="6175559555"/>
    <s v="8616 Spinnaker Dr."/>
    <s v=""/>
    <s v="Boston"/>
    <s v="MA"/>
    <s v="51003"/>
    <x v="0"/>
    <s v="NA"/>
    <s v="Yoshido"/>
    <s v="Juri"/>
    <s v="Juri, Yoshido"/>
    <s v="Medium"/>
  </r>
  <r>
    <n v="10105"/>
    <n v="22"/>
    <n v="100"/>
    <n v="2200"/>
    <n v="2200"/>
    <n v="7"/>
    <s v="2/11/2003 0:00"/>
    <x v="0"/>
    <x v="0"/>
    <x v="0"/>
    <x v="0"/>
    <x v="5"/>
    <n v="99"/>
    <s v="S700_3962"/>
    <x v="48"/>
    <s v="31 12 3555"/>
    <s v="Vinb'ltet 34"/>
    <s v=""/>
    <s v="Kobenhavn"/>
    <s v=""/>
    <s v="1734"/>
    <x v="13"/>
    <s v="EMEA"/>
    <s v="Petersen"/>
    <s v="Jytte"/>
    <s v="Jytte, Petersen"/>
    <s v="Small"/>
  </r>
  <r>
    <n v="10117"/>
    <n v="45"/>
    <n v="8342"/>
    <n v="375390"/>
    <n v="375390"/>
    <n v="1"/>
    <s v="4/16/2003 0:00"/>
    <x v="0"/>
    <x v="1"/>
    <x v="8"/>
    <x v="0"/>
    <x v="5"/>
    <n v="99"/>
    <s v="S700_3962"/>
    <x v="26"/>
    <s v="+65 221 7555"/>
    <s v="Bronz Sok., Bronz Apt. 3/6 Tesvikiye"/>
    <s v=""/>
    <s v="Singapore"/>
    <s v=""/>
    <s v="79903"/>
    <x v="9"/>
    <s v="Japan"/>
    <s v="Natividad"/>
    <s v="Eric"/>
    <s v="Eric, Natividad"/>
    <s v="Medium"/>
  </r>
  <r>
    <n v="10129"/>
    <n v="30"/>
    <n v="8541"/>
    <n v="256230"/>
    <n v="256230"/>
    <n v="7"/>
    <s v="6/12/2003 0:00"/>
    <x v="0"/>
    <x v="1"/>
    <x v="9"/>
    <x v="0"/>
    <x v="5"/>
    <n v="99"/>
    <s v="S700_3962"/>
    <x v="49"/>
    <s v="(171) 555-0297"/>
    <s v="35 King George"/>
    <s v=""/>
    <s v="London"/>
    <s v=""/>
    <s v="WX3 6FW"/>
    <x v="6"/>
    <s v="EMEA"/>
    <s v="Brown"/>
    <s v="Ann"/>
    <s v="Ann, Brown"/>
    <s v="Small"/>
  </r>
  <r>
    <n v="10142"/>
    <n v="38"/>
    <n v="8541"/>
    <n v="324558"/>
    <n v="324558"/>
    <n v="4"/>
    <s v="8/8/2003 0:00"/>
    <x v="0"/>
    <x v="2"/>
    <x v="3"/>
    <x v="0"/>
    <x v="5"/>
    <n v="99"/>
    <s v="S700_3962"/>
    <x v="39"/>
    <s v="4155551450"/>
    <s v="5677 Strong St."/>
    <s v=""/>
    <s v="San Rafael"/>
    <s v="CA"/>
    <s v="97562"/>
    <x v="0"/>
    <s v="NA"/>
    <s v="Nelson"/>
    <s v="Valarie"/>
    <s v="Valarie, Nelson"/>
    <s v="Medium"/>
  </r>
  <r>
    <n v="10153"/>
    <n v="20"/>
    <n v="100"/>
    <n v="2000"/>
    <n v="2000"/>
    <n v="3"/>
    <s v="9/28/2003 0:00"/>
    <x v="0"/>
    <x v="2"/>
    <x v="10"/>
    <x v="0"/>
    <x v="5"/>
    <n v="99"/>
    <s v="S700_3962"/>
    <x v="23"/>
    <s v="(91) 555 94 44"/>
    <s v="C/ Moralzarzal, 86"/>
    <s v=""/>
    <s v="Madrid"/>
    <s v=""/>
    <s v="28034"/>
    <x v="7"/>
    <s v="EMEA"/>
    <s v="Freyre"/>
    <s v="Diego"/>
    <s v="Diego, Freyre"/>
    <s v="Small"/>
  </r>
  <r>
    <n v="10167"/>
    <n v="28"/>
    <n v="100"/>
    <n v="2800"/>
    <n v="0"/>
    <n v="14"/>
    <s v="10/23/2003 0:00"/>
    <x v="3"/>
    <x v="3"/>
    <x v="4"/>
    <x v="0"/>
    <x v="5"/>
    <n v="99"/>
    <s v="S700_3962"/>
    <x v="37"/>
    <s v="0695-34 6555"/>
    <s v="?kergatan 24"/>
    <s v=""/>
    <s v="Boras"/>
    <s v=""/>
    <s v="S-844 67"/>
    <x v="8"/>
    <s v="EMEA"/>
    <s v="Larsson"/>
    <s v="Maria"/>
    <s v="Maria, Larsson"/>
    <s v="Medium"/>
  </r>
  <r>
    <n v="10177"/>
    <n v="24"/>
    <n v="100"/>
    <n v="2400"/>
    <n v="2400"/>
    <n v="5"/>
    <s v="11/7/2003 0:00"/>
    <x v="0"/>
    <x v="3"/>
    <x v="5"/>
    <x v="0"/>
    <x v="5"/>
    <n v="99"/>
    <s v="S700_3962"/>
    <x v="76"/>
    <s v="+34 913 728 555"/>
    <s v="Merchants House, 27-30 Merchant's Quay"/>
    <s v=""/>
    <s v="Madrid"/>
    <s v=""/>
    <s v="28023"/>
    <x v="7"/>
    <s v="EMEA"/>
    <s v="Fernandez"/>
    <s v="Jesus"/>
    <s v="Jesus, Fernandez"/>
    <s v="Small"/>
  </r>
  <r>
    <n v="10185"/>
    <n v="22"/>
    <n v="7945"/>
    <n v="174790"/>
    <n v="174790"/>
    <n v="5"/>
    <s v="11/14/2003 0:00"/>
    <x v="0"/>
    <x v="3"/>
    <x v="5"/>
    <x v="0"/>
    <x v="5"/>
    <n v="99"/>
    <s v="S700_3962"/>
    <x v="50"/>
    <s v="5085559555"/>
    <s v="4575 Hillside Dr."/>
    <s v=""/>
    <s v="New Bedford"/>
    <s v="MA"/>
    <s v="50553"/>
    <x v="0"/>
    <s v="NA"/>
    <s v="Tam"/>
    <s v="Wing C"/>
    <s v="Wing C, Tam"/>
    <s v="Small"/>
  </r>
  <r>
    <n v="10197"/>
    <n v="35"/>
    <n v="9335"/>
    <n v="326725"/>
    <n v="326725"/>
    <n v="11"/>
    <s v="11/26/2003 0:00"/>
    <x v="0"/>
    <x v="3"/>
    <x v="5"/>
    <x v="0"/>
    <x v="5"/>
    <n v="99"/>
    <s v="S700_3962"/>
    <x v="53"/>
    <s v="(93) 203 4555"/>
    <s v="Rambla de Catalu¤a, 23"/>
    <s v=""/>
    <s v="Barcelona"/>
    <s v=""/>
    <s v="8022"/>
    <x v="7"/>
    <s v="EMEA"/>
    <s v="Saavedra"/>
    <s v="Eduardo"/>
    <s v="Eduardo, Saavedra"/>
    <s v="Medium"/>
  </r>
  <r>
    <n v="10208"/>
    <n v="33"/>
    <n v="8541"/>
    <n v="281853"/>
    <n v="281853"/>
    <n v="5"/>
    <s v="1/2/2004 0:00"/>
    <x v="0"/>
    <x v="0"/>
    <x v="7"/>
    <x v="1"/>
    <x v="5"/>
    <n v="99"/>
    <s v="S700_3962"/>
    <x v="30"/>
    <s v="78.32.5555"/>
    <s v="2, rue du Commerce"/>
    <s v=""/>
    <s v="Lyon"/>
    <s v=""/>
    <s v="69004"/>
    <x v="1"/>
    <s v="EMEA"/>
    <s v="Saveley"/>
    <s v="Mary"/>
    <s v="Mary, Saveley"/>
    <s v="Small"/>
  </r>
  <r>
    <n v="10222"/>
    <n v="31"/>
    <n v="9534"/>
    <n v="295554"/>
    <n v="295554"/>
    <n v="17"/>
    <s v="2/19/2004 0:00"/>
    <x v="0"/>
    <x v="0"/>
    <x v="0"/>
    <x v="1"/>
    <x v="5"/>
    <n v="99"/>
    <s v="S700_3962"/>
    <x v="55"/>
    <s v="7605558146"/>
    <s v="361 Furth Circle"/>
    <s v=""/>
    <s v="San Diego"/>
    <s v="CA"/>
    <s v="91217"/>
    <x v="0"/>
    <s v="NA"/>
    <s v="Thompson"/>
    <s v="Valarie"/>
    <s v="Valarie, Thompson"/>
    <s v="Small"/>
  </r>
  <r>
    <n v="10232"/>
    <n v="35"/>
    <n v="8243"/>
    <n v="288505"/>
    <n v="288505"/>
    <n v="2"/>
    <s v="3/20/2004 0:00"/>
    <x v="0"/>
    <x v="0"/>
    <x v="11"/>
    <x v="1"/>
    <x v="5"/>
    <n v="99"/>
    <s v="S700_3962"/>
    <x v="59"/>
    <s v="(198) 555-8888"/>
    <s v="Garden House Crowther Way"/>
    <s v=""/>
    <s v="Cowes"/>
    <s v="Isle of Wight"/>
    <s v="PO31 7PJ"/>
    <x v="6"/>
    <s v="EMEA"/>
    <s v="Bennett"/>
    <s v="Helen"/>
    <s v="Helen, Bennett"/>
    <s v="Small"/>
  </r>
  <r>
    <n v="10248"/>
    <n v="35"/>
    <n v="9037"/>
    <n v="316295"/>
    <n v="0"/>
    <n v="8"/>
    <s v="5/7/2004 0:00"/>
    <x v="3"/>
    <x v="1"/>
    <x v="1"/>
    <x v="1"/>
    <x v="5"/>
    <n v="99"/>
    <s v="S700_3962"/>
    <x v="0"/>
    <s v="2125557818"/>
    <s v="897 Long Airport Avenue"/>
    <s v=""/>
    <s v="NYC"/>
    <s v="NY"/>
    <s v="10022"/>
    <x v="0"/>
    <s v="NA"/>
    <s v="Yu"/>
    <s v="Kwai"/>
    <s v="Kwai, Yu"/>
    <s v="Medium"/>
  </r>
  <r>
    <n v="10261"/>
    <n v="50"/>
    <n v="8143"/>
    <n v="407150"/>
    <n v="407150"/>
    <n v="6"/>
    <s v="6/17/2004 0:00"/>
    <x v="0"/>
    <x v="1"/>
    <x v="9"/>
    <x v="1"/>
    <x v="5"/>
    <n v="99"/>
    <s v="S700_3962"/>
    <x v="43"/>
    <s v="(514) 555-8054"/>
    <s v="43 rue St. Laurent"/>
    <s v=""/>
    <s v="Montreal"/>
    <s v="Quebec"/>
    <s v="H1J 1C3"/>
    <x v="10"/>
    <s v="NA"/>
    <s v="Fresnisre"/>
    <s v="Jean"/>
    <s v="Jean, Fresnisre"/>
    <s v="Medium"/>
  </r>
  <r>
    <n v="10273"/>
    <n v="26"/>
    <n v="100"/>
    <n v="2600"/>
    <n v="2600"/>
    <n v="9"/>
    <s v="7/21/2004 0:00"/>
    <x v="0"/>
    <x v="2"/>
    <x v="2"/>
    <x v="1"/>
    <x v="5"/>
    <n v="99"/>
    <s v="S700_3962"/>
    <x v="56"/>
    <s v="(02) 5554 67"/>
    <s v="Rue Joseph-Bens 532"/>
    <s v=""/>
    <s v="Bruxelles"/>
    <s v=""/>
    <s v="B-1180"/>
    <x v="14"/>
    <s v="EMEA"/>
    <s v="Dewey"/>
    <s v="Catherine"/>
    <s v="Catherine, Dewey"/>
    <s v="Small"/>
  </r>
  <r>
    <n v="10283"/>
    <n v="38"/>
    <n v="8938"/>
    <n v="339644"/>
    <n v="339644"/>
    <n v="11"/>
    <s v="8/20/2004 0:00"/>
    <x v="0"/>
    <x v="2"/>
    <x v="3"/>
    <x v="1"/>
    <x v="5"/>
    <n v="99"/>
    <s v="S700_3962"/>
    <x v="57"/>
    <s v="(604) 555-4555"/>
    <s v="23 Tsawassen Blvd."/>
    <s v=""/>
    <s v="Tsawassen"/>
    <s v="BC"/>
    <s v="T2F 8M4"/>
    <x v="10"/>
    <s v="NA"/>
    <s v="Lincoln"/>
    <s v="Elizabeth"/>
    <s v="Elizabeth, Lincoln"/>
    <s v="Medium"/>
  </r>
  <r>
    <n v="10294"/>
    <n v="45"/>
    <n v="100"/>
    <n v="4500"/>
    <n v="4500"/>
    <n v="1"/>
    <s v="9/10/2004 0:00"/>
    <x v="0"/>
    <x v="2"/>
    <x v="10"/>
    <x v="1"/>
    <x v="5"/>
    <n v="99"/>
    <s v="S700_3962"/>
    <x v="71"/>
    <s v="6175557555"/>
    <s v="7635 Spinnaker Dr."/>
    <s v=""/>
    <s v="Brickhaven"/>
    <s v="MA"/>
    <s v="58339"/>
    <x v="0"/>
    <s v="NA"/>
    <s v="Barajas"/>
    <s v="Miguel"/>
    <s v="Miguel, Barajas"/>
    <s v="Medium"/>
  </r>
  <r>
    <n v="10306"/>
    <n v="30"/>
    <n v="100"/>
    <n v="3000"/>
    <n v="3000"/>
    <n v="5"/>
    <s v="10/14/2004 0:00"/>
    <x v="0"/>
    <x v="3"/>
    <x v="4"/>
    <x v="1"/>
    <x v="5"/>
    <n v="99"/>
    <s v="S700_3962"/>
    <x v="77"/>
    <s v="(171) 555-1555"/>
    <s v="Fauntleroy Circus"/>
    <s v=""/>
    <s v="Manchester"/>
    <s v=""/>
    <s v="EC2 5NT"/>
    <x v="6"/>
    <s v="EMEA"/>
    <s v="Ashworth"/>
    <s v="Victoria"/>
    <s v="Victoria, Ashworth"/>
    <s v="Medium"/>
  </r>
  <r>
    <n v="10315"/>
    <n v="37"/>
    <n v="9137"/>
    <n v="338069"/>
    <n v="338069"/>
    <n v="4"/>
    <s v="10/29/2004 0:00"/>
    <x v="0"/>
    <x v="3"/>
    <x v="4"/>
    <x v="1"/>
    <x v="5"/>
    <n v="99"/>
    <s v="S700_3962"/>
    <x v="14"/>
    <s v="40.67.8555"/>
    <s v="67, rue des Cinquante Otages"/>
    <s v=""/>
    <s v="Nantes"/>
    <s v=""/>
    <s v="44000"/>
    <x v="1"/>
    <s v="EMEA"/>
    <s v="Labrune"/>
    <s v="Janine"/>
    <s v="Janine, Labrune"/>
    <s v="Medium"/>
  </r>
  <r>
    <n v="10327"/>
    <n v="37"/>
    <n v="8661"/>
    <n v="320457"/>
    <n v="320457"/>
    <n v="3"/>
    <s v="11/10/2004 0:00"/>
    <x v="5"/>
    <x v="3"/>
    <x v="5"/>
    <x v="1"/>
    <x v="5"/>
    <n v="99"/>
    <s v="S700_3962"/>
    <x v="48"/>
    <s v="31 12 3555"/>
    <s v="Vinb'ltet 34"/>
    <s v=""/>
    <s v="Kobenhavn"/>
    <s v=""/>
    <s v="1734"/>
    <x v="13"/>
    <s v="EMEA"/>
    <s v="Petersen"/>
    <s v="Jytte"/>
    <s v="Jytte, Petersen"/>
    <s v="Medium"/>
  </r>
  <r>
    <n v="10337"/>
    <n v="36"/>
    <n v="7189"/>
    <n v="258804"/>
    <n v="258804"/>
    <n v="7"/>
    <s v="11/21/2004 0:00"/>
    <x v="0"/>
    <x v="3"/>
    <x v="5"/>
    <x v="1"/>
    <x v="5"/>
    <n v="99"/>
    <s v="S700_3962"/>
    <x v="27"/>
    <s v="2125558493"/>
    <s v="5905 Pompton St."/>
    <s v="Suite 750"/>
    <s v="NYC"/>
    <s v="NY"/>
    <s v="10022"/>
    <x v="0"/>
    <s v="NA"/>
    <s v="Hernandez"/>
    <s v="Maria"/>
    <s v="Maria, Hernandez"/>
    <s v="Small"/>
  </r>
  <r>
    <n v="10350"/>
    <n v="25"/>
    <n v="100"/>
    <n v="2500"/>
    <n v="2500"/>
    <n v="16"/>
    <s v="12/2/2004 0:00"/>
    <x v="0"/>
    <x v="3"/>
    <x v="6"/>
    <x v="1"/>
    <x v="5"/>
    <n v="99"/>
    <s v="S700_3962"/>
    <x v="23"/>
    <s v="(91) 555 94 44"/>
    <s v="C/ Moralzarzal, 86"/>
    <s v=""/>
    <s v="Madrid"/>
    <s v=""/>
    <s v="28034"/>
    <x v="7"/>
    <s v="EMEA"/>
    <s v="Freyre"/>
    <s v="Diego"/>
    <s v="Diego, Freyre"/>
    <s v="Small"/>
  </r>
  <r>
    <n v="10373"/>
    <n v="37"/>
    <n v="100"/>
    <n v="3700"/>
    <n v="3700"/>
    <n v="8"/>
    <s v="1/31/2005 0:00"/>
    <x v="0"/>
    <x v="0"/>
    <x v="7"/>
    <x v="2"/>
    <x v="5"/>
    <n v="99"/>
    <s v="S700_3962"/>
    <x v="60"/>
    <s v="981-443655"/>
    <s v="Torikatu 38"/>
    <s v=""/>
    <s v="Oulu"/>
    <s v=""/>
    <s v="90110"/>
    <x v="4"/>
    <s v="EMEA"/>
    <s v="Koskitalo"/>
    <s v="Pirkko"/>
    <s v="Pirkko, Koskitalo"/>
    <s v="Medium"/>
  </r>
  <r>
    <n v="10386"/>
    <n v="30"/>
    <n v="9548"/>
    <n v="286440"/>
    <n v="286440"/>
    <n v="3"/>
    <s v="3/1/2005 0:00"/>
    <x v="5"/>
    <x v="0"/>
    <x v="11"/>
    <x v="2"/>
    <x v="5"/>
    <n v="99"/>
    <s v="S700_3962"/>
    <x v="23"/>
    <s v="(91) 555 94 44"/>
    <s v="C/ Moralzarzal, 86"/>
    <s v=""/>
    <s v="Madrid"/>
    <s v=""/>
    <s v="28034"/>
    <x v="7"/>
    <s v="EMEA"/>
    <s v="Freyre"/>
    <s v="Diego"/>
    <s v="Diego, Freyre"/>
    <s v="Small"/>
  </r>
  <r>
    <n v="10397"/>
    <n v="36"/>
    <n v="100"/>
    <n v="3600"/>
    <n v="3600"/>
    <n v="2"/>
    <s v="3/28/2005 0:00"/>
    <x v="0"/>
    <x v="0"/>
    <x v="11"/>
    <x v="2"/>
    <x v="5"/>
    <n v="99"/>
    <s v="S700_3962"/>
    <x v="51"/>
    <s v="61.77.6555"/>
    <s v="1 rue Alsace-Lorraine"/>
    <s v=""/>
    <s v="Toulouse"/>
    <s v=""/>
    <s v="31000"/>
    <x v="1"/>
    <s v="EMEA"/>
    <s v="Roulet"/>
    <s v="Annette"/>
    <s v="Annette, Roulet"/>
    <s v="Medium"/>
  </r>
  <r>
    <n v="10414"/>
    <n v="27"/>
    <n v="9037"/>
    <n v="243999"/>
    <n v="0"/>
    <n v="8"/>
    <s v="5/6/2005 0:00"/>
    <x v="4"/>
    <x v="1"/>
    <x v="1"/>
    <x v="2"/>
    <x v="5"/>
    <n v="99"/>
    <s v="S700_3962"/>
    <x v="58"/>
    <s v="6175559555"/>
    <s v="8616 Spinnaker Dr."/>
    <s v=""/>
    <s v="Boston"/>
    <s v="MA"/>
    <s v="51003"/>
    <x v="0"/>
    <s v="NA"/>
    <s v="Yoshido"/>
    <s v="Juri"/>
    <s v="Juri, Yoshido"/>
    <s v="Small"/>
  </r>
  <r>
    <n v="10106"/>
    <n v="48"/>
    <n v="6144"/>
    <n v="294912"/>
    <n v="294912"/>
    <n v="10"/>
    <s v="2/17/2003 0:00"/>
    <x v="0"/>
    <x v="0"/>
    <x v="0"/>
    <x v="0"/>
    <x v="4"/>
    <n v="74"/>
    <s v="S700_4002"/>
    <x v="86"/>
    <s v="035-640555"/>
    <s v="Via Ludovico il Moro 22"/>
    <s v=""/>
    <s v="Bergamo"/>
    <s v=""/>
    <s v="24100"/>
    <x v="12"/>
    <s v="EMEA"/>
    <s v="Rovelli"/>
    <s v="Giovanni"/>
    <s v="Giovanni, Rovelli"/>
    <s v="Small"/>
  </r>
  <r>
    <n v="10119"/>
    <n v="26"/>
    <n v="5922"/>
    <n v="153972"/>
    <n v="153972"/>
    <n v="1"/>
    <s v="4/28/2003 0:00"/>
    <x v="0"/>
    <x v="1"/>
    <x v="8"/>
    <x v="0"/>
    <x v="4"/>
    <n v="74"/>
    <s v="S700_4002"/>
    <x v="19"/>
    <s v="6562-9555"/>
    <s v="Geislweg 14"/>
    <s v=""/>
    <s v="Salzburg"/>
    <s v=""/>
    <s v="5020"/>
    <x v="5"/>
    <s v="EMEA"/>
    <s v="Pipps"/>
    <s v="Georg"/>
    <s v="Georg, Pipps"/>
    <s v="Small"/>
  </r>
  <r>
    <n v="10131"/>
    <n v="26"/>
    <n v="8513"/>
    <n v="221338"/>
    <n v="221338"/>
    <n v="2"/>
    <s v="6/16/2003 0:00"/>
    <x v="0"/>
    <x v="1"/>
    <x v="9"/>
    <x v="0"/>
    <x v="4"/>
    <n v="74"/>
    <s v="S700_4002"/>
    <x v="88"/>
    <s v="2035554407"/>
    <s v="2440 Pompton St."/>
    <s v=""/>
    <s v="Glendale"/>
    <s v="CT"/>
    <s v="97561"/>
    <x v="0"/>
    <s v="NA"/>
    <s v="Lewis"/>
    <s v="Dan"/>
    <s v="Dan, Lewis"/>
    <s v="Small"/>
  </r>
  <r>
    <n v="10143"/>
    <n v="34"/>
    <n v="8587"/>
    <n v="291958"/>
    <n v="291958"/>
    <n v="5"/>
    <s v="8/10/2003 0:00"/>
    <x v="0"/>
    <x v="2"/>
    <x v="3"/>
    <x v="0"/>
    <x v="4"/>
    <n v="74"/>
    <s v="S700_4002"/>
    <x v="50"/>
    <s v="5085559555"/>
    <s v="4575 Hillside Dr."/>
    <s v=""/>
    <s v="New Bedford"/>
    <s v="MA"/>
    <s v="50553"/>
    <x v="0"/>
    <s v="NA"/>
    <s v="Tam"/>
    <s v="Wing C"/>
    <s v="Wing C, Tam"/>
    <s v="Small"/>
  </r>
  <r>
    <n v="10155"/>
    <n v="44"/>
    <n v="8587"/>
    <n v="377828"/>
    <n v="377828"/>
    <n v="3"/>
    <s v="10/6/2003 0:00"/>
    <x v="0"/>
    <x v="3"/>
    <x v="4"/>
    <x v="0"/>
    <x v="4"/>
    <n v="74"/>
    <s v="S700_4002"/>
    <x v="16"/>
    <s v="90-224 8555"/>
    <s v="Keskuskatu 45"/>
    <s v=""/>
    <s v="Helsinki"/>
    <s v=""/>
    <s v="21240"/>
    <x v="4"/>
    <s v="EMEA"/>
    <s v="Karttunen"/>
    <s v="Matti"/>
    <s v="Matti, Karttunen"/>
    <s v="Medium"/>
  </r>
  <r>
    <n v="10168"/>
    <n v="39"/>
    <n v="8291"/>
    <n v="323349"/>
    <n v="323349"/>
    <n v="17"/>
    <s v="10/28/2003 0:00"/>
    <x v="0"/>
    <x v="3"/>
    <x v="4"/>
    <x v="0"/>
    <x v="4"/>
    <n v="74"/>
    <s v="S700_4002"/>
    <x v="5"/>
    <s v="6505556809"/>
    <s v="9408 Furth Circle"/>
    <s v=""/>
    <s v="Burlingame"/>
    <s v="CA"/>
    <s v="94217"/>
    <x v="0"/>
    <s v="NA"/>
    <s v="Hirano"/>
    <s v="Juri"/>
    <s v="Juri, Hirano"/>
    <s v="Medium"/>
  </r>
  <r>
    <n v="10178"/>
    <n v="45"/>
    <n v="7625"/>
    <n v="343125"/>
    <n v="343125"/>
    <n v="2"/>
    <s v="11/8/2003 0:00"/>
    <x v="0"/>
    <x v="3"/>
    <x v="5"/>
    <x v="0"/>
    <x v="4"/>
    <n v="74"/>
    <s v="S700_4002"/>
    <x v="51"/>
    <s v="61.77.6555"/>
    <s v="1 rue Alsace-Lorraine"/>
    <s v=""/>
    <s v="Toulouse"/>
    <s v=""/>
    <s v="31000"/>
    <x v="1"/>
    <s v="EMEA"/>
    <s v="Roulet"/>
    <s v="Annette"/>
    <s v="Annette, Roulet"/>
    <s v="Medium"/>
  </r>
  <r>
    <n v="10198"/>
    <n v="40"/>
    <n v="6367"/>
    <n v="254680"/>
    <n v="254680"/>
    <n v="2"/>
    <s v="11/27/2003 0:00"/>
    <x v="0"/>
    <x v="3"/>
    <x v="5"/>
    <x v="0"/>
    <x v="4"/>
    <n v="74"/>
    <s v="S700_4002"/>
    <x v="66"/>
    <s v="+63 2 555 3587"/>
    <s v="15 McCallum Street - NatWest Center #13-03"/>
    <s v=""/>
    <s v="Makati City"/>
    <s v=""/>
    <s v="1227 MM"/>
    <x v="15"/>
    <s v="Japan"/>
    <s v="Cruz"/>
    <s v="Arnold"/>
    <s v="Arnold, Cruz"/>
    <s v="Small"/>
  </r>
  <r>
    <n v="10210"/>
    <n v="42"/>
    <n v="7033"/>
    <n v="295386"/>
    <n v="295386"/>
    <n v="15"/>
    <s v="1/12/2004 0:00"/>
    <x v="0"/>
    <x v="0"/>
    <x v="7"/>
    <x v="1"/>
    <x v="4"/>
    <n v="74"/>
    <s v="S700_4002"/>
    <x v="44"/>
    <s v="+81 06 6342 5555"/>
    <s v="Dojima Avanza 4F, 1-6-20 Dojima, Kita-ku"/>
    <s v=""/>
    <s v="Osaka"/>
    <s v="Osaka"/>
    <s v="530-0003"/>
    <x v="11"/>
    <s v="Japan"/>
    <s v="Kentary"/>
    <s v="Mory"/>
    <s v="Mory, Kentary"/>
    <s v="Small"/>
  </r>
  <r>
    <n v="10222"/>
    <n v="43"/>
    <n v="7403"/>
    <n v="318329"/>
    <n v="318329"/>
    <n v="2"/>
    <s v="2/19/2004 0:00"/>
    <x v="0"/>
    <x v="0"/>
    <x v="0"/>
    <x v="1"/>
    <x v="4"/>
    <n v="74"/>
    <s v="S700_4002"/>
    <x v="55"/>
    <s v="7605558146"/>
    <s v="361 Furth Circle"/>
    <s v=""/>
    <s v="San Diego"/>
    <s v="CA"/>
    <s v="91217"/>
    <x v="0"/>
    <s v="NA"/>
    <s v="Thompson"/>
    <s v="Valarie"/>
    <s v="Valarie, Thompson"/>
    <s v="Medium"/>
  </r>
  <r>
    <n v="10235"/>
    <n v="34"/>
    <n v="7255"/>
    <n v="246670"/>
    <n v="246670"/>
    <n v="11"/>
    <s v="4/2/2004 0:00"/>
    <x v="0"/>
    <x v="1"/>
    <x v="8"/>
    <x v="1"/>
    <x v="4"/>
    <n v="74"/>
    <s v="S700_4002"/>
    <x v="57"/>
    <s v="(604) 555-4555"/>
    <s v="23 Tsawassen Blvd."/>
    <s v=""/>
    <s v="Tsawassen"/>
    <s v="BC"/>
    <s v="T2F 8M4"/>
    <x v="10"/>
    <s v="NA"/>
    <s v="Lincoln"/>
    <s v="Elizabeth"/>
    <s v="Elizabeth, Lincoln"/>
    <s v="Small"/>
  </r>
  <r>
    <n v="10250"/>
    <n v="38"/>
    <n v="6219"/>
    <n v="236322"/>
    <n v="236322"/>
    <n v="12"/>
    <s v="5/11/2004 0:00"/>
    <x v="0"/>
    <x v="1"/>
    <x v="1"/>
    <x v="1"/>
    <x v="4"/>
    <n v="74"/>
    <s v="S700_4002"/>
    <x v="61"/>
    <s v="4085553659"/>
    <s v="3086 Ingle Ln."/>
    <s v=""/>
    <s v="San Jose"/>
    <s v="CA"/>
    <s v="94217"/>
    <x v="0"/>
    <s v="NA"/>
    <s v="Frick"/>
    <s v="Sue"/>
    <s v="Sue, Frick"/>
    <s v="Small"/>
  </r>
  <r>
    <n v="10262"/>
    <n v="35"/>
    <n v="7107"/>
    <n v="248745"/>
    <n v="0"/>
    <n v="7"/>
    <s v="6/24/2004 0:00"/>
    <x v="3"/>
    <x v="1"/>
    <x v="9"/>
    <x v="1"/>
    <x v="4"/>
    <n v="74"/>
    <s v="S700_4002"/>
    <x v="23"/>
    <s v="(91) 555 94 44"/>
    <s v="C/ Moralzarzal, 86"/>
    <s v=""/>
    <s v="Madrid"/>
    <s v=""/>
    <s v="28034"/>
    <x v="7"/>
    <s v="EMEA"/>
    <s v="Freyre"/>
    <s v="Diego"/>
    <s v="Diego, Freyre"/>
    <s v="Small"/>
  </r>
  <r>
    <n v="10275"/>
    <n v="31"/>
    <n v="7255"/>
    <n v="224905"/>
    <n v="224905"/>
    <n v="17"/>
    <s v="7/23/2004 0:00"/>
    <x v="0"/>
    <x v="2"/>
    <x v="2"/>
    <x v="1"/>
    <x v="4"/>
    <n v="74"/>
    <s v="S700_4002"/>
    <x v="14"/>
    <s v="40.67.8555"/>
    <s v="67, rue des Cinquante Otages"/>
    <s v=""/>
    <s v="Nantes"/>
    <s v=""/>
    <s v="44000"/>
    <x v="1"/>
    <s v="EMEA"/>
    <s v="Labrune"/>
    <s v="Janine"/>
    <s v="Janine, Labrune"/>
    <s v="Small"/>
  </r>
  <r>
    <n v="10284"/>
    <n v="32"/>
    <n v="6441"/>
    <n v="206112"/>
    <n v="206112"/>
    <n v="9"/>
    <s v="8/21/2004 0:00"/>
    <x v="0"/>
    <x v="2"/>
    <x v="3"/>
    <x v="1"/>
    <x v="4"/>
    <n v="74"/>
    <s v="S700_4002"/>
    <x v="85"/>
    <s v="+47 2212 1555"/>
    <s v="Drammensveien 126 A, PB 744 Sentrum"/>
    <s v=""/>
    <s v="Oslo"/>
    <s v=""/>
    <s v="N 0106"/>
    <x v="2"/>
    <s v="EMEA"/>
    <s v="Klaeboe"/>
    <s v="Jan"/>
    <s v="Jan, Klaeboe"/>
    <s v="Small"/>
  </r>
  <r>
    <n v="10296"/>
    <n v="47"/>
    <n v="8662"/>
    <n v="407114"/>
    <n v="407114"/>
    <n v="5"/>
    <s v="9/15/2004 0:00"/>
    <x v="0"/>
    <x v="2"/>
    <x v="10"/>
    <x v="1"/>
    <x v="4"/>
    <n v="74"/>
    <s v="S700_4002"/>
    <x v="89"/>
    <s v="+49 89 61 08 9555"/>
    <s v="Hansastr. 15"/>
    <s v=""/>
    <s v="Munich"/>
    <s v=""/>
    <s v="80686"/>
    <x v="16"/>
    <s v="EMEA"/>
    <s v="Donnermeyer"/>
    <s v="Michael"/>
    <s v="Michael, Donnermeyer"/>
    <s v="Medium"/>
  </r>
  <r>
    <n v="10308"/>
    <n v="39"/>
    <n v="6811"/>
    <n v="265629"/>
    <n v="265629"/>
    <n v="15"/>
    <s v="10/15/2004 0:00"/>
    <x v="0"/>
    <x v="3"/>
    <x v="4"/>
    <x v="1"/>
    <x v="4"/>
    <n v="74"/>
    <s v="S700_4002"/>
    <x v="47"/>
    <s v="9145554562"/>
    <s v="3758 North Pendale Street"/>
    <s v=""/>
    <s v="White Plains"/>
    <s v="NY"/>
    <s v="24067"/>
    <x v="0"/>
    <s v="NA"/>
    <s v="Frick"/>
    <s v="Steve"/>
    <s v="Steve, Frick"/>
    <s v="Small"/>
  </r>
  <r>
    <n v="10316"/>
    <n v="44"/>
    <n v="6219"/>
    <n v="273636"/>
    <n v="273636"/>
    <n v="7"/>
    <s v="11/1/2004 0:00"/>
    <x v="0"/>
    <x v="3"/>
    <x v="5"/>
    <x v="1"/>
    <x v="4"/>
    <n v="74"/>
    <s v="S700_4002"/>
    <x v="59"/>
    <s v="(198) 555-8888"/>
    <s v="Garden House Crowther Way"/>
    <s v=""/>
    <s v="Cowes"/>
    <s v="Isle of Wight"/>
    <s v="PO31 7PJ"/>
    <x v="6"/>
    <s v="EMEA"/>
    <s v="Bennett"/>
    <s v="Helen"/>
    <s v="Helen, Bennett"/>
    <s v="Small"/>
  </r>
  <r>
    <n v="10328"/>
    <n v="39"/>
    <n v="8587"/>
    <n v="334893"/>
    <n v="334893"/>
    <n v="12"/>
    <s v="11/12/2004 0:00"/>
    <x v="0"/>
    <x v="3"/>
    <x v="5"/>
    <x v="1"/>
    <x v="4"/>
    <n v="74"/>
    <s v="S700_4002"/>
    <x v="86"/>
    <s v="035-640555"/>
    <s v="Via Ludovico il Moro 22"/>
    <s v=""/>
    <s v="Bergamo"/>
    <s v=""/>
    <s v="24100"/>
    <x v="12"/>
    <s v="EMEA"/>
    <s v="Rovelli"/>
    <s v="Giovanni"/>
    <s v="Giovanni, Rovelli"/>
    <s v="Medium"/>
  </r>
  <r>
    <n v="10339"/>
    <n v="50"/>
    <n v="5786"/>
    <n v="289300"/>
    <n v="289300"/>
    <n v="8"/>
    <s v="11/23/2004 0:00"/>
    <x v="0"/>
    <x v="3"/>
    <x v="5"/>
    <x v="1"/>
    <x v="4"/>
    <n v="74"/>
    <s v="S700_4002"/>
    <x v="35"/>
    <s v="+81 3 3584 0555"/>
    <s v="2-2-8 Roppongi"/>
    <s v=""/>
    <s v="Minato-ku"/>
    <s v="Tokyo"/>
    <s v="106-0032"/>
    <x v="11"/>
    <s v="Japan"/>
    <s v="Shimamura"/>
    <s v="Akiko"/>
    <s v="Akiko, Shimamura"/>
    <s v="Small"/>
  </r>
  <r>
    <n v="10352"/>
    <n v="22"/>
    <n v="7551"/>
    <n v="166122"/>
    <n v="166122"/>
    <n v="1"/>
    <s v="12/3/2004 0:00"/>
    <x v="0"/>
    <x v="3"/>
    <x v="6"/>
    <x v="1"/>
    <x v="4"/>
    <n v="74"/>
    <s v="S700_4002"/>
    <x v="91"/>
    <s v="6175558428"/>
    <s v="16780 Pompton St."/>
    <s v=""/>
    <s v="Brickhaven"/>
    <s v="MA"/>
    <s v="58339"/>
    <x v="0"/>
    <s v="NA"/>
    <s v="Taylor"/>
    <s v="Leslie"/>
    <s v="Leslie, Taylor"/>
    <s v="Small"/>
  </r>
  <r>
    <n v="10361"/>
    <n v="35"/>
    <n v="100"/>
    <n v="3500"/>
    <n v="3500"/>
    <n v="11"/>
    <s v="12/17/2004 0:00"/>
    <x v="0"/>
    <x v="3"/>
    <x v="6"/>
    <x v="1"/>
    <x v="4"/>
    <n v="74"/>
    <s v="S700_4002"/>
    <x v="20"/>
    <s v="+61 2 9495 8555"/>
    <s v="Monitor Money Building, 815 Pacific Hwy"/>
    <s v="Level 6"/>
    <s v="Chatswood"/>
    <s v="NSW"/>
    <s v="2067"/>
    <x v="3"/>
    <s v="APAC"/>
    <s v="Huxley"/>
    <s v="Adrian"/>
    <s v="Adrian, Huxley"/>
    <s v="Medium"/>
  </r>
  <r>
    <n v="10373"/>
    <n v="45"/>
    <n v="5562"/>
    <n v="250290"/>
    <n v="250290"/>
    <n v="17"/>
    <s v="1/31/2005 0:00"/>
    <x v="0"/>
    <x v="0"/>
    <x v="7"/>
    <x v="2"/>
    <x v="4"/>
    <n v="74"/>
    <s v="S700_4002"/>
    <x v="60"/>
    <s v="981-443655"/>
    <s v="Torikatu 38"/>
    <s v=""/>
    <s v="Oulu"/>
    <s v=""/>
    <s v="90110"/>
    <x v="4"/>
    <s v="EMEA"/>
    <s v="Koskitalo"/>
    <s v="Pirkko"/>
    <s v="Pirkko, Koskitalo"/>
    <s v="Small"/>
  </r>
  <r>
    <n v="10386"/>
    <n v="44"/>
    <n v="864"/>
    <n v="38016"/>
    <n v="38016"/>
    <n v="15"/>
    <s v="3/1/2005 0:00"/>
    <x v="5"/>
    <x v="0"/>
    <x v="11"/>
    <x v="2"/>
    <x v="4"/>
    <n v="74"/>
    <s v="S700_4002"/>
    <x v="23"/>
    <s v="(91) 555 94 44"/>
    <s v="C/ Moralzarzal, 86"/>
    <s v=""/>
    <s v="Madrid"/>
    <s v=""/>
    <s v="28034"/>
    <x v="7"/>
    <s v="EMEA"/>
    <s v="Freyre"/>
    <s v="Diego"/>
    <s v="Diego, Freyre"/>
    <s v="Medium"/>
  </r>
  <r>
    <n v="10398"/>
    <n v="36"/>
    <n v="8736"/>
    <n v="314496"/>
    <n v="314496"/>
    <n v="12"/>
    <s v="3/30/2005 0:00"/>
    <x v="0"/>
    <x v="0"/>
    <x v="11"/>
    <x v="2"/>
    <x v="4"/>
    <n v="74"/>
    <s v="S700_4002"/>
    <x v="1"/>
    <s v="26.47.1555"/>
    <s v="59 rue de l'Abbaye"/>
    <s v=""/>
    <s v="Reims"/>
    <s v=""/>
    <s v="51100"/>
    <x v="1"/>
    <s v="EMEA"/>
    <s v="Henriot"/>
    <s v="Paul"/>
    <s v="Paul, Henriot"/>
    <s v="Medium"/>
  </r>
  <r>
    <n v="10401"/>
    <n v="28"/>
    <n v="7255"/>
    <n v="203140"/>
    <n v="0"/>
    <n v="11"/>
    <s v="4/3/2005 0:00"/>
    <x v="4"/>
    <x v="1"/>
    <x v="8"/>
    <x v="2"/>
    <x v="4"/>
    <n v="74"/>
    <s v="S700_4002"/>
    <x v="12"/>
    <s v="2015559350"/>
    <s v="7476 Moss Rd."/>
    <s v=""/>
    <s v="Newark"/>
    <s v="NJ"/>
    <s v="94019"/>
    <x v="0"/>
    <s v="NA"/>
    <s v="Brown"/>
    <s v="William"/>
    <s v="William, Brown"/>
    <s v="Small"/>
  </r>
  <r>
    <n v="10416"/>
    <n v="43"/>
    <n v="6219"/>
    <n v="267417"/>
    <n v="267417"/>
    <n v="12"/>
    <s v="5/10/2005 0:00"/>
    <x v="0"/>
    <x v="1"/>
    <x v="1"/>
    <x v="2"/>
    <x v="4"/>
    <n v="74"/>
    <s v="S700_4002"/>
    <x v="70"/>
    <s v="0522-556555"/>
    <s v="Strada Provinciale 124"/>
    <s v=""/>
    <s v="Reggio Emilia"/>
    <s v=""/>
    <s v="42100"/>
    <x v="12"/>
    <s v="EMEA"/>
    <s v="Moroni"/>
    <s v="Maurizio"/>
    <s v="Maurizio, Moroni"/>
    <s v="Small"/>
  </r>
  <r>
    <n v="10106"/>
    <n v="48"/>
    <n v="5264"/>
    <n v="252672"/>
    <n v="252672"/>
    <n v="15"/>
    <s v="2/17/2003 0:00"/>
    <x v="0"/>
    <x v="0"/>
    <x v="0"/>
    <x v="0"/>
    <x v="4"/>
    <n v="49"/>
    <s v="S72_1253"/>
    <x v="86"/>
    <s v="035-640555"/>
    <s v="Via Ludovico il Moro 22"/>
    <s v=""/>
    <s v="Bergamo"/>
    <s v=""/>
    <s v="24100"/>
    <x v="12"/>
    <s v="EMEA"/>
    <s v="Rovelli"/>
    <s v="Giovanni"/>
    <s v="Giovanni, Rovelli"/>
    <s v="Small"/>
  </r>
  <r>
    <n v="10119"/>
    <n v="28"/>
    <n v="4817"/>
    <n v="134876"/>
    <n v="134876"/>
    <n v="6"/>
    <s v="4/28/2003 0:00"/>
    <x v="0"/>
    <x v="1"/>
    <x v="8"/>
    <x v="0"/>
    <x v="4"/>
    <n v="49"/>
    <s v="S72_1253"/>
    <x v="19"/>
    <s v="6562-9555"/>
    <s v="Geislweg 14"/>
    <s v=""/>
    <s v="Salzburg"/>
    <s v=""/>
    <s v="5020"/>
    <x v="5"/>
    <s v="EMEA"/>
    <s v="Pipps"/>
    <s v="Georg"/>
    <s v="Georg, Pipps"/>
    <s v="Small"/>
  </r>
  <r>
    <n v="10131"/>
    <n v="21"/>
    <n v="4171"/>
    <n v="87591"/>
    <n v="87591"/>
    <n v="7"/>
    <s v="6/16/2003 0:00"/>
    <x v="0"/>
    <x v="1"/>
    <x v="9"/>
    <x v="0"/>
    <x v="4"/>
    <n v="49"/>
    <s v="S72_1253"/>
    <x v="88"/>
    <s v="2035554407"/>
    <s v="2440 Pompton St."/>
    <s v=""/>
    <s v="Glendale"/>
    <s v="CT"/>
    <s v="97561"/>
    <x v="0"/>
    <s v="NA"/>
    <s v="Lewis"/>
    <s v="Dan"/>
    <s v="Dan, Lewis"/>
    <s v="Small"/>
  </r>
  <r>
    <n v="10143"/>
    <n v="37"/>
    <n v="5065"/>
    <n v="187405"/>
    <n v="187405"/>
    <n v="10"/>
    <s v="8/10/2003 0:00"/>
    <x v="0"/>
    <x v="2"/>
    <x v="3"/>
    <x v="0"/>
    <x v="4"/>
    <n v="49"/>
    <s v="S72_1253"/>
    <x v="50"/>
    <s v="5085559555"/>
    <s v="4575 Hillside Dr."/>
    <s v=""/>
    <s v="New Bedford"/>
    <s v="MA"/>
    <s v="50553"/>
    <x v="0"/>
    <s v="NA"/>
    <s v="Tam"/>
    <s v="Wing C"/>
    <s v="Wing C, Tam"/>
    <s v="Small"/>
  </r>
  <r>
    <n v="10155"/>
    <n v="34"/>
    <n v="4916"/>
    <n v="167144"/>
    <n v="167144"/>
    <n v="8"/>
    <s v="10/6/2003 0:00"/>
    <x v="0"/>
    <x v="3"/>
    <x v="4"/>
    <x v="0"/>
    <x v="4"/>
    <n v="49"/>
    <s v="S72_1253"/>
    <x v="16"/>
    <s v="90-224 8555"/>
    <s v="Keskuskatu 45"/>
    <s v=""/>
    <s v="Helsinki"/>
    <s v=""/>
    <s v="21240"/>
    <x v="4"/>
    <s v="EMEA"/>
    <s v="Karttunen"/>
    <s v="Matti"/>
    <s v="Matti, Karttunen"/>
    <s v="Small"/>
  </r>
  <r>
    <n v="10167"/>
    <n v="40"/>
    <n v="4171"/>
    <n v="166840"/>
    <n v="0"/>
    <n v="4"/>
    <s v="10/23/2003 0:00"/>
    <x v="3"/>
    <x v="3"/>
    <x v="4"/>
    <x v="0"/>
    <x v="4"/>
    <n v="49"/>
    <s v="S72_1253"/>
    <x v="37"/>
    <s v="0695-34 6555"/>
    <s v="?kergatan 24"/>
    <s v=""/>
    <s v="Boras"/>
    <s v=""/>
    <s v="S-844 67"/>
    <x v="8"/>
    <s v="EMEA"/>
    <s v="Larsson"/>
    <s v="Maria"/>
    <s v="Maria, Larsson"/>
    <s v="Small"/>
  </r>
  <r>
    <n v="10178"/>
    <n v="45"/>
    <n v="5115"/>
    <n v="230175"/>
    <n v="230175"/>
    <n v="7"/>
    <s v="11/8/2003 0:00"/>
    <x v="0"/>
    <x v="3"/>
    <x v="5"/>
    <x v="0"/>
    <x v="4"/>
    <n v="49"/>
    <s v="S72_1253"/>
    <x v="51"/>
    <s v="61.77.6555"/>
    <s v="1 rue Alsace-Lorraine"/>
    <s v=""/>
    <s v="Toulouse"/>
    <s v=""/>
    <s v="31000"/>
    <x v="1"/>
    <s v="EMEA"/>
    <s v="Roulet"/>
    <s v="Annette"/>
    <s v="Annette, Roulet"/>
    <s v="Small"/>
  </r>
  <r>
    <n v="10186"/>
    <n v="28"/>
    <n v="5214"/>
    <n v="145992"/>
    <n v="145992"/>
    <n v="4"/>
    <s v="11/14/2003 0:00"/>
    <x v="0"/>
    <x v="3"/>
    <x v="5"/>
    <x v="0"/>
    <x v="4"/>
    <n v="49"/>
    <s v="S72_1253"/>
    <x v="52"/>
    <s v="(171) 555-7555"/>
    <s v="120 Hanover Sq."/>
    <s v=""/>
    <s v="London"/>
    <s v=""/>
    <s v="WA1 1DP"/>
    <x v="6"/>
    <s v="EMEA"/>
    <s v="Hardy"/>
    <s v="Thomas"/>
    <s v="Thomas, Hardy"/>
    <s v="Small"/>
  </r>
  <r>
    <n v="10197"/>
    <n v="29"/>
    <n v="4171"/>
    <n v="120959"/>
    <n v="120959"/>
    <n v="1"/>
    <s v="11/26/2003 0:00"/>
    <x v="0"/>
    <x v="3"/>
    <x v="5"/>
    <x v="0"/>
    <x v="4"/>
    <n v="49"/>
    <s v="S72_1253"/>
    <x v="53"/>
    <s v="(93) 203 4555"/>
    <s v="Rambla de Catalu¤a, 23"/>
    <s v=""/>
    <s v="Barcelona"/>
    <s v=""/>
    <s v="8022"/>
    <x v="7"/>
    <s v="EMEA"/>
    <s v="Saavedra"/>
    <s v="Eduardo"/>
    <s v="Eduardo, Saavedra"/>
    <s v="Small"/>
  </r>
  <r>
    <n v="10209"/>
    <n v="48"/>
    <n v="4469"/>
    <n v="214512"/>
    <n v="214512"/>
    <n v="3"/>
    <s v="1/9/2004 0:00"/>
    <x v="0"/>
    <x v="0"/>
    <x v="7"/>
    <x v="1"/>
    <x v="4"/>
    <n v="49"/>
    <s v="S72_1253"/>
    <x v="54"/>
    <s v="2155554369"/>
    <s v="6047 Douglas Av."/>
    <s v=""/>
    <s v="Los Angeles"/>
    <s v="CA"/>
    <s v=""/>
    <x v="0"/>
    <s v="NA"/>
    <s v="Chandler"/>
    <s v="Michael"/>
    <s v="Michael, Chandler"/>
    <s v="Small"/>
  </r>
  <r>
    <n v="10222"/>
    <n v="31"/>
    <n v="4569"/>
    <n v="141639"/>
    <n v="141639"/>
    <n v="7"/>
    <s v="2/19/2004 0:00"/>
    <x v="0"/>
    <x v="0"/>
    <x v="0"/>
    <x v="1"/>
    <x v="4"/>
    <n v="49"/>
    <s v="S72_1253"/>
    <x v="55"/>
    <s v="7605558146"/>
    <s v="361 Furth Circle"/>
    <s v=""/>
    <s v="San Diego"/>
    <s v="CA"/>
    <s v="91217"/>
    <x v="0"/>
    <s v="NA"/>
    <s v="Thompson"/>
    <s v="Valarie"/>
    <s v="Valarie, Thompson"/>
    <s v="Small"/>
  </r>
  <r>
    <n v="10249"/>
    <n v="32"/>
    <n v="5761"/>
    <n v="184352"/>
    <n v="184352"/>
    <n v="3"/>
    <s v="5/8/2004 0:00"/>
    <x v="0"/>
    <x v="1"/>
    <x v="1"/>
    <x v="1"/>
    <x v="4"/>
    <n v="49"/>
    <s v="S72_1253"/>
    <x v="33"/>
    <s v="6175555555"/>
    <s v="4658 Baden Av."/>
    <s v=""/>
    <s v="Cambridge"/>
    <s v="MA"/>
    <s v="51247"/>
    <x v="0"/>
    <s v="NA"/>
    <s v="Tseng"/>
    <s v="Kyung"/>
    <s v="Kyung, Tseng"/>
    <s v="Small"/>
  </r>
  <r>
    <n v="10262"/>
    <n v="21"/>
    <n v="5711"/>
    <n v="119931"/>
    <n v="0"/>
    <n v="12"/>
    <s v="6/24/2004 0:00"/>
    <x v="3"/>
    <x v="1"/>
    <x v="9"/>
    <x v="1"/>
    <x v="4"/>
    <n v="49"/>
    <s v="S72_1253"/>
    <x v="23"/>
    <s v="(91) 555 94 44"/>
    <s v="C/ Moralzarzal, 86"/>
    <s v=""/>
    <s v="Madrid"/>
    <s v=""/>
    <s v="28034"/>
    <x v="7"/>
    <s v="EMEA"/>
    <s v="Freyre"/>
    <s v="Diego"/>
    <s v="Diego, Freyre"/>
    <s v="Small"/>
  </r>
  <r>
    <n v="10274"/>
    <n v="32"/>
    <n v="586"/>
    <n v="18752"/>
    <n v="18752"/>
    <n v="4"/>
    <s v="7/21/2004 0:00"/>
    <x v="0"/>
    <x v="2"/>
    <x v="2"/>
    <x v="1"/>
    <x v="4"/>
    <n v="49"/>
    <s v="S72_1253"/>
    <x v="41"/>
    <s v="6175558555"/>
    <s v="7825 Douglas Av."/>
    <s v=""/>
    <s v="Brickhaven"/>
    <s v="MA"/>
    <s v="58339"/>
    <x v="0"/>
    <s v="NA"/>
    <s v="Nelson"/>
    <s v="Allen"/>
    <s v="Allen, Nelson"/>
    <s v="Small"/>
  </r>
  <r>
    <n v="10283"/>
    <n v="43"/>
    <n v="5761"/>
    <n v="247723"/>
    <n v="247723"/>
    <n v="1"/>
    <s v="8/20/2004 0:00"/>
    <x v="0"/>
    <x v="2"/>
    <x v="3"/>
    <x v="1"/>
    <x v="4"/>
    <n v="49"/>
    <s v="S72_1253"/>
    <x v="57"/>
    <s v="(604) 555-4555"/>
    <s v="23 Tsawassen Blvd."/>
    <s v=""/>
    <s v="Tsawassen"/>
    <s v="BC"/>
    <s v="T2F 8M4"/>
    <x v="10"/>
    <s v="NA"/>
    <s v="Lincoln"/>
    <s v="Elizabeth"/>
    <s v="Elizabeth, Lincoln"/>
    <s v="Small"/>
  </r>
  <r>
    <n v="10296"/>
    <n v="21"/>
    <n v="4519"/>
    <n v="94899"/>
    <n v="94899"/>
    <n v="10"/>
    <s v="9/15/2004 0:00"/>
    <x v="0"/>
    <x v="2"/>
    <x v="10"/>
    <x v="1"/>
    <x v="4"/>
    <n v="49"/>
    <s v="S72_1253"/>
    <x v="89"/>
    <s v="+49 89 61 08 9555"/>
    <s v="Hansastr. 15"/>
    <s v=""/>
    <s v="Munich"/>
    <s v=""/>
    <s v="80686"/>
    <x v="16"/>
    <s v="EMEA"/>
    <s v="Donnermeyer"/>
    <s v="Michael"/>
    <s v="Michael, Donnermeyer"/>
    <s v="Small"/>
  </r>
  <r>
    <n v="10307"/>
    <n v="34"/>
    <n v="5363"/>
    <n v="182342"/>
    <n v="182342"/>
    <n v="4"/>
    <s v="10/14/2004 0:00"/>
    <x v="0"/>
    <x v="3"/>
    <x v="4"/>
    <x v="1"/>
    <x v="4"/>
    <n v="49"/>
    <s v="S72_1253"/>
    <x v="29"/>
    <s v="2155554695"/>
    <s v="782 First Street"/>
    <s v=""/>
    <s v="Philadelphia"/>
    <s v="PA"/>
    <s v="71270"/>
    <x v="0"/>
    <s v="NA"/>
    <s v="Cervantes"/>
    <s v="Francisca"/>
    <s v="Francisca, Cervantes"/>
    <s v="Small"/>
  </r>
  <r>
    <n v="10316"/>
    <n v="34"/>
    <n v="437"/>
    <n v="14858"/>
    <n v="14858"/>
    <n v="12"/>
    <s v="11/1/2004 0:00"/>
    <x v="0"/>
    <x v="3"/>
    <x v="5"/>
    <x v="1"/>
    <x v="4"/>
    <n v="49"/>
    <s v="S72_1253"/>
    <x v="59"/>
    <s v="(198) 555-8888"/>
    <s v="Garden House Crowther Way"/>
    <s v=""/>
    <s v="Cowes"/>
    <s v="Isle of Wight"/>
    <s v="PO31 7PJ"/>
    <x v="6"/>
    <s v="EMEA"/>
    <s v="Bennett"/>
    <s v="Helen"/>
    <s v="Helen, Bennett"/>
    <s v="Small"/>
  </r>
  <r>
    <n v="10329"/>
    <n v="44"/>
    <n v="8613"/>
    <n v="378972"/>
    <n v="378972"/>
    <n v="8"/>
    <s v="11/15/2004 0:00"/>
    <x v="0"/>
    <x v="3"/>
    <x v="5"/>
    <x v="1"/>
    <x v="4"/>
    <n v="49"/>
    <s v="S72_1253"/>
    <x v="0"/>
    <s v="2125557818"/>
    <s v="897 Long Airport Avenue"/>
    <s v=""/>
    <s v="NYC"/>
    <s v="NY"/>
    <s v="10022"/>
    <x v="0"/>
    <s v="NA"/>
    <s v="Yu"/>
    <s v="Kwai"/>
    <s v="Kwai, Yu"/>
    <s v="Medium"/>
  </r>
  <r>
    <n v="10339"/>
    <n v="27"/>
    <n v="7631"/>
    <n v="206037"/>
    <n v="206037"/>
    <n v="6"/>
    <s v="11/23/2004 0:00"/>
    <x v="0"/>
    <x v="3"/>
    <x v="5"/>
    <x v="1"/>
    <x v="4"/>
    <n v="49"/>
    <s v="S72_1253"/>
    <x v="35"/>
    <s v="+81 3 3584 0555"/>
    <s v="2-2-8 Roppongi"/>
    <s v=""/>
    <s v="Minato-ku"/>
    <s v="Tokyo"/>
    <s v="106-0032"/>
    <x v="11"/>
    <s v="Japan"/>
    <s v="Shimamura"/>
    <s v="Akiko"/>
    <s v="Akiko, Shimamura"/>
    <s v="Small"/>
  </r>
  <r>
    <n v="10352"/>
    <n v="49"/>
    <n v="5264"/>
    <n v="257936"/>
    <n v="257936"/>
    <n v="4"/>
    <s v="12/3/2004 0:00"/>
    <x v="0"/>
    <x v="3"/>
    <x v="6"/>
    <x v="1"/>
    <x v="4"/>
    <n v="49"/>
    <s v="S72_1253"/>
    <x v="91"/>
    <s v="6175558428"/>
    <s v="16780 Pompton St."/>
    <s v=""/>
    <s v="Brickhaven"/>
    <s v="MA"/>
    <s v="58339"/>
    <x v="0"/>
    <s v="NA"/>
    <s v="Taylor"/>
    <s v="Leslie"/>
    <s v="Leslie, Taylor"/>
    <s v="Small"/>
  </r>
  <r>
    <n v="10361"/>
    <n v="23"/>
    <n v="952"/>
    <n v="21896"/>
    <n v="21896"/>
    <n v="12"/>
    <s v="12/17/2004 0:00"/>
    <x v="0"/>
    <x v="3"/>
    <x v="6"/>
    <x v="1"/>
    <x v="4"/>
    <n v="49"/>
    <s v="S72_1253"/>
    <x v="20"/>
    <s v="+61 2 9495 8555"/>
    <s v="Monitor Money Building, 815 Pacific Hwy"/>
    <s v="Level 6"/>
    <s v="Chatswood"/>
    <s v="NSW"/>
    <s v="2067"/>
    <x v="3"/>
    <s v="APAC"/>
    <s v="Huxley"/>
    <s v="Adrian"/>
    <s v="Adrian, Huxley"/>
    <s v="Small"/>
  </r>
  <r>
    <n v="10373"/>
    <n v="25"/>
    <n v="6497"/>
    <n v="162425"/>
    <n v="162425"/>
    <n v="9"/>
    <s v="1/31/2005 0:00"/>
    <x v="0"/>
    <x v="0"/>
    <x v="7"/>
    <x v="2"/>
    <x v="4"/>
    <n v="49"/>
    <s v="S72_1253"/>
    <x v="60"/>
    <s v="981-443655"/>
    <s v="Torikatu 38"/>
    <s v=""/>
    <s v="Oulu"/>
    <s v=""/>
    <s v="90110"/>
    <x v="4"/>
    <s v="EMEA"/>
    <s v="Koskitalo"/>
    <s v="Pirkko"/>
    <s v="Pirkko, Koskitalo"/>
    <s v="Small"/>
  </r>
  <r>
    <n v="10386"/>
    <n v="50"/>
    <n v="8715"/>
    <n v="435750"/>
    <n v="435750"/>
    <n v="16"/>
    <s v="3/1/2005 0:00"/>
    <x v="5"/>
    <x v="0"/>
    <x v="11"/>
    <x v="2"/>
    <x v="4"/>
    <n v="49"/>
    <s v="S72_1253"/>
    <x v="23"/>
    <s v="(91) 555 94 44"/>
    <s v="C/ Moralzarzal, 86"/>
    <s v=""/>
    <s v="Madrid"/>
    <s v=""/>
    <s v="28034"/>
    <x v="7"/>
    <s v="EMEA"/>
    <s v="Freyre"/>
    <s v="Diego"/>
    <s v="Diego, Freyre"/>
    <s v="Medium"/>
  </r>
  <r>
    <n v="10398"/>
    <n v="34"/>
    <n v="4022"/>
    <n v="136748"/>
    <n v="136748"/>
    <n v="1"/>
    <s v="3/30/2005 0:00"/>
    <x v="0"/>
    <x v="0"/>
    <x v="11"/>
    <x v="2"/>
    <x v="4"/>
    <n v="49"/>
    <s v="S72_1253"/>
    <x v="1"/>
    <s v="26.47.1555"/>
    <s v="59 rue de l'Abbaye"/>
    <s v=""/>
    <s v="Reims"/>
    <s v=""/>
    <s v="51100"/>
    <x v="1"/>
    <s v="EMEA"/>
    <s v="Henriot"/>
    <s v="Paul"/>
    <s v="Paul, Henriot"/>
    <s v="Small"/>
  </r>
  <r>
    <n v="10400"/>
    <n v="20"/>
    <n v="5612"/>
    <n v="112240"/>
    <n v="112240"/>
    <n v="4"/>
    <s v="4/1/2005 0:00"/>
    <x v="0"/>
    <x v="1"/>
    <x v="8"/>
    <x v="2"/>
    <x v="4"/>
    <n v="49"/>
    <s v="S72_1253"/>
    <x v="61"/>
    <s v="4085553659"/>
    <s v="3086 Ingle Ln."/>
    <s v=""/>
    <s v="San Jose"/>
    <s v="CA"/>
    <s v="94217"/>
    <x v="0"/>
    <s v="NA"/>
    <s v="Frick"/>
    <s v="Sue"/>
    <s v="Sue, Frick"/>
    <s v="Small"/>
  </r>
  <r>
    <n v="10415"/>
    <n v="42"/>
    <n v="5761"/>
    <n v="241962"/>
    <n v="0"/>
    <n v="3"/>
    <s v="5/9/2005 0:00"/>
    <x v="1"/>
    <x v="1"/>
    <x v="1"/>
    <x v="2"/>
    <x v="4"/>
    <n v="49"/>
    <s v="S72_1253"/>
    <x v="87"/>
    <s v="61-9-3844-6555"/>
    <s v="7 Allen Street"/>
    <s v=""/>
    <s v="Glen Waverly"/>
    <s v="Victoria"/>
    <s v="3150"/>
    <x v="3"/>
    <s v="APAC"/>
    <s v="Connery"/>
    <s v="Sean"/>
    <s v="Sean, Connery"/>
    <s v="Small"/>
  </r>
  <r>
    <n v="10105"/>
    <n v="25"/>
    <n v="5678"/>
    <n v="141950"/>
    <n v="141950"/>
    <n v="8"/>
    <s v="2/11/2003 0:00"/>
    <x v="0"/>
    <x v="0"/>
    <x v="0"/>
    <x v="0"/>
    <x v="5"/>
    <n v="54"/>
    <s v="S72_3212"/>
    <x v="48"/>
    <s v="31 12 3555"/>
    <s v="Vinb'ltet 34"/>
    <s v=""/>
    <s v="Kobenhavn"/>
    <s v=""/>
    <s v="1734"/>
    <x v="13"/>
    <s v="EMEA"/>
    <s v="Petersen"/>
    <s v="Jytte"/>
    <s v="Jytte, Petersen"/>
    <s v="Small"/>
  </r>
  <r>
    <n v="10117"/>
    <n v="50"/>
    <n v="4368"/>
    <n v="218400"/>
    <n v="218400"/>
    <n v="2"/>
    <s v="4/16/2003 0:00"/>
    <x v="0"/>
    <x v="1"/>
    <x v="8"/>
    <x v="0"/>
    <x v="5"/>
    <n v="54"/>
    <s v="S72_3212"/>
    <x v="26"/>
    <s v="+65 221 7555"/>
    <s v="Bronz Sok., Bronz Apt. 3/6 Tesvikiye"/>
    <s v=""/>
    <s v="Singapore"/>
    <s v=""/>
    <s v="79903"/>
    <x v="9"/>
    <s v="Japan"/>
    <s v="Natividad"/>
    <s v="Eric"/>
    <s v="Eric, Natividad"/>
    <s v="Small"/>
  </r>
  <r>
    <n v="10129"/>
    <n v="32"/>
    <n v="6497"/>
    <n v="207904"/>
    <n v="207904"/>
    <n v="8"/>
    <s v="6/12/2003 0:00"/>
    <x v="0"/>
    <x v="1"/>
    <x v="9"/>
    <x v="0"/>
    <x v="5"/>
    <n v="54"/>
    <s v="S72_3212"/>
    <x v="49"/>
    <s v="(171) 555-0297"/>
    <s v="35 King George"/>
    <s v=""/>
    <s v="London"/>
    <s v=""/>
    <s v="WX3 6FW"/>
    <x v="6"/>
    <s v="EMEA"/>
    <s v="Brown"/>
    <s v="Ann"/>
    <s v="Ann, Brown"/>
    <s v="Small"/>
  </r>
  <r>
    <n v="10142"/>
    <n v="39"/>
    <n v="4423"/>
    <n v="172497"/>
    <n v="172497"/>
    <n v="5"/>
    <s v="8/8/2003 0:00"/>
    <x v="0"/>
    <x v="2"/>
    <x v="3"/>
    <x v="0"/>
    <x v="5"/>
    <n v="54"/>
    <s v="S72_3212"/>
    <x v="39"/>
    <s v="4155551450"/>
    <s v="5677 Strong St."/>
    <s v=""/>
    <s v="San Rafael"/>
    <s v="CA"/>
    <s v="97562"/>
    <x v="0"/>
    <s v="NA"/>
    <s v="Nelson"/>
    <s v="Valarie"/>
    <s v="Valarie, Nelson"/>
    <s v="Small"/>
  </r>
  <r>
    <n v="10153"/>
    <n v="50"/>
    <n v="6006"/>
    <n v="300300"/>
    <n v="300300"/>
    <n v="4"/>
    <s v="9/28/2003 0:00"/>
    <x v="0"/>
    <x v="2"/>
    <x v="10"/>
    <x v="0"/>
    <x v="5"/>
    <n v="54"/>
    <s v="S72_3212"/>
    <x v="23"/>
    <s v="(91) 555 94 44"/>
    <s v="C/ Moralzarzal, 86"/>
    <s v=""/>
    <s v="Madrid"/>
    <s v=""/>
    <s v="28034"/>
    <x v="7"/>
    <s v="EMEA"/>
    <s v="Freyre"/>
    <s v="Diego"/>
    <s v="Diego, Freyre"/>
    <s v="Medium"/>
  </r>
  <r>
    <n v="10167"/>
    <n v="38"/>
    <n v="4859"/>
    <n v="184642"/>
    <n v="0"/>
    <n v="15"/>
    <s v="10/23/2003 0:00"/>
    <x v="3"/>
    <x v="3"/>
    <x v="4"/>
    <x v="0"/>
    <x v="5"/>
    <n v="54"/>
    <s v="S72_3212"/>
    <x v="37"/>
    <s v="0695-34 6555"/>
    <s v="?kergatan 24"/>
    <s v=""/>
    <s v="Boras"/>
    <s v=""/>
    <s v="S-844 67"/>
    <x v="8"/>
    <s v="EMEA"/>
    <s v="Larsson"/>
    <s v="Maria"/>
    <s v="Maria, Larsson"/>
    <s v="Small"/>
  </r>
  <r>
    <n v="10177"/>
    <n v="40"/>
    <n v="5023"/>
    <n v="200920"/>
    <n v="200920"/>
    <n v="6"/>
    <s v="11/7/2003 0:00"/>
    <x v="0"/>
    <x v="3"/>
    <x v="5"/>
    <x v="0"/>
    <x v="5"/>
    <n v="54"/>
    <s v="S72_3212"/>
    <x v="76"/>
    <s v="+34 913 728 555"/>
    <s v="Merchants House, 27-30 Merchant's Quay"/>
    <s v=""/>
    <s v="Madrid"/>
    <s v=""/>
    <s v="28023"/>
    <x v="7"/>
    <s v="EMEA"/>
    <s v="Fernandez"/>
    <s v="Jesus"/>
    <s v="Jesus, Fernandez"/>
    <s v="Small"/>
  </r>
  <r>
    <n v="10185"/>
    <n v="28"/>
    <n v="6443"/>
    <n v="180404"/>
    <n v="180404"/>
    <n v="6"/>
    <s v="11/14/2003 0:00"/>
    <x v="0"/>
    <x v="3"/>
    <x v="5"/>
    <x v="0"/>
    <x v="5"/>
    <n v="54"/>
    <s v="S72_3212"/>
    <x v="50"/>
    <s v="5085559555"/>
    <s v="4575 Hillside Dr."/>
    <s v=""/>
    <s v="New Bedford"/>
    <s v="MA"/>
    <s v="50553"/>
    <x v="0"/>
    <s v="NA"/>
    <s v="Tam"/>
    <s v="Wing C"/>
    <s v="Wing C, Tam"/>
    <s v="Small"/>
  </r>
  <r>
    <n v="10197"/>
    <n v="42"/>
    <n v="5023"/>
    <n v="210966"/>
    <n v="210966"/>
    <n v="12"/>
    <s v="11/26/2003 0:00"/>
    <x v="0"/>
    <x v="3"/>
    <x v="5"/>
    <x v="0"/>
    <x v="5"/>
    <n v="54"/>
    <s v="S72_3212"/>
    <x v="53"/>
    <s v="(93) 203 4555"/>
    <s v="Rambla de Catalu¤a, 23"/>
    <s v=""/>
    <s v="Barcelona"/>
    <s v=""/>
    <s v="8022"/>
    <x v="7"/>
    <s v="EMEA"/>
    <s v="Saavedra"/>
    <s v="Eduardo"/>
    <s v="Eduardo, Saavedra"/>
    <s v="Small"/>
  </r>
  <r>
    <n v="10208"/>
    <n v="42"/>
    <n v="6388"/>
    <n v="268296"/>
    <n v="268296"/>
    <n v="6"/>
    <s v="1/2/2004 0:00"/>
    <x v="0"/>
    <x v="0"/>
    <x v="7"/>
    <x v="1"/>
    <x v="5"/>
    <n v="54"/>
    <s v="S72_3212"/>
    <x v="30"/>
    <s v="78.32.5555"/>
    <s v="2, rue du Commerce"/>
    <s v=""/>
    <s v="Lyon"/>
    <s v=""/>
    <s v="69004"/>
    <x v="1"/>
    <s v="EMEA"/>
    <s v="Saveley"/>
    <s v="Mary"/>
    <s v="Mary, Saveley"/>
    <s v="Small"/>
  </r>
  <r>
    <n v="10222"/>
    <n v="36"/>
    <n v="6334"/>
    <n v="228024"/>
    <n v="228024"/>
    <n v="18"/>
    <s v="2/19/2004 0:00"/>
    <x v="0"/>
    <x v="0"/>
    <x v="0"/>
    <x v="1"/>
    <x v="5"/>
    <n v="54"/>
    <s v="S72_3212"/>
    <x v="55"/>
    <s v="7605558146"/>
    <s v="361 Furth Circle"/>
    <s v=""/>
    <s v="San Diego"/>
    <s v="CA"/>
    <s v="91217"/>
    <x v="0"/>
    <s v="NA"/>
    <s v="Thompson"/>
    <s v="Valarie"/>
    <s v="Valarie, Thompson"/>
    <s v="Small"/>
  </r>
  <r>
    <n v="10232"/>
    <n v="24"/>
    <n v="4969"/>
    <n v="119256"/>
    <n v="119256"/>
    <n v="3"/>
    <s v="3/20/2004 0:00"/>
    <x v="0"/>
    <x v="0"/>
    <x v="11"/>
    <x v="1"/>
    <x v="5"/>
    <n v="54"/>
    <s v="S72_3212"/>
    <x v="59"/>
    <s v="(198) 555-8888"/>
    <s v="Garden House Crowther Way"/>
    <s v=""/>
    <s v="Cowes"/>
    <s v="Isle of Wight"/>
    <s v="PO31 7PJ"/>
    <x v="6"/>
    <s v="EMEA"/>
    <s v="Bennett"/>
    <s v="Helen"/>
    <s v="Helen, Bennett"/>
    <s v="Small"/>
  </r>
  <r>
    <n v="10248"/>
    <n v="23"/>
    <n v="6552"/>
    <n v="150696"/>
    <n v="0"/>
    <n v="9"/>
    <s v="5/7/2004 0:00"/>
    <x v="3"/>
    <x v="1"/>
    <x v="1"/>
    <x v="1"/>
    <x v="5"/>
    <n v="54"/>
    <s v="S72_3212"/>
    <x v="0"/>
    <s v="2125557818"/>
    <s v="897 Long Airport Avenue"/>
    <s v=""/>
    <s v="NYC"/>
    <s v="NY"/>
    <s v="10022"/>
    <x v="0"/>
    <s v="NA"/>
    <s v="Yu"/>
    <s v="Kwai"/>
    <s v="Kwai, Yu"/>
    <s v="Small"/>
  </r>
  <r>
    <n v="10261"/>
    <n v="29"/>
    <n v="5078"/>
    <n v="147262"/>
    <n v="147262"/>
    <n v="7"/>
    <s v="6/17/2004 0:00"/>
    <x v="0"/>
    <x v="1"/>
    <x v="9"/>
    <x v="1"/>
    <x v="5"/>
    <n v="54"/>
    <s v="S72_3212"/>
    <x v="43"/>
    <s v="(514) 555-8054"/>
    <s v="43 rue St. Laurent"/>
    <s v=""/>
    <s v="Montreal"/>
    <s v="Quebec"/>
    <s v="H1J 1C3"/>
    <x v="10"/>
    <s v="NA"/>
    <s v="Fresnisre"/>
    <s v="Jean"/>
    <s v="Jean, Fresnisre"/>
    <s v="Small"/>
  </r>
  <r>
    <n v="10273"/>
    <n v="37"/>
    <n v="4586"/>
    <n v="169682"/>
    <n v="169682"/>
    <n v="10"/>
    <s v="7/21/2004 0:00"/>
    <x v="0"/>
    <x v="2"/>
    <x v="2"/>
    <x v="1"/>
    <x v="5"/>
    <n v="54"/>
    <s v="S72_3212"/>
    <x v="56"/>
    <s v="(02) 5554 67"/>
    <s v="Rue Joseph-Bens 532"/>
    <s v=""/>
    <s v="Bruxelles"/>
    <s v=""/>
    <s v="B-1180"/>
    <x v="14"/>
    <s v="EMEA"/>
    <s v="Dewey"/>
    <s v="Catherine"/>
    <s v="Catherine, Dewey"/>
    <s v="Small"/>
  </r>
  <r>
    <n v="10283"/>
    <n v="33"/>
    <n v="5132"/>
    <n v="169356"/>
    <n v="169356"/>
    <n v="12"/>
    <s v="8/20/2004 0:00"/>
    <x v="0"/>
    <x v="2"/>
    <x v="3"/>
    <x v="1"/>
    <x v="5"/>
    <n v="54"/>
    <s v="S72_3212"/>
    <x v="57"/>
    <s v="(604) 555-4555"/>
    <s v="23 Tsawassen Blvd."/>
    <s v=""/>
    <s v="Tsawassen"/>
    <s v="BC"/>
    <s v="T2F 8M4"/>
    <x v="10"/>
    <s v="NA"/>
    <s v="Lincoln"/>
    <s v="Elizabeth"/>
    <s v="Elizabeth, Lincoln"/>
    <s v="Small"/>
  </r>
  <r>
    <n v="10293"/>
    <n v="32"/>
    <n v="6006"/>
    <n v="192192"/>
    <n v="192192"/>
    <n v="1"/>
    <s v="9/9/2004 0:00"/>
    <x v="0"/>
    <x v="2"/>
    <x v="10"/>
    <x v="1"/>
    <x v="5"/>
    <n v="54"/>
    <s v="S72_3212"/>
    <x v="36"/>
    <s v="011-4988555"/>
    <s v="Via Monte Bianco 34"/>
    <s v=""/>
    <s v="Torino"/>
    <s v=""/>
    <s v="10100"/>
    <x v="12"/>
    <s v="EMEA"/>
    <s v="Accorti"/>
    <s v="Paolo"/>
    <s v="Paolo, Accorti"/>
    <s v="Small"/>
  </r>
  <r>
    <n v="10306"/>
    <n v="35"/>
    <n v="5951"/>
    <n v="208285"/>
    <n v="208285"/>
    <n v="6"/>
    <s v="10/14/2004 0:00"/>
    <x v="0"/>
    <x v="3"/>
    <x v="4"/>
    <x v="1"/>
    <x v="5"/>
    <n v="54"/>
    <s v="S72_3212"/>
    <x v="77"/>
    <s v="(171) 555-1555"/>
    <s v="Fauntleroy Circus"/>
    <s v=""/>
    <s v="Manchester"/>
    <s v=""/>
    <s v="EC2 5NT"/>
    <x v="6"/>
    <s v="EMEA"/>
    <s v="Ashworth"/>
    <s v="Victoria"/>
    <s v="Victoria, Ashworth"/>
    <s v="Small"/>
  </r>
  <r>
    <n v="10315"/>
    <n v="40"/>
    <n v="5569"/>
    <n v="222760"/>
    <n v="222760"/>
    <n v="5"/>
    <s v="10/29/2004 0:00"/>
    <x v="0"/>
    <x v="3"/>
    <x v="4"/>
    <x v="1"/>
    <x v="5"/>
    <n v="54"/>
    <s v="S72_3212"/>
    <x v="14"/>
    <s v="40.67.8555"/>
    <s v="67, rue des Cinquante Otages"/>
    <s v=""/>
    <s v="Nantes"/>
    <s v=""/>
    <s v="44000"/>
    <x v="1"/>
    <s v="EMEA"/>
    <s v="Labrune"/>
    <s v="Janine"/>
    <s v="Janine, Labrune"/>
    <s v="Small"/>
  </r>
  <r>
    <n v="10327"/>
    <n v="37"/>
    <n v="8674"/>
    <n v="320938"/>
    <n v="320938"/>
    <n v="4"/>
    <s v="11/10/2004 0:00"/>
    <x v="5"/>
    <x v="3"/>
    <x v="5"/>
    <x v="1"/>
    <x v="5"/>
    <n v="54"/>
    <s v="S72_3212"/>
    <x v="48"/>
    <s v="31 12 3555"/>
    <s v="Vinb'ltet 34"/>
    <s v=""/>
    <s v="Kobenhavn"/>
    <s v=""/>
    <s v="1734"/>
    <x v="13"/>
    <s v="EMEA"/>
    <s v="Petersen"/>
    <s v="Jytte"/>
    <s v="Jytte, Petersen"/>
    <s v="Medium"/>
  </r>
  <r>
    <n v="10337"/>
    <n v="42"/>
    <n v="9716"/>
    <n v="408072"/>
    <n v="408072"/>
    <n v="5"/>
    <s v="11/21/2004 0:00"/>
    <x v="0"/>
    <x v="3"/>
    <x v="5"/>
    <x v="1"/>
    <x v="5"/>
    <n v="54"/>
    <s v="S72_3212"/>
    <x v="27"/>
    <s v="2125558493"/>
    <s v="5905 Pompton St."/>
    <s v="Suite 750"/>
    <s v="NYC"/>
    <s v="NY"/>
    <s v="10022"/>
    <x v="0"/>
    <s v="NA"/>
    <s v="Hernandez"/>
    <s v="Maria"/>
    <s v="Maria, Hernandez"/>
    <s v="Medium"/>
  </r>
  <r>
    <n v="10350"/>
    <n v="20"/>
    <n v="100"/>
    <n v="2000"/>
    <n v="2000"/>
    <n v="15"/>
    <s v="12/2/2004 0:00"/>
    <x v="0"/>
    <x v="3"/>
    <x v="6"/>
    <x v="1"/>
    <x v="5"/>
    <n v="54"/>
    <s v="S72_3212"/>
    <x v="23"/>
    <s v="(91) 555 94 44"/>
    <s v="C/ Moralzarzal, 86"/>
    <s v=""/>
    <s v="Madrid"/>
    <s v=""/>
    <s v="28034"/>
    <x v="7"/>
    <s v="EMEA"/>
    <s v="Freyre"/>
    <s v="Diego"/>
    <s v="Diego, Freyre"/>
    <s v="Small"/>
  </r>
  <r>
    <n v="10373"/>
    <n v="29"/>
    <n v="100"/>
    <n v="2900"/>
    <n v="2900"/>
    <n v="1"/>
    <s v="1/31/2005 0:00"/>
    <x v="0"/>
    <x v="0"/>
    <x v="7"/>
    <x v="2"/>
    <x v="5"/>
    <n v="54"/>
    <s v="S72_3212"/>
    <x v="60"/>
    <s v="981-443655"/>
    <s v="Torikatu 38"/>
    <s v=""/>
    <s v="Oulu"/>
    <s v=""/>
    <s v="90110"/>
    <x v="4"/>
    <s v="EMEA"/>
    <s v="Koskitalo"/>
    <s v="Pirkko"/>
    <s v="Pirkko, Koskitalo"/>
    <s v="Medium"/>
  </r>
  <r>
    <n v="10386"/>
    <n v="43"/>
    <n v="100"/>
    <n v="4300"/>
    <n v="4300"/>
    <n v="4"/>
    <s v="3/1/2005 0:00"/>
    <x v="5"/>
    <x v="0"/>
    <x v="11"/>
    <x v="2"/>
    <x v="5"/>
    <n v="54"/>
    <s v="S72_3212"/>
    <x v="23"/>
    <s v="(91) 555 94 44"/>
    <s v="C/ Moralzarzal, 86"/>
    <s v=""/>
    <s v="Madrid"/>
    <s v=""/>
    <s v="28034"/>
    <x v="7"/>
    <s v="EMEA"/>
    <s v="Freyre"/>
    <s v="Diego"/>
    <s v="Diego, Freyre"/>
    <s v="Medium"/>
  </r>
  <r>
    <n v="10397"/>
    <n v="34"/>
    <n v="6224"/>
    <n v="211616"/>
    <n v="211616"/>
    <n v="1"/>
    <s v="3/28/2005 0:00"/>
    <x v="0"/>
    <x v="0"/>
    <x v="11"/>
    <x v="2"/>
    <x v="5"/>
    <n v="54"/>
    <s v="S72_3212"/>
    <x v="51"/>
    <s v="61.77.6555"/>
    <s v="1 rue Alsace-Lorraine"/>
    <s v=""/>
    <s v="Toulouse"/>
    <s v=""/>
    <s v="31000"/>
    <x v="1"/>
    <s v="EMEA"/>
    <s v="Roulet"/>
    <s v="Annette"/>
    <s v="Annette, Roulet"/>
    <s v="Small"/>
  </r>
  <r>
    <n v="10414"/>
    <n v="47"/>
    <n v="6552"/>
    <n v="307944"/>
    <n v="0"/>
    <n v="9"/>
    <s v="5/6/2005 0:00"/>
    <x v="4"/>
    <x v="1"/>
    <x v="1"/>
    <x v="2"/>
    <x v="5"/>
    <n v="54"/>
    <s v="S72_3212"/>
    <x v="58"/>
    <s v="6175559555"/>
    <s v="8616 Spinnaker Dr."/>
    <s v=""/>
    <s v="Boston"/>
    <s v="MA"/>
    <s v="51003"/>
    <x v="0"/>
    <s v="NA"/>
    <s v="Yoshido"/>
    <s v="Juri"/>
    <s v="Juri, Yoshido"/>
    <s v="Mediu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6BEC3F-43FD-4D8B-8C82-7E3456A87F34}" name="VENTAS PENDIENT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0:B31" firstHeaderRow="1" firstDataRow="1" firstDataCol="0" rowPageCount="1" colPageCount="1"/>
  <pivotFields count="27">
    <pivotField showAll="0"/>
    <pivotField showAll="0"/>
    <pivotField showAll="0"/>
    <pivotField dataField="1" showAll="0"/>
    <pivotField numFmtId="2" showAll="0"/>
    <pivotField showAll="0"/>
    <pivotField showAll="0"/>
    <pivotField axis="axisPage" multipleItemSelectionAllowed="1" showAll="0">
      <items count="7">
        <item h="1" x="3"/>
        <item x="1"/>
        <item x="2"/>
        <item x="4"/>
        <item h="1" x="5"/>
        <item h="1" x="0"/>
        <item t="default"/>
      </items>
    </pivotField>
    <pivotField showAll="0">
      <items count="5">
        <item x="0"/>
        <item x="1"/>
        <item x="2"/>
        <item x="3"/>
        <item t="default"/>
      </items>
    </pivotField>
    <pivotField showAll="0">
      <items count="13">
        <item x="7"/>
        <item x="0"/>
        <item x="11"/>
        <item x="8"/>
        <item x="1"/>
        <item x="9"/>
        <item x="2"/>
        <item x="3"/>
        <item x="10"/>
        <item x="4"/>
        <item x="5"/>
        <item x="6"/>
        <item t="default"/>
      </items>
    </pivotField>
    <pivotField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pageFields count="1">
    <pageField fld="7" hier="-1"/>
  </pageFields>
  <dataFields count="1">
    <dataField name="Sum of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9CE77B-4820-459D-90AF-085D1E4D4BD2}" name="VENTAS MENSU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F3:G36" firstHeaderRow="1" firstDataRow="1" firstDataCol="1"/>
  <pivotFields count="27">
    <pivotField showAll="0"/>
    <pivotField showAll="0"/>
    <pivotField showAll="0"/>
    <pivotField showAll="0"/>
    <pivotField dataField="1" numFmtId="2" showAll="0"/>
    <pivotField showAll="0"/>
    <pivotField showAll="0"/>
    <pivotField multipleItemSelectionAllowed="1" showAll="0"/>
    <pivotField showAll="0">
      <items count="5">
        <item x="0"/>
        <item x="1"/>
        <item x="2"/>
        <item x="3"/>
        <item t="default"/>
      </items>
    </pivotField>
    <pivotField axis="axisRow" showAll="0">
      <items count="13">
        <item x="7"/>
        <item x="0"/>
        <item x="11"/>
        <item x="8"/>
        <item x="1"/>
        <item x="9"/>
        <item x="2"/>
        <item x="3"/>
        <item x="10"/>
        <item x="4"/>
        <item x="5"/>
        <item x="6"/>
        <item t="default"/>
      </items>
    </pivotField>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0"/>
    <field x="9"/>
  </rowFields>
  <rowItems count="3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t="grand">
      <x/>
    </i>
  </rowItems>
  <colItems count="1">
    <i/>
  </colItems>
  <dataFields count="1">
    <dataField name="Sum of NETSALES" fld="4" baseField="0" baseItem="0"/>
  </dataFields>
  <formats count="6">
    <format dxfId="104">
      <pivotArea outline="0" collapsedLevelsAreSubtotals="1" fieldPosition="0"/>
    </format>
    <format dxfId="103">
      <pivotArea collapsedLevelsAreSubtotals="1" fieldPosition="0">
        <references count="1">
          <reference field="10" count="1">
            <x v="1"/>
          </reference>
        </references>
      </pivotArea>
    </format>
    <format dxfId="102">
      <pivotArea collapsedLevelsAreSubtotals="1" fieldPosition="0">
        <references count="2">
          <reference field="9" count="0"/>
          <reference field="10" count="1" selected="0">
            <x v="1"/>
          </reference>
        </references>
      </pivotArea>
    </format>
    <format dxfId="101">
      <pivotArea collapsedLevelsAreSubtotals="1" fieldPosition="0">
        <references count="1">
          <reference field="10" count="1">
            <x v="2"/>
          </reference>
        </references>
      </pivotArea>
    </format>
    <format dxfId="100">
      <pivotArea collapsedLevelsAreSubtotals="1" fieldPosition="0">
        <references count="2">
          <reference field="9" count="5">
            <x v="0"/>
            <x v="1"/>
            <x v="2"/>
            <x v="3"/>
            <x v="4"/>
          </reference>
          <reference field="10" count="1" selected="0">
            <x v="2"/>
          </reference>
        </references>
      </pivotArea>
    </format>
    <format dxfId="99">
      <pivotArea grandRow="1" outline="0" collapsedLevelsAreSubtotals="1" fieldPosition="0"/>
    </format>
  </formats>
  <chartFormats count="2">
    <chartFormat chart="2" format="3" series="1">
      <pivotArea type="data" outline="0" fieldPosition="0">
        <references count="1">
          <reference field="4294967294" count="1" selected="0">
            <x v="0"/>
          </reference>
        </references>
      </pivotArea>
    </chartFormat>
    <chartFormat chart="2" format="4">
      <pivotArea type="data" outline="0" fieldPosition="0">
        <references count="3">
          <reference field="4294967294" count="1" selected="0">
            <x v="0"/>
          </reference>
          <reference field="9" count="1" selected="0">
            <x v="1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ED06E0-BD20-4F36-B24E-242A21866FD0}" name="VENTAS POR LINEA PRODUCTO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Linea de producto">
  <location ref="I3:J11" firstHeaderRow="1" firstDataRow="1" firstDataCol="1"/>
  <pivotFields count="27">
    <pivotField showAll="0"/>
    <pivotField showAll="0"/>
    <pivotField showAll="0"/>
    <pivotField showAll="0"/>
    <pivotField dataField="1" numFmtId="2" showAll="0"/>
    <pivotField showAll="0"/>
    <pivotField showAll="0"/>
    <pivotField multipleItemSelectionAllowed="1" showAll="0"/>
    <pivotField showAll="0">
      <items count="5">
        <item x="0"/>
        <item x="1"/>
        <item x="2"/>
        <item x="3"/>
        <item t="default"/>
      </items>
    </pivotField>
    <pivotField showAll="0">
      <items count="13">
        <item x="7"/>
        <item x="0"/>
        <item x="11"/>
        <item x="8"/>
        <item x="1"/>
        <item x="9"/>
        <item x="2"/>
        <item x="3"/>
        <item x="10"/>
        <item x="4"/>
        <item x="5"/>
        <item x="6"/>
        <item t="default"/>
      </items>
    </pivotField>
    <pivotField showAll="0">
      <items count="4">
        <item x="0"/>
        <item x="1"/>
        <item x="2"/>
        <item t="default"/>
      </items>
    </pivotField>
    <pivotField axis="axisRow" showAll="0" sortType="descending">
      <items count="8">
        <item x="1"/>
        <item x="0"/>
        <item x="4"/>
        <item x="5"/>
        <item x="6"/>
        <item x="2"/>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8">
    <i>
      <x/>
    </i>
    <i>
      <x v="6"/>
    </i>
    <i>
      <x v="2"/>
    </i>
    <i>
      <x v="1"/>
    </i>
    <i>
      <x v="3"/>
    </i>
    <i>
      <x v="5"/>
    </i>
    <i>
      <x v="4"/>
    </i>
    <i t="grand">
      <x/>
    </i>
  </rowItems>
  <colItems count="1">
    <i/>
  </colItems>
  <dataFields count="1">
    <dataField name="Ventas" fld="4" baseField="11" baseItem="3"/>
  </dataFields>
  <formats count="2">
    <format dxfId="106">
      <pivotArea outline="0" collapsedLevelsAreSubtotals="1" fieldPosition="0"/>
    </format>
    <format dxfId="105">
      <pivotArea collapsedLevelsAreSubtotals="1" fieldPosition="0">
        <references count="1">
          <reference field="11" count="0"/>
        </references>
      </pivotArea>
    </format>
  </formats>
  <chartFormats count="1">
    <chartFormat chart="7" format="2"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70DE2BB-0A01-4244-A232-AA5E7BE5C4A8}" name="PROMEDIO POR PEDIDO"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3:S4" firstHeaderRow="1" firstDataRow="1" firstDataCol="0"/>
  <pivotFields count="27">
    <pivotField showAll="0"/>
    <pivotField showAll="0"/>
    <pivotField showAll="0"/>
    <pivotField showAll="0"/>
    <pivotField dataField="1" numFmtId="2" showAll="0"/>
    <pivotField showAll="0"/>
    <pivotField showAll="0"/>
    <pivotField multipleItemSelectionAllowed="1" showAll="0"/>
    <pivotField showAll="0"/>
    <pivotField showAll="0">
      <items count="13">
        <item x="7"/>
        <item h="1" x="0"/>
        <item h="1" x="11"/>
        <item h="1" x="8"/>
        <item h="1" x="1"/>
        <item h="1" x="9"/>
        <item h="1" x="2"/>
        <item h="1" x="3"/>
        <item h="1" x="10"/>
        <item h="1" x="4"/>
        <item h="1" x="5"/>
        <item h="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NETSALES" fld="4" subtotal="average" baseField="0" baseItem="0"/>
  </dataFields>
  <formats count="1">
    <format dxfId="1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D410F8-9C2C-4B55-9338-78EB4B727220}" name="VENTAS POR PAIS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3:Q23" firstHeaderRow="1" firstDataRow="1" firstDataCol="1"/>
  <pivotFields count="27">
    <pivotField showAll="0"/>
    <pivotField showAll="0"/>
    <pivotField showAll="0"/>
    <pivotField showAll="0"/>
    <pivotField dataField="1" numFmtId="2" showAll="0"/>
    <pivotField showAll="0"/>
    <pivotField showAll="0"/>
    <pivotField multipleItemSelectionAllowed="1" showAll="0"/>
    <pivotField showAll="0">
      <items count="5">
        <item x="0"/>
        <item x="1"/>
        <item x="2"/>
        <item x="3"/>
        <item t="default"/>
      </items>
    </pivotField>
    <pivotField showAll="0">
      <items count="13">
        <item x="7"/>
        <item x="0"/>
        <item x="11"/>
        <item x="8"/>
        <item x="1"/>
        <item x="9"/>
        <item x="2"/>
        <item x="3"/>
        <item x="10"/>
        <item x="4"/>
        <item x="5"/>
        <item x="6"/>
        <item t="default"/>
      </items>
    </pivotField>
    <pivotField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axis="axisRow" showAll="0">
      <items count="20">
        <item x="3"/>
        <item x="5"/>
        <item x="14"/>
        <item x="10"/>
        <item x="13"/>
        <item x="4"/>
        <item x="1"/>
        <item x="16"/>
        <item x="18"/>
        <item x="12"/>
        <item x="11"/>
        <item x="2"/>
        <item x="15"/>
        <item x="9"/>
        <item x="7"/>
        <item x="8"/>
        <item x="17"/>
        <item x="6"/>
        <item x="0"/>
        <item t="default"/>
      </items>
    </pivotField>
    <pivotField showAll="0"/>
    <pivotField showAll="0"/>
    <pivotField showAll="0"/>
    <pivotField showAll="0"/>
    <pivotField showAll="0"/>
  </pivotFields>
  <rowFields count="1">
    <field x="21"/>
  </rowFields>
  <rowItems count="20">
    <i>
      <x/>
    </i>
    <i>
      <x v="1"/>
    </i>
    <i>
      <x v="2"/>
    </i>
    <i>
      <x v="3"/>
    </i>
    <i>
      <x v="4"/>
    </i>
    <i>
      <x v="5"/>
    </i>
    <i>
      <x v="6"/>
    </i>
    <i>
      <x v="7"/>
    </i>
    <i>
      <x v="8"/>
    </i>
    <i>
      <x v="9"/>
    </i>
    <i>
      <x v="10"/>
    </i>
    <i>
      <x v="11"/>
    </i>
    <i>
      <x v="12"/>
    </i>
    <i>
      <x v="13"/>
    </i>
    <i>
      <x v="14"/>
    </i>
    <i>
      <x v="15"/>
    </i>
    <i>
      <x v="16"/>
    </i>
    <i>
      <x v="17"/>
    </i>
    <i>
      <x v="18"/>
    </i>
    <i t="grand">
      <x/>
    </i>
  </rowItems>
  <colItems count="1">
    <i/>
  </colItems>
  <dataFields count="1">
    <dataField name="Sum of NETSALES" fld="4" baseField="21" baseItem="10"/>
  </dataFields>
  <formats count="1">
    <format dxfId="108">
      <pivotArea collapsedLevelsAreSubtotals="1" fieldPosition="0">
        <references count="1">
          <reference field="2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A09D8C-57F4-4C8B-B01B-E41FF061994A}" name="VENTAS CANCELADA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8:B19" firstHeaderRow="1" firstDataRow="1" firstDataCol="0" rowPageCount="1" colPageCount="1"/>
  <pivotFields count="27">
    <pivotField showAll="0"/>
    <pivotField showAll="0"/>
    <pivotField showAll="0"/>
    <pivotField dataField="1" showAll="0"/>
    <pivotField numFmtId="2" showAll="0"/>
    <pivotField showAll="0"/>
    <pivotField showAll="0"/>
    <pivotField axis="axisPage" multipleItemSelectionAllowed="1" showAll="0">
      <items count="7">
        <item x="3"/>
        <item h="1" x="1"/>
        <item h="1" x="2"/>
        <item h="1" x="4"/>
        <item h="1" x="5"/>
        <item h="1" x="0"/>
        <item t="default"/>
      </items>
    </pivotField>
    <pivotField showAll="0">
      <items count="5">
        <item x="0"/>
        <item x="1"/>
        <item x="2"/>
        <item x="3"/>
        <item t="default"/>
      </items>
    </pivotField>
    <pivotField showAll="0">
      <items count="13">
        <item x="7"/>
        <item x="0"/>
        <item x="11"/>
        <item x="8"/>
        <item x="1"/>
        <item x="9"/>
        <item x="2"/>
        <item x="3"/>
        <item x="10"/>
        <item x="4"/>
        <item x="5"/>
        <item x="6"/>
        <item t="default"/>
      </items>
    </pivotField>
    <pivotField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pageFields count="1">
    <pageField fld="7" hier="-1"/>
  </pageFields>
  <dataFields count="1">
    <dataField name="Sum of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03B9D3A-8FF3-43C6-B59C-DD0B0604D7F2}" name="TOP 10 CLIENT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liente">
  <location ref="L3:M14" firstHeaderRow="1" firstDataRow="1" firstDataCol="1"/>
  <pivotFields count="27">
    <pivotField showAll="0"/>
    <pivotField showAll="0"/>
    <pivotField showAll="0"/>
    <pivotField showAll="0"/>
    <pivotField dataField="1" numFmtId="2" showAll="0"/>
    <pivotField showAll="0"/>
    <pivotField showAll="0"/>
    <pivotField multipleItemSelectionAllowed="1" showAll="0"/>
    <pivotField showAll="0">
      <items count="5">
        <item x="0"/>
        <item x="1"/>
        <item x="2"/>
        <item x="3"/>
        <item t="default"/>
      </items>
    </pivotField>
    <pivotField showAll="0">
      <items count="13">
        <item x="7"/>
        <item x="0"/>
        <item x="11"/>
        <item x="8"/>
        <item x="1"/>
        <item x="9"/>
        <item x="2"/>
        <item x="3"/>
        <item x="10"/>
        <item x="4"/>
        <item x="5"/>
        <item x="6"/>
        <item t="default"/>
      </items>
    </pivotField>
    <pivotField showAll="0">
      <items count="4">
        <item x="0"/>
        <item x="1"/>
        <item x="2"/>
        <item t="default"/>
      </items>
    </pivotField>
    <pivotField showAll="0"/>
    <pivotField showAll="0"/>
    <pivotField showAll="0"/>
    <pivotField axis="axisRow" showAll="0" measureFilter="1" sortType="descending">
      <items count="93">
        <item x="51"/>
        <item x="36"/>
        <item x="42"/>
        <item x="46"/>
        <item x="87"/>
        <item x="10"/>
        <item x="28"/>
        <item x="38"/>
        <item x="9"/>
        <item x="91"/>
        <item x="77"/>
        <item x="17"/>
        <item x="89"/>
        <item x="72"/>
        <item x="80"/>
        <item x="76"/>
        <item x="33"/>
        <item x="31"/>
        <item x="29"/>
        <item x="27"/>
        <item x="75"/>
        <item x="55"/>
        <item x="41"/>
        <item x="4"/>
        <item x="25"/>
        <item x="66"/>
        <item x="6"/>
        <item x="48"/>
        <item x="18"/>
        <item x="64"/>
        <item x="52"/>
        <item x="26"/>
        <item x="53"/>
        <item x="23"/>
        <item x="21"/>
        <item x="13"/>
        <item x="88"/>
        <item x="58"/>
        <item x="59"/>
        <item x="65"/>
        <item x="78"/>
        <item x="7"/>
        <item x="81"/>
        <item x="62"/>
        <item x="14"/>
        <item x="0"/>
        <item x="70"/>
        <item x="2"/>
        <item x="67"/>
        <item x="15"/>
        <item x="54"/>
        <item x="79"/>
        <item x="63"/>
        <item x="83"/>
        <item x="47"/>
        <item x="50"/>
        <item x="39"/>
        <item x="8"/>
        <item x="45"/>
        <item x="74"/>
        <item x="85"/>
        <item x="40"/>
        <item x="71"/>
        <item x="44"/>
        <item x="60"/>
        <item x="56"/>
        <item x="43"/>
        <item x="1"/>
        <item x="86"/>
        <item x="57"/>
        <item x="90"/>
        <item x="19"/>
        <item x="30"/>
        <item x="37"/>
        <item x="82"/>
        <item x="84"/>
        <item x="20"/>
        <item x="49"/>
        <item x="73"/>
        <item x="34"/>
        <item x="5"/>
        <item x="12"/>
        <item x="61"/>
        <item x="35"/>
        <item x="68"/>
        <item x="16"/>
        <item x="3"/>
        <item x="22"/>
        <item x="69"/>
        <item x="11"/>
        <item x="24"/>
        <item x="3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11">
    <i>
      <x v="33"/>
    </i>
    <i>
      <x v="56"/>
    </i>
    <i>
      <x v="10"/>
    </i>
    <i>
      <x v="68"/>
    </i>
    <i>
      <x v="67"/>
    </i>
    <i>
      <x v="71"/>
    </i>
    <i>
      <x v="5"/>
    </i>
    <i>
      <x v="72"/>
    </i>
    <i>
      <x v="59"/>
    </i>
    <i>
      <x v="44"/>
    </i>
    <i t="grand">
      <x/>
    </i>
  </rowItems>
  <colItems count="1">
    <i/>
  </colItems>
  <dataFields count="1">
    <dataField name="Ventas" fld="4" baseField="0" baseItem="0" numFmtId="165"/>
  </dataFields>
  <formats count="2">
    <format dxfId="110">
      <pivotArea collapsedLevelsAreSubtotals="1" fieldPosition="0">
        <references count="1">
          <reference field="14" count="10">
            <x v="5"/>
            <x v="10"/>
            <x v="33"/>
            <x v="44"/>
            <x v="56"/>
            <x v="59"/>
            <x v="67"/>
            <x v="68"/>
            <x v="71"/>
            <x v="72"/>
          </reference>
        </references>
      </pivotArea>
    </format>
    <format dxfId="109">
      <pivotArea outline="0" collapsedLevelsAreSubtotals="1" fieldPosition="0"/>
    </format>
  </formats>
  <pivotTableStyleInfo name="PivotStyleLight16" showRowHeaders="1" showColHeaders="1" showRowStripes="0" showColStripes="0" showLastColumn="1"/>
  <filters count="1">
    <filter fld="14"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232B30-9950-4E2A-A31E-DBF5E6C91AED}" name="VENTA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C4" firstHeaderRow="0" firstDataRow="1" firstDataCol="0" rowPageCount="1" colPageCount="1"/>
  <pivotFields count="27">
    <pivotField showAll="0"/>
    <pivotField showAll="0"/>
    <pivotField showAll="0"/>
    <pivotField dataField="1" showAll="0"/>
    <pivotField dataField="1" numFmtId="2" showAll="0"/>
    <pivotField showAll="0"/>
    <pivotField showAll="0"/>
    <pivotField axis="axisPage" multipleItemSelectionAllowed="1" showAll="0">
      <items count="7">
        <item x="3"/>
        <item x="1"/>
        <item x="2"/>
        <item x="4"/>
        <item x="5"/>
        <item x="0"/>
        <item t="default"/>
      </items>
    </pivotField>
    <pivotField showAll="0">
      <items count="5">
        <item x="0"/>
        <item x="1"/>
        <item x="2"/>
        <item x="3"/>
        <item t="default"/>
      </items>
    </pivotField>
    <pivotField showAll="0">
      <items count="13">
        <item x="7"/>
        <item x="0"/>
        <item x="11"/>
        <item x="8"/>
        <item x="1"/>
        <item x="9"/>
        <item x="2"/>
        <item x="3"/>
        <item x="10"/>
        <item x="4"/>
        <item x="5"/>
        <item x="6"/>
        <item t="default"/>
      </items>
    </pivotField>
    <pivotField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2">
    <i>
      <x/>
    </i>
    <i i="1">
      <x v="1"/>
    </i>
  </colItems>
  <pageFields count="1">
    <pageField fld="7" hier="-1"/>
  </pageFields>
  <dataFields count="2">
    <dataField name="Sum of SALES" fld="3" baseField="0" baseItem="0"/>
    <dataField name="Sum of NETSALES" fld="4" baseField="0" baseItem="0"/>
  </dataFields>
  <formats count="1">
    <format dxfId="1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96917DA-F037-4AD6-9225-77C651835154}" autoFormatId="16" applyNumberFormats="0" applyBorderFormats="0" applyFontFormats="0" applyPatternFormats="0" applyAlignmentFormats="0" applyWidthHeightFormats="0">
  <queryTableRefresh nextId="30">
    <queryTableFields count="27">
      <queryTableField id="1" name="ORDERNUMBER" tableColumnId="1"/>
      <queryTableField id="2" name="QUANTITYORDERED" tableColumnId="2"/>
      <queryTableField id="3" name="PRICEEACH" tableColumnId="3"/>
      <queryTableField id="26" dataBound="0" tableColumnId="26"/>
      <queryTableField id="29" dataBound="0" tableColumnId="29"/>
      <queryTableField id="4" name="ORDERLINENUMBER" tableColumnId="4"/>
      <queryTableField id="6" name="ORDERDATE" tableColumnId="6"/>
      <queryTableField id="7" name="STATUS" tableColumnId="7"/>
      <queryTableField id="8" name="QTR_ID" tableColumnId="8"/>
      <queryTableField id="9" name="MONTH_ID" tableColumnId="9"/>
      <queryTableField id="10" name="YEAR_ID" tableColumnId="10"/>
      <queryTableField id="11" name="PRODUCTLINE" tableColumnId="11"/>
      <queryTableField id="12" name="MSRP" tableColumnId="12"/>
      <queryTableField id="13" name="PRODUCTCODE" tableColumnId="13"/>
      <queryTableField id="14" name="CUSTOMERNAME" tableColumnId="14"/>
      <queryTableField id="15" name="PHONE" tableColumnId="15"/>
      <queryTableField id="16" name="ADDRESSLINE1" tableColumnId="16"/>
      <queryTableField id="17" name="ADDRESSLINE2" tableColumnId="17"/>
      <queryTableField id="18" name="CITY" tableColumnId="18"/>
      <queryTableField id="19" name="STATE" tableColumnId="19"/>
      <queryTableField id="20" name="POSTALCODE" tableColumnId="20"/>
      <queryTableField id="21" name="COUNTRY" tableColumnId="21"/>
      <queryTableField id="22" name="TERRITORY" tableColumnId="22"/>
      <queryTableField id="23" name="CONTACTLASTNAME" tableColumnId="23"/>
      <queryTableField id="24" name="CONTACTFIRSTNAME" tableColumnId="24"/>
      <queryTableField id="28" dataBound="0" tableColumnId="28"/>
      <queryTableField id="25" name="DEALSIZE" tableColumnId="25"/>
    </queryTableFields>
    <queryTableDeletedFields count="1">
      <deletedField name="SALES"/>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ID" xr10:uid="{D75B939A-6CE7-4468-AC7E-ACDF05B98DAF}" sourceName="YEAR_ID">
  <pivotTables>
    <pivotTable tabId="4" name="VENTAS MENSUALES"/>
    <pivotTable tabId="4" name="VENTAS"/>
    <pivotTable tabId="4" name="VENTAS CANCELADAS"/>
    <pivotTable tabId="4" name="VENTAS PENDIENTES"/>
    <pivotTable tabId="4" name="VENTAS POR LINEA PRODUCTOS"/>
    <pivotTable tabId="4" name="TOP 10 CLIENTES"/>
  </pivotTables>
  <data>
    <tabular pivotCacheId="431196888">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TR_ID" xr10:uid="{DB582C13-82E1-4771-BD2E-9474DAA09D11}" sourceName="QTR_ID">
  <pivotTables>
    <pivotTable tabId="4" name="VENTAS MENSUALES"/>
    <pivotTable tabId="4" name="VENTAS"/>
    <pivotTable tabId="4" name="VENTAS CANCELADAS"/>
    <pivotTable tabId="4" name="VENTAS PENDIENTES"/>
    <pivotTable tabId="4" name="VENTAS POR LINEA PRODUCTOS"/>
    <pivotTable tabId="4" name="TOP 10 CLIENTES"/>
  </pivotTables>
  <data>
    <tabular pivotCacheId="431196888">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ID" xr10:uid="{670B7827-9911-4EA7-ADF8-C8901900C93F}" sourceName="MONTH_ID">
  <pivotTables>
    <pivotTable tabId="4" name="VENTAS"/>
    <pivotTable tabId="4" name="TOP 10 CLIENTES"/>
    <pivotTable tabId="4" name="VENTAS CANCELADAS"/>
    <pivotTable tabId="4" name="VENTAS MENSUALES"/>
    <pivotTable tabId="4" name="VENTAS PENDIENTES"/>
    <pivotTable tabId="4" name="VENTAS POR LINEA PRODUCTOS"/>
  </pivotTables>
  <data>
    <tabular pivotCacheId="431196888" customListSort="0">
      <items count="12">
        <i x="7" s="1"/>
        <i x="0" s="1"/>
        <i x="11" s="1"/>
        <i x="8" s="1"/>
        <i x="1" s="1"/>
        <i x="9" s="1"/>
        <i x="2" s="1"/>
        <i x="3" s="1"/>
        <i x="10" s="1"/>
        <i x="4" s="1"/>
        <i x="5"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ÑOS" xr10:uid="{6EDEFA34-187E-4A90-BF6A-6D933ABDCBD2}" cache="Slicer_YEAR_ID" caption="AÑOS" style="SlicerStyleLight6" rowHeight="257175"/>
  <slicer name="TRIMESTRE" xr10:uid="{7C5B0DC5-4D1F-4831-A1C2-A4681D7934E5}" cache="Slicer_QTR_ID" caption="TRIMESTRE" style="SlicerStyleLight6" rowHeight="257175"/>
  <slicer name="MONTH_ID" xr10:uid="{9D40F057-3A08-4520-A17C-AF4DF20D5C9A}" cache="Slicer_MONTH_ID" caption="MES" startItem="6" style="SlicerStyleLight6"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25A69E-125F-4321-BA3A-B2EB740404AC}" name="sales_data_sample" displayName="sales_data_sample" ref="A1:AA2824" tableType="queryTable" totalsRowShown="0">
  <autoFilter ref="A1:AA2824" xr:uid="{1225A69E-125F-4321-BA3A-B2EB740404AC}"/>
  <tableColumns count="27">
    <tableColumn id="1" xr3:uid="{A07E70AE-700D-4794-A898-F5A79F76D80F}" uniqueName="1" name="ORDERNUMBER" queryTableFieldId="1"/>
    <tableColumn id="2" xr3:uid="{5EB938F3-7FB7-4F7A-B5B1-EA59602ABCA1}" uniqueName="2" name="QUANTITYORDERED" queryTableFieldId="2"/>
    <tableColumn id="3" xr3:uid="{3221F502-5357-49C2-AA3E-131C010368E4}" uniqueName="3" name="PRICEEACH" queryTableFieldId="3"/>
    <tableColumn id="26" xr3:uid="{04EFD9AA-45DE-4E51-BDBB-3488736A12B6}" uniqueName="26" name="SALES" queryTableFieldId="26" dataDxfId="130">
      <calculatedColumnFormula>PRODUCT(sales_data_sample[[#This Row],[QUANTITYORDERED]],sales_data_sample[[#This Row],[PRICEEACH]])</calculatedColumnFormula>
    </tableColumn>
    <tableColumn id="29" xr3:uid="{4849A5EE-233F-4BBE-A6EB-E511105830F9}" uniqueName="29" name="NETSALES" queryTableFieldId="29" dataDxfId="129">
      <calculatedColumnFormula>IF(OR(sales_data_sample[[#This Row],[STATUS]]="Shipped",sales_data_sample[[#This Row],[STATUS]]="Resolved"),sales_data_sample[[#This Row],[SALES]],0)</calculatedColumnFormula>
    </tableColumn>
    <tableColumn id="4" xr3:uid="{A048E868-B170-42C6-B6B4-E14777C71A4C}" uniqueName="4" name="ORDERLINENUMBER" queryTableFieldId="4"/>
    <tableColumn id="6" xr3:uid="{7ED3F274-F32D-49E0-A8D2-3FDC574F132D}" uniqueName="6" name="ORDERDATE" queryTableFieldId="6" dataDxfId="128"/>
    <tableColumn id="7" xr3:uid="{BB0D9933-C118-494D-8CD1-EC3F148D2D18}" uniqueName="7" name="STATUS" queryTableFieldId="7" dataDxfId="127"/>
    <tableColumn id="8" xr3:uid="{848AF376-FFF6-4162-A0AB-D3A4E2A1F822}" uniqueName="8" name="QTR_ID" queryTableFieldId="8"/>
    <tableColumn id="9" xr3:uid="{1959F13A-CFA7-4577-88EA-0F94A7F42C61}" uniqueName="9" name="MONTH_ID" queryTableFieldId="9"/>
    <tableColumn id="10" xr3:uid="{FEFD5C14-C79E-432E-A4C8-B5C3A9291799}" uniqueName="10" name="YEAR_ID" queryTableFieldId="10"/>
    <tableColumn id="11" xr3:uid="{A34A04D4-3D04-4C45-BA00-061D113E1A1E}" uniqueName="11" name="PRODUCTLINE" queryTableFieldId="11" dataDxfId="126"/>
    <tableColumn id="12" xr3:uid="{7AD25BD8-CCDA-4B59-AC2E-6E69186D03A6}" uniqueName="12" name="MSRP" queryTableFieldId="12"/>
    <tableColumn id="13" xr3:uid="{FB0D51A4-7CE6-4A6D-9E2D-3ED0E3EEF0BA}" uniqueName="13" name="PRODUCTCODE" queryTableFieldId="13" dataDxfId="125"/>
    <tableColumn id="14" xr3:uid="{24BCEECC-7628-4CEE-A1EC-E6AF893A0FDA}" uniqueName="14" name="CUSTOMERNAME" queryTableFieldId="14" dataDxfId="124"/>
    <tableColumn id="15" xr3:uid="{2B9C4CB7-5C9A-42DF-B0ED-97EDB5C154D7}" uniqueName="15" name="PHONE" queryTableFieldId="15" dataDxfId="123"/>
    <tableColumn id="16" xr3:uid="{3D9813D1-A29B-4AAF-977C-023FE18F0B36}" uniqueName="16" name="ADDRESSLINE1" queryTableFieldId="16" dataDxfId="122"/>
    <tableColumn id="17" xr3:uid="{60C7C086-1914-4D42-85AC-76A03CFD68E7}" uniqueName="17" name="ADDRESSLINE2" queryTableFieldId="17" dataDxfId="121"/>
    <tableColumn id="18" xr3:uid="{D4741806-9397-40E7-938B-14F678BEEC94}" uniqueName="18" name="CITY" queryTableFieldId="18" dataDxfId="120"/>
    <tableColumn id="19" xr3:uid="{3BD1E1D4-56B5-4447-A17B-D48347304107}" uniqueName="19" name="STATE" queryTableFieldId="19" dataDxfId="119"/>
    <tableColumn id="20" xr3:uid="{3D48307F-F6F1-4969-B023-9FA3A191A038}" uniqueName="20" name="POSTALCODE" queryTableFieldId="20" dataDxfId="118"/>
    <tableColumn id="21" xr3:uid="{7155EDC2-4880-4B99-92E3-9745ACB1CDC9}" uniqueName="21" name="COUNTRY" queryTableFieldId="21" dataDxfId="117"/>
    <tableColumn id="22" xr3:uid="{D42EF722-0C37-4D47-84DD-F5AB162F20A7}" uniqueName="22" name="TERRITORY" queryTableFieldId="22" dataDxfId="116"/>
    <tableColumn id="23" xr3:uid="{6183AFEC-F373-4568-B95E-4F8DE97723A8}" uniqueName="23" name="CONTACTLASTNAME" queryTableFieldId="23" dataDxfId="115"/>
    <tableColumn id="24" xr3:uid="{6B57F7C5-53D2-47BC-BEB4-966B9758C2F9}" uniqueName="24" name="CONTACTFIRSTNAME" queryTableFieldId="24" dataDxfId="114"/>
    <tableColumn id="28" xr3:uid="{85176D20-0456-42C3-AF99-0711B4FD43A7}" uniqueName="28" name="CONTACTFULLNAME" queryTableFieldId="28" dataDxfId="113">
      <calculatedColumnFormula>TRIM(_xlfn.CONCAT(sales_data_sample[[#This Row],[CONTACTFIRSTNAME]],", ",sales_data_sample[[#This Row],[CONTACTLASTNAME]]))</calculatedColumnFormula>
    </tableColumn>
    <tableColumn id="25" xr3:uid="{E4F80204-10E4-423A-89F4-7E76252D98EC}" uniqueName="25" name="DEALSIZE" queryTableFieldId="25" dataDxfId="1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21D41-2189-4D2B-BB38-6425B7019D81}">
  <dimension ref="A1:AA2824"/>
  <sheetViews>
    <sheetView topLeftCell="O2788" workbookViewId="0">
      <selection activeCell="H113" sqref="H113"/>
    </sheetView>
  </sheetViews>
  <sheetFormatPr defaultRowHeight="15" x14ac:dyDescent="0.25"/>
  <cols>
    <col min="1" max="1" width="18" bestFit="1" customWidth="1"/>
    <col min="2" max="2" width="21.85546875" bestFit="1" customWidth="1"/>
    <col min="3" max="3" width="14.140625" bestFit="1" customWidth="1"/>
    <col min="4" max="4" width="14" customWidth="1"/>
    <col min="5" max="5" width="14.7109375" customWidth="1"/>
    <col min="6" max="6" width="22.28515625" bestFit="1" customWidth="1"/>
    <col min="7" max="7" width="14.5703125" style="11" bestFit="1" customWidth="1"/>
    <col min="8" max="8" width="10" customWidth="1"/>
    <col min="9" max="9" width="9.85546875" customWidth="1"/>
    <col min="10" max="10" width="13" customWidth="1"/>
    <col min="11" max="11" width="10.85546875" customWidth="1"/>
    <col min="12" max="12" width="16.5703125" bestFit="1" customWidth="1"/>
    <col min="13" max="13" width="8.42578125" bestFit="1" customWidth="1"/>
    <col min="14" max="14" width="17.85546875" bestFit="1" customWidth="1"/>
    <col min="15" max="15" width="32" bestFit="1" customWidth="1"/>
    <col min="16" max="16" width="15.85546875" bestFit="1" customWidth="1"/>
    <col min="17" max="17" width="39.7109375" bestFit="1" customWidth="1"/>
    <col min="18" max="18" width="17.28515625" bestFit="1" customWidth="1"/>
    <col min="19" max="19" width="14.42578125" bestFit="1" customWidth="1"/>
    <col min="20" max="20" width="11.7109375" bestFit="1" customWidth="1"/>
    <col min="21" max="21" width="15.7109375" bestFit="1" customWidth="1"/>
    <col min="22" max="22" width="12.28515625" bestFit="1" customWidth="1"/>
    <col min="23" max="23" width="13.42578125" bestFit="1" customWidth="1"/>
    <col min="24" max="24" width="22" bestFit="1" customWidth="1"/>
    <col min="25" max="25" width="22.7109375" bestFit="1" customWidth="1"/>
    <col min="26" max="26" width="22.7109375" customWidth="1"/>
    <col min="27" max="27" width="11.85546875" bestFit="1" customWidth="1"/>
  </cols>
  <sheetData>
    <row r="1" spans="1:27" x14ac:dyDescent="0.25">
      <c r="A1" t="s">
        <v>0</v>
      </c>
      <c r="B1" t="s">
        <v>1</v>
      </c>
      <c r="C1" t="s">
        <v>2</v>
      </c>
      <c r="D1" t="s">
        <v>4</v>
      </c>
      <c r="E1" t="s">
        <v>1029</v>
      </c>
      <c r="F1" t="s">
        <v>3</v>
      </c>
      <c r="G1" s="1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1022</v>
      </c>
      <c r="AA1" t="s">
        <v>24</v>
      </c>
    </row>
    <row r="2" spans="1:27" x14ac:dyDescent="0.25">
      <c r="A2" s="10">
        <v>10107</v>
      </c>
      <c r="B2" s="9">
        <v>30</v>
      </c>
      <c r="C2" s="9">
        <v>957</v>
      </c>
      <c r="D2" s="9">
        <f>PRODUCT(sales_data_sample[[#This Row],[QUANTITYORDERED]],sales_data_sample[[#This Row],[PRICEEACH]])</f>
        <v>28710</v>
      </c>
      <c r="E2" s="9">
        <f>IF(OR(sales_data_sample[[#This Row],[STATUS]]="Shipped",sales_data_sample[[#This Row],[STATUS]]="Resolved"),sales_data_sample[[#This Row],[SALES]],0)</f>
        <v>28710</v>
      </c>
      <c r="F2" s="10">
        <v>2</v>
      </c>
      <c r="G2" s="12" t="s">
        <v>25</v>
      </c>
      <c r="H2" s="1" t="s">
        <v>26</v>
      </c>
      <c r="I2">
        <v>1</v>
      </c>
      <c r="J2">
        <v>2</v>
      </c>
      <c r="K2">
        <v>2003</v>
      </c>
      <c r="L2" s="1" t="s">
        <v>27</v>
      </c>
      <c r="M2">
        <v>95</v>
      </c>
      <c r="N2" s="1" t="s">
        <v>28</v>
      </c>
      <c r="O2" s="1" t="s">
        <v>29</v>
      </c>
      <c r="P2" s="1" t="s">
        <v>30</v>
      </c>
      <c r="Q2" s="1" t="s">
        <v>31</v>
      </c>
      <c r="R2" s="1" t="s">
        <v>32</v>
      </c>
      <c r="S2" s="1" t="s">
        <v>33</v>
      </c>
      <c r="T2" s="1" t="s">
        <v>34</v>
      </c>
      <c r="U2" s="1" t="s">
        <v>35</v>
      </c>
      <c r="V2" s="1" t="s">
        <v>36</v>
      </c>
      <c r="W2" s="1" t="s">
        <v>37</v>
      </c>
      <c r="X2" s="1" t="s">
        <v>38</v>
      </c>
      <c r="Y2" s="1" t="s">
        <v>39</v>
      </c>
      <c r="Z2" s="1" t="str">
        <f>TRIM(_xlfn.CONCAT(sales_data_sample[[#This Row],[CONTACTFIRSTNAME]],", ",sales_data_sample[[#This Row],[CONTACTLASTNAME]]))</f>
        <v>Kwai, Yu</v>
      </c>
      <c r="AA2" s="1" t="s">
        <v>40</v>
      </c>
    </row>
    <row r="3" spans="1:27" x14ac:dyDescent="0.25">
      <c r="A3" s="10">
        <v>10121</v>
      </c>
      <c r="B3" s="9">
        <v>34</v>
      </c>
      <c r="C3" s="9">
        <v>8135</v>
      </c>
      <c r="D3" s="9">
        <f>PRODUCT(sales_data_sample[[#This Row],[QUANTITYORDERED]],sales_data_sample[[#This Row],[PRICEEACH]])</f>
        <v>276590</v>
      </c>
      <c r="E3" s="9">
        <f>IF(OR(sales_data_sample[[#This Row],[STATUS]]="Shipped",sales_data_sample[[#This Row],[STATUS]]="Resolved"),sales_data_sample[[#This Row],[SALES]],0)</f>
        <v>276590</v>
      </c>
      <c r="F3" s="10">
        <v>5</v>
      </c>
      <c r="G3" s="12" t="s">
        <v>41</v>
      </c>
      <c r="H3" s="1" t="s">
        <v>26</v>
      </c>
      <c r="I3">
        <v>2</v>
      </c>
      <c r="J3">
        <v>5</v>
      </c>
      <c r="K3">
        <v>2003</v>
      </c>
      <c r="L3" s="1" t="s">
        <v>27</v>
      </c>
      <c r="M3">
        <v>95</v>
      </c>
      <c r="N3" s="1" t="s">
        <v>28</v>
      </c>
      <c r="O3" s="1" t="s">
        <v>42</v>
      </c>
      <c r="P3" s="1" t="s">
        <v>43</v>
      </c>
      <c r="Q3" s="1" t="s">
        <v>44</v>
      </c>
      <c r="R3" s="1" t="s">
        <v>32</v>
      </c>
      <c r="S3" s="1" t="s">
        <v>45</v>
      </c>
      <c r="T3" s="1" t="s">
        <v>32</v>
      </c>
      <c r="U3" s="1" t="s">
        <v>46</v>
      </c>
      <c r="V3" s="1" t="s">
        <v>47</v>
      </c>
      <c r="W3" s="1" t="s">
        <v>48</v>
      </c>
      <c r="X3" s="1" t="s">
        <v>49</v>
      </c>
      <c r="Y3" s="1" t="s">
        <v>50</v>
      </c>
      <c r="Z3" s="1" t="str">
        <f>TRIM(_xlfn.CONCAT(sales_data_sample[[#This Row],[CONTACTFIRSTNAME]],", ",sales_data_sample[[#This Row],[CONTACTLASTNAME]]))</f>
        <v>Paul, Henriot</v>
      </c>
      <c r="AA3" s="1" t="s">
        <v>40</v>
      </c>
    </row>
    <row r="4" spans="1:27" x14ac:dyDescent="0.25">
      <c r="A4" s="10">
        <v>10134</v>
      </c>
      <c r="B4" s="9">
        <v>41</v>
      </c>
      <c r="C4" s="9">
        <v>9474</v>
      </c>
      <c r="D4" s="9">
        <f>PRODUCT(sales_data_sample[[#This Row],[QUANTITYORDERED]],sales_data_sample[[#This Row],[PRICEEACH]])</f>
        <v>388434</v>
      </c>
      <c r="E4" s="9">
        <f>IF(OR(sales_data_sample[[#This Row],[STATUS]]="Shipped",sales_data_sample[[#This Row],[STATUS]]="Resolved"),sales_data_sample[[#This Row],[SALES]],0)</f>
        <v>388434</v>
      </c>
      <c r="F4" s="10">
        <v>2</v>
      </c>
      <c r="G4" s="12" t="s">
        <v>51</v>
      </c>
      <c r="H4" s="1" t="s">
        <v>26</v>
      </c>
      <c r="I4">
        <v>3</v>
      </c>
      <c r="J4">
        <v>7</v>
      </c>
      <c r="K4">
        <v>2003</v>
      </c>
      <c r="L4" s="1" t="s">
        <v>27</v>
      </c>
      <c r="M4">
        <v>95</v>
      </c>
      <c r="N4" s="1" t="s">
        <v>28</v>
      </c>
      <c r="O4" s="1" t="s">
        <v>52</v>
      </c>
      <c r="P4" s="1" t="s">
        <v>53</v>
      </c>
      <c r="Q4" s="1" t="s">
        <v>54</v>
      </c>
      <c r="R4" s="1" t="s">
        <v>32</v>
      </c>
      <c r="S4" s="1" t="s">
        <v>55</v>
      </c>
      <c r="T4" s="1" t="s">
        <v>32</v>
      </c>
      <c r="U4" s="1" t="s">
        <v>56</v>
      </c>
      <c r="V4" s="1" t="s">
        <v>47</v>
      </c>
      <c r="W4" s="1" t="s">
        <v>48</v>
      </c>
      <c r="X4" s="1" t="s">
        <v>57</v>
      </c>
      <c r="Y4" s="1" t="s">
        <v>58</v>
      </c>
      <c r="Z4" s="1" t="str">
        <f>TRIM(_xlfn.CONCAT(sales_data_sample[[#This Row],[CONTACTFIRSTNAME]],", ",sales_data_sample[[#This Row],[CONTACTLASTNAME]]))</f>
        <v>Daniel, Da Cunha</v>
      </c>
      <c r="AA4" s="1" t="s">
        <v>59</v>
      </c>
    </row>
    <row r="5" spans="1:27" x14ac:dyDescent="0.25">
      <c r="A5" s="10">
        <v>10145</v>
      </c>
      <c r="B5" s="9">
        <v>45</v>
      </c>
      <c r="C5" s="9">
        <v>8326</v>
      </c>
      <c r="D5" s="9">
        <f>PRODUCT(sales_data_sample[[#This Row],[QUANTITYORDERED]],sales_data_sample[[#This Row],[PRICEEACH]])</f>
        <v>374670</v>
      </c>
      <c r="E5" s="9">
        <f>IF(OR(sales_data_sample[[#This Row],[STATUS]]="Shipped",sales_data_sample[[#This Row],[STATUS]]="Resolved"),sales_data_sample[[#This Row],[SALES]],0)</f>
        <v>374670</v>
      </c>
      <c r="F5" s="10">
        <v>6</v>
      </c>
      <c r="G5" s="12" t="s">
        <v>60</v>
      </c>
      <c r="H5" s="1" t="s">
        <v>26</v>
      </c>
      <c r="I5">
        <v>3</v>
      </c>
      <c r="J5">
        <v>8</v>
      </c>
      <c r="K5">
        <v>2003</v>
      </c>
      <c r="L5" s="1" t="s">
        <v>27</v>
      </c>
      <c r="M5">
        <v>95</v>
      </c>
      <c r="N5" s="1" t="s">
        <v>28</v>
      </c>
      <c r="O5" s="1" t="s">
        <v>61</v>
      </c>
      <c r="P5" s="1" t="s">
        <v>62</v>
      </c>
      <c r="Q5" s="1" t="s">
        <v>63</v>
      </c>
      <c r="R5" s="1" t="s">
        <v>32</v>
      </c>
      <c r="S5" s="1" t="s">
        <v>64</v>
      </c>
      <c r="T5" s="1" t="s">
        <v>65</v>
      </c>
      <c r="U5" s="1" t="s">
        <v>66</v>
      </c>
      <c r="V5" s="1" t="s">
        <v>36</v>
      </c>
      <c r="W5" s="1" t="s">
        <v>37</v>
      </c>
      <c r="X5" s="1" t="s">
        <v>67</v>
      </c>
      <c r="Y5" s="1" t="s">
        <v>68</v>
      </c>
      <c r="Z5" s="1" t="str">
        <f>TRIM(_xlfn.CONCAT(sales_data_sample[[#This Row],[CONTACTFIRSTNAME]],", ",sales_data_sample[[#This Row],[CONTACTLASTNAME]]))</f>
        <v>Julie, Young</v>
      </c>
      <c r="AA5" s="1" t="s">
        <v>59</v>
      </c>
    </row>
    <row r="6" spans="1:27" x14ac:dyDescent="0.25">
      <c r="A6" s="10">
        <v>10159</v>
      </c>
      <c r="B6" s="9">
        <v>49</v>
      </c>
      <c r="C6" s="9">
        <v>100</v>
      </c>
      <c r="D6" s="9">
        <f>PRODUCT(sales_data_sample[[#This Row],[QUANTITYORDERED]],sales_data_sample[[#This Row],[PRICEEACH]])</f>
        <v>4900</v>
      </c>
      <c r="E6" s="9">
        <f>IF(OR(sales_data_sample[[#This Row],[STATUS]]="Shipped",sales_data_sample[[#This Row],[STATUS]]="Resolved"),sales_data_sample[[#This Row],[SALES]],0)</f>
        <v>4900</v>
      </c>
      <c r="F6" s="10">
        <v>14</v>
      </c>
      <c r="G6" s="12" t="s">
        <v>69</v>
      </c>
      <c r="H6" s="1" t="s">
        <v>26</v>
      </c>
      <c r="I6">
        <v>4</v>
      </c>
      <c r="J6">
        <v>10</v>
      </c>
      <c r="K6">
        <v>2003</v>
      </c>
      <c r="L6" s="1" t="s">
        <v>27</v>
      </c>
      <c r="M6">
        <v>95</v>
      </c>
      <c r="N6" s="1" t="s">
        <v>28</v>
      </c>
      <c r="O6" s="1" t="s">
        <v>70</v>
      </c>
      <c r="P6" s="1" t="s">
        <v>71</v>
      </c>
      <c r="Q6" s="1" t="s">
        <v>72</v>
      </c>
      <c r="R6" s="1" t="s">
        <v>32</v>
      </c>
      <c r="S6" s="1" t="s">
        <v>73</v>
      </c>
      <c r="T6" s="1" t="s">
        <v>65</v>
      </c>
      <c r="U6" s="1" t="s">
        <v>32</v>
      </c>
      <c r="V6" s="1" t="s">
        <v>36</v>
      </c>
      <c r="W6" s="1" t="s">
        <v>37</v>
      </c>
      <c r="X6" s="1" t="s">
        <v>74</v>
      </c>
      <c r="Y6" s="1" t="s">
        <v>68</v>
      </c>
      <c r="Z6" s="1" t="str">
        <f>TRIM(_xlfn.CONCAT(sales_data_sample[[#This Row],[CONTACTFIRSTNAME]],", ",sales_data_sample[[#This Row],[CONTACTLASTNAME]]))</f>
        <v>Julie, Brown</v>
      </c>
      <c r="AA6" s="1" t="s">
        <v>59</v>
      </c>
    </row>
    <row r="7" spans="1:27" x14ac:dyDescent="0.25">
      <c r="A7" s="10">
        <v>10168</v>
      </c>
      <c r="B7" s="9">
        <v>36</v>
      </c>
      <c r="C7" s="9">
        <v>9666</v>
      </c>
      <c r="D7" s="9">
        <f>PRODUCT(sales_data_sample[[#This Row],[QUANTITYORDERED]],sales_data_sample[[#This Row],[PRICEEACH]])</f>
        <v>347976</v>
      </c>
      <c r="E7" s="9">
        <f>IF(OR(sales_data_sample[[#This Row],[STATUS]]="Shipped",sales_data_sample[[#This Row],[STATUS]]="Resolved"),sales_data_sample[[#This Row],[SALES]],0)</f>
        <v>347976</v>
      </c>
      <c r="F7" s="10">
        <v>1</v>
      </c>
      <c r="G7" s="12" t="s">
        <v>75</v>
      </c>
      <c r="H7" s="1" t="s">
        <v>26</v>
      </c>
      <c r="I7">
        <v>4</v>
      </c>
      <c r="J7">
        <v>10</v>
      </c>
      <c r="K7">
        <v>2003</v>
      </c>
      <c r="L7" s="1" t="s">
        <v>27</v>
      </c>
      <c r="M7">
        <v>95</v>
      </c>
      <c r="N7" s="1" t="s">
        <v>28</v>
      </c>
      <c r="O7" s="1" t="s">
        <v>76</v>
      </c>
      <c r="P7" s="1" t="s">
        <v>77</v>
      </c>
      <c r="Q7" s="1" t="s">
        <v>78</v>
      </c>
      <c r="R7" s="1" t="s">
        <v>32</v>
      </c>
      <c r="S7" s="1" t="s">
        <v>79</v>
      </c>
      <c r="T7" s="1" t="s">
        <v>65</v>
      </c>
      <c r="U7" s="1" t="s">
        <v>80</v>
      </c>
      <c r="V7" s="1" t="s">
        <v>36</v>
      </c>
      <c r="W7" s="1" t="s">
        <v>37</v>
      </c>
      <c r="X7" s="1" t="s">
        <v>81</v>
      </c>
      <c r="Y7" s="1" t="s">
        <v>82</v>
      </c>
      <c r="Z7" s="1" t="str">
        <f>TRIM(_xlfn.CONCAT(sales_data_sample[[#This Row],[CONTACTFIRSTNAME]],", ",sales_data_sample[[#This Row],[CONTACTLASTNAME]]))</f>
        <v>Juri, Hirano</v>
      </c>
      <c r="AA7" s="1" t="s">
        <v>59</v>
      </c>
    </row>
    <row r="8" spans="1:27" x14ac:dyDescent="0.25">
      <c r="A8" s="10">
        <v>10180</v>
      </c>
      <c r="B8" s="9">
        <v>29</v>
      </c>
      <c r="C8" s="9">
        <v>8613</v>
      </c>
      <c r="D8" s="9">
        <f>PRODUCT(sales_data_sample[[#This Row],[QUANTITYORDERED]],sales_data_sample[[#This Row],[PRICEEACH]])</f>
        <v>249777</v>
      </c>
      <c r="E8" s="9">
        <f>IF(OR(sales_data_sample[[#This Row],[STATUS]]="Shipped",sales_data_sample[[#This Row],[STATUS]]="Resolved"),sales_data_sample[[#This Row],[SALES]],0)</f>
        <v>249777</v>
      </c>
      <c r="F8" s="10">
        <v>9</v>
      </c>
      <c r="G8" s="12" t="s">
        <v>83</v>
      </c>
      <c r="H8" s="1" t="s">
        <v>26</v>
      </c>
      <c r="I8">
        <v>4</v>
      </c>
      <c r="J8">
        <v>11</v>
      </c>
      <c r="K8">
        <v>2003</v>
      </c>
      <c r="L8" s="1" t="s">
        <v>27</v>
      </c>
      <c r="M8">
        <v>95</v>
      </c>
      <c r="N8" s="1" t="s">
        <v>28</v>
      </c>
      <c r="O8" s="1" t="s">
        <v>84</v>
      </c>
      <c r="P8" s="1" t="s">
        <v>85</v>
      </c>
      <c r="Q8" s="1" t="s">
        <v>86</v>
      </c>
      <c r="R8" s="1" t="s">
        <v>32</v>
      </c>
      <c r="S8" s="1" t="s">
        <v>87</v>
      </c>
      <c r="T8" s="1" t="s">
        <v>32</v>
      </c>
      <c r="U8" s="1" t="s">
        <v>88</v>
      </c>
      <c r="V8" s="1" t="s">
        <v>47</v>
      </c>
      <c r="W8" s="1" t="s">
        <v>48</v>
      </c>
      <c r="X8" s="1" t="s">
        <v>89</v>
      </c>
      <c r="Y8" s="1" t="s">
        <v>90</v>
      </c>
      <c r="Z8" s="1" t="str">
        <f>TRIM(_xlfn.CONCAT(sales_data_sample[[#This Row],[CONTACTFIRSTNAME]],", ",sales_data_sample[[#This Row],[CONTACTLASTNAME]]))</f>
        <v>Martine, Rance</v>
      </c>
      <c r="AA8" s="1" t="s">
        <v>40</v>
      </c>
    </row>
    <row r="9" spans="1:27" x14ac:dyDescent="0.25">
      <c r="A9" s="10">
        <v>10188</v>
      </c>
      <c r="B9" s="9">
        <v>48</v>
      </c>
      <c r="C9" s="9">
        <v>100</v>
      </c>
      <c r="D9" s="9">
        <f>PRODUCT(sales_data_sample[[#This Row],[QUANTITYORDERED]],sales_data_sample[[#This Row],[PRICEEACH]])</f>
        <v>4800</v>
      </c>
      <c r="E9" s="9">
        <f>IF(OR(sales_data_sample[[#This Row],[STATUS]]="Shipped",sales_data_sample[[#This Row],[STATUS]]="Resolved"),sales_data_sample[[#This Row],[SALES]],0)</f>
        <v>4800</v>
      </c>
      <c r="F9" s="10">
        <v>1</v>
      </c>
      <c r="G9" s="12" t="s">
        <v>91</v>
      </c>
      <c r="H9" s="1" t="s">
        <v>26</v>
      </c>
      <c r="I9">
        <v>4</v>
      </c>
      <c r="J9">
        <v>11</v>
      </c>
      <c r="K9">
        <v>2003</v>
      </c>
      <c r="L9" s="1" t="s">
        <v>27</v>
      </c>
      <c r="M9">
        <v>95</v>
      </c>
      <c r="N9" s="1" t="s">
        <v>28</v>
      </c>
      <c r="O9" s="1" t="s">
        <v>92</v>
      </c>
      <c r="P9" s="1" t="s">
        <v>93</v>
      </c>
      <c r="Q9" s="1" t="s">
        <v>94</v>
      </c>
      <c r="R9" s="1" t="s">
        <v>32</v>
      </c>
      <c r="S9" s="1" t="s">
        <v>95</v>
      </c>
      <c r="T9" s="1" t="s">
        <v>32</v>
      </c>
      <c r="U9" s="1" t="s">
        <v>96</v>
      </c>
      <c r="V9" s="1" t="s">
        <v>97</v>
      </c>
      <c r="W9" s="1" t="s">
        <v>48</v>
      </c>
      <c r="X9" s="1" t="s">
        <v>98</v>
      </c>
      <c r="Y9" s="1" t="s">
        <v>99</v>
      </c>
      <c r="Z9" s="1" t="str">
        <f>TRIM(_xlfn.CONCAT(sales_data_sample[[#This Row],[CONTACTFIRSTNAME]],", ",sales_data_sample[[#This Row],[CONTACTLASTNAME]]))</f>
        <v>Veysel, Oeztan</v>
      </c>
      <c r="AA9" s="1" t="s">
        <v>59</v>
      </c>
    </row>
    <row r="10" spans="1:27" x14ac:dyDescent="0.25">
      <c r="A10" s="10">
        <v>10201</v>
      </c>
      <c r="B10" s="9">
        <v>22</v>
      </c>
      <c r="C10" s="9">
        <v>9857</v>
      </c>
      <c r="D10" s="9">
        <f>PRODUCT(sales_data_sample[[#This Row],[QUANTITYORDERED]],sales_data_sample[[#This Row],[PRICEEACH]])</f>
        <v>216854</v>
      </c>
      <c r="E10" s="9">
        <f>IF(OR(sales_data_sample[[#This Row],[STATUS]]="Shipped",sales_data_sample[[#This Row],[STATUS]]="Resolved"),sales_data_sample[[#This Row],[SALES]],0)</f>
        <v>216854</v>
      </c>
      <c r="F10" s="10">
        <v>2</v>
      </c>
      <c r="G10" s="12" t="s">
        <v>100</v>
      </c>
      <c r="H10" s="1" t="s">
        <v>26</v>
      </c>
      <c r="I10">
        <v>4</v>
      </c>
      <c r="J10">
        <v>12</v>
      </c>
      <c r="K10">
        <v>2003</v>
      </c>
      <c r="L10" s="1" t="s">
        <v>27</v>
      </c>
      <c r="M10">
        <v>95</v>
      </c>
      <c r="N10" s="1" t="s">
        <v>28</v>
      </c>
      <c r="O10" s="1" t="s">
        <v>101</v>
      </c>
      <c r="P10" s="1" t="s">
        <v>102</v>
      </c>
      <c r="Q10" s="1" t="s">
        <v>103</v>
      </c>
      <c r="R10" s="1" t="s">
        <v>32</v>
      </c>
      <c r="S10" s="1" t="s">
        <v>73</v>
      </c>
      <c r="T10" s="1" t="s">
        <v>65</v>
      </c>
      <c r="U10" s="1" t="s">
        <v>32</v>
      </c>
      <c r="V10" s="1" t="s">
        <v>36</v>
      </c>
      <c r="W10" s="1" t="s">
        <v>37</v>
      </c>
      <c r="X10" s="1" t="s">
        <v>104</v>
      </c>
      <c r="Y10" s="1" t="s">
        <v>68</v>
      </c>
      <c r="Z10" s="1" t="str">
        <f>TRIM(_xlfn.CONCAT(sales_data_sample[[#This Row],[CONTACTFIRSTNAME]],", ",sales_data_sample[[#This Row],[CONTACTLASTNAME]]))</f>
        <v>Julie, Murphy</v>
      </c>
      <c r="AA10" s="1" t="s">
        <v>40</v>
      </c>
    </row>
    <row r="11" spans="1:27" x14ac:dyDescent="0.25">
      <c r="A11" s="10">
        <v>10211</v>
      </c>
      <c r="B11" s="9">
        <v>41</v>
      </c>
      <c r="C11" s="9">
        <v>100</v>
      </c>
      <c r="D11" s="9">
        <f>PRODUCT(sales_data_sample[[#This Row],[QUANTITYORDERED]],sales_data_sample[[#This Row],[PRICEEACH]])</f>
        <v>4100</v>
      </c>
      <c r="E11" s="9">
        <f>IF(OR(sales_data_sample[[#This Row],[STATUS]]="Shipped",sales_data_sample[[#This Row],[STATUS]]="Resolved"),sales_data_sample[[#This Row],[SALES]],0)</f>
        <v>4100</v>
      </c>
      <c r="F11" s="10">
        <v>14</v>
      </c>
      <c r="G11" s="12" t="s">
        <v>105</v>
      </c>
      <c r="H11" s="1" t="s">
        <v>26</v>
      </c>
      <c r="I11">
        <v>1</v>
      </c>
      <c r="J11">
        <v>1</v>
      </c>
      <c r="K11">
        <v>2004</v>
      </c>
      <c r="L11" s="1" t="s">
        <v>27</v>
      </c>
      <c r="M11">
        <v>95</v>
      </c>
      <c r="N11" s="1" t="s">
        <v>28</v>
      </c>
      <c r="O11" s="1" t="s">
        <v>106</v>
      </c>
      <c r="P11" s="1" t="s">
        <v>107</v>
      </c>
      <c r="Q11" s="1" t="s">
        <v>108</v>
      </c>
      <c r="R11" s="1" t="s">
        <v>32</v>
      </c>
      <c r="S11" s="1" t="s">
        <v>55</v>
      </c>
      <c r="T11" s="1" t="s">
        <v>32</v>
      </c>
      <c r="U11" s="1" t="s">
        <v>109</v>
      </c>
      <c r="V11" s="1" t="s">
        <v>47</v>
      </c>
      <c r="W11" s="1" t="s">
        <v>48</v>
      </c>
      <c r="X11" s="1" t="s">
        <v>110</v>
      </c>
      <c r="Y11" s="1" t="s">
        <v>111</v>
      </c>
      <c r="Z11" s="1" t="str">
        <f>TRIM(_xlfn.CONCAT(sales_data_sample[[#This Row],[CONTACTFIRSTNAME]],", ",sales_data_sample[[#This Row],[CONTACTLASTNAME]]))</f>
        <v>Dominique, Perrier</v>
      </c>
      <c r="AA11" s="1" t="s">
        <v>59</v>
      </c>
    </row>
    <row r="12" spans="1:27" x14ac:dyDescent="0.25">
      <c r="A12">
        <v>10223</v>
      </c>
      <c r="B12">
        <v>37</v>
      </c>
      <c r="C12">
        <v>100</v>
      </c>
      <c r="D12">
        <f>PRODUCT(sales_data_sample[[#This Row],[QUANTITYORDERED]],sales_data_sample[[#This Row],[PRICEEACH]])</f>
        <v>3700</v>
      </c>
      <c r="E12" s="9">
        <f>IF(OR(sales_data_sample[[#This Row],[STATUS]]="Shipped",sales_data_sample[[#This Row],[STATUS]]="Resolved"),sales_data_sample[[#This Row],[SALES]],0)</f>
        <v>3700</v>
      </c>
      <c r="F12">
        <v>1</v>
      </c>
      <c r="G12" s="12" t="s">
        <v>112</v>
      </c>
      <c r="H12" s="1" t="s">
        <v>26</v>
      </c>
      <c r="I12">
        <v>1</v>
      </c>
      <c r="J12">
        <v>2</v>
      </c>
      <c r="K12">
        <v>2004</v>
      </c>
      <c r="L12" s="1" t="s">
        <v>27</v>
      </c>
      <c r="M12">
        <v>95</v>
      </c>
      <c r="N12" s="1" t="s">
        <v>28</v>
      </c>
      <c r="O12" s="1" t="s">
        <v>113</v>
      </c>
      <c r="P12" s="1" t="s">
        <v>114</v>
      </c>
      <c r="Q12" s="1" t="s">
        <v>115</v>
      </c>
      <c r="R12" s="1" t="s">
        <v>116</v>
      </c>
      <c r="S12" s="1" t="s">
        <v>117</v>
      </c>
      <c r="T12" s="1" t="s">
        <v>118</v>
      </c>
      <c r="U12" s="1" t="s">
        <v>119</v>
      </c>
      <c r="V12" s="1" t="s">
        <v>120</v>
      </c>
      <c r="W12" s="1" t="s">
        <v>121</v>
      </c>
      <c r="X12" s="1" t="s">
        <v>122</v>
      </c>
      <c r="Y12" s="1" t="s">
        <v>123</v>
      </c>
      <c r="Z12" s="1" t="str">
        <f>TRIM(_xlfn.CONCAT(sales_data_sample[[#This Row],[CONTACTFIRSTNAME]],", ",sales_data_sample[[#This Row],[CONTACTLASTNAME]]))</f>
        <v>Peter, Ferguson</v>
      </c>
      <c r="AA12" s="1" t="s">
        <v>59</v>
      </c>
    </row>
    <row r="13" spans="1:27" x14ac:dyDescent="0.25">
      <c r="A13">
        <v>10237</v>
      </c>
      <c r="B13">
        <v>23</v>
      </c>
      <c r="C13">
        <v>100</v>
      </c>
      <c r="D13">
        <f>PRODUCT(sales_data_sample[[#This Row],[QUANTITYORDERED]],sales_data_sample[[#This Row],[PRICEEACH]])</f>
        <v>2300</v>
      </c>
      <c r="E13" s="9">
        <f>IF(OR(sales_data_sample[[#This Row],[STATUS]]="Shipped",sales_data_sample[[#This Row],[STATUS]]="Resolved"),sales_data_sample[[#This Row],[SALES]],0)</f>
        <v>2300</v>
      </c>
      <c r="F13">
        <v>7</v>
      </c>
      <c r="G13" s="12" t="s">
        <v>124</v>
      </c>
      <c r="H13" s="1" t="s">
        <v>26</v>
      </c>
      <c r="I13">
        <v>2</v>
      </c>
      <c r="J13">
        <v>4</v>
      </c>
      <c r="K13">
        <v>2004</v>
      </c>
      <c r="L13" s="1" t="s">
        <v>27</v>
      </c>
      <c r="M13">
        <v>95</v>
      </c>
      <c r="N13" s="1" t="s">
        <v>28</v>
      </c>
      <c r="O13" s="1" t="s">
        <v>125</v>
      </c>
      <c r="P13" s="1" t="s">
        <v>126</v>
      </c>
      <c r="Q13" s="1" t="s">
        <v>127</v>
      </c>
      <c r="R13" s="1" t="s">
        <v>128</v>
      </c>
      <c r="S13" s="1" t="s">
        <v>33</v>
      </c>
      <c r="T13" s="1" t="s">
        <v>34</v>
      </c>
      <c r="U13" s="1" t="s">
        <v>35</v>
      </c>
      <c r="V13" s="1" t="s">
        <v>36</v>
      </c>
      <c r="W13" s="1" t="s">
        <v>37</v>
      </c>
      <c r="X13" s="1" t="s">
        <v>129</v>
      </c>
      <c r="Y13" s="1" t="s">
        <v>130</v>
      </c>
      <c r="Z13" s="1" t="str">
        <f>TRIM(_xlfn.CONCAT(sales_data_sample[[#This Row],[CONTACTFIRSTNAME]],", ",sales_data_sample[[#This Row],[CONTACTLASTNAME]]))</f>
        <v>Michael, Frick</v>
      </c>
      <c r="AA13" s="1" t="s">
        <v>40</v>
      </c>
    </row>
    <row r="14" spans="1:27" x14ac:dyDescent="0.25">
      <c r="A14" s="10">
        <v>10251</v>
      </c>
      <c r="B14" s="9">
        <v>28</v>
      </c>
      <c r="C14" s="9">
        <v>100</v>
      </c>
      <c r="D14" s="9">
        <f>PRODUCT(sales_data_sample[[#This Row],[QUANTITYORDERED]],sales_data_sample[[#This Row],[PRICEEACH]])</f>
        <v>2800</v>
      </c>
      <c r="E14" s="9">
        <f>IF(OR(sales_data_sample[[#This Row],[STATUS]]="Shipped",sales_data_sample[[#This Row],[STATUS]]="Resolved"),sales_data_sample[[#This Row],[SALES]],0)</f>
        <v>2800</v>
      </c>
      <c r="F14" s="10">
        <v>2</v>
      </c>
      <c r="G14" s="12" t="s">
        <v>131</v>
      </c>
      <c r="H14" s="1" t="s">
        <v>26</v>
      </c>
      <c r="I14">
        <v>2</v>
      </c>
      <c r="J14">
        <v>5</v>
      </c>
      <c r="K14">
        <v>2004</v>
      </c>
      <c r="L14" s="1" t="s">
        <v>27</v>
      </c>
      <c r="M14">
        <v>95</v>
      </c>
      <c r="N14" s="1" t="s">
        <v>28</v>
      </c>
      <c r="O14" s="1" t="s">
        <v>132</v>
      </c>
      <c r="P14" s="1" t="s">
        <v>133</v>
      </c>
      <c r="Q14" s="1" t="s">
        <v>134</v>
      </c>
      <c r="R14" s="1" t="s">
        <v>32</v>
      </c>
      <c r="S14" s="1" t="s">
        <v>135</v>
      </c>
      <c r="T14" s="1" t="s">
        <v>136</v>
      </c>
      <c r="U14" s="1" t="s">
        <v>137</v>
      </c>
      <c r="V14" s="1" t="s">
        <v>36</v>
      </c>
      <c r="W14" s="1" t="s">
        <v>37</v>
      </c>
      <c r="X14" s="1" t="s">
        <v>74</v>
      </c>
      <c r="Y14" s="1" t="s">
        <v>138</v>
      </c>
      <c r="Z14" s="1" t="str">
        <f>TRIM(_xlfn.CONCAT(sales_data_sample[[#This Row],[CONTACTFIRSTNAME]],", ",sales_data_sample[[#This Row],[CONTACTLASTNAME]]))</f>
        <v>William, Brown</v>
      </c>
      <c r="AA14" s="1" t="s">
        <v>59</v>
      </c>
    </row>
    <row r="15" spans="1:27" x14ac:dyDescent="0.25">
      <c r="A15" s="10">
        <v>10263</v>
      </c>
      <c r="B15" s="9">
        <v>34</v>
      </c>
      <c r="C15" s="9">
        <v>100</v>
      </c>
      <c r="D15" s="9">
        <f>PRODUCT(sales_data_sample[[#This Row],[QUANTITYORDERED]],sales_data_sample[[#This Row],[PRICEEACH]])</f>
        <v>3400</v>
      </c>
      <c r="E15" s="9">
        <f>IF(OR(sales_data_sample[[#This Row],[STATUS]]="Shipped",sales_data_sample[[#This Row],[STATUS]]="Resolved"),sales_data_sample[[#This Row],[SALES]],0)</f>
        <v>3400</v>
      </c>
      <c r="F15" s="10">
        <v>2</v>
      </c>
      <c r="G15" s="12" t="s">
        <v>139</v>
      </c>
      <c r="H15" s="1" t="s">
        <v>26</v>
      </c>
      <c r="I15">
        <v>2</v>
      </c>
      <c r="J15">
        <v>6</v>
      </c>
      <c r="K15">
        <v>2004</v>
      </c>
      <c r="L15" s="1" t="s">
        <v>27</v>
      </c>
      <c r="M15">
        <v>95</v>
      </c>
      <c r="N15" s="1" t="s">
        <v>28</v>
      </c>
      <c r="O15" s="1" t="s">
        <v>140</v>
      </c>
      <c r="P15" s="1" t="s">
        <v>141</v>
      </c>
      <c r="Q15" s="1" t="s">
        <v>142</v>
      </c>
      <c r="R15" s="1" t="s">
        <v>32</v>
      </c>
      <c r="S15" s="1" t="s">
        <v>143</v>
      </c>
      <c r="T15" s="1" t="s">
        <v>144</v>
      </c>
      <c r="U15" s="1" t="s">
        <v>145</v>
      </c>
      <c r="V15" s="1" t="s">
        <v>36</v>
      </c>
      <c r="W15" s="1" t="s">
        <v>37</v>
      </c>
      <c r="X15" s="1" t="s">
        <v>146</v>
      </c>
      <c r="Y15" s="1" t="s">
        <v>68</v>
      </c>
      <c r="Z15" s="1" t="str">
        <f>TRIM(_xlfn.CONCAT(sales_data_sample[[#This Row],[CONTACTFIRSTNAME]],", ",sales_data_sample[[#This Row],[CONTACTLASTNAME]]))</f>
        <v>Julie, King</v>
      </c>
      <c r="AA15" s="1" t="s">
        <v>59</v>
      </c>
    </row>
    <row r="16" spans="1:27" x14ac:dyDescent="0.25">
      <c r="A16" s="10">
        <v>10275</v>
      </c>
      <c r="B16" s="9">
        <v>45</v>
      </c>
      <c r="C16" s="9">
        <v>9283</v>
      </c>
      <c r="D16" s="9">
        <f>PRODUCT(sales_data_sample[[#This Row],[QUANTITYORDERED]],sales_data_sample[[#This Row],[PRICEEACH]])</f>
        <v>417735</v>
      </c>
      <c r="E16" s="9">
        <f>IF(OR(sales_data_sample[[#This Row],[STATUS]]="Shipped",sales_data_sample[[#This Row],[STATUS]]="Resolved"),sales_data_sample[[#This Row],[SALES]],0)</f>
        <v>417735</v>
      </c>
      <c r="F16" s="10">
        <v>1</v>
      </c>
      <c r="G16" s="12" t="s">
        <v>147</v>
      </c>
      <c r="H16" s="1" t="s">
        <v>26</v>
      </c>
      <c r="I16">
        <v>3</v>
      </c>
      <c r="J16">
        <v>7</v>
      </c>
      <c r="K16">
        <v>2004</v>
      </c>
      <c r="L16" s="1" t="s">
        <v>27</v>
      </c>
      <c r="M16">
        <v>95</v>
      </c>
      <c r="N16" s="1" t="s">
        <v>28</v>
      </c>
      <c r="O16" s="1" t="s">
        <v>148</v>
      </c>
      <c r="P16" s="1" t="s">
        <v>149</v>
      </c>
      <c r="Q16" s="1" t="s">
        <v>150</v>
      </c>
      <c r="R16" s="1" t="s">
        <v>32</v>
      </c>
      <c r="S16" s="1" t="s">
        <v>151</v>
      </c>
      <c r="T16" s="1" t="s">
        <v>32</v>
      </c>
      <c r="U16" s="1" t="s">
        <v>152</v>
      </c>
      <c r="V16" s="1" t="s">
        <v>47</v>
      </c>
      <c r="W16" s="1" t="s">
        <v>48</v>
      </c>
      <c r="X16" s="1" t="s">
        <v>153</v>
      </c>
      <c r="Y16" s="1" t="s">
        <v>154</v>
      </c>
      <c r="Z16" s="1" t="str">
        <f>TRIM(_xlfn.CONCAT(sales_data_sample[[#This Row],[CONTACTFIRSTNAME]],", ",sales_data_sample[[#This Row],[CONTACTLASTNAME]]))</f>
        <v>Janine, Labrune</v>
      </c>
      <c r="AA16" s="1" t="s">
        <v>59</v>
      </c>
    </row>
    <row r="17" spans="1:27" x14ac:dyDescent="0.25">
      <c r="A17" s="10">
        <v>10285</v>
      </c>
      <c r="B17" s="9">
        <v>36</v>
      </c>
      <c r="C17" s="9">
        <v>100</v>
      </c>
      <c r="D17" s="9">
        <f>PRODUCT(sales_data_sample[[#This Row],[QUANTITYORDERED]],sales_data_sample[[#This Row],[PRICEEACH]])</f>
        <v>3600</v>
      </c>
      <c r="E17" s="9">
        <f>IF(OR(sales_data_sample[[#This Row],[STATUS]]="Shipped",sales_data_sample[[#This Row],[STATUS]]="Resolved"),sales_data_sample[[#This Row],[SALES]],0)</f>
        <v>3600</v>
      </c>
      <c r="F17" s="10">
        <v>6</v>
      </c>
      <c r="G17" s="12" t="s">
        <v>155</v>
      </c>
      <c r="H17" s="1" t="s">
        <v>26</v>
      </c>
      <c r="I17">
        <v>3</v>
      </c>
      <c r="J17">
        <v>8</v>
      </c>
      <c r="K17">
        <v>2004</v>
      </c>
      <c r="L17" s="1" t="s">
        <v>27</v>
      </c>
      <c r="M17">
        <v>95</v>
      </c>
      <c r="N17" s="1" t="s">
        <v>28</v>
      </c>
      <c r="O17" s="1" t="s">
        <v>156</v>
      </c>
      <c r="P17" s="1" t="s">
        <v>157</v>
      </c>
      <c r="Q17" s="1" t="s">
        <v>158</v>
      </c>
      <c r="R17" s="1" t="s">
        <v>32</v>
      </c>
      <c r="S17" s="1" t="s">
        <v>159</v>
      </c>
      <c r="T17" s="1" t="s">
        <v>160</v>
      </c>
      <c r="U17" s="1" t="s">
        <v>161</v>
      </c>
      <c r="V17" s="1" t="s">
        <v>36</v>
      </c>
      <c r="W17" s="1" t="s">
        <v>37</v>
      </c>
      <c r="X17" s="1" t="s">
        <v>162</v>
      </c>
      <c r="Y17" s="1" t="s">
        <v>163</v>
      </c>
      <c r="Z17" s="1" t="str">
        <f>TRIM(_xlfn.CONCAT(sales_data_sample[[#This Row],[CONTACTFIRSTNAME]],", ",sales_data_sample[[#This Row],[CONTACTLASTNAME]]))</f>
        <v>Marta, Hernandez</v>
      </c>
      <c r="AA17" s="1" t="s">
        <v>59</v>
      </c>
    </row>
    <row r="18" spans="1:27" x14ac:dyDescent="0.25">
      <c r="A18" s="10">
        <v>10299</v>
      </c>
      <c r="B18" s="9">
        <v>23</v>
      </c>
      <c r="C18" s="9">
        <v>100</v>
      </c>
      <c r="D18" s="9">
        <f>PRODUCT(sales_data_sample[[#This Row],[QUANTITYORDERED]],sales_data_sample[[#This Row],[PRICEEACH]])</f>
        <v>2300</v>
      </c>
      <c r="E18" s="9">
        <f>IF(OR(sales_data_sample[[#This Row],[STATUS]]="Shipped",sales_data_sample[[#This Row],[STATUS]]="Resolved"),sales_data_sample[[#This Row],[SALES]],0)</f>
        <v>2300</v>
      </c>
      <c r="F18" s="10">
        <v>9</v>
      </c>
      <c r="G18" s="12" t="s">
        <v>164</v>
      </c>
      <c r="H18" s="1" t="s">
        <v>26</v>
      </c>
      <c r="I18">
        <v>3</v>
      </c>
      <c r="J18">
        <v>9</v>
      </c>
      <c r="K18">
        <v>2004</v>
      </c>
      <c r="L18" s="1" t="s">
        <v>27</v>
      </c>
      <c r="M18">
        <v>95</v>
      </c>
      <c r="N18" s="1" t="s">
        <v>28</v>
      </c>
      <c r="O18" s="1" t="s">
        <v>165</v>
      </c>
      <c r="P18" s="1" t="s">
        <v>166</v>
      </c>
      <c r="Q18" s="1" t="s">
        <v>167</v>
      </c>
      <c r="R18" s="1" t="s">
        <v>32</v>
      </c>
      <c r="S18" s="1" t="s">
        <v>168</v>
      </c>
      <c r="T18" s="1" t="s">
        <v>32</v>
      </c>
      <c r="U18" s="1" t="s">
        <v>169</v>
      </c>
      <c r="V18" s="1" t="s">
        <v>170</v>
      </c>
      <c r="W18" s="1" t="s">
        <v>48</v>
      </c>
      <c r="X18" s="1" t="s">
        <v>171</v>
      </c>
      <c r="Y18" s="1" t="s">
        <v>172</v>
      </c>
      <c r="Z18" s="1" t="str">
        <f>TRIM(_xlfn.CONCAT(sales_data_sample[[#This Row],[CONTACTFIRSTNAME]],", ",sales_data_sample[[#This Row],[CONTACTLASTNAME]]))</f>
        <v>Matti, Karttunen</v>
      </c>
      <c r="AA18" s="1" t="s">
        <v>40</v>
      </c>
    </row>
    <row r="19" spans="1:27" x14ac:dyDescent="0.25">
      <c r="A19" s="10">
        <v>10309</v>
      </c>
      <c r="B19" s="9">
        <v>41</v>
      </c>
      <c r="C19" s="9">
        <v>100</v>
      </c>
      <c r="D19" s="9">
        <f>PRODUCT(sales_data_sample[[#This Row],[QUANTITYORDERED]],sales_data_sample[[#This Row],[PRICEEACH]])</f>
        <v>4100</v>
      </c>
      <c r="E19" s="9">
        <f>IF(OR(sales_data_sample[[#This Row],[STATUS]]="Shipped",sales_data_sample[[#This Row],[STATUS]]="Resolved"),sales_data_sample[[#This Row],[SALES]],0)</f>
        <v>4100</v>
      </c>
      <c r="F19" s="10">
        <v>5</v>
      </c>
      <c r="G19" s="12" t="s">
        <v>173</v>
      </c>
      <c r="H19" s="1" t="s">
        <v>26</v>
      </c>
      <c r="I19">
        <v>4</v>
      </c>
      <c r="J19">
        <v>10</v>
      </c>
      <c r="K19">
        <v>2004</v>
      </c>
      <c r="L19" s="1" t="s">
        <v>27</v>
      </c>
      <c r="M19">
        <v>95</v>
      </c>
      <c r="N19" s="1" t="s">
        <v>28</v>
      </c>
      <c r="O19" s="1" t="s">
        <v>174</v>
      </c>
      <c r="P19" s="1" t="s">
        <v>175</v>
      </c>
      <c r="Q19" s="1" t="s">
        <v>176</v>
      </c>
      <c r="R19" s="1" t="s">
        <v>32</v>
      </c>
      <c r="S19" s="1" t="s">
        <v>177</v>
      </c>
      <c r="T19" s="1" t="s">
        <v>32</v>
      </c>
      <c r="U19" s="1" t="s">
        <v>178</v>
      </c>
      <c r="V19" s="1" t="s">
        <v>97</v>
      </c>
      <c r="W19" s="1" t="s">
        <v>48</v>
      </c>
      <c r="X19" s="1" t="s">
        <v>179</v>
      </c>
      <c r="Y19" s="1" t="s">
        <v>180</v>
      </c>
      <c r="Z19" s="1" t="str">
        <f>TRIM(_xlfn.CONCAT(sales_data_sample[[#This Row],[CONTACTFIRSTNAME]],", ",sales_data_sample[[#This Row],[CONTACTLASTNAME]]))</f>
        <v>Jonas, Bergulfsen</v>
      </c>
      <c r="AA19" s="1" t="s">
        <v>59</v>
      </c>
    </row>
    <row r="20" spans="1:27" x14ac:dyDescent="0.25">
      <c r="A20" s="10">
        <v>10318</v>
      </c>
      <c r="B20" s="9">
        <v>46</v>
      </c>
      <c r="C20" s="9">
        <v>9474</v>
      </c>
      <c r="D20" s="9">
        <f>PRODUCT(sales_data_sample[[#This Row],[QUANTITYORDERED]],sales_data_sample[[#This Row],[PRICEEACH]])</f>
        <v>435804</v>
      </c>
      <c r="E20" s="9">
        <f>IF(OR(sales_data_sample[[#This Row],[STATUS]]="Shipped",sales_data_sample[[#This Row],[STATUS]]="Resolved"),sales_data_sample[[#This Row],[SALES]],0)</f>
        <v>435804</v>
      </c>
      <c r="F20" s="10">
        <v>1</v>
      </c>
      <c r="G20" s="12" t="s">
        <v>181</v>
      </c>
      <c r="H20" s="1" t="s">
        <v>26</v>
      </c>
      <c r="I20">
        <v>4</v>
      </c>
      <c r="J20">
        <v>11</v>
      </c>
      <c r="K20">
        <v>2004</v>
      </c>
      <c r="L20" s="1" t="s">
        <v>27</v>
      </c>
      <c r="M20">
        <v>95</v>
      </c>
      <c r="N20" s="1" t="s">
        <v>28</v>
      </c>
      <c r="O20" s="1" t="s">
        <v>182</v>
      </c>
      <c r="P20" s="1" t="s">
        <v>183</v>
      </c>
      <c r="Q20" s="1" t="s">
        <v>184</v>
      </c>
      <c r="R20" s="1" t="s">
        <v>32</v>
      </c>
      <c r="S20" s="1" t="s">
        <v>185</v>
      </c>
      <c r="T20" s="1" t="s">
        <v>186</v>
      </c>
      <c r="U20" s="1" t="s">
        <v>187</v>
      </c>
      <c r="V20" s="1" t="s">
        <v>36</v>
      </c>
      <c r="W20" s="1" t="s">
        <v>37</v>
      </c>
      <c r="X20" s="1" t="s">
        <v>38</v>
      </c>
      <c r="Y20" s="1" t="s">
        <v>188</v>
      </c>
      <c r="Z20" s="1" t="str">
        <f>TRIM(_xlfn.CONCAT(sales_data_sample[[#This Row],[CONTACTFIRSTNAME]],", ",sales_data_sample[[#This Row],[CONTACTLASTNAME]]))</f>
        <v>Kyung, Yu</v>
      </c>
      <c r="AA20" s="1" t="s">
        <v>59</v>
      </c>
    </row>
    <row r="21" spans="1:27" x14ac:dyDescent="0.25">
      <c r="A21" s="10">
        <v>10329</v>
      </c>
      <c r="B21" s="9">
        <v>42</v>
      </c>
      <c r="C21" s="9">
        <v>100</v>
      </c>
      <c r="D21" s="9">
        <f>PRODUCT(sales_data_sample[[#This Row],[QUANTITYORDERED]],sales_data_sample[[#This Row],[PRICEEACH]])</f>
        <v>4200</v>
      </c>
      <c r="E21" s="9">
        <f>IF(OR(sales_data_sample[[#This Row],[STATUS]]="Shipped",sales_data_sample[[#This Row],[STATUS]]="Resolved"),sales_data_sample[[#This Row],[SALES]],0)</f>
        <v>4200</v>
      </c>
      <c r="F21" s="10">
        <v>1</v>
      </c>
      <c r="G21" s="12" t="s">
        <v>189</v>
      </c>
      <c r="H21" s="1" t="s">
        <v>26</v>
      </c>
      <c r="I21">
        <v>4</v>
      </c>
      <c r="J21">
        <v>11</v>
      </c>
      <c r="K21">
        <v>2004</v>
      </c>
      <c r="L21" s="1" t="s">
        <v>27</v>
      </c>
      <c r="M21">
        <v>95</v>
      </c>
      <c r="N21" s="1" t="s">
        <v>28</v>
      </c>
      <c r="O21" s="1" t="s">
        <v>29</v>
      </c>
      <c r="P21" s="1" t="s">
        <v>30</v>
      </c>
      <c r="Q21" s="1" t="s">
        <v>31</v>
      </c>
      <c r="R21" s="1" t="s">
        <v>32</v>
      </c>
      <c r="S21" s="1" t="s">
        <v>33</v>
      </c>
      <c r="T21" s="1" t="s">
        <v>34</v>
      </c>
      <c r="U21" s="1" t="s">
        <v>35</v>
      </c>
      <c r="V21" s="1" t="s">
        <v>36</v>
      </c>
      <c r="W21" s="1" t="s">
        <v>37</v>
      </c>
      <c r="X21" s="1" t="s">
        <v>38</v>
      </c>
      <c r="Y21" s="1" t="s">
        <v>39</v>
      </c>
      <c r="Z21" s="1" t="str">
        <f>TRIM(_xlfn.CONCAT(sales_data_sample[[#This Row],[CONTACTFIRSTNAME]],", ",sales_data_sample[[#This Row],[CONTACTLASTNAME]]))</f>
        <v>Kwai, Yu</v>
      </c>
      <c r="AA21" s="1" t="s">
        <v>59</v>
      </c>
    </row>
    <row r="22" spans="1:27" x14ac:dyDescent="0.25">
      <c r="A22" s="10">
        <v>10341</v>
      </c>
      <c r="B22" s="9">
        <v>41</v>
      </c>
      <c r="C22" s="9">
        <v>100</v>
      </c>
      <c r="D22" s="9">
        <f>PRODUCT(sales_data_sample[[#This Row],[QUANTITYORDERED]],sales_data_sample[[#This Row],[PRICEEACH]])</f>
        <v>4100</v>
      </c>
      <c r="E22" s="9">
        <f>IF(OR(sales_data_sample[[#This Row],[STATUS]]="Shipped",sales_data_sample[[#This Row],[STATUS]]="Resolved"),sales_data_sample[[#This Row],[SALES]],0)</f>
        <v>4100</v>
      </c>
      <c r="F22" s="10">
        <v>9</v>
      </c>
      <c r="G22" s="12" t="s">
        <v>190</v>
      </c>
      <c r="H22" s="1" t="s">
        <v>26</v>
      </c>
      <c r="I22">
        <v>4</v>
      </c>
      <c r="J22">
        <v>11</v>
      </c>
      <c r="K22">
        <v>2004</v>
      </c>
      <c r="L22" s="1" t="s">
        <v>27</v>
      </c>
      <c r="M22">
        <v>95</v>
      </c>
      <c r="N22" s="1" t="s">
        <v>28</v>
      </c>
      <c r="O22" s="1" t="s">
        <v>191</v>
      </c>
      <c r="P22" s="1" t="s">
        <v>192</v>
      </c>
      <c r="Q22" s="1" t="s">
        <v>193</v>
      </c>
      <c r="R22" s="1" t="s">
        <v>32</v>
      </c>
      <c r="S22" s="1" t="s">
        <v>194</v>
      </c>
      <c r="T22" s="1" t="s">
        <v>32</v>
      </c>
      <c r="U22" s="1" t="s">
        <v>195</v>
      </c>
      <c r="V22" s="1" t="s">
        <v>196</v>
      </c>
      <c r="W22" s="1" t="s">
        <v>48</v>
      </c>
      <c r="X22" s="1" t="s">
        <v>197</v>
      </c>
      <c r="Y22" s="1" t="s">
        <v>198</v>
      </c>
      <c r="Z22" s="1" t="str">
        <f>TRIM(_xlfn.CONCAT(sales_data_sample[[#This Row],[CONTACTFIRSTNAME]],", ",sales_data_sample[[#This Row],[CONTACTLASTNAME]]))</f>
        <v>Georg, Pipps</v>
      </c>
      <c r="AA22" s="1" t="s">
        <v>199</v>
      </c>
    </row>
    <row r="23" spans="1:27" x14ac:dyDescent="0.25">
      <c r="A23">
        <v>10361</v>
      </c>
      <c r="B23">
        <v>20</v>
      </c>
      <c r="C23">
        <v>7255</v>
      </c>
      <c r="D23">
        <f>PRODUCT(sales_data_sample[[#This Row],[QUANTITYORDERED]],sales_data_sample[[#This Row],[PRICEEACH]])</f>
        <v>145100</v>
      </c>
      <c r="E23" s="9">
        <f>IF(OR(sales_data_sample[[#This Row],[STATUS]]="Shipped",sales_data_sample[[#This Row],[STATUS]]="Resolved"),sales_data_sample[[#This Row],[SALES]],0)</f>
        <v>145100</v>
      </c>
      <c r="F23">
        <v>13</v>
      </c>
      <c r="G23" s="12" t="s">
        <v>200</v>
      </c>
      <c r="H23" s="1" t="s">
        <v>26</v>
      </c>
      <c r="I23">
        <v>4</v>
      </c>
      <c r="J23">
        <v>12</v>
      </c>
      <c r="K23">
        <v>2004</v>
      </c>
      <c r="L23" s="1" t="s">
        <v>27</v>
      </c>
      <c r="M23">
        <v>95</v>
      </c>
      <c r="N23" s="1" t="s">
        <v>28</v>
      </c>
      <c r="O23" s="1" t="s">
        <v>201</v>
      </c>
      <c r="P23" s="1" t="s">
        <v>202</v>
      </c>
      <c r="Q23" s="1" t="s">
        <v>203</v>
      </c>
      <c r="R23" s="1" t="s">
        <v>204</v>
      </c>
      <c r="S23" s="1" t="s">
        <v>205</v>
      </c>
      <c r="T23" s="1" t="s">
        <v>206</v>
      </c>
      <c r="U23" s="1" t="s">
        <v>207</v>
      </c>
      <c r="V23" s="1" t="s">
        <v>120</v>
      </c>
      <c r="W23" s="1" t="s">
        <v>121</v>
      </c>
      <c r="X23" s="1" t="s">
        <v>208</v>
      </c>
      <c r="Y23" s="1" t="s">
        <v>209</v>
      </c>
      <c r="Z23" s="1" t="str">
        <f>TRIM(_xlfn.CONCAT(sales_data_sample[[#This Row],[CONTACTFIRSTNAME]],", ",sales_data_sample[[#This Row],[CONTACTLASTNAME]]))</f>
        <v>Adrian, Huxley</v>
      </c>
      <c r="AA23" s="1" t="s">
        <v>40</v>
      </c>
    </row>
    <row r="24" spans="1:27" x14ac:dyDescent="0.25">
      <c r="A24" s="10">
        <v>10375</v>
      </c>
      <c r="B24" s="9">
        <v>21</v>
      </c>
      <c r="C24" s="9">
        <v>3491</v>
      </c>
      <c r="D24" s="9">
        <f>PRODUCT(sales_data_sample[[#This Row],[QUANTITYORDERED]],sales_data_sample[[#This Row],[PRICEEACH]])</f>
        <v>73311</v>
      </c>
      <c r="E24" s="9">
        <f>IF(OR(sales_data_sample[[#This Row],[STATUS]]="Shipped",sales_data_sample[[#This Row],[STATUS]]="Resolved"),sales_data_sample[[#This Row],[SALES]],0)</f>
        <v>73311</v>
      </c>
      <c r="F24" s="10">
        <v>12</v>
      </c>
      <c r="G24" s="12" t="s">
        <v>210</v>
      </c>
      <c r="H24" s="1" t="s">
        <v>26</v>
      </c>
      <c r="I24">
        <v>1</v>
      </c>
      <c r="J24">
        <v>2</v>
      </c>
      <c r="K24">
        <v>2005</v>
      </c>
      <c r="L24" s="1" t="s">
        <v>27</v>
      </c>
      <c r="M24">
        <v>95</v>
      </c>
      <c r="N24" s="1" t="s">
        <v>28</v>
      </c>
      <c r="O24" s="1" t="s">
        <v>148</v>
      </c>
      <c r="P24" s="1" t="s">
        <v>149</v>
      </c>
      <c r="Q24" s="1" t="s">
        <v>150</v>
      </c>
      <c r="R24" s="1" t="s">
        <v>32</v>
      </c>
      <c r="S24" s="1" t="s">
        <v>151</v>
      </c>
      <c r="T24" s="1" t="s">
        <v>32</v>
      </c>
      <c r="U24" s="1" t="s">
        <v>152</v>
      </c>
      <c r="V24" s="1" t="s">
        <v>47</v>
      </c>
      <c r="W24" s="1" t="s">
        <v>48</v>
      </c>
      <c r="X24" s="1" t="s">
        <v>153</v>
      </c>
      <c r="Y24" s="1" t="s">
        <v>154</v>
      </c>
      <c r="Z24" s="1" t="str">
        <f>TRIM(_xlfn.CONCAT(sales_data_sample[[#This Row],[CONTACTFIRSTNAME]],", ",sales_data_sample[[#This Row],[CONTACTLASTNAME]]))</f>
        <v>Janine, Labrune</v>
      </c>
      <c r="AA24" s="1" t="s">
        <v>40</v>
      </c>
    </row>
    <row r="25" spans="1:27" x14ac:dyDescent="0.25">
      <c r="A25" s="10">
        <v>10388</v>
      </c>
      <c r="B25" s="9">
        <v>42</v>
      </c>
      <c r="C25" s="9">
        <v>7636</v>
      </c>
      <c r="D25" s="9">
        <f>PRODUCT(sales_data_sample[[#This Row],[QUANTITYORDERED]],sales_data_sample[[#This Row],[PRICEEACH]])</f>
        <v>320712</v>
      </c>
      <c r="E25" s="9">
        <f>IF(OR(sales_data_sample[[#This Row],[STATUS]]="Shipped",sales_data_sample[[#This Row],[STATUS]]="Resolved"),sales_data_sample[[#This Row],[SALES]],0)</f>
        <v>320712</v>
      </c>
      <c r="F25" s="10">
        <v>4</v>
      </c>
      <c r="G25" s="12" t="s">
        <v>211</v>
      </c>
      <c r="H25" s="1" t="s">
        <v>26</v>
      </c>
      <c r="I25">
        <v>1</v>
      </c>
      <c r="J25">
        <v>3</v>
      </c>
      <c r="K25">
        <v>2005</v>
      </c>
      <c r="L25" s="1" t="s">
        <v>27</v>
      </c>
      <c r="M25">
        <v>95</v>
      </c>
      <c r="N25" s="1" t="s">
        <v>28</v>
      </c>
      <c r="O25" s="1" t="s">
        <v>212</v>
      </c>
      <c r="P25" s="1" t="s">
        <v>213</v>
      </c>
      <c r="Q25" s="1" t="s">
        <v>214</v>
      </c>
      <c r="R25" s="1" t="s">
        <v>32</v>
      </c>
      <c r="S25" s="1" t="s">
        <v>215</v>
      </c>
      <c r="T25" s="1" t="s">
        <v>160</v>
      </c>
      <c r="U25" s="1" t="s">
        <v>216</v>
      </c>
      <c r="V25" s="1" t="s">
        <v>36</v>
      </c>
      <c r="W25" s="1" t="s">
        <v>37</v>
      </c>
      <c r="X25" s="1" t="s">
        <v>217</v>
      </c>
      <c r="Y25" s="1" t="s">
        <v>218</v>
      </c>
      <c r="Z25" s="1" t="str">
        <f>TRIM(_xlfn.CONCAT(sales_data_sample[[#This Row],[CONTACTFIRSTNAME]],", ",sales_data_sample[[#This Row],[CONTACTLASTNAME]]))</f>
        <v>Violeta, Benitez</v>
      </c>
      <c r="AA25" s="1" t="s">
        <v>59</v>
      </c>
    </row>
    <row r="26" spans="1:27" x14ac:dyDescent="0.25">
      <c r="A26" s="10">
        <v>10403</v>
      </c>
      <c r="B26" s="9">
        <v>24</v>
      </c>
      <c r="C26" s="9">
        <v>100</v>
      </c>
      <c r="D26" s="9">
        <f>PRODUCT(sales_data_sample[[#This Row],[QUANTITYORDERED]],sales_data_sample[[#This Row],[PRICEEACH]])</f>
        <v>2400</v>
      </c>
      <c r="E26" s="9">
        <f>IF(OR(sales_data_sample[[#This Row],[STATUS]]="Shipped",sales_data_sample[[#This Row],[STATUS]]="Resolved"),sales_data_sample[[#This Row],[SALES]],0)</f>
        <v>2400</v>
      </c>
      <c r="F26" s="10">
        <v>7</v>
      </c>
      <c r="G26" s="12" t="s">
        <v>219</v>
      </c>
      <c r="H26" s="1" t="s">
        <v>26</v>
      </c>
      <c r="I26">
        <v>2</v>
      </c>
      <c r="J26">
        <v>4</v>
      </c>
      <c r="K26">
        <v>2005</v>
      </c>
      <c r="L26" s="1" t="s">
        <v>27</v>
      </c>
      <c r="M26">
        <v>95</v>
      </c>
      <c r="N26" s="1" t="s">
        <v>28</v>
      </c>
      <c r="O26" s="1" t="s">
        <v>220</v>
      </c>
      <c r="P26" s="1" t="s">
        <v>221</v>
      </c>
      <c r="Q26" s="1" t="s">
        <v>222</v>
      </c>
      <c r="R26" s="1" t="s">
        <v>32</v>
      </c>
      <c r="S26" s="1" t="s">
        <v>223</v>
      </c>
      <c r="T26" s="1" t="s">
        <v>32</v>
      </c>
      <c r="U26" s="1" t="s">
        <v>224</v>
      </c>
      <c r="V26" s="1" t="s">
        <v>225</v>
      </c>
      <c r="W26" s="1" t="s">
        <v>48</v>
      </c>
      <c r="X26" s="1" t="s">
        <v>226</v>
      </c>
      <c r="Y26" s="1" t="s">
        <v>227</v>
      </c>
      <c r="Z26" s="1" t="str">
        <f>TRIM(_xlfn.CONCAT(sales_data_sample[[#This Row],[CONTACTFIRSTNAME]],", ",sales_data_sample[[#This Row],[CONTACTLASTNAME]]))</f>
        <v>Elizabeth, Devon</v>
      </c>
      <c r="AA26" s="1" t="s">
        <v>40</v>
      </c>
    </row>
    <row r="27" spans="1:27" x14ac:dyDescent="0.25">
      <c r="A27" s="10">
        <v>10417</v>
      </c>
      <c r="B27" s="9">
        <v>66</v>
      </c>
      <c r="C27" s="9">
        <v>100</v>
      </c>
      <c r="D27" s="9">
        <f>PRODUCT(sales_data_sample[[#This Row],[QUANTITYORDERED]],sales_data_sample[[#This Row],[PRICEEACH]])</f>
        <v>6600</v>
      </c>
      <c r="E27" s="9">
        <f>IF(OR(sales_data_sample[[#This Row],[STATUS]]="Shipped",sales_data_sample[[#This Row],[STATUS]]="Resolved"),sales_data_sample[[#This Row],[SALES]],0)</f>
        <v>0</v>
      </c>
      <c r="F27" s="10">
        <v>2</v>
      </c>
      <c r="G27" s="12" t="s">
        <v>228</v>
      </c>
      <c r="H27" s="1" t="s">
        <v>229</v>
      </c>
      <c r="I27">
        <v>2</v>
      </c>
      <c r="J27">
        <v>5</v>
      </c>
      <c r="K27">
        <v>2005</v>
      </c>
      <c r="L27" s="1" t="s">
        <v>27</v>
      </c>
      <c r="M27">
        <v>95</v>
      </c>
      <c r="N27" s="1" t="s">
        <v>28</v>
      </c>
      <c r="O27" s="1" t="s">
        <v>230</v>
      </c>
      <c r="P27" s="1" t="s">
        <v>231</v>
      </c>
      <c r="Q27" s="1" t="s">
        <v>232</v>
      </c>
      <c r="R27" s="1" t="s">
        <v>32</v>
      </c>
      <c r="S27" s="1" t="s">
        <v>233</v>
      </c>
      <c r="T27" s="1" t="s">
        <v>32</v>
      </c>
      <c r="U27" s="1" t="s">
        <v>234</v>
      </c>
      <c r="V27" s="1" t="s">
        <v>235</v>
      </c>
      <c r="W27" s="1" t="s">
        <v>48</v>
      </c>
      <c r="X27" s="1" t="s">
        <v>236</v>
      </c>
      <c r="Y27" s="1" t="s">
        <v>237</v>
      </c>
      <c r="Z27" s="1" t="str">
        <f>TRIM(_xlfn.CONCAT(sales_data_sample[[#This Row],[CONTACTFIRSTNAME]],", ",sales_data_sample[[#This Row],[CONTACTLASTNAME]]))</f>
        <v>Diego, Freyre</v>
      </c>
      <c r="AA27" s="1" t="s">
        <v>199</v>
      </c>
    </row>
    <row r="28" spans="1:27" x14ac:dyDescent="0.25">
      <c r="A28" s="10">
        <v>10103</v>
      </c>
      <c r="B28" s="9">
        <v>26</v>
      </c>
      <c r="C28" s="9">
        <v>100</v>
      </c>
      <c r="D28" s="9">
        <f>PRODUCT(sales_data_sample[[#This Row],[QUANTITYORDERED]],sales_data_sample[[#This Row],[PRICEEACH]])</f>
        <v>2600</v>
      </c>
      <c r="E28" s="9">
        <f>IF(OR(sales_data_sample[[#This Row],[STATUS]]="Shipped",sales_data_sample[[#This Row],[STATUS]]="Resolved"),sales_data_sample[[#This Row],[SALES]],0)</f>
        <v>2600</v>
      </c>
      <c r="F28" s="10">
        <v>11</v>
      </c>
      <c r="G28" s="12" t="s">
        <v>238</v>
      </c>
      <c r="H28" s="1" t="s">
        <v>26</v>
      </c>
      <c r="I28">
        <v>1</v>
      </c>
      <c r="J28">
        <v>1</v>
      </c>
      <c r="K28">
        <v>2003</v>
      </c>
      <c r="L28" s="1" t="s">
        <v>239</v>
      </c>
      <c r="M28">
        <v>214</v>
      </c>
      <c r="N28" s="1" t="s">
        <v>240</v>
      </c>
      <c r="O28" s="1" t="s">
        <v>174</v>
      </c>
      <c r="P28" s="1" t="s">
        <v>175</v>
      </c>
      <c r="Q28" s="1" t="s">
        <v>176</v>
      </c>
      <c r="R28" s="1" t="s">
        <v>32</v>
      </c>
      <c r="S28" s="1" t="s">
        <v>177</v>
      </c>
      <c r="T28" s="1" t="s">
        <v>32</v>
      </c>
      <c r="U28" s="1" t="s">
        <v>178</v>
      </c>
      <c r="V28" s="1" t="s">
        <v>97</v>
      </c>
      <c r="W28" s="1" t="s">
        <v>48</v>
      </c>
      <c r="X28" s="1" t="s">
        <v>179</v>
      </c>
      <c r="Y28" s="1" t="s">
        <v>180</v>
      </c>
      <c r="Z28" s="1" t="str">
        <f>TRIM(_xlfn.CONCAT(sales_data_sample[[#This Row],[CONTACTFIRSTNAME]],", ",sales_data_sample[[#This Row],[CONTACTLASTNAME]]))</f>
        <v>Jonas, Bergulfsen</v>
      </c>
      <c r="AA28" s="1" t="s">
        <v>59</v>
      </c>
    </row>
    <row r="29" spans="1:27" x14ac:dyDescent="0.25">
      <c r="A29" s="10">
        <v>10112</v>
      </c>
      <c r="B29" s="9">
        <v>29</v>
      </c>
      <c r="C29" s="9">
        <v>100</v>
      </c>
      <c r="D29" s="9">
        <f>PRODUCT(sales_data_sample[[#This Row],[QUANTITYORDERED]],sales_data_sample[[#This Row],[PRICEEACH]])</f>
        <v>2900</v>
      </c>
      <c r="E29" s="9">
        <f>IF(OR(sales_data_sample[[#This Row],[STATUS]]="Shipped",sales_data_sample[[#This Row],[STATUS]]="Resolved"),sales_data_sample[[#This Row],[SALES]],0)</f>
        <v>2900</v>
      </c>
      <c r="F29" s="10">
        <v>1</v>
      </c>
      <c r="G29" s="12" t="s">
        <v>241</v>
      </c>
      <c r="H29" s="1" t="s">
        <v>26</v>
      </c>
      <c r="I29">
        <v>1</v>
      </c>
      <c r="J29">
        <v>3</v>
      </c>
      <c r="K29">
        <v>2003</v>
      </c>
      <c r="L29" s="1" t="s">
        <v>239</v>
      </c>
      <c r="M29">
        <v>214</v>
      </c>
      <c r="N29" s="1" t="s">
        <v>240</v>
      </c>
      <c r="O29" s="1" t="s">
        <v>242</v>
      </c>
      <c r="P29" s="1" t="s">
        <v>243</v>
      </c>
      <c r="Q29" s="1" t="s">
        <v>244</v>
      </c>
      <c r="R29" s="1" t="s">
        <v>32</v>
      </c>
      <c r="S29" s="1" t="s">
        <v>245</v>
      </c>
      <c r="T29" s="1" t="s">
        <v>32</v>
      </c>
      <c r="U29" s="1" t="s">
        <v>246</v>
      </c>
      <c r="V29" s="1" t="s">
        <v>247</v>
      </c>
      <c r="W29" s="1" t="s">
        <v>48</v>
      </c>
      <c r="X29" s="1" t="s">
        <v>248</v>
      </c>
      <c r="Y29" s="1" t="s">
        <v>249</v>
      </c>
      <c r="Z29" s="1" t="str">
        <f>TRIM(_xlfn.CONCAT(sales_data_sample[[#This Row],[CONTACTFIRSTNAME]],", ",sales_data_sample[[#This Row],[CONTACTLASTNAME]]))</f>
        <v>Christina, Berglund</v>
      </c>
      <c r="AA29" s="1" t="s">
        <v>199</v>
      </c>
    </row>
    <row r="30" spans="1:27" x14ac:dyDescent="0.25">
      <c r="A30" s="10">
        <v>10126</v>
      </c>
      <c r="B30" s="9">
        <v>38</v>
      </c>
      <c r="C30" s="9">
        <v>100</v>
      </c>
      <c r="D30" s="9">
        <f>PRODUCT(sales_data_sample[[#This Row],[QUANTITYORDERED]],sales_data_sample[[#This Row],[PRICEEACH]])</f>
        <v>3800</v>
      </c>
      <c r="E30" s="9">
        <f>IF(OR(sales_data_sample[[#This Row],[STATUS]]="Shipped",sales_data_sample[[#This Row],[STATUS]]="Resolved"),sales_data_sample[[#This Row],[SALES]],0)</f>
        <v>3800</v>
      </c>
      <c r="F30" s="10">
        <v>11</v>
      </c>
      <c r="G30" s="12" t="s">
        <v>250</v>
      </c>
      <c r="H30" s="1" t="s">
        <v>26</v>
      </c>
      <c r="I30">
        <v>2</v>
      </c>
      <c r="J30">
        <v>5</v>
      </c>
      <c r="K30">
        <v>2003</v>
      </c>
      <c r="L30" s="1" t="s">
        <v>239</v>
      </c>
      <c r="M30">
        <v>214</v>
      </c>
      <c r="N30" s="1" t="s">
        <v>240</v>
      </c>
      <c r="O30" s="1" t="s">
        <v>251</v>
      </c>
      <c r="P30" s="1" t="s">
        <v>252</v>
      </c>
      <c r="Q30" s="1" t="s">
        <v>253</v>
      </c>
      <c r="R30" s="1" t="s">
        <v>32</v>
      </c>
      <c r="S30" s="1" t="s">
        <v>233</v>
      </c>
      <c r="T30" s="1" t="s">
        <v>32</v>
      </c>
      <c r="U30" s="1" t="s">
        <v>254</v>
      </c>
      <c r="V30" s="1" t="s">
        <v>235</v>
      </c>
      <c r="W30" s="1" t="s">
        <v>48</v>
      </c>
      <c r="X30" s="1" t="s">
        <v>255</v>
      </c>
      <c r="Y30" s="1" t="s">
        <v>256</v>
      </c>
      <c r="Z30" s="1" t="str">
        <f>TRIM(_xlfn.CONCAT(sales_data_sample[[#This Row],[CONTACTFIRSTNAME]],", ",sales_data_sample[[#This Row],[CONTACTLASTNAME]]))</f>
        <v>Mart¡n, Sommer</v>
      </c>
      <c r="AA30" s="1" t="s">
        <v>199</v>
      </c>
    </row>
    <row r="31" spans="1:27" x14ac:dyDescent="0.25">
      <c r="A31" s="10">
        <v>10140</v>
      </c>
      <c r="B31" s="9">
        <v>37</v>
      </c>
      <c r="C31" s="9">
        <v>100</v>
      </c>
      <c r="D31" s="9">
        <f>PRODUCT(sales_data_sample[[#This Row],[QUANTITYORDERED]],sales_data_sample[[#This Row],[PRICEEACH]])</f>
        <v>3700</v>
      </c>
      <c r="E31" s="9">
        <f>IF(OR(sales_data_sample[[#This Row],[STATUS]]="Shipped",sales_data_sample[[#This Row],[STATUS]]="Resolved"),sales_data_sample[[#This Row],[SALES]],0)</f>
        <v>3700</v>
      </c>
      <c r="F31" s="10">
        <v>11</v>
      </c>
      <c r="G31" s="12" t="s">
        <v>257</v>
      </c>
      <c r="H31" s="1" t="s">
        <v>26</v>
      </c>
      <c r="I31">
        <v>3</v>
      </c>
      <c r="J31">
        <v>7</v>
      </c>
      <c r="K31">
        <v>2003</v>
      </c>
      <c r="L31" s="1" t="s">
        <v>239</v>
      </c>
      <c r="M31">
        <v>214</v>
      </c>
      <c r="N31" s="1" t="s">
        <v>240</v>
      </c>
      <c r="O31" s="1" t="s">
        <v>76</v>
      </c>
      <c r="P31" s="1" t="s">
        <v>77</v>
      </c>
      <c r="Q31" s="1" t="s">
        <v>78</v>
      </c>
      <c r="R31" s="1" t="s">
        <v>32</v>
      </c>
      <c r="S31" s="1" t="s">
        <v>79</v>
      </c>
      <c r="T31" s="1" t="s">
        <v>65</v>
      </c>
      <c r="U31" s="1" t="s">
        <v>80</v>
      </c>
      <c r="V31" s="1" t="s">
        <v>36</v>
      </c>
      <c r="W31" s="1" t="s">
        <v>37</v>
      </c>
      <c r="X31" s="1" t="s">
        <v>81</v>
      </c>
      <c r="Y31" s="1" t="s">
        <v>82</v>
      </c>
      <c r="Z31" s="1" t="str">
        <f>TRIM(_xlfn.CONCAT(sales_data_sample[[#This Row],[CONTACTFIRSTNAME]],", ",sales_data_sample[[#This Row],[CONTACTLASTNAME]]))</f>
        <v>Juri, Hirano</v>
      </c>
      <c r="AA31" s="1" t="s">
        <v>199</v>
      </c>
    </row>
    <row r="32" spans="1:27" x14ac:dyDescent="0.25">
      <c r="A32" s="10">
        <v>10150</v>
      </c>
      <c r="B32" s="9">
        <v>45</v>
      </c>
      <c r="C32" s="9">
        <v>100</v>
      </c>
      <c r="D32" s="9">
        <f>PRODUCT(sales_data_sample[[#This Row],[QUANTITYORDERED]],sales_data_sample[[#This Row],[PRICEEACH]])</f>
        <v>4500</v>
      </c>
      <c r="E32" s="9">
        <f>IF(OR(sales_data_sample[[#This Row],[STATUS]]="Shipped",sales_data_sample[[#This Row],[STATUS]]="Resolved"),sales_data_sample[[#This Row],[SALES]],0)</f>
        <v>4500</v>
      </c>
      <c r="F32" s="10">
        <v>8</v>
      </c>
      <c r="G32" s="12" t="s">
        <v>258</v>
      </c>
      <c r="H32" s="1" t="s">
        <v>26</v>
      </c>
      <c r="I32">
        <v>3</v>
      </c>
      <c r="J32">
        <v>9</v>
      </c>
      <c r="K32">
        <v>2003</v>
      </c>
      <c r="L32" s="1" t="s">
        <v>239</v>
      </c>
      <c r="M32">
        <v>214</v>
      </c>
      <c r="N32" s="1" t="s">
        <v>240</v>
      </c>
      <c r="O32" s="1" t="s">
        <v>259</v>
      </c>
      <c r="P32" s="1" t="s">
        <v>260</v>
      </c>
      <c r="Q32" s="1" t="s">
        <v>261</v>
      </c>
      <c r="R32" s="1" t="s">
        <v>32</v>
      </c>
      <c r="S32" s="1" t="s">
        <v>262</v>
      </c>
      <c r="T32" s="1" t="s">
        <v>32</v>
      </c>
      <c r="U32" s="1" t="s">
        <v>263</v>
      </c>
      <c r="V32" s="1" t="s">
        <v>262</v>
      </c>
      <c r="W32" s="1" t="s">
        <v>264</v>
      </c>
      <c r="X32" s="1" t="s">
        <v>265</v>
      </c>
      <c r="Y32" s="1" t="s">
        <v>266</v>
      </c>
      <c r="Z32" s="1" t="str">
        <f>TRIM(_xlfn.CONCAT(sales_data_sample[[#This Row],[CONTACTFIRSTNAME]],", ",sales_data_sample[[#This Row],[CONTACTLASTNAME]]))</f>
        <v>Eric, Natividad</v>
      </c>
      <c r="AA32" s="1" t="s">
        <v>199</v>
      </c>
    </row>
    <row r="33" spans="1:27" x14ac:dyDescent="0.25">
      <c r="A33">
        <v>10163</v>
      </c>
      <c r="B33">
        <v>21</v>
      </c>
      <c r="C33">
        <v>100</v>
      </c>
      <c r="D33">
        <f>PRODUCT(sales_data_sample[[#This Row],[QUANTITYORDERED]],sales_data_sample[[#This Row],[PRICEEACH]])</f>
        <v>2100</v>
      </c>
      <c r="E33" s="9">
        <f>IF(OR(sales_data_sample[[#This Row],[STATUS]]="Shipped",sales_data_sample[[#This Row],[STATUS]]="Resolved"),sales_data_sample[[#This Row],[SALES]],0)</f>
        <v>2100</v>
      </c>
      <c r="F33">
        <v>1</v>
      </c>
      <c r="G33" s="12" t="s">
        <v>267</v>
      </c>
      <c r="H33" s="1" t="s">
        <v>26</v>
      </c>
      <c r="I33">
        <v>4</v>
      </c>
      <c r="J33">
        <v>10</v>
      </c>
      <c r="K33">
        <v>2003</v>
      </c>
      <c r="L33" s="1" t="s">
        <v>239</v>
      </c>
      <c r="M33">
        <v>214</v>
      </c>
      <c r="N33" s="1" t="s">
        <v>240</v>
      </c>
      <c r="O33" s="1" t="s">
        <v>268</v>
      </c>
      <c r="P33" s="1" t="s">
        <v>269</v>
      </c>
      <c r="Q33" s="1" t="s">
        <v>270</v>
      </c>
      <c r="R33" s="1" t="s">
        <v>271</v>
      </c>
      <c r="S33" s="1" t="s">
        <v>33</v>
      </c>
      <c r="T33" s="1" t="s">
        <v>34</v>
      </c>
      <c r="U33" s="1" t="s">
        <v>35</v>
      </c>
      <c r="V33" s="1" t="s">
        <v>36</v>
      </c>
      <c r="W33" s="1" t="s">
        <v>37</v>
      </c>
      <c r="X33" s="1" t="s">
        <v>162</v>
      </c>
      <c r="Y33" s="1" t="s">
        <v>272</v>
      </c>
      <c r="Z33" s="1" t="str">
        <f>TRIM(_xlfn.CONCAT(sales_data_sample[[#This Row],[CONTACTFIRSTNAME]],", ",sales_data_sample[[#This Row],[CONTACTLASTNAME]]))</f>
        <v>Maria, Hernandez</v>
      </c>
      <c r="AA33" s="1" t="s">
        <v>59</v>
      </c>
    </row>
    <row r="34" spans="1:27" x14ac:dyDescent="0.25">
      <c r="A34" s="10">
        <v>10174</v>
      </c>
      <c r="B34" s="9">
        <v>34</v>
      </c>
      <c r="C34" s="9">
        <v>100</v>
      </c>
      <c r="D34" s="9">
        <f>PRODUCT(sales_data_sample[[#This Row],[QUANTITYORDERED]],sales_data_sample[[#This Row],[PRICEEACH]])</f>
        <v>3400</v>
      </c>
      <c r="E34" s="9">
        <f>IF(OR(sales_data_sample[[#This Row],[STATUS]]="Shipped",sales_data_sample[[#This Row],[STATUS]]="Resolved"),sales_data_sample[[#This Row],[SALES]],0)</f>
        <v>3400</v>
      </c>
      <c r="F34" s="10">
        <v>4</v>
      </c>
      <c r="G34" s="12" t="s">
        <v>273</v>
      </c>
      <c r="H34" s="1" t="s">
        <v>26</v>
      </c>
      <c r="I34">
        <v>4</v>
      </c>
      <c r="J34">
        <v>11</v>
      </c>
      <c r="K34">
        <v>2003</v>
      </c>
      <c r="L34" s="1" t="s">
        <v>239</v>
      </c>
      <c r="M34">
        <v>214</v>
      </c>
      <c r="N34" s="1" t="s">
        <v>240</v>
      </c>
      <c r="O34" s="1" t="s">
        <v>274</v>
      </c>
      <c r="P34" s="1" t="s">
        <v>275</v>
      </c>
      <c r="Q34" s="1" t="s">
        <v>276</v>
      </c>
      <c r="R34" s="1" t="s">
        <v>32</v>
      </c>
      <c r="S34" s="1" t="s">
        <v>277</v>
      </c>
      <c r="T34" s="1" t="s">
        <v>278</v>
      </c>
      <c r="U34" s="1" t="s">
        <v>279</v>
      </c>
      <c r="V34" s="1" t="s">
        <v>120</v>
      </c>
      <c r="W34" s="1" t="s">
        <v>121</v>
      </c>
      <c r="X34" s="1" t="s">
        <v>280</v>
      </c>
      <c r="Y34" s="1" t="s">
        <v>281</v>
      </c>
      <c r="Z34" s="1" t="str">
        <f>TRIM(_xlfn.CONCAT(sales_data_sample[[#This Row],[CONTACTFIRSTNAME]],", ",sales_data_sample[[#This Row],[CONTACTLASTNAME]]))</f>
        <v>Tony, Calaghan</v>
      </c>
      <c r="AA34" s="1" t="s">
        <v>199</v>
      </c>
    </row>
    <row r="35" spans="1:27" x14ac:dyDescent="0.25">
      <c r="A35" s="10">
        <v>10183</v>
      </c>
      <c r="B35" s="9">
        <v>23</v>
      </c>
      <c r="C35" s="9">
        <v>100</v>
      </c>
      <c r="D35" s="9">
        <f>PRODUCT(sales_data_sample[[#This Row],[QUANTITYORDERED]],sales_data_sample[[#This Row],[PRICEEACH]])</f>
        <v>2300</v>
      </c>
      <c r="E35" s="9">
        <f>IF(OR(sales_data_sample[[#This Row],[STATUS]]="Shipped",sales_data_sample[[#This Row],[STATUS]]="Resolved"),sales_data_sample[[#This Row],[SALES]],0)</f>
        <v>2300</v>
      </c>
      <c r="F35" s="10">
        <v>8</v>
      </c>
      <c r="G35" s="12" t="s">
        <v>282</v>
      </c>
      <c r="H35" s="1" t="s">
        <v>26</v>
      </c>
      <c r="I35">
        <v>4</v>
      </c>
      <c r="J35">
        <v>11</v>
      </c>
      <c r="K35">
        <v>2003</v>
      </c>
      <c r="L35" s="1" t="s">
        <v>239</v>
      </c>
      <c r="M35">
        <v>214</v>
      </c>
      <c r="N35" s="1" t="s">
        <v>240</v>
      </c>
      <c r="O35" s="1" t="s">
        <v>283</v>
      </c>
      <c r="P35" s="1" t="s">
        <v>284</v>
      </c>
      <c r="Q35" s="1" t="s">
        <v>285</v>
      </c>
      <c r="R35" s="1" t="s">
        <v>32</v>
      </c>
      <c r="S35" s="1" t="s">
        <v>286</v>
      </c>
      <c r="T35" s="1" t="s">
        <v>186</v>
      </c>
      <c r="U35" s="1" t="s">
        <v>287</v>
      </c>
      <c r="V35" s="1" t="s">
        <v>36</v>
      </c>
      <c r="W35" s="1" t="s">
        <v>37</v>
      </c>
      <c r="X35" s="1" t="s">
        <v>288</v>
      </c>
      <c r="Y35" s="1" t="s">
        <v>289</v>
      </c>
      <c r="Z35" s="1" t="str">
        <f>TRIM(_xlfn.CONCAT(sales_data_sample[[#This Row],[CONTACTFIRSTNAME]],", ",sales_data_sample[[#This Row],[CONTACTLASTNAME]]))</f>
        <v>Francisca, Cervantes</v>
      </c>
      <c r="AA35" s="1" t="s">
        <v>59</v>
      </c>
    </row>
    <row r="36" spans="1:27" x14ac:dyDescent="0.25">
      <c r="A36" s="10">
        <v>10194</v>
      </c>
      <c r="B36" s="9">
        <v>42</v>
      </c>
      <c r="C36" s="9">
        <v>100</v>
      </c>
      <c r="D36" s="9">
        <f>PRODUCT(sales_data_sample[[#This Row],[QUANTITYORDERED]],sales_data_sample[[#This Row],[PRICEEACH]])</f>
        <v>4200</v>
      </c>
      <c r="E36" s="9">
        <f>IF(OR(sales_data_sample[[#This Row],[STATUS]]="Shipped",sales_data_sample[[#This Row],[STATUS]]="Resolved"),sales_data_sample[[#This Row],[SALES]],0)</f>
        <v>4200</v>
      </c>
      <c r="F36" s="10">
        <v>11</v>
      </c>
      <c r="G36" s="12" t="s">
        <v>290</v>
      </c>
      <c r="H36" s="1" t="s">
        <v>26</v>
      </c>
      <c r="I36">
        <v>4</v>
      </c>
      <c r="J36">
        <v>11</v>
      </c>
      <c r="K36">
        <v>2003</v>
      </c>
      <c r="L36" s="1" t="s">
        <v>239</v>
      </c>
      <c r="M36">
        <v>214</v>
      </c>
      <c r="N36" s="1" t="s">
        <v>240</v>
      </c>
      <c r="O36" s="1" t="s">
        <v>291</v>
      </c>
      <c r="P36" s="1" t="s">
        <v>292</v>
      </c>
      <c r="Q36" s="1" t="s">
        <v>293</v>
      </c>
      <c r="R36" s="1" t="s">
        <v>32</v>
      </c>
      <c r="S36" s="1" t="s">
        <v>294</v>
      </c>
      <c r="T36" s="1" t="s">
        <v>32</v>
      </c>
      <c r="U36" s="1" t="s">
        <v>295</v>
      </c>
      <c r="V36" s="1" t="s">
        <v>47</v>
      </c>
      <c r="W36" s="1" t="s">
        <v>48</v>
      </c>
      <c r="X36" s="1" t="s">
        <v>296</v>
      </c>
      <c r="Y36" s="1" t="s">
        <v>297</v>
      </c>
      <c r="Z36" s="1" t="str">
        <f>TRIM(_xlfn.CONCAT(sales_data_sample[[#This Row],[CONTACTFIRSTNAME]],", ",sales_data_sample[[#This Row],[CONTACTLASTNAME]]))</f>
        <v>Mary, Saveley</v>
      </c>
      <c r="AA36" s="1" t="s">
        <v>199</v>
      </c>
    </row>
    <row r="37" spans="1:27" x14ac:dyDescent="0.25">
      <c r="A37" s="10">
        <v>10206</v>
      </c>
      <c r="B37" s="9">
        <v>47</v>
      </c>
      <c r="C37" s="9">
        <v>100</v>
      </c>
      <c r="D37" s="9">
        <f>PRODUCT(sales_data_sample[[#This Row],[QUANTITYORDERED]],sales_data_sample[[#This Row],[PRICEEACH]])</f>
        <v>4700</v>
      </c>
      <c r="E37" s="9">
        <f>IF(OR(sales_data_sample[[#This Row],[STATUS]]="Shipped",sales_data_sample[[#This Row],[STATUS]]="Resolved"),sales_data_sample[[#This Row],[SALES]],0)</f>
        <v>4700</v>
      </c>
      <c r="F37" s="10">
        <v>6</v>
      </c>
      <c r="G37" s="12" t="s">
        <v>298</v>
      </c>
      <c r="H37" s="1" t="s">
        <v>26</v>
      </c>
      <c r="I37">
        <v>4</v>
      </c>
      <c r="J37">
        <v>12</v>
      </c>
      <c r="K37">
        <v>2003</v>
      </c>
      <c r="L37" s="1" t="s">
        <v>239</v>
      </c>
      <c r="M37">
        <v>214</v>
      </c>
      <c r="N37" s="1" t="s">
        <v>240</v>
      </c>
      <c r="O37" s="1" t="s">
        <v>299</v>
      </c>
      <c r="P37" s="1" t="s">
        <v>300</v>
      </c>
      <c r="Q37" s="1" t="s">
        <v>301</v>
      </c>
      <c r="R37" s="1" t="s">
        <v>32</v>
      </c>
      <c r="S37" s="1" t="s">
        <v>302</v>
      </c>
      <c r="T37" s="1" t="s">
        <v>303</v>
      </c>
      <c r="U37" s="1" t="s">
        <v>304</v>
      </c>
      <c r="V37" s="1" t="s">
        <v>305</v>
      </c>
      <c r="W37" s="1" t="s">
        <v>37</v>
      </c>
      <c r="X37" s="1" t="s">
        <v>306</v>
      </c>
      <c r="Y37" s="1" t="s">
        <v>307</v>
      </c>
      <c r="Z37" s="1" t="str">
        <f>TRIM(_xlfn.CONCAT(sales_data_sample[[#This Row],[CONTACTFIRSTNAME]],", ",sales_data_sample[[#This Row],[CONTACTLASTNAME]]))</f>
        <v>Yoshi, Tannamuri</v>
      </c>
      <c r="AA37" s="1" t="s">
        <v>199</v>
      </c>
    </row>
    <row r="38" spans="1:27" x14ac:dyDescent="0.25">
      <c r="A38" s="10">
        <v>10215</v>
      </c>
      <c r="B38" s="9">
        <v>35</v>
      </c>
      <c r="C38" s="9">
        <v>100</v>
      </c>
      <c r="D38" s="9">
        <f>PRODUCT(sales_data_sample[[#This Row],[QUANTITYORDERED]],sales_data_sample[[#This Row],[PRICEEACH]])</f>
        <v>3500</v>
      </c>
      <c r="E38" s="9">
        <f>IF(OR(sales_data_sample[[#This Row],[STATUS]]="Shipped",sales_data_sample[[#This Row],[STATUS]]="Resolved"),sales_data_sample[[#This Row],[SALES]],0)</f>
        <v>3500</v>
      </c>
      <c r="F38" s="10">
        <v>3</v>
      </c>
      <c r="G38" s="12" t="s">
        <v>308</v>
      </c>
      <c r="H38" s="1" t="s">
        <v>26</v>
      </c>
      <c r="I38">
        <v>1</v>
      </c>
      <c r="J38">
        <v>1</v>
      </c>
      <c r="K38">
        <v>2004</v>
      </c>
      <c r="L38" s="1" t="s">
        <v>239</v>
      </c>
      <c r="M38">
        <v>214</v>
      </c>
      <c r="N38" s="1" t="s">
        <v>240</v>
      </c>
      <c r="O38" s="1" t="s">
        <v>309</v>
      </c>
      <c r="P38" s="1" t="s">
        <v>310</v>
      </c>
      <c r="Q38" s="1" t="s">
        <v>311</v>
      </c>
      <c r="R38" s="1" t="s">
        <v>32</v>
      </c>
      <c r="S38" s="1" t="s">
        <v>312</v>
      </c>
      <c r="T38" s="1" t="s">
        <v>65</v>
      </c>
      <c r="U38" s="1" t="s">
        <v>137</v>
      </c>
      <c r="V38" s="1" t="s">
        <v>36</v>
      </c>
      <c r="W38" s="1" t="s">
        <v>37</v>
      </c>
      <c r="X38" s="1" t="s">
        <v>313</v>
      </c>
      <c r="Y38" s="1" t="s">
        <v>314</v>
      </c>
      <c r="Z38" s="1" t="str">
        <f>TRIM(_xlfn.CONCAT(sales_data_sample[[#This Row],[CONTACTFIRSTNAME]],", ",sales_data_sample[[#This Row],[CONTACTLASTNAME]]))</f>
        <v>Steve, Thompson</v>
      </c>
      <c r="AA38" s="1" t="s">
        <v>59</v>
      </c>
    </row>
    <row r="39" spans="1:27" x14ac:dyDescent="0.25">
      <c r="A39" s="10">
        <v>10228</v>
      </c>
      <c r="B39" s="9">
        <v>29</v>
      </c>
      <c r="C39" s="9">
        <v>100</v>
      </c>
      <c r="D39" s="9">
        <f>PRODUCT(sales_data_sample[[#This Row],[QUANTITYORDERED]],sales_data_sample[[#This Row],[PRICEEACH]])</f>
        <v>2900</v>
      </c>
      <c r="E39" s="9">
        <f>IF(OR(sales_data_sample[[#This Row],[STATUS]]="Shipped",sales_data_sample[[#This Row],[STATUS]]="Resolved"),sales_data_sample[[#This Row],[SALES]],0)</f>
        <v>2900</v>
      </c>
      <c r="F39" s="10">
        <v>2</v>
      </c>
      <c r="G39" s="12" t="s">
        <v>315</v>
      </c>
      <c r="H39" s="1" t="s">
        <v>26</v>
      </c>
      <c r="I39">
        <v>1</v>
      </c>
      <c r="J39">
        <v>3</v>
      </c>
      <c r="K39">
        <v>2004</v>
      </c>
      <c r="L39" s="1" t="s">
        <v>239</v>
      </c>
      <c r="M39">
        <v>214</v>
      </c>
      <c r="N39" s="1" t="s">
        <v>240</v>
      </c>
      <c r="O39" s="1" t="s">
        <v>316</v>
      </c>
      <c r="P39" s="1" t="s">
        <v>317</v>
      </c>
      <c r="Q39" s="1" t="s">
        <v>318</v>
      </c>
      <c r="R39" s="1" t="s">
        <v>32</v>
      </c>
      <c r="S39" s="1" t="s">
        <v>159</v>
      </c>
      <c r="T39" s="1" t="s">
        <v>160</v>
      </c>
      <c r="U39" s="1" t="s">
        <v>161</v>
      </c>
      <c r="V39" s="1" t="s">
        <v>36</v>
      </c>
      <c r="W39" s="1" t="s">
        <v>37</v>
      </c>
      <c r="X39" s="1" t="s">
        <v>319</v>
      </c>
      <c r="Y39" s="1" t="s">
        <v>188</v>
      </c>
      <c r="Z39" s="1" t="str">
        <f>TRIM(_xlfn.CONCAT(sales_data_sample[[#This Row],[CONTACTFIRSTNAME]],", ",sales_data_sample[[#This Row],[CONTACTLASTNAME]]))</f>
        <v>Kyung, Tseng</v>
      </c>
      <c r="AA39" s="1" t="s">
        <v>59</v>
      </c>
    </row>
    <row r="40" spans="1:27" x14ac:dyDescent="0.25">
      <c r="A40" s="10">
        <v>10245</v>
      </c>
      <c r="B40" s="9">
        <v>34</v>
      </c>
      <c r="C40" s="9">
        <v>100</v>
      </c>
      <c r="D40" s="9">
        <f>PRODUCT(sales_data_sample[[#This Row],[QUANTITYORDERED]],sales_data_sample[[#This Row],[PRICEEACH]])</f>
        <v>3400</v>
      </c>
      <c r="E40" s="9">
        <f>IF(OR(sales_data_sample[[#This Row],[STATUS]]="Shipped",sales_data_sample[[#This Row],[STATUS]]="Resolved"),sales_data_sample[[#This Row],[SALES]],0)</f>
        <v>3400</v>
      </c>
      <c r="F40" s="10">
        <v>9</v>
      </c>
      <c r="G40" s="12" t="s">
        <v>320</v>
      </c>
      <c r="H40" s="1" t="s">
        <v>26</v>
      </c>
      <c r="I40">
        <v>2</v>
      </c>
      <c r="J40">
        <v>5</v>
      </c>
      <c r="K40">
        <v>2004</v>
      </c>
      <c r="L40" s="1" t="s">
        <v>239</v>
      </c>
      <c r="M40">
        <v>214</v>
      </c>
      <c r="N40" s="1" t="s">
        <v>240</v>
      </c>
      <c r="O40" s="1" t="s">
        <v>321</v>
      </c>
      <c r="P40" s="1" t="s">
        <v>322</v>
      </c>
      <c r="Q40" s="1" t="s">
        <v>323</v>
      </c>
      <c r="R40" s="1" t="s">
        <v>32</v>
      </c>
      <c r="S40" s="1" t="s">
        <v>324</v>
      </c>
      <c r="T40" s="1" t="s">
        <v>144</v>
      </c>
      <c r="U40" s="1" t="s">
        <v>325</v>
      </c>
      <c r="V40" s="1" t="s">
        <v>36</v>
      </c>
      <c r="W40" s="1" t="s">
        <v>37</v>
      </c>
      <c r="X40" s="1" t="s">
        <v>104</v>
      </c>
      <c r="Y40" s="1" t="s">
        <v>326</v>
      </c>
      <c r="Z40" s="1" t="str">
        <f>TRIM(_xlfn.CONCAT(sales_data_sample[[#This Row],[CONTACTFIRSTNAME]],", ",sales_data_sample[[#This Row],[CONTACTLASTNAME]]))</f>
        <v>Leslie, Murphy</v>
      </c>
      <c r="AA40" s="1" t="s">
        <v>59</v>
      </c>
    </row>
    <row r="41" spans="1:27" x14ac:dyDescent="0.25">
      <c r="A41" s="10">
        <v>10258</v>
      </c>
      <c r="B41" s="9">
        <v>32</v>
      </c>
      <c r="C41" s="9">
        <v>100</v>
      </c>
      <c r="D41" s="9">
        <f>PRODUCT(sales_data_sample[[#This Row],[QUANTITYORDERED]],sales_data_sample[[#This Row],[PRICEEACH]])</f>
        <v>3200</v>
      </c>
      <c r="E41" s="9">
        <f>IF(OR(sales_data_sample[[#This Row],[STATUS]]="Shipped",sales_data_sample[[#This Row],[STATUS]]="Resolved"),sales_data_sample[[#This Row],[SALES]],0)</f>
        <v>3200</v>
      </c>
      <c r="F41" s="10">
        <v>6</v>
      </c>
      <c r="G41" s="12" t="s">
        <v>327</v>
      </c>
      <c r="H41" s="1" t="s">
        <v>26</v>
      </c>
      <c r="I41">
        <v>2</v>
      </c>
      <c r="J41">
        <v>6</v>
      </c>
      <c r="K41">
        <v>2004</v>
      </c>
      <c r="L41" s="1" t="s">
        <v>239</v>
      </c>
      <c r="M41">
        <v>214</v>
      </c>
      <c r="N41" s="1" t="s">
        <v>240</v>
      </c>
      <c r="O41" s="1" t="s">
        <v>328</v>
      </c>
      <c r="P41" s="1" t="s">
        <v>329</v>
      </c>
      <c r="Q41" s="1" t="s">
        <v>330</v>
      </c>
      <c r="R41" s="1" t="s">
        <v>32</v>
      </c>
      <c r="S41" s="1" t="s">
        <v>331</v>
      </c>
      <c r="T41" s="1" t="s">
        <v>332</v>
      </c>
      <c r="U41" s="1" t="s">
        <v>333</v>
      </c>
      <c r="V41" s="1" t="s">
        <v>264</v>
      </c>
      <c r="W41" s="1" t="s">
        <v>264</v>
      </c>
      <c r="X41" s="1" t="s">
        <v>334</v>
      </c>
      <c r="Y41" s="1" t="s">
        <v>335</v>
      </c>
      <c r="Z41" s="1" t="str">
        <f>TRIM(_xlfn.CONCAT(sales_data_sample[[#This Row],[CONTACTFIRSTNAME]],", ",sales_data_sample[[#This Row],[CONTACTLASTNAME]]))</f>
        <v>Akiko, Shimamura</v>
      </c>
      <c r="AA41" s="1" t="s">
        <v>199</v>
      </c>
    </row>
    <row r="42" spans="1:27" x14ac:dyDescent="0.25">
      <c r="A42">
        <v>10270</v>
      </c>
      <c r="B42">
        <v>21</v>
      </c>
      <c r="C42">
        <v>100</v>
      </c>
      <c r="D42">
        <f>PRODUCT(sales_data_sample[[#This Row],[QUANTITYORDERED]],sales_data_sample[[#This Row],[PRICEEACH]])</f>
        <v>2100</v>
      </c>
      <c r="E42" s="9">
        <f>IF(OR(sales_data_sample[[#This Row],[STATUS]]="Shipped",sales_data_sample[[#This Row],[STATUS]]="Resolved"),sales_data_sample[[#This Row],[SALES]],0)</f>
        <v>2100</v>
      </c>
      <c r="F42">
        <v>9</v>
      </c>
      <c r="G42" s="12" t="s">
        <v>336</v>
      </c>
      <c r="H42" s="1" t="s">
        <v>26</v>
      </c>
      <c r="I42">
        <v>3</v>
      </c>
      <c r="J42">
        <v>7</v>
      </c>
      <c r="K42">
        <v>2004</v>
      </c>
      <c r="L42" s="1" t="s">
        <v>239</v>
      </c>
      <c r="M42">
        <v>214</v>
      </c>
      <c r="N42" s="1" t="s">
        <v>240</v>
      </c>
      <c r="O42" s="1" t="s">
        <v>201</v>
      </c>
      <c r="P42" s="1" t="s">
        <v>202</v>
      </c>
      <c r="Q42" s="1" t="s">
        <v>203</v>
      </c>
      <c r="R42" s="1" t="s">
        <v>204</v>
      </c>
      <c r="S42" s="1" t="s">
        <v>205</v>
      </c>
      <c r="T42" s="1" t="s">
        <v>206</v>
      </c>
      <c r="U42" s="1" t="s">
        <v>207</v>
      </c>
      <c r="V42" s="1" t="s">
        <v>120</v>
      </c>
      <c r="W42" s="1" t="s">
        <v>121</v>
      </c>
      <c r="X42" s="1" t="s">
        <v>208</v>
      </c>
      <c r="Y42" s="1" t="s">
        <v>209</v>
      </c>
      <c r="Z42" s="1" t="str">
        <f>TRIM(_xlfn.CONCAT(sales_data_sample[[#This Row],[CONTACTFIRSTNAME]],", ",sales_data_sample[[#This Row],[CONTACTLASTNAME]]))</f>
        <v>Adrian, Huxley</v>
      </c>
      <c r="AA42" s="1" t="s">
        <v>59</v>
      </c>
    </row>
    <row r="43" spans="1:27" x14ac:dyDescent="0.25">
      <c r="A43" s="10">
        <v>10280</v>
      </c>
      <c r="B43" s="9">
        <v>34</v>
      </c>
      <c r="C43" s="9">
        <v>100</v>
      </c>
      <c r="D43" s="9">
        <f>PRODUCT(sales_data_sample[[#This Row],[QUANTITYORDERED]],sales_data_sample[[#This Row],[PRICEEACH]])</f>
        <v>3400</v>
      </c>
      <c r="E43" s="9">
        <f>IF(OR(sales_data_sample[[#This Row],[STATUS]]="Shipped",sales_data_sample[[#This Row],[STATUS]]="Resolved"),sales_data_sample[[#This Row],[SALES]],0)</f>
        <v>3400</v>
      </c>
      <c r="F43" s="10">
        <v>2</v>
      </c>
      <c r="G43" s="12" t="s">
        <v>337</v>
      </c>
      <c r="H43" s="1" t="s">
        <v>26</v>
      </c>
      <c r="I43">
        <v>3</v>
      </c>
      <c r="J43">
        <v>8</v>
      </c>
      <c r="K43">
        <v>2004</v>
      </c>
      <c r="L43" s="1" t="s">
        <v>239</v>
      </c>
      <c r="M43">
        <v>214</v>
      </c>
      <c r="N43" s="1" t="s">
        <v>240</v>
      </c>
      <c r="O43" s="1" t="s">
        <v>338</v>
      </c>
      <c r="P43" s="1" t="s">
        <v>339</v>
      </c>
      <c r="Q43" s="1" t="s">
        <v>340</v>
      </c>
      <c r="R43" s="1" t="s">
        <v>32</v>
      </c>
      <c r="S43" s="1" t="s">
        <v>341</v>
      </c>
      <c r="T43" s="1" t="s">
        <v>32</v>
      </c>
      <c r="U43" s="1" t="s">
        <v>342</v>
      </c>
      <c r="V43" s="1" t="s">
        <v>343</v>
      </c>
      <c r="W43" s="1" t="s">
        <v>48</v>
      </c>
      <c r="X43" s="1" t="s">
        <v>344</v>
      </c>
      <c r="Y43" s="1" t="s">
        <v>345</v>
      </c>
      <c r="Z43" s="1" t="str">
        <f>TRIM(_xlfn.CONCAT(sales_data_sample[[#This Row],[CONTACTFIRSTNAME]],", ",sales_data_sample[[#This Row],[CONTACTLASTNAME]]))</f>
        <v>Paolo, Accorti</v>
      </c>
      <c r="AA43" s="1" t="s">
        <v>199</v>
      </c>
    </row>
    <row r="44" spans="1:27" x14ac:dyDescent="0.25">
      <c r="A44" s="10">
        <v>10291</v>
      </c>
      <c r="B44" s="9">
        <v>37</v>
      </c>
      <c r="C44" s="9">
        <v>100</v>
      </c>
      <c r="D44" s="9">
        <f>PRODUCT(sales_data_sample[[#This Row],[QUANTITYORDERED]],sales_data_sample[[#This Row],[PRICEEACH]])</f>
        <v>3700</v>
      </c>
      <c r="E44" s="9">
        <f>IF(OR(sales_data_sample[[#This Row],[STATUS]]="Shipped",sales_data_sample[[#This Row],[STATUS]]="Resolved"),sales_data_sample[[#This Row],[SALES]],0)</f>
        <v>3700</v>
      </c>
      <c r="F44" s="10">
        <v>11</v>
      </c>
      <c r="G44" s="12" t="s">
        <v>346</v>
      </c>
      <c r="H44" s="1" t="s">
        <v>26</v>
      </c>
      <c r="I44">
        <v>3</v>
      </c>
      <c r="J44">
        <v>9</v>
      </c>
      <c r="K44">
        <v>2004</v>
      </c>
      <c r="L44" s="1" t="s">
        <v>239</v>
      </c>
      <c r="M44">
        <v>214</v>
      </c>
      <c r="N44" s="1" t="s">
        <v>240</v>
      </c>
      <c r="O44" s="1" t="s">
        <v>347</v>
      </c>
      <c r="P44" s="1" t="s">
        <v>348</v>
      </c>
      <c r="Q44" s="1" t="s">
        <v>349</v>
      </c>
      <c r="R44" s="1" t="s">
        <v>32</v>
      </c>
      <c r="S44" s="1" t="s">
        <v>350</v>
      </c>
      <c r="T44" s="1" t="s">
        <v>32</v>
      </c>
      <c r="U44" s="1" t="s">
        <v>351</v>
      </c>
      <c r="V44" s="1" t="s">
        <v>247</v>
      </c>
      <c r="W44" s="1" t="s">
        <v>48</v>
      </c>
      <c r="X44" s="1" t="s">
        <v>352</v>
      </c>
      <c r="Y44" s="1" t="s">
        <v>272</v>
      </c>
      <c r="Z44" s="1" t="str">
        <f>TRIM(_xlfn.CONCAT(sales_data_sample[[#This Row],[CONTACTFIRSTNAME]],", ",sales_data_sample[[#This Row],[CONTACTLASTNAME]]))</f>
        <v>Maria, Larsson</v>
      </c>
      <c r="AA44" s="1" t="s">
        <v>199</v>
      </c>
    </row>
    <row r="45" spans="1:27" x14ac:dyDescent="0.25">
      <c r="A45" s="10">
        <v>10304</v>
      </c>
      <c r="B45" s="9">
        <v>47</v>
      </c>
      <c r="C45" s="9">
        <v>100</v>
      </c>
      <c r="D45" s="9">
        <f>PRODUCT(sales_data_sample[[#This Row],[QUANTITYORDERED]],sales_data_sample[[#This Row],[PRICEEACH]])</f>
        <v>4700</v>
      </c>
      <c r="E45" s="9">
        <f>IF(OR(sales_data_sample[[#This Row],[STATUS]]="Shipped",sales_data_sample[[#This Row],[STATUS]]="Resolved"),sales_data_sample[[#This Row],[SALES]],0)</f>
        <v>4700</v>
      </c>
      <c r="F45" s="10">
        <v>6</v>
      </c>
      <c r="G45" s="12" t="s">
        <v>353</v>
      </c>
      <c r="H45" s="1" t="s">
        <v>26</v>
      </c>
      <c r="I45">
        <v>4</v>
      </c>
      <c r="J45">
        <v>10</v>
      </c>
      <c r="K45">
        <v>2004</v>
      </c>
      <c r="L45" s="1" t="s">
        <v>239</v>
      </c>
      <c r="M45">
        <v>214</v>
      </c>
      <c r="N45" s="1" t="s">
        <v>240</v>
      </c>
      <c r="O45" s="1" t="s">
        <v>354</v>
      </c>
      <c r="P45" s="1" t="s">
        <v>355</v>
      </c>
      <c r="Q45" s="1" t="s">
        <v>356</v>
      </c>
      <c r="R45" s="1" t="s">
        <v>32</v>
      </c>
      <c r="S45" s="1" t="s">
        <v>357</v>
      </c>
      <c r="T45" s="1" t="s">
        <v>32</v>
      </c>
      <c r="U45" s="1" t="s">
        <v>358</v>
      </c>
      <c r="V45" s="1" t="s">
        <v>47</v>
      </c>
      <c r="W45" s="1" t="s">
        <v>48</v>
      </c>
      <c r="X45" s="1" t="s">
        <v>359</v>
      </c>
      <c r="Y45" s="1" t="s">
        <v>58</v>
      </c>
      <c r="Z45" s="1" t="str">
        <f>TRIM(_xlfn.CONCAT(sales_data_sample[[#This Row],[CONTACTFIRSTNAME]],", ",sales_data_sample[[#This Row],[CONTACTLASTNAME]]))</f>
        <v>Daniel, Tonini</v>
      </c>
      <c r="AA45" s="1" t="s">
        <v>199</v>
      </c>
    </row>
    <row r="46" spans="1:27" x14ac:dyDescent="0.25">
      <c r="A46" s="10">
        <v>10312</v>
      </c>
      <c r="B46" s="9">
        <v>48</v>
      </c>
      <c r="C46" s="9">
        <v>100</v>
      </c>
      <c r="D46" s="9">
        <f>PRODUCT(sales_data_sample[[#This Row],[QUANTITYORDERED]],sales_data_sample[[#This Row],[PRICEEACH]])</f>
        <v>4800</v>
      </c>
      <c r="E46" s="9">
        <f>IF(OR(sales_data_sample[[#This Row],[STATUS]]="Shipped",sales_data_sample[[#This Row],[STATUS]]="Resolved"),sales_data_sample[[#This Row],[SALES]],0)</f>
        <v>4800</v>
      </c>
      <c r="F46" s="10">
        <v>3</v>
      </c>
      <c r="G46" s="12" t="s">
        <v>360</v>
      </c>
      <c r="H46" s="1" t="s">
        <v>26</v>
      </c>
      <c r="I46">
        <v>4</v>
      </c>
      <c r="J46">
        <v>10</v>
      </c>
      <c r="K46">
        <v>2004</v>
      </c>
      <c r="L46" s="1" t="s">
        <v>239</v>
      </c>
      <c r="M46">
        <v>214</v>
      </c>
      <c r="N46" s="1" t="s">
        <v>240</v>
      </c>
      <c r="O46" s="1" t="s">
        <v>361</v>
      </c>
      <c r="P46" s="1" t="s">
        <v>362</v>
      </c>
      <c r="Q46" s="1" t="s">
        <v>363</v>
      </c>
      <c r="R46" s="1" t="s">
        <v>32</v>
      </c>
      <c r="S46" s="1" t="s">
        <v>364</v>
      </c>
      <c r="T46" s="1" t="s">
        <v>65</v>
      </c>
      <c r="U46" s="1" t="s">
        <v>145</v>
      </c>
      <c r="V46" s="1" t="s">
        <v>36</v>
      </c>
      <c r="W46" s="1" t="s">
        <v>37</v>
      </c>
      <c r="X46" s="1" t="s">
        <v>365</v>
      </c>
      <c r="Y46" s="1" t="s">
        <v>366</v>
      </c>
      <c r="Z46" s="1" t="str">
        <f>TRIM(_xlfn.CONCAT(sales_data_sample[[#This Row],[CONTACTFIRSTNAME]],", ",sales_data_sample[[#This Row],[CONTACTLASTNAME]]))</f>
        <v>Valarie, Nelson</v>
      </c>
      <c r="AA46" s="1" t="s">
        <v>199</v>
      </c>
    </row>
    <row r="47" spans="1:27" x14ac:dyDescent="0.25">
      <c r="A47" s="10">
        <v>10322</v>
      </c>
      <c r="B47" s="9">
        <v>40</v>
      </c>
      <c r="C47" s="9">
        <v>100</v>
      </c>
      <c r="D47" s="9">
        <f>PRODUCT(sales_data_sample[[#This Row],[QUANTITYORDERED]],sales_data_sample[[#This Row],[PRICEEACH]])</f>
        <v>4000</v>
      </c>
      <c r="E47" s="9">
        <f>IF(OR(sales_data_sample[[#This Row],[STATUS]]="Shipped",sales_data_sample[[#This Row],[STATUS]]="Resolved"),sales_data_sample[[#This Row],[SALES]],0)</f>
        <v>4000</v>
      </c>
      <c r="F47" s="10">
        <v>1</v>
      </c>
      <c r="G47" s="12" t="s">
        <v>367</v>
      </c>
      <c r="H47" s="1" t="s">
        <v>26</v>
      </c>
      <c r="I47">
        <v>4</v>
      </c>
      <c r="J47">
        <v>11</v>
      </c>
      <c r="K47">
        <v>2004</v>
      </c>
      <c r="L47" s="1" t="s">
        <v>239</v>
      </c>
      <c r="M47">
        <v>214</v>
      </c>
      <c r="N47" s="1" t="s">
        <v>240</v>
      </c>
      <c r="O47" s="1" t="s">
        <v>368</v>
      </c>
      <c r="P47" s="1" t="s">
        <v>369</v>
      </c>
      <c r="Q47" s="1" t="s">
        <v>370</v>
      </c>
      <c r="R47" s="1" t="s">
        <v>32</v>
      </c>
      <c r="S47" s="1" t="s">
        <v>371</v>
      </c>
      <c r="T47" s="1" t="s">
        <v>372</v>
      </c>
      <c r="U47" s="1" t="s">
        <v>373</v>
      </c>
      <c r="V47" s="1" t="s">
        <v>36</v>
      </c>
      <c r="W47" s="1" t="s">
        <v>37</v>
      </c>
      <c r="X47" s="1" t="s">
        <v>67</v>
      </c>
      <c r="Y47" s="1" t="s">
        <v>366</v>
      </c>
      <c r="Z47" s="1" t="str">
        <f>TRIM(_xlfn.CONCAT(sales_data_sample[[#This Row],[CONTACTFIRSTNAME]],", ",sales_data_sample[[#This Row],[CONTACTLASTNAME]]))</f>
        <v>Valarie, Young</v>
      </c>
      <c r="AA47" s="1" t="s">
        <v>59</v>
      </c>
    </row>
    <row r="48" spans="1:27" x14ac:dyDescent="0.25">
      <c r="A48" s="10">
        <v>10333</v>
      </c>
      <c r="B48" s="9">
        <v>26</v>
      </c>
      <c r="C48" s="9">
        <v>100</v>
      </c>
      <c r="D48" s="9">
        <f>PRODUCT(sales_data_sample[[#This Row],[QUANTITYORDERED]],sales_data_sample[[#This Row],[PRICEEACH]])</f>
        <v>2600</v>
      </c>
      <c r="E48" s="9">
        <f>IF(OR(sales_data_sample[[#This Row],[STATUS]]="Shipped",sales_data_sample[[#This Row],[STATUS]]="Resolved"),sales_data_sample[[#This Row],[SALES]],0)</f>
        <v>2600</v>
      </c>
      <c r="F48" s="10">
        <v>3</v>
      </c>
      <c r="G48" s="12" t="s">
        <v>374</v>
      </c>
      <c r="H48" s="1" t="s">
        <v>26</v>
      </c>
      <c r="I48">
        <v>4</v>
      </c>
      <c r="J48">
        <v>11</v>
      </c>
      <c r="K48">
        <v>2004</v>
      </c>
      <c r="L48" s="1" t="s">
        <v>239</v>
      </c>
      <c r="M48">
        <v>214</v>
      </c>
      <c r="N48" s="1" t="s">
        <v>240</v>
      </c>
      <c r="O48" s="1" t="s">
        <v>101</v>
      </c>
      <c r="P48" s="1" t="s">
        <v>102</v>
      </c>
      <c r="Q48" s="1" t="s">
        <v>103</v>
      </c>
      <c r="R48" s="1" t="s">
        <v>32</v>
      </c>
      <c r="S48" s="1" t="s">
        <v>73</v>
      </c>
      <c r="T48" s="1" t="s">
        <v>65</v>
      </c>
      <c r="U48" s="1" t="s">
        <v>32</v>
      </c>
      <c r="V48" s="1" t="s">
        <v>36</v>
      </c>
      <c r="W48" s="1" t="s">
        <v>37</v>
      </c>
      <c r="X48" s="1" t="s">
        <v>104</v>
      </c>
      <c r="Y48" s="1" t="s">
        <v>68</v>
      </c>
      <c r="Z48" s="1" t="str">
        <f>TRIM(_xlfn.CONCAT(sales_data_sample[[#This Row],[CONTACTFIRSTNAME]],", ",sales_data_sample[[#This Row],[CONTACTLASTNAME]]))</f>
        <v>Julie, Murphy</v>
      </c>
      <c r="AA48" s="1" t="s">
        <v>59</v>
      </c>
    </row>
    <row r="49" spans="1:27" x14ac:dyDescent="0.25">
      <c r="A49">
        <v>10347</v>
      </c>
      <c r="B49">
        <v>30</v>
      </c>
      <c r="C49">
        <v>100</v>
      </c>
      <c r="D49">
        <f>PRODUCT(sales_data_sample[[#This Row],[QUANTITYORDERED]],sales_data_sample[[#This Row],[PRICEEACH]])</f>
        <v>3000</v>
      </c>
      <c r="E49" s="9">
        <f>IF(OR(sales_data_sample[[#This Row],[STATUS]]="Shipped",sales_data_sample[[#This Row],[STATUS]]="Resolved"),sales_data_sample[[#This Row],[SALES]],0)</f>
        <v>3000</v>
      </c>
      <c r="F49">
        <v>1</v>
      </c>
      <c r="G49" s="12" t="s">
        <v>375</v>
      </c>
      <c r="H49" s="1" t="s">
        <v>26</v>
      </c>
      <c r="I49">
        <v>4</v>
      </c>
      <c r="J49">
        <v>11</v>
      </c>
      <c r="K49">
        <v>2004</v>
      </c>
      <c r="L49" s="1" t="s">
        <v>239</v>
      </c>
      <c r="M49">
        <v>214</v>
      </c>
      <c r="N49" s="1" t="s">
        <v>240</v>
      </c>
      <c r="O49" s="1" t="s">
        <v>113</v>
      </c>
      <c r="P49" s="1" t="s">
        <v>114</v>
      </c>
      <c r="Q49" s="1" t="s">
        <v>115</v>
      </c>
      <c r="R49" s="1" t="s">
        <v>116</v>
      </c>
      <c r="S49" s="1" t="s">
        <v>117</v>
      </c>
      <c r="T49" s="1" t="s">
        <v>118</v>
      </c>
      <c r="U49" s="1" t="s">
        <v>119</v>
      </c>
      <c r="V49" s="1" t="s">
        <v>120</v>
      </c>
      <c r="W49" s="1" t="s">
        <v>121</v>
      </c>
      <c r="X49" s="1" t="s">
        <v>122</v>
      </c>
      <c r="Y49" s="1" t="s">
        <v>123</v>
      </c>
      <c r="Z49" s="1" t="str">
        <f>TRIM(_xlfn.CONCAT(sales_data_sample[[#This Row],[CONTACTFIRSTNAME]],", ",sales_data_sample[[#This Row],[CONTACTLASTNAME]]))</f>
        <v>Peter, Ferguson</v>
      </c>
      <c r="AA49" s="1" t="s">
        <v>59</v>
      </c>
    </row>
    <row r="50" spans="1:27" x14ac:dyDescent="0.25">
      <c r="A50" s="10">
        <v>10357</v>
      </c>
      <c r="B50" s="9">
        <v>32</v>
      </c>
      <c r="C50" s="9">
        <v>100</v>
      </c>
      <c r="D50" s="9">
        <f>PRODUCT(sales_data_sample[[#This Row],[QUANTITYORDERED]],sales_data_sample[[#This Row],[PRICEEACH]])</f>
        <v>3200</v>
      </c>
      <c r="E50" s="9">
        <f>IF(OR(sales_data_sample[[#This Row],[STATUS]]="Shipped",sales_data_sample[[#This Row],[STATUS]]="Resolved"),sales_data_sample[[#This Row],[SALES]],0)</f>
        <v>3200</v>
      </c>
      <c r="F50" s="10">
        <v>10</v>
      </c>
      <c r="G50" s="12" t="s">
        <v>376</v>
      </c>
      <c r="H50" s="1" t="s">
        <v>26</v>
      </c>
      <c r="I50">
        <v>4</v>
      </c>
      <c r="J50">
        <v>12</v>
      </c>
      <c r="K50">
        <v>2004</v>
      </c>
      <c r="L50" s="1" t="s">
        <v>239</v>
      </c>
      <c r="M50">
        <v>214</v>
      </c>
      <c r="N50" s="1" t="s">
        <v>240</v>
      </c>
      <c r="O50" s="1" t="s">
        <v>361</v>
      </c>
      <c r="P50" s="1" t="s">
        <v>362</v>
      </c>
      <c r="Q50" s="1" t="s">
        <v>363</v>
      </c>
      <c r="R50" s="1" t="s">
        <v>32</v>
      </c>
      <c r="S50" s="1" t="s">
        <v>364</v>
      </c>
      <c r="T50" s="1" t="s">
        <v>65</v>
      </c>
      <c r="U50" s="1" t="s">
        <v>145</v>
      </c>
      <c r="V50" s="1" t="s">
        <v>36</v>
      </c>
      <c r="W50" s="1" t="s">
        <v>37</v>
      </c>
      <c r="X50" s="1" t="s">
        <v>365</v>
      </c>
      <c r="Y50" s="1" t="s">
        <v>366</v>
      </c>
      <c r="Z50" s="1" t="str">
        <f>TRIM(_xlfn.CONCAT(sales_data_sample[[#This Row],[CONTACTFIRSTNAME]],", ",sales_data_sample[[#This Row],[CONTACTLASTNAME]]))</f>
        <v>Valarie, Nelson</v>
      </c>
      <c r="AA50" s="1" t="s">
        <v>59</v>
      </c>
    </row>
    <row r="51" spans="1:27" x14ac:dyDescent="0.25">
      <c r="A51" s="10">
        <v>10369</v>
      </c>
      <c r="B51" s="9">
        <v>41</v>
      </c>
      <c r="C51" s="9">
        <v>100</v>
      </c>
      <c r="D51" s="9">
        <f>PRODUCT(sales_data_sample[[#This Row],[QUANTITYORDERED]],sales_data_sample[[#This Row],[PRICEEACH]])</f>
        <v>4100</v>
      </c>
      <c r="E51" s="9">
        <f>IF(OR(sales_data_sample[[#This Row],[STATUS]]="Shipped",sales_data_sample[[#This Row],[STATUS]]="Resolved"),sales_data_sample[[#This Row],[SALES]],0)</f>
        <v>4100</v>
      </c>
      <c r="F51" s="10">
        <v>2</v>
      </c>
      <c r="G51" s="12" t="s">
        <v>377</v>
      </c>
      <c r="H51" s="1" t="s">
        <v>26</v>
      </c>
      <c r="I51">
        <v>1</v>
      </c>
      <c r="J51">
        <v>1</v>
      </c>
      <c r="K51">
        <v>2005</v>
      </c>
      <c r="L51" s="1" t="s">
        <v>239</v>
      </c>
      <c r="M51">
        <v>214</v>
      </c>
      <c r="N51" s="1" t="s">
        <v>240</v>
      </c>
      <c r="O51" s="1" t="s">
        <v>378</v>
      </c>
      <c r="P51" s="1" t="s">
        <v>157</v>
      </c>
      <c r="Q51" s="1" t="s">
        <v>379</v>
      </c>
      <c r="R51" s="1" t="s">
        <v>32</v>
      </c>
      <c r="S51" s="1" t="s">
        <v>380</v>
      </c>
      <c r="T51" s="1" t="s">
        <v>160</v>
      </c>
      <c r="U51" s="1" t="s">
        <v>381</v>
      </c>
      <c r="V51" s="1" t="s">
        <v>36</v>
      </c>
      <c r="W51" s="1" t="s">
        <v>37</v>
      </c>
      <c r="X51" s="1" t="s">
        <v>365</v>
      </c>
      <c r="Y51" s="1" t="s">
        <v>382</v>
      </c>
      <c r="Z51" s="1" t="str">
        <f>TRIM(_xlfn.CONCAT(sales_data_sample[[#This Row],[CONTACTFIRSTNAME]],", ",sales_data_sample[[#This Row],[CONTACTLASTNAME]]))</f>
        <v>Allen, Nelson</v>
      </c>
      <c r="AA51" s="1" t="s">
        <v>59</v>
      </c>
    </row>
    <row r="52" spans="1:27" x14ac:dyDescent="0.25">
      <c r="A52" s="10">
        <v>10381</v>
      </c>
      <c r="B52" s="9">
        <v>36</v>
      </c>
      <c r="C52" s="9">
        <v>100</v>
      </c>
      <c r="D52" s="9">
        <f>PRODUCT(sales_data_sample[[#This Row],[QUANTITYORDERED]],sales_data_sample[[#This Row],[PRICEEACH]])</f>
        <v>3600</v>
      </c>
      <c r="E52" s="9">
        <f>IF(OR(sales_data_sample[[#This Row],[STATUS]]="Shipped",sales_data_sample[[#This Row],[STATUS]]="Resolved"),sales_data_sample[[#This Row],[SALES]],0)</f>
        <v>3600</v>
      </c>
      <c r="F52" s="10">
        <v>3</v>
      </c>
      <c r="G52" s="12" t="s">
        <v>383</v>
      </c>
      <c r="H52" s="1" t="s">
        <v>26</v>
      </c>
      <c r="I52">
        <v>1</v>
      </c>
      <c r="J52">
        <v>2</v>
      </c>
      <c r="K52">
        <v>2005</v>
      </c>
      <c r="L52" s="1" t="s">
        <v>239</v>
      </c>
      <c r="M52">
        <v>214</v>
      </c>
      <c r="N52" s="1" t="s">
        <v>240</v>
      </c>
      <c r="O52" s="1" t="s">
        <v>70</v>
      </c>
      <c r="P52" s="1" t="s">
        <v>71</v>
      </c>
      <c r="Q52" s="1" t="s">
        <v>72</v>
      </c>
      <c r="R52" s="1" t="s">
        <v>32</v>
      </c>
      <c r="S52" s="1" t="s">
        <v>73</v>
      </c>
      <c r="T52" s="1" t="s">
        <v>65</v>
      </c>
      <c r="U52" s="1" t="s">
        <v>32</v>
      </c>
      <c r="V52" s="1" t="s">
        <v>36</v>
      </c>
      <c r="W52" s="1" t="s">
        <v>37</v>
      </c>
      <c r="X52" s="1" t="s">
        <v>74</v>
      </c>
      <c r="Y52" s="1" t="s">
        <v>68</v>
      </c>
      <c r="Z52" s="1" t="str">
        <f>TRIM(_xlfn.CONCAT(sales_data_sample[[#This Row],[CONTACTFIRSTNAME]],", ",sales_data_sample[[#This Row],[CONTACTLASTNAME]]))</f>
        <v>Julie, Brown</v>
      </c>
      <c r="AA52" s="1" t="s">
        <v>199</v>
      </c>
    </row>
    <row r="53" spans="1:27" x14ac:dyDescent="0.25">
      <c r="A53">
        <v>10391</v>
      </c>
      <c r="B53">
        <v>24</v>
      </c>
      <c r="C53">
        <v>100</v>
      </c>
      <c r="D53">
        <f>PRODUCT(sales_data_sample[[#This Row],[QUANTITYORDERED]],sales_data_sample[[#This Row],[PRICEEACH]])</f>
        <v>2400</v>
      </c>
      <c r="E53" s="9">
        <f>IF(OR(sales_data_sample[[#This Row],[STATUS]]="Shipped",sales_data_sample[[#This Row],[STATUS]]="Resolved"),sales_data_sample[[#This Row],[SALES]],0)</f>
        <v>2400</v>
      </c>
      <c r="F53">
        <v>4</v>
      </c>
      <c r="G53" s="12" t="s">
        <v>384</v>
      </c>
      <c r="H53" s="1" t="s">
        <v>26</v>
      </c>
      <c r="I53">
        <v>1</v>
      </c>
      <c r="J53">
        <v>3</v>
      </c>
      <c r="K53">
        <v>2005</v>
      </c>
      <c r="L53" s="1" t="s">
        <v>239</v>
      </c>
      <c r="M53">
        <v>214</v>
      </c>
      <c r="N53" s="1" t="s">
        <v>240</v>
      </c>
      <c r="O53" s="1" t="s">
        <v>385</v>
      </c>
      <c r="P53" s="1" t="s">
        <v>386</v>
      </c>
      <c r="Q53" s="1" t="s">
        <v>387</v>
      </c>
      <c r="R53" s="1" t="s">
        <v>388</v>
      </c>
      <c r="S53" s="1" t="s">
        <v>389</v>
      </c>
      <c r="T53" s="1" t="s">
        <v>206</v>
      </c>
      <c r="U53" s="1" t="s">
        <v>390</v>
      </c>
      <c r="V53" s="1" t="s">
        <v>120</v>
      </c>
      <c r="W53" s="1" t="s">
        <v>121</v>
      </c>
      <c r="X53" s="1" t="s">
        <v>391</v>
      </c>
      <c r="Y53" s="1" t="s">
        <v>392</v>
      </c>
      <c r="Z53" s="1" t="str">
        <f>TRIM(_xlfn.CONCAT(sales_data_sample[[#This Row],[CONTACTFIRSTNAME]],", ",sales_data_sample[[#This Row],[CONTACTLASTNAME]]))</f>
        <v>Anna, O'Hara</v>
      </c>
      <c r="AA53" s="1" t="s">
        <v>40</v>
      </c>
    </row>
    <row r="54" spans="1:27" x14ac:dyDescent="0.25">
      <c r="A54" s="10">
        <v>10411</v>
      </c>
      <c r="B54" s="9">
        <v>23</v>
      </c>
      <c r="C54" s="9">
        <v>100</v>
      </c>
      <c r="D54" s="9">
        <f>PRODUCT(sales_data_sample[[#This Row],[QUANTITYORDERED]],sales_data_sample[[#This Row],[PRICEEACH]])</f>
        <v>2300</v>
      </c>
      <c r="E54" s="9">
        <f>IF(OR(sales_data_sample[[#This Row],[STATUS]]="Shipped",sales_data_sample[[#This Row],[STATUS]]="Resolved"),sales_data_sample[[#This Row],[SALES]],0)</f>
        <v>2300</v>
      </c>
      <c r="F54" s="10">
        <v>9</v>
      </c>
      <c r="G54" s="12" t="s">
        <v>393</v>
      </c>
      <c r="H54" s="1" t="s">
        <v>26</v>
      </c>
      <c r="I54">
        <v>2</v>
      </c>
      <c r="J54">
        <v>5</v>
      </c>
      <c r="K54">
        <v>2005</v>
      </c>
      <c r="L54" s="1" t="s">
        <v>239</v>
      </c>
      <c r="M54">
        <v>214</v>
      </c>
      <c r="N54" s="1" t="s">
        <v>240</v>
      </c>
      <c r="O54" s="1" t="s">
        <v>394</v>
      </c>
      <c r="P54" s="1" t="s">
        <v>395</v>
      </c>
      <c r="Q54" s="1" t="s">
        <v>396</v>
      </c>
      <c r="R54" s="1" t="s">
        <v>32</v>
      </c>
      <c r="S54" s="1" t="s">
        <v>397</v>
      </c>
      <c r="T54" s="1" t="s">
        <v>398</v>
      </c>
      <c r="U54" s="1" t="s">
        <v>399</v>
      </c>
      <c r="V54" s="1" t="s">
        <v>305</v>
      </c>
      <c r="W54" s="1" t="s">
        <v>37</v>
      </c>
      <c r="X54" s="1" t="s">
        <v>400</v>
      </c>
      <c r="Y54" s="1" t="s">
        <v>401</v>
      </c>
      <c r="Z54" s="1" t="str">
        <f>TRIM(_xlfn.CONCAT(sales_data_sample[[#This Row],[CONTACTFIRSTNAME]],", ",sales_data_sample[[#This Row],[CONTACTLASTNAME]]))</f>
        <v>Jean, Fresnisre</v>
      </c>
      <c r="AA54" s="1" t="s">
        <v>59</v>
      </c>
    </row>
    <row r="55" spans="1:27" x14ac:dyDescent="0.25">
      <c r="A55" s="10">
        <v>10424</v>
      </c>
      <c r="B55" s="9">
        <v>50</v>
      </c>
      <c r="C55" s="9">
        <v>100</v>
      </c>
      <c r="D55" s="9">
        <f>PRODUCT(sales_data_sample[[#This Row],[QUANTITYORDERED]],sales_data_sample[[#This Row],[PRICEEACH]])</f>
        <v>5000</v>
      </c>
      <c r="E55" s="9">
        <f>IF(OR(sales_data_sample[[#This Row],[STATUS]]="Shipped",sales_data_sample[[#This Row],[STATUS]]="Resolved"),sales_data_sample[[#This Row],[SALES]],0)</f>
        <v>0</v>
      </c>
      <c r="F55" s="10">
        <v>6</v>
      </c>
      <c r="G55" s="12" t="s">
        <v>402</v>
      </c>
      <c r="H55" s="1" t="s">
        <v>403</v>
      </c>
      <c r="I55">
        <v>2</v>
      </c>
      <c r="J55">
        <v>5</v>
      </c>
      <c r="K55">
        <v>2005</v>
      </c>
      <c r="L55" s="1" t="s">
        <v>239</v>
      </c>
      <c r="M55">
        <v>214</v>
      </c>
      <c r="N55" s="1" t="s">
        <v>240</v>
      </c>
      <c r="O55" s="1" t="s">
        <v>230</v>
      </c>
      <c r="P55" s="1" t="s">
        <v>231</v>
      </c>
      <c r="Q55" s="1" t="s">
        <v>232</v>
      </c>
      <c r="R55" s="1" t="s">
        <v>32</v>
      </c>
      <c r="S55" s="1" t="s">
        <v>233</v>
      </c>
      <c r="T55" s="1" t="s">
        <v>32</v>
      </c>
      <c r="U55" s="1" t="s">
        <v>234</v>
      </c>
      <c r="V55" s="1" t="s">
        <v>235</v>
      </c>
      <c r="W55" s="1" t="s">
        <v>48</v>
      </c>
      <c r="X55" s="1" t="s">
        <v>236</v>
      </c>
      <c r="Y55" s="1" t="s">
        <v>237</v>
      </c>
      <c r="Z55" s="1" t="str">
        <f>TRIM(_xlfn.CONCAT(sales_data_sample[[#This Row],[CONTACTFIRSTNAME]],", ",sales_data_sample[[#This Row],[CONTACTLASTNAME]]))</f>
        <v>Diego, Freyre</v>
      </c>
      <c r="AA55" s="1" t="s">
        <v>199</v>
      </c>
    </row>
    <row r="56" spans="1:27" x14ac:dyDescent="0.25">
      <c r="A56" s="10">
        <v>10107</v>
      </c>
      <c r="B56" s="9">
        <v>39</v>
      </c>
      <c r="C56" s="9">
        <v>9991</v>
      </c>
      <c r="D56" s="9">
        <f>PRODUCT(sales_data_sample[[#This Row],[QUANTITYORDERED]],sales_data_sample[[#This Row],[PRICEEACH]])</f>
        <v>389649</v>
      </c>
      <c r="E56" s="9">
        <f>IF(OR(sales_data_sample[[#This Row],[STATUS]]="Shipped",sales_data_sample[[#This Row],[STATUS]]="Resolved"),sales_data_sample[[#This Row],[SALES]],0)</f>
        <v>389649</v>
      </c>
      <c r="F56" s="10">
        <v>5</v>
      </c>
      <c r="G56" s="12" t="s">
        <v>25</v>
      </c>
      <c r="H56" s="1" t="s">
        <v>26</v>
      </c>
      <c r="I56">
        <v>1</v>
      </c>
      <c r="J56">
        <v>2</v>
      </c>
      <c r="K56">
        <v>2003</v>
      </c>
      <c r="L56" s="1" t="s">
        <v>27</v>
      </c>
      <c r="M56">
        <v>118</v>
      </c>
      <c r="N56" s="1" t="s">
        <v>404</v>
      </c>
      <c r="O56" s="1" t="s">
        <v>29</v>
      </c>
      <c r="P56" s="1" t="s">
        <v>30</v>
      </c>
      <c r="Q56" s="1" t="s">
        <v>31</v>
      </c>
      <c r="R56" s="1" t="s">
        <v>32</v>
      </c>
      <c r="S56" s="1" t="s">
        <v>33</v>
      </c>
      <c r="T56" s="1" t="s">
        <v>34</v>
      </c>
      <c r="U56" s="1" t="s">
        <v>35</v>
      </c>
      <c r="V56" s="1" t="s">
        <v>36</v>
      </c>
      <c r="W56" s="1" t="s">
        <v>37</v>
      </c>
      <c r="X56" s="1" t="s">
        <v>38</v>
      </c>
      <c r="Y56" s="1" t="s">
        <v>39</v>
      </c>
      <c r="Z56" s="1" t="str">
        <f>TRIM(_xlfn.CONCAT(sales_data_sample[[#This Row],[CONTACTFIRSTNAME]],", ",sales_data_sample[[#This Row],[CONTACTLASTNAME]]))</f>
        <v>Kwai, Yu</v>
      </c>
      <c r="AA56" s="1" t="s">
        <v>59</v>
      </c>
    </row>
    <row r="57" spans="1:27" x14ac:dyDescent="0.25">
      <c r="A57">
        <v>10120</v>
      </c>
      <c r="B57">
        <v>29</v>
      </c>
      <c r="C57">
        <v>9634</v>
      </c>
      <c r="D57">
        <f>PRODUCT(sales_data_sample[[#This Row],[QUANTITYORDERED]],sales_data_sample[[#This Row],[PRICEEACH]])</f>
        <v>279386</v>
      </c>
      <c r="E57" s="9">
        <f>IF(OR(sales_data_sample[[#This Row],[STATUS]]="Shipped",sales_data_sample[[#This Row],[STATUS]]="Resolved"),sales_data_sample[[#This Row],[SALES]],0)</f>
        <v>279386</v>
      </c>
      <c r="F57">
        <v>3</v>
      </c>
      <c r="G57" s="12" t="s">
        <v>405</v>
      </c>
      <c r="H57" s="1" t="s">
        <v>26</v>
      </c>
      <c r="I57">
        <v>2</v>
      </c>
      <c r="J57">
        <v>4</v>
      </c>
      <c r="K57">
        <v>2003</v>
      </c>
      <c r="L57" s="1" t="s">
        <v>27</v>
      </c>
      <c r="M57">
        <v>118</v>
      </c>
      <c r="N57" s="1" t="s">
        <v>404</v>
      </c>
      <c r="O57" s="1" t="s">
        <v>113</v>
      </c>
      <c r="P57" s="1" t="s">
        <v>114</v>
      </c>
      <c r="Q57" s="1" t="s">
        <v>115</v>
      </c>
      <c r="R57" s="1" t="s">
        <v>116</v>
      </c>
      <c r="S57" s="1" t="s">
        <v>117</v>
      </c>
      <c r="T57" s="1" t="s">
        <v>118</v>
      </c>
      <c r="U57" s="1" t="s">
        <v>119</v>
      </c>
      <c r="V57" s="1" t="s">
        <v>120</v>
      </c>
      <c r="W57" s="1" t="s">
        <v>121</v>
      </c>
      <c r="X57" s="1" t="s">
        <v>122</v>
      </c>
      <c r="Y57" s="1" t="s">
        <v>123</v>
      </c>
      <c r="Z57" s="1" t="str">
        <f>TRIM(_xlfn.CONCAT(sales_data_sample[[#This Row],[CONTACTFIRSTNAME]],", ",sales_data_sample[[#This Row],[CONTACTLASTNAME]]))</f>
        <v>Peter, Ferguson</v>
      </c>
      <c r="AA57" s="1" t="s">
        <v>40</v>
      </c>
    </row>
    <row r="58" spans="1:27" x14ac:dyDescent="0.25">
      <c r="A58" s="10">
        <v>10134</v>
      </c>
      <c r="B58" s="9">
        <v>27</v>
      </c>
      <c r="C58" s="9">
        <v>100</v>
      </c>
      <c r="D58" s="9">
        <f>PRODUCT(sales_data_sample[[#This Row],[QUANTITYORDERED]],sales_data_sample[[#This Row],[PRICEEACH]])</f>
        <v>2700</v>
      </c>
      <c r="E58" s="9">
        <f>IF(OR(sales_data_sample[[#This Row],[STATUS]]="Shipped",sales_data_sample[[#This Row],[STATUS]]="Resolved"),sales_data_sample[[#This Row],[SALES]],0)</f>
        <v>2700</v>
      </c>
      <c r="F58" s="10">
        <v>5</v>
      </c>
      <c r="G58" s="12" t="s">
        <v>51</v>
      </c>
      <c r="H58" s="1" t="s">
        <v>26</v>
      </c>
      <c r="I58">
        <v>3</v>
      </c>
      <c r="J58">
        <v>7</v>
      </c>
      <c r="K58">
        <v>2003</v>
      </c>
      <c r="L58" s="1" t="s">
        <v>27</v>
      </c>
      <c r="M58">
        <v>118</v>
      </c>
      <c r="N58" s="1" t="s">
        <v>404</v>
      </c>
      <c r="O58" s="1" t="s">
        <v>52</v>
      </c>
      <c r="P58" s="1" t="s">
        <v>53</v>
      </c>
      <c r="Q58" s="1" t="s">
        <v>54</v>
      </c>
      <c r="R58" s="1" t="s">
        <v>32</v>
      </c>
      <c r="S58" s="1" t="s">
        <v>55</v>
      </c>
      <c r="T58" s="1" t="s">
        <v>32</v>
      </c>
      <c r="U58" s="1" t="s">
        <v>56</v>
      </c>
      <c r="V58" s="1" t="s">
        <v>47</v>
      </c>
      <c r="W58" s="1" t="s">
        <v>48</v>
      </c>
      <c r="X58" s="1" t="s">
        <v>57</v>
      </c>
      <c r="Y58" s="1" t="s">
        <v>58</v>
      </c>
      <c r="Z58" s="1" t="str">
        <f>TRIM(_xlfn.CONCAT(sales_data_sample[[#This Row],[CONTACTFIRSTNAME]],", ",sales_data_sample[[#This Row],[CONTACTLASTNAME]]))</f>
        <v>Daniel, Da Cunha</v>
      </c>
      <c r="AA58" s="1" t="s">
        <v>59</v>
      </c>
    </row>
    <row r="59" spans="1:27" x14ac:dyDescent="0.25">
      <c r="A59" s="10">
        <v>10145</v>
      </c>
      <c r="B59" s="9">
        <v>37</v>
      </c>
      <c r="C59" s="9">
        <v>100</v>
      </c>
      <c r="D59" s="9">
        <f>PRODUCT(sales_data_sample[[#This Row],[QUANTITYORDERED]],sales_data_sample[[#This Row],[PRICEEACH]])</f>
        <v>3700</v>
      </c>
      <c r="E59" s="9">
        <f>IF(OR(sales_data_sample[[#This Row],[STATUS]]="Shipped",sales_data_sample[[#This Row],[STATUS]]="Resolved"),sales_data_sample[[#This Row],[SALES]],0)</f>
        <v>3700</v>
      </c>
      <c r="F59" s="10">
        <v>9</v>
      </c>
      <c r="G59" s="12" t="s">
        <v>60</v>
      </c>
      <c r="H59" s="1" t="s">
        <v>26</v>
      </c>
      <c r="I59">
        <v>3</v>
      </c>
      <c r="J59">
        <v>8</v>
      </c>
      <c r="K59">
        <v>2003</v>
      </c>
      <c r="L59" s="1" t="s">
        <v>27</v>
      </c>
      <c r="M59">
        <v>118</v>
      </c>
      <c r="N59" s="1" t="s">
        <v>404</v>
      </c>
      <c r="O59" s="1" t="s">
        <v>61</v>
      </c>
      <c r="P59" s="1" t="s">
        <v>62</v>
      </c>
      <c r="Q59" s="1" t="s">
        <v>63</v>
      </c>
      <c r="R59" s="1" t="s">
        <v>32</v>
      </c>
      <c r="S59" s="1" t="s">
        <v>64</v>
      </c>
      <c r="T59" s="1" t="s">
        <v>65</v>
      </c>
      <c r="U59" s="1" t="s">
        <v>66</v>
      </c>
      <c r="V59" s="1" t="s">
        <v>36</v>
      </c>
      <c r="W59" s="1" t="s">
        <v>37</v>
      </c>
      <c r="X59" s="1" t="s">
        <v>67</v>
      </c>
      <c r="Y59" s="1" t="s">
        <v>68</v>
      </c>
      <c r="Z59" s="1" t="str">
        <f>TRIM(_xlfn.CONCAT(sales_data_sample[[#This Row],[CONTACTFIRSTNAME]],", ",sales_data_sample[[#This Row],[CONTACTLASTNAME]]))</f>
        <v>Julie, Young</v>
      </c>
      <c r="AA59" s="1" t="s">
        <v>59</v>
      </c>
    </row>
    <row r="60" spans="1:27" x14ac:dyDescent="0.25">
      <c r="A60" s="10">
        <v>10159</v>
      </c>
      <c r="B60" s="9">
        <v>37</v>
      </c>
      <c r="C60" s="9">
        <v>100</v>
      </c>
      <c r="D60" s="9">
        <f>PRODUCT(sales_data_sample[[#This Row],[QUANTITYORDERED]],sales_data_sample[[#This Row],[PRICEEACH]])</f>
        <v>3700</v>
      </c>
      <c r="E60" s="9">
        <f>IF(OR(sales_data_sample[[#This Row],[STATUS]]="Shipped",sales_data_sample[[#This Row],[STATUS]]="Resolved"),sales_data_sample[[#This Row],[SALES]],0)</f>
        <v>3700</v>
      </c>
      <c r="F60" s="10">
        <v>17</v>
      </c>
      <c r="G60" s="12" t="s">
        <v>69</v>
      </c>
      <c r="H60" s="1" t="s">
        <v>26</v>
      </c>
      <c r="I60">
        <v>4</v>
      </c>
      <c r="J60">
        <v>10</v>
      </c>
      <c r="K60">
        <v>2003</v>
      </c>
      <c r="L60" s="1" t="s">
        <v>27</v>
      </c>
      <c r="M60">
        <v>118</v>
      </c>
      <c r="N60" s="1" t="s">
        <v>404</v>
      </c>
      <c r="O60" s="1" t="s">
        <v>70</v>
      </c>
      <c r="P60" s="1" t="s">
        <v>71</v>
      </c>
      <c r="Q60" s="1" t="s">
        <v>72</v>
      </c>
      <c r="R60" s="1" t="s">
        <v>32</v>
      </c>
      <c r="S60" s="1" t="s">
        <v>73</v>
      </c>
      <c r="T60" s="1" t="s">
        <v>65</v>
      </c>
      <c r="U60" s="1" t="s">
        <v>32</v>
      </c>
      <c r="V60" s="1" t="s">
        <v>36</v>
      </c>
      <c r="W60" s="1" t="s">
        <v>37</v>
      </c>
      <c r="X60" s="1" t="s">
        <v>74</v>
      </c>
      <c r="Y60" s="1" t="s">
        <v>68</v>
      </c>
      <c r="Z60" s="1" t="str">
        <f>TRIM(_xlfn.CONCAT(sales_data_sample[[#This Row],[CONTACTFIRSTNAME]],", ",sales_data_sample[[#This Row],[CONTACTLASTNAME]]))</f>
        <v>Julie, Brown</v>
      </c>
      <c r="AA60" s="1" t="s">
        <v>59</v>
      </c>
    </row>
    <row r="61" spans="1:27" x14ac:dyDescent="0.25">
      <c r="A61" s="10">
        <v>10168</v>
      </c>
      <c r="B61" s="9">
        <v>27</v>
      </c>
      <c r="C61" s="9">
        <v>100</v>
      </c>
      <c r="D61" s="9">
        <f>PRODUCT(sales_data_sample[[#This Row],[QUANTITYORDERED]],sales_data_sample[[#This Row],[PRICEEACH]])</f>
        <v>2700</v>
      </c>
      <c r="E61" s="9">
        <f>IF(OR(sales_data_sample[[#This Row],[STATUS]]="Shipped",sales_data_sample[[#This Row],[STATUS]]="Resolved"),sales_data_sample[[#This Row],[SALES]],0)</f>
        <v>2700</v>
      </c>
      <c r="F61" s="10">
        <v>4</v>
      </c>
      <c r="G61" s="12" t="s">
        <v>75</v>
      </c>
      <c r="H61" s="1" t="s">
        <v>26</v>
      </c>
      <c r="I61">
        <v>4</v>
      </c>
      <c r="J61">
        <v>10</v>
      </c>
      <c r="K61">
        <v>2003</v>
      </c>
      <c r="L61" s="1" t="s">
        <v>27</v>
      </c>
      <c r="M61">
        <v>118</v>
      </c>
      <c r="N61" s="1" t="s">
        <v>404</v>
      </c>
      <c r="O61" s="1" t="s">
        <v>76</v>
      </c>
      <c r="P61" s="1" t="s">
        <v>77</v>
      </c>
      <c r="Q61" s="1" t="s">
        <v>78</v>
      </c>
      <c r="R61" s="1" t="s">
        <v>32</v>
      </c>
      <c r="S61" s="1" t="s">
        <v>79</v>
      </c>
      <c r="T61" s="1" t="s">
        <v>65</v>
      </c>
      <c r="U61" s="1" t="s">
        <v>80</v>
      </c>
      <c r="V61" s="1" t="s">
        <v>36</v>
      </c>
      <c r="W61" s="1" t="s">
        <v>37</v>
      </c>
      <c r="X61" s="1" t="s">
        <v>81</v>
      </c>
      <c r="Y61" s="1" t="s">
        <v>82</v>
      </c>
      <c r="Z61" s="1" t="str">
        <f>TRIM(_xlfn.CONCAT(sales_data_sample[[#This Row],[CONTACTFIRSTNAME]],", ",sales_data_sample[[#This Row],[CONTACTLASTNAME]]))</f>
        <v>Juri, Hirano</v>
      </c>
      <c r="AA61" s="1" t="s">
        <v>59</v>
      </c>
    </row>
    <row r="62" spans="1:27" x14ac:dyDescent="0.25">
      <c r="A62" s="10">
        <v>10180</v>
      </c>
      <c r="B62" s="9">
        <v>42</v>
      </c>
      <c r="C62" s="9">
        <v>100</v>
      </c>
      <c r="D62" s="9">
        <f>PRODUCT(sales_data_sample[[#This Row],[QUANTITYORDERED]],sales_data_sample[[#This Row],[PRICEEACH]])</f>
        <v>4200</v>
      </c>
      <c r="E62" s="9">
        <f>IF(OR(sales_data_sample[[#This Row],[STATUS]]="Shipped",sales_data_sample[[#This Row],[STATUS]]="Resolved"),sales_data_sample[[#This Row],[SALES]],0)</f>
        <v>4200</v>
      </c>
      <c r="F62" s="10">
        <v>12</v>
      </c>
      <c r="G62" s="12" t="s">
        <v>83</v>
      </c>
      <c r="H62" s="1" t="s">
        <v>26</v>
      </c>
      <c r="I62">
        <v>4</v>
      </c>
      <c r="J62">
        <v>11</v>
      </c>
      <c r="K62">
        <v>2003</v>
      </c>
      <c r="L62" s="1" t="s">
        <v>27</v>
      </c>
      <c r="M62">
        <v>118</v>
      </c>
      <c r="N62" s="1" t="s">
        <v>404</v>
      </c>
      <c r="O62" s="1" t="s">
        <v>84</v>
      </c>
      <c r="P62" s="1" t="s">
        <v>85</v>
      </c>
      <c r="Q62" s="1" t="s">
        <v>86</v>
      </c>
      <c r="R62" s="1" t="s">
        <v>32</v>
      </c>
      <c r="S62" s="1" t="s">
        <v>87</v>
      </c>
      <c r="T62" s="1" t="s">
        <v>32</v>
      </c>
      <c r="U62" s="1" t="s">
        <v>88</v>
      </c>
      <c r="V62" s="1" t="s">
        <v>47</v>
      </c>
      <c r="W62" s="1" t="s">
        <v>48</v>
      </c>
      <c r="X62" s="1" t="s">
        <v>89</v>
      </c>
      <c r="Y62" s="1" t="s">
        <v>90</v>
      </c>
      <c r="Z62" s="1" t="str">
        <f>TRIM(_xlfn.CONCAT(sales_data_sample[[#This Row],[CONTACTFIRSTNAME]],", ",sales_data_sample[[#This Row],[CONTACTLASTNAME]]))</f>
        <v>Martine, Rance</v>
      </c>
      <c r="AA62" s="1" t="s">
        <v>59</v>
      </c>
    </row>
    <row r="63" spans="1:27" x14ac:dyDescent="0.25">
      <c r="A63" s="10">
        <v>10188</v>
      </c>
      <c r="B63" s="9">
        <v>38</v>
      </c>
      <c r="C63" s="9">
        <v>9634</v>
      </c>
      <c r="D63" s="9">
        <f>PRODUCT(sales_data_sample[[#This Row],[QUANTITYORDERED]],sales_data_sample[[#This Row],[PRICEEACH]])</f>
        <v>366092</v>
      </c>
      <c r="E63" s="9">
        <f>IF(OR(sales_data_sample[[#This Row],[STATUS]]="Shipped",sales_data_sample[[#This Row],[STATUS]]="Resolved"),sales_data_sample[[#This Row],[SALES]],0)</f>
        <v>366092</v>
      </c>
      <c r="F63" s="10">
        <v>4</v>
      </c>
      <c r="G63" s="12" t="s">
        <v>91</v>
      </c>
      <c r="H63" s="1" t="s">
        <v>26</v>
      </c>
      <c r="I63">
        <v>4</v>
      </c>
      <c r="J63">
        <v>11</v>
      </c>
      <c r="K63">
        <v>2003</v>
      </c>
      <c r="L63" s="1" t="s">
        <v>27</v>
      </c>
      <c r="M63">
        <v>118</v>
      </c>
      <c r="N63" s="1" t="s">
        <v>404</v>
      </c>
      <c r="O63" s="1" t="s">
        <v>92</v>
      </c>
      <c r="P63" s="1" t="s">
        <v>93</v>
      </c>
      <c r="Q63" s="1" t="s">
        <v>94</v>
      </c>
      <c r="R63" s="1" t="s">
        <v>32</v>
      </c>
      <c r="S63" s="1" t="s">
        <v>95</v>
      </c>
      <c r="T63" s="1" t="s">
        <v>32</v>
      </c>
      <c r="U63" s="1" t="s">
        <v>96</v>
      </c>
      <c r="V63" s="1" t="s">
        <v>97</v>
      </c>
      <c r="W63" s="1" t="s">
        <v>48</v>
      </c>
      <c r="X63" s="1" t="s">
        <v>98</v>
      </c>
      <c r="Y63" s="1" t="s">
        <v>99</v>
      </c>
      <c r="Z63" s="1" t="str">
        <f>TRIM(_xlfn.CONCAT(sales_data_sample[[#This Row],[CONTACTFIRSTNAME]],", ",sales_data_sample[[#This Row],[CONTACTLASTNAME]]))</f>
        <v>Veysel, Oeztan</v>
      </c>
      <c r="AA63" s="1" t="s">
        <v>59</v>
      </c>
    </row>
    <row r="64" spans="1:27" x14ac:dyDescent="0.25">
      <c r="A64" s="10">
        <v>10201</v>
      </c>
      <c r="B64" s="9">
        <v>24</v>
      </c>
      <c r="C64" s="9">
        <v>100</v>
      </c>
      <c r="D64" s="9">
        <f>PRODUCT(sales_data_sample[[#This Row],[QUANTITYORDERED]],sales_data_sample[[#This Row],[PRICEEACH]])</f>
        <v>2400</v>
      </c>
      <c r="E64" s="9">
        <f>IF(OR(sales_data_sample[[#This Row],[STATUS]]="Shipped",sales_data_sample[[#This Row],[STATUS]]="Resolved"),sales_data_sample[[#This Row],[SALES]],0)</f>
        <v>2400</v>
      </c>
      <c r="F64" s="10">
        <v>5</v>
      </c>
      <c r="G64" s="12" t="s">
        <v>100</v>
      </c>
      <c r="H64" s="1" t="s">
        <v>26</v>
      </c>
      <c r="I64">
        <v>4</v>
      </c>
      <c r="J64">
        <v>12</v>
      </c>
      <c r="K64">
        <v>2003</v>
      </c>
      <c r="L64" s="1" t="s">
        <v>27</v>
      </c>
      <c r="M64">
        <v>118</v>
      </c>
      <c r="N64" s="1" t="s">
        <v>404</v>
      </c>
      <c r="O64" s="1" t="s">
        <v>101</v>
      </c>
      <c r="P64" s="1" t="s">
        <v>102</v>
      </c>
      <c r="Q64" s="1" t="s">
        <v>103</v>
      </c>
      <c r="R64" s="1" t="s">
        <v>32</v>
      </c>
      <c r="S64" s="1" t="s">
        <v>73</v>
      </c>
      <c r="T64" s="1" t="s">
        <v>65</v>
      </c>
      <c r="U64" s="1" t="s">
        <v>32</v>
      </c>
      <c r="V64" s="1" t="s">
        <v>36</v>
      </c>
      <c r="W64" s="1" t="s">
        <v>37</v>
      </c>
      <c r="X64" s="1" t="s">
        <v>104</v>
      </c>
      <c r="Y64" s="1" t="s">
        <v>68</v>
      </c>
      <c r="Z64" s="1" t="str">
        <f>TRIM(_xlfn.CONCAT(sales_data_sample[[#This Row],[CONTACTFIRSTNAME]],", ",sales_data_sample[[#This Row],[CONTACTLASTNAME]]))</f>
        <v>Julie, Murphy</v>
      </c>
      <c r="AA64" s="1" t="s">
        <v>59</v>
      </c>
    </row>
    <row r="65" spans="1:27" x14ac:dyDescent="0.25">
      <c r="A65" s="10">
        <v>10210</v>
      </c>
      <c r="B65" s="9">
        <v>23</v>
      </c>
      <c r="C65" s="9">
        <v>100</v>
      </c>
      <c r="D65" s="9">
        <f>PRODUCT(sales_data_sample[[#This Row],[QUANTITYORDERED]],sales_data_sample[[#This Row],[PRICEEACH]])</f>
        <v>2300</v>
      </c>
      <c r="E65" s="9">
        <f>IF(OR(sales_data_sample[[#This Row],[STATUS]]="Shipped",sales_data_sample[[#This Row],[STATUS]]="Resolved"),sales_data_sample[[#This Row],[SALES]],0)</f>
        <v>2300</v>
      </c>
      <c r="F65" s="10">
        <v>2</v>
      </c>
      <c r="G65" s="12" t="s">
        <v>406</v>
      </c>
      <c r="H65" s="1" t="s">
        <v>26</v>
      </c>
      <c r="I65">
        <v>1</v>
      </c>
      <c r="J65">
        <v>1</v>
      </c>
      <c r="K65">
        <v>2004</v>
      </c>
      <c r="L65" s="1" t="s">
        <v>27</v>
      </c>
      <c r="M65">
        <v>118</v>
      </c>
      <c r="N65" s="1" t="s">
        <v>404</v>
      </c>
      <c r="O65" s="1" t="s">
        <v>407</v>
      </c>
      <c r="P65" s="1" t="s">
        <v>408</v>
      </c>
      <c r="Q65" s="1" t="s">
        <v>409</v>
      </c>
      <c r="R65" s="1" t="s">
        <v>32</v>
      </c>
      <c r="S65" s="1" t="s">
        <v>410</v>
      </c>
      <c r="T65" s="1" t="s">
        <v>410</v>
      </c>
      <c r="U65" s="1" t="s">
        <v>411</v>
      </c>
      <c r="V65" s="1" t="s">
        <v>264</v>
      </c>
      <c r="W65" s="1" t="s">
        <v>264</v>
      </c>
      <c r="X65" s="1" t="s">
        <v>412</v>
      </c>
      <c r="Y65" s="1" t="s">
        <v>413</v>
      </c>
      <c r="Z65" s="1" t="str">
        <f>TRIM(_xlfn.CONCAT(sales_data_sample[[#This Row],[CONTACTFIRSTNAME]],", ",sales_data_sample[[#This Row],[CONTACTLASTNAME]]))</f>
        <v>Mory, Kentary</v>
      </c>
      <c r="AA65" s="1" t="s">
        <v>59</v>
      </c>
    </row>
    <row r="66" spans="1:27" x14ac:dyDescent="0.25">
      <c r="A66">
        <v>10223</v>
      </c>
      <c r="B66">
        <v>47</v>
      </c>
      <c r="C66">
        <v>100</v>
      </c>
      <c r="D66">
        <f>PRODUCT(sales_data_sample[[#This Row],[QUANTITYORDERED]],sales_data_sample[[#This Row],[PRICEEACH]])</f>
        <v>4700</v>
      </c>
      <c r="E66" s="9">
        <f>IF(OR(sales_data_sample[[#This Row],[STATUS]]="Shipped",sales_data_sample[[#This Row],[STATUS]]="Resolved"),sales_data_sample[[#This Row],[SALES]],0)</f>
        <v>4700</v>
      </c>
      <c r="F66">
        <v>4</v>
      </c>
      <c r="G66" s="12" t="s">
        <v>112</v>
      </c>
      <c r="H66" s="1" t="s">
        <v>26</v>
      </c>
      <c r="I66">
        <v>1</v>
      </c>
      <c r="J66">
        <v>2</v>
      </c>
      <c r="K66">
        <v>2004</v>
      </c>
      <c r="L66" s="1" t="s">
        <v>27</v>
      </c>
      <c r="M66">
        <v>118</v>
      </c>
      <c r="N66" s="1" t="s">
        <v>404</v>
      </c>
      <c r="O66" s="1" t="s">
        <v>113</v>
      </c>
      <c r="P66" s="1" t="s">
        <v>114</v>
      </c>
      <c r="Q66" s="1" t="s">
        <v>115</v>
      </c>
      <c r="R66" s="1" t="s">
        <v>116</v>
      </c>
      <c r="S66" s="1" t="s">
        <v>117</v>
      </c>
      <c r="T66" s="1" t="s">
        <v>118</v>
      </c>
      <c r="U66" s="1" t="s">
        <v>119</v>
      </c>
      <c r="V66" s="1" t="s">
        <v>120</v>
      </c>
      <c r="W66" s="1" t="s">
        <v>121</v>
      </c>
      <c r="X66" s="1" t="s">
        <v>122</v>
      </c>
      <c r="Y66" s="1" t="s">
        <v>123</v>
      </c>
      <c r="Z66" s="1" t="str">
        <f>TRIM(_xlfn.CONCAT(sales_data_sample[[#This Row],[CONTACTFIRSTNAME]],", ",sales_data_sample[[#This Row],[CONTACTLASTNAME]]))</f>
        <v>Peter, Ferguson</v>
      </c>
      <c r="AA66" s="1" t="s">
        <v>59</v>
      </c>
    </row>
    <row r="67" spans="1:27" x14ac:dyDescent="0.25">
      <c r="A67" s="10">
        <v>10236</v>
      </c>
      <c r="B67" s="9">
        <v>22</v>
      </c>
      <c r="C67" s="9">
        <v>100</v>
      </c>
      <c r="D67" s="9">
        <f>PRODUCT(sales_data_sample[[#This Row],[QUANTITYORDERED]],sales_data_sample[[#This Row],[PRICEEACH]])</f>
        <v>2200</v>
      </c>
      <c r="E67" s="9">
        <f>IF(OR(sales_data_sample[[#This Row],[STATUS]]="Shipped",sales_data_sample[[#This Row],[STATUS]]="Resolved"),sales_data_sample[[#This Row],[SALES]],0)</f>
        <v>2200</v>
      </c>
      <c r="F67" s="10">
        <v>1</v>
      </c>
      <c r="G67" s="12" t="s">
        <v>414</v>
      </c>
      <c r="H67" s="1" t="s">
        <v>26</v>
      </c>
      <c r="I67">
        <v>2</v>
      </c>
      <c r="J67">
        <v>4</v>
      </c>
      <c r="K67">
        <v>2004</v>
      </c>
      <c r="L67" s="1" t="s">
        <v>27</v>
      </c>
      <c r="M67">
        <v>118</v>
      </c>
      <c r="N67" s="1" t="s">
        <v>404</v>
      </c>
      <c r="O67" s="1" t="s">
        <v>415</v>
      </c>
      <c r="P67" s="1" t="s">
        <v>416</v>
      </c>
      <c r="Q67" s="1" t="s">
        <v>417</v>
      </c>
      <c r="R67" s="1" t="s">
        <v>32</v>
      </c>
      <c r="S67" s="1" t="s">
        <v>286</v>
      </c>
      <c r="T67" s="1" t="s">
        <v>186</v>
      </c>
      <c r="U67" s="1" t="s">
        <v>287</v>
      </c>
      <c r="V67" s="1" t="s">
        <v>36</v>
      </c>
      <c r="W67" s="1" t="s">
        <v>37</v>
      </c>
      <c r="X67" s="1" t="s">
        <v>162</v>
      </c>
      <c r="Y67" s="1" t="s">
        <v>418</v>
      </c>
      <c r="Z67" s="1" t="str">
        <f>TRIM(_xlfn.CONCAT(sales_data_sample[[#This Row],[CONTACTFIRSTNAME]],", ",sales_data_sample[[#This Row],[CONTACTLASTNAME]]))</f>
        <v>Rosa, Hernandez</v>
      </c>
      <c r="AA67" s="1" t="s">
        <v>40</v>
      </c>
    </row>
    <row r="68" spans="1:27" x14ac:dyDescent="0.25">
      <c r="A68" s="10">
        <v>10251</v>
      </c>
      <c r="B68" s="9">
        <v>44</v>
      </c>
      <c r="C68" s="9">
        <v>100</v>
      </c>
      <c r="D68" s="9">
        <f>PRODUCT(sales_data_sample[[#This Row],[QUANTITYORDERED]],sales_data_sample[[#This Row],[PRICEEACH]])</f>
        <v>4400</v>
      </c>
      <c r="E68" s="9">
        <f>IF(OR(sales_data_sample[[#This Row],[STATUS]]="Shipped",sales_data_sample[[#This Row],[STATUS]]="Resolved"),sales_data_sample[[#This Row],[SALES]],0)</f>
        <v>4400</v>
      </c>
      <c r="F68" s="10">
        <v>5</v>
      </c>
      <c r="G68" s="12" t="s">
        <v>131</v>
      </c>
      <c r="H68" s="1" t="s">
        <v>26</v>
      </c>
      <c r="I68">
        <v>2</v>
      </c>
      <c r="J68">
        <v>5</v>
      </c>
      <c r="K68">
        <v>2004</v>
      </c>
      <c r="L68" s="1" t="s">
        <v>27</v>
      </c>
      <c r="M68">
        <v>118</v>
      </c>
      <c r="N68" s="1" t="s">
        <v>404</v>
      </c>
      <c r="O68" s="1" t="s">
        <v>132</v>
      </c>
      <c r="P68" s="1" t="s">
        <v>133</v>
      </c>
      <c r="Q68" s="1" t="s">
        <v>134</v>
      </c>
      <c r="R68" s="1" t="s">
        <v>32</v>
      </c>
      <c r="S68" s="1" t="s">
        <v>135</v>
      </c>
      <c r="T68" s="1" t="s">
        <v>136</v>
      </c>
      <c r="U68" s="1" t="s">
        <v>137</v>
      </c>
      <c r="V68" s="1" t="s">
        <v>36</v>
      </c>
      <c r="W68" s="1" t="s">
        <v>37</v>
      </c>
      <c r="X68" s="1" t="s">
        <v>74</v>
      </c>
      <c r="Y68" s="1" t="s">
        <v>138</v>
      </c>
      <c r="Z68" s="1" t="str">
        <f>TRIM(_xlfn.CONCAT(sales_data_sample[[#This Row],[CONTACTFIRSTNAME]],", ",sales_data_sample[[#This Row],[CONTACTLASTNAME]]))</f>
        <v>William, Brown</v>
      </c>
      <c r="AA68" s="1" t="s">
        <v>59</v>
      </c>
    </row>
    <row r="69" spans="1:27" x14ac:dyDescent="0.25">
      <c r="A69" s="10">
        <v>10263</v>
      </c>
      <c r="B69" s="9">
        <v>40</v>
      </c>
      <c r="C69" s="9">
        <v>100</v>
      </c>
      <c r="D69" s="9">
        <f>PRODUCT(sales_data_sample[[#This Row],[QUANTITYORDERED]],sales_data_sample[[#This Row],[PRICEEACH]])</f>
        <v>4000</v>
      </c>
      <c r="E69" s="9">
        <f>IF(OR(sales_data_sample[[#This Row],[STATUS]]="Shipped",sales_data_sample[[#This Row],[STATUS]]="Resolved"),sales_data_sample[[#This Row],[SALES]],0)</f>
        <v>4000</v>
      </c>
      <c r="F69" s="10">
        <v>5</v>
      </c>
      <c r="G69" s="12" t="s">
        <v>139</v>
      </c>
      <c r="H69" s="1" t="s">
        <v>26</v>
      </c>
      <c r="I69">
        <v>2</v>
      </c>
      <c r="J69">
        <v>6</v>
      </c>
      <c r="K69">
        <v>2004</v>
      </c>
      <c r="L69" s="1" t="s">
        <v>27</v>
      </c>
      <c r="M69">
        <v>118</v>
      </c>
      <c r="N69" s="1" t="s">
        <v>404</v>
      </c>
      <c r="O69" s="1" t="s">
        <v>140</v>
      </c>
      <c r="P69" s="1" t="s">
        <v>141</v>
      </c>
      <c r="Q69" s="1" t="s">
        <v>142</v>
      </c>
      <c r="R69" s="1" t="s">
        <v>32</v>
      </c>
      <c r="S69" s="1" t="s">
        <v>143</v>
      </c>
      <c r="T69" s="1" t="s">
        <v>144</v>
      </c>
      <c r="U69" s="1" t="s">
        <v>145</v>
      </c>
      <c r="V69" s="1" t="s">
        <v>36</v>
      </c>
      <c r="W69" s="1" t="s">
        <v>37</v>
      </c>
      <c r="X69" s="1" t="s">
        <v>146</v>
      </c>
      <c r="Y69" s="1" t="s">
        <v>68</v>
      </c>
      <c r="Z69" s="1" t="str">
        <f>TRIM(_xlfn.CONCAT(sales_data_sample[[#This Row],[CONTACTFIRSTNAME]],", ",sales_data_sample[[#This Row],[CONTACTLASTNAME]]))</f>
        <v>Julie, King</v>
      </c>
      <c r="AA69" s="1" t="s">
        <v>59</v>
      </c>
    </row>
    <row r="70" spans="1:27" x14ac:dyDescent="0.25">
      <c r="A70" s="10">
        <v>10275</v>
      </c>
      <c r="B70" s="9">
        <v>22</v>
      </c>
      <c r="C70" s="9">
        <v>100</v>
      </c>
      <c r="D70" s="9">
        <f>PRODUCT(sales_data_sample[[#This Row],[QUANTITYORDERED]],sales_data_sample[[#This Row],[PRICEEACH]])</f>
        <v>2200</v>
      </c>
      <c r="E70" s="9">
        <f>IF(OR(sales_data_sample[[#This Row],[STATUS]]="Shipped",sales_data_sample[[#This Row],[STATUS]]="Resolved"),sales_data_sample[[#This Row],[SALES]],0)</f>
        <v>2200</v>
      </c>
      <c r="F70" s="10">
        <v>4</v>
      </c>
      <c r="G70" s="12" t="s">
        <v>147</v>
      </c>
      <c r="H70" s="1" t="s">
        <v>26</v>
      </c>
      <c r="I70">
        <v>3</v>
      </c>
      <c r="J70">
        <v>7</v>
      </c>
      <c r="K70">
        <v>2004</v>
      </c>
      <c r="L70" s="1" t="s">
        <v>27</v>
      </c>
      <c r="M70">
        <v>118</v>
      </c>
      <c r="N70" s="1" t="s">
        <v>404</v>
      </c>
      <c r="O70" s="1" t="s">
        <v>148</v>
      </c>
      <c r="P70" s="1" t="s">
        <v>149</v>
      </c>
      <c r="Q70" s="1" t="s">
        <v>150</v>
      </c>
      <c r="R70" s="1" t="s">
        <v>32</v>
      </c>
      <c r="S70" s="1" t="s">
        <v>151</v>
      </c>
      <c r="T70" s="1" t="s">
        <v>32</v>
      </c>
      <c r="U70" s="1" t="s">
        <v>152</v>
      </c>
      <c r="V70" s="1" t="s">
        <v>47</v>
      </c>
      <c r="W70" s="1" t="s">
        <v>48</v>
      </c>
      <c r="X70" s="1" t="s">
        <v>153</v>
      </c>
      <c r="Y70" s="1" t="s">
        <v>154</v>
      </c>
      <c r="Z70" s="1" t="str">
        <f>TRIM(_xlfn.CONCAT(sales_data_sample[[#This Row],[CONTACTFIRSTNAME]],", ",sales_data_sample[[#This Row],[CONTACTLASTNAME]]))</f>
        <v>Janine, Labrune</v>
      </c>
      <c r="AA70" s="1" t="s">
        <v>40</v>
      </c>
    </row>
    <row r="71" spans="1:27" x14ac:dyDescent="0.25">
      <c r="A71" s="10">
        <v>10285</v>
      </c>
      <c r="B71" s="9">
        <v>47</v>
      </c>
      <c r="C71" s="9">
        <v>100</v>
      </c>
      <c r="D71" s="9">
        <f>PRODUCT(sales_data_sample[[#This Row],[QUANTITYORDERED]],sales_data_sample[[#This Row],[PRICEEACH]])</f>
        <v>4700</v>
      </c>
      <c r="E71" s="9">
        <f>IF(OR(sales_data_sample[[#This Row],[STATUS]]="Shipped",sales_data_sample[[#This Row],[STATUS]]="Resolved"),sales_data_sample[[#This Row],[SALES]],0)</f>
        <v>4700</v>
      </c>
      <c r="F71" s="10">
        <v>9</v>
      </c>
      <c r="G71" s="12" t="s">
        <v>155</v>
      </c>
      <c r="H71" s="1" t="s">
        <v>26</v>
      </c>
      <c r="I71">
        <v>3</v>
      </c>
      <c r="J71">
        <v>8</v>
      </c>
      <c r="K71">
        <v>2004</v>
      </c>
      <c r="L71" s="1" t="s">
        <v>27</v>
      </c>
      <c r="M71">
        <v>118</v>
      </c>
      <c r="N71" s="1" t="s">
        <v>404</v>
      </c>
      <c r="O71" s="1" t="s">
        <v>156</v>
      </c>
      <c r="P71" s="1" t="s">
        <v>157</v>
      </c>
      <c r="Q71" s="1" t="s">
        <v>158</v>
      </c>
      <c r="R71" s="1" t="s">
        <v>32</v>
      </c>
      <c r="S71" s="1" t="s">
        <v>159</v>
      </c>
      <c r="T71" s="1" t="s">
        <v>160</v>
      </c>
      <c r="U71" s="1" t="s">
        <v>161</v>
      </c>
      <c r="V71" s="1" t="s">
        <v>36</v>
      </c>
      <c r="W71" s="1" t="s">
        <v>37</v>
      </c>
      <c r="X71" s="1" t="s">
        <v>162</v>
      </c>
      <c r="Y71" s="1" t="s">
        <v>163</v>
      </c>
      <c r="Z71" s="1" t="str">
        <f>TRIM(_xlfn.CONCAT(sales_data_sample[[#This Row],[CONTACTFIRSTNAME]],", ",sales_data_sample[[#This Row],[CONTACTLASTNAME]]))</f>
        <v>Marta, Hernandez</v>
      </c>
      <c r="AA71" s="1" t="s">
        <v>59</v>
      </c>
    </row>
    <row r="72" spans="1:27" x14ac:dyDescent="0.25">
      <c r="A72" s="10">
        <v>10298</v>
      </c>
      <c r="B72" s="9">
        <v>39</v>
      </c>
      <c r="C72" s="9">
        <v>9634</v>
      </c>
      <c r="D72" s="9">
        <f>PRODUCT(sales_data_sample[[#This Row],[QUANTITYORDERED]],sales_data_sample[[#This Row],[PRICEEACH]])</f>
        <v>375726</v>
      </c>
      <c r="E72" s="9">
        <f>IF(OR(sales_data_sample[[#This Row],[STATUS]]="Shipped",sales_data_sample[[#This Row],[STATUS]]="Resolved"),sales_data_sample[[#This Row],[SALES]],0)</f>
        <v>375726</v>
      </c>
      <c r="F72" s="10">
        <v>1</v>
      </c>
      <c r="G72" s="12" t="s">
        <v>419</v>
      </c>
      <c r="H72" s="1" t="s">
        <v>26</v>
      </c>
      <c r="I72">
        <v>3</v>
      </c>
      <c r="J72">
        <v>9</v>
      </c>
      <c r="K72">
        <v>2004</v>
      </c>
      <c r="L72" s="1" t="s">
        <v>27</v>
      </c>
      <c r="M72">
        <v>118</v>
      </c>
      <c r="N72" s="1" t="s">
        <v>404</v>
      </c>
      <c r="O72" s="1" t="s">
        <v>420</v>
      </c>
      <c r="P72" s="1" t="s">
        <v>421</v>
      </c>
      <c r="Q72" s="1" t="s">
        <v>422</v>
      </c>
      <c r="R72" s="1" t="s">
        <v>32</v>
      </c>
      <c r="S72" s="1" t="s">
        <v>151</v>
      </c>
      <c r="T72" s="1" t="s">
        <v>32</v>
      </c>
      <c r="U72" s="1" t="s">
        <v>152</v>
      </c>
      <c r="V72" s="1" t="s">
        <v>47</v>
      </c>
      <c r="W72" s="1" t="s">
        <v>48</v>
      </c>
      <c r="X72" s="1" t="s">
        <v>423</v>
      </c>
      <c r="Y72" s="1" t="s">
        <v>424</v>
      </c>
      <c r="Z72" s="1" t="str">
        <f>TRIM(_xlfn.CONCAT(sales_data_sample[[#This Row],[CONTACTFIRSTNAME]],", ",sales_data_sample[[#This Row],[CONTACTLASTNAME]]))</f>
        <v>Carine, Schmitt</v>
      </c>
      <c r="AA72" s="1" t="s">
        <v>59</v>
      </c>
    </row>
    <row r="73" spans="1:27" x14ac:dyDescent="0.25">
      <c r="A73" s="10">
        <v>10308</v>
      </c>
      <c r="B73" s="9">
        <v>34</v>
      </c>
      <c r="C73" s="9">
        <v>100</v>
      </c>
      <c r="D73" s="9">
        <f>PRODUCT(sales_data_sample[[#This Row],[QUANTITYORDERED]],sales_data_sample[[#This Row],[PRICEEACH]])</f>
        <v>3400</v>
      </c>
      <c r="E73" s="9">
        <f>IF(OR(sales_data_sample[[#This Row],[STATUS]]="Shipped",sales_data_sample[[#This Row],[STATUS]]="Resolved"),sales_data_sample[[#This Row],[SALES]],0)</f>
        <v>3400</v>
      </c>
      <c r="F73" s="10">
        <v>2</v>
      </c>
      <c r="G73" s="12" t="s">
        <v>173</v>
      </c>
      <c r="H73" s="1" t="s">
        <v>26</v>
      </c>
      <c r="I73">
        <v>4</v>
      </c>
      <c r="J73">
        <v>10</v>
      </c>
      <c r="K73">
        <v>2004</v>
      </c>
      <c r="L73" s="1" t="s">
        <v>27</v>
      </c>
      <c r="M73">
        <v>118</v>
      </c>
      <c r="N73" s="1" t="s">
        <v>404</v>
      </c>
      <c r="O73" s="1" t="s">
        <v>425</v>
      </c>
      <c r="P73" s="1" t="s">
        <v>426</v>
      </c>
      <c r="Q73" s="1" t="s">
        <v>427</v>
      </c>
      <c r="R73" s="1" t="s">
        <v>32</v>
      </c>
      <c r="S73" s="1" t="s">
        <v>428</v>
      </c>
      <c r="T73" s="1" t="s">
        <v>34</v>
      </c>
      <c r="U73" s="1" t="s">
        <v>429</v>
      </c>
      <c r="V73" s="1" t="s">
        <v>36</v>
      </c>
      <c r="W73" s="1" t="s">
        <v>37</v>
      </c>
      <c r="X73" s="1" t="s">
        <v>129</v>
      </c>
      <c r="Y73" s="1" t="s">
        <v>314</v>
      </c>
      <c r="Z73" s="1" t="str">
        <f>TRIM(_xlfn.CONCAT(sales_data_sample[[#This Row],[CONTACTFIRSTNAME]],", ",sales_data_sample[[#This Row],[CONTACTLASTNAME]]))</f>
        <v>Steve, Frick</v>
      </c>
      <c r="AA73" s="1" t="s">
        <v>59</v>
      </c>
    </row>
    <row r="74" spans="1:27" x14ac:dyDescent="0.25">
      <c r="A74" s="10">
        <v>10318</v>
      </c>
      <c r="B74" s="9">
        <v>45</v>
      </c>
      <c r="C74" s="9">
        <v>100</v>
      </c>
      <c r="D74" s="9">
        <f>PRODUCT(sales_data_sample[[#This Row],[QUANTITYORDERED]],sales_data_sample[[#This Row],[PRICEEACH]])</f>
        <v>4500</v>
      </c>
      <c r="E74" s="9">
        <f>IF(OR(sales_data_sample[[#This Row],[STATUS]]="Shipped",sales_data_sample[[#This Row],[STATUS]]="Resolved"),sales_data_sample[[#This Row],[SALES]],0)</f>
        <v>4500</v>
      </c>
      <c r="F74" s="10">
        <v>4</v>
      </c>
      <c r="G74" s="12" t="s">
        <v>181</v>
      </c>
      <c r="H74" s="1" t="s">
        <v>26</v>
      </c>
      <c r="I74">
        <v>4</v>
      </c>
      <c r="J74">
        <v>11</v>
      </c>
      <c r="K74">
        <v>2004</v>
      </c>
      <c r="L74" s="1" t="s">
        <v>27</v>
      </c>
      <c r="M74">
        <v>118</v>
      </c>
      <c r="N74" s="1" t="s">
        <v>404</v>
      </c>
      <c r="O74" s="1" t="s">
        <v>182</v>
      </c>
      <c r="P74" s="1" t="s">
        <v>183</v>
      </c>
      <c r="Q74" s="1" t="s">
        <v>184</v>
      </c>
      <c r="R74" s="1" t="s">
        <v>32</v>
      </c>
      <c r="S74" s="1" t="s">
        <v>185</v>
      </c>
      <c r="T74" s="1" t="s">
        <v>186</v>
      </c>
      <c r="U74" s="1" t="s">
        <v>187</v>
      </c>
      <c r="V74" s="1" t="s">
        <v>36</v>
      </c>
      <c r="W74" s="1" t="s">
        <v>37</v>
      </c>
      <c r="X74" s="1" t="s">
        <v>38</v>
      </c>
      <c r="Y74" s="1" t="s">
        <v>188</v>
      </c>
      <c r="Z74" s="1" t="str">
        <f>TRIM(_xlfn.CONCAT(sales_data_sample[[#This Row],[CONTACTFIRSTNAME]],", ",sales_data_sample[[#This Row],[CONTACTLASTNAME]]))</f>
        <v>Kyung, Yu</v>
      </c>
      <c r="AA74" s="1" t="s">
        <v>59</v>
      </c>
    </row>
    <row r="75" spans="1:27" x14ac:dyDescent="0.25">
      <c r="A75" s="10">
        <v>10329</v>
      </c>
      <c r="B75" s="9">
        <v>20</v>
      </c>
      <c r="C75" s="9">
        <v>100</v>
      </c>
      <c r="D75" s="9">
        <f>PRODUCT(sales_data_sample[[#This Row],[QUANTITYORDERED]],sales_data_sample[[#This Row],[PRICEEACH]])</f>
        <v>2000</v>
      </c>
      <c r="E75" s="9">
        <f>IF(OR(sales_data_sample[[#This Row],[STATUS]]="Shipped",sales_data_sample[[#This Row],[STATUS]]="Resolved"),sales_data_sample[[#This Row],[SALES]],0)</f>
        <v>2000</v>
      </c>
      <c r="F75" s="10">
        <v>2</v>
      </c>
      <c r="G75" s="12" t="s">
        <v>189</v>
      </c>
      <c r="H75" s="1" t="s">
        <v>26</v>
      </c>
      <c r="I75">
        <v>4</v>
      </c>
      <c r="J75">
        <v>11</v>
      </c>
      <c r="K75">
        <v>2004</v>
      </c>
      <c r="L75" s="1" t="s">
        <v>27</v>
      </c>
      <c r="M75">
        <v>118</v>
      </c>
      <c r="N75" s="1" t="s">
        <v>404</v>
      </c>
      <c r="O75" s="1" t="s">
        <v>29</v>
      </c>
      <c r="P75" s="1" t="s">
        <v>30</v>
      </c>
      <c r="Q75" s="1" t="s">
        <v>31</v>
      </c>
      <c r="R75" s="1" t="s">
        <v>32</v>
      </c>
      <c r="S75" s="1" t="s">
        <v>33</v>
      </c>
      <c r="T75" s="1" t="s">
        <v>34</v>
      </c>
      <c r="U75" s="1" t="s">
        <v>35</v>
      </c>
      <c r="V75" s="1" t="s">
        <v>36</v>
      </c>
      <c r="W75" s="1" t="s">
        <v>37</v>
      </c>
      <c r="X75" s="1" t="s">
        <v>38</v>
      </c>
      <c r="Y75" s="1" t="s">
        <v>39</v>
      </c>
      <c r="Z75" s="1" t="str">
        <f>TRIM(_xlfn.CONCAT(sales_data_sample[[#This Row],[CONTACTFIRSTNAME]],", ",sales_data_sample[[#This Row],[CONTACTLASTNAME]]))</f>
        <v>Kwai, Yu</v>
      </c>
      <c r="AA75" s="1" t="s">
        <v>59</v>
      </c>
    </row>
    <row r="76" spans="1:27" x14ac:dyDescent="0.25">
      <c r="A76" s="10">
        <v>10339</v>
      </c>
      <c r="B76" s="9">
        <v>40</v>
      </c>
      <c r="C76" s="9">
        <v>6892</v>
      </c>
      <c r="D76" s="9">
        <f>PRODUCT(sales_data_sample[[#This Row],[QUANTITYORDERED]],sales_data_sample[[#This Row],[PRICEEACH]])</f>
        <v>275680</v>
      </c>
      <c r="E76" s="9">
        <f>IF(OR(sales_data_sample[[#This Row],[STATUS]]="Shipped",sales_data_sample[[#This Row],[STATUS]]="Resolved"),sales_data_sample[[#This Row],[SALES]],0)</f>
        <v>275680</v>
      </c>
      <c r="F76" s="10">
        <v>4</v>
      </c>
      <c r="G76" s="12" t="s">
        <v>430</v>
      </c>
      <c r="H76" s="1" t="s">
        <v>26</v>
      </c>
      <c r="I76">
        <v>4</v>
      </c>
      <c r="J76">
        <v>11</v>
      </c>
      <c r="K76">
        <v>2004</v>
      </c>
      <c r="L76" s="1" t="s">
        <v>27</v>
      </c>
      <c r="M76">
        <v>118</v>
      </c>
      <c r="N76" s="1" t="s">
        <v>404</v>
      </c>
      <c r="O76" s="1" t="s">
        <v>328</v>
      </c>
      <c r="P76" s="1" t="s">
        <v>329</v>
      </c>
      <c r="Q76" s="1" t="s">
        <v>330</v>
      </c>
      <c r="R76" s="1" t="s">
        <v>32</v>
      </c>
      <c r="S76" s="1" t="s">
        <v>331</v>
      </c>
      <c r="T76" s="1" t="s">
        <v>332</v>
      </c>
      <c r="U76" s="1" t="s">
        <v>333</v>
      </c>
      <c r="V76" s="1" t="s">
        <v>264</v>
      </c>
      <c r="W76" s="1" t="s">
        <v>264</v>
      </c>
      <c r="X76" s="1" t="s">
        <v>334</v>
      </c>
      <c r="Y76" s="1" t="s">
        <v>335</v>
      </c>
      <c r="Z76" s="1" t="str">
        <f>TRIM(_xlfn.CONCAT(sales_data_sample[[#This Row],[CONTACTFIRSTNAME]],", ",sales_data_sample[[#This Row],[CONTACTLASTNAME]]))</f>
        <v>Akiko, Shimamura</v>
      </c>
      <c r="AA76" s="1" t="s">
        <v>40</v>
      </c>
    </row>
    <row r="77" spans="1:27" x14ac:dyDescent="0.25">
      <c r="A77">
        <v>10361</v>
      </c>
      <c r="B77">
        <v>26</v>
      </c>
      <c r="C77">
        <v>5115</v>
      </c>
      <c r="D77">
        <f>PRODUCT(sales_data_sample[[#This Row],[QUANTITYORDERED]],sales_data_sample[[#This Row],[PRICEEACH]])</f>
        <v>132990</v>
      </c>
      <c r="E77" s="9">
        <f>IF(OR(sales_data_sample[[#This Row],[STATUS]]="Shipped",sales_data_sample[[#This Row],[STATUS]]="Resolved"),sales_data_sample[[#This Row],[SALES]],0)</f>
        <v>132990</v>
      </c>
      <c r="F77">
        <v>8</v>
      </c>
      <c r="G77" s="12" t="s">
        <v>200</v>
      </c>
      <c r="H77" s="1" t="s">
        <v>26</v>
      </c>
      <c r="I77">
        <v>4</v>
      </c>
      <c r="J77">
        <v>12</v>
      </c>
      <c r="K77">
        <v>2004</v>
      </c>
      <c r="L77" s="1" t="s">
        <v>27</v>
      </c>
      <c r="M77">
        <v>118</v>
      </c>
      <c r="N77" s="1" t="s">
        <v>404</v>
      </c>
      <c r="O77" s="1" t="s">
        <v>201</v>
      </c>
      <c r="P77" s="1" t="s">
        <v>202</v>
      </c>
      <c r="Q77" s="1" t="s">
        <v>203</v>
      </c>
      <c r="R77" s="1" t="s">
        <v>204</v>
      </c>
      <c r="S77" s="1" t="s">
        <v>205</v>
      </c>
      <c r="T77" s="1" t="s">
        <v>206</v>
      </c>
      <c r="U77" s="1" t="s">
        <v>207</v>
      </c>
      <c r="V77" s="1" t="s">
        <v>120</v>
      </c>
      <c r="W77" s="1" t="s">
        <v>121</v>
      </c>
      <c r="X77" s="1" t="s">
        <v>208</v>
      </c>
      <c r="Y77" s="1" t="s">
        <v>209</v>
      </c>
      <c r="Z77" s="1" t="str">
        <f>TRIM(_xlfn.CONCAT(sales_data_sample[[#This Row],[CONTACTFIRSTNAME]],", ",sales_data_sample[[#This Row],[CONTACTLASTNAME]]))</f>
        <v>Adrian, Huxley</v>
      </c>
      <c r="AA77" s="1" t="s">
        <v>40</v>
      </c>
    </row>
    <row r="78" spans="1:27" x14ac:dyDescent="0.25">
      <c r="A78" s="10">
        <v>10374</v>
      </c>
      <c r="B78" s="9">
        <v>39</v>
      </c>
      <c r="C78" s="9">
        <v>100</v>
      </c>
      <c r="D78" s="9">
        <f>PRODUCT(sales_data_sample[[#This Row],[QUANTITYORDERED]],sales_data_sample[[#This Row],[PRICEEACH]])</f>
        <v>3900</v>
      </c>
      <c r="E78" s="9">
        <f>IF(OR(sales_data_sample[[#This Row],[STATUS]]="Shipped",sales_data_sample[[#This Row],[STATUS]]="Resolved"),sales_data_sample[[#This Row],[SALES]],0)</f>
        <v>3900</v>
      </c>
      <c r="F78" s="10">
        <v>5</v>
      </c>
      <c r="G78" s="12" t="s">
        <v>431</v>
      </c>
      <c r="H78" s="1" t="s">
        <v>26</v>
      </c>
      <c r="I78">
        <v>1</v>
      </c>
      <c r="J78">
        <v>2</v>
      </c>
      <c r="K78">
        <v>2005</v>
      </c>
      <c r="L78" s="1" t="s">
        <v>27</v>
      </c>
      <c r="M78">
        <v>118</v>
      </c>
      <c r="N78" s="1" t="s">
        <v>404</v>
      </c>
      <c r="O78" s="1" t="s">
        <v>274</v>
      </c>
      <c r="P78" s="1" t="s">
        <v>275</v>
      </c>
      <c r="Q78" s="1" t="s">
        <v>276</v>
      </c>
      <c r="R78" s="1" t="s">
        <v>32</v>
      </c>
      <c r="S78" s="1" t="s">
        <v>277</v>
      </c>
      <c r="T78" s="1" t="s">
        <v>278</v>
      </c>
      <c r="U78" s="1" t="s">
        <v>279</v>
      </c>
      <c r="V78" s="1" t="s">
        <v>120</v>
      </c>
      <c r="W78" s="1" t="s">
        <v>121</v>
      </c>
      <c r="X78" s="1" t="s">
        <v>280</v>
      </c>
      <c r="Y78" s="1" t="s">
        <v>281</v>
      </c>
      <c r="Z78" s="1" t="str">
        <f>TRIM(_xlfn.CONCAT(sales_data_sample[[#This Row],[CONTACTFIRSTNAME]],", ",sales_data_sample[[#This Row],[CONTACTLASTNAME]]))</f>
        <v>Tony, Calaghan</v>
      </c>
      <c r="AA78" s="1" t="s">
        <v>59</v>
      </c>
    </row>
    <row r="79" spans="1:27" x14ac:dyDescent="0.25">
      <c r="A79" s="10">
        <v>10388</v>
      </c>
      <c r="B79" s="9">
        <v>50</v>
      </c>
      <c r="C79" s="9">
        <v>4451</v>
      </c>
      <c r="D79" s="9">
        <f>PRODUCT(sales_data_sample[[#This Row],[QUANTITYORDERED]],sales_data_sample[[#This Row],[PRICEEACH]])</f>
        <v>222550</v>
      </c>
      <c r="E79" s="9">
        <f>IF(OR(sales_data_sample[[#This Row],[STATUS]]="Shipped",sales_data_sample[[#This Row],[STATUS]]="Resolved"),sales_data_sample[[#This Row],[SALES]],0)</f>
        <v>222550</v>
      </c>
      <c r="F79" s="10">
        <v>5</v>
      </c>
      <c r="G79" s="12" t="s">
        <v>211</v>
      </c>
      <c r="H79" s="1" t="s">
        <v>26</v>
      </c>
      <c r="I79">
        <v>1</v>
      </c>
      <c r="J79">
        <v>3</v>
      </c>
      <c r="K79">
        <v>2005</v>
      </c>
      <c r="L79" s="1" t="s">
        <v>27</v>
      </c>
      <c r="M79">
        <v>118</v>
      </c>
      <c r="N79" s="1" t="s">
        <v>404</v>
      </c>
      <c r="O79" s="1" t="s">
        <v>212</v>
      </c>
      <c r="P79" s="1" t="s">
        <v>213</v>
      </c>
      <c r="Q79" s="1" t="s">
        <v>214</v>
      </c>
      <c r="R79" s="1" t="s">
        <v>32</v>
      </c>
      <c r="S79" s="1" t="s">
        <v>215</v>
      </c>
      <c r="T79" s="1" t="s">
        <v>160</v>
      </c>
      <c r="U79" s="1" t="s">
        <v>216</v>
      </c>
      <c r="V79" s="1" t="s">
        <v>36</v>
      </c>
      <c r="W79" s="1" t="s">
        <v>37</v>
      </c>
      <c r="X79" s="1" t="s">
        <v>217</v>
      </c>
      <c r="Y79" s="1" t="s">
        <v>218</v>
      </c>
      <c r="Z79" s="1" t="str">
        <f>TRIM(_xlfn.CONCAT(sales_data_sample[[#This Row],[CONTACTFIRSTNAME]],", ",sales_data_sample[[#This Row],[CONTACTLASTNAME]]))</f>
        <v>Violeta, Benitez</v>
      </c>
      <c r="AA79" s="1" t="s">
        <v>40</v>
      </c>
    </row>
    <row r="80" spans="1:27" x14ac:dyDescent="0.25">
      <c r="A80" s="10">
        <v>10402</v>
      </c>
      <c r="B80" s="9">
        <v>45</v>
      </c>
      <c r="C80" s="9">
        <v>100</v>
      </c>
      <c r="D80" s="9">
        <f>PRODUCT(sales_data_sample[[#This Row],[QUANTITYORDERED]],sales_data_sample[[#This Row],[PRICEEACH]])</f>
        <v>4500</v>
      </c>
      <c r="E80" s="9">
        <f>IF(OR(sales_data_sample[[#This Row],[STATUS]]="Shipped",sales_data_sample[[#This Row],[STATUS]]="Resolved"),sales_data_sample[[#This Row],[SALES]],0)</f>
        <v>4500</v>
      </c>
      <c r="F80" s="10">
        <v>1</v>
      </c>
      <c r="G80" s="12" t="s">
        <v>432</v>
      </c>
      <c r="H80" s="1" t="s">
        <v>26</v>
      </c>
      <c r="I80">
        <v>2</v>
      </c>
      <c r="J80">
        <v>4</v>
      </c>
      <c r="K80">
        <v>2005</v>
      </c>
      <c r="L80" s="1" t="s">
        <v>27</v>
      </c>
      <c r="M80">
        <v>118</v>
      </c>
      <c r="N80" s="1" t="s">
        <v>404</v>
      </c>
      <c r="O80" s="1" t="s">
        <v>106</v>
      </c>
      <c r="P80" s="1" t="s">
        <v>107</v>
      </c>
      <c r="Q80" s="1" t="s">
        <v>108</v>
      </c>
      <c r="R80" s="1" t="s">
        <v>32</v>
      </c>
      <c r="S80" s="1" t="s">
        <v>55</v>
      </c>
      <c r="T80" s="1" t="s">
        <v>32</v>
      </c>
      <c r="U80" s="1" t="s">
        <v>109</v>
      </c>
      <c r="V80" s="1" t="s">
        <v>47</v>
      </c>
      <c r="W80" s="1" t="s">
        <v>48</v>
      </c>
      <c r="X80" s="1" t="s">
        <v>110</v>
      </c>
      <c r="Y80" s="1" t="s">
        <v>111</v>
      </c>
      <c r="Z80" s="1" t="str">
        <f>TRIM(_xlfn.CONCAT(sales_data_sample[[#This Row],[CONTACTFIRSTNAME]],", ",sales_data_sample[[#This Row],[CONTACTLASTNAME]]))</f>
        <v>Dominique, Perrier</v>
      </c>
      <c r="AA80" s="1" t="s">
        <v>59</v>
      </c>
    </row>
    <row r="81" spans="1:27" x14ac:dyDescent="0.25">
      <c r="A81" s="10">
        <v>10417</v>
      </c>
      <c r="B81" s="9">
        <v>45</v>
      </c>
      <c r="C81" s="9">
        <v>100</v>
      </c>
      <c r="D81" s="9">
        <f>PRODUCT(sales_data_sample[[#This Row],[QUANTITYORDERED]],sales_data_sample[[#This Row],[PRICEEACH]])</f>
        <v>4500</v>
      </c>
      <c r="E81" s="9">
        <f>IF(OR(sales_data_sample[[#This Row],[STATUS]]="Shipped",sales_data_sample[[#This Row],[STATUS]]="Resolved"),sales_data_sample[[#This Row],[SALES]],0)</f>
        <v>0</v>
      </c>
      <c r="F81" s="10">
        <v>5</v>
      </c>
      <c r="G81" s="12" t="s">
        <v>228</v>
      </c>
      <c r="H81" s="1" t="s">
        <v>229</v>
      </c>
      <c r="I81">
        <v>2</v>
      </c>
      <c r="J81">
        <v>5</v>
      </c>
      <c r="K81">
        <v>2005</v>
      </c>
      <c r="L81" s="1" t="s">
        <v>27</v>
      </c>
      <c r="M81">
        <v>118</v>
      </c>
      <c r="N81" s="1" t="s">
        <v>404</v>
      </c>
      <c r="O81" s="1" t="s">
        <v>230</v>
      </c>
      <c r="P81" s="1" t="s">
        <v>231</v>
      </c>
      <c r="Q81" s="1" t="s">
        <v>232</v>
      </c>
      <c r="R81" s="1" t="s">
        <v>32</v>
      </c>
      <c r="S81" s="1" t="s">
        <v>233</v>
      </c>
      <c r="T81" s="1" t="s">
        <v>32</v>
      </c>
      <c r="U81" s="1" t="s">
        <v>234</v>
      </c>
      <c r="V81" s="1" t="s">
        <v>235</v>
      </c>
      <c r="W81" s="1" t="s">
        <v>48</v>
      </c>
      <c r="X81" s="1" t="s">
        <v>236</v>
      </c>
      <c r="Y81" s="1" t="s">
        <v>237</v>
      </c>
      <c r="Z81" s="1" t="str">
        <f>TRIM(_xlfn.CONCAT(sales_data_sample[[#This Row],[CONTACTFIRSTNAME]],", ",sales_data_sample[[#This Row],[CONTACTLASTNAME]]))</f>
        <v>Diego, Freyre</v>
      </c>
      <c r="AA81" s="1" t="s">
        <v>59</v>
      </c>
    </row>
    <row r="82" spans="1:27" x14ac:dyDescent="0.25">
      <c r="A82" s="10">
        <v>10107</v>
      </c>
      <c r="B82" s="9">
        <v>27</v>
      </c>
      <c r="C82" s="9">
        <v>100</v>
      </c>
      <c r="D82" s="9">
        <f>PRODUCT(sales_data_sample[[#This Row],[QUANTITYORDERED]],sales_data_sample[[#This Row],[PRICEEACH]])</f>
        <v>2700</v>
      </c>
      <c r="E82" s="9">
        <f>IF(OR(sales_data_sample[[#This Row],[STATUS]]="Shipped",sales_data_sample[[#This Row],[STATUS]]="Resolved"),sales_data_sample[[#This Row],[SALES]],0)</f>
        <v>2700</v>
      </c>
      <c r="F82" s="10">
        <v>4</v>
      </c>
      <c r="G82" s="12" t="s">
        <v>25</v>
      </c>
      <c r="H82" s="1" t="s">
        <v>26</v>
      </c>
      <c r="I82">
        <v>1</v>
      </c>
      <c r="J82">
        <v>2</v>
      </c>
      <c r="K82">
        <v>2003</v>
      </c>
      <c r="L82" s="1" t="s">
        <v>27</v>
      </c>
      <c r="M82">
        <v>193</v>
      </c>
      <c r="N82" s="1" t="s">
        <v>433</v>
      </c>
      <c r="O82" s="1" t="s">
        <v>29</v>
      </c>
      <c r="P82" s="1" t="s">
        <v>30</v>
      </c>
      <c r="Q82" s="1" t="s">
        <v>31</v>
      </c>
      <c r="R82" s="1" t="s">
        <v>32</v>
      </c>
      <c r="S82" s="1" t="s">
        <v>33</v>
      </c>
      <c r="T82" s="1" t="s">
        <v>34</v>
      </c>
      <c r="U82" s="1" t="s">
        <v>35</v>
      </c>
      <c r="V82" s="1" t="s">
        <v>36</v>
      </c>
      <c r="W82" s="1" t="s">
        <v>37</v>
      </c>
      <c r="X82" s="1" t="s">
        <v>38</v>
      </c>
      <c r="Y82" s="1" t="s">
        <v>39</v>
      </c>
      <c r="Z82" s="1" t="str">
        <f>TRIM(_xlfn.CONCAT(sales_data_sample[[#This Row],[CONTACTFIRSTNAME]],", ",sales_data_sample[[#This Row],[CONTACTLASTNAME]]))</f>
        <v>Kwai, Yu</v>
      </c>
      <c r="AA82" s="1" t="s">
        <v>59</v>
      </c>
    </row>
    <row r="83" spans="1:27" x14ac:dyDescent="0.25">
      <c r="A83">
        <v>10120</v>
      </c>
      <c r="B83">
        <v>46</v>
      </c>
      <c r="C83">
        <v>100</v>
      </c>
      <c r="D83">
        <f>PRODUCT(sales_data_sample[[#This Row],[QUANTITYORDERED]],sales_data_sample[[#This Row],[PRICEEACH]])</f>
        <v>4600</v>
      </c>
      <c r="E83" s="9">
        <f>IF(OR(sales_data_sample[[#This Row],[STATUS]]="Shipped",sales_data_sample[[#This Row],[STATUS]]="Resolved"),sales_data_sample[[#This Row],[SALES]],0)</f>
        <v>4600</v>
      </c>
      <c r="F83">
        <v>2</v>
      </c>
      <c r="G83" s="12" t="s">
        <v>405</v>
      </c>
      <c r="H83" s="1" t="s">
        <v>26</v>
      </c>
      <c r="I83">
        <v>2</v>
      </c>
      <c r="J83">
        <v>4</v>
      </c>
      <c r="K83">
        <v>2003</v>
      </c>
      <c r="L83" s="1" t="s">
        <v>27</v>
      </c>
      <c r="M83">
        <v>193</v>
      </c>
      <c r="N83" s="1" t="s">
        <v>433</v>
      </c>
      <c r="O83" s="1" t="s">
        <v>113</v>
      </c>
      <c r="P83" s="1" t="s">
        <v>114</v>
      </c>
      <c r="Q83" s="1" t="s">
        <v>115</v>
      </c>
      <c r="R83" s="1" t="s">
        <v>116</v>
      </c>
      <c r="S83" s="1" t="s">
        <v>117</v>
      </c>
      <c r="T83" s="1" t="s">
        <v>118</v>
      </c>
      <c r="U83" s="1" t="s">
        <v>119</v>
      </c>
      <c r="V83" s="1" t="s">
        <v>120</v>
      </c>
      <c r="W83" s="1" t="s">
        <v>121</v>
      </c>
      <c r="X83" s="1" t="s">
        <v>122</v>
      </c>
      <c r="Y83" s="1" t="s">
        <v>123</v>
      </c>
      <c r="Z83" s="1" t="str">
        <f>TRIM(_xlfn.CONCAT(sales_data_sample[[#This Row],[CONTACTFIRSTNAME]],", ",sales_data_sample[[#This Row],[CONTACTLASTNAME]]))</f>
        <v>Peter, Ferguson</v>
      </c>
      <c r="AA83" s="1" t="s">
        <v>199</v>
      </c>
    </row>
    <row r="84" spans="1:27" x14ac:dyDescent="0.25">
      <c r="A84" s="10">
        <v>10134</v>
      </c>
      <c r="B84" s="9">
        <v>31</v>
      </c>
      <c r="C84" s="9">
        <v>100</v>
      </c>
      <c r="D84" s="9">
        <f>PRODUCT(sales_data_sample[[#This Row],[QUANTITYORDERED]],sales_data_sample[[#This Row],[PRICEEACH]])</f>
        <v>3100</v>
      </c>
      <c r="E84" s="9">
        <f>IF(OR(sales_data_sample[[#This Row],[STATUS]]="Shipped",sales_data_sample[[#This Row],[STATUS]]="Resolved"),sales_data_sample[[#This Row],[SALES]],0)</f>
        <v>3100</v>
      </c>
      <c r="F84" s="10">
        <v>4</v>
      </c>
      <c r="G84" s="12" t="s">
        <v>51</v>
      </c>
      <c r="H84" s="1" t="s">
        <v>26</v>
      </c>
      <c r="I84">
        <v>3</v>
      </c>
      <c r="J84">
        <v>7</v>
      </c>
      <c r="K84">
        <v>2003</v>
      </c>
      <c r="L84" s="1" t="s">
        <v>27</v>
      </c>
      <c r="M84">
        <v>193</v>
      </c>
      <c r="N84" s="1" t="s">
        <v>433</v>
      </c>
      <c r="O84" s="1" t="s">
        <v>52</v>
      </c>
      <c r="P84" s="1" t="s">
        <v>53</v>
      </c>
      <c r="Q84" s="1" t="s">
        <v>54</v>
      </c>
      <c r="R84" s="1" t="s">
        <v>32</v>
      </c>
      <c r="S84" s="1" t="s">
        <v>55</v>
      </c>
      <c r="T84" s="1" t="s">
        <v>32</v>
      </c>
      <c r="U84" s="1" t="s">
        <v>56</v>
      </c>
      <c r="V84" s="1" t="s">
        <v>47</v>
      </c>
      <c r="W84" s="1" t="s">
        <v>48</v>
      </c>
      <c r="X84" s="1" t="s">
        <v>57</v>
      </c>
      <c r="Y84" s="1" t="s">
        <v>58</v>
      </c>
      <c r="Z84" s="1" t="str">
        <f>TRIM(_xlfn.CONCAT(sales_data_sample[[#This Row],[CONTACTFIRSTNAME]],", ",sales_data_sample[[#This Row],[CONTACTLASTNAME]]))</f>
        <v>Daniel, Da Cunha</v>
      </c>
      <c r="AA84" s="1" t="s">
        <v>199</v>
      </c>
    </row>
    <row r="85" spans="1:27" x14ac:dyDescent="0.25">
      <c r="A85" s="10">
        <v>10145</v>
      </c>
      <c r="B85" s="9">
        <v>33</v>
      </c>
      <c r="C85" s="9">
        <v>100</v>
      </c>
      <c r="D85" s="9">
        <f>PRODUCT(sales_data_sample[[#This Row],[QUANTITYORDERED]],sales_data_sample[[#This Row],[PRICEEACH]])</f>
        <v>3300</v>
      </c>
      <c r="E85" s="9">
        <f>IF(OR(sales_data_sample[[#This Row],[STATUS]]="Shipped",sales_data_sample[[#This Row],[STATUS]]="Resolved"),sales_data_sample[[#This Row],[SALES]],0)</f>
        <v>3300</v>
      </c>
      <c r="F85" s="10">
        <v>8</v>
      </c>
      <c r="G85" s="12" t="s">
        <v>60</v>
      </c>
      <c r="H85" s="1" t="s">
        <v>26</v>
      </c>
      <c r="I85">
        <v>3</v>
      </c>
      <c r="J85">
        <v>8</v>
      </c>
      <c r="K85">
        <v>2003</v>
      </c>
      <c r="L85" s="1" t="s">
        <v>27</v>
      </c>
      <c r="M85">
        <v>193</v>
      </c>
      <c r="N85" s="1" t="s">
        <v>433</v>
      </c>
      <c r="O85" s="1" t="s">
        <v>61</v>
      </c>
      <c r="P85" s="1" t="s">
        <v>62</v>
      </c>
      <c r="Q85" s="1" t="s">
        <v>63</v>
      </c>
      <c r="R85" s="1" t="s">
        <v>32</v>
      </c>
      <c r="S85" s="1" t="s">
        <v>64</v>
      </c>
      <c r="T85" s="1" t="s">
        <v>65</v>
      </c>
      <c r="U85" s="1" t="s">
        <v>66</v>
      </c>
      <c r="V85" s="1" t="s">
        <v>36</v>
      </c>
      <c r="W85" s="1" t="s">
        <v>37</v>
      </c>
      <c r="X85" s="1" t="s">
        <v>67</v>
      </c>
      <c r="Y85" s="1" t="s">
        <v>68</v>
      </c>
      <c r="Z85" s="1" t="str">
        <f>TRIM(_xlfn.CONCAT(sales_data_sample[[#This Row],[CONTACTFIRSTNAME]],", ",sales_data_sample[[#This Row],[CONTACTLASTNAME]]))</f>
        <v>Julie, Young</v>
      </c>
      <c r="AA85" s="1" t="s">
        <v>59</v>
      </c>
    </row>
    <row r="86" spans="1:27" x14ac:dyDescent="0.25">
      <c r="A86" s="10">
        <v>10159</v>
      </c>
      <c r="B86" s="9">
        <v>22</v>
      </c>
      <c r="C86" s="9">
        <v>100</v>
      </c>
      <c r="D86" s="9">
        <f>PRODUCT(sales_data_sample[[#This Row],[QUANTITYORDERED]],sales_data_sample[[#This Row],[PRICEEACH]])</f>
        <v>2200</v>
      </c>
      <c r="E86" s="9">
        <f>IF(OR(sales_data_sample[[#This Row],[STATUS]]="Shipped",sales_data_sample[[#This Row],[STATUS]]="Resolved"),sales_data_sample[[#This Row],[SALES]],0)</f>
        <v>2200</v>
      </c>
      <c r="F86" s="10">
        <v>16</v>
      </c>
      <c r="G86" s="12" t="s">
        <v>69</v>
      </c>
      <c r="H86" s="1" t="s">
        <v>26</v>
      </c>
      <c r="I86">
        <v>4</v>
      </c>
      <c r="J86">
        <v>10</v>
      </c>
      <c r="K86">
        <v>2003</v>
      </c>
      <c r="L86" s="1" t="s">
        <v>27</v>
      </c>
      <c r="M86">
        <v>193</v>
      </c>
      <c r="N86" s="1" t="s">
        <v>433</v>
      </c>
      <c r="O86" s="1" t="s">
        <v>70</v>
      </c>
      <c r="P86" s="1" t="s">
        <v>71</v>
      </c>
      <c r="Q86" s="1" t="s">
        <v>72</v>
      </c>
      <c r="R86" s="1" t="s">
        <v>32</v>
      </c>
      <c r="S86" s="1" t="s">
        <v>73</v>
      </c>
      <c r="T86" s="1" t="s">
        <v>65</v>
      </c>
      <c r="U86" s="1" t="s">
        <v>32</v>
      </c>
      <c r="V86" s="1" t="s">
        <v>36</v>
      </c>
      <c r="W86" s="1" t="s">
        <v>37</v>
      </c>
      <c r="X86" s="1" t="s">
        <v>74</v>
      </c>
      <c r="Y86" s="1" t="s">
        <v>68</v>
      </c>
      <c r="Z86" s="1" t="str">
        <f>TRIM(_xlfn.CONCAT(sales_data_sample[[#This Row],[CONTACTFIRSTNAME]],", ",sales_data_sample[[#This Row],[CONTACTLASTNAME]]))</f>
        <v>Julie, Brown</v>
      </c>
      <c r="AA86" s="1" t="s">
        <v>59</v>
      </c>
    </row>
    <row r="87" spans="1:27" x14ac:dyDescent="0.25">
      <c r="A87" s="10">
        <v>10168</v>
      </c>
      <c r="B87" s="9">
        <v>20</v>
      </c>
      <c r="C87" s="9">
        <v>100</v>
      </c>
      <c r="D87" s="9">
        <f>PRODUCT(sales_data_sample[[#This Row],[QUANTITYORDERED]],sales_data_sample[[#This Row],[PRICEEACH]])</f>
        <v>2000</v>
      </c>
      <c r="E87" s="9">
        <f>IF(OR(sales_data_sample[[#This Row],[STATUS]]="Shipped",sales_data_sample[[#This Row],[STATUS]]="Resolved"),sales_data_sample[[#This Row],[SALES]],0)</f>
        <v>2000</v>
      </c>
      <c r="F87" s="10">
        <v>3</v>
      </c>
      <c r="G87" s="12" t="s">
        <v>75</v>
      </c>
      <c r="H87" s="1" t="s">
        <v>26</v>
      </c>
      <c r="I87">
        <v>4</v>
      </c>
      <c r="J87">
        <v>10</v>
      </c>
      <c r="K87">
        <v>2003</v>
      </c>
      <c r="L87" s="1" t="s">
        <v>27</v>
      </c>
      <c r="M87">
        <v>193</v>
      </c>
      <c r="N87" s="1" t="s">
        <v>433</v>
      </c>
      <c r="O87" s="1" t="s">
        <v>76</v>
      </c>
      <c r="P87" s="1" t="s">
        <v>77</v>
      </c>
      <c r="Q87" s="1" t="s">
        <v>78</v>
      </c>
      <c r="R87" s="1" t="s">
        <v>32</v>
      </c>
      <c r="S87" s="1" t="s">
        <v>79</v>
      </c>
      <c r="T87" s="1" t="s">
        <v>65</v>
      </c>
      <c r="U87" s="1" t="s">
        <v>80</v>
      </c>
      <c r="V87" s="1" t="s">
        <v>36</v>
      </c>
      <c r="W87" s="1" t="s">
        <v>37</v>
      </c>
      <c r="X87" s="1" t="s">
        <v>81</v>
      </c>
      <c r="Y87" s="1" t="s">
        <v>82</v>
      </c>
      <c r="Z87" s="1" t="str">
        <f>TRIM(_xlfn.CONCAT(sales_data_sample[[#This Row],[CONTACTFIRSTNAME]],", ",sales_data_sample[[#This Row],[CONTACTLASTNAME]]))</f>
        <v>Juri, Hirano</v>
      </c>
      <c r="AA87" s="1" t="s">
        <v>59</v>
      </c>
    </row>
    <row r="88" spans="1:27" x14ac:dyDescent="0.25">
      <c r="A88" s="10">
        <v>10180</v>
      </c>
      <c r="B88" s="9">
        <v>41</v>
      </c>
      <c r="C88" s="9">
        <v>100</v>
      </c>
      <c r="D88" s="9">
        <f>PRODUCT(sales_data_sample[[#This Row],[QUANTITYORDERED]],sales_data_sample[[#This Row],[PRICEEACH]])</f>
        <v>4100</v>
      </c>
      <c r="E88" s="9">
        <f>IF(OR(sales_data_sample[[#This Row],[STATUS]]="Shipped",sales_data_sample[[#This Row],[STATUS]]="Resolved"),sales_data_sample[[#This Row],[SALES]],0)</f>
        <v>4100</v>
      </c>
      <c r="F88" s="10">
        <v>11</v>
      </c>
      <c r="G88" s="12" t="s">
        <v>83</v>
      </c>
      <c r="H88" s="1" t="s">
        <v>26</v>
      </c>
      <c r="I88">
        <v>4</v>
      </c>
      <c r="J88">
        <v>11</v>
      </c>
      <c r="K88">
        <v>2003</v>
      </c>
      <c r="L88" s="1" t="s">
        <v>27</v>
      </c>
      <c r="M88">
        <v>193</v>
      </c>
      <c r="N88" s="1" t="s">
        <v>433</v>
      </c>
      <c r="O88" s="1" t="s">
        <v>84</v>
      </c>
      <c r="P88" s="1" t="s">
        <v>85</v>
      </c>
      <c r="Q88" s="1" t="s">
        <v>86</v>
      </c>
      <c r="R88" s="1" t="s">
        <v>32</v>
      </c>
      <c r="S88" s="1" t="s">
        <v>87</v>
      </c>
      <c r="T88" s="1" t="s">
        <v>32</v>
      </c>
      <c r="U88" s="1" t="s">
        <v>88</v>
      </c>
      <c r="V88" s="1" t="s">
        <v>47</v>
      </c>
      <c r="W88" s="1" t="s">
        <v>48</v>
      </c>
      <c r="X88" s="1" t="s">
        <v>89</v>
      </c>
      <c r="Y88" s="1" t="s">
        <v>90</v>
      </c>
      <c r="Z88" s="1" t="str">
        <f>TRIM(_xlfn.CONCAT(sales_data_sample[[#This Row],[CONTACTFIRSTNAME]],", ",sales_data_sample[[#This Row],[CONTACTLASTNAME]]))</f>
        <v>Martine, Rance</v>
      </c>
      <c r="AA88" s="1" t="s">
        <v>199</v>
      </c>
    </row>
    <row r="89" spans="1:27" x14ac:dyDescent="0.25">
      <c r="A89" s="10">
        <v>10188</v>
      </c>
      <c r="B89" s="9">
        <v>45</v>
      </c>
      <c r="C89" s="9">
        <v>100</v>
      </c>
      <c r="D89" s="9">
        <f>PRODUCT(sales_data_sample[[#This Row],[QUANTITYORDERED]],sales_data_sample[[#This Row],[PRICEEACH]])</f>
        <v>4500</v>
      </c>
      <c r="E89" s="9">
        <f>IF(OR(sales_data_sample[[#This Row],[STATUS]]="Shipped",sales_data_sample[[#This Row],[STATUS]]="Resolved"),sales_data_sample[[#This Row],[SALES]],0)</f>
        <v>4500</v>
      </c>
      <c r="F89" s="10">
        <v>3</v>
      </c>
      <c r="G89" s="12" t="s">
        <v>91</v>
      </c>
      <c r="H89" s="1" t="s">
        <v>26</v>
      </c>
      <c r="I89">
        <v>4</v>
      </c>
      <c r="J89">
        <v>11</v>
      </c>
      <c r="K89">
        <v>2003</v>
      </c>
      <c r="L89" s="1" t="s">
        <v>27</v>
      </c>
      <c r="M89">
        <v>193</v>
      </c>
      <c r="N89" s="1" t="s">
        <v>433</v>
      </c>
      <c r="O89" s="1" t="s">
        <v>92</v>
      </c>
      <c r="P89" s="1" t="s">
        <v>93</v>
      </c>
      <c r="Q89" s="1" t="s">
        <v>94</v>
      </c>
      <c r="R89" s="1" t="s">
        <v>32</v>
      </c>
      <c r="S89" s="1" t="s">
        <v>95</v>
      </c>
      <c r="T89" s="1" t="s">
        <v>32</v>
      </c>
      <c r="U89" s="1" t="s">
        <v>96</v>
      </c>
      <c r="V89" s="1" t="s">
        <v>97</v>
      </c>
      <c r="W89" s="1" t="s">
        <v>48</v>
      </c>
      <c r="X89" s="1" t="s">
        <v>98</v>
      </c>
      <c r="Y89" s="1" t="s">
        <v>99</v>
      </c>
      <c r="Z89" s="1" t="str">
        <f>TRIM(_xlfn.CONCAT(sales_data_sample[[#This Row],[CONTACTFIRSTNAME]],", ",sales_data_sample[[#This Row],[CONTACTLASTNAME]]))</f>
        <v>Veysel, Oeztan</v>
      </c>
      <c r="AA89" s="1" t="s">
        <v>199</v>
      </c>
    </row>
    <row r="90" spans="1:27" x14ac:dyDescent="0.25">
      <c r="A90" s="10">
        <v>10201</v>
      </c>
      <c r="B90" s="9">
        <v>49</v>
      </c>
      <c r="C90" s="9">
        <v>100</v>
      </c>
      <c r="D90" s="9">
        <f>PRODUCT(sales_data_sample[[#This Row],[QUANTITYORDERED]],sales_data_sample[[#This Row],[PRICEEACH]])</f>
        <v>4900</v>
      </c>
      <c r="E90" s="9">
        <f>IF(OR(sales_data_sample[[#This Row],[STATUS]]="Shipped",sales_data_sample[[#This Row],[STATUS]]="Resolved"),sales_data_sample[[#This Row],[SALES]],0)</f>
        <v>4900</v>
      </c>
      <c r="F90" s="10">
        <v>4</v>
      </c>
      <c r="G90" s="12" t="s">
        <v>100</v>
      </c>
      <c r="H90" s="1" t="s">
        <v>26</v>
      </c>
      <c r="I90">
        <v>4</v>
      </c>
      <c r="J90">
        <v>12</v>
      </c>
      <c r="K90">
        <v>2003</v>
      </c>
      <c r="L90" s="1" t="s">
        <v>27</v>
      </c>
      <c r="M90">
        <v>193</v>
      </c>
      <c r="N90" s="1" t="s">
        <v>433</v>
      </c>
      <c r="O90" s="1" t="s">
        <v>101</v>
      </c>
      <c r="P90" s="1" t="s">
        <v>102</v>
      </c>
      <c r="Q90" s="1" t="s">
        <v>103</v>
      </c>
      <c r="R90" s="1" t="s">
        <v>32</v>
      </c>
      <c r="S90" s="1" t="s">
        <v>73</v>
      </c>
      <c r="T90" s="1" t="s">
        <v>65</v>
      </c>
      <c r="U90" s="1" t="s">
        <v>32</v>
      </c>
      <c r="V90" s="1" t="s">
        <v>36</v>
      </c>
      <c r="W90" s="1" t="s">
        <v>37</v>
      </c>
      <c r="X90" s="1" t="s">
        <v>104</v>
      </c>
      <c r="Y90" s="1" t="s">
        <v>68</v>
      </c>
      <c r="Z90" s="1" t="str">
        <f>TRIM(_xlfn.CONCAT(sales_data_sample[[#This Row],[CONTACTFIRSTNAME]],", ",sales_data_sample[[#This Row],[CONTACTLASTNAME]]))</f>
        <v>Julie, Murphy</v>
      </c>
      <c r="AA90" s="1" t="s">
        <v>199</v>
      </c>
    </row>
    <row r="91" spans="1:27" x14ac:dyDescent="0.25">
      <c r="A91" s="10">
        <v>10210</v>
      </c>
      <c r="B91" s="9">
        <v>34</v>
      </c>
      <c r="C91" s="9">
        <v>100</v>
      </c>
      <c r="D91" s="9">
        <f>PRODUCT(sales_data_sample[[#This Row],[QUANTITYORDERED]],sales_data_sample[[#This Row],[PRICEEACH]])</f>
        <v>3400</v>
      </c>
      <c r="E91" s="9">
        <f>IF(OR(sales_data_sample[[#This Row],[STATUS]]="Shipped",sales_data_sample[[#This Row],[STATUS]]="Resolved"),sales_data_sample[[#This Row],[SALES]],0)</f>
        <v>3400</v>
      </c>
      <c r="F91" s="10">
        <v>1</v>
      </c>
      <c r="G91" s="12" t="s">
        <v>406</v>
      </c>
      <c r="H91" s="1" t="s">
        <v>26</v>
      </c>
      <c r="I91">
        <v>1</v>
      </c>
      <c r="J91">
        <v>1</v>
      </c>
      <c r="K91">
        <v>2004</v>
      </c>
      <c r="L91" s="1" t="s">
        <v>27</v>
      </c>
      <c r="M91">
        <v>193</v>
      </c>
      <c r="N91" s="1" t="s">
        <v>433</v>
      </c>
      <c r="O91" s="1" t="s">
        <v>407</v>
      </c>
      <c r="P91" s="1" t="s">
        <v>408</v>
      </c>
      <c r="Q91" s="1" t="s">
        <v>409</v>
      </c>
      <c r="R91" s="1" t="s">
        <v>32</v>
      </c>
      <c r="S91" s="1" t="s">
        <v>410</v>
      </c>
      <c r="T91" s="1" t="s">
        <v>410</v>
      </c>
      <c r="U91" s="1" t="s">
        <v>411</v>
      </c>
      <c r="V91" s="1" t="s">
        <v>264</v>
      </c>
      <c r="W91" s="1" t="s">
        <v>264</v>
      </c>
      <c r="X91" s="1" t="s">
        <v>412</v>
      </c>
      <c r="Y91" s="1" t="s">
        <v>413</v>
      </c>
      <c r="Z91" s="1" t="str">
        <f>TRIM(_xlfn.CONCAT(sales_data_sample[[#This Row],[CONTACTFIRSTNAME]],", ",sales_data_sample[[#This Row],[CONTACTLASTNAME]]))</f>
        <v>Mory, Kentary</v>
      </c>
      <c r="AA91" s="1" t="s">
        <v>59</v>
      </c>
    </row>
    <row r="92" spans="1:27" x14ac:dyDescent="0.25">
      <c r="A92">
        <v>10223</v>
      </c>
      <c r="B92">
        <v>49</v>
      </c>
      <c r="C92">
        <v>100</v>
      </c>
      <c r="D92">
        <f>PRODUCT(sales_data_sample[[#This Row],[QUANTITYORDERED]],sales_data_sample[[#This Row],[PRICEEACH]])</f>
        <v>4900</v>
      </c>
      <c r="E92" s="9">
        <f>IF(OR(sales_data_sample[[#This Row],[STATUS]]="Shipped",sales_data_sample[[#This Row],[STATUS]]="Resolved"),sales_data_sample[[#This Row],[SALES]],0)</f>
        <v>4900</v>
      </c>
      <c r="F92">
        <v>3</v>
      </c>
      <c r="G92" s="12" t="s">
        <v>112</v>
      </c>
      <c r="H92" s="1" t="s">
        <v>26</v>
      </c>
      <c r="I92">
        <v>1</v>
      </c>
      <c r="J92">
        <v>2</v>
      </c>
      <c r="K92">
        <v>2004</v>
      </c>
      <c r="L92" s="1" t="s">
        <v>27</v>
      </c>
      <c r="M92">
        <v>193</v>
      </c>
      <c r="N92" s="1" t="s">
        <v>433</v>
      </c>
      <c r="O92" s="1" t="s">
        <v>113</v>
      </c>
      <c r="P92" s="1" t="s">
        <v>114</v>
      </c>
      <c r="Q92" s="1" t="s">
        <v>115</v>
      </c>
      <c r="R92" s="1" t="s">
        <v>116</v>
      </c>
      <c r="S92" s="1" t="s">
        <v>117</v>
      </c>
      <c r="T92" s="1" t="s">
        <v>118</v>
      </c>
      <c r="U92" s="1" t="s">
        <v>119</v>
      </c>
      <c r="V92" s="1" t="s">
        <v>120</v>
      </c>
      <c r="W92" s="1" t="s">
        <v>121</v>
      </c>
      <c r="X92" s="1" t="s">
        <v>122</v>
      </c>
      <c r="Y92" s="1" t="s">
        <v>123</v>
      </c>
      <c r="Z92" s="1" t="str">
        <f>TRIM(_xlfn.CONCAT(sales_data_sample[[#This Row],[CONTACTFIRSTNAME]],", ",sales_data_sample[[#This Row],[CONTACTLASTNAME]]))</f>
        <v>Peter, Ferguson</v>
      </c>
      <c r="AA92" s="1" t="s">
        <v>199</v>
      </c>
    </row>
    <row r="93" spans="1:27" x14ac:dyDescent="0.25">
      <c r="A93">
        <v>10237</v>
      </c>
      <c r="B93">
        <v>39</v>
      </c>
      <c r="C93">
        <v>100</v>
      </c>
      <c r="D93">
        <f>PRODUCT(sales_data_sample[[#This Row],[QUANTITYORDERED]],sales_data_sample[[#This Row],[PRICEEACH]])</f>
        <v>3900</v>
      </c>
      <c r="E93" s="9">
        <f>IF(OR(sales_data_sample[[#This Row],[STATUS]]="Shipped",sales_data_sample[[#This Row],[STATUS]]="Resolved"),sales_data_sample[[#This Row],[SALES]],0)</f>
        <v>3900</v>
      </c>
      <c r="F93">
        <v>9</v>
      </c>
      <c r="G93" s="12" t="s">
        <v>124</v>
      </c>
      <c r="H93" s="1" t="s">
        <v>26</v>
      </c>
      <c r="I93">
        <v>2</v>
      </c>
      <c r="J93">
        <v>4</v>
      </c>
      <c r="K93">
        <v>2004</v>
      </c>
      <c r="L93" s="1" t="s">
        <v>27</v>
      </c>
      <c r="M93">
        <v>193</v>
      </c>
      <c r="N93" s="1" t="s">
        <v>433</v>
      </c>
      <c r="O93" s="1" t="s">
        <v>125</v>
      </c>
      <c r="P93" s="1" t="s">
        <v>126</v>
      </c>
      <c r="Q93" s="1" t="s">
        <v>127</v>
      </c>
      <c r="R93" s="1" t="s">
        <v>128</v>
      </c>
      <c r="S93" s="1" t="s">
        <v>33</v>
      </c>
      <c r="T93" s="1" t="s">
        <v>34</v>
      </c>
      <c r="U93" s="1" t="s">
        <v>35</v>
      </c>
      <c r="V93" s="1" t="s">
        <v>36</v>
      </c>
      <c r="W93" s="1" t="s">
        <v>37</v>
      </c>
      <c r="X93" s="1" t="s">
        <v>129</v>
      </c>
      <c r="Y93" s="1" t="s">
        <v>130</v>
      </c>
      <c r="Z93" s="1" t="str">
        <f>TRIM(_xlfn.CONCAT(sales_data_sample[[#This Row],[CONTACTFIRSTNAME]],", ",sales_data_sample[[#This Row],[CONTACTLASTNAME]]))</f>
        <v>Michael, Frick</v>
      </c>
      <c r="AA93" s="1" t="s">
        <v>199</v>
      </c>
    </row>
    <row r="94" spans="1:27" x14ac:dyDescent="0.25">
      <c r="A94" s="10">
        <v>10251</v>
      </c>
      <c r="B94" s="9">
        <v>43</v>
      </c>
      <c r="C94" s="9">
        <v>100</v>
      </c>
      <c r="D94" s="9">
        <f>PRODUCT(sales_data_sample[[#This Row],[QUANTITYORDERED]],sales_data_sample[[#This Row],[PRICEEACH]])</f>
        <v>4300</v>
      </c>
      <c r="E94" s="9">
        <f>IF(OR(sales_data_sample[[#This Row],[STATUS]]="Shipped",sales_data_sample[[#This Row],[STATUS]]="Resolved"),sales_data_sample[[#This Row],[SALES]],0)</f>
        <v>4300</v>
      </c>
      <c r="F94" s="10">
        <v>4</v>
      </c>
      <c r="G94" s="12" t="s">
        <v>131</v>
      </c>
      <c r="H94" s="1" t="s">
        <v>26</v>
      </c>
      <c r="I94">
        <v>2</v>
      </c>
      <c r="J94">
        <v>5</v>
      </c>
      <c r="K94">
        <v>2004</v>
      </c>
      <c r="L94" s="1" t="s">
        <v>27</v>
      </c>
      <c r="M94">
        <v>193</v>
      </c>
      <c r="N94" s="1" t="s">
        <v>433</v>
      </c>
      <c r="O94" s="1" t="s">
        <v>132</v>
      </c>
      <c r="P94" s="1" t="s">
        <v>133</v>
      </c>
      <c r="Q94" s="1" t="s">
        <v>134</v>
      </c>
      <c r="R94" s="1" t="s">
        <v>32</v>
      </c>
      <c r="S94" s="1" t="s">
        <v>135</v>
      </c>
      <c r="T94" s="1" t="s">
        <v>136</v>
      </c>
      <c r="U94" s="1" t="s">
        <v>137</v>
      </c>
      <c r="V94" s="1" t="s">
        <v>36</v>
      </c>
      <c r="W94" s="1" t="s">
        <v>37</v>
      </c>
      <c r="X94" s="1" t="s">
        <v>74</v>
      </c>
      <c r="Y94" s="1" t="s">
        <v>138</v>
      </c>
      <c r="Z94" s="1" t="str">
        <f>TRIM(_xlfn.CONCAT(sales_data_sample[[#This Row],[CONTACTFIRSTNAME]],", ",sales_data_sample[[#This Row],[CONTACTLASTNAME]]))</f>
        <v>William, Brown</v>
      </c>
      <c r="AA94" s="1" t="s">
        <v>199</v>
      </c>
    </row>
    <row r="95" spans="1:27" x14ac:dyDescent="0.25">
      <c r="A95" s="10">
        <v>10263</v>
      </c>
      <c r="B95" s="9">
        <v>41</v>
      </c>
      <c r="C95" s="9">
        <v>100</v>
      </c>
      <c r="D95" s="9">
        <f>PRODUCT(sales_data_sample[[#This Row],[QUANTITYORDERED]],sales_data_sample[[#This Row],[PRICEEACH]])</f>
        <v>4100</v>
      </c>
      <c r="E95" s="9">
        <f>IF(OR(sales_data_sample[[#This Row],[STATUS]]="Shipped",sales_data_sample[[#This Row],[STATUS]]="Resolved"),sales_data_sample[[#This Row],[SALES]],0)</f>
        <v>4100</v>
      </c>
      <c r="F95" s="10">
        <v>4</v>
      </c>
      <c r="G95" s="12" t="s">
        <v>139</v>
      </c>
      <c r="H95" s="1" t="s">
        <v>26</v>
      </c>
      <c r="I95">
        <v>2</v>
      </c>
      <c r="J95">
        <v>6</v>
      </c>
      <c r="K95">
        <v>2004</v>
      </c>
      <c r="L95" s="1" t="s">
        <v>27</v>
      </c>
      <c r="M95">
        <v>193</v>
      </c>
      <c r="N95" s="1" t="s">
        <v>433</v>
      </c>
      <c r="O95" s="1" t="s">
        <v>140</v>
      </c>
      <c r="P95" s="1" t="s">
        <v>141</v>
      </c>
      <c r="Q95" s="1" t="s">
        <v>142</v>
      </c>
      <c r="R95" s="1" t="s">
        <v>32</v>
      </c>
      <c r="S95" s="1" t="s">
        <v>143</v>
      </c>
      <c r="T95" s="1" t="s">
        <v>144</v>
      </c>
      <c r="U95" s="1" t="s">
        <v>145</v>
      </c>
      <c r="V95" s="1" t="s">
        <v>36</v>
      </c>
      <c r="W95" s="1" t="s">
        <v>37</v>
      </c>
      <c r="X95" s="1" t="s">
        <v>146</v>
      </c>
      <c r="Y95" s="1" t="s">
        <v>68</v>
      </c>
      <c r="Z95" s="1" t="str">
        <f>TRIM(_xlfn.CONCAT(sales_data_sample[[#This Row],[CONTACTFIRSTNAME]],", ",sales_data_sample[[#This Row],[CONTACTLASTNAME]]))</f>
        <v>Julie, King</v>
      </c>
      <c r="AA95" s="1" t="s">
        <v>199</v>
      </c>
    </row>
    <row r="96" spans="1:27" x14ac:dyDescent="0.25">
      <c r="A96" s="10">
        <v>10275</v>
      </c>
      <c r="B96" s="9">
        <v>36</v>
      </c>
      <c r="C96" s="9">
        <v>100</v>
      </c>
      <c r="D96" s="9">
        <f>PRODUCT(sales_data_sample[[#This Row],[QUANTITYORDERED]],sales_data_sample[[#This Row],[PRICEEACH]])</f>
        <v>3600</v>
      </c>
      <c r="E96" s="9">
        <f>IF(OR(sales_data_sample[[#This Row],[STATUS]]="Shipped",sales_data_sample[[#This Row],[STATUS]]="Resolved"),sales_data_sample[[#This Row],[SALES]],0)</f>
        <v>3600</v>
      </c>
      <c r="F96" s="10">
        <v>3</v>
      </c>
      <c r="G96" s="12" t="s">
        <v>147</v>
      </c>
      <c r="H96" s="1" t="s">
        <v>26</v>
      </c>
      <c r="I96">
        <v>3</v>
      </c>
      <c r="J96">
        <v>7</v>
      </c>
      <c r="K96">
        <v>2004</v>
      </c>
      <c r="L96" s="1" t="s">
        <v>27</v>
      </c>
      <c r="M96">
        <v>193</v>
      </c>
      <c r="N96" s="1" t="s">
        <v>433</v>
      </c>
      <c r="O96" s="1" t="s">
        <v>148</v>
      </c>
      <c r="P96" s="1" t="s">
        <v>149</v>
      </c>
      <c r="Q96" s="1" t="s">
        <v>150</v>
      </c>
      <c r="R96" s="1" t="s">
        <v>32</v>
      </c>
      <c r="S96" s="1" t="s">
        <v>151</v>
      </c>
      <c r="T96" s="1" t="s">
        <v>32</v>
      </c>
      <c r="U96" s="1" t="s">
        <v>152</v>
      </c>
      <c r="V96" s="1" t="s">
        <v>47</v>
      </c>
      <c r="W96" s="1" t="s">
        <v>48</v>
      </c>
      <c r="X96" s="1" t="s">
        <v>153</v>
      </c>
      <c r="Y96" s="1" t="s">
        <v>154</v>
      </c>
      <c r="Z96" s="1" t="str">
        <f>TRIM(_xlfn.CONCAT(sales_data_sample[[#This Row],[CONTACTFIRSTNAME]],", ",sales_data_sample[[#This Row],[CONTACTLASTNAME]]))</f>
        <v>Janine, Labrune</v>
      </c>
      <c r="AA96" s="1" t="s">
        <v>59</v>
      </c>
    </row>
    <row r="97" spans="1:27" x14ac:dyDescent="0.25">
      <c r="A97" s="10">
        <v>10285</v>
      </c>
      <c r="B97" s="9">
        <v>27</v>
      </c>
      <c r="C97" s="9">
        <v>100</v>
      </c>
      <c r="D97" s="9">
        <f>PRODUCT(sales_data_sample[[#This Row],[QUANTITYORDERED]],sales_data_sample[[#This Row],[PRICEEACH]])</f>
        <v>2700</v>
      </c>
      <c r="E97" s="9">
        <f>IF(OR(sales_data_sample[[#This Row],[STATUS]]="Shipped",sales_data_sample[[#This Row],[STATUS]]="Resolved"),sales_data_sample[[#This Row],[SALES]],0)</f>
        <v>2700</v>
      </c>
      <c r="F97" s="10">
        <v>8</v>
      </c>
      <c r="G97" s="12" t="s">
        <v>155</v>
      </c>
      <c r="H97" s="1" t="s">
        <v>26</v>
      </c>
      <c r="I97">
        <v>3</v>
      </c>
      <c r="J97">
        <v>8</v>
      </c>
      <c r="K97">
        <v>2004</v>
      </c>
      <c r="L97" s="1" t="s">
        <v>27</v>
      </c>
      <c r="M97">
        <v>193</v>
      </c>
      <c r="N97" s="1" t="s">
        <v>433</v>
      </c>
      <c r="O97" s="1" t="s">
        <v>156</v>
      </c>
      <c r="P97" s="1" t="s">
        <v>157</v>
      </c>
      <c r="Q97" s="1" t="s">
        <v>158</v>
      </c>
      <c r="R97" s="1" t="s">
        <v>32</v>
      </c>
      <c r="S97" s="1" t="s">
        <v>159</v>
      </c>
      <c r="T97" s="1" t="s">
        <v>160</v>
      </c>
      <c r="U97" s="1" t="s">
        <v>161</v>
      </c>
      <c r="V97" s="1" t="s">
        <v>36</v>
      </c>
      <c r="W97" s="1" t="s">
        <v>37</v>
      </c>
      <c r="X97" s="1" t="s">
        <v>162</v>
      </c>
      <c r="Y97" s="1" t="s">
        <v>163</v>
      </c>
      <c r="Z97" s="1" t="str">
        <f>TRIM(_xlfn.CONCAT(sales_data_sample[[#This Row],[CONTACTFIRSTNAME]],", ",sales_data_sample[[#This Row],[CONTACTLASTNAME]]))</f>
        <v>Marta, Hernandez</v>
      </c>
      <c r="AA97" s="1" t="s">
        <v>59</v>
      </c>
    </row>
    <row r="98" spans="1:27" x14ac:dyDescent="0.25">
      <c r="A98" s="10">
        <v>10299</v>
      </c>
      <c r="B98" s="9">
        <v>29</v>
      </c>
      <c r="C98" s="9">
        <v>100</v>
      </c>
      <c r="D98" s="9">
        <f>PRODUCT(sales_data_sample[[#This Row],[QUANTITYORDERED]],sales_data_sample[[#This Row],[PRICEEACH]])</f>
        <v>2900</v>
      </c>
      <c r="E98" s="9">
        <f>IF(OR(sales_data_sample[[#This Row],[STATUS]]="Shipped",sales_data_sample[[#This Row],[STATUS]]="Resolved"),sales_data_sample[[#This Row],[SALES]],0)</f>
        <v>2900</v>
      </c>
      <c r="F98" s="10">
        <v>11</v>
      </c>
      <c r="G98" s="12" t="s">
        <v>164</v>
      </c>
      <c r="H98" s="1" t="s">
        <v>26</v>
      </c>
      <c r="I98">
        <v>3</v>
      </c>
      <c r="J98">
        <v>9</v>
      </c>
      <c r="K98">
        <v>2004</v>
      </c>
      <c r="L98" s="1" t="s">
        <v>27</v>
      </c>
      <c r="M98">
        <v>193</v>
      </c>
      <c r="N98" s="1" t="s">
        <v>433</v>
      </c>
      <c r="O98" s="1" t="s">
        <v>165</v>
      </c>
      <c r="P98" s="1" t="s">
        <v>166</v>
      </c>
      <c r="Q98" s="1" t="s">
        <v>167</v>
      </c>
      <c r="R98" s="1" t="s">
        <v>32</v>
      </c>
      <c r="S98" s="1" t="s">
        <v>168</v>
      </c>
      <c r="T98" s="1" t="s">
        <v>32</v>
      </c>
      <c r="U98" s="1" t="s">
        <v>169</v>
      </c>
      <c r="V98" s="1" t="s">
        <v>170</v>
      </c>
      <c r="W98" s="1" t="s">
        <v>48</v>
      </c>
      <c r="X98" s="1" t="s">
        <v>171</v>
      </c>
      <c r="Y98" s="1" t="s">
        <v>172</v>
      </c>
      <c r="Z98" s="1" t="str">
        <f>TRIM(_xlfn.CONCAT(sales_data_sample[[#This Row],[CONTACTFIRSTNAME]],", ",sales_data_sample[[#This Row],[CONTACTLASTNAME]]))</f>
        <v>Matti, Karttunen</v>
      </c>
      <c r="AA98" s="1" t="s">
        <v>59</v>
      </c>
    </row>
    <row r="99" spans="1:27" x14ac:dyDescent="0.25">
      <c r="A99" s="10">
        <v>10308</v>
      </c>
      <c r="B99" s="9">
        <v>20</v>
      </c>
      <c r="C99" s="9">
        <v>100</v>
      </c>
      <c r="D99" s="9">
        <f>PRODUCT(sales_data_sample[[#This Row],[QUANTITYORDERED]],sales_data_sample[[#This Row],[PRICEEACH]])</f>
        <v>2000</v>
      </c>
      <c r="E99" s="9">
        <f>IF(OR(sales_data_sample[[#This Row],[STATUS]]="Shipped",sales_data_sample[[#This Row],[STATUS]]="Resolved"),sales_data_sample[[#This Row],[SALES]],0)</f>
        <v>2000</v>
      </c>
      <c r="F99" s="10">
        <v>1</v>
      </c>
      <c r="G99" s="12" t="s">
        <v>173</v>
      </c>
      <c r="H99" s="1" t="s">
        <v>26</v>
      </c>
      <c r="I99">
        <v>4</v>
      </c>
      <c r="J99">
        <v>10</v>
      </c>
      <c r="K99">
        <v>2004</v>
      </c>
      <c r="L99" s="1" t="s">
        <v>27</v>
      </c>
      <c r="M99">
        <v>193</v>
      </c>
      <c r="N99" s="1" t="s">
        <v>433</v>
      </c>
      <c r="O99" s="1" t="s">
        <v>425</v>
      </c>
      <c r="P99" s="1" t="s">
        <v>426</v>
      </c>
      <c r="Q99" s="1" t="s">
        <v>427</v>
      </c>
      <c r="R99" s="1" t="s">
        <v>32</v>
      </c>
      <c r="S99" s="1" t="s">
        <v>428</v>
      </c>
      <c r="T99" s="1" t="s">
        <v>34</v>
      </c>
      <c r="U99" s="1" t="s">
        <v>429</v>
      </c>
      <c r="V99" s="1" t="s">
        <v>36</v>
      </c>
      <c r="W99" s="1" t="s">
        <v>37</v>
      </c>
      <c r="X99" s="1" t="s">
        <v>129</v>
      </c>
      <c r="Y99" s="1" t="s">
        <v>314</v>
      </c>
      <c r="Z99" s="1" t="str">
        <f>TRIM(_xlfn.CONCAT(sales_data_sample[[#This Row],[CONTACTFIRSTNAME]],", ",sales_data_sample[[#This Row],[CONTACTLASTNAME]]))</f>
        <v>Steve, Frick</v>
      </c>
      <c r="AA99" s="1" t="s">
        <v>59</v>
      </c>
    </row>
    <row r="100" spans="1:27" x14ac:dyDescent="0.25">
      <c r="A100" s="10">
        <v>10318</v>
      </c>
      <c r="B100" s="9">
        <v>37</v>
      </c>
      <c r="C100" s="9">
        <v>100</v>
      </c>
      <c r="D100" s="9">
        <f>PRODUCT(sales_data_sample[[#This Row],[QUANTITYORDERED]],sales_data_sample[[#This Row],[PRICEEACH]])</f>
        <v>3700</v>
      </c>
      <c r="E100" s="9">
        <f>IF(OR(sales_data_sample[[#This Row],[STATUS]]="Shipped",sales_data_sample[[#This Row],[STATUS]]="Resolved"),sales_data_sample[[#This Row],[SALES]],0)</f>
        <v>3700</v>
      </c>
      <c r="F100" s="10">
        <v>3</v>
      </c>
      <c r="G100" s="12" t="s">
        <v>181</v>
      </c>
      <c r="H100" s="1" t="s">
        <v>26</v>
      </c>
      <c r="I100">
        <v>4</v>
      </c>
      <c r="J100">
        <v>11</v>
      </c>
      <c r="K100">
        <v>2004</v>
      </c>
      <c r="L100" s="1" t="s">
        <v>27</v>
      </c>
      <c r="M100">
        <v>193</v>
      </c>
      <c r="N100" s="1" t="s">
        <v>433</v>
      </c>
      <c r="O100" s="1" t="s">
        <v>182</v>
      </c>
      <c r="P100" s="1" t="s">
        <v>183</v>
      </c>
      <c r="Q100" s="1" t="s">
        <v>184</v>
      </c>
      <c r="R100" s="1" t="s">
        <v>32</v>
      </c>
      <c r="S100" s="1" t="s">
        <v>185</v>
      </c>
      <c r="T100" s="1" t="s">
        <v>186</v>
      </c>
      <c r="U100" s="1" t="s">
        <v>187</v>
      </c>
      <c r="V100" s="1" t="s">
        <v>36</v>
      </c>
      <c r="W100" s="1" t="s">
        <v>37</v>
      </c>
      <c r="X100" s="1" t="s">
        <v>38</v>
      </c>
      <c r="Y100" s="1" t="s">
        <v>188</v>
      </c>
      <c r="Z100" s="1" t="str">
        <f>TRIM(_xlfn.CONCAT(sales_data_sample[[#This Row],[CONTACTFIRSTNAME]],", ",sales_data_sample[[#This Row],[CONTACTLASTNAME]]))</f>
        <v>Kyung, Yu</v>
      </c>
      <c r="AA100" s="1" t="s">
        <v>199</v>
      </c>
    </row>
    <row r="101" spans="1:27" x14ac:dyDescent="0.25">
      <c r="A101" s="10">
        <v>10329</v>
      </c>
      <c r="B101" s="9">
        <v>26</v>
      </c>
      <c r="C101" s="9">
        <v>100</v>
      </c>
      <c r="D101" s="9">
        <f>PRODUCT(sales_data_sample[[#This Row],[QUANTITYORDERED]],sales_data_sample[[#This Row],[PRICEEACH]])</f>
        <v>2600</v>
      </c>
      <c r="E101" s="9">
        <f>IF(OR(sales_data_sample[[#This Row],[STATUS]]="Shipped",sales_data_sample[[#This Row],[STATUS]]="Resolved"),sales_data_sample[[#This Row],[SALES]],0)</f>
        <v>2600</v>
      </c>
      <c r="F101" s="10">
        <v>3</v>
      </c>
      <c r="G101" s="12" t="s">
        <v>189</v>
      </c>
      <c r="H101" s="1" t="s">
        <v>26</v>
      </c>
      <c r="I101">
        <v>4</v>
      </c>
      <c r="J101">
        <v>11</v>
      </c>
      <c r="K101">
        <v>2004</v>
      </c>
      <c r="L101" s="1" t="s">
        <v>27</v>
      </c>
      <c r="M101">
        <v>193</v>
      </c>
      <c r="N101" s="1" t="s">
        <v>433</v>
      </c>
      <c r="O101" s="1" t="s">
        <v>29</v>
      </c>
      <c r="P101" s="1" t="s">
        <v>30</v>
      </c>
      <c r="Q101" s="1" t="s">
        <v>31</v>
      </c>
      <c r="R101" s="1" t="s">
        <v>32</v>
      </c>
      <c r="S101" s="1" t="s">
        <v>33</v>
      </c>
      <c r="T101" s="1" t="s">
        <v>34</v>
      </c>
      <c r="U101" s="1" t="s">
        <v>35</v>
      </c>
      <c r="V101" s="1" t="s">
        <v>36</v>
      </c>
      <c r="W101" s="1" t="s">
        <v>37</v>
      </c>
      <c r="X101" s="1" t="s">
        <v>38</v>
      </c>
      <c r="Y101" s="1" t="s">
        <v>39</v>
      </c>
      <c r="Z101" s="1" t="str">
        <f>TRIM(_xlfn.CONCAT(sales_data_sample[[#This Row],[CONTACTFIRSTNAME]],", ",sales_data_sample[[#This Row],[CONTACTLASTNAME]]))</f>
        <v>Kwai, Yu</v>
      </c>
      <c r="AA101" s="1" t="s">
        <v>59</v>
      </c>
    </row>
    <row r="102" spans="1:27" x14ac:dyDescent="0.25">
      <c r="A102" s="10">
        <v>10339</v>
      </c>
      <c r="B102" s="9">
        <v>39</v>
      </c>
      <c r="C102" s="9">
        <v>7667</v>
      </c>
      <c r="D102" s="9">
        <f>PRODUCT(sales_data_sample[[#This Row],[QUANTITYORDERED]],sales_data_sample[[#This Row],[PRICEEACH]])</f>
        <v>299013</v>
      </c>
      <c r="E102" s="9">
        <f>IF(OR(sales_data_sample[[#This Row],[STATUS]]="Shipped",sales_data_sample[[#This Row],[STATUS]]="Resolved"),sales_data_sample[[#This Row],[SALES]],0)</f>
        <v>299013</v>
      </c>
      <c r="F102" s="10">
        <v>3</v>
      </c>
      <c r="G102" s="12" t="s">
        <v>430</v>
      </c>
      <c r="H102" s="1" t="s">
        <v>26</v>
      </c>
      <c r="I102">
        <v>4</v>
      </c>
      <c r="J102">
        <v>11</v>
      </c>
      <c r="K102">
        <v>2004</v>
      </c>
      <c r="L102" s="1" t="s">
        <v>27</v>
      </c>
      <c r="M102">
        <v>193</v>
      </c>
      <c r="N102" s="1" t="s">
        <v>433</v>
      </c>
      <c r="O102" s="1" t="s">
        <v>328</v>
      </c>
      <c r="P102" s="1" t="s">
        <v>329</v>
      </c>
      <c r="Q102" s="1" t="s">
        <v>330</v>
      </c>
      <c r="R102" s="1" t="s">
        <v>32</v>
      </c>
      <c r="S102" s="1" t="s">
        <v>331</v>
      </c>
      <c r="T102" s="1" t="s">
        <v>332</v>
      </c>
      <c r="U102" s="1" t="s">
        <v>333</v>
      </c>
      <c r="V102" s="1" t="s">
        <v>264</v>
      </c>
      <c r="W102" s="1" t="s">
        <v>264</v>
      </c>
      <c r="X102" s="1" t="s">
        <v>334</v>
      </c>
      <c r="Y102" s="1" t="s">
        <v>335</v>
      </c>
      <c r="Z102" s="1" t="str">
        <f>TRIM(_xlfn.CONCAT(sales_data_sample[[#This Row],[CONTACTFIRSTNAME]],", ",sales_data_sample[[#This Row],[CONTACTLASTNAME]]))</f>
        <v>Akiko, Shimamura</v>
      </c>
      <c r="AA102" s="1" t="s">
        <v>40</v>
      </c>
    </row>
    <row r="103" spans="1:27" x14ac:dyDescent="0.25">
      <c r="A103" s="10">
        <v>10362</v>
      </c>
      <c r="B103" s="9">
        <v>22</v>
      </c>
      <c r="C103" s="9">
        <v>100</v>
      </c>
      <c r="D103" s="9">
        <f>PRODUCT(sales_data_sample[[#This Row],[QUANTITYORDERED]],sales_data_sample[[#This Row],[PRICEEACH]])</f>
        <v>2200</v>
      </c>
      <c r="E103" s="9">
        <f>IF(OR(sales_data_sample[[#This Row],[STATUS]]="Shipped",sales_data_sample[[#This Row],[STATUS]]="Resolved"),sales_data_sample[[#This Row],[SALES]],0)</f>
        <v>2200</v>
      </c>
      <c r="F103" s="10">
        <v>4</v>
      </c>
      <c r="G103" s="12" t="s">
        <v>434</v>
      </c>
      <c r="H103" s="1" t="s">
        <v>26</v>
      </c>
      <c r="I103">
        <v>1</v>
      </c>
      <c r="J103">
        <v>1</v>
      </c>
      <c r="K103">
        <v>2005</v>
      </c>
      <c r="L103" s="1" t="s">
        <v>27</v>
      </c>
      <c r="M103">
        <v>193</v>
      </c>
      <c r="N103" s="1" t="s">
        <v>433</v>
      </c>
      <c r="O103" s="1" t="s">
        <v>76</v>
      </c>
      <c r="P103" s="1" t="s">
        <v>77</v>
      </c>
      <c r="Q103" s="1" t="s">
        <v>78</v>
      </c>
      <c r="R103" s="1" t="s">
        <v>32</v>
      </c>
      <c r="S103" s="1" t="s">
        <v>79</v>
      </c>
      <c r="T103" s="1" t="s">
        <v>65</v>
      </c>
      <c r="U103" s="1" t="s">
        <v>80</v>
      </c>
      <c r="V103" s="1" t="s">
        <v>36</v>
      </c>
      <c r="W103" s="1" t="s">
        <v>37</v>
      </c>
      <c r="X103" s="1" t="s">
        <v>81</v>
      </c>
      <c r="Y103" s="1" t="s">
        <v>82</v>
      </c>
      <c r="Z103" s="1" t="str">
        <f>TRIM(_xlfn.CONCAT(sales_data_sample[[#This Row],[CONTACTFIRSTNAME]],", ",sales_data_sample[[#This Row],[CONTACTLASTNAME]]))</f>
        <v>Juri, Hirano</v>
      </c>
      <c r="AA103" s="1" t="s">
        <v>59</v>
      </c>
    </row>
    <row r="104" spans="1:27" x14ac:dyDescent="0.25">
      <c r="A104" s="10">
        <v>10374</v>
      </c>
      <c r="B104" s="9">
        <v>22</v>
      </c>
      <c r="C104" s="9">
        <v>100</v>
      </c>
      <c r="D104" s="9">
        <f>PRODUCT(sales_data_sample[[#This Row],[QUANTITYORDERED]],sales_data_sample[[#This Row],[PRICEEACH]])</f>
        <v>2200</v>
      </c>
      <c r="E104" s="9">
        <f>IF(OR(sales_data_sample[[#This Row],[STATUS]]="Shipped",sales_data_sample[[#This Row],[STATUS]]="Resolved"),sales_data_sample[[#This Row],[SALES]],0)</f>
        <v>2200</v>
      </c>
      <c r="F104" s="10">
        <v>1</v>
      </c>
      <c r="G104" s="12" t="s">
        <v>431</v>
      </c>
      <c r="H104" s="1" t="s">
        <v>26</v>
      </c>
      <c r="I104">
        <v>1</v>
      </c>
      <c r="J104">
        <v>2</v>
      </c>
      <c r="K104">
        <v>2005</v>
      </c>
      <c r="L104" s="1" t="s">
        <v>27</v>
      </c>
      <c r="M104">
        <v>193</v>
      </c>
      <c r="N104" s="1" t="s">
        <v>433</v>
      </c>
      <c r="O104" s="1" t="s">
        <v>274</v>
      </c>
      <c r="P104" s="1" t="s">
        <v>275</v>
      </c>
      <c r="Q104" s="1" t="s">
        <v>276</v>
      </c>
      <c r="R104" s="1" t="s">
        <v>32</v>
      </c>
      <c r="S104" s="1" t="s">
        <v>277</v>
      </c>
      <c r="T104" s="1" t="s">
        <v>278</v>
      </c>
      <c r="U104" s="1" t="s">
        <v>279</v>
      </c>
      <c r="V104" s="1" t="s">
        <v>120</v>
      </c>
      <c r="W104" s="1" t="s">
        <v>121</v>
      </c>
      <c r="X104" s="1" t="s">
        <v>280</v>
      </c>
      <c r="Y104" s="1" t="s">
        <v>281</v>
      </c>
      <c r="Z104" s="1" t="str">
        <f>TRIM(_xlfn.CONCAT(sales_data_sample[[#This Row],[CONTACTFIRSTNAME]],", ",sales_data_sample[[#This Row],[CONTACTLASTNAME]]))</f>
        <v>Tony, Calaghan</v>
      </c>
      <c r="AA104" s="1" t="s">
        <v>59</v>
      </c>
    </row>
    <row r="105" spans="1:27" x14ac:dyDescent="0.25">
      <c r="A105" s="10">
        <v>10388</v>
      </c>
      <c r="B105" s="9">
        <v>21</v>
      </c>
      <c r="C105" s="9">
        <v>8677</v>
      </c>
      <c r="D105" s="9">
        <f>PRODUCT(sales_data_sample[[#This Row],[QUANTITYORDERED]],sales_data_sample[[#This Row],[PRICEEACH]])</f>
        <v>182217</v>
      </c>
      <c r="E105" s="9">
        <f>IF(OR(sales_data_sample[[#This Row],[STATUS]]="Shipped",sales_data_sample[[#This Row],[STATUS]]="Resolved"),sales_data_sample[[#This Row],[SALES]],0)</f>
        <v>182217</v>
      </c>
      <c r="F105" s="10">
        <v>7</v>
      </c>
      <c r="G105" s="12" t="s">
        <v>211</v>
      </c>
      <c r="H105" s="1" t="s">
        <v>26</v>
      </c>
      <c r="I105">
        <v>1</v>
      </c>
      <c r="J105">
        <v>3</v>
      </c>
      <c r="K105">
        <v>2005</v>
      </c>
      <c r="L105" s="1" t="s">
        <v>27</v>
      </c>
      <c r="M105">
        <v>193</v>
      </c>
      <c r="N105" s="1" t="s">
        <v>433</v>
      </c>
      <c r="O105" s="1" t="s">
        <v>212</v>
      </c>
      <c r="P105" s="1" t="s">
        <v>213</v>
      </c>
      <c r="Q105" s="1" t="s">
        <v>214</v>
      </c>
      <c r="R105" s="1" t="s">
        <v>32</v>
      </c>
      <c r="S105" s="1" t="s">
        <v>215</v>
      </c>
      <c r="T105" s="1" t="s">
        <v>160</v>
      </c>
      <c r="U105" s="1" t="s">
        <v>216</v>
      </c>
      <c r="V105" s="1" t="s">
        <v>36</v>
      </c>
      <c r="W105" s="1" t="s">
        <v>37</v>
      </c>
      <c r="X105" s="1" t="s">
        <v>217</v>
      </c>
      <c r="Y105" s="1" t="s">
        <v>218</v>
      </c>
      <c r="Z105" s="1" t="str">
        <f>TRIM(_xlfn.CONCAT(sales_data_sample[[#This Row],[CONTACTFIRSTNAME]],", ",sales_data_sample[[#This Row],[CONTACTLASTNAME]]))</f>
        <v>Violeta, Benitez</v>
      </c>
      <c r="AA105" s="1" t="s">
        <v>40</v>
      </c>
    </row>
    <row r="106" spans="1:27" x14ac:dyDescent="0.25">
      <c r="A106" s="10">
        <v>10403</v>
      </c>
      <c r="B106" s="9">
        <v>66</v>
      </c>
      <c r="C106" s="9">
        <v>100</v>
      </c>
      <c r="D106" s="9">
        <f>PRODUCT(sales_data_sample[[#This Row],[QUANTITYORDERED]],sales_data_sample[[#This Row],[PRICEEACH]])</f>
        <v>6600</v>
      </c>
      <c r="E106" s="9">
        <f>IF(OR(sales_data_sample[[#This Row],[STATUS]]="Shipped",sales_data_sample[[#This Row],[STATUS]]="Resolved"),sales_data_sample[[#This Row],[SALES]],0)</f>
        <v>6600</v>
      </c>
      <c r="F106" s="10">
        <v>9</v>
      </c>
      <c r="G106" s="12" t="s">
        <v>219</v>
      </c>
      <c r="H106" s="1" t="s">
        <v>26</v>
      </c>
      <c r="I106">
        <v>2</v>
      </c>
      <c r="J106">
        <v>4</v>
      </c>
      <c r="K106">
        <v>2005</v>
      </c>
      <c r="L106" s="1" t="s">
        <v>27</v>
      </c>
      <c r="M106">
        <v>193</v>
      </c>
      <c r="N106" s="1" t="s">
        <v>433</v>
      </c>
      <c r="O106" s="1" t="s">
        <v>220</v>
      </c>
      <c r="P106" s="1" t="s">
        <v>221</v>
      </c>
      <c r="Q106" s="1" t="s">
        <v>222</v>
      </c>
      <c r="R106" s="1" t="s">
        <v>32</v>
      </c>
      <c r="S106" s="1" t="s">
        <v>223</v>
      </c>
      <c r="T106" s="1" t="s">
        <v>32</v>
      </c>
      <c r="U106" s="1" t="s">
        <v>224</v>
      </c>
      <c r="V106" s="1" t="s">
        <v>225</v>
      </c>
      <c r="W106" s="1" t="s">
        <v>48</v>
      </c>
      <c r="X106" s="1" t="s">
        <v>226</v>
      </c>
      <c r="Y106" s="1" t="s">
        <v>227</v>
      </c>
      <c r="Z106" s="1" t="str">
        <f>TRIM(_xlfn.CONCAT(sales_data_sample[[#This Row],[CONTACTFIRSTNAME]],", ",sales_data_sample[[#This Row],[CONTACTLASTNAME]]))</f>
        <v>Elizabeth, Devon</v>
      </c>
      <c r="AA106" s="1" t="s">
        <v>199</v>
      </c>
    </row>
    <row r="107" spans="1:27" x14ac:dyDescent="0.25">
      <c r="A107" s="10">
        <v>10417</v>
      </c>
      <c r="B107" s="9">
        <v>56</v>
      </c>
      <c r="C107" s="9">
        <v>100</v>
      </c>
      <c r="D107" s="9">
        <f>PRODUCT(sales_data_sample[[#This Row],[QUANTITYORDERED]],sales_data_sample[[#This Row],[PRICEEACH]])</f>
        <v>5600</v>
      </c>
      <c r="E107" s="9">
        <f>IF(OR(sales_data_sample[[#This Row],[STATUS]]="Shipped",sales_data_sample[[#This Row],[STATUS]]="Resolved"),sales_data_sample[[#This Row],[SALES]],0)</f>
        <v>0</v>
      </c>
      <c r="F107" s="10">
        <v>4</v>
      </c>
      <c r="G107" s="12" t="s">
        <v>228</v>
      </c>
      <c r="H107" s="1" t="s">
        <v>229</v>
      </c>
      <c r="I107">
        <v>2</v>
      </c>
      <c r="J107">
        <v>5</v>
      </c>
      <c r="K107">
        <v>2005</v>
      </c>
      <c r="L107" s="1" t="s">
        <v>27</v>
      </c>
      <c r="M107">
        <v>193</v>
      </c>
      <c r="N107" s="1" t="s">
        <v>433</v>
      </c>
      <c r="O107" s="1" t="s">
        <v>230</v>
      </c>
      <c r="P107" s="1" t="s">
        <v>231</v>
      </c>
      <c r="Q107" s="1" t="s">
        <v>232</v>
      </c>
      <c r="R107" s="1" t="s">
        <v>32</v>
      </c>
      <c r="S107" s="1" t="s">
        <v>233</v>
      </c>
      <c r="T107" s="1" t="s">
        <v>32</v>
      </c>
      <c r="U107" s="1" t="s">
        <v>234</v>
      </c>
      <c r="V107" s="1" t="s">
        <v>235</v>
      </c>
      <c r="W107" s="1" t="s">
        <v>48</v>
      </c>
      <c r="X107" s="1" t="s">
        <v>236</v>
      </c>
      <c r="Y107" s="1" t="s">
        <v>237</v>
      </c>
      <c r="Z107" s="1" t="str">
        <f>TRIM(_xlfn.CONCAT(sales_data_sample[[#This Row],[CONTACTFIRSTNAME]],", ",sales_data_sample[[#This Row],[CONTACTLASTNAME]]))</f>
        <v>Diego, Freyre</v>
      </c>
      <c r="AA107" s="1" t="s">
        <v>199</v>
      </c>
    </row>
    <row r="108" spans="1:27" x14ac:dyDescent="0.25">
      <c r="A108" s="10">
        <v>10105</v>
      </c>
      <c r="B108" s="9">
        <v>50</v>
      </c>
      <c r="C108" s="9">
        <v>100</v>
      </c>
      <c r="D108" s="9">
        <f>PRODUCT(sales_data_sample[[#This Row],[QUANTITYORDERED]],sales_data_sample[[#This Row],[PRICEEACH]])</f>
        <v>5000</v>
      </c>
      <c r="E108" s="9">
        <f>IF(OR(sales_data_sample[[#This Row],[STATUS]]="Shipped",sales_data_sample[[#This Row],[STATUS]]="Resolved"),sales_data_sample[[#This Row],[SALES]],0)</f>
        <v>5000</v>
      </c>
      <c r="F108" s="10">
        <v>2</v>
      </c>
      <c r="G108" s="12" t="s">
        <v>435</v>
      </c>
      <c r="H108" s="1" t="s">
        <v>26</v>
      </c>
      <c r="I108">
        <v>1</v>
      </c>
      <c r="J108">
        <v>2</v>
      </c>
      <c r="K108">
        <v>2003</v>
      </c>
      <c r="L108" s="1" t="s">
        <v>239</v>
      </c>
      <c r="M108">
        <v>136</v>
      </c>
      <c r="N108" s="1" t="s">
        <v>436</v>
      </c>
      <c r="O108" s="1" t="s">
        <v>437</v>
      </c>
      <c r="P108" s="1" t="s">
        <v>438</v>
      </c>
      <c r="Q108" s="1" t="s">
        <v>439</v>
      </c>
      <c r="R108" s="1" t="s">
        <v>32</v>
      </c>
      <c r="S108" s="1" t="s">
        <v>440</v>
      </c>
      <c r="T108" s="1" t="s">
        <v>32</v>
      </c>
      <c r="U108" s="1" t="s">
        <v>441</v>
      </c>
      <c r="V108" s="1" t="s">
        <v>442</v>
      </c>
      <c r="W108" s="1" t="s">
        <v>48</v>
      </c>
      <c r="X108" s="1" t="s">
        <v>443</v>
      </c>
      <c r="Y108" s="1" t="s">
        <v>444</v>
      </c>
      <c r="Z108" s="1" t="str">
        <f>TRIM(_xlfn.CONCAT(sales_data_sample[[#This Row],[CONTACTFIRSTNAME]],", ",sales_data_sample[[#This Row],[CONTACTLASTNAME]]))</f>
        <v>Jytte, Petersen</v>
      </c>
      <c r="AA108" s="1" t="s">
        <v>199</v>
      </c>
    </row>
    <row r="109" spans="1:27" x14ac:dyDescent="0.25">
      <c r="A109" s="10">
        <v>10119</v>
      </c>
      <c r="B109" s="9">
        <v>46</v>
      </c>
      <c r="C109" s="9">
        <v>100</v>
      </c>
      <c r="D109" s="9">
        <f>PRODUCT(sales_data_sample[[#This Row],[QUANTITYORDERED]],sales_data_sample[[#This Row],[PRICEEACH]])</f>
        <v>4600</v>
      </c>
      <c r="E109" s="9">
        <f>IF(OR(sales_data_sample[[#This Row],[STATUS]]="Shipped",sales_data_sample[[#This Row],[STATUS]]="Resolved"),sales_data_sample[[#This Row],[SALES]],0)</f>
        <v>4600</v>
      </c>
      <c r="F109" s="10">
        <v>11</v>
      </c>
      <c r="G109" s="12" t="s">
        <v>445</v>
      </c>
      <c r="H109" s="1" t="s">
        <v>26</v>
      </c>
      <c r="I109">
        <v>2</v>
      </c>
      <c r="J109">
        <v>4</v>
      </c>
      <c r="K109">
        <v>2003</v>
      </c>
      <c r="L109" s="1" t="s">
        <v>239</v>
      </c>
      <c r="M109">
        <v>136</v>
      </c>
      <c r="N109" s="1" t="s">
        <v>436</v>
      </c>
      <c r="O109" s="1" t="s">
        <v>191</v>
      </c>
      <c r="P109" s="1" t="s">
        <v>192</v>
      </c>
      <c r="Q109" s="1" t="s">
        <v>193</v>
      </c>
      <c r="R109" s="1" t="s">
        <v>32</v>
      </c>
      <c r="S109" s="1" t="s">
        <v>194</v>
      </c>
      <c r="T109" s="1" t="s">
        <v>32</v>
      </c>
      <c r="U109" s="1" t="s">
        <v>195</v>
      </c>
      <c r="V109" s="1" t="s">
        <v>196</v>
      </c>
      <c r="W109" s="1" t="s">
        <v>48</v>
      </c>
      <c r="X109" s="1" t="s">
        <v>197</v>
      </c>
      <c r="Y109" s="1" t="s">
        <v>198</v>
      </c>
      <c r="Z109" s="1" t="str">
        <f>TRIM(_xlfn.CONCAT(sales_data_sample[[#This Row],[CONTACTFIRSTNAME]],", ",sales_data_sample[[#This Row],[CONTACTLASTNAME]]))</f>
        <v>Georg, Pipps</v>
      </c>
      <c r="AA109" s="1" t="s">
        <v>59</v>
      </c>
    </row>
    <row r="110" spans="1:27" x14ac:dyDescent="0.25">
      <c r="A110" s="10">
        <v>10129</v>
      </c>
      <c r="B110" s="9">
        <v>33</v>
      </c>
      <c r="C110" s="9">
        <v>100</v>
      </c>
      <c r="D110" s="9">
        <f>PRODUCT(sales_data_sample[[#This Row],[QUANTITYORDERED]],sales_data_sample[[#This Row],[PRICEEACH]])</f>
        <v>3300</v>
      </c>
      <c r="E110" s="9">
        <f>IF(OR(sales_data_sample[[#This Row],[STATUS]]="Shipped",sales_data_sample[[#This Row],[STATUS]]="Resolved"),sales_data_sample[[#This Row],[SALES]],0)</f>
        <v>3300</v>
      </c>
      <c r="F110" s="10">
        <v>2</v>
      </c>
      <c r="G110" s="12" t="s">
        <v>446</v>
      </c>
      <c r="H110" s="1" t="s">
        <v>26</v>
      </c>
      <c r="I110">
        <v>2</v>
      </c>
      <c r="J110">
        <v>6</v>
      </c>
      <c r="K110">
        <v>2003</v>
      </c>
      <c r="L110" s="1" t="s">
        <v>239</v>
      </c>
      <c r="M110">
        <v>136</v>
      </c>
      <c r="N110" s="1" t="s">
        <v>436</v>
      </c>
      <c r="O110" s="1" t="s">
        <v>447</v>
      </c>
      <c r="P110" s="1" t="s">
        <v>448</v>
      </c>
      <c r="Q110" s="1" t="s">
        <v>449</v>
      </c>
      <c r="R110" s="1" t="s">
        <v>32</v>
      </c>
      <c r="S110" s="1" t="s">
        <v>450</v>
      </c>
      <c r="T110" s="1" t="s">
        <v>32</v>
      </c>
      <c r="U110" s="1" t="s">
        <v>451</v>
      </c>
      <c r="V110" s="1" t="s">
        <v>225</v>
      </c>
      <c r="W110" s="1" t="s">
        <v>48</v>
      </c>
      <c r="X110" s="1" t="s">
        <v>74</v>
      </c>
      <c r="Y110" s="1" t="s">
        <v>452</v>
      </c>
      <c r="Z110" s="1" t="str">
        <f>TRIM(_xlfn.CONCAT(sales_data_sample[[#This Row],[CONTACTFIRSTNAME]],", ",sales_data_sample[[#This Row],[CONTACTLASTNAME]]))</f>
        <v>Ann, Brown</v>
      </c>
      <c r="AA110" s="1" t="s">
        <v>59</v>
      </c>
    </row>
    <row r="111" spans="1:27" x14ac:dyDescent="0.25">
      <c r="A111" s="10">
        <v>10143</v>
      </c>
      <c r="B111" s="9">
        <v>49</v>
      </c>
      <c r="C111" s="9">
        <v>100</v>
      </c>
      <c r="D111" s="9">
        <f>PRODUCT(sales_data_sample[[#This Row],[QUANTITYORDERED]],sales_data_sample[[#This Row],[PRICEEACH]])</f>
        <v>4900</v>
      </c>
      <c r="E111" s="9">
        <f>IF(OR(sales_data_sample[[#This Row],[STATUS]]="Shipped",sales_data_sample[[#This Row],[STATUS]]="Resolved"),sales_data_sample[[#This Row],[SALES]],0)</f>
        <v>4900</v>
      </c>
      <c r="F111" s="10">
        <v>15</v>
      </c>
      <c r="G111" s="12" t="s">
        <v>453</v>
      </c>
      <c r="H111" s="1" t="s">
        <v>26</v>
      </c>
      <c r="I111">
        <v>3</v>
      </c>
      <c r="J111">
        <v>8</v>
      </c>
      <c r="K111">
        <v>2003</v>
      </c>
      <c r="L111" s="1" t="s">
        <v>239</v>
      </c>
      <c r="M111">
        <v>136</v>
      </c>
      <c r="N111" s="1" t="s">
        <v>436</v>
      </c>
      <c r="O111" s="1" t="s">
        <v>454</v>
      </c>
      <c r="P111" s="1" t="s">
        <v>455</v>
      </c>
      <c r="Q111" s="1" t="s">
        <v>456</v>
      </c>
      <c r="R111" s="1" t="s">
        <v>32</v>
      </c>
      <c r="S111" s="1" t="s">
        <v>215</v>
      </c>
      <c r="T111" s="1" t="s">
        <v>160</v>
      </c>
      <c r="U111" s="1" t="s">
        <v>216</v>
      </c>
      <c r="V111" s="1" t="s">
        <v>36</v>
      </c>
      <c r="W111" s="1" t="s">
        <v>37</v>
      </c>
      <c r="X111" s="1" t="s">
        <v>457</v>
      </c>
      <c r="Y111" s="1" t="s">
        <v>458</v>
      </c>
      <c r="Z111" s="1" t="str">
        <f>TRIM(_xlfn.CONCAT(sales_data_sample[[#This Row],[CONTACTFIRSTNAME]],", ",sales_data_sample[[#This Row],[CONTACTLASTNAME]]))</f>
        <v>Wing C, Tam</v>
      </c>
      <c r="AA111" s="1" t="s">
        <v>59</v>
      </c>
    </row>
    <row r="112" spans="1:27" x14ac:dyDescent="0.25">
      <c r="A112" s="10">
        <v>10155</v>
      </c>
      <c r="B112" s="9">
        <v>32</v>
      </c>
      <c r="C112" s="9">
        <v>100</v>
      </c>
      <c r="D112" s="9">
        <f>PRODUCT(sales_data_sample[[#This Row],[QUANTITYORDERED]],sales_data_sample[[#This Row],[PRICEEACH]])</f>
        <v>3200</v>
      </c>
      <c r="E112" s="9">
        <f>IF(OR(sales_data_sample[[#This Row],[STATUS]]="Shipped",sales_data_sample[[#This Row],[STATUS]]="Resolved"),sales_data_sample[[#This Row],[SALES]],0)</f>
        <v>3200</v>
      </c>
      <c r="F112" s="10">
        <v>13</v>
      </c>
      <c r="G112" s="12" t="s">
        <v>459</v>
      </c>
      <c r="H112" s="1" t="s">
        <v>26</v>
      </c>
      <c r="I112">
        <v>4</v>
      </c>
      <c r="J112">
        <v>10</v>
      </c>
      <c r="K112">
        <v>2003</v>
      </c>
      <c r="L112" s="1" t="s">
        <v>239</v>
      </c>
      <c r="M112">
        <v>136</v>
      </c>
      <c r="N112" s="1" t="s">
        <v>436</v>
      </c>
      <c r="O112" s="1" t="s">
        <v>165</v>
      </c>
      <c r="P112" s="1" t="s">
        <v>166</v>
      </c>
      <c r="Q112" s="1" t="s">
        <v>167</v>
      </c>
      <c r="R112" s="1" t="s">
        <v>32</v>
      </c>
      <c r="S112" s="1" t="s">
        <v>168</v>
      </c>
      <c r="T112" s="1" t="s">
        <v>32</v>
      </c>
      <c r="U112" s="1" t="s">
        <v>169</v>
      </c>
      <c r="V112" s="1" t="s">
        <v>170</v>
      </c>
      <c r="W112" s="1" t="s">
        <v>48</v>
      </c>
      <c r="X112" s="1" t="s">
        <v>171</v>
      </c>
      <c r="Y112" s="1" t="s">
        <v>172</v>
      </c>
      <c r="Z112" s="1" t="str">
        <f>TRIM(_xlfn.CONCAT(sales_data_sample[[#This Row],[CONTACTFIRSTNAME]],", ",sales_data_sample[[#This Row],[CONTACTLASTNAME]]))</f>
        <v>Matti, Karttunen</v>
      </c>
      <c r="AA112" s="1" t="s">
        <v>59</v>
      </c>
    </row>
    <row r="113" spans="1:27" x14ac:dyDescent="0.25">
      <c r="A113" s="10">
        <v>10167</v>
      </c>
      <c r="B113" s="9">
        <v>44</v>
      </c>
      <c r="C113" s="9">
        <v>100</v>
      </c>
      <c r="D113" s="9">
        <f>PRODUCT(sales_data_sample[[#This Row],[QUANTITYORDERED]],sales_data_sample[[#This Row],[PRICEEACH]])</f>
        <v>4400</v>
      </c>
      <c r="E113" s="9">
        <f>IF(OR(sales_data_sample[[#This Row],[STATUS]]="Shipped",sales_data_sample[[#This Row],[STATUS]]="Resolved"),sales_data_sample[[#This Row],[SALES]],0)</f>
        <v>0</v>
      </c>
      <c r="F113" s="10">
        <v>9</v>
      </c>
      <c r="G113" s="12" t="s">
        <v>460</v>
      </c>
      <c r="H113" s="1" t="s">
        <v>461</v>
      </c>
      <c r="I113">
        <v>4</v>
      </c>
      <c r="J113">
        <v>10</v>
      </c>
      <c r="K113">
        <v>2003</v>
      </c>
      <c r="L113" s="1" t="s">
        <v>239</v>
      </c>
      <c r="M113">
        <v>136</v>
      </c>
      <c r="N113" s="1" t="s">
        <v>436</v>
      </c>
      <c r="O113" s="1" t="s">
        <v>347</v>
      </c>
      <c r="P113" s="1" t="s">
        <v>348</v>
      </c>
      <c r="Q113" s="1" t="s">
        <v>349</v>
      </c>
      <c r="R113" s="1" t="s">
        <v>32</v>
      </c>
      <c r="S113" s="1" t="s">
        <v>350</v>
      </c>
      <c r="T113" s="1" t="s">
        <v>32</v>
      </c>
      <c r="U113" s="1" t="s">
        <v>351</v>
      </c>
      <c r="V113" s="1" t="s">
        <v>247</v>
      </c>
      <c r="W113" s="1" t="s">
        <v>48</v>
      </c>
      <c r="X113" s="1" t="s">
        <v>352</v>
      </c>
      <c r="Y113" s="1" t="s">
        <v>272</v>
      </c>
      <c r="Z113" s="1" t="str">
        <f>TRIM(_xlfn.CONCAT(sales_data_sample[[#This Row],[CONTACTFIRSTNAME]],", ",sales_data_sample[[#This Row],[CONTACTLASTNAME]]))</f>
        <v>Maria, Larsson</v>
      </c>
      <c r="AA113" s="1" t="s">
        <v>59</v>
      </c>
    </row>
    <row r="114" spans="1:27" x14ac:dyDescent="0.25">
      <c r="A114" s="10">
        <v>10178</v>
      </c>
      <c r="B114" s="9">
        <v>24</v>
      </c>
      <c r="C114" s="9">
        <v>100</v>
      </c>
      <c r="D114" s="9">
        <f>PRODUCT(sales_data_sample[[#This Row],[QUANTITYORDERED]],sales_data_sample[[#This Row],[PRICEEACH]])</f>
        <v>2400</v>
      </c>
      <c r="E114" s="9">
        <f>IF(OR(sales_data_sample[[#This Row],[STATUS]]="Shipped",sales_data_sample[[#This Row],[STATUS]]="Resolved"),sales_data_sample[[#This Row],[SALES]],0)</f>
        <v>2400</v>
      </c>
      <c r="F114" s="10">
        <v>12</v>
      </c>
      <c r="G114" s="12" t="s">
        <v>462</v>
      </c>
      <c r="H114" s="1" t="s">
        <v>26</v>
      </c>
      <c r="I114">
        <v>4</v>
      </c>
      <c r="J114">
        <v>11</v>
      </c>
      <c r="K114">
        <v>2003</v>
      </c>
      <c r="L114" s="1" t="s">
        <v>239</v>
      </c>
      <c r="M114">
        <v>136</v>
      </c>
      <c r="N114" s="1" t="s">
        <v>436</v>
      </c>
      <c r="O114" s="1" t="s">
        <v>463</v>
      </c>
      <c r="P114" s="1" t="s">
        <v>464</v>
      </c>
      <c r="Q114" s="1" t="s">
        <v>465</v>
      </c>
      <c r="R114" s="1" t="s">
        <v>32</v>
      </c>
      <c r="S114" s="1" t="s">
        <v>466</v>
      </c>
      <c r="T114" s="1" t="s">
        <v>32</v>
      </c>
      <c r="U114" s="1" t="s">
        <v>467</v>
      </c>
      <c r="V114" s="1" t="s">
        <v>47</v>
      </c>
      <c r="W114" s="1" t="s">
        <v>48</v>
      </c>
      <c r="X114" s="1" t="s">
        <v>468</v>
      </c>
      <c r="Y114" s="1" t="s">
        <v>469</v>
      </c>
      <c r="Z114" s="1" t="str">
        <f>TRIM(_xlfn.CONCAT(sales_data_sample[[#This Row],[CONTACTFIRSTNAME]],", ",sales_data_sample[[#This Row],[CONTACTLASTNAME]]))</f>
        <v>Annette, Roulet</v>
      </c>
      <c r="AA114" s="1" t="s">
        <v>59</v>
      </c>
    </row>
    <row r="115" spans="1:27" x14ac:dyDescent="0.25">
      <c r="A115" s="10">
        <v>10186</v>
      </c>
      <c r="B115" s="9">
        <v>26</v>
      </c>
      <c r="C115" s="9">
        <v>100</v>
      </c>
      <c r="D115" s="9">
        <f>PRODUCT(sales_data_sample[[#This Row],[QUANTITYORDERED]],sales_data_sample[[#This Row],[PRICEEACH]])</f>
        <v>2600</v>
      </c>
      <c r="E115" s="9">
        <f>IF(OR(sales_data_sample[[#This Row],[STATUS]]="Shipped",sales_data_sample[[#This Row],[STATUS]]="Resolved"),sales_data_sample[[#This Row],[SALES]],0)</f>
        <v>2600</v>
      </c>
      <c r="F115" s="10">
        <v>9</v>
      </c>
      <c r="G115" s="12" t="s">
        <v>470</v>
      </c>
      <c r="H115" s="1" t="s">
        <v>26</v>
      </c>
      <c r="I115">
        <v>4</v>
      </c>
      <c r="J115">
        <v>11</v>
      </c>
      <c r="K115">
        <v>2003</v>
      </c>
      <c r="L115" s="1" t="s">
        <v>239</v>
      </c>
      <c r="M115">
        <v>136</v>
      </c>
      <c r="N115" s="1" t="s">
        <v>436</v>
      </c>
      <c r="O115" s="1" t="s">
        <v>471</v>
      </c>
      <c r="P115" s="1" t="s">
        <v>472</v>
      </c>
      <c r="Q115" s="1" t="s">
        <v>473</v>
      </c>
      <c r="R115" s="1" t="s">
        <v>32</v>
      </c>
      <c r="S115" s="1" t="s">
        <v>450</v>
      </c>
      <c r="T115" s="1" t="s">
        <v>32</v>
      </c>
      <c r="U115" s="1" t="s">
        <v>474</v>
      </c>
      <c r="V115" s="1" t="s">
        <v>225</v>
      </c>
      <c r="W115" s="1" t="s">
        <v>48</v>
      </c>
      <c r="X115" s="1" t="s">
        <v>475</v>
      </c>
      <c r="Y115" s="1" t="s">
        <v>476</v>
      </c>
      <c r="Z115" s="1" t="str">
        <f>TRIM(_xlfn.CONCAT(sales_data_sample[[#This Row],[CONTACTFIRSTNAME]],", ",sales_data_sample[[#This Row],[CONTACTLASTNAME]]))</f>
        <v>Thomas, Hardy</v>
      </c>
      <c r="AA115" s="1" t="s">
        <v>59</v>
      </c>
    </row>
    <row r="116" spans="1:27" x14ac:dyDescent="0.25">
      <c r="A116" s="10">
        <v>10197</v>
      </c>
      <c r="B116" s="9">
        <v>45</v>
      </c>
      <c r="C116" s="9">
        <v>100</v>
      </c>
      <c r="D116" s="9">
        <f>PRODUCT(sales_data_sample[[#This Row],[QUANTITYORDERED]],sales_data_sample[[#This Row],[PRICEEACH]])</f>
        <v>4500</v>
      </c>
      <c r="E116" s="9">
        <f>IF(OR(sales_data_sample[[#This Row],[STATUS]]="Shipped",sales_data_sample[[#This Row],[STATUS]]="Resolved"),sales_data_sample[[#This Row],[SALES]],0)</f>
        <v>4500</v>
      </c>
      <c r="F116" s="10">
        <v>6</v>
      </c>
      <c r="G116" s="12" t="s">
        <v>477</v>
      </c>
      <c r="H116" s="1" t="s">
        <v>26</v>
      </c>
      <c r="I116">
        <v>4</v>
      </c>
      <c r="J116">
        <v>11</v>
      </c>
      <c r="K116">
        <v>2003</v>
      </c>
      <c r="L116" s="1" t="s">
        <v>239</v>
      </c>
      <c r="M116">
        <v>136</v>
      </c>
      <c r="N116" s="1" t="s">
        <v>436</v>
      </c>
      <c r="O116" s="1" t="s">
        <v>478</v>
      </c>
      <c r="P116" s="1" t="s">
        <v>479</v>
      </c>
      <c r="Q116" s="1" t="s">
        <v>480</v>
      </c>
      <c r="R116" s="1" t="s">
        <v>32</v>
      </c>
      <c r="S116" s="1" t="s">
        <v>481</v>
      </c>
      <c r="T116" s="1" t="s">
        <v>32</v>
      </c>
      <c r="U116" s="1" t="s">
        <v>482</v>
      </c>
      <c r="V116" s="1" t="s">
        <v>235</v>
      </c>
      <c r="W116" s="1" t="s">
        <v>48</v>
      </c>
      <c r="X116" s="1" t="s">
        <v>483</v>
      </c>
      <c r="Y116" s="1" t="s">
        <v>484</v>
      </c>
      <c r="Z116" s="1" t="str">
        <f>TRIM(_xlfn.CONCAT(sales_data_sample[[#This Row],[CONTACTFIRSTNAME]],", ",sales_data_sample[[#This Row],[CONTACTLASTNAME]]))</f>
        <v>Eduardo, Saavedra</v>
      </c>
      <c r="AA116" s="1" t="s">
        <v>59</v>
      </c>
    </row>
    <row r="117" spans="1:27" x14ac:dyDescent="0.25">
      <c r="A117" s="10">
        <v>10209</v>
      </c>
      <c r="B117" s="9">
        <v>39</v>
      </c>
      <c r="C117" s="9">
        <v>100</v>
      </c>
      <c r="D117" s="9">
        <f>PRODUCT(sales_data_sample[[#This Row],[QUANTITYORDERED]],sales_data_sample[[#This Row],[PRICEEACH]])</f>
        <v>3900</v>
      </c>
      <c r="E117" s="9">
        <f>IF(OR(sales_data_sample[[#This Row],[STATUS]]="Shipped",sales_data_sample[[#This Row],[STATUS]]="Resolved"),sales_data_sample[[#This Row],[SALES]],0)</f>
        <v>3900</v>
      </c>
      <c r="F117" s="10">
        <v>8</v>
      </c>
      <c r="G117" s="12" t="s">
        <v>485</v>
      </c>
      <c r="H117" s="1" t="s">
        <v>26</v>
      </c>
      <c r="I117">
        <v>1</v>
      </c>
      <c r="J117">
        <v>1</v>
      </c>
      <c r="K117">
        <v>2004</v>
      </c>
      <c r="L117" s="1" t="s">
        <v>239</v>
      </c>
      <c r="M117">
        <v>136</v>
      </c>
      <c r="N117" s="1" t="s">
        <v>436</v>
      </c>
      <c r="O117" s="1" t="s">
        <v>486</v>
      </c>
      <c r="P117" s="1" t="s">
        <v>487</v>
      </c>
      <c r="Q117" s="1" t="s">
        <v>488</v>
      </c>
      <c r="R117" s="1" t="s">
        <v>32</v>
      </c>
      <c r="S117" s="1" t="s">
        <v>489</v>
      </c>
      <c r="T117" s="1" t="s">
        <v>65</v>
      </c>
      <c r="U117" s="1" t="s">
        <v>32</v>
      </c>
      <c r="V117" s="1" t="s">
        <v>36</v>
      </c>
      <c r="W117" s="1" t="s">
        <v>37</v>
      </c>
      <c r="X117" s="1" t="s">
        <v>490</v>
      </c>
      <c r="Y117" s="1" t="s">
        <v>130</v>
      </c>
      <c r="Z117" s="1" t="str">
        <f>TRIM(_xlfn.CONCAT(sales_data_sample[[#This Row],[CONTACTFIRSTNAME]],", ",sales_data_sample[[#This Row],[CONTACTLASTNAME]]))</f>
        <v>Michael, Chandler</v>
      </c>
      <c r="AA117" s="1" t="s">
        <v>59</v>
      </c>
    </row>
    <row r="118" spans="1:27" x14ac:dyDescent="0.25">
      <c r="A118" s="10">
        <v>10222</v>
      </c>
      <c r="B118" s="9">
        <v>49</v>
      </c>
      <c r="C118" s="9">
        <v>100</v>
      </c>
      <c r="D118" s="9">
        <f>PRODUCT(sales_data_sample[[#This Row],[QUANTITYORDERED]],sales_data_sample[[#This Row],[PRICEEACH]])</f>
        <v>4900</v>
      </c>
      <c r="E118" s="9">
        <f>IF(OR(sales_data_sample[[#This Row],[STATUS]]="Shipped",sales_data_sample[[#This Row],[STATUS]]="Resolved"),sales_data_sample[[#This Row],[SALES]],0)</f>
        <v>4900</v>
      </c>
      <c r="F118" s="10">
        <v>12</v>
      </c>
      <c r="G118" s="12" t="s">
        <v>491</v>
      </c>
      <c r="H118" s="1" t="s">
        <v>26</v>
      </c>
      <c r="I118">
        <v>1</v>
      </c>
      <c r="J118">
        <v>2</v>
      </c>
      <c r="K118">
        <v>2004</v>
      </c>
      <c r="L118" s="1" t="s">
        <v>239</v>
      </c>
      <c r="M118">
        <v>136</v>
      </c>
      <c r="N118" s="1" t="s">
        <v>436</v>
      </c>
      <c r="O118" s="1" t="s">
        <v>492</v>
      </c>
      <c r="P118" s="1" t="s">
        <v>493</v>
      </c>
      <c r="Q118" s="1" t="s">
        <v>494</v>
      </c>
      <c r="R118" s="1" t="s">
        <v>32</v>
      </c>
      <c r="S118" s="1" t="s">
        <v>495</v>
      </c>
      <c r="T118" s="1" t="s">
        <v>65</v>
      </c>
      <c r="U118" s="1" t="s">
        <v>496</v>
      </c>
      <c r="V118" s="1" t="s">
        <v>36</v>
      </c>
      <c r="W118" s="1" t="s">
        <v>37</v>
      </c>
      <c r="X118" s="1" t="s">
        <v>313</v>
      </c>
      <c r="Y118" s="1" t="s">
        <v>366</v>
      </c>
      <c r="Z118" s="1" t="str">
        <f>TRIM(_xlfn.CONCAT(sales_data_sample[[#This Row],[CONTACTFIRSTNAME]],", ",sales_data_sample[[#This Row],[CONTACTLASTNAME]]))</f>
        <v>Valarie, Thompson</v>
      </c>
      <c r="AA118" s="1" t="s">
        <v>59</v>
      </c>
    </row>
    <row r="119" spans="1:27" x14ac:dyDescent="0.25">
      <c r="A119" s="10">
        <v>10248</v>
      </c>
      <c r="B119" s="9">
        <v>20</v>
      </c>
      <c r="C119" s="9">
        <v>100</v>
      </c>
      <c r="D119" s="9">
        <f>PRODUCT(sales_data_sample[[#This Row],[QUANTITYORDERED]],sales_data_sample[[#This Row],[PRICEEACH]])</f>
        <v>2000</v>
      </c>
      <c r="E119" s="9">
        <f>IF(OR(sales_data_sample[[#This Row],[STATUS]]="Shipped",sales_data_sample[[#This Row],[STATUS]]="Resolved"),sales_data_sample[[#This Row],[SALES]],0)</f>
        <v>0</v>
      </c>
      <c r="F119" s="10">
        <v>3</v>
      </c>
      <c r="G119" s="12" t="s">
        <v>497</v>
      </c>
      <c r="H119" s="1" t="s">
        <v>461</v>
      </c>
      <c r="I119">
        <v>2</v>
      </c>
      <c r="J119">
        <v>5</v>
      </c>
      <c r="K119">
        <v>2004</v>
      </c>
      <c r="L119" s="1" t="s">
        <v>239</v>
      </c>
      <c r="M119">
        <v>136</v>
      </c>
      <c r="N119" s="1" t="s">
        <v>436</v>
      </c>
      <c r="O119" s="1" t="s">
        <v>29</v>
      </c>
      <c r="P119" s="1" t="s">
        <v>30</v>
      </c>
      <c r="Q119" s="1" t="s">
        <v>31</v>
      </c>
      <c r="R119" s="1" t="s">
        <v>32</v>
      </c>
      <c r="S119" s="1" t="s">
        <v>33</v>
      </c>
      <c r="T119" s="1" t="s">
        <v>34</v>
      </c>
      <c r="U119" s="1" t="s">
        <v>35</v>
      </c>
      <c r="V119" s="1" t="s">
        <v>36</v>
      </c>
      <c r="W119" s="1" t="s">
        <v>37</v>
      </c>
      <c r="X119" s="1" t="s">
        <v>38</v>
      </c>
      <c r="Y119" s="1" t="s">
        <v>39</v>
      </c>
      <c r="Z119" s="1" t="str">
        <f>TRIM(_xlfn.CONCAT(sales_data_sample[[#This Row],[CONTACTFIRSTNAME]],", ",sales_data_sample[[#This Row],[CONTACTLASTNAME]]))</f>
        <v>Kwai, Yu</v>
      </c>
      <c r="AA119" s="1" t="s">
        <v>40</v>
      </c>
    </row>
    <row r="120" spans="1:27" x14ac:dyDescent="0.25">
      <c r="A120" s="10">
        <v>10261</v>
      </c>
      <c r="B120" s="9">
        <v>27</v>
      </c>
      <c r="C120" s="9">
        <v>100</v>
      </c>
      <c r="D120" s="9">
        <f>PRODUCT(sales_data_sample[[#This Row],[QUANTITYORDERED]],sales_data_sample[[#This Row],[PRICEEACH]])</f>
        <v>2700</v>
      </c>
      <c r="E120" s="9">
        <f>IF(OR(sales_data_sample[[#This Row],[STATUS]]="Shipped",sales_data_sample[[#This Row],[STATUS]]="Resolved"),sales_data_sample[[#This Row],[SALES]],0)</f>
        <v>2700</v>
      </c>
      <c r="F120" s="10">
        <v>1</v>
      </c>
      <c r="G120" s="12" t="s">
        <v>498</v>
      </c>
      <c r="H120" s="1" t="s">
        <v>26</v>
      </c>
      <c r="I120">
        <v>2</v>
      </c>
      <c r="J120">
        <v>6</v>
      </c>
      <c r="K120">
        <v>2004</v>
      </c>
      <c r="L120" s="1" t="s">
        <v>239</v>
      </c>
      <c r="M120">
        <v>136</v>
      </c>
      <c r="N120" s="1" t="s">
        <v>436</v>
      </c>
      <c r="O120" s="1" t="s">
        <v>394</v>
      </c>
      <c r="P120" s="1" t="s">
        <v>395</v>
      </c>
      <c r="Q120" s="1" t="s">
        <v>396</v>
      </c>
      <c r="R120" s="1" t="s">
        <v>32</v>
      </c>
      <c r="S120" s="1" t="s">
        <v>397</v>
      </c>
      <c r="T120" s="1" t="s">
        <v>398</v>
      </c>
      <c r="U120" s="1" t="s">
        <v>399</v>
      </c>
      <c r="V120" s="1" t="s">
        <v>305</v>
      </c>
      <c r="W120" s="1" t="s">
        <v>37</v>
      </c>
      <c r="X120" s="1" t="s">
        <v>400</v>
      </c>
      <c r="Y120" s="1" t="s">
        <v>401</v>
      </c>
      <c r="Z120" s="1" t="str">
        <f>TRIM(_xlfn.CONCAT(sales_data_sample[[#This Row],[CONTACTFIRSTNAME]],", ",sales_data_sample[[#This Row],[CONTACTLASTNAME]]))</f>
        <v>Jean, Fresnisre</v>
      </c>
      <c r="AA120" s="1" t="s">
        <v>59</v>
      </c>
    </row>
    <row r="121" spans="1:27" x14ac:dyDescent="0.25">
      <c r="A121" s="10">
        <v>10273</v>
      </c>
      <c r="B121" s="9">
        <v>30</v>
      </c>
      <c r="C121" s="9">
        <v>100</v>
      </c>
      <c r="D121" s="9">
        <f>PRODUCT(sales_data_sample[[#This Row],[QUANTITYORDERED]],sales_data_sample[[#This Row],[PRICEEACH]])</f>
        <v>3000</v>
      </c>
      <c r="E121" s="9">
        <f>IF(OR(sales_data_sample[[#This Row],[STATUS]]="Shipped",sales_data_sample[[#This Row],[STATUS]]="Resolved"),sales_data_sample[[#This Row],[SALES]],0)</f>
        <v>3000</v>
      </c>
      <c r="F121" s="10">
        <v>4</v>
      </c>
      <c r="G121" s="12" t="s">
        <v>499</v>
      </c>
      <c r="H121" s="1" t="s">
        <v>26</v>
      </c>
      <c r="I121">
        <v>3</v>
      </c>
      <c r="J121">
        <v>7</v>
      </c>
      <c r="K121">
        <v>2004</v>
      </c>
      <c r="L121" s="1" t="s">
        <v>239</v>
      </c>
      <c r="M121">
        <v>136</v>
      </c>
      <c r="N121" s="1" t="s">
        <v>436</v>
      </c>
      <c r="O121" s="1" t="s">
        <v>500</v>
      </c>
      <c r="P121" s="1" t="s">
        <v>501</v>
      </c>
      <c r="Q121" s="1" t="s">
        <v>502</v>
      </c>
      <c r="R121" s="1" t="s">
        <v>32</v>
      </c>
      <c r="S121" s="1" t="s">
        <v>503</v>
      </c>
      <c r="T121" s="1" t="s">
        <v>32</v>
      </c>
      <c r="U121" s="1" t="s">
        <v>504</v>
      </c>
      <c r="V121" s="1" t="s">
        <v>505</v>
      </c>
      <c r="W121" s="1" t="s">
        <v>48</v>
      </c>
      <c r="X121" s="1" t="s">
        <v>506</v>
      </c>
      <c r="Y121" s="1" t="s">
        <v>507</v>
      </c>
      <c r="Z121" s="1" t="str">
        <f>TRIM(_xlfn.CONCAT(sales_data_sample[[#This Row],[CONTACTFIRSTNAME]],", ",sales_data_sample[[#This Row],[CONTACTLASTNAME]]))</f>
        <v>Catherine, Dewey</v>
      </c>
      <c r="AA121" s="1" t="s">
        <v>59</v>
      </c>
    </row>
    <row r="122" spans="1:27" x14ac:dyDescent="0.25">
      <c r="A122" s="10">
        <v>10283</v>
      </c>
      <c r="B122" s="9">
        <v>25</v>
      </c>
      <c r="C122" s="9">
        <v>100</v>
      </c>
      <c r="D122" s="9">
        <f>PRODUCT(sales_data_sample[[#This Row],[QUANTITYORDERED]],sales_data_sample[[#This Row],[PRICEEACH]])</f>
        <v>2500</v>
      </c>
      <c r="E122" s="9">
        <f>IF(OR(sales_data_sample[[#This Row],[STATUS]]="Shipped",sales_data_sample[[#This Row],[STATUS]]="Resolved"),sales_data_sample[[#This Row],[SALES]],0)</f>
        <v>2500</v>
      </c>
      <c r="F122" s="10">
        <v>6</v>
      </c>
      <c r="G122" s="12" t="s">
        <v>508</v>
      </c>
      <c r="H122" s="1" t="s">
        <v>26</v>
      </c>
      <c r="I122">
        <v>3</v>
      </c>
      <c r="J122">
        <v>8</v>
      </c>
      <c r="K122">
        <v>2004</v>
      </c>
      <c r="L122" s="1" t="s">
        <v>239</v>
      </c>
      <c r="M122">
        <v>136</v>
      </c>
      <c r="N122" s="1" t="s">
        <v>436</v>
      </c>
      <c r="O122" s="1" t="s">
        <v>509</v>
      </c>
      <c r="P122" s="1" t="s">
        <v>510</v>
      </c>
      <c r="Q122" s="1" t="s">
        <v>511</v>
      </c>
      <c r="R122" s="1" t="s">
        <v>32</v>
      </c>
      <c r="S122" s="1" t="s">
        <v>512</v>
      </c>
      <c r="T122" s="1" t="s">
        <v>303</v>
      </c>
      <c r="U122" s="1" t="s">
        <v>513</v>
      </c>
      <c r="V122" s="1" t="s">
        <v>305</v>
      </c>
      <c r="W122" s="1" t="s">
        <v>37</v>
      </c>
      <c r="X122" s="1" t="s">
        <v>514</v>
      </c>
      <c r="Y122" s="1" t="s">
        <v>227</v>
      </c>
      <c r="Z122" s="1" t="str">
        <f>TRIM(_xlfn.CONCAT(sales_data_sample[[#This Row],[CONTACTFIRSTNAME]],", ",sales_data_sample[[#This Row],[CONTACTLASTNAME]]))</f>
        <v>Elizabeth, Lincoln</v>
      </c>
      <c r="AA122" s="1" t="s">
        <v>40</v>
      </c>
    </row>
    <row r="123" spans="1:27" x14ac:dyDescent="0.25">
      <c r="A123" s="10">
        <v>10295</v>
      </c>
      <c r="B123" s="9">
        <v>24</v>
      </c>
      <c r="C123" s="9">
        <v>100</v>
      </c>
      <c r="D123" s="9">
        <f>PRODUCT(sales_data_sample[[#This Row],[QUANTITYORDERED]],sales_data_sample[[#This Row],[PRICEEACH]])</f>
        <v>2400</v>
      </c>
      <c r="E123" s="9">
        <f>IF(OR(sales_data_sample[[#This Row],[STATUS]]="Shipped",sales_data_sample[[#This Row],[STATUS]]="Resolved"),sales_data_sample[[#This Row],[SALES]],0)</f>
        <v>2400</v>
      </c>
      <c r="F123" s="10">
        <v>1</v>
      </c>
      <c r="G123" s="12" t="s">
        <v>515</v>
      </c>
      <c r="H123" s="1" t="s">
        <v>26</v>
      </c>
      <c r="I123">
        <v>3</v>
      </c>
      <c r="J123">
        <v>9</v>
      </c>
      <c r="K123">
        <v>2004</v>
      </c>
      <c r="L123" s="1" t="s">
        <v>239</v>
      </c>
      <c r="M123">
        <v>136</v>
      </c>
      <c r="N123" s="1" t="s">
        <v>436</v>
      </c>
      <c r="O123" s="1" t="s">
        <v>516</v>
      </c>
      <c r="P123" s="1" t="s">
        <v>517</v>
      </c>
      <c r="Q123" s="1" t="s">
        <v>518</v>
      </c>
      <c r="R123" s="1" t="s">
        <v>32</v>
      </c>
      <c r="S123" s="1" t="s">
        <v>519</v>
      </c>
      <c r="T123" s="1" t="s">
        <v>160</v>
      </c>
      <c r="U123" s="1" t="s">
        <v>520</v>
      </c>
      <c r="V123" s="1" t="s">
        <v>36</v>
      </c>
      <c r="W123" s="1" t="s">
        <v>37</v>
      </c>
      <c r="X123" s="1" t="s">
        <v>521</v>
      </c>
      <c r="Y123" s="1" t="s">
        <v>82</v>
      </c>
      <c r="Z123" s="1" t="str">
        <f>TRIM(_xlfn.CONCAT(sales_data_sample[[#This Row],[CONTACTFIRSTNAME]],", ",sales_data_sample[[#This Row],[CONTACTLASTNAME]]))</f>
        <v>Juri, Yoshido</v>
      </c>
      <c r="AA123" s="1" t="s">
        <v>59</v>
      </c>
    </row>
    <row r="124" spans="1:27" x14ac:dyDescent="0.25">
      <c r="A124" s="10">
        <v>10307</v>
      </c>
      <c r="B124" s="9">
        <v>22</v>
      </c>
      <c r="C124" s="9">
        <v>100</v>
      </c>
      <c r="D124" s="9">
        <f>PRODUCT(sales_data_sample[[#This Row],[QUANTITYORDERED]],sales_data_sample[[#This Row],[PRICEEACH]])</f>
        <v>2200</v>
      </c>
      <c r="E124" s="9">
        <f>IF(OR(sales_data_sample[[#This Row],[STATUS]]="Shipped",sales_data_sample[[#This Row],[STATUS]]="Resolved"),sales_data_sample[[#This Row],[SALES]],0)</f>
        <v>2200</v>
      </c>
      <c r="F124" s="10">
        <v>9</v>
      </c>
      <c r="G124" s="12" t="s">
        <v>522</v>
      </c>
      <c r="H124" s="1" t="s">
        <v>26</v>
      </c>
      <c r="I124">
        <v>4</v>
      </c>
      <c r="J124">
        <v>10</v>
      </c>
      <c r="K124">
        <v>2004</v>
      </c>
      <c r="L124" s="1" t="s">
        <v>239</v>
      </c>
      <c r="M124">
        <v>136</v>
      </c>
      <c r="N124" s="1" t="s">
        <v>436</v>
      </c>
      <c r="O124" s="1" t="s">
        <v>283</v>
      </c>
      <c r="P124" s="1" t="s">
        <v>284</v>
      </c>
      <c r="Q124" s="1" t="s">
        <v>285</v>
      </c>
      <c r="R124" s="1" t="s">
        <v>32</v>
      </c>
      <c r="S124" s="1" t="s">
        <v>286</v>
      </c>
      <c r="T124" s="1" t="s">
        <v>186</v>
      </c>
      <c r="U124" s="1" t="s">
        <v>287</v>
      </c>
      <c r="V124" s="1" t="s">
        <v>36</v>
      </c>
      <c r="W124" s="1" t="s">
        <v>37</v>
      </c>
      <c r="X124" s="1" t="s">
        <v>288</v>
      </c>
      <c r="Y124" s="1" t="s">
        <v>289</v>
      </c>
      <c r="Z124" s="1" t="str">
        <f>TRIM(_xlfn.CONCAT(sales_data_sample[[#This Row],[CONTACTFIRSTNAME]],", ",sales_data_sample[[#This Row],[CONTACTLASTNAME]]))</f>
        <v>Francisca, Cervantes</v>
      </c>
      <c r="AA124" s="1" t="s">
        <v>40</v>
      </c>
    </row>
    <row r="125" spans="1:27" x14ac:dyDescent="0.25">
      <c r="A125" s="10">
        <v>10316</v>
      </c>
      <c r="B125" s="9">
        <v>33</v>
      </c>
      <c r="C125" s="9">
        <v>100</v>
      </c>
      <c r="D125" s="9">
        <f>PRODUCT(sales_data_sample[[#This Row],[QUANTITYORDERED]],sales_data_sample[[#This Row],[PRICEEACH]])</f>
        <v>3300</v>
      </c>
      <c r="E125" s="9">
        <f>IF(OR(sales_data_sample[[#This Row],[STATUS]]="Shipped",sales_data_sample[[#This Row],[STATUS]]="Resolved"),sales_data_sample[[#This Row],[SALES]],0)</f>
        <v>3300</v>
      </c>
      <c r="F125" s="10">
        <v>17</v>
      </c>
      <c r="G125" s="12" t="s">
        <v>523</v>
      </c>
      <c r="H125" s="1" t="s">
        <v>26</v>
      </c>
      <c r="I125">
        <v>4</v>
      </c>
      <c r="J125">
        <v>11</v>
      </c>
      <c r="K125">
        <v>2004</v>
      </c>
      <c r="L125" s="1" t="s">
        <v>239</v>
      </c>
      <c r="M125">
        <v>136</v>
      </c>
      <c r="N125" s="1" t="s">
        <v>436</v>
      </c>
      <c r="O125" s="1" t="s">
        <v>524</v>
      </c>
      <c r="P125" s="1" t="s">
        <v>525</v>
      </c>
      <c r="Q125" s="1" t="s">
        <v>526</v>
      </c>
      <c r="R125" s="1" t="s">
        <v>32</v>
      </c>
      <c r="S125" s="1" t="s">
        <v>527</v>
      </c>
      <c r="T125" s="1" t="s">
        <v>528</v>
      </c>
      <c r="U125" s="1" t="s">
        <v>529</v>
      </c>
      <c r="V125" s="1" t="s">
        <v>225</v>
      </c>
      <c r="W125" s="1" t="s">
        <v>48</v>
      </c>
      <c r="X125" s="1" t="s">
        <v>530</v>
      </c>
      <c r="Y125" s="1" t="s">
        <v>531</v>
      </c>
      <c r="Z125" s="1" t="str">
        <f>TRIM(_xlfn.CONCAT(sales_data_sample[[#This Row],[CONTACTFIRSTNAME]],", ",sales_data_sample[[#This Row],[CONTACTLASTNAME]]))</f>
        <v>Helen, Bennett</v>
      </c>
      <c r="AA125" s="1" t="s">
        <v>59</v>
      </c>
    </row>
    <row r="126" spans="1:27" x14ac:dyDescent="0.25">
      <c r="A126" s="10">
        <v>10325</v>
      </c>
      <c r="B126" s="9">
        <v>47</v>
      </c>
      <c r="C126" s="9">
        <v>6493</v>
      </c>
      <c r="D126" s="9">
        <f>PRODUCT(sales_data_sample[[#This Row],[QUANTITYORDERED]],sales_data_sample[[#This Row],[PRICEEACH]])</f>
        <v>305171</v>
      </c>
      <c r="E126" s="9">
        <f>IF(OR(sales_data_sample[[#This Row],[STATUS]]="Shipped",sales_data_sample[[#This Row],[STATUS]]="Resolved"),sales_data_sample[[#This Row],[SALES]],0)</f>
        <v>305171</v>
      </c>
      <c r="F126" s="10">
        <v>6</v>
      </c>
      <c r="G126" s="12" t="s">
        <v>532</v>
      </c>
      <c r="H126" s="1" t="s">
        <v>26</v>
      </c>
      <c r="I126">
        <v>4</v>
      </c>
      <c r="J126">
        <v>11</v>
      </c>
      <c r="K126">
        <v>2004</v>
      </c>
      <c r="L126" s="1" t="s">
        <v>239</v>
      </c>
      <c r="M126">
        <v>136</v>
      </c>
      <c r="N126" s="1" t="s">
        <v>436</v>
      </c>
      <c r="O126" s="1" t="s">
        <v>174</v>
      </c>
      <c r="P126" s="1" t="s">
        <v>175</v>
      </c>
      <c r="Q126" s="1" t="s">
        <v>176</v>
      </c>
      <c r="R126" s="1" t="s">
        <v>32</v>
      </c>
      <c r="S126" s="1" t="s">
        <v>177</v>
      </c>
      <c r="T126" s="1" t="s">
        <v>32</v>
      </c>
      <c r="U126" s="1" t="s">
        <v>178</v>
      </c>
      <c r="V126" s="1" t="s">
        <v>97</v>
      </c>
      <c r="W126" s="1" t="s">
        <v>48</v>
      </c>
      <c r="X126" s="1" t="s">
        <v>179</v>
      </c>
      <c r="Y126" s="1" t="s">
        <v>180</v>
      </c>
      <c r="Z126" s="1" t="str">
        <f>TRIM(_xlfn.CONCAT(sales_data_sample[[#This Row],[CONTACTFIRSTNAME]],", ",sales_data_sample[[#This Row],[CONTACTLASTNAME]]))</f>
        <v>Jonas, Bergulfsen</v>
      </c>
      <c r="AA126" s="1" t="s">
        <v>59</v>
      </c>
    </row>
    <row r="127" spans="1:27" x14ac:dyDescent="0.25">
      <c r="A127">
        <v>10337</v>
      </c>
      <c r="B127">
        <v>25</v>
      </c>
      <c r="C127">
        <v>4805</v>
      </c>
      <c r="D127">
        <f>PRODUCT(sales_data_sample[[#This Row],[QUANTITYORDERED]],sales_data_sample[[#This Row],[PRICEEACH]])</f>
        <v>120125</v>
      </c>
      <c r="E127" s="9">
        <f>IF(OR(sales_data_sample[[#This Row],[STATUS]]="Shipped",sales_data_sample[[#This Row],[STATUS]]="Resolved"),sales_data_sample[[#This Row],[SALES]],0)</f>
        <v>120125</v>
      </c>
      <c r="F127">
        <v>8</v>
      </c>
      <c r="G127" s="12" t="s">
        <v>533</v>
      </c>
      <c r="H127" s="1" t="s">
        <v>26</v>
      </c>
      <c r="I127">
        <v>4</v>
      </c>
      <c r="J127">
        <v>11</v>
      </c>
      <c r="K127">
        <v>2004</v>
      </c>
      <c r="L127" s="1" t="s">
        <v>239</v>
      </c>
      <c r="M127">
        <v>136</v>
      </c>
      <c r="N127" s="1" t="s">
        <v>436</v>
      </c>
      <c r="O127" s="1" t="s">
        <v>268</v>
      </c>
      <c r="P127" s="1" t="s">
        <v>269</v>
      </c>
      <c r="Q127" s="1" t="s">
        <v>270</v>
      </c>
      <c r="R127" s="1" t="s">
        <v>271</v>
      </c>
      <c r="S127" s="1" t="s">
        <v>33</v>
      </c>
      <c r="T127" s="1" t="s">
        <v>34</v>
      </c>
      <c r="U127" s="1" t="s">
        <v>35</v>
      </c>
      <c r="V127" s="1" t="s">
        <v>36</v>
      </c>
      <c r="W127" s="1" t="s">
        <v>37</v>
      </c>
      <c r="X127" s="1" t="s">
        <v>162</v>
      </c>
      <c r="Y127" s="1" t="s">
        <v>272</v>
      </c>
      <c r="Z127" s="1" t="str">
        <f>TRIM(_xlfn.CONCAT(sales_data_sample[[#This Row],[CONTACTFIRSTNAME]],", ",sales_data_sample[[#This Row],[CONTACTLASTNAME]]))</f>
        <v>Maria, Hernandez</v>
      </c>
      <c r="AA127" s="1" t="s">
        <v>40</v>
      </c>
    </row>
    <row r="128" spans="1:27" x14ac:dyDescent="0.25">
      <c r="A128" s="10">
        <v>10350</v>
      </c>
      <c r="B128" s="9">
        <v>26</v>
      </c>
      <c r="C128" s="9">
        <v>7547</v>
      </c>
      <c r="D128" s="9">
        <f>PRODUCT(sales_data_sample[[#This Row],[QUANTITYORDERED]],sales_data_sample[[#This Row],[PRICEEACH]])</f>
        <v>196222</v>
      </c>
      <c r="E128" s="9">
        <f>IF(OR(sales_data_sample[[#This Row],[STATUS]]="Shipped",sales_data_sample[[#This Row],[STATUS]]="Resolved"),sales_data_sample[[#This Row],[SALES]],0)</f>
        <v>196222</v>
      </c>
      <c r="F128" s="10">
        <v>5</v>
      </c>
      <c r="G128" s="12" t="s">
        <v>534</v>
      </c>
      <c r="H128" s="1" t="s">
        <v>26</v>
      </c>
      <c r="I128">
        <v>4</v>
      </c>
      <c r="J128">
        <v>12</v>
      </c>
      <c r="K128">
        <v>2004</v>
      </c>
      <c r="L128" s="1" t="s">
        <v>239</v>
      </c>
      <c r="M128">
        <v>136</v>
      </c>
      <c r="N128" s="1" t="s">
        <v>436</v>
      </c>
      <c r="O128" s="1" t="s">
        <v>230</v>
      </c>
      <c r="P128" s="1" t="s">
        <v>231</v>
      </c>
      <c r="Q128" s="1" t="s">
        <v>232</v>
      </c>
      <c r="R128" s="1" t="s">
        <v>32</v>
      </c>
      <c r="S128" s="1" t="s">
        <v>233</v>
      </c>
      <c r="T128" s="1" t="s">
        <v>32</v>
      </c>
      <c r="U128" s="1" t="s">
        <v>234</v>
      </c>
      <c r="V128" s="1" t="s">
        <v>235</v>
      </c>
      <c r="W128" s="1" t="s">
        <v>48</v>
      </c>
      <c r="X128" s="1" t="s">
        <v>236</v>
      </c>
      <c r="Y128" s="1" t="s">
        <v>237</v>
      </c>
      <c r="Z128" s="1" t="str">
        <f>TRIM(_xlfn.CONCAT(sales_data_sample[[#This Row],[CONTACTFIRSTNAME]],", ",sales_data_sample[[#This Row],[CONTACTLASTNAME]]))</f>
        <v>Diego, Freyre</v>
      </c>
      <c r="AA128" s="1" t="s">
        <v>40</v>
      </c>
    </row>
    <row r="129" spans="1:27" x14ac:dyDescent="0.25">
      <c r="A129" s="10">
        <v>10359</v>
      </c>
      <c r="B129" s="9">
        <v>48</v>
      </c>
      <c r="C129" s="9">
        <v>5468</v>
      </c>
      <c r="D129" s="9">
        <f>PRODUCT(sales_data_sample[[#This Row],[QUANTITYORDERED]],sales_data_sample[[#This Row],[PRICEEACH]])</f>
        <v>262464</v>
      </c>
      <c r="E129" s="9">
        <f>IF(OR(sales_data_sample[[#This Row],[STATUS]]="Shipped",sales_data_sample[[#This Row],[STATUS]]="Resolved"),sales_data_sample[[#This Row],[SALES]],0)</f>
        <v>262464</v>
      </c>
      <c r="F129" s="10">
        <v>6</v>
      </c>
      <c r="G129" s="12" t="s">
        <v>535</v>
      </c>
      <c r="H129" s="1" t="s">
        <v>26</v>
      </c>
      <c r="I129">
        <v>4</v>
      </c>
      <c r="J129">
        <v>12</v>
      </c>
      <c r="K129">
        <v>2004</v>
      </c>
      <c r="L129" s="1" t="s">
        <v>239</v>
      </c>
      <c r="M129">
        <v>136</v>
      </c>
      <c r="N129" s="1" t="s">
        <v>436</v>
      </c>
      <c r="O129" s="1" t="s">
        <v>42</v>
      </c>
      <c r="P129" s="1" t="s">
        <v>43</v>
      </c>
      <c r="Q129" s="1" t="s">
        <v>44</v>
      </c>
      <c r="R129" s="1" t="s">
        <v>32</v>
      </c>
      <c r="S129" s="1" t="s">
        <v>45</v>
      </c>
      <c r="T129" s="1" t="s">
        <v>32</v>
      </c>
      <c r="U129" s="1" t="s">
        <v>46</v>
      </c>
      <c r="V129" s="1" t="s">
        <v>47</v>
      </c>
      <c r="W129" s="1" t="s">
        <v>48</v>
      </c>
      <c r="X129" s="1" t="s">
        <v>49</v>
      </c>
      <c r="Y129" s="1" t="s">
        <v>50</v>
      </c>
      <c r="Z129" s="1" t="str">
        <f>TRIM(_xlfn.CONCAT(sales_data_sample[[#This Row],[CONTACTFIRSTNAME]],", ",sales_data_sample[[#This Row],[CONTACTLASTNAME]]))</f>
        <v>Paul, Henriot</v>
      </c>
      <c r="AA129" s="1" t="s">
        <v>40</v>
      </c>
    </row>
    <row r="130" spans="1:27" x14ac:dyDescent="0.25">
      <c r="A130" s="10">
        <v>10373</v>
      </c>
      <c r="B130" s="9">
        <v>39</v>
      </c>
      <c r="C130" s="9">
        <v>100</v>
      </c>
      <c r="D130" s="9">
        <f>PRODUCT(sales_data_sample[[#This Row],[QUANTITYORDERED]],sales_data_sample[[#This Row],[PRICEEACH]])</f>
        <v>3900</v>
      </c>
      <c r="E130" s="9">
        <f>IF(OR(sales_data_sample[[#This Row],[STATUS]]="Shipped",sales_data_sample[[#This Row],[STATUS]]="Resolved"),sales_data_sample[[#This Row],[SALES]],0)</f>
        <v>3900</v>
      </c>
      <c r="F130" s="10">
        <v>3</v>
      </c>
      <c r="G130" s="12" t="s">
        <v>536</v>
      </c>
      <c r="H130" s="1" t="s">
        <v>26</v>
      </c>
      <c r="I130">
        <v>1</v>
      </c>
      <c r="J130">
        <v>1</v>
      </c>
      <c r="K130">
        <v>2005</v>
      </c>
      <c r="L130" s="1" t="s">
        <v>239</v>
      </c>
      <c r="M130">
        <v>136</v>
      </c>
      <c r="N130" s="1" t="s">
        <v>436</v>
      </c>
      <c r="O130" s="1" t="s">
        <v>537</v>
      </c>
      <c r="P130" s="1" t="s">
        <v>538</v>
      </c>
      <c r="Q130" s="1" t="s">
        <v>539</v>
      </c>
      <c r="R130" s="1" t="s">
        <v>32</v>
      </c>
      <c r="S130" s="1" t="s">
        <v>540</v>
      </c>
      <c r="T130" s="1" t="s">
        <v>32</v>
      </c>
      <c r="U130" s="1" t="s">
        <v>541</v>
      </c>
      <c r="V130" s="1" t="s">
        <v>170</v>
      </c>
      <c r="W130" s="1" t="s">
        <v>48</v>
      </c>
      <c r="X130" s="1" t="s">
        <v>542</v>
      </c>
      <c r="Y130" s="1" t="s">
        <v>543</v>
      </c>
      <c r="Z130" s="1" t="str">
        <f>TRIM(_xlfn.CONCAT(sales_data_sample[[#This Row],[CONTACTFIRSTNAME]],", ",sales_data_sample[[#This Row],[CONTACTLASTNAME]]))</f>
        <v>Pirkko, Koskitalo</v>
      </c>
      <c r="AA130" s="1" t="s">
        <v>59</v>
      </c>
    </row>
    <row r="131" spans="1:27" x14ac:dyDescent="0.25">
      <c r="A131" s="10">
        <v>10384</v>
      </c>
      <c r="B131" s="9">
        <v>34</v>
      </c>
      <c r="C131" s="9">
        <v>100</v>
      </c>
      <c r="D131" s="9">
        <f>PRODUCT(sales_data_sample[[#This Row],[QUANTITYORDERED]],sales_data_sample[[#This Row],[PRICEEACH]])</f>
        <v>3400</v>
      </c>
      <c r="E131" s="9">
        <f>IF(OR(sales_data_sample[[#This Row],[STATUS]]="Shipped",sales_data_sample[[#This Row],[STATUS]]="Resolved"),sales_data_sample[[#This Row],[SALES]],0)</f>
        <v>3400</v>
      </c>
      <c r="F131" s="10">
        <v>4</v>
      </c>
      <c r="G131" s="12" t="s">
        <v>544</v>
      </c>
      <c r="H131" s="1" t="s">
        <v>26</v>
      </c>
      <c r="I131">
        <v>1</v>
      </c>
      <c r="J131">
        <v>2</v>
      </c>
      <c r="K131">
        <v>2005</v>
      </c>
      <c r="L131" s="1" t="s">
        <v>239</v>
      </c>
      <c r="M131">
        <v>136</v>
      </c>
      <c r="N131" s="1" t="s">
        <v>436</v>
      </c>
      <c r="O131" s="1" t="s">
        <v>70</v>
      </c>
      <c r="P131" s="1" t="s">
        <v>71</v>
      </c>
      <c r="Q131" s="1" t="s">
        <v>72</v>
      </c>
      <c r="R131" s="1" t="s">
        <v>32</v>
      </c>
      <c r="S131" s="1" t="s">
        <v>73</v>
      </c>
      <c r="T131" s="1" t="s">
        <v>65</v>
      </c>
      <c r="U131" s="1" t="s">
        <v>32</v>
      </c>
      <c r="V131" s="1" t="s">
        <v>36</v>
      </c>
      <c r="W131" s="1" t="s">
        <v>37</v>
      </c>
      <c r="X131" s="1" t="s">
        <v>74</v>
      </c>
      <c r="Y131" s="1" t="s">
        <v>68</v>
      </c>
      <c r="Z131" s="1" t="str">
        <f>TRIM(_xlfn.CONCAT(sales_data_sample[[#This Row],[CONTACTFIRSTNAME]],", ",sales_data_sample[[#This Row],[CONTACTLASTNAME]]))</f>
        <v>Julie, Brown</v>
      </c>
      <c r="AA131" s="1" t="s">
        <v>59</v>
      </c>
    </row>
    <row r="132" spans="1:27" x14ac:dyDescent="0.25">
      <c r="A132" s="10">
        <v>10395</v>
      </c>
      <c r="B132" s="9">
        <v>32</v>
      </c>
      <c r="C132" s="9">
        <v>100</v>
      </c>
      <c r="D132" s="9">
        <f>PRODUCT(sales_data_sample[[#This Row],[QUANTITYORDERED]],sales_data_sample[[#This Row],[PRICEEACH]])</f>
        <v>3200</v>
      </c>
      <c r="E132" s="9">
        <f>IF(OR(sales_data_sample[[#This Row],[STATUS]]="Shipped",sales_data_sample[[#This Row],[STATUS]]="Resolved"),sales_data_sample[[#This Row],[SALES]],0)</f>
        <v>3200</v>
      </c>
      <c r="F132" s="10">
        <v>2</v>
      </c>
      <c r="G132" s="12" t="s">
        <v>545</v>
      </c>
      <c r="H132" s="1" t="s">
        <v>26</v>
      </c>
      <c r="I132">
        <v>1</v>
      </c>
      <c r="J132">
        <v>3</v>
      </c>
      <c r="K132">
        <v>2005</v>
      </c>
      <c r="L132" s="1" t="s">
        <v>239</v>
      </c>
      <c r="M132">
        <v>136</v>
      </c>
      <c r="N132" s="1" t="s">
        <v>436</v>
      </c>
      <c r="O132" s="1" t="s">
        <v>52</v>
      </c>
      <c r="P132" s="1" t="s">
        <v>53</v>
      </c>
      <c r="Q132" s="1" t="s">
        <v>54</v>
      </c>
      <c r="R132" s="1" t="s">
        <v>32</v>
      </c>
      <c r="S132" s="1" t="s">
        <v>55</v>
      </c>
      <c r="T132" s="1" t="s">
        <v>32</v>
      </c>
      <c r="U132" s="1" t="s">
        <v>56</v>
      </c>
      <c r="V132" s="1" t="s">
        <v>47</v>
      </c>
      <c r="W132" s="1" t="s">
        <v>48</v>
      </c>
      <c r="X132" s="1" t="s">
        <v>57</v>
      </c>
      <c r="Y132" s="1" t="s">
        <v>58</v>
      </c>
      <c r="Z132" s="1" t="str">
        <f>TRIM(_xlfn.CONCAT(sales_data_sample[[#This Row],[CONTACTFIRSTNAME]],", ",sales_data_sample[[#This Row],[CONTACTLASTNAME]]))</f>
        <v>Daniel, Da Cunha</v>
      </c>
      <c r="AA132" s="1" t="s">
        <v>59</v>
      </c>
    </row>
    <row r="133" spans="1:27" x14ac:dyDescent="0.25">
      <c r="A133" s="10">
        <v>10400</v>
      </c>
      <c r="B133" s="9">
        <v>64</v>
      </c>
      <c r="C133" s="9">
        <v>100</v>
      </c>
      <c r="D133" s="9">
        <f>PRODUCT(sales_data_sample[[#This Row],[QUANTITYORDERED]],sales_data_sample[[#This Row],[PRICEEACH]])</f>
        <v>6400</v>
      </c>
      <c r="E133" s="9">
        <f>IF(OR(sales_data_sample[[#This Row],[STATUS]]="Shipped",sales_data_sample[[#This Row],[STATUS]]="Resolved"),sales_data_sample[[#This Row],[SALES]],0)</f>
        <v>6400</v>
      </c>
      <c r="F133" s="10">
        <v>9</v>
      </c>
      <c r="G133" s="12" t="s">
        <v>546</v>
      </c>
      <c r="H133" s="1" t="s">
        <v>26</v>
      </c>
      <c r="I133">
        <v>2</v>
      </c>
      <c r="J133">
        <v>4</v>
      </c>
      <c r="K133">
        <v>2005</v>
      </c>
      <c r="L133" s="1" t="s">
        <v>239</v>
      </c>
      <c r="M133">
        <v>136</v>
      </c>
      <c r="N133" s="1" t="s">
        <v>436</v>
      </c>
      <c r="O133" s="1" t="s">
        <v>547</v>
      </c>
      <c r="P133" s="1" t="s">
        <v>548</v>
      </c>
      <c r="Q133" s="1" t="s">
        <v>549</v>
      </c>
      <c r="R133" s="1" t="s">
        <v>32</v>
      </c>
      <c r="S133" s="1" t="s">
        <v>550</v>
      </c>
      <c r="T133" s="1" t="s">
        <v>65</v>
      </c>
      <c r="U133" s="1" t="s">
        <v>80</v>
      </c>
      <c r="V133" s="1" t="s">
        <v>36</v>
      </c>
      <c r="W133" s="1" t="s">
        <v>37</v>
      </c>
      <c r="X133" s="1" t="s">
        <v>129</v>
      </c>
      <c r="Y133" s="1" t="s">
        <v>551</v>
      </c>
      <c r="Z133" s="1" t="str">
        <f>TRIM(_xlfn.CONCAT(sales_data_sample[[#This Row],[CONTACTFIRSTNAME]],", ",sales_data_sample[[#This Row],[CONTACTLASTNAME]]))</f>
        <v>Sue, Frick</v>
      </c>
      <c r="AA133" s="1" t="s">
        <v>199</v>
      </c>
    </row>
    <row r="134" spans="1:27" x14ac:dyDescent="0.25">
      <c r="A134" s="10">
        <v>10414</v>
      </c>
      <c r="B134" s="9">
        <v>19</v>
      </c>
      <c r="C134" s="9">
        <v>100</v>
      </c>
      <c r="D134" s="9">
        <f>PRODUCT(sales_data_sample[[#This Row],[QUANTITYORDERED]],sales_data_sample[[#This Row],[PRICEEACH]])</f>
        <v>1900</v>
      </c>
      <c r="E134" s="9">
        <f>IF(OR(sales_data_sample[[#This Row],[STATUS]]="Shipped",sales_data_sample[[#This Row],[STATUS]]="Resolved"),sales_data_sample[[#This Row],[SALES]],0)</f>
        <v>0</v>
      </c>
      <c r="F134" s="10">
        <v>3</v>
      </c>
      <c r="G134" s="12" t="s">
        <v>552</v>
      </c>
      <c r="H134" s="1" t="s">
        <v>553</v>
      </c>
      <c r="I134">
        <v>2</v>
      </c>
      <c r="J134">
        <v>5</v>
      </c>
      <c r="K134">
        <v>2005</v>
      </c>
      <c r="L134" s="1" t="s">
        <v>239</v>
      </c>
      <c r="M134">
        <v>136</v>
      </c>
      <c r="N134" s="1" t="s">
        <v>436</v>
      </c>
      <c r="O134" s="1" t="s">
        <v>516</v>
      </c>
      <c r="P134" s="1" t="s">
        <v>517</v>
      </c>
      <c r="Q134" s="1" t="s">
        <v>518</v>
      </c>
      <c r="R134" s="1" t="s">
        <v>32</v>
      </c>
      <c r="S134" s="1" t="s">
        <v>519</v>
      </c>
      <c r="T134" s="1" t="s">
        <v>160</v>
      </c>
      <c r="U134" s="1" t="s">
        <v>520</v>
      </c>
      <c r="V134" s="1" t="s">
        <v>36</v>
      </c>
      <c r="W134" s="1" t="s">
        <v>37</v>
      </c>
      <c r="X134" s="1" t="s">
        <v>521</v>
      </c>
      <c r="Y134" s="1" t="s">
        <v>82</v>
      </c>
      <c r="Z134" s="1" t="str">
        <f>TRIM(_xlfn.CONCAT(sales_data_sample[[#This Row],[CONTACTFIRSTNAME]],", ",sales_data_sample[[#This Row],[CONTACTLASTNAME]]))</f>
        <v>Juri, Yoshido</v>
      </c>
      <c r="AA134" s="1" t="s">
        <v>40</v>
      </c>
    </row>
    <row r="135" spans="1:27" x14ac:dyDescent="0.25">
      <c r="A135" s="10">
        <v>10103</v>
      </c>
      <c r="B135" s="9">
        <v>42</v>
      </c>
      <c r="C135" s="9">
        <v>100</v>
      </c>
      <c r="D135" s="9">
        <f>PRODUCT(sales_data_sample[[#This Row],[QUANTITYORDERED]],sales_data_sample[[#This Row],[PRICEEACH]])</f>
        <v>4200</v>
      </c>
      <c r="E135" s="9">
        <f>IF(OR(sales_data_sample[[#This Row],[STATUS]]="Shipped",sales_data_sample[[#This Row],[STATUS]]="Resolved"),sales_data_sample[[#This Row],[SALES]],0)</f>
        <v>4200</v>
      </c>
      <c r="F135" s="10">
        <v>4</v>
      </c>
      <c r="G135" s="12" t="s">
        <v>238</v>
      </c>
      <c r="H135" s="1" t="s">
        <v>26</v>
      </c>
      <c r="I135">
        <v>1</v>
      </c>
      <c r="J135">
        <v>1</v>
      </c>
      <c r="K135">
        <v>2003</v>
      </c>
      <c r="L135" s="1" t="s">
        <v>239</v>
      </c>
      <c r="M135">
        <v>147</v>
      </c>
      <c r="N135" s="1" t="s">
        <v>554</v>
      </c>
      <c r="O135" s="1" t="s">
        <v>174</v>
      </c>
      <c r="P135" s="1" t="s">
        <v>175</v>
      </c>
      <c r="Q135" s="1" t="s">
        <v>176</v>
      </c>
      <c r="R135" s="1" t="s">
        <v>32</v>
      </c>
      <c r="S135" s="1" t="s">
        <v>177</v>
      </c>
      <c r="T135" s="1" t="s">
        <v>32</v>
      </c>
      <c r="U135" s="1" t="s">
        <v>178</v>
      </c>
      <c r="V135" s="1" t="s">
        <v>97</v>
      </c>
      <c r="W135" s="1" t="s">
        <v>48</v>
      </c>
      <c r="X135" s="1" t="s">
        <v>179</v>
      </c>
      <c r="Y135" s="1" t="s">
        <v>180</v>
      </c>
      <c r="Z135" s="1" t="str">
        <f>TRIM(_xlfn.CONCAT(sales_data_sample[[#This Row],[CONTACTFIRSTNAME]],", ",sales_data_sample[[#This Row],[CONTACTLASTNAME]]))</f>
        <v>Jonas, Bergulfsen</v>
      </c>
      <c r="AA135" s="1" t="s">
        <v>59</v>
      </c>
    </row>
    <row r="136" spans="1:27" x14ac:dyDescent="0.25">
      <c r="A136" s="10">
        <v>10114</v>
      </c>
      <c r="B136" s="9">
        <v>31</v>
      </c>
      <c r="C136" s="9">
        <v>100</v>
      </c>
      <c r="D136" s="9">
        <f>PRODUCT(sales_data_sample[[#This Row],[QUANTITYORDERED]],sales_data_sample[[#This Row],[PRICEEACH]])</f>
        <v>3100</v>
      </c>
      <c r="E136" s="9">
        <f>IF(OR(sales_data_sample[[#This Row],[STATUS]]="Shipped",sales_data_sample[[#This Row],[STATUS]]="Resolved"),sales_data_sample[[#This Row],[SALES]],0)</f>
        <v>3100</v>
      </c>
      <c r="F136" s="10">
        <v>8</v>
      </c>
      <c r="G136" s="12" t="s">
        <v>555</v>
      </c>
      <c r="H136" s="1" t="s">
        <v>26</v>
      </c>
      <c r="I136">
        <v>2</v>
      </c>
      <c r="J136">
        <v>4</v>
      </c>
      <c r="K136">
        <v>2003</v>
      </c>
      <c r="L136" s="1" t="s">
        <v>239</v>
      </c>
      <c r="M136">
        <v>147</v>
      </c>
      <c r="N136" s="1" t="s">
        <v>554</v>
      </c>
      <c r="O136" s="1" t="s">
        <v>556</v>
      </c>
      <c r="P136" s="1" t="s">
        <v>557</v>
      </c>
      <c r="Q136" s="1" t="s">
        <v>558</v>
      </c>
      <c r="R136" s="1" t="s">
        <v>32</v>
      </c>
      <c r="S136" s="1" t="s">
        <v>55</v>
      </c>
      <c r="T136" s="1" t="s">
        <v>32</v>
      </c>
      <c r="U136" s="1" t="s">
        <v>559</v>
      </c>
      <c r="V136" s="1" t="s">
        <v>47</v>
      </c>
      <c r="W136" s="1" t="s">
        <v>48</v>
      </c>
      <c r="X136" s="1" t="s">
        <v>560</v>
      </c>
      <c r="Y136" s="1" t="s">
        <v>561</v>
      </c>
      <c r="Z136" s="1" t="str">
        <f>TRIM(_xlfn.CONCAT(sales_data_sample[[#This Row],[CONTACTFIRSTNAME]],", ",sales_data_sample[[#This Row],[CONTACTLASTNAME]]))</f>
        <v>Marie, Bertrand</v>
      </c>
      <c r="AA136" s="1" t="s">
        <v>59</v>
      </c>
    </row>
    <row r="137" spans="1:27" x14ac:dyDescent="0.25">
      <c r="A137" s="10">
        <v>10126</v>
      </c>
      <c r="B137" s="9">
        <v>22</v>
      </c>
      <c r="C137" s="9">
        <v>100</v>
      </c>
      <c r="D137" s="9">
        <f>PRODUCT(sales_data_sample[[#This Row],[QUANTITYORDERED]],sales_data_sample[[#This Row],[PRICEEACH]])</f>
        <v>2200</v>
      </c>
      <c r="E137" s="9">
        <f>IF(OR(sales_data_sample[[#This Row],[STATUS]]="Shipped",sales_data_sample[[#This Row],[STATUS]]="Resolved"),sales_data_sample[[#This Row],[SALES]],0)</f>
        <v>2200</v>
      </c>
      <c r="F137" s="10">
        <v>4</v>
      </c>
      <c r="G137" s="12" t="s">
        <v>250</v>
      </c>
      <c r="H137" s="1" t="s">
        <v>26</v>
      </c>
      <c r="I137">
        <v>2</v>
      </c>
      <c r="J137">
        <v>5</v>
      </c>
      <c r="K137">
        <v>2003</v>
      </c>
      <c r="L137" s="1" t="s">
        <v>239</v>
      </c>
      <c r="M137">
        <v>147</v>
      </c>
      <c r="N137" s="1" t="s">
        <v>554</v>
      </c>
      <c r="O137" s="1" t="s">
        <v>251</v>
      </c>
      <c r="P137" s="1" t="s">
        <v>252</v>
      </c>
      <c r="Q137" s="1" t="s">
        <v>253</v>
      </c>
      <c r="R137" s="1" t="s">
        <v>32</v>
      </c>
      <c r="S137" s="1" t="s">
        <v>233</v>
      </c>
      <c r="T137" s="1" t="s">
        <v>32</v>
      </c>
      <c r="U137" s="1" t="s">
        <v>254</v>
      </c>
      <c r="V137" s="1" t="s">
        <v>235</v>
      </c>
      <c r="W137" s="1" t="s">
        <v>48</v>
      </c>
      <c r="X137" s="1" t="s">
        <v>255</v>
      </c>
      <c r="Y137" s="1" t="s">
        <v>256</v>
      </c>
      <c r="Z137" s="1" t="str">
        <f>TRIM(_xlfn.CONCAT(sales_data_sample[[#This Row],[CONTACTFIRSTNAME]],", ",sales_data_sample[[#This Row],[CONTACTLASTNAME]]))</f>
        <v>Mart¡n, Sommer</v>
      </c>
      <c r="AA137" s="1" t="s">
        <v>59</v>
      </c>
    </row>
    <row r="138" spans="1:27" x14ac:dyDescent="0.25">
      <c r="A138" s="10">
        <v>10140</v>
      </c>
      <c r="B138" s="9">
        <v>26</v>
      </c>
      <c r="C138" s="9">
        <v>100</v>
      </c>
      <c r="D138" s="9">
        <f>PRODUCT(sales_data_sample[[#This Row],[QUANTITYORDERED]],sales_data_sample[[#This Row],[PRICEEACH]])</f>
        <v>2600</v>
      </c>
      <c r="E138" s="9">
        <f>IF(OR(sales_data_sample[[#This Row],[STATUS]]="Shipped",sales_data_sample[[#This Row],[STATUS]]="Resolved"),sales_data_sample[[#This Row],[SALES]],0)</f>
        <v>2600</v>
      </c>
      <c r="F138" s="10">
        <v>4</v>
      </c>
      <c r="G138" s="12" t="s">
        <v>257</v>
      </c>
      <c r="H138" s="1" t="s">
        <v>26</v>
      </c>
      <c r="I138">
        <v>3</v>
      </c>
      <c r="J138">
        <v>7</v>
      </c>
      <c r="K138">
        <v>2003</v>
      </c>
      <c r="L138" s="1" t="s">
        <v>239</v>
      </c>
      <c r="M138">
        <v>147</v>
      </c>
      <c r="N138" s="1" t="s">
        <v>554</v>
      </c>
      <c r="O138" s="1" t="s">
        <v>76</v>
      </c>
      <c r="P138" s="1" t="s">
        <v>77</v>
      </c>
      <c r="Q138" s="1" t="s">
        <v>78</v>
      </c>
      <c r="R138" s="1" t="s">
        <v>32</v>
      </c>
      <c r="S138" s="1" t="s">
        <v>79</v>
      </c>
      <c r="T138" s="1" t="s">
        <v>65</v>
      </c>
      <c r="U138" s="1" t="s">
        <v>80</v>
      </c>
      <c r="V138" s="1" t="s">
        <v>36</v>
      </c>
      <c r="W138" s="1" t="s">
        <v>37</v>
      </c>
      <c r="X138" s="1" t="s">
        <v>81</v>
      </c>
      <c r="Y138" s="1" t="s">
        <v>82</v>
      </c>
      <c r="Z138" s="1" t="str">
        <f>TRIM(_xlfn.CONCAT(sales_data_sample[[#This Row],[CONTACTFIRSTNAME]],", ",sales_data_sample[[#This Row],[CONTACTLASTNAME]]))</f>
        <v>Juri, Hirano</v>
      </c>
      <c r="AA138" s="1" t="s">
        <v>59</v>
      </c>
    </row>
    <row r="139" spans="1:27" x14ac:dyDescent="0.25">
      <c r="A139" s="10">
        <v>10150</v>
      </c>
      <c r="B139" s="9">
        <v>20</v>
      </c>
      <c r="C139" s="9">
        <v>100</v>
      </c>
      <c r="D139" s="9">
        <f>PRODUCT(sales_data_sample[[#This Row],[QUANTITYORDERED]],sales_data_sample[[#This Row],[PRICEEACH]])</f>
        <v>2000</v>
      </c>
      <c r="E139" s="9">
        <f>IF(OR(sales_data_sample[[#This Row],[STATUS]]="Shipped",sales_data_sample[[#This Row],[STATUS]]="Resolved"),sales_data_sample[[#This Row],[SALES]],0)</f>
        <v>2000</v>
      </c>
      <c r="F139" s="10">
        <v>1</v>
      </c>
      <c r="G139" s="12" t="s">
        <v>258</v>
      </c>
      <c r="H139" s="1" t="s">
        <v>26</v>
      </c>
      <c r="I139">
        <v>3</v>
      </c>
      <c r="J139">
        <v>9</v>
      </c>
      <c r="K139">
        <v>2003</v>
      </c>
      <c r="L139" s="1" t="s">
        <v>239</v>
      </c>
      <c r="M139">
        <v>147</v>
      </c>
      <c r="N139" s="1" t="s">
        <v>554</v>
      </c>
      <c r="O139" s="1" t="s">
        <v>259</v>
      </c>
      <c r="P139" s="1" t="s">
        <v>260</v>
      </c>
      <c r="Q139" s="1" t="s">
        <v>261</v>
      </c>
      <c r="R139" s="1" t="s">
        <v>32</v>
      </c>
      <c r="S139" s="1" t="s">
        <v>262</v>
      </c>
      <c r="T139" s="1" t="s">
        <v>32</v>
      </c>
      <c r="U139" s="1" t="s">
        <v>263</v>
      </c>
      <c r="V139" s="1" t="s">
        <v>262</v>
      </c>
      <c r="W139" s="1" t="s">
        <v>264</v>
      </c>
      <c r="X139" s="1" t="s">
        <v>265</v>
      </c>
      <c r="Y139" s="1" t="s">
        <v>266</v>
      </c>
      <c r="Z139" s="1" t="str">
        <f>TRIM(_xlfn.CONCAT(sales_data_sample[[#This Row],[CONTACTFIRSTNAME]],", ",sales_data_sample[[#This Row],[CONTACTLASTNAME]]))</f>
        <v>Eric, Natividad</v>
      </c>
      <c r="AA139" s="1" t="s">
        <v>59</v>
      </c>
    </row>
    <row r="140" spans="1:27" x14ac:dyDescent="0.25">
      <c r="A140" s="10">
        <v>10164</v>
      </c>
      <c r="B140" s="9">
        <v>21</v>
      </c>
      <c r="C140" s="9">
        <v>100</v>
      </c>
      <c r="D140" s="9">
        <f>PRODUCT(sales_data_sample[[#This Row],[QUANTITYORDERED]],sales_data_sample[[#This Row],[PRICEEACH]])</f>
        <v>2100</v>
      </c>
      <c r="E140" s="9">
        <f>IF(OR(sales_data_sample[[#This Row],[STATUS]]="Shipped",sales_data_sample[[#This Row],[STATUS]]="Resolved"),sales_data_sample[[#This Row],[SALES]],0)</f>
        <v>2100</v>
      </c>
      <c r="F140" s="10">
        <v>2</v>
      </c>
      <c r="G140" s="12" t="s">
        <v>562</v>
      </c>
      <c r="H140" s="1" t="s">
        <v>563</v>
      </c>
      <c r="I140">
        <v>4</v>
      </c>
      <c r="J140">
        <v>10</v>
      </c>
      <c r="K140">
        <v>2003</v>
      </c>
      <c r="L140" s="1" t="s">
        <v>239</v>
      </c>
      <c r="M140">
        <v>147</v>
      </c>
      <c r="N140" s="1" t="s">
        <v>554</v>
      </c>
      <c r="O140" s="1" t="s">
        <v>564</v>
      </c>
      <c r="P140" s="1" t="s">
        <v>565</v>
      </c>
      <c r="Q140" s="1" t="s">
        <v>566</v>
      </c>
      <c r="R140" s="1" t="s">
        <v>32</v>
      </c>
      <c r="S140" s="1" t="s">
        <v>567</v>
      </c>
      <c r="T140" s="1" t="s">
        <v>32</v>
      </c>
      <c r="U140" s="1" t="s">
        <v>568</v>
      </c>
      <c r="V140" s="1" t="s">
        <v>196</v>
      </c>
      <c r="W140" s="1" t="s">
        <v>48</v>
      </c>
      <c r="X140" s="1" t="s">
        <v>569</v>
      </c>
      <c r="Y140" s="1" t="s">
        <v>570</v>
      </c>
      <c r="Z140" s="1" t="str">
        <f>TRIM(_xlfn.CONCAT(sales_data_sample[[#This Row],[CONTACTFIRSTNAME]],", ",sales_data_sample[[#This Row],[CONTACTLASTNAME]]))</f>
        <v>Roland, Mendel</v>
      </c>
      <c r="AA140" s="1" t="s">
        <v>59</v>
      </c>
    </row>
    <row r="141" spans="1:27" x14ac:dyDescent="0.25">
      <c r="A141" s="10">
        <v>10175</v>
      </c>
      <c r="B141" s="9">
        <v>33</v>
      </c>
      <c r="C141" s="9">
        <v>100</v>
      </c>
      <c r="D141" s="9">
        <f>PRODUCT(sales_data_sample[[#This Row],[QUANTITYORDERED]],sales_data_sample[[#This Row],[PRICEEACH]])</f>
        <v>3300</v>
      </c>
      <c r="E141" s="9">
        <f>IF(OR(sales_data_sample[[#This Row],[STATUS]]="Shipped",sales_data_sample[[#This Row],[STATUS]]="Resolved"),sales_data_sample[[#This Row],[SALES]],0)</f>
        <v>3300</v>
      </c>
      <c r="F141" s="10">
        <v>9</v>
      </c>
      <c r="G141" s="12" t="s">
        <v>273</v>
      </c>
      <c r="H141" s="1" t="s">
        <v>26</v>
      </c>
      <c r="I141">
        <v>4</v>
      </c>
      <c r="J141">
        <v>11</v>
      </c>
      <c r="K141">
        <v>2003</v>
      </c>
      <c r="L141" s="1" t="s">
        <v>239</v>
      </c>
      <c r="M141">
        <v>147</v>
      </c>
      <c r="N141" s="1" t="s">
        <v>554</v>
      </c>
      <c r="O141" s="1" t="s">
        <v>447</v>
      </c>
      <c r="P141" s="1" t="s">
        <v>448</v>
      </c>
      <c r="Q141" s="1" t="s">
        <v>449</v>
      </c>
      <c r="R141" s="1" t="s">
        <v>32</v>
      </c>
      <c r="S141" s="1" t="s">
        <v>450</v>
      </c>
      <c r="T141" s="1" t="s">
        <v>32</v>
      </c>
      <c r="U141" s="1" t="s">
        <v>451</v>
      </c>
      <c r="V141" s="1" t="s">
        <v>225</v>
      </c>
      <c r="W141" s="1" t="s">
        <v>48</v>
      </c>
      <c r="X141" s="1" t="s">
        <v>74</v>
      </c>
      <c r="Y141" s="1" t="s">
        <v>452</v>
      </c>
      <c r="Z141" s="1" t="str">
        <f>TRIM(_xlfn.CONCAT(sales_data_sample[[#This Row],[CONTACTFIRSTNAME]],", ",sales_data_sample[[#This Row],[CONTACTLASTNAME]]))</f>
        <v>Ann, Brown</v>
      </c>
      <c r="AA141" s="1" t="s">
        <v>59</v>
      </c>
    </row>
    <row r="142" spans="1:27" x14ac:dyDescent="0.25">
      <c r="A142" s="10">
        <v>10183</v>
      </c>
      <c r="B142" s="9">
        <v>28</v>
      </c>
      <c r="C142" s="9">
        <v>100</v>
      </c>
      <c r="D142" s="9">
        <f>PRODUCT(sales_data_sample[[#This Row],[QUANTITYORDERED]],sales_data_sample[[#This Row],[PRICEEACH]])</f>
        <v>2800</v>
      </c>
      <c r="E142" s="9">
        <f>IF(OR(sales_data_sample[[#This Row],[STATUS]]="Shipped",sales_data_sample[[#This Row],[STATUS]]="Resolved"),sales_data_sample[[#This Row],[SALES]],0)</f>
        <v>2800</v>
      </c>
      <c r="F142" s="10">
        <v>1</v>
      </c>
      <c r="G142" s="12" t="s">
        <v>282</v>
      </c>
      <c r="H142" s="1" t="s">
        <v>26</v>
      </c>
      <c r="I142">
        <v>4</v>
      </c>
      <c r="J142">
        <v>11</v>
      </c>
      <c r="K142">
        <v>2003</v>
      </c>
      <c r="L142" s="1" t="s">
        <v>239</v>
      </c>
      <c r="M142">
        <v>147</v>
      </c>
      <c r="N142" s="1" t="s">
        <v>554</v>
      </c>
      <c r="O142" s="1" t="s">
        <v>283</v>
      </c>
      <c r="P142" s="1" t="s">
        <v>284</v>
      </c>
      <c r="Q142" s="1" t="s">
        <v>285</v>
      </c>
      <c r="R142" s="1" t="s">
        <v>32</v>
      </c>
      <c r="S142" s="1" t="s">
        <v>286</v>
      </c>
      <c r="T142" s="1" t="s">
        <v>186</v>
      </c>
      <c r="U142" s="1" t="s">
        <v>287</v>
      </c>
      <c r="V142" s="1" t="s">
        <v>36</v>
      </c>
      <c r="W142" s="1" t="s">
        <v>37</v>
      </c>
      <c r="X142" s="1" t="s">
        <v>288</v>
      </c>
      <c r="Y142" s="1" t="s">
        <v>289</v>
      </c>
      <c r="Z142" s="1" t="str">
        <f>TRIM(_xlfn.CONCAT(sales_data_sample[[#This Row],[CONTACTFIRSTNAME]],", ",sales_data_sample[[#This Row],[CONTACTLASTNAME]]))</f>
        <v>Francisca, Cervantes</v>
      </c>
      <c r="AA142" s="1" t="s">
        <v>59</v>
      </c>
    </row>
    <row r="143" spans="1:27" x14ac:dyDescent="0.25">
      <c r="A143" s="10">
        <v>10194</v>
      </c>
      <c r="B143" s="9">
        <v>26</v>
      </c>
      <c r="C143" s="9">
        <v>100</v>
      </c>
      <c r="D143" s="9">
        <f>PRODUCT(sales_data_sample[[#This Row],[QUANTITYORDERED]],sales_data_sample[[#This Row],[PRICEEACH]])</f>
        <v>2600</v>
      </c>
      <c r="E143" s="9">
        <f>IF(OR(sales_data_sample[[#This Row],[STATUS]]="Shipped",sales_data_sample[[#This Row],[STATUS]]="Resolved"),sales_data_sample[[#This Row],[SALES]],0)</f>
        <v>2600</v>
      </c>
      <c r="F143" s="10">
        <v>4</v>
      </c>
      <c r="G143" s="12" t="s">
        <v>290</v>
      </c>
      <c r="H143" s="1" t="s">
        <v>26</v>
      </c>
      <c r="I143">
        <v>4</v>
      </c>
      <c r="J143">
        <v>11</v>
      </c>
      <c r="K143">
        <v>2003</v>
      </c>
      <c r="L143" s="1" t="s">
        <v>239</v>
      </c>
      <c r="M143">
        <v>147</v>
      </c>
      <c r="N143" s="1" t="s">
        <v>554</v>
      </c>
      <c r="O143" s="1" t="s">
        <v>291</v>
      </c>
      <c r="P143" s="1" t="s">
        <v>292</v>
      </c>
      <c r="Q143" s="1" t="s">
        <v>293</v>
      </c>
      <c r="R143" s="1" t="s">
        <v>32</v>
      </c>
      <c r="S143" s="1" t="s">
        <v>294</v>
      </c>
      <c r="T143" s="1" t="s">
        <v>32</v>
      </c>
      <c r="U143" s="1" t="s">
        <v>295</v>
      </c>
      <c r="V143" s="1" t="s">
        <v>47</v>
      </c>
      <c r="W143" s="1" t="s">
        <v>48</v>
      </c>
      <c r="X143" s="1" t="s">
        <v>296</v>
      </c>
      <c r="Y143" s="1" t="s">
        <v>297</v>
      </c>
      <c r="Z143" s="1" t="str">
        <f>TRIM(_xlfn.CONCAT(sales_data_sample[[#This Row],[CONTACTFIRSTNAME]],", ",sales_data_sample[[#This Row],[CONTACTLASTNAME]]))</f>
        <v>Mary, Saveley</v>
      </c>
      <c r="AA143" s="1" t="s">
        <v>59</v>
      </c>
    </row>
    <row r="144" spans="1:27" x14ac:dyDescent="0.25">
      <c r="A144" s="10">
        <v>10207</v>
      </c>
      <c r="B144" s="9">
        <v>31</v>
      </c>
      <c r="C144" s="9">
        <v>100</v>
      </c>
      <c r="D144" s="9">
        <f>PRODUCT(sales_data_sample[[#This Row],[QUANTITYORDERED]],sales_data_sample[[#This Row],[PRICEEACH]])</f>
        <v>3100</v>
      </c>
      <c r="E144" s="9">
        <f>IF(OR(sales_data_sample[[#This Row],[STATUS]]="Shipped",sales_data_sample[[#This Row],[STATUS]]="Resolved"),sales_data_sample[[#This Row],[SALES]],0)</f>
        <v>3100</v>
      </c>
      <c r="F144" s="10">
        <v>15</v>
      </c>
      <c r="G144" s="12" t="s">
        <v>571</v>
      </c>
      <c r="H144" s="1" t="s">
        <v>26</v>
      </c>
      <c r="I144">
        <v>4</v>
      </c>
      <c r="J144">
        <v>12</v>
      </c>
      <c r="K144">
        <v>2003</v>
      </c>
      <c r="L144" s="1" t="s">
        <v>239</v>
      </c>
      <c r="M144">
        <v>147</v>
      </c>
      <c r="N144" s="1" t="s">
        <v>554</v>
      </c>
      <c r="O144" s="1" t="s">
        <v>572</v>
      </c>
      <c r="P144" s="1" t="s">
        <v>573</v>
      </c>
      <c r="Q144" s="1" t="s">
        <v>574</v>
      </c>
      <c r="R144" s="1" t="s">
        <v>32</v>
      </c>
      <c r="S144" s="1" t="s">
        <v>519</v>
      </c>
      <c r="T144" s="1" t="s">
        <v>160</v>
      </c>
      <c r="U144" s="1" t="s">
        <v>520</v>
      </c>
      <c r="V144" s="1" t="s">
        <v>36</v>
      </c>
      <c r="W144" s="1" t="s">
        <v>37</v>
      </c>
      <c r="X144" s="1" t="s">
        <v>575</v>
      </c>
      <c r="Y144" s="1" t="s">
        <v>366</v>
      </c>
      <c r="Z144" s="1" t="str">
        <f>TRIM(_xlfn.CONCAT(sales_data_sample[[#This Row],[CONTACTFIRSTNAME]],", ",sales_data_sample[[#This Row],[CONTACTLASTNAME]]))</f>
        <v>Valarie, Franco</v>
      </c>
      <c r="AA144" s="1" t="s">
        <v>59</v>
      </c>
    </row>
    <row r="145" spans="1:27" x14ac:dyDescent="0.25">
      <c r="A145">
        <v>10217</v>
      </c>
      <c r="B145">
        <v>48</v>
      </c>
      <c r="C145">
        <v>100</v>
      </c>
      <c r="D145">
        <f>PRODUCT(sales_data_sample[[#This Row],[QUANTITYORDERED]],sales_data_sample[[#This Row],[PRICEEACH]])</f>
        <v>4800</v>
      </c>
      <c r="E145" s="9">
        <f>IF(OR(sales_data_sample[[#This Row],[STATUS]]="Shipped",sales_data_sample[[#This Row],[STATUS]]="Resolved"),sales_data_sample[[#This Row],[SALES]],0)</f>
        <v>4800</v>
      </c>
      <c r="F145">
        <v>4</v>
      </c>
      <c r="G145" s="12" t="s">
        <v>576</v>
      </c>
      <c r="H145" s="1" t="s">
        <v>26</v>
      </c>
      <c r="I145">
        <v>1</v>
      </c>
      <c r="J145">
        <v>2</v>
      </c>
      <c r="K145">
        <v>2004</v>
      </c>
      <c r="L145" s="1" t="s">
        <v>239</v>
      </c>
      <c r="M145">
        <v>147</v>
      </c>
      <c r="N145" s="1" t="s">
        <v>554</v>
      </c>
      <c r="O145" s="1" t="s">
        <v>577</v>
      </c>
      <c r="P145" s="1" t="s">
        <v>578</v>
      </c>
      <c r="Q145" s="1" t="s">
        <v>579</v>
      </c>
      <c r="R145" s="1" t="s">
        <v>580</v>
      </c>
      <c r="S145" s="1" t="s">
        <v>262</v>
      </c>
      <c r="T145" s="1" t="s">
        <v>32</v>
      </c>
      <c r="U145" s="1" t="s">
        <v>581</v>
      </c>
      <c r="V145" s="1" t="s">
        <v>262</v>
      </c>
      <c r="W145" s="1" t="s">
        <v>121</v>
      </c>
      <c r="X145" s="1" t="s">
        <v>582</v>
      </c>
      <c r="Y145" s="1" t="s">
        <v>583</v>
      </c>
      <c r="Z145" s="1" t="str">
        <f>TRIM(_xlfn.CONCAT(sales_data_sample[[#This Row],[CONTACTFIRSTNAME]],", ",sales_data_sample[[#This Row],[CONTACTLASTNAME]]))</f>
        <v>Wendy, Victorino</v>
      </c>
      <c r="AA145" s="1" t="s">
        <v>199</v>
      </c>
    </row>
    <row r="146" spans="1:27" x14ac:dyDescent="0.25">
      <c r="A146" s="10">
        <v>10229</v>
      </c>
      <c r="B146" s="9">
        <v>50</v>
      </c>
      <c r="C146" s="9">
        <v>100</v>
      </c>
      <c r="D146" s="9">
        <f>PRODUCT(sales_data_sample[[#This Row],[QUANTITYORDERED]],sales_data_sample[[#This Row],[PRICEEACH]])</f>
        <v>5000</v>
      </c>
      <c r="E146" s="9">
        <f>IF(OR(sales_data_sample[[#This Row],[STATUS]]="Shipped",sales_data_sample[[#This Row],[STATUS]]="Resolved"),sales_data_sample[[#This Row],[SALES]],0)</f>
        <v>5000</v>
      </c>
      <c r="F146" s="10">
        <v>9</v>
      </c>
      <c r="G146" s="12" t="s">
        <v>584</v>
      </c>
      <c r="H146" s="1" t="s">
        <v>26</v>
      </c>
      <c r="I146">
        <v>1</v>
      </c>
      <c r="J146">
        <v>3</v>
      </c>
      <c r="K146">
        <v>2004</v>
      </c>
      <c r="L146" s="1" t="s">
        <v>239</v>
      </c>
      <c r="M146">
        <v>147</v>
      </c>
      <c r="N146" s="1" t="s">
        <v>554</v>
      </c>
      <c r="O146" s="1" t="s">
        <v>361</v>
      </c>
      <c r="P146" s="1" t="s">
        <v>362</v>
      </c>
      <c r="Q146" s="1" t="s">
        <v>363</v>
      </c>
      <c r="R146" s="1" t="s">
        <v>32</v>
      </c>
      <c r="S146" s="1" t="s">
        <v>364</v>
      </c>
      <c r="T146" s="1" t="s">
        <v>65</v>
      </c>
      <c r="U146" s="1" t="s">
        <v>145</v>
      </c>
      <c r="V146" s="1" t="s">
        <v>36</v>
      </c>
      <c r="W146" s="1" t="s">
        <v>37</v>
      </c>
      <c r="X146" s="1" t="s">
        <v>365</v>
      </c>
      <c r="Y146" s="1" t="s">
        <v>366</v>
      </c>
      <c r="Z146" s="1" t="str">
        <f>TRIM(_xlfn.CONCAT(sales_data_sample[[#This Row],[CONTACTFIRSTNAME]],", ",sales_data_sample[[#This Row],[CONTACTLASTNAME]]))</f>
        <v>Valarie, Nelson</v>
      </c>
      <c r="AA146" s="1" t="s">
        <v>59</v>
      </c>
    </row>
    <row r="147" spans="1:27" x14ac:dyDescent="0.25">
      <c r="A147" s="10">
        <v>10245</v>
      </c>
      <c r="B147" s="9">
        <v>28</v>
      </c>
      <c r="C147" s="9">
        <v>100</v>
      </c>
      <c r="D147" s="9">
        <f>PRODUCT(sales_data_sample[[#This Row],[QUANTITYORDERED]],sales_data_sample[[#This Row],[PRICEEACH]])</f>
        <v>2800</v>
      </c>
      <c r="E147" s="9">
        <f>IF(OR(sales_data_sample[[#This Row],[STATUS]]="Shipped",sales_data_sample[[#This Row],[STATUS]]="Resolved"),sales_data_sample[[#This Row],[SALES]],0)</f>
        <v>2800</v>
      </c>
      <c r="F147" s="10">
        <v>2</v>
      </c>
      <c r="G147" s="12" t="s">
        <v>320</v>
      </c>
      <c r="H147" s="1" t="s">
        <v>26</v>
      </c>
      <c r="I147">
        <v>2</v>
      </c>
      <c r="J147">
        <v>5</v>
      </c>
      <c r="K147">
        <v>2004</v>
      </c>
      <c r="L147" s="1" t="s">
        <v>239</v>
      </c>
      <c r="M147">
        <v>147</v>
      </c>
      <c r="N147" s="1" t="s">
        <v>554</v>
      </c>
      <c r="O147" s="1" t="s">
        <v>321</v>
      </c>
      <c r="P147" s="1" t="s">
        <v>322</v>
      </c>
      <c r="Q147" s="1" t="s">
        <v>323</v>
      </c>
      <c r="R147" s="1" t="s">
        <v>32</v>
      </c>
      <c r="S147" s="1" t="s">
        <v>324</v>
      </c>
      <c r="T147" s="1" t="s">
        <v>144</v>
      </c>
      <c r="U147" s="1" t="s">
        <v>325</v>
      </c>
      <c r="V147" s="1" t="s">
        <v>36</v>
      </c>
      <c r="W147" s="1" t="s">
        <v>37</v>
      </c>
      <c r="X147" s="1" t="s">
        <v>104</v>
      </c>
      <c r="Y147" s="1" t="s">
        <v>326</v>
      </c>
      <c r="Z147" s="1" t="str">
        <f>TRIM(_xlfn.CONCAT(sales_data_sample[[#This Row],[CONTACTFIRSTNAME]],", ",sales_data_sample[[#This Row],[CONTACTLASTNAME]]))</f>
        <v>Leslie, Murphy</v>
      </c>
      <c r="AA147" s="1" t="s">
        <v>59</v>
      </c>
    </row>
    <row r="148" spans="1:27" x14ac:dyDescent="0.25">
      <c r="A148">
        <v>10259</v>
      </c>
      <c r="B148">
        <v>26</v>
      </c>
      <c r="C148">
        <v>100</v>
      </c>
      <c r="D148">
        <f>PRODUCT(sales_data_sample[[#This Row],[QUANTITYORDERED]],sales_data_sample[[#This Row],[PRICEEACH]])</f>
        <v>2600</v>
      </c>
      <c r="E148" s="9">
        <f>IF(OR(sales_data_sample[[#This Row],[STATUS]]="Shipped",sales_data_sample[[#This Row],[STATUS]]="Resolved"),sales_data_sample[[#This Row],[SALES]],0)</f>
        <v>2600</v>
      </c>
      <c r="F148">
        <v>12</v>
      </c>
      <c r="G148" s="12" t="s">
        <v>327</v>
      </c>
      <c r="H148" s="1" t="s">
        <v>26</v>
      </c>
      <c r="I148">
        <v>2</v>
      </c>
      <c r="J148">
        <v>6</v>
      </c>
      <c r="K148">
        <v>2004</v>
      </c>
      <c r="L148" s="1" t="s">
        <v>239</v>
      </c>
      <c r="M148">
        <v>147</v>
      </c>
      <c r="N148" s="1" t="s">
        <v>554</v>
      </c>
      <c r="O148" s="1" t="s">
        <v>577</v>
      </c>
      <c r="P148" s="1" t="s">
        <v>578</v>
      </c>
      <c r="Q148" s="1" t="s">
        <v>579</v>
      </c>
      <c r="R148" s="1" t="s">
        <v>580</v>
      </c>
      <c r="S148" s="1" t="s">
        <v>262</v>
      </c>
      <c r="T148" s="1" t="s">
        <v>32</v>
      </c>
      <c r="U148" s="1" t="s">
        <v>581</v>
      </c>
      <c r="V148" s="1" t="s">
        <v>262</v>
      </c>
      <c r="W148" s="1" t="s">
        <v>121</v>
      </c>
      <c r="X148" s="1" t="s">
        <v>582</v>
      </c>
      <c r="Y148" s="1" t="s">
        <v>583</v>
      </c>
      <c r="Z148" s="1" t="str">
        <f>TRIM(_xlfn.CONCAT(sales_data_sample[[#This Row],[CONTACTFIRSTNAME]],", ",sales_data_sample[[#This Row],[CONTACTLASTNAME]]))</f>
        <v>Wendy, Victorino</v>
      </c>
      <c r="AA148" s="1" t="s">
        <v>59</v>
      </c>
    </row>
    <row r="149" spans="1:27" x14ac:dyDescent="0.25">
      <c r="A149">
        <v>10270</v>
      </c>
      <c r="B149">
        <v>32</v>
      </c>
      <c r="C149">
        <v>100</v>
      </c>
      <c r="D149">
        <f>PRODUCT(sales_data_sample[[#This Row],[QUANTITYORDERED]],sales_data_sample[[#This Row],[PRICEEACH]])</f>
        <v>3200</v>
      </c>
      <c r="E149" s="9">
        <f>IF(OR(sales_data_sample[[#This Row],[STATUS]]="Shipped",sales_data_sample[[#This Row],[STATUS]]="Resolved"),sales_data_sample[[#This Row],[SALES]],0)</f>
        <v>3200</v>
      </c>
      <c r="F149">
        <v>2</v>
      </c>
      <c r="G149" s="12" t="s">
        <v>336</v>
      </c>
      <c r="H149" s="1" t="s">
        <v>26</v>
      </c>
      <c r="I149">
        <v>3</v>
      </c>
      <c r="J149">
        <v>7</v>
      </c>
      <c r="K149">
        <v>2004</v>
      </c>
      <c r="L149" s="1" t="s">
        <v>239</v>
      </c>
      <c r="M149">
        <v>147</v>
      </c>
      <c r="N149" s="1" t="s">
        <v>554</v>
      </c>
      <c r="O149" s="1" t="s">
        <v>201</v>
      </c>
      <c r="P149" s="1" t="s">
        <v>202</v>
      </c>
      <c r="Q149" s="1" t="s">
        <v>203</v>
      </c>
      <c r="R149" s="1" t="s">
        <v>204</v>
      </c>
      <c r="S149" s="1" t="s">
        <v>205</v>
      </c>
      <c r="T149" s="1" t="s">
        <v>206</v>
      </c>
      <c r="U149" s="1" t="s">
        <v>207</v>
      </c>
      <c r="V149" s="1" t="s">
        <v>120</v>
      </c>
      <c r="W149" s="1" t="s">
        <v>121</v>
      </c>
      <c r="X149" s="1" t="s">
        <v>208</v>
      </c>
      <c r="Y149" s="1" t="s">
        <v>209</v>
      </c>
      <c r="Z149" s="1" t="str">
        <f>TRIM(_xlfn.CONCAT(sales_data_sample[[#This Row],[CONTACTFIRSTNAME]],", ",sales_data_sample[[#This Row],[CONTACTLASTNAME]]))</f>
        <v>Adrian, Huxley</v>
      </c>
      <c r="AA149" s="1" t="s">
        <v>59</v>
      </c>
    </row>
    <row r="150" spans="1:27" x14ac:dyDescent="0.25">
      <c r="A150" s="10">
        <v>10281</v>
      </c>
      <c r="B150" s="9">
        <v>44</v>
      </c>
      <c r="C150" s="9">
        <v>100</v>
      </c>
      <c r="D150" s="9">
        <f>PRODUCT(sales_data_sample[[#This Row],[QUANTITYORDERED]],sales_data_sample[[#This Row],[PRICEEACH]])</f>
        <v>4400</v>
      </c>
      <c r="E150" s="9">
        <f>IF(OR(sales_data_sample[[#This Row],[STATUS]]="Shipped",sales_data_sample[[#This Row],[STATUS]]="Resolved"),sales_data_sample[[#This Row],[SALES]],0)</f>
        <v>4400</v>
      </c>
      <c r="F150" s="10">
        <v>9</v>
      </c>
      <c r="G150" s="12" t="s">
        <v>585</v>
      </c>
      <c r="H150" s="1" t="s">
        <v>26</v>
      </c>
      <c r="I150">
        <v>3</v>
      </c>
      <c r="J150">
        <v>8</v>
      </c>
      <c r="K150">
        <v>2004</v>
      </c>
      <c r="L150" s="1" t="s">
        <v>239</v>
      </c>
      <c r="M150">
        <v>147</v>
      </c>
      <c r="N150" s="1" t="s">
        <v>554</v>
      </c>
      <c r="O150" s="1" t="s">
        <v>182</v>
      </c>
      <c r="P150" s="1" t="s">
        <v>183</v>
      </c>
      <c r="Q150" s="1" t="s">
        <v>184</v>
      </c>
      <c r="R150" s="1" t="s">
        <v>32</v>
      </c>
      <c r="S150" s="1" t="s">
        <v>185</v>
      </c>
      <c r="T150" s="1" t="s">
        <v>186</v>
      </c>
      <c r="U150" s="1" t="s">
        <v>187</v>
      </c>
      <c r="V150" s="1" t="s">
        <v>36</v>
      </c>
      <c r="W150" s="1" t="s">
        <v>37</v>
      </c>
      <c r="X150" s="1" t="s">
        <v>38</v>
      </c>
      <c r="Y150" s="1" t="s">
        <v>188</v>
      </c>
      <c r="Z150" s="1" t="str">
        <f>TRIM(_xlfn.CONCAT(sales_data_sample[[#This Row],[CONTACTFIRSTNAME]],", ",sales_data_sample[[#This Row],[CONTACTLASTNAME]]))</f>
        <v>Kyung, Yu</v>
      </c>
      <c r="AA150" s="1" t="s">
        <v>199</v>
      </c>
    </row>
    <row r="151" spans="1:27" x14ac:dyDescent="0.25">
      <c r="A151" s="10">
        <v>10291</v>
      </c>
      <c r="B151" s="9">
        <v>30</v>
      </c>
      <c r="C151" s="9">
        <v>100</v>
      </c>
      <c r="D151" s="9">
        <f>PRODUCT(sales_data_sample[[#This Row],[QUANTITYORDERED]],sales_data_sample[[#This Row],[PRICEEACH]])</f>
        <v>3000</v>
      </c>
      <c r="E151" s="9">
        <f>IF(OR(sales_data_sample[[#This Row],[STATUS]]="Shipped",sales_data_sample[[#This Row],[STATUS]]="Resolved"),sales_data_sample[[#This Row],[SALES]],0)</f>
        <v>3000</v>
      </c>
      <c r="F151" s="10">
        <v>4</v>
      </c>
      <c r="G151" s="12" t="s">
        <v>346</v>
      </c>
      <c r="H151" s="1" t="s">
        <v>26</v>
      </c>
      <c r="I151">
        <v>3</v>
      </c>
      <c r="J151">
        <v>9</v>
      </c>
      <c r="K151">
        <v>2004</v>
      </c>
      <c r="L151" s="1" t="s">
        <v>239</v>
      </c>
      <c r="M151">
        <v>147</v>
      </c>
      <c r="N151" s="1" t="s">
        <v>554</v>
      </c>
      <c r="O151" s="1" t="s">
        <v>347</v>
      </c>
      <c r="P151" s="1" t="s">
        <v>348</v>
      </c>
      <c r="Q151" s="1" t="s">
        <v>349</v>
      </c>
      <c r="R151" s="1" t="s">
        <v>32</v>
      </c>
      <c r="S151" s="1" t="s">
        <v>350</v>
      </c>
      <c r="T151" s="1" t="s">
        <v>32</v>
      </c>
      <c r="U151" s="1" t="s">
        <v>351</v>
      </c>
      <c r="V151" s="1" t="s">
        <v>247</v>
      </c>
      <c r="W151" s="1" t="s">
        <v>48</v>
      </c>
      <c r="X151" s="1" t="s">
        <v>352</v>
      </c>
      <c r="Y151" s="1" t="s">
        <v>272</v>
      </c>
      <c r="Z151" s="1" t="str">
        <f>TRIM(_xlfn.CONCAT(sales_data_sample[[#This Row],[CONTACTFIRSTNAME]],", ",sales_data_sample[[#This Row],[CONTACTLASTNAME]]))</f>
        <v>Maria, Larsson</v>
      </c>
      <c r="AA151" s="1" t="s">
        <v>59</v>
      </c>
    </row>
    <row r="152" spans="1:27" x14ac:dyDescent="0.25">
      <c r="A152" s="10">
        <v>10305</v>
      </c>
      <c r="B152" s="9">
        <v>38</v>
      </c>
      <c r="C152" s="9">
        <v>100</v>
      </c>
      <c r="D152" s="9">
        <f>PRODUCT(sales_data_sample[[#This Row],[QUANTITYORDERED]],sales_data_sample[[#This Row],[PRICEEACH]])</f>
        <v>3800</v>
      </c>
      <c r="E152" s="9">
        <f>IF(OR(sales_data_sample[[#This Row],[STATUS]]="Shipped",sales_data_sample[[#This Row],[STATUS]]="Resolved"),sales_data_sample[[#This Row],[SALES]],0)</f>
        <v>3800</v>
      </c>
      <c r="F152" s="10">
        <v>13</v>
      </c>
      <c r="G152" s="12" t="s">
        <v>586</v>
      </c>
      <c r="H152" s="1" t="s">
        <v>26</v>
      </c>
      <c r="I152">
        <v>4</v>
      </c>
      <c r="J152">
        <v>10</v>
      </c>
      <c r="K152">
        <v>2004</v>
      </c>
      <c r="L152" s="1" t="s">
        <v>239</v>
      </c>
      <c r="M152">
        <v>147</v>
      </c>
      <c r="N152" s="1" t="s">
        <v>554</v>
      </c>
      <c r="O152" s="1" t="s">
        <v>156</v>
      </c>
      <c r="P152" s="1" t="s">
        <v>157</v>
      </c>
      <c r="Q152" s="1" t="s">
        <v>158</v>
      </c>
      <c r="R152" s="1" t="s">
        <v>32</v>
      </c>
      <c r="S152" s="1" t="s">
        <v>159</v>
      </c>
      <c r="T152" s="1" t="s">
        <v>160</v>
      </c>
      <c r="U152" s="1" t="s">
        <v>161</v>
      </c>
      <c r="V152" s="1" t="s">
        <v>36</v>
      </c>
      <c r="W152" s="1" t="s">
        <v>37</v>
      </c>
      <c r="X152" s="1" t="s">
        <v>162</v>
      </c>
      <c r="Y152" s="1" t="s">
        <v>163</v>
      </c>
      <c r="Z152" s="1" t="str">
        <f>TRIM(_xlfn.CONCAT(sales_data_sample[[#This Row],[CONTACTFIRSTNAME]],", ",sales_data_sample[[#This Row],[CONTACTLASTNAME]]))</f>
        <v>Marta, Hernandez</v>
      </c>
      <c r="AA152" s="1" t="s">
        <v>59</v>
      </c>
    </row>
    <row r="153" spans="1:27" x14ac:dyDescent="0.25">
      <c r="A153" s="10">
        <v>10313</v>
      </c>
      <c r="B153" s="9">
        <v>40</v>
      </c>
      <c r="C153" s="9">
        <v>100</v>
      </c>
      <c r="D153" s="9">
        <f>PRODUCT(sales_data_sample[[#This Row],[QUANTITYORDERED]],sales_data_sample[[#This Row],[PRICEEACH]])</f>
        <v>4000</v>
      </c>
      <c r="E153" s="9">
        <f>IF(OR(sales_data_sample[[#This Row],[STATUS]]="Shipped",sales_data_sample[[#This Row],[STATUS]]="Resolved"),sales_data_sample[[#This Row],[SALES]],0)</f>
        <v>4000</v>
      </c>
      <c r="F153" s="10">
        <v>7</v>
      </c>
      <c r="G153" s="12" t="s">
        <v>587</v>
      </c>
      <c r="H153" s="1" t="s">
        <v>26</v>
      </c>
      <c r="I153">
        <v>4</v>
      </c>
      <c r="J153">
        <v>10</v>
      </c>
      <c r="K153">
        <v>2004</v>
      </c>
      <c r="L153" s="1" t="s">
        <v>239</v>
      </c>
      <c r="M153">
        <v>147</v>
      </c>
      <c r="N153" s="1" t="s">
        <v>554</v>
      </c>
      <c r="O153" s="1" t="s">
        <v>299</v>
      </c>
      <c r="P153" s="1" t="s">
        <v>300</v>
      </c>
      <c r="Q153" s="1" t="s">
        <v>301</v>
      </c>
      <c r="R153" s="1" t="s">
        <v>32</v>
      </c>
      <c r="S153" s="1" t="s">
        <v>302</v>
      </c>
      <c r="T153" s="1" t="s">
        <v>303</v>
      </c>
      <c r="U153" s="1" t="s">
        <v>304</v>
      </c>
      <c r="V153" s="1" t="s">
        <v>305</v>
      </c>
      <c r="W153" s="1" t="s">
        <v>37</v>
      </c>
      <c r="X153" s="1" t="s">
        <v>306</v>
      </c>
      <c r="Y153" s="1" t="s">
        <v>307</v>
      </c>
      <c r="Z153" s="1" t="str">
        <f>TRIM(_xlfn.CONCAT(sales_data_sample[[#This Row],[CONTACTFIRSTNAME]],", ",sales_data_sample[[#This Row],[CONTACTLASTNAME]]))</f>
        <v>Yoshi, Tannamuri</v>
      </c>
      <c r="AA153" s="1" t="s">
        <v>59</v>
      </c>
    </row>
    <row r="154" spans="1:27" x14ac:dyDescent="0.25">
      <c r="A154" s="10">
        <v>10322</v>
      </c>
      <c r="B154" s="9">
        <v>46</v>
      </c>
      <c r="C154" s="9">
        <v>6199</v>
      </c>
      <c r="D154" s="9">
        <f>PRODUCT(sales_data_sample[[#This Row],[QUANTITYORDERED]],sales_data_sample[[#This Row],[PRICEEACH]])</f>
        <v>285154</v>
      </c>
      <c r="E154" s="9">
        <f>IF(OR(sales_data_sample[[#This Row],[STATUS]]="Shipped",sales_data_sample[[#This Row],[STATUS]]="Resolved"),sales_data_sample[[#This Row],[SALES]],0)</f>
        <v>285154</v>
      </c>
      <c r="F154" s="10">
        <v>8</v>
      </c>
      <c r="G154" s="12" t="s">
        <v>367</v>
      </c>
      <c r="H154" s="1" t="s">
        <v>26</v>
      </c>
      <c r="I154">
        <v>4</v>
      </c>
      <c r="J154">
        <v>11</v>
      </c>
      <c r="K154">
        <v>2004</v>
      </c>
      <c r="L154" s="1" t="s">
        <v>239</v>
      </c>
      <c r="M154">
        <v>147</v>
      </c>
      <c r="N154" s="1" t="s">
        <v>554</v>
      </c>
      <c r="O154" s="1" t="s">
        <v>368</v>
      </c>
      <c r="P154" s="1" t="s">
        <v>369</v>
      </c>
      <c r="Q154" s="1" t="s">
        <v>370</v>
      </c>
      <c r="R154" s="1" t="s">
        <v>32</v>
      </c>
      <c r="S154" s="1" t="s">
        <v>371</v>
      </c>
      <c r="T154" s="1" t="s">
        <v>372</v>
      </c>
      <c r="U154" s="1" t="s">
        <v>373</v>
      </c>
      <c r="V154" s="1" t="s">
        <v>36</v>
      </c>
      <c r="W154" s="1" t="s">
        <v>37</v>
      </c>
      <c r="X154" s="1" t="s">
        <v>67</v>
      </c>
      <c r="Y154" s="1" t="s">
        <v>366</v>
      </c>
      <c r="Z154" s="1" t="str">
        <f>TRIM(_xlfn.CONCAT(sales_data_sample[[#This Row],[CONTACTFIRSTNAME]],", ",sales_data_sample[[#This Row],[CONTACTLASTNAME]]))</f>
        <v>Valarie, Young</v>
      </c>
      <c r="AA154" s="1" t="s">
        <v>40</v>
      </c>
    </row>
    <row r="155" spans="1:27" x14ac:dyDescent="0.25">
      <c r="A155" s="10">
        <v>10334</v>
      </c>
      <c r="B155" s="9">
        <v>26</v>
      </c>
      <c r="C155" s="9">
        <v>100</v>
      </c>
      <c r="D155" s="9">
        <f>PRODUCT(sales_data_sample[[#This Row],[QUANTITYORDERED]],sales_data_sample[[#This Row],[PRICEEACH]])</f>
        <v>2600</v>
      </c>
      <c r="E155" s="9">
        <f>IF(OR(sales_data_sample[[#This Row],[STATUS]]="Shipped",sales_data_sample[[#This Row],[STATUS]]="Resolved"),sales_data_sample[[#This Row],[SALES]],0)</f>
        <v>0</v>
      </c>
      <c r="F155" s="10">
        <v>2</v>
      </c>
      <c r="G155" s="12" t="s">
        <v>588</v>
      </c>
      <c r="H155" s="1" t="s">
        <v>553</v>
      </c>
      <c r="I155">
        <v>4</v>
      </c>
      <c r="J155">
        <v>11</v>
      </c>
      <c r="K155">
        <v>2004</v>
      </c>
      <c r="L155" s="1" t="s">
        <v>239</v>
      </c>
      <c r="M155">
        <v>147</v>
      </c>
      <c r="N155" s="1" t="s">
        <v>554</v>
      </c>
      <c r="O155" s="1" t="s">
        <v>242</v>
      </c>
      <c r="P155" s="1" t="s">
        <v>243</v>
      </c>
      <c r="Q155" s="1" t="s">
        <v>244</v>
      </c>
      <c r="R155" s="1" t="s">
        <v>32</v>
      </c>
      <c r="S155" s="1" t="s">
        <v>245</v>
      </c>
      <c r="T155" s="1" t="s">
        <v>32</v>
      </c>
      <c r="U155" s="1" t="s">
        <v>246</v>
      </c>
      <c r="V155" s="1" t="s">
        <v>247</v>
      </c>
      <c r="W155" s="1" t="s">
        <v>48</v>
      </c>
      <c r="X155" s="1" t="s">
        <v>248</v>
      </c>
      <c r="Y155" s="1" t="s">
        <v>249</v>
      </c>
      <c r="Z155" s="1" t="str">
        <f>TRIM(_xlfn.CONCAT(sales_data_sample[[#This Row],[CONTACTFIRSTNAME]],", ",sales_data_sample[[#This Row],[CONTACTLASTNAME]]))</f>
        <v>Christina, Berglund</v>
      </c>
      <c r="AA155" s="1" t="s">
        <v>59</v>
      </c>
    </row>
    <row r="156" spans="1:27" x14ac:dyDescent="0.25">
      <c r="A156">
        <v>10347</v>
      </c>
      <c r="B156">
        <v>27</v>
      </c>
      <c r="C156">
        <v>100</v>
      </c>
      <c r="D156">
        <f>PRODUCT(sales_data_sample[[#This Row],[QUANTITYORDERED]],sales_data_sample[[#This Row],[PRICEEACH]])</f>
        <v>2700</v>
      </c>
      <c r="E156" s="9">
        <f>IF(OR(sales_data_sample[[#This Row],[STATUS]]="Shipped",sales_data_sample[[#This Row],[STATUS]]="Resolved"),sales_data_sample[[#This Row],[SALES]],0)</f>
        <v>2700</v>
      </c>
      <c r="F156">
        <v>2</v>
      </c>
      <c r="G156" s="12" t="s">
        <v>375</v>
      </c>
      <c r="H156" s="1" t="s">
        <v>26</v>
      </c>
      <c r="I156">
        <v>4</v>
      </c>
      <c r="J156">
        <v>11</v>
      </c>
      <c r="K156">
        <v>2004</v>
      </c>
      <c r="L156" s="1" t="s">
        <v>239</v>
      </c>
      <c r="M156">
        <v>147</v>
      </c>
      <c r="N156" s="1" t="s">
        <v>554</v>
      </c>
      <c r="O156" s="1" t="s">
        <v>113</v>
      </c>
      <c r="P156" s="1" t="s">
        <v>114</v>
      </c>
      <c r="Q156" s="1" t="s">
        <v>115</v>
      </c>
      <c r="R156" s="1" t="s">
        <v>116</v>
      </c>
      <c r="S156" s="1" t="s">
        <v>117</v>
      </c>
      <c r="T156" s="1" t="s">
        <v>118</v>
      </c>
      <c r="U156" s="1" t="s">
        <v>119</v>
      </c>
      <c r="V156" s="1" t="s">
        <v>120</v>
      </c>
      <c r="W156" s="1" t="s">
        <v>121</v>
      </c>
      <c r="X156" s="1" t="s">
        <v>122</v>
      </c>
      <c r="Y156" s="1" t="s">
        <v>123</v>
      </c>
      <c r="Z156" s="1" t="str">
        <f>TRIM(_xlfn.CONCAT(sales_data_sample[[#This Row],[CONTACTFIRSTNAME]],", ",sales_data_sample[[#This Row],[CONTACTLASTNAME]]))</f>
        <v>Peter, Ferguson</v>
      </c>
      <c r="AA156" s="1" t="s">
        <v>59</v>
      </c>
    </row>
    <row r="157" spans="1:27" x14ac:dyDescent="0.25">
      <c r="A157" s="10">
        <v>10357</v>
      </c>
      <c r="B157" s="9">
        <v>43</v>
      </c>
      <c r="C157" s="9">
        <v>100</v>
      </c>
      <c r="D157" s="9">
        <f>PRODUCT(sales_data_sample[[#This Row],[QUANTITYORDERED]],sales_data_sample[[#This Row],[PRICEEACH]])</f>
        <v>4300</v>
      </c>
      <c r="E157" s="9">
        <f>IF(OR(sales_data_sample[[#This Row],[STATUS]]="Shipped",sales_data_sample[[#This Row],[STATUS]]="Resolved"),sales_data_sample[[#This Row],[SALES]],0)</f>
        <v>4300</v>
      </c>
      <c r="F157" s="10">
        <v>9</v>
      </c>
      <c r="G157" s="12" t="s">
        <v>376</v>
      </c>
      <c r="H157" s="1" t="s">
        <v>26</v>
      </c>
      <c r="I157">
        <v>4</v>
      </c>
      <c r="J157">
        <v>12</v>
      </c>
      <c r="K157">
        <v>2004</v>
      </c>
      <c r="L157" s="1" t="s">
        <v>239</v>
      </c>
      <c r="M157">
        <v>147</v>
      </c>
      <c r="N157" s="1" t="s">
        <v>554</v>
      </c>
      <c r="O157" s="1" t="s">
        <v>361</v>
      </c>
      <c r="P157" s="1" t="s">
        <v>362</v>
      </c>
      <c r="Q157" s="1" t="s">
        <v>363</v>
      </c>
      <c r="R157" s="1" t="s">
        <v>32</v>
      </c>
      <c r="S157" s="1" t="s">
        <v>364</v>
      </c>
      <c r="T157" s="1" t="s">
        <v>65</v>
      </c>
      <c r="U157" s="1" t="s">
        <v>145</v>
      </c>
      <c r="V157" s="1" t="s">
        <v>36</v>
      </c>
      <c r="W157" s="1" t="s">
        <v>37</v>
      </c>
      <c r="X157" s="1" t="s">
        <v>365</v>
      </c>
      <c r="Y157" s="1" t="s">
        <v>366</v>
      </c>
      <c r="Z157" s="1" t="str">
        <f>TRIM(_xlfn.CONCAT(sales_data_sample[[#This Row],[CONTACTFIRSTNAME]],", ",sales_data_sample[[#This Row],[CONTACTLASTNAME]]))</f>
        <v>Valarie, Nelson</v>
      </c>
      <c r="AA157" s="1" t="s">
        <v>59</v>
      </c>
    </row>
    <row r="158" spans="1:27" x14ac:dyDescent="0.25">
      <c r="A158">
        <v>10370</v>
      </c>
      <c r="B158">
        <v>35</v>
      </c>
      <c r="C158">
        <v>6563</v>
      </c>
      <c r="D158">
        <f>PRODUCT(sales_data_sample[[#This Row],[QUANTITYORDERED]],sales_data_sample[[#This Row],[PRICEEACH]])</f>
        <v>229705</v>
      </c>
      <c r="E158" s="9">
        <f>IF(OR(sales_data_sample[[#This Row],[STATUS]]="Shipped",sales_data_sample[[#This Row],[STATUS]]="Resolved"),sales_data_sample[[#This Row],[SALES]],0)</f>
        <v>229705</v>
      </c>
      <c r="F158">
        <v>4</v>
      </c>
      <c r="G158" s="12" t="s">
        <v>377</v>
      </c>
      <c r="H158" s="1" t="s">
        <v>26</v>
      </c>
      <c r="I158">
        <v>1</v>
      </c>
      <c r="J158">
        <v>1</v>
      </c>
      <c r="K158">
        <v>2005</v>
      </c>
      <c r="L158" s="1" t="s">
        <v>239</v>
      </c>
      <c r="M158">
        <v>147</v>
      </c>
      <c r="N158" s="1" t="s">
        <v>554</v>
      </c>
      <c r="O158" s="1" t="s">
        <v>385</v>
      </c>
      <c r="P158" s="1" t="s">
        <v>386</v>
      </c>
      <c r="Q158" s="1" t="s">
        <v>387</v>
      </c>
      <c r="R158" s="1" t="s">
        <v>388</v>
      </c>
      <c r="S158" s="1" t="s">
        <v>389</v>
      </c>
      <c r="T158" s="1" t="s">
        <v>206</v>
      </c>
      <c r="U158" s="1" t="s">
        <v>390</v>
      </c>
      <c r="V158" s="1" t="s">
        <v>120</v>
      </c>
      <c r="W158" s="1" t="s">
        <v>121</v>
      </c>
      <c r="X158" s="1" t="s">
        <v>391</v>
      </c>
      <c r="Y158" s="1" t="s">
        <v>392</v>
      </c>
      <c r="Z158" s="1" t="str">
        <f>TRIM(_xlfn.CONCAT(sales_data_sample[[#This Row],[CONTACTFIRSTNAME]],", ",sales_data_sample[[#This Row],[CONTACTLASTNAME]]))</f>
        <v>Anna, O'Hara</v>
      </c>
      <c r="AA158" s="1" t="s">
        <v>40</v>
      </c>
    </row>
    <row r="159" spans="1:27" x14ac:dyDescent="0.25">
      <c r="A159" s="10">
        <v>10381</v>
      </c>
      <c r="B159" s="9">
        <v>37</v>
      </c>
      <c r="C159" s="9">
        <v>100</v>
      </c>
      <c r="D159" s="9">
        <f>PRODUCT(sales_data_sample[[#This Row],[QUANTITYORDERED]],sales_data_sample[[#This Row],[PRICEEACH]])</f>
        <v>3700</v>
      </c>
      <c r="E159" s="9">
        <f>IF(OR(sales_data_sample[[#This Row],[STATUS]]="Shipped",sales_data_sample[[#This Row],[STATUS]]="Resolved"),sales_data_sample[[#This Row],[SALES]],0)</f>
        <v>3700</v>
      </c>
      <c r="F159" s="10">
        <v>6</v>
      </c>
      <c r="G159" s="12" t="s">
        <v>383</v>
      </c>
      <c r="H159" s="1" t="s">
        <v>26</v>
      </c>
      <c r="I159">
        <v>1</v>
      </c>
      <c r="J159">
        <v>2</v>
      </c>
      <c r="K159">
        <v>2005</v>
      </c>
      <c r="L159" s="1" t="s">
        <v>239</v>
      </c>
      <c r="M159">
        <v>147</v>
      </c>
      <c r="N159" s="1" t="s">
        <v>554</v>
      </c>
      <c r="O159" s="1" t="s">
        <v>70</v>
      </c>
      <c r="P159" s="1" t="s">
        <v>71</v>
      </c>
      <c r="Q159" s="1" t="s">
        <v>72</v>
      </c>
      <c r="R159" s="1" t="s">
        <v>32</v>
      </c>
      <c r="S159" s="1" t="s">
        <v>73</v>
      </c>
      <c r="T159" s="1" t="s">
        <v>65</v>
      </c>
      <c r="U159" s="1" t="s">
        <v>32</v>
      </c>
      <c r="V159" s="1" t="s">
        <v>36</v>
      </c>
      <c r="W159" s="1" t="s">
        <v>37</v>
      </c>
      <c r="X159" s="1" t="s">
        <v>74</v>
      </c>
      <c r="Y159" s="1" t="s">
        <v>68</v>
      </c>
      <c r="Z159" s="1" t="str">
        <f>TRIM(_xlfn.CONCAT(sales_data_sample[[#This Row],[CONTACTFIRSTNAME]],", ",sales_data_sample[[#This Row],[CONTACTLASTNAME]]))</f>
        <v>Julie, Brown</v>
      </c>
      <c r="AA159" s="1" t="s">
        <v>59</v>
      </c>
    </row>
    <row r="160" spans="1:27" x14ac:dyDescent="0.25">
      <c r="A160">
        <v>10391</v>
      </c>
      <c r="B160">
        <v>37</v>
      </c>
      <c r="C160">
        <v>469</v>
      </c>
      <c r="D160">
        <f>PRODUCT(sales_data_sample[[#This Row],[QUANTITYORDERED]],sales_data_sample[[#This Row],[PRICEEACH]])</f>
        <v>17353</v>
      </c>
      <c r="E160" s="9">
        <f>IF(OR(sales_data_sample[[#This Row],[STATUS]]="Shipped",sales_data_sample[[#This Row],[STATUS]]="Resolved"),sales_data_sample[[#This Row],[SALES]],0)</f>
        <v>17353</v>
      </c>
      <c r="F160">
        <v>7</v>
      </c>
      <c r="G160" s="12" t="s">
        <v>384</v>
      </c>
      <c r="H160" s="1" t="s">
        <v>26</v>
      </c>
      <c r="I160">
        <v>1</v>
      </c>
      <c r="J160">
        <v>3</v>
      </c>
      <c r="K160">
        <v>2005</v>
      </c>
      <c r="L160" s="1" t="s">
        <v>239</v>
      </c>
      <c r="M160">
        <v>147</v>
      </c>
      <c r="N160" s="1" t="s">
        <v>554</v>
      </c>
      <c r="O160" s="1" t="s">
        <v>385</v>
      </c>
      <c r="P160" s="1" t="s">
        <v>386</v>
      </c>
      <c r="Q160" s="1" t="s">
        <v>387</v>
      </c>
      <c r="R160" s="1" t="s">
        <v>388</v>
      </c>
      <c r="S160" s="1" t="s">
        <v>389</v>
      </c>
      <c r="T160" s="1" t="s">
        <v>206</v>
      </c>
      <c r="U160" s="1" t="s">
        <v>390</v>
      </c>
      <c r="V160" s="1" t="s">
        <v>120</v>
      </c>
      <c r="W160" s="1" t="s">
        <v>121</v>
      </c>
      <c r="X160" s="1" t="s">
        <v>391</v>
      </c>
      <c r="Y160" s="1" t="s">
        <v>392</v>
      </c>
      <c r="Z160" s="1" t="str">
        <f>TRIM(_xlfn.CONCAT(sales_data_sample[[#This Row],[CONTACTFIRSTNAME]],", ",sales_data_sample[[#This Row],[CONTACTLASTNAME]]))</f>
        <v>Anna, O'Hara</v>
      </c>
      <c r="AA160" s="1" t="s">
        <v>40</v>
      </c>
    </row>
    <row r="161" spans="1:27" x14ac:dyDescent="0.25">
      <c r="A161" s="10">
        <v>10411</v>
      </c>
      <c r="B161" s="9">
        <v>27</v>
      </c>
      <c r="C161" s="9">
        <v>100</v>
      </c>
      <c r="D161" s="9">
        <f>PRODUCT(sales_data_sample[[#This Row],[QUANTITYORDERED]],sales_data_sample[[#This Row],[PRICEEACH]])</f>
        <v>2700</v>
      </c>
      <c r="E161" s="9">
        <f>IF(OR(sales_data_sample[[#This Row],[STATUS]]="Shipped",sales_data_sample[[#This Row],[STATUS]]="Resolved"),sales_data_sample[[#This Row],[SALES]],0)</f>
        <v>2700</v>
      </c>
      <c r="F161" s="10">
        <v>2</v>
      </c>
      <c r="G161" s="12" t="s">
        <v>393</v>
      </c>
      <c r="H161" s="1" t="s">
        <v>26</v>
      </c>
      <c r="I161">
        <v>2</v>
      </c>
      <c r="J161">
        <v>5</v>
      </c>
      <c r="K161">
        <v>2005</v>
      </c>
      <c r="L161" s="1" t="s">
        <v>239</v>
      </c>
      <c r="M161">
        <v>147</v>
      </c>
      <c r="N161" s="1" t="s">
        <v>554</v>
      </c>
      <c r="O161" s="1" t="s">
        <v>394</v>
      </c>
      <c r="P161" s="1" t="s">
        <v>395</v>
      </c>
      <c r="Q161" s="1" t="s">
        <v>396</v>
      </c>
      <c r="R161" s="1" t="s">
        <v>32</v>
      </c>
      <c r="S161" s="1" t="s">
        <v>397</v>
      </c>
      <c r="T161" s="1" t="s">
        <v>398</v>
      </c>
      <c r="U161" s="1" t="s">
        <v>399</v>
      </c>
      <c r="V161" s="1" t="s">
        <v>305</v>
      </c>
      <c r="W161" s="1" t="s">
        <v>37</v>
      </c>
      <c r="X161" s="1" t="s">
        <v>400</v>
      </c>
      <c r="Y161" s="1" t="s">
        <v>401</v>
      </c>
      <c r="Z161" s="1" t="str">
        <f>TRIM(_xlfn.CONCAT(sales_data_sample[[#This Row],[CONTACTFIRSTNAME]],", ",sales_data_sample[[#This Row],[CONTACTLASTNAME]]))</f>
        <v>Jean, Fresnisre</v>
      </c>
      <c r="AA161" s="1" t="s">
        <v>59</v>
      </c>
    </row>
    <row r="162" spans="1:27" x14ac:dyDescent="0.25">
      <c r="A162" s="10">
        <v>10425</v>
      </c>
      <c r="B162" s="9">
        <v>38</v>
      </c>
      <c r="C162" s="9">
        <v>100</v>
      </c>
      <c r="D162" s="9">
        <f>PRODUCT(sales_data_sample[[#This Row],[QUANTITYORDERED]],sales_data_sample[[#This Row],[PRICEEACH]])</f>
        <v>3800</v>
      </c>
      <c r="E162" s="9">
        <f>IF(OR(sales_data_sample[[#This Row],[STATUS]]="Shipped",sales_data_sample[[#This Row],[STATUS]]="Resolved"),sales_data_sample[[#This Row],[SALES]],0)</f>
        <v>0</v>
      </c>
      <c r="F162" s="10">
        <v>12</v>
      </c>
      <c r="G162" s="12" t="s">
        <v>402</v>
      </c>
      <c r="H162" s="1" t="s">
        <v>403</v>
      </c>
      <c r="I162">
        <v>2</v>
      </c>
      <c r="J162">
        <v>5</v>
      </c>
      <c r="K162">
        <v>2005</v>
      </c>
      <c r="L162" s="1" t="s">
        <v>239</v>
      </c>
      <c r="M162">
        <v>147</v>
      </c>
      <c r="N162" s="1" t="s">
        <v>554</v>
      </c>
      <c r="O162" s="1" t="s">
        <v>148</v>
      </c>
      <c r="P162" s="1" t="s">
        <v>149</v>
      </c>
      <c r="Q162" s="1" t="s">
        <v>150</v>
      </c>
      <c r="R162" s="1" t="s">
        <v>32</v>
      </c>
      <c r="S162" s="1" t="s">
        <v>151</v>
      </c>
      <c r="T162" s="1" t="s">
        <v>32</v>
      </c>
      <c r="U162" s="1" t="s">
        <v>152</v>
      </c>
      <c r="V162" s="1" t="s">
        <v>47</v>
      </c>
      <c r="W162" s="1" t="s">
        <v>48</v>
      </c>
      <c r="X162" s="1" t="s">
        <v>153</v>
      </c>
      <c r="Y162" s="1" t="s">
        <v>154</v>
      </c>
      <c r="Z162" s="1" t="str">
        <f>TRIM(_xlfn.CONCAT(sales_data_sample[[#This Row],[CONTACTFIRSTNAME]],", ",sales_data_sample[[#This Row],[CONTACTLASTNAME]]))</f>
        <v>Janine, Labrune</v>
      </c>
      <c r="AA162" s="1" t="s">
        <v>59</v>
      </c>
    </row>
    <row r="163" spans="1:27" x14ac:dyDescent="0.25">
      <c r="A163" s="10">
        <v>10108</v>
      </c>
      <c r="B163" s="9">
        <v>33</v>
      </c>
      <c r="C163" s="9">
        <v>100</v>
      </c>
      <c r="D163" s="9">
        <f>PRODUCT(sales_data_sample[[#This Row],[QUANTITYORDERED]],sales_data_sample[[#This Row],[PRICEEACH]])</f>
        <v>3300</v>
      </c>
      <c r="E163" s="9">
        <f>IF(OR(sales_data_sample[[#This Row],[STATUS]]="Shipped",sales_data_sample[[#This Row],[STATUS]]="Resolved"),sales_data_sample[[#This Row],[SALES]],0)</f>
        <v>3300</v>
      </c>
      <c r="F163" s="10">
        <v>6</v>
      </c>
      <c r="G163" s="12" t="s">
        <v>589</v>
      </c>
      <c r="H163" s="1" t="s">
        <v>26</v>
      </c>
      <c r="I163">
        <v>1</v>
      </c>
      <c r="J163">
        <v>3</v>
      </c>
      <c r="K163">
        <v>2003</v>
      </c>
      <c r="L163" s="1" t="s">
        <v>239</v>
      </c>
      <c r="M163">
        <v>194</v>
      </c>
      <c r="N163" s="1" t="s">
        <v>590</v>
      </c>
      <c r="O163" s="1" t="s">
        <v>591</v>
      </c>
      <c r="P163" s="1" t="s">
        <v>592</v>
      </c>
      <c r="Q163" s="1" t="s">
        <v>593</v>
      </c>
      <c r="R163" s="1" t="s">
        <v>32</v>
      </c>
      <c r="S163" s="1" t="s">
        <v>594</v>
      </c>
      <c r="T163" s="1" t="s">
        <v>32</v>
      </c>
      <c r="U163" s="1" t="s">
        <v>595</v>
      </c>
      <c r="V163" s="1" t="s">
        <v>596</v>
      </c>
      <c r="W163" s="1" t="s">
        <v>264</v>
      </c>
      <c r="X163" s="1" t="s">
        <v>597</v>
      </c>
      <c r="Y163" s="1" t="s">
        <v>598</v>
      </c>
      <c r="Z163" s="1" t="str">
        <f>TRIM(_xlfn.CONCAT(sales_data_sample[[#This Row],[CONTACTFIRSTNAME]],", ",sales_data_sample[[#This Row],[CONTACTLASTNAME]]))</f>
        <v>Arnold, Cruz</v>
      </c>
      <c r="AA163" s="1" t="s">
        <v>59</v>
      </c>
    </row>
    <row r="164" spans="1:27" x14ac:dyDescent="0.25">
      <c r="A164" s="10">
        <v>10122</v>
      </c>
      <c r="B164" s="9">
        <v>42</v>
      </c>
      <c r="C164" s="9">
        <v>100</v>
      </c>
      <c r="D164" s="9">
        <f>PRODUCT(sales_data_sample[[#This Row],[QUANTITYORDERED]],sales_data_sample[[#This Row],[PRICEEACH]])</f>
        <v>4200</v>
      </c>
      <c r="E164" s="9">
        <f>IF(OR(sales_data_sample[[#This Row],[STATUS]]="Shipped",sales_data_sample[[#This Row],[STATUS]]="Resolved"),sales_data_sample[[#This Row],[SALES]],0)</f>
        <v>4200</v>
      </c>
      <c r="F164" s="10">
        <v>10</v>
      </c>
      <c r="G164" s="12" t="s">
        <v>599</v>
      </c>
      <c r="H164" s="1" t="s">
        <v>26</v>
      </c>
      <c r="I164">
        <v>2</v>
      </c>
      <c r="J164">
        <v>5</v>
      </c>
      <c r="K164">
        <v>2003</v>
      </c>
      <c r="L164" s="1" t="s">
        <v>239</v>
      </c>
      <c r="M164">
        <v>194</v>
      </c>
      <c r="N164" s="1" t="s">
        <v>590</v>
      </c>
      <c r="O164" s="1" t="s">
        <v>600</v>
      </c>
      <c r="P164" s="1" t="s">
        <v>601</v>
      </c>
      <c r="Q164" s="1" t="s">
        <v>602</v>
      </c>
      <c r="R164" s="1" t="s">
        <v>32</v>
      </c>
      <c r="S164" s="1" t="s">
        <v>603</v>
      </c>
      <c r="T164" s="1" t="s">
        <v>32</v>
      </c>
      <c r="U164" s="1" t="s">
        <v>604</v>
      </c>
      <c r="V164" s="1" t="s">
        <v>47</v>
      </c>
      <c r="W164" s="1" t="s">
        <v>48</v>
      </c>
      <c r="X164" s="1" t="s">
        <v>605</v>
      </c>
      <c r="Y164" s="1" t="s">
        <v>606</v>
      </c>
      <c r="Z164" s="1" t="str">
        <f>TRIM(_xlfn.CONCAT(sales_data_sample[[#This Row],[CONTACTFIRSTNAME]],", ",sales_data_sample[[#This Row],[CONTACTLASTNAME]]))</f>
        <v>Laurence, Lebihan</v>
      </c>
      <c r="AA164" s="1" t="s">
        <v>199</v>
      </c>
    </row>
    <row r="165" spans="1:27" x14ac:dyDescent="0.25">
      <c r="A165" s="10">
        <v>10135</v>
      </c>
      <c r="B165" s="9">
        <v>42</v>
      </c>
      <c r="C165" s="9">
        <v>100</v>
      </c>
      <c r="D165" s="9">
        <f>PRODUCT(sales_data_sample[[#This Row],[QUANTITYORDERED]],sales_data_sample[[#This Row],[PRICEEACH]])</f>
        <v>4200</v>
      </c>
      <c r="E165" s="9">
        <f>IF(OR(sales_data_sample[[#This Row],[STATUS]]="Shipped",sales_data_sample[[#This Row],[STATUS]]="Resolved"),sales_data_sample[[#This Row],[SALES]],0)</f>
        <v>4200</v>
      </c>
      <c r="F165" s="10">
        <v>7</v>
      </c>
      <c r="G165" s="12" t="s">
        <v>607</v>
      </c>
      <c r="H165" s="1" t="s">
        <v>26</v>
      </c>
      <c r="I165">
        <v>3</v>
      </c>
      <c r="J165">
        <v>7</v>
      </c>
      <c r="K165">
        <v>2003</v>
      </c>
      <c r="L165" s="1" t="s">
        <v>239</v>
      </c>
      <c r="M165">
        <v>194</v>
      </c>
      <c r="N165" s="1" t="s">
        <v>590</v>
      </c>
      <c r="O165" s="1" t="s">
        <v>361</v>
      </c>
      <c r="P165" s="1" t="s">
        <v>362</v>
      </c>
      <c r="Q165" s="1" t="s">
        <v>363</v>
      </c>
      <c r="R165" s="1" t="s">
        <v>32</v>
      </c>
      <c r="S165" s="1" t="s">
        <v>364</v>
      </c>
      <c r="T165" s="1" t="s">
        <v>65</v>
      </c>
      <c r="U165" s="1" t="s">
        <v>145</v>
      </c>
      <c r="V165" s="1" t="s">
        <v>36</v>
      </c>
      <c r="W165" s="1" t="s">
        <v>37</v>
      </c>
      <c r="X165" s="1" t="s">
        <v>365</v>
      </c>
      <c r="Y165" s="1" t="s">
        <v>366</v>
      </c>
      <c r="Z165" s="1" t="str">
        <f>TRIM(_xlfn.CONCAT(sales_data_sample[[#This Row],[CONTACTFIRSTNAME]],", ",sales_data_sample[[#This Row],[CONTACTLASTNAME]]))</f>
        <v>Valarie, Nelson</v>
      </c>
      <c r="AA165" s="1" t="s">
        <v>199</v>
      </c>
    </row>
    <row r="166" spans="1:27" x14ac:dyDescent="0.25">
      <c r="A166" s="10">
        <v>10147</v>
      </c>
      <c r="B166" s="9">
        <v>48</v>
      </c>
      <c r="C166" s="9">
        <v>100</v>
      </c>
      <c r="D166" s="9">
        <f>PRODUCT(sales_data_sample[[#This Row],[QUANTITYORDERED]],sales_data_sample[[#This Row],[PRICEEACH]])</f>
        <v>4800</v>
      </c>
      <c r="E166" s="9">
        <f>IF(OR(sales_data_sample[[#This Row],[STATUS]]="Shipped",sales_data_sample[[#This Row],[STATUS]]="Resolved"),sales_data_sample[[#This Row],[SALES]],0)</f>
        <v>4800</v>
      </c>
      <c r="F166" s="10">
        <v>7</v>
      </c>
      <c r="G166" s="12" t="s">
        <v>608</v>
      </c>
      <c r="H166" s="1" t="s">
        <v>26</v>
      </c>
      <c r="I166">
        <v>3</v>
      </c>
      <c r="J166">
        <v>9</v>
      </c>
      <c r="K166">
        <v>2003</v>
      </c>
      <c r="L166" s="1" t="s">
        <v>239</v>
      </c>
      <c r="M166">
        <v>194</v>
      </c>
      <c r="N166" s="1" t="s">
        <v>590</v>
      </c>
      <c r="O166" s="1" t="s">
        <v>378</v>
      </c>
      <c r="P166" s="1" t="s">
        <v>157</v>
      </c>
      <c r="Q166" s="1" t="s">
        <v>379</v>
      </c>
      <c r="R166" s="1" t="s">
        <v>32</v>
      </c>
      <c r="S166" s="1" t="s">
        <v>380</v>
      </c>
      <c r="T166" s="1" t="s">
        <v>160</v>
      </c>
      <c r="U166" s="1" t="s">
        <v>381</v>
      </c>
      <c r="V166" s="1" t="s">
        <v>36</v>
      </c>
      <c r="W166" s="1" t="s">
        <v>37</v>
      </c>
      <c r="X166" s="1" t="s">
        <v>365</v>
      </c>
      <c r="Y166" s="1" t="s">
        <v>382</v>
      </c>
      <c r="Z166" s="1" t="str">
        <f>TRIM(_xlfn.CONCAT(sales_data_sample[[#This Row],[CONTACTFIRSTNAME]],", ",sales_data_sample[[#This Row],[CONTACTLASTNAME]]))</f>
        <v>Allen, Nelson</v>
      </c>
      <c r="AA166" s="1" t="s">
        <v>199</v>
      </c>
    </row>
    <row r="167" spans="1:27" x14ac:dyDescent="0.25">
      <c r="A167" s="10">
        <v>10159</v>
      </c>
      <c r="B167" s="9">
        <v>41</v>
      </c>
      <c r="C167" s="9">
        <v>100</v>
      </c>
      <c r="D167" s="9">
        <f>PRODUCT(sales_data_sample[[#This Row],[QUANTITYORDERED]],sales_data_sample[[#This Row],[PRICEEACH]])</f>
        <v>4100</v>
      </c>
      <c r="E167" s="9">
        <f>IF(OR(sales_data_sample[[#This Row],[STATUS]]="Shipped",sales_data_sample[[#This Row],[STATUS]]="Resolved"),sales_data_sample[[#This Row],[SALES]],0)</f>
        <v>4100</v>
      </c>
      <c r="F167" s="10">
        <v>2</v>
      </c>
      <c r="G167" s="12" t="s">
        <v>69</v>
      </c>
      <c r="H167" s="1" t="s">
        <v>26</v>
      </c>
      <c r="I167">
        <v>4</v>
      </c>
      <c r="J167">
        <v>10</v>
      </c>
      <c r="K167">
        <v>2003</v>
      </c>
      <c r="L167" s="1" t="s">
        <v>239</v>
      </c>
      <c r="M167">
        <v>194</v>
      </c>
      <c r="N167" s="1" t="s">
        <v>590</v>
      </c>
      <c r="O167" s="1" t="s">
        <v>70</v>
      </c>
      <c r="P167" s="1" t="s">
        <v>71</v>
      </c>
      <c r="Q167" s="1" t="s">
        <v>72</v>
      </c>
      <c r="R167" s="1" t="s">
        <v>32</v>
      </c>
      <c r="S167" s="1" t="s">
        <v>73</v>
      </c>
      <c r="T167" s="1" t="s">
        <v>65</v>
      </c>
      <c r="U167" s="1" t="s">
        <v>32</v>
      </c>
      <c r="V167" s="1" t="s">
        <v>36</v>
      </c>
      <c r="W167" s="1" t="s">
        <v>37</v>
      </c>
      <c r="X167" s="1" t="s">
        <v>74</v>
      </c>
      <c r="Y167" s="1" t="s">
        <v>68</v>
      </c>
      <c r="Z167" s="1" t="str">
        <f>TRIM(_xlfn.CONCAT(sales_data_sample[[#This Row],[CONTACTFIRSTNAME]],", ",sales_data_sample[[#This Row],[CONTACTLASTNAME]]))</f>
        <v>Julie, Brown</v>
      </c>
      <c r="AA167" s="1" t="s">
        <v>199</v>
      </c>
    </row>
    <row r="168" spans="1:27" x14ac:dyDescent="0.25">
      <c r="A168">
        <v>10169</v>
      </c>
      <c r="B168">
        <v>30</v>
      </c>
      <c r="C168">
        <v>100</v>
      </c>
      <c r="D168">
        <f>PRODUCT(sales_data_sample[[#This Row],[QUANTITYORDERED]],sales_data_sample[[#This Row],[PRICEEACH]])</f>
        <v>3000</v>
      </c>
      <c r="E168" s="9">
        <f>IF(OR(sales_data_sample[[#This Row],[STATUS]]="Shipped",sales_data_sample[[#This Row],[STATUS]]="Resolved"),sales_data_sample[[#This Row],[SALES]],0)</f>
        <v>3000</v>
      </c>
      <c r="F168">
        <v>2</v>
      </c>
      <c r="G168" s="12" t="s">
        <v>609</v>
      </c>
      <c r="H168" s="1" t="s">
        <v>26</v>
      </c>
      <c r="I168">
        <v>4</v>
      </c>
      <c r="J168">
        <v>11</v>
      </c>
      <c r="K168">
        <v>2003</v>
      </c>
      <c r="L168" s="1" t="s">
        <v>239</v>
      </c>
      <c r="M168">
        <v>194</v>
      </c>
      <c r="N168" s="1" t="s">
        <v>590</v>
      </c>
      <c r="O168" s="1" t="s">
        <v>385</v>
      </c>
      <c r="P168" s="1" t="s">
        <v>386</v>
      </c>
      <c r="Q168" s="1" t="s">
        <v>387</v>
      </c>
      <c r="R168" s="1" t="s">
        <v>388</v>
      </c>
      <c r="S168" s="1" t="s">
        <v>389</v>
      </c>
      <c r="T168" s="1" t="s">
        <v>206</v>
      </c>
      <c r="U168" s="1" t="s">
        <v>390</v>
      </c>
      <c r="V168" s="1" t="s">
        <v>120</v>
      </c>
      <c r="W168" s="1" t="s">
        <v>121</v>
      </c>
      <c r="X168" s="1" t="s">
        <v>391</v>
      </c>
      <c r="Y168" s="1" t="s">
        <v>392</v>
      </c>
      <c r="Z168" s="1" t="str">
        <f>TRIM(_xlfn.CONCAT(sales_data_sample[[#This Row],[CONTACTFIRSTNAME]],", ",sales_data_sample[[#This Row],[CONTACTLASTNAME]]))</f>
        <v>Anna, O'Hara</v>
      </c>
      <c r="AA168" s="1" t="s">
        <v>59</v>
      </c>
    </row>
    <row r="169" spans="1:27" x14ac:dyDescent="0.25">
      <c r="A169" s="10">
        <v>10181</v>
      </c>
      <c r="B169" s="9">
        <v>27</v>
      </c>
      <c r="C169" s="9">
        <v>100</v>
      </c>
      <c r="D169" s="9">
        <f>PRODUCT(sales_data_sample[[#This Row],[QUANTITYORDERED]],sales_data_sample[[#This Row],[PRICEEACH]])</f>
        <v>2700</v>
      </c>
      <c r="E169" s="9">
        <f>IF(OR(sales_data_sample[[#This Row],[STATUS]]="Shipped",sales_data_sample[[#This Row],[STATUS]]="Resolved"),sales_data_sample[[#This Row],[SALES]],0)</f>
        <v>2700</v>
      </c>
      <c r="F169" s="10">
        <v>14</v>
      </c>
      <c r="G169" s="12" t="s">
        <v>610</v>
      </c>
      <c r="H169" s="1" t="s">
        <v>26</v>
      </c>
      <c r="I169">
        <v>4</v>
      </c>
      <c r="J169">
        <v>11</v>
      </c>
      <c r="K169">
        <v>2003</v>
      </c>
      <c r="L169" s="1" t="s">
        <v>239</v>
      </c>
      <c r="M169">
        <v>194</v>
      </c>
      <c r="N169" s="1" t="s">
        <v>590</v>
      </c>
      <c r="O169" s="1" t="s">
        <v>92</v>
      </c>
      <c r="P169" s="1" t="s">
        <v>93</v>
      </c>
      <c r="Q169" s="1" t="s">
        <v>94</v>
      </c>
      <c r="R169" s="1" t="s">
        <v>32</v>
      </c>
      <c r="S169" s="1" t="s">
        <v>95</v>
      </c>
      <c r="T169" s="1" t="s">
        <v>32</v>
      </c>
      <c r="U169" s="1" t="s">
        <v>96</v>
      </c>
      <c r="V169" s="1" t="s">
        <v>97</v>
      </c>
      <c r="W169" s="1" t="s">
        <v>48</v>
      </c>
      <c r="X169" s="1" t="s">
        <v>98</v>
      </c>
      <c r="Y169" s="1" t="s">
        <v>99</v>
      </c>
      <c r="Z169" s="1" t="str">
        <f>TRIM(_xlfn.CONCAT(sales_data_sample[[#This Row],[CONTACTFIRSTNAME]],", ",sales_data_sample[[#This Row],[CONTACTLASTNAME]]))</f>
        <v>Veysel, Oeztan</v>
      </c>
      <c r="AA169" s="1" t="s">
        <v>59</v>
      </c>
    </row>
    <row r="170" spans="1:27" x14ac:dyDescent="0.25">
      <c r="A170" s="10">
        <v>10191</v>
      </c>
      <c r="B170" s="9">
        <v>21</v>
      </c>
      <c r="C170" s="9">
        <v>100</v>
      </c>
      <c r="D170" s="9">
        <f>PRODUCT(sales_data_sample[[#This Row],[QUANTITYORDERED]],sales_data_sample[[#This Row],[PRICEEACH]])</f>
        <v>2100</v>
      </c>
      <c r="E170" s="9">
        <f>IF(OR(sales_data_sample[[#This Row],[STATUS]]="Shipped",sales_data_sample[[#This Row],[STATUS]]="Resolved"),sales_data_sample[[#This Row],[SALES]],0)</f>
        <v>2100</v>
      </c>
      <c r="F170" s="10">
        <v>3</v>
      </c>
      <c r="G170" s="12" t="s">
        <v>611</v>
      </c>
      <c r="H170" s="1" t="s">
        <v>26</v>
      </c>
      <c r="I170">
        <v>4</v>
      </c>
      <c r="J170">
        <v>11</v>
      </c>
      <c r="K170">
        <v>2003</v>
      </c>
      <c r="L170" s="1" t="s">
        <v>239</v>
      </c>
      <c r="M170">
        <v>194</v>
      </c>
      <c r="N170" s="1" t="s">
        <v>590</v>
      </c>
      <c r="O170" s="1" t="s">
        <v>612</v>
      </c>
      <c r="P170" s="1" t="s">
        <v>613</v>
      </c>
      <c r="Q170" s="1" t="s">
        <v>614</v>
      </c>
      <c r="R170" s="1" t="s">
        <v>32</v>
      </c>
      <c r="S170" s="1" t="s">
        <v>615</v>
      </c>
      <c r="T170" s="1" t="s">
        <v>32</v>
      </c>
      <c r="U170" s="1" t="s">
        <v>616</v>
      </c>
      <c r="V170" s="1" t="s">
        <v>617</v>
      </c>
      <c r="W170" s="1" t="s">
        <v>48</v>
      </c>
      <c r="X170" s="1" t="s">
        <v>618</v>
      </c>
      <c r="Y170" s="1" t="s">
        <v>619</v>
      </c>
      <c r="Z170" s="1" t="str">
        <f>TRIM(_xlfn.CONCAT(sales_data_sample[[#This Row],[CONTACTFIRSTNAME]],", ",sales_data_sample[[#This Row],[CONTACTLASTNAME]]))</f>
        <v>Henriette, Pfalzheim</v>
      </c>
      <c r="AA170" s="1" t="s">
        <v>59</v>
      </c>
    </row>
    <row r="171" spans="1:27" x14ac:dyDescent="0.25">
      <c r="A171" s="10">
        <v>10203</v>
      </c>
      <c r="B171" s="9">
        <v>20</v>
      </c>
      <c r="C171" s="9">
        <v>100</v>
      </c>
      <c r="D171" s="9">
        <f>PRODUCT(sales_data_sample[[#This Row],[QUANTITYORDERED]],sales_data_sample[[#This Row],[PRICEEACH]])</f>
        <v>2000</v>
      </c>
      <c r="E171" s="9">
        <f>IF(OR(sales_data_sample[[#This Row],[STATUS]]="Shipped",sales_data_sample[[#This Row],[STATUS]]="Resolved"),sales_data_sample[[#This Row],[SALES]],0)</f>
        <v>2000</v>
      </c>
      <c r="F171" s="10">
        <v>8</v>
      </c>
      <c r="G171" s="12" t="s">
        <v>620</v>
      </c>
      <c r="H171" s="1" t="s">
        <v>26</v>
      </c>
      <c r="I171">
        <v>4</v>
      </c>
      <c r="J171">
        <v>12</v>
      </c>
      <c r="K171">
        <v>2003</v>
      </c>
      <c r="L171" s="1" t="s">
        <v>239</v>
      </c>
      <c r="M171">
        <v>194</v>
      </c>
      <c r="N171" s="1" t="s">
        <v>590</v>
      </c>
      <c r="O171" s="1" t="s">
        <v>230</v>
      </c>
      <c r="P171" s="1" t="s">
        <v>231</v>
      </c>
      <c r="Q171" s="1" t="s">
        <v>232</v>
      </c>
      <c r="R171" s="1" t="s">
        <v>32</v>
      </c>
      <c r="S171" s="1" t="s">
        <v>233</v>
      </c>
      <c r="T171" s="1" t="s">
        <v>32</v>
      </c>
      <c r="U171" s="1" t="s">
        <v>234</v>
      </c>
      <c r="V171" s="1" t="s">
        <v>235</v>
      </c>
      <c r="W171" s="1" t="s">
        <v>48</v>
      </c>
      <c r="X171" s="1" t="s">
        <v>236</v>
      </c>
      <c r="Y171" s="1" t="s">
        <v>237</v>
      </c>
      <c r="Z171" s="1" t="str">
        <f>TRIM(_xlfn.CONCAT(sales_data_sample[[#This Row],[CONTACTFIRSTNAME]],", ",sales_data_sample[[#This Row],[CONTACTLASTNAME]]))</f>
        <v>Diego, Freyre</v>
      </c>
      <c r="AA171" s="1" t="s">
        <v>59</v>
      </c>
    </row>
    <row r="172" spans="1:27" x14ac:dyDescent="0.25">
      <c r="A172" s="10">
        <v>10211</v>
      </c>
      <c r="B172" s="9">
        <v>41</v>
      </c>
      <c r="C172" s="9">
        <v>100</v>
      </c>
      <c r="D172" s="9">
        <f>PRODUCT(sales_data_sample[[#This Row],[QUANTITYORDERED]],sales_data_sample[[#This Row],[PRICEEACH]])</f>
        <v>4100</v>
      </c>
      <c r="E172" s="9">
        <f>IF(OR(sales_data_sample[[#This Row],[STATUS]]="Shipped",sales_data_sample[[#This Row],[STATUS]]="Resolved"),sales_data_sample[[#This Row],[SALES]],0)</f>
        <v>4100</v>
      </c>
      <c r="F172" s="10">
        <v>2</v>
      </c>
      <c r="G172" s="12" t="s">
        <v>105</v>
      </c>
      <c r="H172" s="1" t="s">
        <v>26</v>
      </c>
      <c r="I172">
        <v>1</v>
      </c>
      <c r="J172">
        <v>1</v>
      </c>
      <c r="K172">
        <v>2004</v>
      </c>
      <c r="L172" s="1" t="s">
        <v>239</v>
      </c>
      <c r="M172">
        <v>194</v>
      </c>
      <c r="N172" s="1" t="s">
        <v>590</v>
      </c>
      <c r="O172" s="1" t="s">
        <v>106</v>
      </c>
      <c r="P172" s="1" t="s">
        <v>107</v>
      </c>
      <c r="Q172" s="1" t="s">
        <v>108</v>
      </c>
      <c r="R172" s="1" t="s">
        <v>32</v>
      </c>
      <c r="S172" s="1" t="s">
        <v>55</v>
      </c>
      <c r="T172" s="1" t="s">
        <v>32</v>
      </c>
      <c r="U172" s="1" t="s">
        <v>109</v>
      </c>
      <c r="V172" s="1" t="s">
        <v>47</v>
      </c>
      <c r="W172" s="1" t="s">
        <v>48</v>
      </c>
      <c r="X172" s="1" t="s">
        <v>110</v>
      </c>
      <c r="Y172" s="1" t="s">
        <v>111</v>
      </c>
      <c r="Z172" s="1" t="str">
        <f>TRIM(_xlfn.CONCAT(sales_data_sample[[#This Row],[CONTACTFIRSTNAME]],", ",sales_data_sample[[#This Row],[CONTACTLASTNAME]]))</f>
        <v>Dominique, Perrier</v>
      </c>
      <c r="AA172" s="1" t="s">
        <v>199</v>
      </c>
    </row>
    <row r="173" spans="1:27" x14ac:dyDescent="0.25">
      <c r="A173" s="10">
        <v>10225</v>
      </c>
      <c r="B173" s="9">
        <v>27</v>
      </c>
      <c r="C173" s="9">
        <v>100</v>
      </c>
      <c r="D173" s="9">
        <f>PRODUCT(sales_data_sample[[#This Row],[QUANTITYORDERED]],sales_data_sample[[#This Row],[PRICEEACH]])</f>
        <v>2700</v>
      </c>
      <c r="E173" s="9">
        <f>IF(OR(sales_data_sample[[#This Row],[STATUS]]="Shipped",sales_data_sample[[#This Row],[STATUS]]="Resolved"),sales_data_sample[[#This Row],[SALES]],0)</f>
        <v>2700</v>
      </c>
      <c r="F173" s="10">
        <v>9</v>
      </c>
      <c r="G173" s="12" t="s">
        <v>621</v>
      </c>
      <c r="H173" s="1" t="s">
        <v>26</v>
      </c>
      <c r="I173">
        <v>1</v>
      </c>
      <c r="J173">
        <v>2</v>
      </c>
      <c r="K173">
        <v>2004</v>
      </c>
      <c r="L173" s="1" t="s">
        <v>239</v>
      </c>
      <c r="M173">
        <v>194</v>
      </c>
      <c r="N173" s="1" t="s">
        <v>590</v>
      </c>
      <c r="O173" s="1" t="s">
        <v>622</v>
      </c>
      <c r="P173" s="1" t="s">
        <v>623</v>
      </c>
      <c r="Q173" s="1" t="s">
        <v>624</v>
      </c>
      <c r="R173" s="1" t="s">
        <v>32</v>
      </c>
      <c r="S173" s="1" t="s">
        <v>625</v>
      </c>
      <c r="T173" s="1" t="s">
        <v>32</v>
      </c>
      <c r="U173" s="1" t="s">
        <v>626</v>
      </c>
      <c r="V173" s="1" t="s">
        <v>627</v>
      </c>
      <c r="W173" s="1" t="s">
        <v>48</v>
      </c>
      <c r="X173" s="1" t="s">
        <v>628</v>
      </c>
      <c r="Y173" s="1" t="s">
        <v>130</v>
      </c>
      <c r="Z173" s="1" t="str">
        <f>TRIM(_xlfn.CONCAT(sales_data_sample[[#This Row],[CONTACTFIRSTNAME]],", ",sales_data_sample[[#This Row],[CONTACTLASTNAME]]))</f>
        <v>Michael, Holz</v>
      </c>
      <c r="AA173" s="1" t="s">
        <v>59</v>
      </c>
    </row>
    <row r="174" spans="1:27" x14ac:dyDescent="0.25">
      <c r="A174" s="10">
        <v>10238</v>
      </c>
      <c r="B174" s="9">
        <v>28</v>
      </c>
      <c r="C174" s="9">
        <v>100</v>
      </c>
      <c r="D174" s="9">
        <f>PRODUCT(sales_data_sample[[#This Row],[QUANTITYORDERED]],sales_data_sample[[#This Row],[PRICEEACH]])</f>
        <v>2800</v>
      </c>
      <c r="E174" s="9">
        <f>IF(OR(sales_data_sample[[#This Row],[STATUS]]="Shipped",sales_data_sample[[#This Row],[STATUS]]="Resolved"),sales_data_sample[[#This Row],[SALES]],0)</f>
        <v>2800</v>
      </c>
      <c r="F174" s="10">
        <v>3</v>
      </c>
      <c r="G174" s="12" t="s">
        <v>629</v>
      </c>
      <c r="H174" s="1" t="s">
        <v>26</v>
      </c>
      <c r="I174">
        <v>2</v>
      </c>
      <c r="J174">
        <v>4</v>
      </c>
      <c r="K174">
        <v>2004</v>
      </c>
      <c r="L174" s="1" t="s">
        <v>239</v>
      </c>
      <c r="M174">
        <v>194</v>
      </c>
      <c r="N174" s="1" t="s">
        <v>590</v>
      </c>
      <c r="O174" s="1" t="s">
        <v>437</v>
      </c>
      <c r="P174" s="1" t="s">
        <v>438</v>
      </c>
      <c r="Q174" s="1" t="s">
        <v>439</v>
      </c>
      <c r="R174" s="1" t="s">
        <v>32</v>
      </c>
      <c r="S174" s="1" t="s">
        <v>440</v>
      </c>
      <c r="T174" s="1" t="s">
        <v>32</v>
      </c>
      <c r="U174" s="1" t="s">
        <v>441</v>
      </c>
      <c r="V174" s="1" t="s">
        <v>442</v>
      </c>
      <c r="W174" s="1" t="s">
        <v>48</v>
      </c>
      <c r="X174" s="1" t="s">
        <v>443</v>
      </c>
      <c r="Y174" s="1" t="s">
        <v>444</v>
      </c>
      <c r="Z174" s="1" t="str">
        <f>TRIM(_xlfn.CONCAT(sales_data_sample[[#This Row],[CONTACTFIRSTNAME]],", ",sales_data_sample[[#This Row],[CONTACTLASTNAME]]))</f>
        <v>Jytte, Petersen</v>
      </c>
      <c r="AA174" s="1" t="s">
        <v>59</v>
      </c>
    </row>
    <row r="175" spans="1:27" x14ac:dyDescent="0.25">
      <c r="A175" s="10">
        <v>10253</v>
      </c>
      <c r="B175" s="9">
        <v>24</v>
      </c>
      <c r="C175" s="9">
        <v>100</v>
      </c>
      <c r="D175" s="9">
        <f>PRODUCT(sales_data_sample[[#This Row],[QUANTITYORDERED]],sales_data_sample[[#This Row],[PRICEEACH]])</f>
        <v>2400</v>
      </c>
      <c r="E175" s="9">
        <f>IF(OR(sales_data_sample[[#This Row],[STATUS]]="Shipped",sales_data_sample[[#This Row],[STATUS]]="Resolved"),sales_data_sample[[#This Row],[SALES]],0)</f>
        <v>0</v>
      </c>
      <c r="F175" s="10">
        <v>13</v>
      </c>
      <c r="G175" s="12" t="s">
        <v>630</v>
      </c>
      <c r="H175" s="1" t="s">
        <v>461</v>
      </c>
      <c r="I175">
        <v>2</v>
      </c>
      <c r="J175">
        <v>6</v>
      </c>
      <c r="K175">
        <v>2004</v>
      </c>
      <c r="L175" s="1" t="s">
        <v>239</v>
      </c>
      <c r="M175">
        <v>194</v>
      </c>
      <c r="N175" s="1" t="s">
        <v>590</v>
      </c>
      <c r="O175" s="1" t="s">
        <v>220</v>
      </c>
      <c r="P175" s="1" t="s">
        <v>221</v>
      </c>
      <c r="Q175" s="1" t="s">
        <v>222</v>
      </c>
      <c r="R175" s="1" t="s">
        <v>32</v>
      </c>
      <c r="S175" s="1" t="s">
        <v>223</v>
      </c>
      <c r="T175" s="1" t="s">
        <v>32</v>
      </c>
      <c r="U175" s="1" t="s">
        <v>224</v>
      </c>
      <c r="V175" s="1" t="s">
        <v>225</v>
      </c>
      <c r="W175" s="1" t="s">
        <v>48</v>
      </c>
      <c r="X175" s="1" t="s">
        <v>226</v>
      </c>
      <c r="Y175" s="1" t="s">
        <v>227</v>
      </c>
      <c r="Z175" s="1" t="str">
        <f>TRIM(_xlfn.CONCAT(sales_data_sample[[#This Row],[CONTACTFIRSTNAME]],", ",sales_data_sample[[#This Row],[CONTACTLASTNAME]]))</f>
        <v>Elizabeth, Devon</v>
      </c>
      <c r="AA175" s="1" t="s">
        <v>59</v>
      </c>
    </row>
    <row r="176" spans="1:27" x14ac:dyDescent="0.25">
      <c r="A176" s="10">
        <v>10266</v>
      </c>
      <c r="B176" s="9">
        <v>44</v>
      </c>
      <c r="C176" s="9">
        <v>100</v>
      </c>
      <c r="D176" s="9">
        <f>PRODUCT(sales_data_sample[[#This Row],[QUANTITYORDERED]],sales_data_sample[[#This Row],[PRICEEACH]])</f>
        <v>4400</v>
      </c>
      <c r="E176" s="9">
        <f>IF(OR(sales_data_sample[[#This Row],[STATUS]]="Shipped",sales_data_sample[[#This Row],[STATUS]]="Resolved"),sales_data_sample[[#This Row],[SALES]],0)</f>
        <v>4400</v>
      </c>
      <c r="F176" s="10">
        <v>14</v>
      </c>
      <c r="G176" s="12" t="s">
        <v>631</v>
      </c>
      <c r="H176" s="1" t="s">
        <v>26</v>
      </c>
      <c r="I176">
        <v>3</v>
      </c>
      <c r="J176">
        <v>7</v>
      </c>
      <c r="K176">
        <v>2004</v>
      </c>
      <c r="L176" s="1" t="s">
        <v>239</v>
      </c>
      <c r="M176">
        <v>194</v>
      </c>
      <c r="N176" s="1" t="s">
        <v>590</v>
      </c>
      <c r="O176" s="1" t="s">
        <v>632</v>
      </c>
      <c r="P176" s="1" t="s">
        <v>633</v>
      </c>
      <c r="Q176" s="1" t="s">
        <v>634</v>
      </c>
      <c r="R176" s="1" t="s">
        <v>32</v>
      </c>
      <c r="S176" s="1" t="s">
        <v>635</v>
      </c>
      <c r="T176" s="1" t="s">
        <v>32</v>
      </c>
      <c r="U176" s="1" t="s">
        <v>636</v>
      </c>
      <c r="V176" s="1" t="s">
        <v>343</v>
      </c>
      <c r="W176" s="1" t="s">
        <v>48</v>
      </c>
      <c r="X176" s="1" t="s">
        <v>637</v>
      </c>
      <c r="Y176" s="1" t="s">
        <v>638</v>
      </c>
      <c r="Z176" s="1" t="str">
        <f>TRIM(_xlfn.CONCAT(sales_data_sample[[#This Row],[CONTACTFIRSTNAME]],", ",sales_data_sample[[#This Row],[CONTACTLASTNAME]]))</f>
        <v>Maurizio, Moroni</v>
      </c>
      <c r="AA176" s="1" t="s">
        <v>199</v>
      </c>
    </row>
    <row r="177" spans="1:27" x14ac:dyDescent="0.25">
      <c r="A177" s="10">
        <v>10276</v>
      </c>
      <c r="B177" s="9">
        <v>50</v>
      </c>
      <c r="C177" s="9">
        <v>100</v>
      </c>
      <c r="D177" s="9">
        <f>PRODUCT(sales_data_sample[[#This Row],[QUANTITYORDERED]],sales_data_sample[[#This Row],[PRICEEACH]])</f>
        <v>5000</v>
      </c>
      <c r="E177" s="9">
        <f>IF(OR(sales_data_sample[[#This Row],[STATUS]]="Shipped",sales_data_sample[[#This Row],[STATUS]]="Resolved"),sales_data_sample[[#This Row],[SALES]],0)</f>
        <v>5000</v>
      </c>
      <c r="F177" s="10">
        <v>3</v>
      </c>
      <c r="G177" s="12" t="s">
        <v>639</v>
      </c>
      <c r="H177" s="1" t="s">
        <v>26</v>
      </c>
      <c r="I177">
        <v>3</v>
      </c>
      <c r="J177">
        <v>8</v>
      </c>
      <c r="K177">
        <v>2004</v>
      </c>
      <c r="L177" s="1" t="s">
        <v>239</v>
      </c>
      <c r="M177">
        <v>194</v>
      </c>
      <c r="N177" s="1" t="s">
        <v>590</v>
      </c>
      <c r="O177" s="1" t="s">
        <v>640</v>
      </c>
      <c r="P177" s="1" t="s">
        <v>641</v>
      </c>
      <c r="Q177" s="1" t="s">
        <v>642</v>
      </c>
      <c r="R177" s="1" t="s">
        <v>32</v>
      </c>
      <c r="S177" s="1" t="s">
        <v>380</v>
      </c>
      <c r="T177" s="1" t="s">
        <v>160</v>
      </c>
      <c r="U177" s="1" t="s">
        <v>381</v>
      </c>
      <c r="V177" s="1" t="s">
        <v>36</v>
      </c>
      <c r="W177" s="1" t="s">
        <v>37</v>
      </c>
      <c r="X177" s="1" t="s">
        <v>643</v>
      </c>
      <c r="Y177" s="1" t="s">
        <v>644</v>
      </c>
      <c r="Z177" s="1" t="str">
        <f>TRIM(_xlfn.CONCAT(sales_data_sample[[#This Row],[CONTACTFIRSTNAME]],", ",sales_data_sample[[#This Row],[CONTACTLASTNAME]]))</f>
        <v>Miguel, Barajas</v>
      </c>
      <c r="AA177" s="1" t="s">
        <v>199</v>
      </c>
    </row>
    <row r="178" spans="1:27" x14ac:dyDescent="0.25">
      <c r="A178" s="10">
        <v>10287</v>
      </c>
      <c r="B178" s="9">
        <v>21</v>
      </c>
      <c r="C178" s="9">
        <v>100</v>
      </c>
      <c r="D178" s="9">
        <f>PRODUCT(sales_data_sample[[#This Row],[QUANTITYORDERED]],sales_data_sample[[#This Row],[PRICEEACH]])</f>
        <v>2100</v>
      </c>
      <c r="E178" s="9">
        <f>IF(OR(sales_data_sample[[#This Row],[STATUS]]="Shipped",sales_data_sample[[#This Row],[STATUS]]="Resolved"),sales_data_sample[[#This Row],[SALES]],0)</f>
        <v>2100</v>
      </c>
      <c r="F178" s="10">
        <v>12</v>
      </c>
      <c r="G178" s="12" t="s">
        <v>645</v>
      </c>
      <c r="H178" s="1" t="s">
        <v>26</v>
      </c>
      <c r="I178">
        <v>3</v>
      </c>
      <c r="J178">
        <v>8</v>
      </c>
      <c r="K178">
        <v>2004</v>
      </c>
      <c r="L178" s="1" t="s">
        <v>239</v>
      </c>
      <c r="M178">
        <v>194</v>
      </c>
      <c r="N178" s="1" t="s">
        <v>590</v>
      </c>
      <c r="O178" s="1" t="s">
        <v>622</v>
      </c>
      <c r="P178" s="1" t="s">
        <v>623</v>
      </c>
      <c r="Q178" s="1" t="s">
        <v>624</v>
      </c>
      <c r="R178" s="1" t="s">
        <v>32</v>
      </c>
      <c r="S178" s="1" t="s">
        <v>625</v>
      </c>
      <c r="T178" s="1" t="s">
        <v>32</v>
      </c>
      <c r="U178" s="1" t="s">
        <v>626</v>
      </c>
      <c r="V178" s="1" t="s">
        <v>627</v>
      </c>
      <c r="W178" s="1" t="s">
        <v>48</v>
      </c>
      <c r="X178" s="1" t="s">
        <v>628</v>
      </c>
      <c r="Y178" s="1" t="s">
        <v>130</v>
      </c>
      <c r="Z178" s="1" t="str">
        <f>TRIM(_xlfn.CONCAT(sales_data_sample[[#This Row],[CONTACTFIRSTNAME]],", ",sales_data_sample[[#This Row],[CONTACTLASTNAME]]))</f>
        <v>Michael, Holz</v>
      </c>
      <c r="AA178" s="1" t="s">
        <v>59</v>
      </c>
    </row>
    <row r="179" spans="1:27" x14ac:dyDescent="0.25">
      <c r="A179" s="10">
        <v>10300</v>
      </c>
      <c r="B179" s="9">
        <v>33</v>
      </c>
      <c r="C179" s="9">
        <v>100</v>
      </c>
      <c r="D179" s="9">
        <f>PRODUCT(sales_data_sample[[#This Row],[QUANTITYORDERED]],sales_data_sample[[#This Row],[PRICEEACH]])</f>
        <v>3300</v>
      </c>
      <c r="E179" s="9">
        <f>IF(OR(sales_data_sample[[#This Row],[STATUS]]="Shipped",sales_data_sample[[#This Row],[STATUS]]="Resolved"),sales_data_sample[[#This Row],[SALES]],0)</f>
        <v>3300</v>
      </c>
      <c r="F179" s="10">
        <v>5</v>
      </c>
      <c r="G179" s="12" t="s">
        <v>646</v>
      </c>
      <c r="H179" s="1" t="s">
        <v>26</v>
      </c>
      <c r="I179">
        <v>4</v>
      </c>
      <c r="J179">
        <v>10</v>
      </c>
      <c r="K179">
        <v>2003</v>
      </c>
      <c r="L179" s="1" t="s">
        <v>239</v>
      </c>
      <c r="M179">
        <v>194</v>
      </c>
      <c r="N179" s="1" t="s">
        <v>590</v>
      </c>
      <c r="O179" s="1" t="s">
        <v>647</v>
      </c>
      <c r="P179" s="1" t="s">
        <v>648</v>
      </c>
      <c r="Q179" s="1" t="s">
        <v>649</v>
      </c>
      <c r="R179" s="1" t="s">
        <v>32</v>
      </c>
      <c r="S179" s="1" t="s">
        <v>650</v>
      </c>
      <c r="T179" s="1" t="s">
        <v>32</v>
      </c>
      <c r="U179" s="1" t="s">
        <v>651</v>
      </c>
      <c r="V179" s="1" t="s">
        <v>617</v>
      </c>
      <c r="W179" s="1" t="s">
        <v>48</v>
      </c>
      <c r="X179" s="1" t="s">
        <v>652</v>
      </c>
      <c r="Y179" s="1" t="s">
        <v>570</v>
      </c>
      <c r="Z179" s="1" t="str">
        <f>TRIM(_xlfn.CONCAT(sales_data_sample[[#This Row],[CONTACTFIRSTNAME]],", ",sales_data_sample[[#This Row],[CONTACTLASTNAME]]))</f>
        <v>Roland, Keitel</v>
      </c>
      <c r="AA179" s="1" t="s">
        <v>59</v>
      </c>
    </row>
    <row r="180" spans="1:27" x14ac:dyDescent="0.25">
      <c r="A180" s="10">
        <v>10310</v>
      </c>
      <c r="B180" s="9">
        <v>33</v>
      </c>
      <c r="C180" s="9">
        <v>100</v>
      </c>
      <c r="D180" s="9">
        <f>PRODUCT(sales_data_sample[[#This Row],[QUANTITYORDERED]],sales_data_sample[[#This Row],[PRICEEACH]])</f>
        <v>3300</v>
      </c>
      <c r="E180" s="9">
        <f>IF(OR(sales_data_sample[[#This Row],[STATUS]]="Shipped",sales_data_sample[[#This Row],[STATUS]]="Resolved"),sales_data_sample[[#This Row],[SALES]],0)</f>
        <v>3300</v>
      </c>
      <c r="F180" s="10">
        <v>10</v>
      </c>
      <c r="G180" s="12" t="s">
        <v>653</v>
      </c>
      <c r="H180" s="1" t="s">
        <v>26</v>
      </c>
      <c r="I180">
        <v>4</v>
      </c>
      <c r="J180">
        <v>10</v>
      </c>
      <c r="K180">
        <v>2004</v>
      </c>
      <c r="L180" s="1" t="s">
        <v>239</v>
      </c>
      <c r="M180">
        <v>194</v>
      </c>
      <c r="N180" s="1" t="s">
        <v>590</v>
      </c>
      <c r="O180" s="1" t="s">
        <v>612</v>
      </c>
      <c r="P180" s="1" t="s">
        <v>613</v>
      </c>
      <c r="Q180" s="1" t="s">
        <v>614</v>
      </c>
      <c r="R180" s="1" t="s">
        <v>32</v>
      </c>
      <c r="S180" s="1" t="s">
        <v>615</v>
      </c>
      <c r="T180" s="1" t="s">
        <v>32</v>
      </c>
      <c r="U180" s="1" t="s">
        <v>616</v>
      </c>
      <c r="V180" s="1" t="s">
        <v>617</v>
      </c>
      <c r="W180" s="1" t="s">
        <v>48</v>
      </c>
      <c r="X180" s="1" t="s">
        <v>618</v>
      </c>
      <c r="Y180" s="1" t="s">
        <v>619</v>
      </c>
      <c r="Z180" s="1" t="str">
        <f>TRIM(_xlfn.CONCAT(sales_data_sample[[#This Row],[CONTACTFIRSTNAME]],", ",sales_data_sample[[#This Row],[CONTACTLASTNAME]]))</f>
        <v>Henriette, Pfalzheim</v>
      </c>
      <c r="AA180" s="1" t="s">
        <v>59</v>
      </c>
    </row>
    <row r="181" spans="1:27" x14ac:dyDescent="0.25">
      <c r="A181" s="10">
        <v>10320</v>
      </c>
      <c r="B181" s="9">
        <v>31</v>
      </c>
      <c r="C181" s="9">
        <v>100</v>
      </c>
      <c r="D181" s="9">
        <f>PRODUCT(sales_data_sample[[#This Row],[QUANTITYORDERED]],sales_data_sample[[#This Row],[PRICEEACH]])</f>
        <v>3100</v>
      </c>
      <c r="E181" s="9">
        <f>IF(OR(sales_data_sample[[#This Row],[STATUS]]="Shipped",sales_data_sample[[#This Row],[STATUS]]="Resolved"),sales_data_sample[[#This Row],[SALES]],0)</f>
        <v>3100</v>
      </c>
      <c r="F181" s="10">
        <v>3</v>
      </c>
      <c r="G181" s="12" t="s">
        <v>654</v>
      </c>
      <c r="H181" s="1" t="s">
        <v>26</v>
      </c>
      <c r="I181">
        <v>4</v>
      </c>
      <c r="J181">
        <v>11</v>
      </c>
      <c r="K181">
        <v>2004</v>
      </c>
      <c r="L181" s="1" t="s">
        <v>239</v>
      </c>
      <c r="M181">
        <v>194</v>
      </c>
      <c r="N181" s="1" t="s">
        <v>590</v>
      </c>
      <c r="O181" s="1" t="s">
        <v>242</v>
      </c>
      <c r="P181" s="1" t="s">
        <v>243</v>
      </c>
      <c r="Q181" s="1" t="s">
        <v>244</v>
      </c>
      <c r="R181" s="1" t="s">
        <v>32</v>
      </c>
      <c r="S181" s="1" t="s">
        <v>245</v>
      </c>
      <c r="T181" s="1" t="s">
        <v>32</v>
      </c>
      <c r="U181" s="1" t="s">
        <v>246</v>
      </c>
      <c r="V181" s="1" t="s">
        <v>247</v>
      </c>
      <c r="W181" s="1" t="s">
        <v>48</v>
      </c>
      <c r="X181" s="1" t="s">
        <v>248</v>
      </c>
      <c r="Y181" s="1" t="s">
        <v>249</v>
      </c>
      <c r="Z181" s="1" t="str">
        <f>TRIM(_xlfn.CONCAT(sales_data_sample[[#This Row],[CONTACTFIRSTNAME]],", ",sales_data_sample[[#This Row],[CONTACTLASTNAME]]))</f>
        <v>Christina, Berglund</v>
      </c>
      <c r="AA181" s="1" t="s">
        <v>59</v>
      </c>
    </row>
    <row r="182" spans="1:27" x14ac:dyDescent="0.25">
      <c r="A182" s="10">
        <v>10329</v>
      </c>
      <c r="B182" s="9">
        <v>41</v>
      </c>
      <c r="C182" s="9">
        <v>7147</v>
      </c>
      <c r="D182" s="9">
        <f>PRODUCT(sales_data_sample[[#This Row],[QUANTITYORDERED]],sales_data_sample[[#This Row],[PRICEEACH]])</f>
        <v>293027</v>
      </c>
      <c r="E182" s="9">
        <f>IF(OR(sales_data_sample[[#This Row],[STATUS]]="Shipped",sales_data_sample[[#This Row],[STATUS]]="Resolved"),sales_data_sample[[#This Row],[SALES]],0)</f>
        <v>293027</v>
      </c>
      <c r="F182" s="10">
        <v>5</v>
      </c>
      <c r="G182" s="12" t="s">
        <v>189</v>
      </c>
      <c r="H182" s="1" t="s">
        <v>26</v>
      </c>
      <c r="I182">
        <v>4</v>
      </c>
      <c r="J182">
        <v>11</v>
      </c>
      <c r="K182">
        <v>2004</v>
      </c>
      <c r="L182" s="1" t="s">
        <v>239</v>
      </c>
      <c r="M182">
        <v>194</v>
      </c>
      <c r="N182" s="1" t="s">
        <v>590</v>
      </c>
      <c r="O182" s="1" t="s">
        <v>29</v>
      </c>
      <c r="P182" s="1" t="s">
        <v>30</v>
      </c>
      <c r="Q182" s="1" t="s">
        <v>31</v>
      </c>
      <c r="R182" s="1" t="s">
        <v>32</v>
      </c>
      <c r="S182" s="1" t="s">
        <v>33</v>
      </c>
      <c r="T182" s="1" t="s">
        <v>34</v>
      </c>
      <c r="U182" s="1" t="s">
        <v>35</v>
      </c>
      <c r="V182" s="1" t="s">
        <v>36</v>
      </c>
      <c r="W182" s="1" t="s">
        <v>37</v>
      </c>
      <c r="X182" s="1" t="s">
        <v>38</v>
      </c>
      <c r="Y182" s="1" t="s">
        <v>39</v>
      </c>
      <c r="Z182" s="1" t="str">
        <f>TRIM(_xlfn.CONCAT(sales_data_sample[[#This Row],[CONTACTFIRSTNAME]],", ",sales_data_sample[[#This Row],[CONTACTLASTNAME]]))</f>
        <v>Kwai, Yu</v>
      </c>
      <c r="AA182" s="1" t="s">
        <v>40</v>
      </c>
    </row>
    <row r="183" spans="1:27" x14ac:dyDescent="0.25">
      <c r="A183" s="10">
        <v>10341</v>
      </c>
      <c r="B183" s="9">
        <v>45</v>
      </c>
      <c r="C183" s="9">
        <v>7965</v>
      </c>
      <c r="D183" s="9">
        <f>PRODUCT(sales_data_sample[[#This Row],[QUANTITYORDERED]],sales_data_sample[[#This Row],[PRICEEACH]])</f>
        <v>358425</v>
      </c>
      <c r="E183" s="9">
        <f>IF(OR(sales_data_sample[[#This Row],[STATUS]]="Shipped",sales_data_sample[[#This Row],[STATUS]]="Resolved"),sales_data_sample[[#This Row],[SALES]],0)</f>
        <v>358425</v>
      </c>
      <c r="F183" s="10">
        <v>2</v>
      </c>
      <c r="G183" s="12" t="s">
        <v>190</v>
      </c>
      <c r="H183" s="1" t="s">
        <v>26</v>
      </c>
      <c r="I183">
        <v>4</v>
      </c>
      <c r="J183">
        <v>11</v>
      </c>
      <c r="K183">
        <v>2004</v>
      </c>
      <c r="L183" s="1" t="s">
        <v>239</v>
      </c>
      <c r="M183">
        <v>194</v>
      </c>
      <c r="N183" s="1" t="s">
        <v>590</v>
      </c>
      <c r="O183" s="1" t="s">
        <v>191</v>
      </c>
      <c r="P183" s="1" t="s">
        <v>192</v>
      </c>
      <c r="Q183" s="1" t="s">
        <v>193</v>
      </c>
      <c r="R183" s="1" t="s">
        <v>32</v>
      </c>
      <c r="S183" s="1" t="s">
        <v>194</v>
      </c>
      <c r="T183" s="1" t="s">
        <v>32</v>
      </c>
      <c r="U183" s="1" t="s">
        <v>195</v>
      </c>
      <c r="V183" s="1" t="s">
        <v>196</v>
      </c>
      <c r="W183" s="1" t="s">
        <v>48</v>
      </c>
      <c r="X183" s="1" t="s">
        <v>197</v>
      </c>
      <c r="Y183" s="1" t="s">
        <v>198</v>
      </c>
      <c r="Z183" s="1" t="str">
        <f>TRIM(_xlfn.CONCAT(sales_data_sample[[#This Row],[CONTACTFIRSTNAME]],", ",sales_data_sample[[#This Row],[CONTACTLASTNAME]]))</f>
        <v>Georg, Pipps</v>
      </c>
      <c r="AA183" s="1" t="s">
        <v>59</v>
      </c>
    </row>
    <row r="184" spans="1:27" x14ac:dyDescent="0.25">
      <c r="A184" s="10">
        <v>10363</v>
      </c>
      <c r="B184" s="9">
        <v>33</v>
      </c>
      <c r="C184" s="9">
        <v>8539</v>
      </c>
      <c r="D184" s="9">
        <f>PRODUCT(sales_data_sample[[#This Row],[QUANTITYORDERED]],sales_data_sample[[#This Row],[PRICEEACH]])</f>
        <v>281787</v>
      </c>
      <c r="E184" s="9">
        <f>IF(OR(sales_data_sample[[#This Row],[STATUS]]="Shipped",sales_data_sample[[#This Row],[STATUS]]="Resolved"),sales_data_sample[[#This Row],[SALES]],0)</f>
        <v>281787</v>
      </c>
      <c r="F184" s="10">
        <v>3</v>
      </c>
      <c r="G184" s="12" t="s">
        <v>655</v>
      </c>
      <c r="H184" s="1" t="s">
        <v>26</v>
      </c>
      <c r="I184">
        <v>1</v>
      </c>
      <c r="J184">
        <v>1</v>
      </c>
      <c r="K184">
        <v>2005</v>
      </c>
      <c r="L184" s="1" t="s">
        <v>239</v>
      </c>
      <c r="M184">
        <v>194</v>
      </c>
      <c r="N184" s="1" t="s">
        <v>590</v>
      </c>
      <c r="O184" s="1" t="s">
        <v>656</v>
      </c>
      <c r="P184" s="1" t="s">
        <v>657</v>
      </c>
      <c r="Q184" s="1" t="s">
        <v>658</v>
      </c>
      <c r="R184" s="1" t="s">
        <v>32</v>
      </c>
      <c r="S184" s="1" t="s">
        <v>659</v>
      </c>
      <c r="T184" s="1" t="s">
        <v>32</v>
      </c>
      <c r="U184" s="1" t="s">
        <v>660</v>
      </c>
      <c r="V184" s="1" t="s">
        <v>170</v>
      </c>
      <c r="W184" s="1" t="s">
        <v>48</v>
      </c>
      <c r="X184" s="1" t="s">
        <v>661</v>
      </c>
      <c r="Y184" s="1" t="s">
        <v>662</v>
      </c>
      <c r="Z184" s="1" t="str">
        <f>TRIM(_xlfn.CONCAT(sales_data_sample[[#This Row],[CONTACTFIRSTNAME]],", ",sales_data_sample[[#This Row],[CONTACTLASTNAME]]))</f>
        <v>Kalle, Suominen</v>
      </c>
      <c r="AA184" s="1" t="s">
        <v>40</v>
      </c>
    </row>
    <row r="185" spans="1:27" x14ac:dyDescent="0.25">
      <c r="A185" s="10">
        <v>10375</v>
      </c>
      <c r="B185" s="9">
        <v>45</v>
      </c>
      <c r="C185" s="9">
        <v>76</v>
      </c>
      <c r="D185" s="9">
        <f>PRODUCT(sales_data_sample[[#This Row],[QUANTITYORDERED]],sales_data_sample[[#This Row],[PRICEEACH]])</f>
        <v>3420</v>
      </c>
      <c r="E185" s="9">
        <f>IF(OR(sales_data_sample[[#This Row],[STATUS]]="Shipped",sales_data_sample[[#This Row],[STATUS]]="Resolved"),sales_data_sample[[#This Row],[SALES]],0)</f>
        <v>3420</v>
      </c>
      <c r="F185" s="10">
        <v>7</v>
      </c>
      <c r="G185" s="12" t="s">
        <v>210</v>
      </c>
      <c r="H185" s="1" t="s">
        <v>26</v>
      </c>
      <c r="I185">
        <v>1</v>
      </c>
      <c r="J185">
        <v>2</v>
      </c>
      <c r="K185">
        <v>2005</v>
      </c>
      <c r="L185" s="1" t="s">
        <v>239</v>
      </c>
      <c r="M185">
        <v>194</v>
      </c>
      <c r="N185" s="1" t="s">
        <v>590</v>
      </c>
      <c r="O185" s="1" t="s">
        <v>148</v>
      </c>
      <c r="P185" s="1" t="s">
        <v>149</v>
      </c>
      <c r="Q185" s="1" t="s">
        <v>150</v>
      </c>
      <c r="R185" s="1" t="s">
        <v>32</v>
      </c>
      <c r="S185" s="1" t="s">
        <v>151</v>
      </c>
      <c r="T185" s="1" t="s">
        <v>32</v>
      </c>
      <c r="U185" s="1" t="s">
        <v>152</v>
      </c>
      <c r="V185" s="1" t="s">
        <v>47</v>
      </c>
      <c r="W185" s="1" t="s">
        <v>48</v>
      </c>
      <c r="X185" s="1" t="s">
        <v>153</v>
      </c>
      <c r="Y185" s="1" t="s">
        <v>154</v>
      </c>
      <c r="Z185" s="1" t="str">
        <f>TRIM(_xlfn.CONCAT(sales_data_sample[[#This Row],[CONTACTFIRSTNAME]],", ",sales_data_sample[[#This Row],[CONTACTLASTNAME]]))</f>
        <v>Janine, Labrune</v>
      </c>
      <c r="AA185" s="1" t="s">
        <v>59</v>
      </c>
    </row>
    <row r="186" spans="1:27" x14ac:dyDescent="0.25">
      <c r="A186" s="10">
        <v>10389</v>
      </c>
      <c r="B186" s="9">
        <v>26</v>
      </c>
      <c r="C186" s="9">
        <v>9904</v>
      </c>
      <c r="D186" s="9">
        <f>PRODUCT(sales_data_sample[[#This Row],[QUANTITYORDERED]],sales_data_sample[[#This Row],[PRICEEACH]])</f>
        <v>257504</v>
      </c>
      <c r="E186" s="9">
        <f>IF(OR(sales_data_sample[[#This Row],[STATUS]]="Shipped",sales_data_sample[[#This Row],[STATUS]]="Resolved"),sales_data_sample[[#This Row],[SALES]],0)</f>
        <v>257504</v>
      </c>
      <c r="F186" s="10">
        <v>4</v>
      </c>
      <c r="G186" s="12" t="s">
        <v>211</v>
      </c>
      <c r="H186" s="1" t="s">
        <v>26</v>
      </c>
      <c r="I186">
        <v>1</v>
      </c>
      <c r="J186">
        <v>3</v>
      </c>
      <c r="K186">
        <v>2005</v>
      </c>
      <c r="L186" s="1" t="s">
        <v>239</v>
      </c>
      <c r="M186">
        <v>194</v>
      </c>
      <c r="N186" s="1" t="s">
        <v>590</v>
      </c>
      <c r="O186" s="1" t="s">
        <v>347</v>
      </c>
      <c r="P186" s="1" t="s">
        <v>348</v>
      </c>
      <c r="Q186" s="1" t="s">
        <v>349</v>
      </c>
      <c r="R186" s="1" t="s">
        <v>32</v>
      </c>
      <c r="S186" s="1" t="s">
        <v>350</v>
      </c>
      <c r="T186" s="1" t="s">
        <v>32</v>
      </c>
      <c r="U186" s="1" t="s">
        <v>351</v>
      </c>
      <c r="V186" s="1" t="s">
        <v>247</v>
      </c>
      <c r="W186" s="1" t="s">
        <v>48</v>
      </c>
      <c r="X186" s="1" t="s">
        <v>352</v>
      </c>
      <c r="Y186" s="1" t="s">
        <v>272</v>
      </c>
      <c r="Z186" s="1" t="str">
        <f>TRIM(_xlfn.CONCAT(sales_data_sample[[#This Row],[CONTACTFIRSTNAME]],", ",sales_data_sample[[#This Row],[CONTACTLASTNAME]]))</f>
        <v>Maria, Larsson</v>
      </c>
      <c r="AA186" s="1" t="s">
        <v>40</v>
      </c>
    </row>
    <row r="187" spans="1:27" x14ac:dyDescent="0.25">
      <c r="A187" s="10">
        <v>10419</v>
      </c>
      <c r="B187" s="9">
        <v>12</v>
      </c>
      <c r="C187" s="9">
        <v>100</v>
      </c>
      <c r="D187" s="9">
        <f>PRODUCT(sales_data_sample[[#This Row],[QUANTITYORDERED]],sales_data_sample[[#This Row],[PRICEEACH]])</f>
        <v>1200</v>
      </c>
      <c r="E187" s="9">
        <f>IF(OR(sales_data_sample[[#This Row],[STATUS]]="Shipped",sales_data_sample[[#This Row],[STATUS]]="Resolved"),sales_data_sample[[#This Row],[SALES]],0)</f>
        <v>1200</v>
      </c>
      <c r="F187" s="10">
        <v>13</v>
      </c>
      <c r="G187" s="12" t="s">
        <v>663</v>
      </c>
      <c r="H187" s="1" t="s">
        <v>26</v>
      </c>
      <c r="I187">
        <v>2</v>
      </c>
      <c r="J187">
        <v>5</v>
      </c>
      <c r="K187">
        <v>2005</v>
      </c>
      <c r="L187" s="1" t="s">
        <v>239</v>
      </c>
      <c r="M187">
        <v>194</v>
      </c>
      <c r="N187" s="1" t="s">
        <v>590</v>
      </c>
      <c r="O187" s="1" t="s">
        <v>191</v>
      </c>
      <c r="P187" s="1" t="s">
        <v>192</v>
      </c>
      <c r="Q187" s="1" t="s">
        <v>193</v>
      </c>
      <c r="R187" s="1" t="s">
        <v>32</v>
      </c>
      <c r="S187" s="1" t="s">
        <v>194</v>
      </c>
      <c r="T187" s="1" t="s">
        <v>32</v>
      </c>
      <c r="U187" s="1" t="s">
        <v>195</v>
      </c>
      <c r="V187" s="1" t="s">
        <v>196</v>
      </c>
      <c r="W187" s="1" t="s">
        <v>48</v>
      </c>
      <c r="X187" s="1" t="s">
        <v>197</v>
      </c>
      <c r="Y187" s="1" t="s">
        <v>198</v>
      </c>
      <c r="Z187" s="1" t="str">
        <f>TRIM(_xlfn.CONCAT(sales_data_sample[[#This Row],[CONTACTFIRSTNAME]],", ",sales_data_sample[[#This Row],[CONTACTLASTNAME]]))</f>
        <v>Georg, Pipps</v>
      </c>
      <c r="AA187" s="1" t="s">
        <v>40</v>
      </c>
    </row>
    <row r="188" spans="1:27" x14ac:dyDescent="0.25">
      <c r="A188" s="10">
        <v>10105</v>
      </c>
      <c r="B188" s="9">
        <v>41</v>
      </c>
      <c r="C188" s="9">
        <v>100</v>
      </c>
      <c r="D188" s="9">
        <f>PRODUCT(sales_data_sample[[#This Row],[QUANTITYORDERED]],sales_data_sample[[#This Row],[PRICEEACH]])</f>
        <v>4100</v>
      </c>
      <c r="E188" s="9">
        <f>IF(OR(sales_data_sample[[#This Row],[STATUS]]="Shipped",sales_data_sample[[#This Row],[STATUS]]="Resolved"),sales_data_sample[[#This Row],[SALES]],0)</f>
        <v>4100</v>
      </c>
      <c r="F188" s="10">
        <v>15</v>
      </c>
      <c r="G188" s="12" t="s">
        <v>435</v>
      </c>
      <c r="H188" s="1" t="s">
        <v>26</v>
      </c>
      <c r="I188">
        <v>1</v>
      </c>
      <c r="J188">
        <v>2</v>
      </c>
      <c r="K188">
        <v>2003</v>
      </c>
      <c r="L188" s="1" t="s">
        <v>239</v>
      </c>
      <c r="M188">
        <v>207</v>
      </c>
      <c r="N188" s="1" t="s">
        <v>664</v>
      </c>
      <c r="O188" s="1" t="s">
        <v>437</v>
      </c>
      <c r="P188" s="1" t="s">
        <v>438</v>
      </c>
      <c r="Q188" s="1" t="s">
        <v>439</v>
      </c>
      <c r="R188" s="1" t="s">
        <v>32</v>
      </c>
      <c r="S188" s="1" t="s">
        <v>440</v>
      </c>
      <c r="T188" s="1" t="s">
        <v>32</v>
      </c>
      <c r="U188" s="1" t="s">
        <v>441</v>
      </c>
      <c r="V188" s="1" t="s">
        <v>442</v>
      </c>
      <c r="W188" s="1" t="s">
        <v>48</v>
      </c>
      <c r="X188" s="1" t="s">
        <v>443</v>
      </c>
      <c r="Y188" s="1" t="s">
        <v>444</v>
      </c>
      <c r="Z188" s="1" t="str">
        <f>TRIM(_xlfn.CONCAT(sales_data_sample[[#This Row],[CONTACTFIRSTNAME]],", ",sales_data_sample[[#This Row],[CONTACTLASTNAME]]))</f>
        <v>Jytte, Petersen</v>
      </c>
      <c r="AA188" s="1" t="s">
        <v>199</v>
      </c>
    </row>
    <row r="189" spans="1:27" x14ac:dyDescent="0.25">
      <c r="A189" s="10">
        <v>10117</v>
      </c>
      <c r="B189" s="9">
        <v>33</v>
      </c>
      <c r="C189" s="9">
        <v>100</v>
      </c>
      <c r="D189" s="9">
        <f>PRODUCT(sales_data_sample[[#This Row],[QUANTITYORDERED]],sales_data_sample[[#This Row],[PRICEEACH]])</f>
        <v>3300</v>
      </c>
      <c r="E189" s="9">
        <f>IF(OR(sales_data_sample[[#This Row],[STATUS]]="Shipped",sales_data_sample[[#This Row],[STATUS]]="Resolved"),sales_data_sample[[#This Row],[SALES]],0)</f>
        <v>3300</v>
      </c>
      <c r="F189" s="10">
        <v>9</v>
      </c>
      <c r="G189" s="12" t="s">
        <v>665</v>
      </c>
      <c r="H189" s="1" t="s">
        <v>26</v>
      </c>
      <c r="I189">
        <v>2</v>
      </c>
      <c r="J189">
        <v>4</v>
      </c>
      <c r="K189">
        <v>2003</v>
      </c>
      <c r="L189" s="1" t="s">
        <v>239</v>
      </c>
      <c r="M189">
        <v>207</v>
      </c>
      <c r="N189" s="1" t="s">
        <v>664</v>
      </c>
      <c r="O189" s="1" t="s">
        <v>259</v>
      </c>
      <c r="P189" s="1" t="s">
        <v>260</v>
      </c>
      <c r="Q189" s="1" t="s">
        <v>261</v>
      </c>
      <c r="R189" s="1" t="s">
        <v>32</v>
      </c>
      <c r="S189" s="1" t="s">
        <v>262</v>
      </c>
      <c r="T189" s="1" t="s">
        <v>32</v>
      </c>
      <c r="U189" s="1" t="s">
        <v>263</v>
      </c>
      <c r="V189" s="1" t="s">
        <v>262</v>
      </c>
      <c r="W189" s="1" t="s">
        <v>264</v>
      </c>
      <c r="X189" s="1" t="s">
        <v>265</v>
      </c>
      <c r="Y189" s="1" t="s">
        <v>266</v>
      </c>
      <c r="Z189" s="1" t="str">
        <f>TRIM(_xlfn.CONCAT(sales_data_sample[[#This Row],[CONTACTFIRSTNAME]],", ",sales_data_sample[[#This Row],[CONTACTLASTNAME]]))</f>
        <v>Eric, Natividad</v>
      </c>
      <c r="AA189" s="1" t="s">
        <v>59</v>
      </c>
    </row>
    <row r="190" spans="1:27" x14ac:dyDescent="0.25">
      <c r="A190">
        <v>10127</v>
      </c>
      <c r="B190">
        <v>46</v>
      </c>
      <c r="C190">
        <v>100</v>
      </c>
      <c r="D190">
        <f>PRODUCT(sales_data_sample[[#This Row],[QUANTITYORDERED]],sales_data_sample[[#This Row],[PRICEEACH]])</f>
        <v>4600</v>
      </c>
      <c r="E190" s="9">
        <f>IF(OR(sales_data_sample[[#This Row],[STATUS]]="Shipped",sales_data_sample[[#This Row],[STATUS]]="Resolved"),sales_data_sample[[#This Row],[SALES]],0)</f>
        <v>4600</v>
      </c>
      <c r="F190">
        <v>2</v>
      </c>
      <c r="G190" s="12" t="s">
        <v>666</v>
      </c>
      <c r="H190" s="1" t="s">
        <v>26</v>
      </c>
      <c r="I190">
        <v>2</v>
      </c>
      <c r="J190">
        <v>6</v>
      </c>
      <c r="K190">
        <v>2003</v>
      </c>
      <c r="L190" s="1" t="s">
        <v>239</v>
      </c>
      <c r="M190">
        <v>207</v>
      </c>
      <c r="N190" s="1" t="s">
        <v>664</v>
      </c>
      <c r="O190" s="1" t="s">
        <v>667</v>
      </c>
      <c r="P190" s="1" t="s">
        <v>668</v>
      </c>
      <c r="Q190" s="1" t="s">
        <v>669</v>
      </c>
      <c r="R190" s="1" t="s">
        <v>670</v>
      </c>
      <c r="S190" s="1" t="s">
        <v>33</v>
      </c>
      <c r="T190" s="1" t="s">
        <v>34</v>
      </c>
      <c r="U190" s="1" t="s">
        <v>35</v>
      </c>
      <c r="V190" s="1" t="s">
        <v>36</v>
      </c>
      <c r="W190" s="1" t="s">
        <v>37</v>
      </c>
      <c r="X190" s="1" t="s">
        <v>67</v>
      </c>
      <c r="Y190" s="1" t="s">
        <v>671</v>
      </c>
      <c r="Z190" s="1" t="str">
        <f>TRIM(_xlfn.CONCAT(sales_data_sample[[#This Row],[CONTACTFIRSTNAME]],", ",sales_data_sample[[#This Row],[CONTACTLASTNAME]]))</f>
        <v>Jeff, Young</v>
      </c>
      <c r="AA190" s="1" t="s">
        <v>199</v>
      </c>
    </row>
    <row r="191" spans="1:27" x14ac:dyDescent="0.25">
      <c r="A191" s="10">
        <v>10142</v>
      </c>
      <c r="B191" s="9">
        <v>33</v>
      </c>
      <c r="C191" s="9">
        <v>100</v>
      </c>
      <c r="D191" s="9">
        <f>PRODUCT(sales_data_sample[[#This Row],[QUANTITYORDERED]],sales_data_sample[[#This Row],[PRICEEACH]])</f>
        <v>3300</v>
      </c>
      <c r="E191" s="9">
        <f>IF(OR(sales_data_sample[[#This Row],[STATUS]]="Shipped",sales_data_sample[[#This Row],[STATUS]]="Resolved"),sales_data_sample[[#This Row],[SALES]],0)</f>
        <v>3300</v>
      </c>
      <c r="F191" s="10">
        <v>12</v>
      </c>
      <c r="G191" s="12" t="s">
        <v>672</v>
      </c>
      <c r="H191" s="1" t="s">
        <v>26</v>
      </c>
      <c r="I191">
        <v>3</v>
      </c>
      <c r="J191">
        <v>8</v>
      </c>
      <c r="K191">
        <v>2003</v>
      </c>
      <c r="L191" s="1" t="s">
        <v>239</v>
      </c>
      <c r="M191">
        <v>207</v>
      </c>
      <c r="N191" s="1" t="s">
        <v>664</v>
      </c>
      <c r="O191" s="1" t="s">
        <v>361</v>
      </c>
      <c r="P191" s="1" t="s">
        <v>362</v>
      </c>
      <c r="Q191" s="1" t="s">
        <v>363</v>
      </c>
      <c r="R191" s="1" t="s">
        <v>32</v>
      </c>
      <c r="S191" s="1" t="s">
        <v>364</v>
      </c>
      <c r="T191" s="1" t="s">
        <v>65</v>
      </c>
      <c r="U191" s="1" t="s">
        <v>145</v>
      </c>
      <c r="V191" s="1" t="s">
        <v>36</v>
      </c>
      <c r="W191" s="1" t="s">
        <v>37</v>
      </c>
      <c r="X191" s="1" t="s">
        <v>365</v>
      </c>
      <c r="Y191" s="1" t="s">
        <v>366</v>
      </c>
      <c r="Z191" s="1" t="str">
        <f>TRIM(_xlfn.CONCAT(sales_data_sample[[#This Row],[CONTACTFIRSTNAME]],", ",sales_data_sample[[#This Row],[CONTACTLASTNAME]]))</f>
        <v>Valarie, Nelson</v>
      </c>
      <c r="AA191" s="1" t="s">
        <v>199</v>
      </c>
    </row>
    <row r="192" spans="1:27" x14ac:dyDescent="0.25">
      <c r="A192" s="10">
        <v>10153</v>
      </c>
      <c r="B192" s="9">
        <v>20</v>
      </c>
      <c r="C192" s="9">
        <v>100</v>
      </c>
      <c r="D192" s="9">
        <f>PRODUCT(sales_data_sample[[#This Row],[QUANTITYORDERED]],sales_data_sample[[#This Row],[PRICEEACH]])</f>
        <v>2000</v>
      </c>
      <c r="E192" s="9">
        <f>IF(OR(sales_data_sample[[#This Row],[STATUS]]="Shipped",sales_data_sample[[#This Row],[STATUS]]="Resolved"),sales_data_sample[[#This Row],[SALES]],0)</f>
        <v>2000</v>
      </c>
      <c r="F192" s="10">
        <v>11</v>
      </c>
      <c r="G192" s="12" t="s">
        <v>673</v>
      </c>
      <c r="H192" s="1" t="s">
        <v>26</v>
      </c>
      <c r="I192">
        <v>3</v>
      </c>
      <c r="J192">
        <v>9</v>
      </c>
      <c r="K192">
        <v>2003</v>
      </c>
      <c r="L192" s="1" t="s">
        <v>239</v>
      </c>
      <c r="M192">
        <v>207</v>
      </c>
      <c r="N192" s="1" t="s">
        <v>664</v>
      </c>
      <c r="O192" s="1" t="s">
        <v>230</v>
      </c>
      <c r="P192" s="1" t="s">
        <v>231</v>
      </c>
      <c r="Q192" s="1" t="s">
        <v>232</v>
      </c>
      <c r="R192" s="1" t="s">
        <v>32</v>
      </c>
      <c r="S192" s="1" t="s">
        <v>233</v>
      </c>
      <c r="T192" s="1" t="s">
        <v>32</v>
      </c>
      <c r="U192" s="1" t="s">
        <v>234</v>
      </c>
      <c r="V192" s="1" t="s">
        <v>235</v>
      </c>
      <c r="W192" s="1" t="s">
        <v>48</v>
      </c>
      <c r="X192" s="1" t="s">
        <v>236</v>
      </c>
      <c r="Y192" s="1" t="s">
        <v>237</v>
      </c>
      <c r="Z192" s="1" t="str">
        <f>TRIM(_xlfn.CONCAT(sales_data_sample[[#This Row],[CONTACTFIRSTNAME]],", ",sales_data_sample[[#This Row],[CONTACTLASTNAME]]))</f>
        <v>Diego, Freyre</v>
      </c>
      <c r="AA192" s="1" t="s">
        <v>59</v>
      </c>
    </row>
    <row r="193" spans="1:27" x14ac:dyDescent="0.25">
      <c r="A193" s="10">
        <v>10165</v>
      </c>
      <c r="B193" s="9">
        <v>44</v>
      </c>
      <c r="C193" s="9">
        <v>100</v>
      </c>
      <c r="D193" s="9">
        <f>PRODUCT(sales_data_sample[[#This Row],[QUANTITYORDERED]],sales_data_sample[[#This Row],[PRICEEACH]])</f>
        <v>4400</v>
      </c>
      <c r="E193" s="9">
        <f>IF(OR(sales_data_sample[[#This Row],[STATUS]]="Shipped",sales_data_sample[[#This Row],[STATUS]]="Resolved"),sales_data_sample[[#This Row],[SALES]],0)</f>
        <v>4400</v>
      </c>
      <c r="F193" s="10">
        <v>3</v>
      </c>
      <c r="G193" s="12" t="s">
        <v>674</v>
      </c>
      <c r="H193" s="1" t="s">
        <v>26</v>
      </c>
      <c r="I193">
        <v>4</v>
      </c>
      <c r="J193">
        <v>10</v>
      </c>
      <c r="K193">
        <v>2003</v>
      </c>
      <c r="L193" s="1" t="s">
        <v>239</v>
      </c>
      <c r="M193">
        <v>207</v>
      </c>
      <c r="N193" s="1" t="s">
        <v>664</v>
      </c>
      <c r="O193" s="1" t="s">
        <v>259</v>
      </c>
      <c r="P193" s="1" t="s">
        <v>260</v>
      </c>
      <c r="Q193" s="1" t="s">
        <v>261</v>
      </c>
      <c r="R193" s="1" t="s">
        <v>32</v>
      </c>
      <c r="S193" s="1" t="s">
        <v>262</v>
      </c>
      <c r="T193" s="1" t="s">
        <v>32</v>
      </c>
      <c r="U193" s="1" t="s">
        <v>263</v>
      </c>
      <c r="V193" s="1" t="s">
        <v>262</v>
      </c>
      <c r="W193" s="1" t="s">
        <v>264</v>
      </c>
      <c r="X193" s="1" t="s">
        <v>265</v>
      </c>
      <c r="Y193" s="1" t="s">
        <v>266</v>
      </c>
      <c r="Z193" s="1" t="str">
        <f>TRIM(_xlfn.CONCAT(sales_data_sample[[#This Row],[CONTACTFIRSTNAME]],", ",sales_data_sample[[#This Row],[CONTACTLASTNAME]]))</f>
        <v>Eric, Natividad</v>
      </c>
      <c r="AA193" s="1" t="s">
        <v>199</v>
      </c>
    </row>
    <row r="194" spans="1:27" x14ac:dyDescent="0.25">
      <c r="A194" s="10">
        <v>10176</v>
      </c>
      <c r="B194" s="9">
        <v>33</v>
      </c>
      <c r="C194" s="9">
        <v>100</v>
      </c>
      <c r="D194" s="9">
        <f>PRODUCT(sales_data_sample[[#This Row],[QUANTITYORDERED]],sales_data_sample[[#This Row],[PRICEEACH]])</f>
        <v>3300</v>
      </c>
      <c r="E194" s="9">
        <f>IF(OR(sales_data_sample[[#This Row],[STATUS]]="Shipped",sales_data_sample[[#This Row],[STATUS]]="Resolved"),sales_data_sample[[#This Row],[SALES]],0)</f>
        <v>3300</v>
      </c>
      <c r="F194" s="10">
        <v>2</v>
      </c>
      <c r="G194" s="12" t="s">
        <v>273</v>
      </c>
      <c r="H194" s="1" t="s">
        <v>26</v>
      </c>
      <c r="I194">
        <v>4</v>
      </c>
      <c r="J194">
        <v>11</v>
      </c>
      <c r="K194">
        <v>2003</v>
      </c>
      <c r="L194" s="1" t="s">
        <v>239</v>
      </c>
      <c r="M194">
        <v>207</v>
      </c>
      <c r="N194" s="1" t="s">
        <v>664</v>
      </c>
      <c r="O194" s="1" t="s">
        <v>632</v>
      </c>
      <c r="P194" s="1" t="s">
        <v>633</v>
      </c>
      <c r="Q194" s="1" t="s">
        <v>634</v>
      </c>
      <c r="R194" s="1" t="s">
        <v>32</v>
      </c>
      <c r="S194" s="1" t="s">
        <v>635</v>
      </c>
      <c r="T194" s="1" t="s">
        <v>32</v>
      </c>
      <c r="U194" s="1" t="s">
        <v>636</v>
      </c>
      <c r="V194" s="1" t="s">
        <v>343</v>
      </c>
      <c r="W194" s="1" t="s">
        <v>48</v>
      </c>
      <c r="X194" s="1" t="s">
        <v>637</v>
      </c>
      <c r="Y194" s="1" t="s">
        <v>638</v>
      </c>
      <c r="Z194" s="1" t="str">
        <f>TRIM(_xlfn.CONCAT(sales_data_sample[[#This Row],[CONTACTFIRSTNAME]],", ",sales_data_sample[[#This Row],[CONTACTLASTNAME]]))</f>
        <v>Maurizio, Moroni</v>
      </c>
      <c r="AA194" s="1" t="s">
        <v>199</v>
      </c>
    </row>
    <row r="195" spans="1:27" x14ac:dyDescent="0.25">
      <c r="A195" s="10">
        <v>10185</v>
      </c>
      <c r="B195" s="9">
        <v>21</v>
      </c>
      <c r="C195" s="9">
        <v>100</v>
      </c>
      <c r="D195" s="9">
        <f>PRODUCT(sales_data_sample[[#This Row],[QUANTITYORDERED]],sales_data_sample[[#This Row],[PRICEEACH]])</f>
        <v>2100</v>
      </c>
      <c r="E195" s="9">
        <f>IF(OR(sales_data_sample[[#This Row],[STATUS]]="Shipped",sales_data_sample[[#This Row],[STATUS]]="Resolved"),sales_data_sample[[#This Row],[SALES]],0)</f>
        <v>2100</v>
      </c>
      <c r="F195" s="10">
        <v>13</v>
      </c>
      <c r="G195" s="12" t="s">
        <v>470</v>
      </c>
      <c r="H195" s="1" t="s">
        <v>26</v>
      </c>
      <c r="I195">
        <v>4</v>
      </c>
      <c r="J195">
        <v>11</v>
      </c>
      <c r="K195">
        <v>2003</v>
      </c>
      <c r="L195" s="1" t="s">
        <v>239</v>
      </c>
      <c r="M195">
        <v>207</v>
      </c>
      <c r="N195" s="1" t="s">
        <v>664</v>
      </c>
      <c r="O195" s="1" t="s">
        <v>454</v>
      </c>
      <c r="P195" s="1" t="s">
        <v>455</v>
      </c>
      <c r="Q195" s="1" t="s">
        <v>456</v>
      </c>
      <c r="R195" s="1" t="s">
        <v>32</v>
      </c>
      <c r="S195" s="1" t="s">
        <v>215</v>
      </c>
      <c r="T195" s="1" t="s">
        <v>160</v>
      </c>
      <c r="U195" s="1" t="s">
        <v>216</v>
      </c>
      <c r="V195" s="1" t="s">
        <v>36</v>
      </c>
      <c r="W195" s="1" t="s">
        <v>37</v>
      </c>
      <c r="X195" s="1" t="s">
        <v>457</v>
      </c>
      <c r="Y195" s="1" t="s">
        <v>458</v>
      </c>
      <c r="Z195" s="1" t="str">
        <f>TRIM(_xlfn.CONCAT(sales_data_sample[[#This Row],[CONTACTFIRSTNAME]],", ",sales_data_sample[[#This Row],[CONTACTLASTNAME]]))</f>
        <v>Wing C, Tam</v>
      </c>
      <c r="AA195" s="1" t="s">
        <v>59</v>
      </c>
    </row>
    <row r="196" spans="1:27" x14ac:dyDescent="0.25">
      <c r="A196" s="10">
        <v>10196</v>
      </c>
      <c r="B196" s="9">
        <v>47</v>
      </c>
      <c r="C196" s="9">
        <v>100</v>
      </c>
      <c r="D196" s="9">
        <f>PRODUCT(sales_data_sample[[#This Row],[QUANTITYORDERED]],sales_data_sample[[#This Row],[PRICEEACH]])</f>
        <v>4700</v>
      </c>
      <c r="E196" s="9">
        <f>IF(OR(sales_data_sample[[#This Row],[STATUS]]="Shipped",sales_data_sample[[#This Row],[STATUS]]="Resolved"),sales_data_sample[[#This Row],[SALES]],0)</f>
        <v>4700</v>
      </c>
      <c r="F196" s="10">
        <v>5</v>
      </c>
      <c r="G196" s="12" t="s">
        <v>477</v>
      </c>
      <c r="H196" s="1" t="s">
        <v>26</v>
      </c>
      <c r="I196">
        <v>4</v>
      </c>
      <c r="J196">
        <v>11</v>
      </c>
      <c r="K196">
        <v>2003</v>
      </c>
      <c r="L196" s="1" t="s">
        <v>239</v>
      </c>
      <c r="M196">
        <v>207</v>
      </c>
      <c r="N196" s="1" t="s">
        <v>664</v>
      </c>
      <c r="O196" s="1" t="s">
        <v>321</v>
      </c>
      <c r="P196" s="1" t="s">
        <v>322</v>
      </c>
      <c r="Q196" s="1" t="s">
        <v>323</v>
      </c>
      <c r="R196" s="1" t="s">
        <v>32</v>
      </c>
      <c r="S196" s="1" t="s">
        <v>324</v>
      </c>
      <c r="T196" s="1" t="s">
        <v>144</v>
      </c>
      <c r="U196" s="1" t="s">
        <v>325</v>
      </c>
      <c r="V196" s="1" t="s">
        <v>36</v>
      </c>
      <c r="W196" s="1" t="s">
        <v>37</v>
      </c>
      <c r="X196" s="1" t="s">
        <v>104</v>
      </c>
      <c r="Y196" s="1" t="s">
        <v>326</v>
      </c>
      <c r="Z196" s="1" t="str">
        <f>TRIM(_xlfn.CONCAT(sales_data_sample[[#This Row],[CONTACTFIRSTNAME]],", ",sales_data_sample[[#This Row],[CONTACTLASTNAME]]))</f>
        <v>Leslie, Murphy</v>
      </c>
      <c r="AA196" s="1" t="s">
        <v>199</v>
      </c>
    </row>
    <row r="197" spans="1:27" x14ac:dyDescent="0.25">
      <c r="A197" s="10">
        <v>10208</v>
      </c>
      <c r="B197" s="9">
        <v>46</v>
      </c>
      <c r="C197" s="9">
        <v>100</v>
      </c>
      <c r="D197" s="9">
        <f>PRODUCT(sales_data_sample[[#This Row],[QUANTITYORDERED]],sales_data_sample[[#This Row],[PRICEEACH]])</f>
        <v>4600</v>
      </c>
      <c r="E197" s="9">
        <f>IF(OR(sales_data_sample[[#This Row],[STATUS]]="Shipped",sales_data_sample[[#This Row],[STATUS]]="Resolved"),sales_data_sample[[#This Row],[SALES]],0)</f>
        <v>4600</v>
      </c>
      <c r="F197" s="10">
        <v>13</v>
      </c>
      <c r="G197" s="12" t="s">
        <v>675</v>
      </c>
      <c r="H197" s="1" t="s">
        <v>26</v>
      </c>
      <c r="I197">
        <v>1</v>
      </c>
      <c r="J197">
        <v>1</v>
      </c>
      <c r="K197">
        <v>2004</v>
      </c>
      <c r="L197" s="1" t="s">
        <v>239</v>
      </c>
      <c r="M197">
        <v>207</v>
      </c>
      <c r="N197" s="1" t="s">
        <v>664</v>
      </c>
      <c r="O197" s="1" t="s">
        <v>291</v>
      </c>
      <c r="P197" s="1" t="s">
        <v>292</v>
      </c>
      <c r="Q197" s="1" t="s">
        <v>293</v>
      </c>
      <c r="R197" s="1" t="s">
        <v>32</v>
      </c>
      <c r="S197" s="1" t="s">
        <v>294</v>
      </c>
      <c r="T197" s="1" t="s">
        <v>32</v>
      </c>
      <c r="U197" s="1" t="s">
        <v>295</v>
      </c>
      <c r="V197" s="1" t="s">
        <v>47</v>
      </c>
      <c r="W197" s="1" t="s">
        <v>48</v>
      </c>
      <c r="X197" s="1" t="s">
        <v>296</v>
      </c>
      <c r="Y197" s="1" t="s">
        <v>297</v>
      </c>
      <c r="Z197" s="1" t="str">
        <f>TRIM(_xlfn.CONCAT(sales_data_sample[[#This Row],[CONTACTFIRSTNAME]],", ",sales_data_sample[[#This Row],[CONTACTLASTNAME]]))</f>
        <v>Mary, Saveley</v>
      </c>
      <c r="AA197" s="1" t="s">
        <v>199</v>
      </c>
    </row>
    <row r="198" spans="1:27" x14ac:dyDescent="0.25">
      <c r="A198">
        <v>10220</v>
      </c>
      <c r="B198">
        <v>32</v>
      </c>
      <c r="C198">
        <v>100</v>
      </c>
      <c r="D198">
        <f>PRODUCT(sales_data_sample[[#This Row],[QUANTITYORDERED]],sales_data_sample[[#This Row],[PRICEEACH]])</f>
        <v>3200</v>
      </c>
      <c r="E198" s="9">
        <f>IF(OR(sales_data_sample[[#This Row],[STATUS]]="Shipped",sales_data_sample[[#This Row],[STATUS]]="Resolved"),sales_data_sample[[#This Row],[SALES]],0)</f>
        <v>3200</v>
      </c>
      <c r="F198">
        <v>2</v>
      </c>
      <c r="G198" s="12" t="s">
        <v>676</v>
      </c>
      <c r="H198" s="1" t="s">
        <v>26</v>
      </c>
      <c r="I198">
        <v>1</v>
      </c>
      <c r="J198">
        <v>2</v>
      </c>
      <c r="K198">
        <v>2004</v>
      </c>
      <c r="L198" s="1" t="s">
        <v>239</v>
      </c>
      <c r="M198">
        <v>207</v>
      </c>
      <c r="N198" s="1" t="s">
        <v>664</v>
      </c>
      <c r="O198" s="1" t="s">
        <v>677</v>
      </c>
      <c r="P198" s="1" t="s">
        <v>678</v>
      </c>
      <c r="Q198" s="1" t="s">
        <v>679</v>
      </c>
      <c r="R198" s="1" t="s">
        <v>680</v>
      </c>
      <c r="S198" s="1" t="s">
        <v>681</v>
      </c>
      <c r="T198" s="1" t="s">
        <v>32</v>
      </c>
      <c r="U198" s="1" t="s">
        <v>682</v>
      </c>
      <c r="V198" s="1" t="s">
        <v>683</v>
      </c>
      <c r="W198" s="1" t="s">
        <v>48</v>
      </c>
      <c r="X198" s="1" t="s">
        <v>684</v>
      </c>
      <c r="Y198" s="1" t="s">
        <v>685</v>
      </c>
      <c r="Z198" s="1" t="str">
        <f>TRIM(_xlfn.CONCAT(sales_data_sample[[#This Row],[CONTACTFIRSTNAME]],", ",sales_data_sample[[#This Row],[CONTACTLASTNAME]]))</f>
        <v>Dean, Cassidy</v>
      </c>
      <c r="AA198" s="1" t="s">
        <v>199</v>
      </c>
    </row>
    <row r="199" spans="1:27" x14ac:dyDescent="0.25">
      <c r="A199" s="10">
        <v>10231</v>
      </c>
      <c r="B199" s="9">
        <v>42</v>
      </c>
      <c r="C199" s="9">
        <v>100</v>
      </c>
      <c r="D199" s="9">
        <f>PRODUCT(sales_data_sample[[#This Row],[QUANTITYORDERED]],sales_data_sample[[#This Row],[PRICEEACH]])</f>
        <v>4200</v>
      </c>
      <c r="E199" s="9">
        <f>IF(OR(sales_data_sample[[#This Row],[STATUS]]="Shipped",sales_data_sample[[#This Row],[STATUS]]="Resolved"),sales_data_sample[[#This Row],[SALES]],0)</f>
        <v>4200</v>
      </c>
      <c r="F199" s="10">
        <v>2</v>
      </c>
      <c r="G199" s="12" t="s">
        <v>686</v>
      </c>
      <c r="H199" s="1" t="s">
        <v>26</v>
      </c>
      <c r="I199">
        <v>1</v>
      </c>
      <c r="J199">
        <v>3</v>
      </c>
      <c r="K199">
        <v>2004</v>
      </c>
      <c r="L199" s="1" t="s">
        <v>239</v>
      </c>
      <c r="M199">
        <v>207</v>
      </c>
      <c r="N199" s="1" t="s">
        <v>664</v>
      </c>
      <c r="O199" s="1" t="s">
        <v>687</v>
      </c>
      <c r="P199" s="1" t="s">
        <v>688</v>
      </c>
      <c r="Q199" s="1" t="s">
        <v>689</v>
      </c>
      <c r="R199" s="1" t="s">
        <v>32</v>
      </c>
      <c r="S199" s="1" t="s">
        <v>233</v>
      </c>
      <c r="T199" s="1" t="s">
        <v>32</v>
      </c>
      <c r="U199" s="1" t="s">
        <v>254</v>
      </c>
      <c r="V199" s="1" t="s">
        <v>235</v>
      </c>
      <c r="W199" s="1" t="s">
        <v>48</v>
      </c>
      <c r="X199" s="1" t="s">
        <v>690</v>
      </c>
      <c r="Y199" s="1" t="s">
        <v>691</v>
      </c>
      <c r="Z199" s="1" t="str">
        <f>TRIM(_xlfn.CONCAT(sales_data_sample[[#This Row],[CONTACTFIRSTNAME]],", ",sales_data_sample[[#This Row],[CONTACTLASTNAME]]))</f>
        <v>Jesus, Fernandez</v>
      </c>
      <c r="AA199" s="1" t="s">
        <v>199</v>
      </c>
    </row>
    <row r="200" spans="1:27" x14ac:dyDescent="0.25">
      <c r="A200" s="10">
        <v>10247</v>
      </c>
      <c r="B200" s="9">
        <v>44</v>
      </c>
      <c r="C200" s="9">
        <v>100</v>
      </c>
      <c r="D200" s="9">
        <f>PRODUCT(sales_data_sample[[#This Row],[QUANTITYORDERED]],sales_data_sample[[#This Row],[PRICEEACH]])</f>
        <v>4400</v>
      </c>
      <c r="E200" s="9">
        <f>IF(OR(sales_data_sample[[#This Row],[STATUS]]="Shipped",sales_data_sample[[#This Row],[STATUS]]="Resolved"),sales_data_sample[[#This Row],[SALES]],0)</f>
        <v>4400</v>
      </c>
      <c r="F200" s="10">
        <v>2</v>
      </c>
      <c r="G200" s="12" t="s">
        <v>692</v>
      </c>
      <c r="H200" s="1" t="s">
        <v>26</v>
      </c>
      <c r="I200">
        <v>2</v>
      </c>
      <c r="J200">
        <v>5</v>
      </c>
      <c r="K200">
        <v>2004</v>
      </c>
      <c r="L200" s="1" t="s">
        <v>239</v>
      </c>
      <c r="M200">
        <v>207</v>
      </c>
      <c r="N200" s="1" t="s">
        <v>664</v>
      </c>
      <c r="O200" s="1" t="s">
        <v>656</v>
      </c>
      <c r="P200" s="1" t="s">
        <v>657</v>
      </c>
      <c r="Q200" s="1" t="s">
        <v>658</v>
      </c>
      <c r="R200" s="1" t="s">
        <v>32</v>
      </c>
      <c r="S200" s="1" t="s">
        <v>659</v>
      </c>
      <c r="T200" s="1" t="s">
        <v>32</v>
      </c>
      <c r="U200" s="1" t="s">
        <v>660</v>
      </c>
      <c r="V200" s="1" t="s">
        <v>170</v>
      </c>
      <c r="W200" s="1" t="s">
        <v>48</v>
      </c>
      <c r="X200" s="1" t="s">
        <v>661</v>
      </c>
      <c r="Y200" s="1" t="s">
        <v>662</v>
      </c>
      <c r="Z200" s="1" t="str">
        <f>TRIM(_xlfn.CONCAT(sales_data_sample[[#This Row],[CONTACTFIRSTNAME]],", ",sales_data_sample[[#This Row],[CONTACTLASTNAME]]))</f>
        <v>Kalle, Suominen</v>
      </c>
      <c r="AA200" s="1" t="s">
        <v>199</v>
      </c>
    </row>
    <row r="201" spans="1:27" x14ac:dyDescent="0.25">
      <c r="A201" s="10">
        <v>10272</v>
      </c>
      <c r="B201" s="9">
        <v>35</v>
      </c>
      <c r="C201" s="9">
        <v>100</v>
      </c>
      <c r="D201" s="9">
        <f>PRODUCT(sales_data_sample[[#This Row],[QUANTITYORDERED]],sales_data_sample[[#This Row],[PRICEEACH]])</f>
        <v>3500</v>
      </c>
      <c r="E201" s="9">
        <f>IF(OR(sales_data_sample[[#This Row],[STATUS]]="Shipped",sales_data_sample[[#This Row],[STATUS]]="Resolved"),sales_data_sample[[#This Row],[SALES]],0)</f>
        <v>3500</v>
      </c>
      <c r="F201" s="10">
        <v>2</v>
      </c>
      <c r="G201" s="12" t="s">
        <v>693</v>
      </c>
      <c r="H201" s="1" t="s">
        <v>26</v>
      </c>
      <c r="I201">
        <v>3</v>
      </c>
      <c r="J201">
        <v>7</v>
      </c>
      <c r="K201">
        <v>2004</v>
      </c>
      <c r="L201" s="1" t="s">
        <v>239</v>
      </c>
      <c r="M201">
        <v>207</v>
      </c>
      <c r="N201" s="1" t="s">
        <v>664</v>
      </c>
      <c r="O201" s="1" t="s">
        <v>182</v>
      </c>
      <c r="P201" s="1" t="s">
        <v>183</v>
      </c>
      <c r="Q201" s="1" t="s">
        <v>184</v>
      </c>
      <c r="R201" s="1" t="s">
        <v>32</v>
      </c>
      <c r="S201" s="1" t="s">
        <v>185</v>
      </c>
      <c r="T201" s="1" t="s">
        <v>186</v>
      </c>
      <c r="U201" s="1" t="s">
        <v>187</v>
      </c>
      <c r="V201" s="1" t="s">
        <v>36</v>
      </c>
      <c r="W201" s="1" t="s">
        <v>37</v>
      </c>
      <c r="X201" s="1" t="s">
        <v>38</v>
      </c>
      <c r="Y201" s="1" t="s">
        <v>188</v>
      </c>
      <c r="Z201" s="1" t="str">
        <f>TRIM(_xlfn.CONCAT(sales_data_sample[[#This Row],[CONTACTFIRSTNAME]],", ",sales_data_sample[[#This Row],[CONTACTLASTNAME]]))</f>
        <v>Kyung, Yu</v>
      </c>
      <c r="AA201" s="1" t="s">
        <v>59</v>
      </c>
    </row>
    <row r="202" spans="1:27" x14ac:dyDescent="0.25">
      <c r="A202" s="10">
        <v>10282</v>
      </c>
      <c r="B202" s="9">
        <v>41</v>
      </c>
      <c r="C202" s="9">
        <v>100</v>
      </c>
      <c r="D202" s="9">
        <f>PRODUCT(sales_data_sample[[#This Row],[QUANTITYORDERED]],sales_data_sample[[#This Row],[PRICEEACH]])</f>
        <v>4100</v>
      </c>
      <c r="E202" s="9">
        <f>IF(OR(sales_data_sample[[#This Row],[STATUS]]="Shipped",sales_data_sample[[#This Row],[STATUS]]="Resolved"),sales_data_sample[[#This Row],[SALES]],0)</f>
        <v>4100</v>
      </c>
      <c r="F202" s="10">
        <v>5</v>
      </c>
      <c r="G202" s="12" t="s">
        <v>508</v>
      </c>
      <c r="H202" s="1" t="s">
        <v>26</v>
      </c>
      <c r="I202">
        <v>3</v>
      </c>
      <c r="J202">
        <v>8</v>
      </c>
      <c r="K202">
        <v>2004</v>
      </c>
      <c r="L202" s="1" t="s">
        <v>239</v>
      </c>
      <c r="M202">
        <v>207</v>
      </c>
      <c r="N202" s="1" t="s">
        <v>664</v>
      </c>
      <c r="O202" s="1" t="s">
        <v>361</v>
      </c>
      <c r="P202" s="1" t="s">
        <v>362</v>
      </c>
      <c r="Q202" s="1" t="s">
        <v>363</v>
      </c>
      <c r="R202" s="1" t="s">
        <v>32</v>
      </c>
      <c r="S202" s="1" t="s">
        <v>364</v>
      </c>
      <c r="T202" s="1" t="s">
        <v>65</v>
      </c>
      <c r="U202" s="1" t="s">
        <v>145</v>
      </c>
      <c r="V202" s="1" t="s">
        <v>36</v>
      </c>
      <c r="W202" s="1" t="s">
        <v>37</v>
      </c>
      <c r="X202" s="1" t="s">
        <v>365</v>
      </c>
      <c r="Y202" s="1" t="s">
        <v>366</v>
      </c>
      <c r="Z202" s="1" t="str">
        <f>TRIM(_xlfn.CONCAT(sales_data_sample[[#This Row],[CONTACTFIRSTNAME]],", ",sales_data_sample[[#This Row],[CONTACTLASTNAME]]))</f>
        <v>Valarie, Nelson</v>
      </c>
      <c r="AA202" s="1" t="s">
        <v>199</v>
      </c>
    </row>
    <row r="203" spans="1:27" x14ac:dyDescent="0.25">
      <c r="A203" s="10">
        <v>10293</v>
      </c>
      <c r="B203" s="9">
        <v>46</v>
      </c>
      <c r="C203" s="9">
        <v>100</v>
      </c>
      <c r="D203" s="9">
        <f>PRODUCT(sales_data_sample[[#This Row],[QUANTITYORDERED]],sales_data_sample[[#This Row],[PRICEEACH]])</f>
        <v>4600</v>
      </c>
      <c r="E203" s="9">
        <f>IF(OR(sales_data_sample[[#This Row],[STATUS]]="Shipped",sales_data_sample[[#This Row],[STATUS]]="Resolved"),sales_data_sample[[#This Row],[SALES]],0)</f>
        <v>4600</v>
      </c>
      <c r="F203" s="10">
        <v>8</v>
      </c>
      <c r="G203" s="12" t="s">
        <v>694</v>
      </c>
      <c r="H203" s="1" t="s">
        <v>26</v>
      </c>
      <c r="I203">
        <v>3</v>
      </c>
      <c r="J203">
        <v>9</v>
      </c>
      <c r="K203">
        <v>2004</v>
      </c>
      <c r="L203" s="1" t="s">
        <v>239</v>
      </c>
      <c r="M203">
        <v>207</v>
      </c>
      <c r="N203" s="1" t="s">
        <v>664</v>
      </c>
      <c r="O203" s="1" t="s">
        <v>338</v>
      </c>
      <c r="P203" s="1" t="s">
        <v>339</v>
      </c>
      <c r="Q203" s="1" t="s">
        <v>340</v>
      </c>
      <c r="R203" s="1" t="s">
        <v>32</v>
      </c>
      <c r="S203" s="1" t="s">
        <v>341</v>
      </c>
      <c r="T203" s="1" t="s">
        <v>32</v>
      </c>
      <c r="U203" s="1" t="s">
        <v>342</v>
      </c>
      <c r="V203" s="1" t="s">
        <v>343</v>
      </c>
      <c r="W203" s="1" t="s">
        <v>48</v>
      </c>
      <c r="X203" s="1" t="s">
        <v>344</v>
      </c>
      <c r="Y203" s="1" t="s">
        <v>345</v>
      </c>
      <c r="Z203" s="1" t="str">
        <f>TRIM(_xlfn.CONCAT(sales_data_sample[[#This Row],[CONTACTFIRSTNAME]],", ",sales_data_sample[[#This Row],[CONTACTLASTNAME]]))</f>
        <v>Paolo, Accorti</v>
      </c>
      <c r="AA203" s="1" t="s">
        <v>199</v>
      </c>
    </row>
    <row r="204" spans="1:27" x14ac:dyDescent="0.25">
      <c r="A204" s="10">
        <v>10306</v>
      </c>
      <c r="B204" s="9">
        <v>31</v>
      </c>
      <c r="C204" s="9">
        <v>100</v>
      </c>
      <c r="D204" s="9">
        <f>PRODUCT(sales_data_sample[[#This Row],[QUANTITYORDERED]],sales_data_sample[[#This Row],[PRICEEACH]])</f>
        <v>3100</v>
      </c>
      <c r="E204" s="9">
        <f>IF(OR(sales_data_sample[[#This Row],[STATUS]]="Shipped",sales_data_sample[[#This Row],[STATUS]]="Resolved"),sales_data_sample[[#This Row],[SALES]],0)</f>
        <v>3100</v>
      </c>
      <c r="F204" s="10">
        <v>13</v>
      </c>
      <c r="G204" s="12" t="s">
        <v>522</v>
      </c>
      <c r="H204" s="1" t="s">
        <v>26</v>
      </c>
      <c r="I204">
        <v>4</v>
      </c>
      <c r="J204">
        <v>10</v>
      </c>
      <c r="K204">
        <v>2004</v>
      </c>
      <c r="L204" s="1" t="s">
        <v>239</v>
      </c>
      <c r="M204">
        <v>207</v>
      </c>
      <c r="N204" s="1" t="s">
        <v>664</v>
      </c>
      <c r="O204" s="1" t="s">
        <v>695</v>
      </c>
      <c r="P204" s="1" t="s">
        <v>696</v>
      </c>
      <c r="Q204" s="1" t="s">
        <v>697</v>
      </c>
      <c r="R204" s="1" t="s">
        <v>32</v>
      </c>
      <c r="S204" s="1" t="s">
        <v>698</v>
      </c>
      <c r="T204" s="1" t="s">
        <v>32</v>
      </c>
      <c r="U204" s="1" t="s">
        <v>699</v>
      </c>
      <c r="V204" s="1" t="s">
        <v>225</v>
      </c>
      <c r="W204" s="1" t="s">
        <v>48</v>
      </c>
      <c r="X204" s="1" t="s">
        <v>700</v>
      </c>
      <c r="Y204" s="1" t="s">
        <v>118</v>
      </c>
      <c r="Z204" s="1" t="str">
        <f>TRIM(_xlfn.CONCAT(sales_data_sample[[#This Row],[CONTACTFIRSTNAME]],", ",sales_data_sample[[#This Row],[CONTACTLASTNAME]]))</f>
        <v>Victoria, Ashworth</v>
      </c>
      <c r="AA204" s="1" t="s">
        <v>59</v>
      </c>
    </row>
    <row r="205" spans="1:27" x14ac:dyDescent="0.25">
      <c r="A205" s="10">
        <v>10314</v>
      </c>
      <c r="B205" s="9">
        <v>38</v>
      </c>
      <c r="C205" s="9">
        <v>100</v>
      </c>
      <c r="D205" s="9">
        <f>PRODUCT(sales_data_sample[[#This Row],[QUANTITYORDERED]],sales_data_sample[[#This Row],[PRICEEACH]])</f>
        <v>3800</v>
      </c>
      <c r="E205" s="9">
        <f>IF(OR(sales_data_sample[[#This Row],[STATUS]]="Shipped",sales_data_sample[[#This Row],[STATUS]]="Resolved"),sales_data_sample[[#This Row],[SALES]],0)</f>
        <v>3800</v>
      </c>
      <c r="F205" s="10">
        <v>5</v>
      </c>
      <c r="G205" s="12" t="s">
        <v>587</v>
      </c>
      <c r="H205" s="1" t="s">
        <v>26</v>
      </c>
      <c r="I205">
        <v>4</v>
      </c>
      <c r="J205">
        <v>10</v>
      </c>
      <c r="K205">
        <v>2004</v>
      </c>
      <c r="L205" s="1" t="s">
        <v>239</v>
      </c>
      <c r="M205">
        <v>207</v>
      </c>
      <c r="N205" s="1" t="s">
        <v>664</v>
      </c>
      <c r="O205" s="1" t="s">
        <v>701</v>
      </c>
      <c r="P205" s="1" t="s">
        <v>702</v>
      </c>
      <c r="Q205" s="1" t="s">
        <v>703</v>
      </c>
      <c r="R205" s="1" t="s">
        <v>32</v>
      </c>
      <c r="S205" s="1" t="s">
        <v>704</v>
      </c>
      <c r="T205" s="1" t="s">
        <v>32</v>
      </c>
      <c r="U205" s="1" t="s">
        <v>705</v>
      </c>
      <c r="V205" s="1" t="s">
        <v>442</v>
      </c>
      <c r="W205" s="1" t="s">
        <v>48</v>
      </c>
      <c r="X205" s="1" t="s">
        <v>706</v>
      </c>
      <c r="Y205" s="1" t="s">
        <v>707</v>
      </c>
      <c r="Z205" s="1" t="str">
        <f>TRIM(_xlfn.CONCAT(sales_data_sample[[#This Row],[CONTACTFIRSTNAME]],", ",sales_data_sample[[#This Row],[CONTACTLASTNAME]]))</f>
        <v>Palle, Ibsen</v>
      </c>
      <c r="AA205" s="1" t="s">
        <v>199</v>
      </c>
    </row>
    <row r="206" spans="1:27" x14ac:dyDescent="0.25">
      <c r="A206" s="10">
        <v>10325</v>
      </c>
      <c r="B206" s="9">
        <v>42</v>
      </c>
      <c r="C206" s="9">
        <v>64</v>
      </c>
      <c r="D206" s="9">
        <f>PRODUCT(sales_data_sample[[#This Row],[QUANTITYORDERED]],sales_data_sample[[#This Row],[PRICEEACH]])</f>
        <v>2688</v>
      </c>
      <c r="E206" s="9">
        <f>IF(OR(sales_data_sample[[#This Row],[STATUS]]="Shipped",sales_data_sample[[#This Row],[STATUS]]="Resolved"),sales_data_sample[[#This Row],[SALES]],0)</f>
        <v>2688</v>
      </c>
      <c r="F206" s="10">
        <v>8</v>
      </c>
      <c r="G206" s="12" t="s">
        <v>532</v>
      </c>
      <c r="H206" s="1" t="s">
        <v>26</v>
      </c>
      <c r="I206">
        <v>4</v>
      </c>
      <c r="J206">
        <v>11</v>
      </c>
      <c r="K206">
        <v>2004</v>
      </c>
      <c r="L206" s="1" t="s">
        <v>239</v>
      </c>
      <c r="M206">
        <v>207</v>
      </c>
      <c r="N206" s="1" t="s">
        <v>664</v>
      </c>
      <c r="O206" s="1" t="s">
        <v>174</v>
      </c>
      <c r="P206" s="1" t="s">
        <v>175</v>
      </c>
      <c r="Q206" s="1" t="s">
        <v>176</v>
      </c>
      <c r="R206" s="1" t="s">
        <v>32</v>
      </c>
      <c r="S206" s="1" t="s">
        <v>177</v>
      </c>
      <c r="T206" s="1" t="s">
        <v>32</v>
      </c>
      <c r="U206" s="1" t="s">
        <v>178</v>
      </c>
      <c r="V206" s="1" t="s">
        <v>97</v>
      </c>
      <c r="W206" s="1" t="s">
        <v>48</v>
      </c>
      <c r="X206" s="1" t="s">
        <v>179</v>
      </c>
      <c r="Y206" s="1" t="s">
        <v>180</v>
      </c>
      <c r="Z206" s="1" t="str">
        <f>TRIM(_xlfn.CONCAT(sales_data_sample[[#This Row],[CONTACTFIRSTNAME]],", ",sales_data_sample[[#This Row],[CONTACTLASTNAME]]))</f>
        <v>Jonas, Bergulfsen</v>
      </c>
      <c r="AA206" s="1" t="s">
        <v>40</v>
      </c>
    </row>
    <row r="207" spans="1:27" x14ac:dyDescent="0.25">
      <c r="A207" s="10">
        <v>10336</v>
      </c>
      <c r="B207" s="9">
        <v>33</v>
      </c>
      <c r="C207" s="9">
        <v>5722</v>
      </c>
      <c r="D207" s="9">
        <f>PRODUCT(sales_data_sample[[#This Row],[QUANTITYORDERED]],sales_data_sample[[#This Row],[PRICEEACH]])</f>
        <v>188826</v>
      </c>
      <c r="E207" s="9">
        <f>IF(OR(sales_data_sample[[#This Row],[STATUS]]="Shipped",sales_data_sample[[#This Row],[STATUS]]="Resolved"),sales_data_sample[[#This Row],[SALES]],0)</f>
        <v>188826</v>
      </c>
      <c r="F207" s="10">
        <v>10</v>
      </c>
      <c r="G207" s="12" t="s">
        <v>708</v>
      </c>
      <c r="H207" s="1" t="s">
        <v>26</v>
      </c>
      <c r="I207">
        <v>4</v>
      </c>
      <c r="J207">
        <v>11</v>
      </c>
      <c r="K207">
        <v>2004</v>
      </c>
      <c r="L207" s="1" t="s">
        <v>239</v>
      </c>
      <c r="M207">
        <v>207</v>
      </c>
      <c r="N207" s="1" t="s">
        <v>664</v>
      </c>
      <c r="O207" s="1" t="s">
        <v>556</v>
      </c>
      <c r="P207" s="1" t="s">
        <v>557</v>
      </c>
      <c r="Q207" s="1" t="s">
        <v>558</v>
      </c>
      <c r="R207" s="1" t="s">
        <v>32</v>
      </c>
      <c r="S207" s="1" t="s">
        <v>55</v>
      </c>
      <c r="T207" s="1" t="s">
        <v>32</v>
      </c>
      <c r="U207" s="1" t="s">
        <v>559</v>
      </c>
      <c r="V207" s="1" t="s">
        <v>47</v>
      </c>
      <c r="W207" s="1" t="s">
        <v>48</v>
      </c>
      <c r="X207" s="1" t="s">
        <v>560</v>
      </c>
      <c r="Y207" s="1" t="s">
        <v>561</v>
      </c>
      <c r="Z207" s="1" t="str">
        <f>TRIM(_xlfn.CONCAT(sales_data_sample[[#This Row],[CONTACTFIRSTNAME]],", ",sales_data_sample[[#This Row],[CONTACTLASTNAME]]))</f>
        <v>Marie, Bertrand</v>
      </c>
      <c r="AA207" s="1" t="s">
        <v>40</v>
      </c>
    </row>
    <row r="208" spans="1:27" x14ac:dyDescent="0.25">
      <c r="A208" s="10">
        <v>10348</v>
      </c>
      <c r="B208" s="9">
        <v>48</v>
      </c>
      <c r="C208" s="9">
        <v>5236</v>
      </c>
      <c r="D208" s="9">
        <f>PRODUCT(sales_data_sample[[#This Row],[QUANTITYORDERED]],sales_data_sample[[#This Row],[PRICEEACH]])</f>
        <v>251328</v>
      </c>
      <c r="E208" s="9">
        <f>IF(OR(sales_data_sample[[#This Row],[STATUS]]="Shipped",sales_data_sample[[#This Row],[STATUS]]="Resolved"),sales_data_sample[[#This Row],[SALES]],0)</f>
        <v>251328</v>
      </c>
      <c r="F208" s="10">
        <v>8</v>
      </c>
      <c r="G208" s="12" t="s">
        <v>523</v>
      </c>
      <c r="H208" s="1" t="s">
        <v>26</v>
      </c>
      <c r="I208">
        <v>4</v>
      </c>
      <c r="J208">
        <v>11</v>
      </c>
      <c r="K208">
        <v>2004</v>
      </c>
      <c r="L208" s="1" t="s">
        <v>239</v>
      </c>
      <c r="M208">
        <v>207</v>
      </c>
      <c r="N208" s="1" t="s">
        <v>664</v>
      </c>
      <c r="O208" s="1" t="s">
        <v>251</v>
      </c>
      <c r="P208" s="1" t="s">
        <v>252</v>
      </c>
      <c r="Q208" s="1" t="s">
        <v>253</v>
      </c>
      <c r="R208" s="1" t="s">
        <v>32</v>
      </c>
      <c r="S208" s="1" t="s">
        <v>233</v>
      </c>
      <c r="T208" s="1" t="s">
        <v>32</v>
      </c>
      <c r="U208" s="1" t="s">
        <v>254</v>
      </c>
      <c r="V208" s="1" t="s">
        <v>235</v>
      </c>
      <c r="W208" s="1" t="s">
        <v>48</v>
      </c>
      <c r="X208" s="1" t="s">
        <v>255</v>
      </c>
      <c r="Y208" s="1" t="s">
        <v>256</v>
      </c>
      <c r="Z208" s="1" t="str">
        <f>TRIM(_xlfn.CONCAT(sales_data_sample[[#This Row],[CONTACTFIRSTNAME]],", ",sales_data_sample[[#This Row],[CONTACTLASTNAME]]))</f>
        <v>Mart¡n, Sommer</v>
      </c>
      <c r="AA208" s="1" t="s">
        <v>40</v>
      </c>
    </row>
    <row r="209" spans="1:27" x14ac:dyDescent="0.25">
      <c r="A209" s="10">
        <v>10359</v>
      </c>
      <c r="B209" s="9">
        <v>42</v>
      </c>
      <c r="C209" s="9">
        <v>100</v>
      </c>
      <c r="D209" s="9">
        <f>PRODUCT(sales_data_sample[[#This Row],[QUANTITYORDERED]],sales_data_sample[[#This Row],[PRICEEACH]])</f>
        <v>4200</v>
      </c>
      <c r="E209" s="9">
        <f>IF(OR(sales_data_sample[[#This Row],[STATUS]]="Shipped",sales_data_sample[[#This Row],[STATUS]]="Resolved"),sales_data_sample[[#This Row],[SALES]],0)</f>
        <v>4200</v>
      </c>
      <c r="F209" s="10">
        <v>8</v>
      </c>
      <c r="G209" s="12" t="s">
        <v>535</v>
      </c>
      <c r="H209" s="1" t="s">
        <v>26</v>
      </c>
      <c r="I209">
        <v>4</v>
      </c>
      <c r="J209">
        <v>12</v>
      </c>
      <c r="K209">
        <v>2004</v>
      </c>
      <c r="L209" s="1" t="s">
        <v>239</v>
      </c>
      <c r="M209">
        <v>207</v>
      </c>
      <c r="N209" s="1" t="s">
        <v>664</v>
      </c>
      <c r="O209" s="1" t="s">
        <v>42</v>
      </c>
      <c r="P209" s="1" t="s">
        <v>43</v>
      </c>
      <c r="Q209" s="1" t="s">
        <v>44</v>
      </c>
      <c r="R209" s="1" t="s">
        <v>32</v>
      </c>
      <c r="S209" s="1" t="s">
        <v>45</v>
      </c>
      <c r="T209" s="1" t="s">
        <v>32</v>
      </c>
      <c r="U209" s="1" t="s">
        <v>46</v>
      </c>
      <c r="V209" s="1" t="s">
        <v>47</v>
      </c>
      <c r="W209" s="1" t="s">
        <v>48</v>
      </c>
      <c r="X209" s="1" t="s">
        <v>49</v>
      </c>
      <c r="Y209" s="1" t="s">
        <v>50</v>
      </c>
      <c r="Z209" s="1" t="str">
        <f>TRIM(_xlfn.CONCAT(sales_data_sample[[#This Row],[CONTACTFIRSTNAME]],", ",sales_data_sample[[#This Row],[CONTACTLASTNAME]]))</f>
        <v>Paul, Henriot</v>
      </c>
      <c r="AA209" s="1" t="s">
        <v>59</v>
      </c>
    </row>
    <row r="210" spans="1:27" x14ac:dyDescent="0.25">
      <c r="A210" s="10">
        <v>10371</v>
      </c>
      <c r="B210" s="9">
        <v>32</v>
      </c>
      <c r="C210" s="9">
        <v>100</v>
      </c>
      <c r="D210" s="9">
        <f>PRODUCT(sales_data_sample[[#This Row],[QUANTITYORDERED]],sales_data_sample[[#This Row],[PRICEEACH]])</f>
        <v>3200</v>
      </c>
      <c r="E210" s="9">
        <f>IF(OR(sales_data_sample[[#This Row],[STATUS]]="Shipped",sales_data_sample[[#This Row],[STATUS]]="Resolved"),sales_data_sample[[#This Row],[SALES]],0)</f>
        <v>3200</v>
      </c>
      <c r="F210" s="10">
        <v>6</v>
      </c>
      <c r="G210" s="12" t="s">
        <v>709</v>
      </c>
      <c r="H210" s="1" t="s">
        <v>26</v>
      </c>
      <c r="I210">
        <v>1</v>
      </c>
      <c r="J210">
        <v>1</v>
      </c>
      <c r="K210">
        <v>2005</v>
      </c>
      <c r="L210" s="1" t="s">
        <v>239</v>
      </c>
      <c r="M210">
        <v>207</v>
      </c>
      <c r="N210" s="1" t="s">
        <v>664</v>
      </c>
      <c r="O210" s="1" t="s">
        <v>361</v>
      </c>
      <c r="P210" s="1" t="s">
        <v>362</v>
      </c>
      <c r="Q210" s="1" t="s">
        <v>363</v>
      </c>
      <c r="R210" s="1" t="s">
        <v>32</v>
      </c>
      <c r="S210" s="1" t="s">
        <v>364</v>
      </c>
      <c r="T210" s="1" t="s">
        <v>65</v>
      </c>
      <c r="U210" s="1" t="s">
        <v>145</v>
      </c>
      <c r="V210" s="1" t="s">
        <v>36</v>
      </c>
      <c r="W210" s="1" t="s">
        <v>37</v>
      </c>
      <c r="X210" s="1" t="s">
        <v>365</v>
      </c>
      <c r="Y210" s="1" t="s">
        <v>366</v>
      </c>
      <c r="Z210" s="1" t="str">
        <f>TRIM(_xlfn.CONCAT(sales_data_sample[[#This Row],[CONTACTFIRSTNAME]],", ",sales_data_sample[[#This Row],[CONTACTLASTNAME]]))</f>
        <v>Valarie, Nelson</v>
      </c>
      <c r="AA210" s="1" t="s">
        <v>59</v>
      </c>
    </row>
    <row r="211" spans="1:27" x14ac:dyDescent="0.25">
      <c r="A211" s="10">
        <v>10382</v>
      </c>
      <c r="B211" s="9">
        <v>34</v>
      </c>
      <c r="C211" s="9">
        <v>100</v>
      </c>
      <c r="D211" s="9">
        <f>PRODUCT(sales_data_sample[[#This Row],[QUANTITYORDERED]],sales_data_sample[[#This Row],[PRICEEACH]])</f>
        <v>3400</v>
      </c>
      <c r="E211" s="9">
        <f>IF(OR(sales_data_sample[[#This Row],[STATUS]]="Shipped",sales_data_sample[[#This Row],[STATUS]]="Resolved"),sales_data_sample[[#This Row],[SALES]],0)</f>
        <v>3400</v>
      </c>
      <c r="F211" s="10">
        <v>10</v>
      </c>
      <c r="G211" s="12" t="s">
        <v>383</v>
      </c>
      <c r="H211" s="1" t="s">
        <v>26</v>
      </c>
      <c r="I211">
        <v>1</v>
      </c>
      <c r="J211">
        <v>2</v>
      </c>
      <c r="K211">
        <v>2005</v>
      </c>
      <c r="L211" s="1" t="s">
        <v>239</v>
      </c>
      <c r="M211">
        <v>207</v>
      </c>
      <c r="N211" s="1" t="s">
        <v>664</v>
      </c>
      <c r="O211" s="1" t="s">
        <v>361</v>
      </c>
      <c r="P211" s="1" t="s">
        <v>362</v>
      </c>
      <c r="Q211" s="1" t="s">
        <v>363</v>
      </c>
      <c r="R211" s="1" t="s">
        <v>32</v>
      </c>
      <c r="S211" s="1" t="s">
        <v>364</v>
      </c>
      <c r="T211" s="1" t="s">
        <v>65</v>
      </c>
      <c r="U211" s="1" t="s">
        <v>145</v>
      </c>
      <c r="V211" s="1" t="s">
        <v>36</v>
      </c>
      <c r="W211" s="1" t="s">
        <v>37</v>
      </c>
      <c r="X211" s="1" t="s">
        <v>365</v>
      </c>
      <c r="Y211" s="1" t="s">
        <v>366</v>
      </c>
      <c r="Z211" s="1" t="str">
        <f>TRIM(_xlfn.CONCAT(sales_data_sample[[#This Row],[CONTACTFIRSTNAME]],", ",sales_data_sample[[#This Row],[CONTACTLASTNAME]]))</f>
        <v>Valarie, Nelson</v>
      </c>
      <c r="AA211" s="1" t="s">
        <v>59</v>
      </c>
    </row>
    <row r="212" spans="1:27" x14ac:dyDescent="0.25">
      <c r="A212" s="10">
        <v>10395</v>
      </c>
      <c r="B212" s="9">
        <v>33</v>
      </c>
      <c r="C212" s="9">
        <v>6912</v>
      </c>
      <c r="D212" s="9">
        <f>PRODUCT(sales_data_sample[[#This Row],[QUANTITYORDERED]],sales_data_sample[[#This Row],[PRICEEACH]])</f>
        <v>228096</v>
      </c>
      <c r="E212" s="9">
        <f>IF(OR(sales_data_sample[[#This Row],[STATUS]]="Shipped",sales_data_sample[[#This Row],[STATUS]]="Resolved"),sales_data_sample[[#This Row],[SALES]],0)</f>
        <v>228096</v>
      </c>
      <c r="F212" s="10">
        <v>1</v>
      </c>
      <c r="G212" s="12" t="s">
        <v>545</v>
      </c>
      <c r="H212" s="1" t="s">
        <v>26</v>
      </c>
      <c r="I212">
        <v>1</v>
      </c>
      <c r="J212">
        <v>3</v>
      </c>
      <c r="K212">
        <v>2005</v>
      </c>
      <c r="L212" s="1" t="s">
        <v>239</v>
      </c>
      <c r="M212">
        <v>207</v>
      </c>
      <c r="N212" s="1" t="s">
        <v>664</v>
      </c>
      <c r="O212" s="1" t="s">
        <v>52</v>
      </c>
      <c r="P212" s="1" t="s">
        <v>53</v>
      </c>
      <c r="Q212" s="1" t="s">
        <v>54</v>
      </c>
      <c r="R212" s="1" t="s">
        <v>32</v>
      </c>
      <c r="S212" s="1" t="s">
        <v>55</v>
      </c>
      <c r="T212" s="1" t="s">
        <v>32</v>
      </c>
      <c r="U212" s="1" t="s">
        <v>56</v>
      </c>
      <c r="V212" s="1" t="s">
        <v>47</v>
      </c>
      <c r="W212" s="1" t="s">
        <v>48</v>
      </c>
      <c r="X212" s="1" t="s">
        <v>57</v>
      </c>
      <c r="Y212" s="1" t="s">
        <v>58</v>
      </c>
      <c r="Z212" s="1" t="str">
        <f>TRIM(_xlfn.CONCAT(sales_data_sample[[#This Row],[CONTACTFIRSTNAME]],", ",sales_data_sample[[#This Row],[CONTACTLASTNAME]]))</f>
        <v>Daniel, Da Cunha</v>
      </c>
      <c r="AA212" s="1" t="s">
        <v>40</v>
      </c>
    </row>
    <row r="213" spans="1:27" x14ac:dyDescent="0.25">
      <c r="A213" s="10">
        <v>10413</v>
      </c>
      <c r="B213" s="9">
        <v>36</v>
      </c>
      <c r="C213" s="9">
        <v>100</v>
      </c>
      <c r="D213" s="9">
        <f>PRODUCT(sales_data_sample[[#This Row],[QUANTITYORDERED]],sales_data_sample[[#This Row],[PRICEEACH]])</f>
        <v>3600</v>
      </c>
      <c r="E213" s="9">
        <f>IF(OR(sales_data_sample[[#This Row],[STATUS]]="Shipped",sales_data_sample[[#This Row],[STATUS]]="Resolved"),sales_data_sample[[#This Row],[SALES]],0)</f>
        <v>3600</v>
      </c>
      <c r="F213" s="10">
        <v>2</v>
      </c>
      <c r="G213" s="12" t="s">
        <v>710</v>
      </c>
      <c r="H213" s="1" t="s">
        <v>26</v>
      </c>
      <c r="I213">
        <v>2</v>
      </c>
      <c r="J213">
        <v>5</v>
      </c>
      <c r="K213">
        <v>2005</v>
      </c>
      <c r="L213" s="1" t="s">
        <v>239</v>
      </c>
      <c r="M213">
        <v>207</v>
      </c>
      <c r="N213" s="1" t="s">
        <v>664</v>
      </c>
      <c r="O213" s="1" t="s">
        <v>140</v>
      </c>
      <c r="P213" s="1" t="s">
        <v>141</v>
      </c>
      <c r="Q213" s="1" t="s">
        <v>142</v>
      </c>
      <c r="R213" s="1" t="s">
        <v>32</v>
      </c>
      <c r="S213" s="1" t="s">
        <v>143</v>
      </c>
      <c r="T213" s="1" t="s">
        <v>144</v>
      </c>
      <c r="U213" s="1" t="s">
        <v>145</v>
      </c>
      <c r="V213" s="1" t="s">
        <v>36</v>
      </c>
      <c r="W213" s="1" t="s">
        <v>37</v>
      </c>
      <c r="X213" s="1" t="s">
        <v>146</v>
      </c>
      <c r="Y213" s="1" t="s">
        <v>68</v>
      </c>
      <c r="Z213" s="1" t="str">
        <f>TRIM(_xlfn.CONCAT(sales_data_sample[[#This Row],[CONTACTFIRSTNAME]],", ",sales_data_sample[[#This Row],[CONTACTLASTNAME]]))</f>
        <v>Julie, King</v>
      </c>
      <c r="AA213" s="1" t="s">
        <v>199</v>
      </c>
    </row>
    <row r="214" spans="1:27" x14ac:dyDescent="0.25">
      <c r="A214" s="10">
        <v>10103</v>
      </c>
      <c r="B214" s="9">
        <v>27</v>
      </c>
      <c r="C214" s="9">
        <v>100</v>
      </c>
      <c r="D214" s="9">
        <f>PRODUCT(sales_data_sample[[#This Row],[QUANTITYORDERED]],sales_data_sample[[#This Row],[PRICEEACH]])</f>
        <v>2700</v>
      </c>
      <c r="E214" s="9">
        <f>IF(OR(sales_data_sample[[#This Row],[STATUS]]="Shipped",sales_data_sample[[#This Row],[STATUS]]="Resolved"),sales_data_sample[[#This Row],[SALES]],0)</f>
        <v>2700</v>
      </c>
      <c r="F214" s="10">
        <v>8</v>
      </c>
      <c r="G214" s="12" t="s">
        <v>238</v>
      </c>
      <c r="H214" s="1" t="s">
        <v>26</v>
      </c>
      <c r="I214">
        <v>1</v>
      </c>
      <c r="J214">
        <v>1</v>
      </c>
      <c r="K214">
        <v>2003</v>
      </c>
      <c r="L214" s="1" t="s">
        <v>711</v>
      </c>
      <c r="M214">
        <v>136</v>
      </c>
      <c r="N214" s="1" t="s">
        <v>712</v>
      </c>
      <c r="O214" s="1" t="s">
        <v>174</v>
      </c>
      <c r="P214" s="1" t="s">
        <v>175</v>
      </c>
      <c r="Q214" s="1" t="s">
        <v>176</v>
      </c>
      <c r="R214" s="1" t="s">
        <v>32</v>
      </c>
      <c r="S214" s="1" t="s">
        <v>177</v>
      </c>
      <c r="T214" s="1" t="s">
        <v>32</v>
      </c>
      <c r="U214" s="1" t="s">
        <v>178</v>
      </c>
      <c r="V214" s="1" t="s">
        <v>97</v>
      </c>
      <c r="W214" s="1" t="s">
        <v>48</v>
      </c>
      <c r="X214" s="1" t="s">
        <v>179</v>
      </c>
      <c r="Y214" s="1" t="s">
        <v>180</v>
      </c>
      <c r="Z214" s="1" t="str">
        <f>TRIM(_xlfn.CONCAT(sales_data_sample[[#This Row],[CONTACTFIRSTNAME]],", ",sales_data_sample[[#This Row],[CONTACTLASTNAME]]))</f>
        <v>Jonas, Bergulfsen</v>
      </c>
      <c r="AA214" s="1" t="s">
        <v>59</v>
      </c>
    </row>
    <row r="215" spans="1:27" x14ac:dyDescent="0.25">
      <c r="A215" s="10">
        <v>10113</v>
      </c>
      <c r="B215" s="9">
        <v>21</v>
      </c>
      <c r="C215" s="9">
        <v>100</v>
      </c>
      <c r="D215" s="9">
        <f>PRODUCT(sales_data_sample[[#This Row],[QUANTITYORDERED]],sales_data_sample[[#This Row],[PRICEEACH]])</f>
        <v>2100</v>
      </c>
      <c r="E215" s="9">
        <f>IF(OR(sales_data_sample[[#This Row],[STATUS]]="Shipped",sales_data_sample[[#This Row],[STATUS]]="Resolved"),sales_data_sample[[#This Row],[SALES]],0)</f>
        <v>2100</v>
      </c>
      <c r="F215" s="10">
        <v>2</v>
      </c>
      <c r="G215" s="12" t="s">
        <v>713</v>
      </c>
      <c r="H215" s="1" t="s">
        <v>26</v>
      </c>
      <c r="I215">
        <v>1</v>
      </c>
      <c r="J215">
        <v>3</v>
      </c>
      <c r="K215">
        <v>2003</v>
      </c>
      <c r="L215" s="1" t="s">
        <v>711</v>
      </c>
      <c r="M215">
        <v>136</v>
      </c>
      <c r="N215" s="1" t="s">
        <v>712</v>
      </c>
      <c r="O215" s="1" t="s">
        <v>361</v>
      </c>
      <c r="P215" s="1" t="s">
        <v>362</v>
      </c>
      <c r="Q215" s="1" t="s">
        <v>363</v>
      </c>
      <c r="R215" s="1" t="s">
        <v>32</v>
      </c>
      <c r="S215" s="1" t="s">
        <v>364</v>
      </c>
      <c r="T215" s="1" t="s">
        <v>65</v>
      </c>
      <c r="U215" s="1" t="s">
        <v>145</v>
      </c>
      <c r="V215" s="1" t="s">
        <v>36</v>
      </c>
      <c r="W215" s="1" t="s">
        <v>37</v>
      </c>
      <c r="X215" s="1" t="s">
        <v>365</v>
      </c>
      <c r="Y215" s="1" t="s">
        <v>366</v>
      </c>
      <c r="Z215" s="1" t="str">
        <f>TRIM(_xlfn.CONCAT(sales_data_sample[[#This Row],[CONTACTFIRSTNAME]],", ",sales_data_sample[[#This Row],[CONTACTLASTNAME]]))</f>
        <v>Valarie, Nelson</v>
      </c>
      <c r="AA215" s="1" t="s">
        <v>59</v>
      </c>
    </row>
    <row r="216" spans="1:27" x14ac:dyDescent="0.25">
      <c r="A216" s="10">
        <v>10126</v>
      </c>
      <c r="B216" s="9">
        <v>21</v>
      </c>
      <c r="C216" s="9">
        <v>100</v>
      </c>
      <c r="D216" s="9">
        <f>PRODUCT(sales_data_sample[[#This Row],[QUANTITYORDERED]],sales_data_sample[[#This Row],[PRICEEACH]])</f>
        <v>2100</v>
      </c>
      <c r="E216" s="9">
        <f>IF(OR(sales_data_sample[[#This Row],[STATUS]]="Shipped",sales_data_sample[[#This Row],[STATUS]]="Resolved"),sales_data_sample[[#This Row],[SALES]],0)</f>
        <v>2100</v>
      </c>
      <c r="F216" s="10">
        <v>8</v>
      </c>
      <c r="G216" s="12" t="s">
        <v>250</v>
      </c>
      <c r="H216" s="1" t="s">
        <v>26</v>
      </c>
      <c r="I216">
        <v>2</v>
      </c>
      <c r="J216">
        <v>5</v>
      </c>
      <c r="K216">
        <v>2003</v>
      </c>
      <c r="L216" s="1" t="s">
        <v>711</v>
      </c>
      <c r="M216">
        <v>136</v>
      </c>
      <c r="N216" s="1" t="s">
        <v>712</v>
      </c>
      <c r="O216" s="1" t="s">
        <v>251</v>
      </c>
      <c r="P216" s="1" t="s">
        <v>252</v>
      </c>
      <c r="Q216" s="1" t="s">
        <v>253</v>
      </c>
      <c r="R216" s="1" t="s">
        <v>32</v>
      </c>
      <c r="S216" s="1" t="s">
        <v>233</v>
      </c>
      <c r="T216" s="1" t="s">
        <v>32</v>
      </c>
      <c r="U216" s="1" t="s">
        <v>254</v>
      </c>
      <c r="V216" s="1" t="s">
        <v>235</v>
      </c>
      <c r="W216" s="1" t="s">
        <v>48</v>
      </c>
      <c r="X216" s="1" t="s">
        <v>255</v>
      </c>
      <c r="Y216" s="1" t="s">
        <v>256</v>
      </c>
      <c r="Z216" s="1" t="str">
        <f>TRIM(_xlfn.CONCAT(sales_data_sample[[#This Row],[CONTACTFIRSTNAME]],", ",sales_data_sample[[#This Row],[CONTACTLASTNAME]]))</f>
        <v>Mart¡n, Sommer</v>
      </c>
      <c r="AA216" s="1" t="s">
        <v>40</v>
      </c>
    </row>
    <row r="217" spans="1:27" x14ac:dyDescent="0.25">
      <c r="A217" s="10">
        <v>10140</v>
      </c>
      <c r="B217" s="9">
        <v>38</v>
      </c>
      <c r="C217" s="9">
        <v>100</v>
      </c>
      <c r="D217" s="9">
        <f>PRODUCT(sales_data_sample[[#This Row],[QUANTITYORDERED]],sales_data_sample[[#This Row],[PRICEEACH]])</f>
        <v>3800</v>
      </c>
      <c r="E217" s="9">
        <f>IF(OR(sales_data_sample[[#This Row],[STATUS]]="Shipped",sales_data_sample[[#This Row],[STATUS]]="Resolved"),sales_data_sample[[#This Row],[SALES]],0)</f>
        <v>3800</v>
      </c>
      <c r="F217" s="10">
        <v>8</v>
      </c>
      <c r="G217" s="12" t="s">
        <v>257</v>
      </c>
      <c r="H217" s="1" t="s">
        <v>26</v>
      </c>
      <c r="I217">
        <v>3</v>
      </c>
      <c r="J217">
        <v>7</v>
      </c>
      <c r="K217">
        <v>2003</v>
      </c>
      <c r="L217" s="1" t="s">
        <v>711</v>
      </c>
      <c r="M217">
        <v>136</v>
      </c>
      <c r="N217" s="1" t="s">
        <v>712</v>
      </c>
      <c r="O217" s="1" t="s">
        <v>76</v>
      </c>
      <c r="P217" s="1" t="s">
        <v>77</v>
      </c>
      <c r="Q217" s="1" t="s">
        <v>78</v>
      </c>
      <c r="R217" s="1" t="s">
        <v>32</v>
      </c>
      <c r="S217" s="1" t="s">
        <v>79</v>
      </c>
      <c r="T217" s="1" t="s">
        <v>65</v>
      </c>
      <c r="U217" s="1" t="s">
        <v>80</v>
      </c>
      <c r="V217" s="1" t="s">
        <v>36</v>
      </c>
      <c r="W217" s="1" t="s">
        <v>37</v>
      </c>
      <c r="X217" s="1" t="s">
        <v>81</v>
      </c>
      <c r="Y217" s="1" t="s">
        <v>82</v>
      </c>
      <c r="Z217" s="1" t="str">
        <f>TRIM(_xlfn.CONCAT(sales_data_sample[[#This Row],[CONTACTFIRSTNAME]],", ",sales_data_sample[[#This Row],[CONTACTLASTNAME]]))</f>
        <v>Juri, Hirano</v>
      </c>
      <c r="AA217" s="1" t="s">
        <v>59</v>
      </c>
    </row>
    <row r="218" spans="1:27" x14ac:dyDescent="0.25">
      <c r="A218" s="10">
        <v>10150</v>
      </c>
      <c r="B218" s="9">
        <v>30</v>
      </c>
      <c r="C218" s="9">
        <v>100</v>
      </c>
      <c r="D218" s="9">
        <f>PRODUCT(sales_data_sample[[#This Row],[QUANTITYORDERED]],sales_data_sample[[#This Row],[PRICEEACH]])</f>
        <v>3000</v>
      </c>
      <c r="E218" s="9">
        <f>IF(OR(sales_data_sample[[#This Row],[STATUS]]="Shipped",sales_data_sample[[#This Row],[STATUS]]="Resolved"),sales_data_sample[[#This Row],[SALES]],0)</f>
        <v>3000</v>
      </c>
      <c r="F218" s="10">
        <v>5</v>
      </c>
      <c r="G218" s="12" t="s">
        <v>258</v>
      </c>
      <c r="H218" s="1" t="s">
        <v>26</v>
      </c>
      <c r="I218">
        <v>3</v>
      </c>
      <c r="J218">
        <v>9</v>
      </c>
      <c r="K218">
        <v>2003</v>
      </c>
      <c r="L218" s="1" t="s">
        <v>711</v>
      </c>
      <c r="M218">
        <v>136</v>
      </c>
      <c r="N218" s="1" t="s">
        <v>712</v>
      </c>
      <c r="O218" s="1" t="s">
        <v>259</v>
      </c>
      <c r="P218" s="1" t="s">
        <v>260</v>
      </c>
      <c r="Q218" s="1" t="s">
        <v>261</v>
      </c>
      <c r="R218" s="1" t="s">
        <v>32</v>
      </c>
      <c r="S218" s="1" t="s">
        <v>262</v>
      </c>
      <c r="T218" s="1" t="s">
        <v>32</v>
      </c>
      <c r="U218" s="1" t="s">
        <v>263</v>
      </c>
      <c r="V218" s="1" t="s">
        <v>262</v>
      </c>
      <c r="W218" s="1" t="s">
        <v>264</v>
      </c>
      <c r="X218" s="1" t="s">
        <v>265</v>
      </c>
      <c r="Y218" s="1" t="s">
        <v>266</v>
      </c>
      <c r="Z218" s="1" t="str">
        <f>TRIM(_xlfn.CONCAT(sales_data_sample[[#This Row],[CONTACTFIRSTNAME]],", ",sales_data_sample[[#This Row],[CONTACTLASTNAME]]))</f>
        <v>Eric, Natividad</v>
      </c>
      <c r="AA218" s="1" t="s">
        <v>59</v>
      </c>
    </row>
    <row r="219" spans="1:27" x14ac:dyDescent="0.25">
      <c r="A219" s="10">
        <v>10164</v>
      </c>
      <c r="B219" s="9">
        <v>49</v>
      </c>
      <c r="C219" s="9">
        <v>100</v>
      </c>
      <c r="D219" s="9">
        <f>PRODUCT(sales_data_sample[[#This Row],[QUANTITYORDERED]],sales_data_sample[[#This Row],[PRICEEACH]])</f>
        <v>4900</v>
      </c>
      <c r="E219" s="9">
        <f>IF(OR(sales_data_sample[[#This Row],[STATUS]]="Shipped",sales_data_sample[[#This Row],[STATUS]]="Resolved"),sales_data_sample[[#This Row],[SALES]],0)</f>
        <v>4900</v>
      </c>
      <c r="F219" s="10">
        <v>6</v>
      </c>
      <c r="G219" s="12" t="s">
        <v>562</v>
      </c>
      <c r="H219" s="1" t="s">
        <v>563</v>
      </c>
      <c r="I219">
        <v>4</v>
      </c>
      <c r="J219">
        <v>10</v>
      </c>
      <c r="K219">
        <v>2003</v>
      </c>
      <c r="L219" s="1" t="s">
        <v>711</v>
      </c>
      <c r="M219">
        <v>136</v>
      </c>
      <c r="N219" s="1" t="s">
        <v>712</v>
      </c>
      <c r="O219" s="1" t="s">
        <v>564</v>
      </c>
      <c r="P219" s="1" t="s">
        <v>565</v>
      </c>
      <c r="Q219" s="1" t="s">
        <v>566</v>
      </c>
      <c r="R219" s="1" t="s">
        <v>32</v>
      </c>
      <c r="S219" s="1" t="s">
        <v>567</v>
      </c>
      <c r="T219" s="1" t="s">
        <v>32</v>
      </c>
      <c r="U219" s="1" t="s">
        <v>568</v>
      </c>
      <c r="V219" s="1" t="s">
        <v>196</v>
      </c>
      <c r="W219" s="1" t="s">
        <v>48</v>
      </c>
      <c r="X219" s="1" t="s">
        <v>569</v>
      </c>
      <c r="Y219" s="1" t="s">
        <v>570</v>
      </c>
      <c r="Z219" s="1" t="str">
        <f>TRIM(_xlfn.CONCAT(sales_data_sample[[#This Row],[CONTACTFIRSTNAME]],", ",sales_data_sample[[#This Row],[CONTACTLASTNAME]]))</f>
        <v>Roland, Mendel</v>
      </c>
      <c r="AA219" s="1" t="s">
        <v>59</v>
      </c>
    </row>
    <row r="220" spans="1:27" x14ac:dyDescent="0.25">
      <c r="A220" s="10">
        <v>10174</v>
      </c>
      <c r="B220" s="9">
        <v>43</v>
      </c>
      <c r="C220" s="9">
        <v>100</v>
      </c>
      <c r="D220" s="9">
        <f>PRODUCT(sales_data_sample[[#This Row],[QUANTITYORDERED]],sales_data_sample[[#This Row],[PRICEEACH]])</f>
        <v>4300</v>
      </c>
      <c r="E220" s="9">
        <f>IF(OR(sales_data_sample[[#This Row],[STATUS]]="Shipped",sales_data_sample[[#This Row],[STATUS]]="Resolved"),sales_data_sample[[#This Row],[SALES]],0)</f>
        <v>4300</v>
      </c>
      <c r="F220" s="10">
        <v>1</v>
      </c>
      <c r="G220" s="12" t="s">
        <v>273</v>
      </c>
      <c r="H220" s="1" t="s">
        <v>26</v>
      </c>
      <c r="I220">
        <v>4</v>
      </c>
      <c r="J220">
        <v>11</v>
      </c>
      <c r="K220">
        <v>2003</v>
      </c>
      <c r="L220" s="1" t="s">
        <v>711</v>
      </c>
      <c r="M220">
        <v>136</v>
      </c>
      <c r="N220" s="1" t="s">
        <v>712</v>
      </c>
      <c r="O220" s="1" t="s">
        <v>274</v>
      </c>
      <c r="P220" s="1" t="s">
        <v>275</v>
      </c>
      <c r="Q220" s="1" t="s">
        <v>276</v>
      </c>
      <c r="R220" s="1" t="s">
        <v>32</v>
      </c>
      <c r="S220" s="1" t="s">
        <v>277</v>
      </c>
      <c r="T220" s="1" t="s">
        <v>278</v>
      </c>
      <c r="U220" s="1" t="s">
        <v>279</v>
      </c>
      <c r="V220" s="1" t="s">
        <v>120</v>
      </c>
      <c r="W220" s="1" t="s">
        <v>121</v>
      </c>
      <c r="X220" s="1" t="s">
        <v>280</v>
      </c>
      <c r="Y220" s="1" t="s">
        <v>281</v>
      </c>
      <c r="Z220" s="1" t="str">
        <f>TRIM(_xlfn.CONCAT(sales_data_sample[[#This Row],[CONTACTFIRSTNAME]],", ",sales_data_sample[[#This Row],[CONTACTLASTNAME]]))</f>
        <v>Tony, Calaghan</v>
      </c>
      <c r="AA220" s="1" t="s">
        <v>59</v>
      </c>
    </row>
    <row r="221" spans="1:27" x14ac:dyDescent="0.25">
      <c r="A221" s="10">
        <v>10183</v>
      </c>
      <c r="B221" s="9">
        <v>41</v>
      </c>
      <c r="C221" s="9">
        <v>100</v>
      </c>
      <c r="D221" s="9">
        <f>PRODUCT(sales_data_sample[[#This Row],[QUANTITYORDERED]],sales_data_sample[[#This Row],[PRICEEACH]])</f>
        <v>4100</v>
      </c>
      <c r="E221" s="9">
        <f>IF(OR(sales_data_sample[[#This Row],[STATUS]]="Shipped",sales_data_sample[[#This Row],[STATUS]]="Resolved"),sales_data_sample[[#This Row],[SALES]],0)</f>
        <v>4100</v>
      </c>
      <c r="F221" s="10">
        <v>5</v>
      </c>
      <c r="G221" s="12" t="s">
        <v>282</v>
      </c>
      <c r="H221" s="1" t="s">
        <v>26</v>
      </c>
      <c r="I221">
        <v>4</v>
      </c>
      <c r="J221">
        <v>11</v>
      </c>
      <c r="K221">
        <v>2003</v>
      </c>
      <c r="L221" s="1" t="s">
        <v>711</v>
      </c>
      <c r="M221">
        <v>136</v>
      </c>
      <c r="N221" s="1" t="s">
        <v>712</v>
      </c>
      <c r="O221" s="1" t="s">
        <v>283</v>
      </c>
      <c r="P221" s="1" t="s">
        <v>284</v>
      </c>
      <c r="Q221" s="1" t="s">
        <v>285</v>
      </c>
      <c r="R221" s="1" t="s">
        <v>32</v>
      </c>
      <c r="S221" s="1" t="s">
        <v>286</v>
      </c>
      <c r="T221" s="1" t="s">
        <v>186</v>
      </c>
      <c r="U221" s="1" t="s">
        <v>287</v>
      </c>
      <c r="V221" s="1" t="s">
        <v>36</v>
      </c>
      <c r="W221" s="1" t="s">
        <v>37</v>
      </c>
      <c r="X221" s="1" t="s">
        <v>288</v>
      </c>
      <c r="Y221" s="1" t="s">
        <v>289</v>
      </c>
      <c r="Z221" s="1" t="str">
        <f>TRIM(_xlfn.CONCAT(sales_data_sample[[#This Row],[CONTACTFIRSTNAME]],", ",sales_data_sample[[#This Row],[CONTACTLASTNAME]]))</f>
        <v>Francisca, Cervantes</v>
      </c>
      <c r="AA221" s="1" t="s">
        <v>59</v>
      </c>
    </row>
    <row r="222" spans="1:27" x14ac:dyDescent="0.25">
      <c r="A222" s="10">
        <v>10194</v>
      </c>
      <c r="B222" s="9">
        <v>38</v>
      </c>
      <c r="C222" s="9">
        <v>100</v>
      </c>
      <c r="D222" s="9">
        <f>PRODUCT(sales_data_sample[[#This Row],[QUANTITYORDERED]],sales_data_sample[[#This Row],[PRICEEACH]])</f>
        <v>3800</v>
      </c>
      <c r="E222" s="9">
        <f>IF(OR(sales_data_sample[[#This Row],[STATUS]]="Shipped",sales_data_sample[[#This Row],[STATUS]]="Resolved"),sales_data_sample[[#This Row],[SALES]],0)</f>
        <v>3800</v>
      </c>
      <c r="F222" s="10">
        <v>8</v>
      </c>
      <c r="G222" s="12" t="s">
        <v>290</v>
      </c>
      <c r="H222" s="1" t="s">
        <v>26</v>
      </c>
      <c r="I222">
        <v>4</v>
      </c>
      <c r="J222">
        <v>11</v>
      </c>
      <c r="K222">
        <v>2003</v>
      </c>
      <c r="L222" s="1" t="s">
        <v>711</v>
      </c>
      <c r="M222">
        <v>136</v>
      </c>
      <c r="N222" s="1" t="s">
        <v>712</v>
      </c>
      <c r="O222" s="1" t="s">
        <v>291</v>
      </c>
      <c r="P222" s="1" t="s">
        <v>292</v>
      </c>
      <c r="Q222" s="1" t="s">
        <v>293</v>
      </c>
      <c r="R222" s="1" t="s">
        <v>32</v>
      </c>
      <c r="S222" s="1" t="s">
        <v>294</v>
      </c>
      <c r="T222" s="1" t="s">
        <v>32</v>
      </c>
      <c r="U222" s="1" t="s">
        <v>295</v>
      </c>
      <c r="V222" s="1" t="s">
        <v>47</v>
      </c>
      <c r="W222" s="1" t="s">
        <v>48</v>
      </c>
      <c r="X222" s="1" t="s">
        <v>296</v>
      </c>
      <c r="Y222" s="1" t="s">
        <v>297</v>
      </c>
      <c r="Z222" s="1" t="str">
        <f>TRIM(_xlfn.CONCAT(sales_data_sample[[#This Row],[CONTACTFIRSTNAME]],", ",sales_data_sample[[#This Row],[CONTACTLASTNAME]]))</f>
        <v>Mary, Saveley</v>
      </c>
      <c r="AA222" s="1" t="s">
        <v>59</v>
      </c>
    </row>
    <row r="223" spans="1:27" x14ac:dyDescent="0.25">
      <c r="A223" s="10">
        <v>10206</v>
      </c>
      <c r="B223" s="9">
        <v>28</v>
      </c>
      <c r="C223" s="9">
        <v>100</v>
      </c>
      <c r="D223" s="9">
        <f>PRODUCT(sales_data_sample[[#This Row],[QUANTITYORDERED]],sales_data_sample[[#This Row],[PRICEEACH]])</f>
        <v>2800</v>
      </c>
      <c r="E223" s="9">
        <f>IF(OR(sales_data_sample[[#This Row],[STATUS]]="Shipped",sales_data_sample[[#This Row],[STATUS]]="Resolved"),sales_data_sample[[#This Row],[SALES]],0)</f>
        <v>2800</v>
      </c>
      <c r="F223" s="10">
        <v>3</v>
      </c>
      <c r="G223" s="12" t="s">
        <v>298</v>
      </c>
      <c r="H223" s="1" t="s">
        <v>26</v>
      </c>
      <c r="I223">
        <v>4</v>
      </c>
      <c r="J223">
        <v>12</v>
      </c>
      <c r="K223">
        <v>2003</v>
      </c>
      <c r="L223" s="1" t="s">
        <v>711</v>
      </c>
      <c r="M223">
        <v>136</v>
      </c>
      <c r="N223" s="1" t="s">
        <v>712</v>
      </c>
      <c r="O223" s="1" t="s">
        <v>299</v>
      </c>
      <c r="P223" s="1" t="s">
        <v>300</v>
      </c>
      <c r="Q223" s="1" t="s">
        <v>301</v>
      </c>
      <c r="R223" s="1" t="s">
        <v>32</v>
      </c>
      <c r="S223" s="1" t="s">
        <v>302</v>
      </c>
      <c r="T223" s="1" t="s">
        <v>303</v>
      </c>
      <c r="U223" s="1" t="s">
        <v>304</v>
      </c>
      <c r="V223" s="1" t="s">
        <v>305</v>
      </c>
      <c r="W223" s="1" t="s">
        <v>37</v>
      </c>
      <c r="X223" s="1" t="s">
        <v>306</v>
      </c>
      <c r="Y223" s="1" t="s">
        <v>307</v>
      </c>
      <c r="Z223" s="1" t="str">
        <f>TRIM(_xlfn.CONCAT(sales_data_sample[[#This Row],[CONTACTFIRSTNAME]],", ",sales_data_sample[[#This Row],[CONTACTLASTNAME]]))</f>
        <v>Yoshi, Tannamuri</v>
      </c>
      <c r="AA223" s="1" t="s">
        <v>59</v>
      </c>
    </row>
    <row r="224" spans="1:27" x14ac:dyDescent="0.25">
      <c r="A224" s="10">
        <v>10216</v>
      </c>
      <c r="B224" s="9">
        <v>43</v>
      </c>
      <c r="C224" s="9">
        <v>100</v>
      </c>
      <c r="D224" s="9">
        <f>PRODUCT(sales_data_sample[[#This Row],[QUANTITYORDERED]],sales_data_sample[[#This Row],[PRICEEACH]])</f>
        <v>4300</v>
      </c>
      <c r="E224" s="9">
        <f>IF(OR(sales_data_sample[[#This Row],[STATUS]]="Shipped",sales_data_sample[[#This Row],[STATUS]]="Resolved"),sales_data_sample[[#This Row],[SALES]],0)</f>
        <v>4300</v>
      </c>
      <c r="F224" s="10">
        <v>1</v>
      </c>
      <c r="G224" s="12" t="s">
        <v>714</v>
      </c>
      <c r="H224" s="1" t="s">
        <v>26</v>
      </c>
      <c r="I224">
        <v>1</v>
      </c>
      <c r="J224">
        <v>2</v>
      </c>
      <c r="K224">
        <v>2004</v>
      </c>
      <c r="L224" s="1" t="s">
        <v>711</v>
      </c>
      <c r="M224">
        <v>136</v>
      </c>
      <c r="N224" s="1" t="s">
        <v>712</v>
      </c>
      <c r="O224" s="1" t="s">
        <v>354</v>
      </c>
      <c r="P224" s="1" t="s">
        <v>355</v>
      </c>
      <c r="Q224" s="1" t="s">
        <v>356</v>
      </c>
      <c r="R224" s="1" t="s">
        <v>32</v>
      </c>
      <c r="S224" s="1" t="s">
        <v>357</v>
      </c>
      <c r="T224" s="1" t="s">
        <v>32</v>
      </c>
      <c r="U224" s="1" t="s">
        <v>358</v>
      </c>
      <c r="V224" s="1" t="s">
        <v>47</v>
      </c>
      <c r="W224" s="1" t="s">
        <v>48</v>
      </c>
      <c r="X224" s="1" t="s">
        <v>359</v>
      </c>
      <c r="Y224" s="1" t="s">
        <v>58</v>
      </c>
      <c r="Z224" s="1" t="str">
        <f>TRIM(_xlfn.CONCAT(sales_data_sample[[#This Row],[CONTACTFIRSTNAME]],", ",sales_data_sample[[#This Row],[CONTACTLASTNAME]]))</f>
        <v>Daniel, Tonini</v>
      </c>
      <c r="AA224" s="1" t="s">
        <v>59</v>
      </c>
    </row>
    <row r="225" spans="1:27" x14ac:dyDescent="0.25">
      <c r="A225" s="10">
        <v>10229</v>
      </c>
      <c r="B225" s="9">
        <v>25</v>
      </c>
      <c r="C225" s="9">
        <v>100</v>
      </c>
      <c r="D225" s="9">
        <f>PRODUCT(sales_data_sample[[#This Row],[QUANTITYORDERED]],sales_data_sample[[#This Row],[PRICEEACH]])</f>
        <v>2500</v>
      </c>
      <c r="E225" s="9">
        <f>IF(OR(sales_data_sample[[#This Row],[STATUS]]="Shipped",sales_data_sample[[#This Row],[STATUS]]="Resolved"),sales_data_sample[[#This Row],[SALES]],0)</f>
        <v>2500</v>
      </c>
      <c r="F225" s="10">
        <v>13</v>
      </c>
      <c r="G225" s="12" t="s">
        <v>584</v>
      </c>
      <c r="H225" s="1" t="s">
        <v>26</v>
      </c>
      <c r="I225">
        <v>1</v>
      </c>
      <c r="J225">
        <v>3</v>
      </c>
      <c r="K225">
        <v>2004</v>
      </c>
      <c r="L225" s="1" t="s">
        <v>711</v>
      </c>
      <c r="M225">
        <v>136</v>
      </c>
      <c r="N225" s="1" t="s">
        <v>712</v>
      </c>
      <c r="O225" s="1" t="s">
        <v>361</v>
      </c>
      <c r="P225" s="1" t="s">
        <v>362</v>
      </c>
      <c r="Q225" s="1" t="s">
        <v>363</v>
      </c>
      <c r="R225" s="1" t="s">
        <v>32</v>
      </c>
      <c r="S225" s="1" t="s">
        <v>364</v>
      </c>
      <c r="T225" s="1" t="s">
        <v>65</v>
      </c>
      <c r="U225" s="1" t="s">
        <v>145</v>
      </c>
      <c r="V225" s="1" t="s">
        <v>36</v>
      </c>
      <c r="W225" s="1" t="s">
        <v>37</v>
      </c>
      <c r="X225" s="1" t="s">
        <v>365</v>
      </c>
      <c r="Y225" s="1" t="s">
        <v>366</v>
      </c>
      <c r="Z225" s="1" t="str">
        <f>TRIM(_xlfn.CONCAT(sales_data_sample[[#This Row],[CONTACTFIRSTNAME]],", ",sales_data_sample[[#This Row],[CONTACTLASTNAME]]))</f>
        <v>Valarie, Nelson</v>
      </c>
      <c r="AA225" s="1" t="s">
        <v>59</v>
      </c>
    </row>
    <row r="226" spans="1:27" x14ac:dyDescent="0.25">
      <c r="A226" s="10">
        <v>10245</v>
      </c>
      <c r="B226" s="9">
        <v>38</v>
      </c>
      <c r="C226" s="9">
        <v>100</v>
      </c>
      <c r="D226" s="9">
        <f>PRODUCT(sales_data_sample[[#This Row],[QUANTITYORDERED]],sales_data_sample[[#This Row],[PRICEEACH]])</f>
        <v>3800</v>
      </c>
      <c r="E226" s="9">
        <f>IF(OR(sales_data_sample[[#This Row],[STATUS]]="Shipped",sales_data_sample[[#This Row],[STATUS]]="Resolved"),sales_data_sample[[#This Row],[SALES]],0)</f>
        <v>3800</v>
      </c>
      <c r="F226" s="10">
        <v>6</v>
      </c>
      <c r="G226" s="12" t="s">
        <v>320</v>
      </c>
      <c r="H226" s="1" t="s">
        <v>26</v>
      </c>
      <c r="I226">
        <v>2</v>
      </c>
      <c r="J226">
        <v>5</v>
      </c>
      <c r="K226">
        <v>2004</v>
      </c>
      <c r="L226" s="1" t="s">
        <v>711</v>
      </c>
      <c r="M226">
        <v>136</v>
      </c>
      <c r="N226" s="1" t="s">
        <v>712</v>
      </c>
      <c r="O226" s="1" t="s">
        <v>321</v>
      </c>
      <c r="P226" s="1" t="s">
        <v>322</v>
      </c>
      <c r="Q226" s="1" t="s">
        <v>323</v>
      </c>
      <c r="R226" s="1" t="s">
        <v>32</v>
      </c>
      <c r="S226" s="1" t="s">
        <v>324</v>
      </c>
      <c r="T226" s="1" t="s">
        <v>144</v>
      </c>
      <c r="U226" s="1" t="s">
        <v>325</v>
      </c>
      <c r="V226" s="1" t="s">
        <v>36</v>
      </c>
      <c r="W226" s="1" t="s">
        <v>37</v>
      </c>
      <c r="X226" s="1" t="s">
        <v>104</v>
      </c>
      <c r="Y226" s="1" t="s">
        <v>326</v>
      </c>
      <c r="Z226" s="1" t="str">
        <f>TRIM(_xlfn.CONCAT(sales_data_sample[[#This Row],[CONTACTFIRSTNAME]],", ",sales_data_sample[[#This Row],[CONTACTLASTNAME]]))</f>
        <v>Leslie, Murphy</v>
      </c>
      <c r="AA226" s="1" t="s">
        <v>59</v>
      </c>
    </row>
    <row r="227" spans="1:27" x14ac:dyDescent="0.25">
      <c r="A227" s="10">
        <v>10258</v>
      </c>
      <c r="B227" s="9">
        <v>41</v>
      </c>
      <c r="C227" s="9">
        <v>100</v>
      </c>
      <c r="D227" s="9">
        <f>PRODUCT(sales_data_sample[[#This Row],[QUANTITYORDERED]],sales_data_sample[[#This Row],[PRICEEACH]])</f>
        <v>4100</v>
      </c>
      <c r="E227" s="9">
        <f>IF(OR(sales_data_sample[[#This Row],[STATUS]]="Shipped",sales_data_sample[[#This Row],[STATUS]]="Resolved"),sales_data_sample[[#This Row],[SALES]],0)</f>
        <v>4100</v>
      </c>
      <c r="F227" s="10">
        <v>3</v>
      </c>
      <c r="G227" s="12" t="s">
        <v>327</v>
      </c>
      <c r="H227" s="1" t="s">
        <v>26</v>
      </c>
      <c r="I227">
        <v>2</v>
      </c>
      <c r="J227">
        <v>6</v>
      </c>
      <c r="K227">
        <v>2004</v>
      </c>
      <c r="L227" s="1" t="s">
        <v>711</v>
      </c>
      <c r="M227">
        <v>136</v>
      </c>
      <c r="N227" s="1" t="s">
        <v>712</v>
      </c>
      <c r="O227" s="1" t="s">
        <v>328</v>
      </c>
      <c r="P227" s="1" t="s">
        <v>329</v>
      </c>
      <c r="Q227" s="1" t="s">
        <v>330</v>
      </c>
      <c r="R227" s="1" t="s">
        <v>32</v>
      </c>
      <c r="S227" s="1" t="s">
        <v>331</v>
      </c>
      <c r="T227" s="1" t="s">
        <v>332</v>
      </c>
      <c r="U227" s="1" t="s">
        <v>333</v>
      </c>
      <c r="V227" s="1" t="s">
        <v>264</v>
      </c>
      <c r="W227" s="1" t="s">
        <v>264</v>
      </c>
      <c r="X227" s="1" t="s">
        <v>334</v>
      </c>
      <c r="Y227" s="1" t="s">
        <v>335</v>
      </c>
      <c r="Z227" s="1" t="str">
        <f>TRIM(_xlfn.CONCAT(sales_data_sample[[#This Row],[CONTACTFIRSTNAME]],", ",sales_data_sample[[#This Row],[CONTACTLASTNAME]]))</f>
        <v>Akiko, Shimamura</v>
      </c>
      <c r="AA227" s="1" t="s">
        <v>59</v>
      </c>
    </row>
    <row r="228" spans="1:27" x14ac:dyDescent="0.25">
      <c r="A228">
        <v>10270</v>
      </c>
      <c r="B228">
        <v>28</v>
      </c>
      <c r="C228">
        <v>100</v>
      </c>
      <c r="D228">
        <f>PRODUCT(sales_data_sample[[#This Row],[QUANTITYORDERED]],sales_data_sample[[#This Row],[PRICEEACH]])</f>
        <v>2800</v>
      </c>
      <c r="E228" s="9">
        <f>IF(OR(sales_data_sample[[#This Row],[STATUS]]="Shipped",sales_data_sample[[#This Row],[STATUS]]="Resolved"),sales_data_sample[[#This Row],[SALES]],0)</f>
        <v>2800</v>
      </c>
      <c r="F228">
        <v>6</v>
      </c>
      <c r="G228" s="12" t="s">
        <v>336</v>
      </c>
      <c r="H228" s="1" t="s">
        <v>26</v>
      </c>
      <c r="I228">
        <v>3</v>
      </c>
      <c r="J228">
        <v>7</v>
      </c>
      <c r="K228">
        <v>2004</v>
      </c>
      <c r="L228" s="1" t="s">
        <v>711</v>
      </c>
      <c r="M228">
        <v>136</v>
      </c>
      <c r="N228" s="1" t="s">
        <v>712</v>
      </c>
      <c r="O228" s="1" t="s">
        <v>201</v>
      </c>
      <c r="P228" s="1" t="s">
        <v>202</v>
      </c>
      <c r="Q228" s="1" t="s">
        <v>203</v>
      </c>
      <c r="R228" s="1" t="s">
        <v>204</v>
      </c>
      <c r="S228" s="1" t="s">
        <v>205</v>
      </c>
      <c r="T228" s="1" t="s">
        <v>206</v>
      </c>
      <c r="U228" s="1" t="s">
        <v>207</v>
      </c>
      <c r="V228" s="1" t="s">
        <v>120</v>
      </c>
      <c r="W228" s="1" t="s">
        <v>121</v>
      </c>
      <c r="X228" s="1" t="s">
        <v>208</v>
      </c>
      <c r="Y228" s="1" t="s">
        <v>209</v>
      </c>
      <c r="Z228" s="1" t="str">
        <f>TRIM(_xlfn.CONCAT(sales_data_sample[[#This Row],[CONTACTFIRSTNAME]],", ",sales_data_sample[[#This Row],[CONTACTLASTNAME]]))</f>
        <v>Adrian, Huxley</v>
      </c>
      <c r="AA228" s="1" t="s">
        <v>59</v>
      </c>
    </row>
    <row r="229" spans="1:27" x14ac:dyDescent="0.25">
      <c r="A229" s="10">
        <v>10281</v>
      </c>
      <c r="B229" s="9">
        <v>25</v>
      </c>
      <c r="C229" s="9">
        <v>100</v>
      </c>
      <c r="D229" s="9">
        <f>PRODUCT(sales_data_sample[[#This Row],[QUANTITYORDERED]],sales_data_sample[[#This Row],[PRICEEACH]])</f>
        <v>2500</v>
      </c>
      <c r="E229" s="9">
        <f>IF(OR(sales_data_sample[[#This Row],[STATUS]]="Shipped",sales_data_sample[[#This Row],[STATUS]]="Resolved"),sales_data_sample[[#This Row],[SALES]],0)</f>
        <v>2500</v>
      </c>
      <c r="F229" s="10">
        <v>13</v>
      </c>
      <c r="G229" s="12" t="s">
        <v>585</v>
      </c>
      <c r="H229" s="1" t="s">
        <v>26</v>
      </c>
      <c r="I229">
        <v>3</v>
      </c>
      <c r="J229">
        <v>8</v>
      </c>
      <c r="K229">
        <v>2004</v>
      </c>
      <c r="L229" s="1" t="s">
        <v>711</v>
      </c>
      <c r="M229">
        <v>136</v>
      </c>
      <c r="N229" s="1" t="s">
        <v>712</v>
      </c>
      <c r="O229" s="1" t="s">
        <v>182</v>
      </c>
      <c r="P229" s="1" t="s">
        <v>183</v>
      </c>
      <c r="Q229" s="1" t="s">
        <v>184</v>
      </c>
      <c r="R229" s="1" t="s">
        <v>32</v>
      </c>
      <c r="S229" s="1" t="s">
        <v>185</v>
      </c>
      <c r="T229" s="1" t="s">
        <v>186</v>
      </c>
      <c r="U229" s="1" t="s">
        <v>187</v>
      </c>
      <c r="V229" s="1" t="s">
        <v>36</v>
      </c>
      <c r="W229" s="1" t="s">
        <v>37</v>
      </c>
      <c r="X229" s="1" t="s">
        <v>38</v>
      </c>
      <c r="Y229" s="1" t="s">
        <v>188</v>
      </c>
      <c r="Z229" s="1" t="str">
        <f>TRIM(_xlfn.CONCAT(sales_data_sample[[#This Row],[CONTACTFIRSTNAME]],", ",sales_data_sample[[#This Row],[CONTACTLASTNAME]]))</f>
        <v>Kyung, Yu</v>
      </c>
      <c r="AA229" s="1" t="s">
        <v>40</v>
      </c>
    </row>
    <row r="230" spans="1:27" x14ac:dyDescent="0.25">
      <c r="A230" s="10">
        <v>10291</v>
      </c>
      <c r="B230" s="9">
        <v>41</v>
      </c>
      <c r="C230" s="9">
        <v>100</v>
      </c>
      <c r="D230" s="9">
        <f>PRODUCT(sales_data_sample[[#This Row],[QUANTITYORDERED]],sales_data_sample[[#This Row],[PRICEEACH]])</f>
        <v>4100</v>
      </c>
      <c r="E230" s="9">
        <f>IF(OR(sales_data_sample[[#This Row],[STATUS]]="Shipped",sales_data_sample[[#This Row],[STATUS]]="Resolved"),sales_data_sample[[#This Row],[SALES]],0)</f>
        <v>4100</v>
      </c>
      <c r="F230" s="10">
        <v>8</v>
      </c>
      <c r="G230" s="12" t="s">
        <v>346</v>
      </c>
      <c r="H230" s="1" t="s">
        <v>26</v>
      </c>
      <c r="I230">
        <v>3</v>
      </c>
      <c r="J230">
        <v>9</v>
      </c>
      <c r="K230">
        <v>2004</v>
      </c>
      <c r="L230" s="1" t="s">
        <v>711</v>
      </c>
      <c r="M230">
        <v>136</v>
      </c>
      <c r="N230" s="1" t="s">
        <v>712</v>
      </c>
      <c r="O230" s="1" t="s">
        <v>347</v>
      </c>
      <c r="P230" s="1" t="s">
        <v>348</v>
      </c>
      <c r="Q230" s="1" t="s">
        <v>349</v>
      </c>
      <c r="R230" s="1" t="s">
        <v>32</v>
      </c>
      <c r="S230" s="1" t="s">
        <v>350</v>
      </c>
      <c r="T230" s="1" t="s">
        <v>32</v>
      </c>
      <c r="U230" s="1" t="s">
        <v>351</v>
      </c>
      <c r="V230" s="1" t="s">
        <v>247</v>
      </c>
      <c r="W230" s="1" t="s">
        <v>48</v>
      </c>
      <c r="X230" s="1" t="s">
        <v>352</v>
      </c>
      <c r="Y230" s="1" t="s">
        <v>272</v>
      </c>
      <c r="Z230" s="1" t="str">
        <f>TRIM(_xlfn.CONCAT(sales_data_sample[[#This Row],[CONTACTFIRSTNAME]],", ",sales_data_sample[[#This Row],[CONTACTLASTNAME]]))</f>
        <v>Maria, Larsson</v>
      </c>
      <c r="AA230" s="1" t="s">
        <v>59</v>
      </c>
    </row>
    <row r="231" spans="1:27" x14ac:dyDescent="0.25">
      <c r="A231" s="10">
        <v>10304</v>
      </c>
      <c r="B231" s="9">
        <v>39</v>
      </c>
      <c r="C231" s="9">
        <v>100</v>
      </c>
      <c r="D231" s="9">
        <f>PRODUCT(sales_data_sample[[#This Row],[QUANTITYORDERED]],sales_data_sample[[#This Row],[PRICEEACH]])</f>
        <v>3900</v>
      </c>
      <c r="E231" s="9">
        <f>IF(OR(sales_data_sample[[#This Row],[STATUS]]="Shipped",sales_data_sample[[#This Row],[STATUS]]="Resolved"),sales_data_sample[[#This Row],[SALES]],0)</f>
        <v>3900</v>
      </c>
      <c r="F231" s="10">
        <v>3</v>
      </c>
      <c r="G231" s="12" t="s">
        <v>353</v>
      </c>
      <c r="H231" s="1" t="s">
        <v>26</v>
      </c>
      <c r="I231">
        <v>4</v>
      </c>
      <c r="J231">
        <v>10</v>
      </c>
      <c r="K231">
        <v>2004</v>
      </c>
      <c r="L231" s="1" t="s">
        <v>711</v>
      </c>
      <c r="M231">
        <v>136</v>
      </c>
      <c r="N231" s="1" t="s">
        <v>712</v>
      </c>
      <c r="O231" s="1" t="s">
        <v>354</v>
      </c>
      <c r="P231" s="1" t="s">
        <v>355</v>
      </c>
      <c r="Q231" s="1" t="s">
        <v>356</v>
      </c>
      <c r="R231" s="1" t="s">
        <v>32</v>
      </c>
      <c r="S231" s="1" t="s">
        <v>357</v>
      </c>
      <c r="T231" s="1" t="s">
        <v>32</v>
      </c>
      <c r="U231" s="1" t="s">
        <v>358</v>
      </c>
      <c r="V231" s="1" t="s">
        <v>47</v>
      </c>
      <c r="W231" s="1" t="s">
        <v>48</v>
      </c>
      <c r="X231" s="1" t="s">
        <v>359</v>
      </c>
      <c r="Y231" s="1" t="s">
        <v>58</v>
      </c>
      <c r="Z231" s="1" t="str">
        <f>TRIM(_xlfn.CONCAT(sales_data_sample[[#This Row],[CONTACTFIRSTNAME]],", ",sales_data_sample[[#This Row],[CONTACTLASTNAME]]))</f>
        <v>Daniel, Tonini</v>
      </c>
      <c r="AA231" s="1" t="s">
        <v>59</v>
      </c>
    </row>
    <row r="232" spans="1:27" x14ac:dyDescent="0.25">
      <c r="A232" s="10">
        <v>10313</v>
      </c>
      <c r="B232" s="9">
        <v>21</v>
      </c>
      <c r="C232" s="9">
        <v>100</v>
      </c>
      <c r="D232" s="9">
        <f>PRODUCT(sales_data_sample[[#This Row],[QUANTITYORDERED]],sales_data_sample[[#This Row],[PRICEEACH]])</f>
        <v>2100</v>
      </c>
      <c r="E232" s="9">
        <f>IF(OR(sales_data_sample[[#This Row],[STATUS]]="Shipped",sales_data_sample[[#This Row],[STATUS]]="Resolved"),sales_data_sample[[#This Row],[SALES]],0)</f>
        <v>2100</v>
      </c>
      <c r="F232" s="10">
        <v>11</v>
      </c>
      <c r="G232" s="12" t="s">
        <v>587</v>
      </c>
      <c r="H232" s="1" t="s">
        <v>26</v>
      </c>
      <c r="I232">
        <v>4</v>
      </c>
      <c r="J232">
        <v>10</v>
      </c>
      <c r="K232">
        <v>2004</v>
      </c>
      <c r="L232" s="1" t="s">
        <v>711</v>
      </c>
      <c r="M232">
        <v>136</v>
      </c>
      <c r="N232" s="1" t="s">
        <v>712</v>
      </c>
      <c r="O232" s="1" t="s">
        <v>299</v>
      </c>
      <c r="P232" s="1" t="s">
        <v>300</v>
      </c>
      <c r="Q232" s="1" t="s">
        <v>301</v>
      </c>
      <c r="R232" s="1" t="s">
        <v>32</v>
      </c>
      <c r="S232" s="1" t="s">
        <v>302</v>
      </c>
      <c r="T232" s="1" t="s">
        <v>303</v>
      </c>
      <c r="U232" s="1" t="s">
        <v>304</v>
      </c>
      <c r="V232" s="1" t="s">
        <v>305</v>
      </c>
      <c r="W232" s="1" t="s">
        <v>37</v>
      </c>
      <c r="X232" s="1" t="s">
        <v>306</v>
      </c>
      <c r="Y232" s="1" t="s">
        <v>307</v>
      </c>
      <c r="Z232" s="1" t="str">
        <f>TRIM(_xlfn.CONCAT(sales_data_sample[[#This Row],[CONTACTFIRSTNAME]],", ",sales_data_sample[[#This Row],[CONTACTLASTNAME]]))</f>
        <v>Yoshi, Tannamuri</v>
      </c>
      <c r="AA232" s="1" t="s">
        <v>40</v>
      </c>
    </row>
    <row r="233" spans="1:27" x14ac:dyDescent="0.25">
      <c r="A233" s="10">
        <v>10322</v>
      </c>
      <c r="B233" s="9">
        <v>27</v>
      </c>
      <c r="C233" s="9">
        <v>100</v>
      </c>
      <c r="D233" s="9">
        <f>PRODUCT(sales_data_sample[[#This Row],[QUANTITYORDERED]],sales_data_sample[[#This Row],[PRICEEACH]])</f>
        <v>2700</v>
      </c>
      <c r="E233" s="9">
        <f>IF(OR(sales_data_sample[[#This Row],[STATUS]]="Shipped",sales_data_sample[[#This Row],[STATUS]]="Resolved"),sales_data_sample[[#This Row],[SALES]],0)</f>
        <v>2700</v>
      </c>
      <c r="F233" s="10">
        <v>9</v>
      </c>
      <c r="G233" s="12" t="s">
        <v>367</v>
      </c>
      <c r="H233" s="1" t="s">
        <v>26</v>
      </c>
      <c r="I233">
        <v>4</v>
      </c>
      <c r="J233">
        <v>11</v>
      </c>
      <c r="K233">
        <v>2004</v>
      </c>
      <c r="L233" s="1" t="s">
        <v>711</v>
      </c>
      <c r="M233">
        <v>136</v>
      </c>
      <c r="N233" s="1" t="s">
        <v>712</v>
      </c>
      <c r="O233" s="1" t="s">
        <v>368</v>
      </c>
      <c r="P233" s="1" t="s">
        <v>369</v>
      </c>
      <c r="Q233" s="1" t="s">
        <v>370</v>
      </c>
      <c r="R233" s="1" t="s">
        <v>32</v>
      </c>
      <c r="S233" s="1" t="s">
        <v>371</v>
      </c>
      <c r="T233" s="1" t="s">
        <v>372</v>
      </c>
      <c r="U233" s="1" t="s">
        <v>373</v>
      </c>
      <c r="V233" s="1" t="s">
        <v>36</v>
      </c>
      <c r="W233" s="1" t="s">
        <v>37</v>
      </c>
      <c r="X233" s="1" t="s">
        <v>67</v>
      </c>
      <c r="Y233" s="1" t="s">
        <v>366</v>
      </c>
      <c r="Z233" s="1" t="str">
        <f>TRIM(_xlfn.CONCAT(sales_data_sample[[#This Row],[CONTACTFIRSTNAME]],", ",sales_data_sample[[#This Row],[CONTACTLASTNAME]]))</f>
        <v>Valarie, Young</v>
      </c>
      <c r="AA233" s="1" t="s">
        <v>59</v>
      </c>
    </row>
    <row r="234" spans="1:27" x14ac:dyDescent="0.25">
      <c r="A234" s="10">
        <v>10333</v>
      </c>
      <c r="B234" s="9">
        <v>33</v>
      </c>
      <c r="C234" s="9">
        <v>9921</v>
      </c>
      <c r="D234" s="9">
        <f>PRODUCT(sales_data_sample[[#This Row],[QUANTITYORDERED]],sales_data_sample[[#This Row],[PRICEEACH]])</f>
        <v>327393</v>
      </c>
      <c r="E234" s="9">
        <f>IF(OR(sales_data_sample[[#This Row],[STATUS]]="Shipped",sales_data_sample[[#This Row],[STATUS]]="Resolved"),sales_data_sample[[#This Row],[SALES]],0)</f>
        <v>327393</v>
      </c>
      <c r="F234" s="10">
        <v>6</v>
      </c>
      <c r="G234" s="12" t="s">
        <v>374</v>
      </c>
      <c r="H234" s="1" t="s">
        <v>26</v>
      </c>
      <c r="I234">
        <v>4</v>
      </c>
      <c r="J234">
        <v>11</v>
      </c>
      <c r="K234">
        <v>2004</v>
      </c>
      <c r="L234" s="1" t="s">
        <v>711</v>
      </c>
      <c r="M234">
        <v>136</v>
      </c>
      <c r="N234" s="1" t="s">
        <v>712</v>
      </c>
      <c r="O234" s="1" t="s">
        <v>101</v>
      </c>
      <c r="P234" s="1" t="s">
        <v>102</v>
      </c>
      <c r="Q234" s="1" t="s">
        <v>103</v>
      </c>
      <c r="R234" s="1" t="s">
        <v>32</v>
      </c>
      <c r="S234" s="1" t="s">
        <v>73</v>
      </c>
      <c r="T234" s="1" t="s">
        <v>65</v>
      </c>
      <c r="U234" s="1" t="s">
        <v>32</v>
      </c>
      <c r="V234" s="1" t="s">
        <v>36</v>
      </c>
      <c r="W234" s="1" t="s">
        <v>37</v>
      </c>
      <c r="X234" s="1" t="s">
        <v>104</v>
      </c>
      <c r="Y234" s="1" t="s">
        <v>68</v>
      </c>
      <c r="Z234" s="1" t="str">
        <f>TRIM(_xlfn.CONCAT(sales_data_sample[[#This Row],[CONTACTFIRSTNAME]],", ",sales_data_sample[[#This Row],[CONTACTLASTNAME]]))</f>
        <v>Julie, Murphy</v>
      </c>
      <c r="AA234" s="1" t="s">
        <v>59</v>
      </c>
    </row>
    <row r="235" spans="1:27" x14ac:dyDescent="0.25">
      <c r="A235">
        <v>10347</v>
      </c>
      <c r="B235">
        <v>29</v>
      </c>
      <c r="C235">
        <v>100</v>
      </c>
      <c r="D235">
        <f>PRODUCT(sales_data_sample[[#This Row],[QUANTITYORDERED]],sales_data_sample[[#This Row],[PRICEEACH]])</f>
        <v>2900</v>
      </c>
      <c r="E235" s="9">
        <f>IF(OR(sales_data_sample[[#This Row],[STATUS]]="Shipped",sales_data_sample[[#This Row],[STATUS]]="Resolved"),sales_data_sample[[#This Row],[SALES]],0)</f>
        <v>2900</v>
      </c>
      <c r="F235">
        <v>3</v>
      </c>
      <c r="G235" s="12" t="s">
        <v>375</v>
      </c>
      <c r="H235" s="1" t="s">
        <v>26</v>
      </c>
      <c r="I235">
        <v>4</v>
      </c>
      <c r="J235">
        <v>11</v>
      </c>
      <c r="K235">
        <v>2004</v>
      </c>
      <c r="L235" s="1" t="s">
        <v>711</v>
      </c>
      <c r="M235">
        <v>136</v>
      </c>
      <c r="N235" s="1" t="s">
        <v>712</v>
      </c>
      <c r="O235" s="1" t="s">
        <v>113</v>
      </c>
      <c r="P235" s="1" t="s">
        <v>114</v>
      </c>
      <c r="Q235" s="1" t="s">
        <v>115</v>
      </c>
      <c r="R235" s="1" t="s">
        <v>116</v>
      </c>
      <c r="S235" s="1" t="s">
        <v>117</v>
      </c>
      <c r="T235" s="1" t="s">
        <v>118</v>
      </c>
      <c r="U235" s="1" t="s">
        <v>119</v>
      </c>
      <c r="V235" s="1" t="s">
        <v>120</v>
      </c>
      <c r="W235" s="1" t="s">
        <v>121</v>
      </c>
      <c r="X235" s="1" t="s">
        <v>122</v>
      </c>
      <c r="Y235" s="1" t="s">
        <v>123</v>
      </c>
      <c r="Z235" s="1" t="str">
        <f>TRIM(_xlfn.CONCAT(sales_data_sample[[#This Row],[CONTACTFIRSTNAME]],", ",sales_data_sample[[#This Row],[CONTACTLASTNAME]]))</f>
        <v>Peter, Ferguson</v>
      </c>
      <c r="AA235" s="1" t="s">
        <v>59</v>
      </c>
    </row>
    <row r="236" spans="1:27" x14ac:dyDescent="0.25">
      <c r="A236" s="10">
        <v>10357</v>
      </c>
      <c r="B236" s="9">
        <v>49</v>
      </c>
      <c r="C236" s="9">
        <v>100</v>
      </c>
      <c r="D236" s="9">
        <f>PRODUCT(sales_data_sample[[#This Row],[QUANTITYORDERED]],sales_data_sample[[#This Row],[PRICEEACH]])</f>
        <v>4900</v>
      </c>
      <c r="E236" s="9">
        <f>IF(OR(sales_data_sample[[#This Row],[STATUS]]="Shipped",sales_data_sample[[#This Row],[STATUS]]="Resolved"),sales_data_sample[[#This Row],[SALES]],0)</f>
        <v>4900</v>
      </c>
      <c r="F236" s="10">
        <v>8</v>
      </c>
      <c r="G236" s="12" t="s">
        <v>376</v>
      </c>
      <c r="H236" s="1" t="s">
        <v>26</v>
      </c>
      <c r="I236">
        <v>4</v>
      </c>
      <c r="J236">
        <v>12</v>
      </c>
      <c r="K236">
        <v>2004</v>
      </c>
      <c r="L236" s="1" t="s">
        <v>711</v>
      </c>
      <c r="M236">
        <v>136</v>
      </c>
      <c r="N236" s="1" t="s">
        <v>712</v>
      </c>
      <c r="O236" s="1" t="s">
        <v>361</v>
      </c>
      <c r="P236" s="1" t="s">
        <v>362</v>
      </c>
      <c r="Q236" s="1" t="s">
        <v>363</v>
      </c>
      <c r="R236" s="1" t="s">
        <v>32</v>
      </c>
      <c r="S236" s="1" t="s">
        <v>364</v>
      </c>
      <c r="T236" s="1" t="s">
        <v>65</v>
      </c>
      <c r="U236" s="1" t="s">
        <v>145</v>
      </c>
      <c r="V236" s="1" t="s">
        <v>36</v>
      </c>
      <c r="W236" s="1" t="s">
        <v>37</v>
      </c>
      <c r="X236" s="1" t="s">
        <v>365</v>
      </c>
      <c r="Y236" s="1" t="s">
        <v>366</v>
      </c>
      <c r="Z236" s="1" t="str">
        <f>TRIM(_xlfn.CONCAT(sales_data_sample[[#This Row],[CONTACTFIRSTNAME]],", ",sales_data_sample[[#This Row],[CONTACTLASTNAME]]))</f>
        <v>Valarie, Nelson</v>
      </c>
      <c r="AA236" s="1" t="s">
        <v>59</v>
      </c>
    </row>
    <row r="237" spans="1:27" x14ac:dyDescent="0.25">
      <c r="A237">
        <v>10370</v>
      </c>
      <c r="B237">
        <v>49</v>
      </c>
      <c r="C237">
        <v>100</v>
      </c>
      <c r="D237">
        <f>PRODUCT(sales_data_sample[[#This Row],[QUANTITYORDERED]],sales_data_sample[[#This Row],[PRICEEACH]])</f>
        <v>4900</v>
      </c>
      <c r="E237" s="9">
        <f>IF(OR(sales_data_sample[[#This Row],[STATUS]]="Shipped",sales_data_sample[[#This Row],[STATUS]]="Resolved"),sales_data_sample[[#This Row],[SALES]],0)</f>
        <v>4900</v>
      </c>
      <c r="F237">
        <v>8</v>
      </c>
      <c r="G237" s="12" t="s">
        <v>377</v>
      </c>
      <c r="H237" s="1" t="s">
        <v>26</v>
      </c>
      <c r="I237">
        <v>1</v>
      </c>
      <c r="J237">
        <v>1</v>
      </c>
      <c r="K237">
        <v>2005</v>
      </c>
      <c r="L237" s="1" t="s">
        <v>711</v>
      </c>
      <c r="M237">
        <v>136</v>
      </c>
      <c r="N237" s="1" t="s">
        <v>712</v>
      </c>
      <c r="O237" s="1" t="s">
        <v>385</v>
      </c>
      <c r="P237" s="1" t="s">
        <v>386</v>
      </c>
      <c r="Q237" s="1" t="s">
        <v>387</v>
      </c>
      <c r="R237" s="1" t="s">
        <v>388</v>
      </c>
      <c r="S237" s="1" t="s">
        <v>389</v>
      </c>
      <c r="T237" s="1" t="s">
        <v>206</v>
      </c>
      <c r="U237" s="1" t="s">
        <v>390</v>
      </c>
      <c r="V237" s="1" t="s">
        <v>120</v>
      </c>
      <c r="W237" s="1" t="s">
        <v>121</v>
      </c>
      <c r="X237" s="1" t="s">
        <v>391</v>
      </c>
      <c r="Y237" s="1" t="s">
        <v>392</v>
      </c>
      <c r="Z237" s="1" t="str">
        <f>TRIM(_xlfn.CONCAT(sales_data_sample[[#This Row],[CONTACTFIRSTNAME]],", ",sales_data_sample[[#This Row],[CONTACTLASTNAME]]))</f>
        <v>Anna, O'Hara</v>
      </c>
      <c r="AA237" s="1" t="s">
        <v>199</v>
      </c>
    </row>
    <row r="238" spans="1:27" x14ac:dyDescent="0.25">
      <c r="A238" s="10">
        <v>10381</v>
      </c>
      <c r="B238" s="9">
        <v>20</v>
      </c>
      <c r="C238" s="9">
        <v>100</v>
      </c>
      <c r="D238" s="9">
        <f>PRODUCT(sales_data_sample[[#This Row],[QUANTITYORDERED]],sales_data_sample[[#This Row],[PRICEEACH]])</f>
        <v>2000</v>
      </c>
      <c r="E238" s="9">
        <f>IF(OR(sales_data_sample[[#This Row],[STATUS]]="Shipped",sales_data_sample[[#This Row],[STATUS]]="Resolved"),sales_data_sample[[#This Row],[SALES]],0)</f>
        <v>2000</v>
      </c>
      <c r="F238" s="10">
        <v>1</v>
      </c>
      <c r="G238" s="12" t="s">
        <v>383</v>
      </c>
      <c r="H238" s="1" t="s">
        <v>26</v>
      </c>
      <c r="I238">
        <v>1</v>
      </c>
      <c r="J238">
        <v>2</v>
      </c>
      <c r="K238">
        <v>2005</v>
      </c>
      <c r="L238" s="1" t="s">
        <v>711</v>
      </c>
      <c r="M238">
        <v>136</v>
      </c>
      <c r="N238" s="1" t="s">
        <v>712</v>
      </c>
      <c r="O238" s="1" t="s">
        <v>70</v>
      </c>
      <c r="P238" s="1" t="s">
        <v>71</v>
      </c>
      <c r="Q238" s="1" t="s">
        <v>72</v>
      </c>
      <c r="R238" s="1" t="s">
        <v>32</v>
      </c>
      <c r="S238" s="1" t="s">
        <v>73</v>
      </c>
      <c r="T238" s="1" t="s">
        <v>65</v>
      </c>
      <c r="U238" s="1" t="s">
        <v>32</v>
      </c>
      <c r="V238" s="1" t="s">
        <v>36</v>
      </c>
      <c r="W238" s="1" t="s">
        <v>37</v>
      </c>
      <c r="X238" s="1" t="s">
        <v>74</v>
      </c>
      <c r="Y238" s="1" t="s">
        <v>68</v>
      </c>
      <c r="Z238" s="1" t="str">
        <f>TRIM(_xlfn.CONCAT(sales_data_sample[[#This Row],[CONTACTFIRSTNAME]],", ",sales_data_sample[[#This Row],[CONTACTLASTNAME]]))</f>
        <v>Julie, Brown</v>
      </c>
      <c r="AA238" s="1" t="s">
        <v>40</v>
      </c>
    </row>
    <row r="239" spans="1:27" x14ac:dyDescent="0.25">
      <c r="A239">
        <v>10391</v>
      </c>
      <c r="B239">
        <v>39</v>
      </c>
      <c r="C239">
        <v>632</v>
      </c>
      <c r="D239">
        <f>PRODUCT(sales_data_sample[[#This Row],[QUANTITYORDERED]],sales_data_sample[[#This Row],[PRICEEACH]])</f>
        <v>24648</v>
      </c>
      <c r="E239" s="9">
        <f>IF(OR(sales_data_sample[[#This Row],[STATUS]]="Shipped",sales_data_sample[[#This Row],[STATUS]]="Resolved"),sales_data_sample[[#This Row],[SALES]],0)</f>
        <v>24648</v>
      </c>
      <c r="F239">
        <v>9</v>
      </c>
      <c r="G239" s="12" t="s">
        <v>384</v>
      </c>
      <c r="H239" s="1" t="s">
        <v>26</v>
      </c>
      <c r="I239">
        <v>1</v>
      </c>
      <c r="J239">
        <v>3</v>
      </c>
      <c r="K239">
        <v>2005</v>
      </c>
      <c r="L239" s="1" t="s">
        <v>711</v>
      </c>
      <c r="M239">
        <v>136</v>
      </c>
      <c r="N239" s="1" t="s">
        <v>712</v>
      </c>
      <c r="O239" s="1" t="s">
        <v>385</v>
      </c>
      <c r="P239" s="1" t="s">
        <v>386</v>
      </c>
      <c r="Q239" s="1" t="s">
        <v>387</v>
      </c>
      <c r="R239" s="1" t="s">
        <v>388</v>
      </c>
      <c r="S239" s="1" t="s">
        <v>389</v>
      </c>
      <c r="T239" s="1" t="s">
        <v>206</v>
      </c>
      <c r="U239" s="1" t="s">
        <v>390</v>
      </c>
      <c r="V239" s="1" t="s">
        <v>120</v>
      </c>
      <c r="W239" s="1" t="s">
        <v>121</v>
      </c>
      <c r="X239" s="1" t="s">
        <v>391</v>
      </c>
      <c r="Y239" s="1" t="s">
        <v>392</v>
      </c>
      <c r="Z239" s="1" t="str">
        <f>TRIM(_xlfn.CONCAT(sales_data_sample[[#This Row],[CONTACTFIRSTNAME]],", ",sales_data_sample[[#This Row],[CONTACTLASTNAME]]))</f>
        <v>Anna, O'Hara</v>
      </c>
      <c r="AA239" s="1" t="s">
        <v>40</v>
      </c>
    </row>
    <row r="240" spans="1:27" x14ac:dyDescent="0.25">
      <c r="A240" s="10">
        <v>10411</v>
      </c>
      <c r="B240" s="9">
        <v>40</v>
      </c>
      <c r="C240" s="9">
        <v>100</v>
      </c>
      <c r="D240" s="9">
        <f>PRODUCT(sales_data_sample[[#This Row],[QUANTITYORDERED]],sales_data_sample[[#This Row],[PRICEEACH]])</f>
        <v>4000</v>
      </c>
      <c r="E240" s="9">
        <f>IF(OR(sales_data_sample[[#This Row],[STATUS]]="Shipped",sales_data_sample[[#This Row],[STATUS]]="Resolved"),sales_data_sample[[#This Row],[SALES]],0)</f>
        <v>4000</v>
      </c>
      <c r="F240" s="10">
        <v>6</v>
      </c>
      <c r="G240" s="12" t="s">
        <v>393</v>
      </c>
      <c r="H240" s="1" t="s">
        <v>26</v>
      </c>
      <c r="I240">
        <v>2</v>
      </c>
      <c r="J240">
        <v>5</v>
      </c>
      <c r="K240">
        <v>2005</v>
      </c>
      <c r="L240" s="1" t="s">
        <v>711</v>
      </c>
      <c r="M240">
        <v>136</v>
      </c>
      <c r="N240" s="1" t="s">
        <v>712</v>
      </c>
      <c r="O240" s="1" t="s">
        <v>394</v>
      </c>
      <c r="P240" s="1" t="s">
        <v>395</v>
      </c>
      <c r="Q240" s="1" t="s">
        <v>396</v>
      </c>
      <c r="R240" s="1" t="s">
        <v>32</v>
      </c>
      <c r="S240" s="1" t="s">
        <v>397</v>
      </c>
      <c r="T240" s="1" t="s">
        <v>398</v>
      </c>
      <c r="U240" s="1" t="s">
        <v>399</v>
      </c>
      <c r="V240" s="1" t="s">
        <v>305</v>
      </c>
      <c r="W240" s="1" t="s">
        <v>37</v>
      </c>
      <c r="X240" s="1" t="s">
        <v>400</v>
      </c>
      <c r="Y240" s="1" t="s">
        <v>401</v>
      </c>
      <c r="Z240" s="1" t="str">
        <f>TRIM(_xlfn.CONCAT(sales_data_sample[[#This Row],[CONTACTFIRSTNAME]],", ",sales_data_sample[[#This Row],[CONTACTLASTNAME]]))</f>
        <v>Jean, Fresnisre</v>
      </c>
      <c r="AA240" s="1" t="s">
        <v>59</v>
      </c>
    </row>
    <row r="241" spans="1:27" x14ac:dyDescent="0.25">
      <c r="A241" s="10">
        <v>10424</v>
      </c>
      <c r="B241" s="9">
        <v>49</v>
      </c>
      <c r="C241" s="9">
        <v>100</v>
      </c>
      <c r="D241" s="9">
        <f>PRODUCT(sales_data_sample[[#This Row],[QUANTITYORDERED]],sales_data_sample[[#This Row],[PRICEEACH]])</f>
        <v>4900</v>
      </c>
      <c r="E241" s="9">
        <f>IF(OR(sales_data_sample[[#This Row],[STATUS]]="Shipped",sales_data_sample[[#This Row],[STATUS]]="Resolved"),sales_data_sample[[#This Row],[SALES]],0)</f>
        <v>0</v>
      </c>
      <c r="F241" s="10">
        <v>3</v>
      </c>
      <c r="G241" s="12" t="s">
        <v>402</v>
      </c>
      <c r="H241" s="1" t="s">
        <v>403</v>
      </c>
      <c r="I241">
        <v>2</v>
      </c>
      <c r="J241">
        <v>5</v>
      </c>
      <c r="K241">
        <v>2005</v>
      </c>
      <c r="L241" s="1" t="s">
        <v>711</v>
      </c>
      <c r="M241">
        <v>136</v>
      </c>
      <c r="N241" s="1" t="s">
        <v>712</v>
      </c>
      <c r="O241" s="1" t="s">
        <v>230</v>
      </c>
      <c r="P241" s="1" t="s">
        <v>231</v>
      </c>
      <c r="Q241" s="1" t="s">
        <v>232</v>
      </c>
      <c r="R241" s="1" t="s">
        <v>32</v>
      </c>
      <c r="S241" s="1" t="s">
        <v>233</v>
      </c>
      <c r="T241" s="1" t="s">
        <v>32</v>
      </c>
      <c r="U241" s="1" t="s">
        <v>234</v>
      </c>
      <c r="V241" s="1" t="s">
        <v>235</v>
      </c>
      <c r="W241" s="1" t="s">
        <v>48</v>
      </c>
      <c r="X241" s="1" t="s">
        <v>236</v>
      </c>
      <c r="Y241" s="1" t="s">
        <v>237</v>
      </c>
      <c r="Z241" s="1" t="str">
        <f>TRIM(_xlfn.CONCAT(sales_data_sample[[#This Row],[CONTACTFIRSTNAME]],", ",sales_data_sample[[#This Row],[CONTACTLASTNAME]]))</f>
        <v>Diego, Freyre</v>
      </c>
      <c r="AA241" s="1" t="s">
        <v>199</v>
      </c>
    </row>
    <row r="242" spans="1:27" x14ac:dyDescent="0.25">
      <c r="A242" s="10">
        <v>10107</v>
      </c>
      <c r="B242" s="9">
        <v>21</v>
      </c>
      <c r="C242" s="9">
        <v>100</v>
      </c>
      <c r="D242" s="9">
        <f>PRODUCT(sales_data_sample[[#This Row],[QUANTITYORDERED]],sales_data_sample[[#This Row],[PRICEEACH]])</f>
        <v>2100</v>
      </c>
      <c r="E242" s="9">
        <f>IF(OR(sales_data_sample[[#This Row],[STATUS]]="Shipped",sales_data_sample[[#This Row],[STATUS]]="Resolved"),sales_data_sample[[#This Row],[SALES]],0)</f>
        <v>2100</v>
      </c>
      <c r="F242" s="10">
        <v>1</v>
      </c>
      <c r="G242" s="12" t="s">
        <v>25</v>
      </c>
      <c r="H242" s="1" t="s">
        <v>26</v>
      </c>
      <c r="I242">
        <v>1</v>
      </c>
      <c r="J242">
        <v>2</v>
      </c>
      <c r="K242">
        <v>2003</v>
      </c>
      <c r="L242" s="1" t="s">
        <v>27</v>
      </c>
      <c r="M242">
        <v>150</v>
      </c>
      <c r="N242" s="1" t="s">
        <v>715</v>
      </c>
      <c r="O242" s="1" t="s">
        <v>29</v>
      </c>
      <c r="P242" s="1" t="s">
        <v>30</v>
      </c>
      <c r="Q242" s="1" t="s">
        <v>31</v>
      </c>
      <c r="R242" s="1" t="s">
        <v>32</v>
      </c>
      <c r="S242" s="1" t="s">
        <v>33</v>
      </c>
      <c r="T242" s="1" t="s">
        <v>34</v>
      </c>
      <c r="U242" s="1" t="s">
        <v>35</v>
      </c>
      <c r="V242" s="1" t="s">
        <v>36</v>
      </c>
      <c r="W242" s="1" t="s">
        <v>37</v>
      </c>
      <c r="X242" s="1" t="s">
        <v>38</v>
      </c>
      <c r="Y242" s="1" t="s">
        <v>39</v>
      </c>
      <c r="Z242" s="1" t="str">
        <f>TRIM(_xlfn.CONCAT(sales_data_sample[[#This Row],[CONTACTFIRSTNAME]],", ",sales_data_sample[[#This Row],[CONTACTLASTNAME]]))</f>
        <v>Kwai, Yu</v>
      </c>
      <c r="AA242" s="1" t="s">
        <v>59</v>
      </c>
    </row>
    <row r="243" spans="1:27" x14ac:dyDescent="0.25">
      <c r="A243" s="10">
        <v>10121</v>
      </c>
      <c r="B243" s="9">
        <v>50</v>
      </c>
      <c r="C243" s="9">
        <v>100</v>
      </c>
      <c r="D243" s="9">
        <f>PRODUCT(sales_data_sample[[#This Row],[QUANTITYORDERED]],sales_data_sample[[#This Row],[PRICEEACH]])</f>
        <v>5000</v>
      </c>
      <c r="E243" s="9">
        <f>IF(OR(sales_data_sample[[#This Row],[STATUS]]="Shipped",sales_data_sample[[#This Row],[STATUS]]="Resolved"),sales_data_sample[[#This Row],[SALES]],0)</f>
        <v>5000</v>
      </c>
      <c r="F243" s="10">
        <v>4</v>
      </c>
      <c r="G243" s="12" t="s">
        <v>41</v>
      </c>
      <c r="H243" s="1" t="s">
        <v>26</v>
      </c>
      <c r="I243">
        <v>2</v>
      </c>
      <c r="J243">
        <v>5</v>
      </c>
      <c r="K243">
        <v>2003</v>
      </c>
      <c r="L243" s="1" t="s">
        <v>27</v>
      </c>
      <c r="M243">
        <v>150</v>
      </c>
      <c r="N243" s="1" t="s">
        <v>715</v>
      </c>
      <c r="O243" s="1" t="s">
        <v>42</v>
      </c>
      <c r="P243" s="1" t="s">
        <v>43</v>
      </c>
      <c r="Q243" s="1" t="s">
        <v>44</v>
      </c>
      <c r="R243" s="1" t="s">
        <v>32</v>
      </c>
      <c r="S243" s="1" t="s">
        <v>45</v>
      </c>
      <c r="T243" s="1" t="s">
        <v>32</v>
      </c>
      <c r="U243" s="1" t="s">
        <v>46</v>
      </c>
      <c r="V243" s="1" t="s">
        <v>47</v>
      </c>
      <c r="W243" s="1" t="s">
        <v>48</v>
      </c>
      <c r="X243" s="1" t="s">
        <v>49</v>
      </c>
      <c r="Y243" s="1" t="s">
        <v>50</v>
      </c>
      <c r="Z243" s="1" t="str">
        <f>TRIM(_xlfn.CONCAT(sales_data_sample[[#This Row],[CONTACTFIRSTNAME]],", ",sales_data_sample[[#This Row],[CONTACTLASTNAME]]))</f>
        <v>Paul, Henriot</v>
      </c>
      <c r="AA243" s="1" t="s">
        <v>199</v>
      </c>
    </row>
    <row r="244" spans="1:27" x14ac:dyDescent="0.25">
      <c r="A244" s="10">
        <v>10134</v>
      </c>
      <c r="B244" s="9">
        <v>20</v>
      </c>
      <c r="C244" s="9">
        <v>100</v>
      </c>
      <c r="D244" s="9">
        <f>PRODUCT(sales_data_sample[[#This Row],[QUANTITYORDERED]],sales_data_sample[[#This Row],[PRICEEACH]])</f>
        <v>2000</v>
      </c>
      <c r="E244" s="9">
        <f>IF(OR(sales_data_sample[[#This Row],[STATUS]]="Shipped",sales_data_sample[[#This Row],[STATUS]]="Resolved"),sales_data_sample[[#This Row],[SALES]],0)</f>
        <v>2000</v>
      </c>
      <c r="F244" s="10">
        <v>1</v>
      </c>
      <c r="G244" s="12" t="s">
        <v>51</v>
      </c>
      <c r="H244" s="1" t="s">
        <v>26</v>
      </c>
      <c r="I244">
        <v>3</v>
      </c>
      <c r="J244">
        <v>7</v>
      </c>
      <c r="K244">
        <v>2003</v>
      </c>
      <c r="L244" s="1" t="s">
        <v>27</v>
      </c>
      <c r="M244">
        <v>150</v>
      </c>
      <c r="N244" s="1" t="s">
        <v>715</v>
      </c>
      <c r="O244" s="1" t="s">
        <v>52</v>
      </c>
      <c r="P244" s="1" t="s">
        <v>53</v>
      </c>
      <c r="Q244" s="1" t="s">
        <v>54</v>
      </c>
      <c r="R244" s="1" t="s">
        <v>32</v>
      </c>
      <c r="S244" s="1" t="s">
        <v>55</v>
      </c>
      <c r="T244" s="1" t="s">
        <v>32</v>
      </c>
      <c r="U244" s="1" t="s">
        <v>56</v>
      </c>
      <c r="V244" s="1" t="s">
        <v>47</v>
      </c>
      <c r="W244" s="1" t="s">
        <v>48</v>
      </c>
      <c r="X244" s="1" t="s">
        <v>57</v>
      </c>
      <c r="Y244" s="1" t="s">
        <v>58</v>
      </c>
      <c r="Z244" s="1" t="str">
        <f>TRIM(_xlfn.CONCAT(sales_data_sample[[#This Row],[CONTACTFIRSTNAME]],", ",sales_data_sample[[#This Row],[CONTACTLASTNAME]]))</f>
        <v>Daniel, Da Cunha</v>
      </c>
      <c r="AA244" s="1" t="s">
        <v>40</v>
      </c>
    </row>
    <row r="245" spans="1:27" x14ac:dyDescent="0.25">
      <c r="A245" s="10">
        <v>10145</v>
      </c>
      <c r="B245" s="9">
        <v>49</v>
      </c>
      <c r="C245" s="9">
        <v>100</v>
      </c>
      <c r="D245" s="9">
        <f>PRODUCT(sales_data_sample[[#This Row],[QUANTITYORDERED]],sales_data_sample[[#This Row],[PRICEEACH]])</f>
        <v>4900</v>
      </c>
      <c r="E245" s="9">
        <f>IF(OR(sales_data_sample[[#This Row],[STATUS]]="Shipped",sales_data_sample[[#This Row],[STATUS]]="Resolved"),sales_data_sample[[#This Row],[SALES]],0)</f>
        <v>4900</v>
      </c>
      <c r="F245" s="10">
        <v>5</v>
      </c>
      <c r="G245" s="12" t="s">
        <v>60</v>
      </c>
      <c r="H245" s="1" t="s">
        <v>26</v>
      </c>
      <c r="I245">
        <v>3</v>
      </c>
      <c r="J245">
        <v>8</v>
      </c>
      <c r="K245">
        <v>2003</v>
      </c>
      <c r="L245" s="1" t="s">
        <v>27</v>
      </c>
      <c r="M245">
        <v>150</v>
      </c>
      <c r="N245" s="1" t="s">
        <v>715</v>
      </c>
      <c r="O245" s="1" t="s">
        <v>61</v>
      </c>
      <c r="P245" s="1" t="s">
        <v>62</v>
      </c>
      <c r="Q245" s="1" t="s">
        <v>63</v>
      </c>
      <c r="R245" s="1" t="s">
        <v>32</v>
      </c>
      <c r="S245" s="1" t="s">
        <v>64</v>
      </c>
      <c r="T245" s="1" t="s">
        <v>65</v>
      </c>
      <c r="U245" s="1" t="s">
        <v>66</v>
      </c>
      <c r="V245" s="1" t="s">
        <v>36</v>
      </c>
      <c r="W245" s="1" t="s">
        <v>37</v>
      </c>
      <c r="X245" s="1" t="s">
        <v>67</v>
      </c>
      <c r="Y245" s="1" t="s">
        <v>68</v>
      </c>
      <c r="Z245" s="1" t="str">
        <f>TRIM(_xlfn.CONCAT(sales_data_sample[[#This Row],[CONTACTFIRSTNAME]],", ",sales_data_sample[[#This Row],[CONTACTLASTNAME]]))</f>
        <v>Julie, Young</v>
      </c>
      <c r="AA245" s="1" t="s">
        <v>199</v>
      </c>
    </row>
    <row r="246" spans="1:27" x14ac:dyDescent="0.25">
      <c r="A246" s="10">
        <v>10159</v>
      </c>
      <c r="B246" s="9">
        <v>38</v>
      </c>
      <c r="C246" s="9">
        <v>100</v>
      </c>
      <c r="D246" s="9">
        <f>PRODUCT(sales_data_sample[[#This Row],[QUANTITYORDERED]],sales_data_sample[[#This Row],[PRICEEACH]])</f>
        <v>3800</v>
      </c>
      <c r="E246" s="9">
        <f>IF(OR(sales_data_sample[[#This Row],[STATUS]]="Shipped",sales_data_sample[[#This Row],[STATUS]]="Resolved"),sales_data_sample[[#This Row],[SALES]],0)</f>
        <v>3800</v>
      </c>
      <c r="F246" s="10">
        <v>13</v>
      </c>
      <c r="G246" s="12" t="s">
        <v>69</v>
      </c>
      <c r="H246" s="1" t="s">
        <v>26</v>
      </c>
      <c r="I246">
        <v>4</v>
      </c>
      <c r="J246">
        <v>10</v>
      </c>
      <c r="K246">
        <v>2003</v>
      </c>
      <c r="L246" s="1" t="s">
        <v>27</v>
      </c>
      <c r="M246">
        <v>150</v>
      </c>
      <c r="N246" s="1" t="s">
        <v>715</v>
      </c>
      <c r="O246" s="1" t="s">
        <v>70</v>
      </c>
      <c r="P246" s="1" t="s">
        <v>71</v>
      </c>
      <c r="Q246" s="1" t="s">
        <v>72</v>
      </c>
      <c r="R246" s="1" t="s">
        <v>32</v>
      </c>
      <c r="S246" s="1" t="s">
        <v>73</v>
      </c>
      <c r="T246" s="1" t="s">
        <v>65</v>
      </c>
      <c r="U246" s="1" t="s">
        <v>32</v>
      </c>
      <c r="V246" s="1" t="s">
        <v>36</v>
      </c>
      <c r="W246" s="1" t="s">
        <v>37</v>
      </c>
      <c r="X246" s="1" t="s">
        <v>74</v>
      </c>
      <c r="Y246" s="1" t="s">
        <v>68</v>
      </c>
      <c r="Z246" s="1" t="str">
        <f>TRIM(_xlfn.CONCAT(sales_data_sample[[#This Row],[CONTACTFIRSTNAME]],", ",sales_data_sample[[#This Row],[CONTACTLASTNAME]]))</f>
        <v>Julie, Brown</v>
      </c>
      <c r="AA246" s="1" t="s">
        <v>59</v>
      </c>
    </row>
    <row r="247" spans="1:27" x14ac:dyDescent="0.25">
      <c r="A247">
        <v>10169</v>
      </c>
      <c r="B247">
        <v>35</v>
      </c>
      <c r="C247">
        <v>100</v>
      </c>
      <c r="D247">
        <f>PRODUCT(sales_data_sample[[#This Row],[QUANTITYORDERED]],sales_data_sample[[#This Row],[PRICEEACH]])</f>
        <v>3500</v>
      </c>
      <c r="E247" s="9">
        <f>IF(OR(sales_data_sample[[#This Row],[STATUS]]="Shipped",sales_data_sample[[#This Row],[STATUS]]="Resolved"),sales_data_sample[[#This Row],[SALES]],0)</f>
        <v>3500</v>
      </c>
      <c r="F247">
        <v>13</v>
      </c>
      <c r="G247" s="12" t="s">
        <v>609</v>
      </c>
      <c r="H247" s="1" t="s">
        <v>26</v>
      </c>
      <c r="I247">
        <v>4</v>
      </c>
      <c r="J247">
        <v>11</v>
      </c>
      <c r="K247">
        <v>2003</v>
      </c>
      <c r="L247" s="1" t="s">
        <v>27</v>
      </c>
      <c r="M247">
        <v>150</v>
      </c>
      <c r="N247" s="1" t="s">
        <v>715</v>
      </c>
      <c r="O247" s="1" t="s">
        <v>385</v>
      </c>
      <c r="P247" s="1" t="s">
        <v>386</v>
      </c>
      <c r="Q247" s="1" t="s">
        <v>387</v>
      </c>
      <c r="R247" s="1" t="s">
        <v>388</v>
      </c>
      <c r="S247" s="1" t="s">
        <v>389</v>
      </c>
      <c r="T247" s="1" t="s">
        <v>206</v>
      </c>
      <c r="U247" s="1" t="s">
        <v>390</v>
      </c>
      <c r="V247" s="1" t="s">
        <v>120</v>
      </c>
      <c r="W247" s="1" t="s">
        <v>121</v>
      </c>
      <c r="X247" s="1" t="s">
        <v>391</v>
      </c>
      <c r="Y247" s="1" t="s">
        <v>392</v>
      </c>
      <c r="Z247" s="1" t="str">
        <f>TRIM(_xlfn.CONCAT(sales_data_sample[[#This Row],[CONTACTFIRSTNAME]],", ",sales_data_sample[[#This Row],[CONTACTLASTNAME]]))</f>
        <v>Anna, O'Hara</v>
      </c>
      <c r="AA247" s="1" t="s">
        <v>59</v>
      </c>
    </row>
    <row r="248" spans="1:27" x14ac:dyDescent="0.25">
      <c r="A248" s="10">
        <v>10180</v>
      </c>
      <c r="B248" s="9">
        <v>40</v>
      </c>
      <c r="C248" s="9">
        <v>100</v>
      </c>
      <c r="D248" s="9">
        <f>PRODUCT(sales_data_sample[[#This Row],[QUANTITYORDERED]],sales_data_sample[[#This Row],[PRICEEACH]])</f>
        <v>4000</v>
      </c>
      <c r="E248" s="9">
        <f>IF(OR(sales_data_sample[[#This Row],[STATUS]]="Shipped",sales_data_sample[[#This Row],[STATUS]]="Resolved"),sales_data_sample[[#This Row],[SALES]],0)</f>
        <v>4000</v>
      </c>
      <c r="F248" s="10">
        <v>8</v>
      </c>
      <c r="G248" s="12" t="s">
        <v>83</v>
      </c>
      <c r="H248" s="1" t="s">
        <v>26</v>
      </c>
      <c r="I248">
        <v>4</v>
      </c>
      <c r="J248">
        <v>11</v>
      </c>
      <c r="K248">
        <v>2003</v>
      </c>
      <c r="L248" s="1" t="s">
        <v>27</v>
      </c>
      <c r="M248">
        <v>150</v>
      </c>
      <c r="N248" s="1" t="s">
        <v>715</v>
      </c>
      <c r="O248" s="1" t="s">
        <v>84</v>
      </c>
      <c r="P248" s="1" t="s">
        <v>85</v>
      </c>
      <c r="Q248" s="1" t="s">
        <v>86</v>
      </c>
      <c r="R248" s="1" t="s">
        <v>32</v>
      </c>
      <c r="S248" s="1" t="s">
        <v>87</v>
      </c>
      <c r="T248" s="1" t="s">
        <v>32</v>
      </c>
      <c r="U248" s="1" t="s">
        <v>88</v>
      </c>
      <c r="V248" s="1" t="s">
        <v>47</v>
      </c>
      <c r="W248" s="1" t="s">
        <v>48</v>
      </c>
      <c r="X248" s="1" t="s">
        <v>89</v>
      </c>
      <c r="Y248" s="1" t="s">
        <v>90</v>
      </c>
      <c r="Z248" s="1" t="str">
        <f>TRIM(_xlfn.CONCAT(sales_data_sample[[#This Row],[CONTACTFIRSTNAME]],", ",sales_data_sample[[#This Row],[CONTACTLASTNAME]]))</f>
        <v>Martine, Rance</v>
      </c>
      <c r="AA248" s="1" t="s">
        <v>59</v>
      </c>
    </row>
    <row r="249" spans="1:27" x14ac:dyDescent="0.25">
      <c r="A249" s="10">
        <v>10189</v>
      </c>
      <c r="B249" s="9">
        <v>28</v>
      </c>
      <c r="C249" s="9">
        <v>100</v>
      </c>
      <c r="D249" s="9">
        <f>PRODUCT(sales_data_sample[[#This Row],[QUANTITYORDERED]],sales_data_sample[[#This Row],[PRICEEACH]])</f>
        <v>2800</v>
      </c>
      <c r="E249" s="9">
        <f>IF(OR(sales_data_sample[[#This Row],[STATUS]]="Shipped",sales_data_sample[[#This Row],[STATUS]]="Resolved"),sales_data_sample[[#This Row],[SALES]],0)</f>
        <v>2800</v>
      </c>
      <c r="F249" s="10">
        <v>1</v>
      </c>
      <c r="G249" s="12" t="s">
        <v>91</v>
      </c>
      <c r="H249" s="1" t="s">
        <v>26</v>
      </c>
      <c r="I249">
        <v>4</v>
      </c>
      <c r="J249">
        <v>11</v>
      </c>
      <c r="K249">
        <v>2003</v>
      </c>
      <c r="L249" s="1" t="s">
        <v>27</v>
      </c>
      <c r="M249">
        <v>150</v>
      </c>
      <c r="N249" s="1" t="s">
        <v>715</v>
      </c>
      <c r="O249" s="1" t="s">
        <v>61</v>
      </c>
      <c r="P249" s="1" t="s">
        <v>62</v>
      </c>
      <c r="Q249" s="1" t="s">
        <v>63</v>
      </c>
      <c r="R249" s="1" t="s">
        <v>32</v>
      </c>
      <c r="S249" s="1" t="s">
        <v>64</v>
      </c>
      <c r="T249" s="1" t="s">
        <v>65</v>
      </c>
      <c r="U249" s="1" t="s">
        <v>66</v>
      </c>
      <c r="V249" s="1" t="s">
        <v>36</v>
      </c>
      <c r="W249" s="1" t="s">
        <v>37</v>
      </c>
      <c r="X249" s="1" t="s">
        <v>67</v>
      </c>
      <c r="Y249" s="1" t="s">
        <v>68</v>
      </c>
      <c r="Z249" s="1" t="str">
        <f>TRIM(_xlfn.CONCAT(sales_data_sample[[#This Row],[CONTACTFIRSTNAME]],", ",sales_data_sample[[#This Row],[CONTACTLASTNAME]]))</f>
        <v>Julie, Young</v>
      </c>
      <c r="AA249" s="1" t="s">
        <v>59</v>
      </c>
    </row>
    <row r="250" spans="1:27" x14ac:dyDescent="0.25">
      <c r="A250" s="10">
        <v>10201</v>
      </c>
      <c r="B250" s="9">
        <v>25</v>
      </c>
      <c r="C250" s="9">
        <v>100</v>
      </c>
      <c r="D250" s="9">
        <f>PRODUCT(sales_data_sample[[#This Row],[QUANTITYORDERED]],sales_data_sample[[#This Row],[PRICEEACH]])</f>
        <v>2500</v>
      </c>
      <c r="E250" s="9">
        <f>IF(OR(sales_data_sample[[#This Row],[STATUS]]="Shipped",sales_data_sample[[#This Row],[STATUS]]="Resolved"),sales_data_sample[[#This Row],[SALES]],0)</f>
        <v>2500</v>
      </c>
      <c r="F250" s="10">
        <v>1</v>
      </c>
      <c r="G250" s="12" t="s">
        <v>100</v>
      </c>
      <c r="H250" s="1" t="s">
        <v>26</v>
      </c>
      <c r="I250">
        <v>4</v>
      </c>
      <c r="J250">
        <v>12</v>
      </c>
      <c r="K250">
        <v>2003</v>
      </c>
      <c r="L250" s="1" t="s">
        <v>27</v>
      </c>
      <c r="M250">
        <v>150</v>
      </c>
      <c r="N250" s="1" t="s">
        <v>715</v>
      </c>
      <c r="O250" s="1" t="s">
        <v>101</v>
      </c>
      <c r="P250" s="1" t="s">
        <v>102</v>
      </c>
      <c r="Q250" s="1" t="s">
        <v>103</v>
      </c>
      <c r="R250" s="1" t="s">
        <v>32</v>
      </c>
      <c r="S250" s="1" t="s">
        <v>73</v>
      </c>
      <c r="T250" s="1" t="s">
        <v>65</v>
      </c>
      <c r="U250" s="1" t="s">
        <v>32</v>
      </c>
      <c r="V250" s="1" t="s">
        <v>36</v>
      </c>
      <c r="W250" s="1" t="s">
        <v>37</v>
      </c>
      <c r="X250" s="1" t="s">
        <v>104</v>
      </c>
      <c r="Y250" s="1" t="s">
        <v>68</v>
      </c>
      <c r="Z250" s="1" t="str">
        <f>TRIM(_xlfn.CONCAT(sales_data_sample[[#This Row],[CONTACTFIRSTNAME]],", ",sales_data_sample[[#This Row],[CONTACTLASTNAME]]))</f>
        <v>Julie, Murphy</v>
      </c>
      <c r="AA250" s="1" t="s">
        <v>59</v>
      </c>
    </row>
    <row r="251" spans="1:27" x14ac:dyDescent="0.25">
      <c r="A251" s="10">
        <v>10211</v>
      </c>
      <c r="B251" s="9">
        <v>36</v>
      </c>
      <c r="C251" s="9">
        <v>100</v>
      </c>
      <c r="D251" s="9">
        <f>PRODUCT(sales_data_sample[[#This Row],[QUANTITYORDERED]],sales_data_sample[[#This Row],[PRICEEACH]])</f>
        <v>3600</v>
      </c>
      <c r="E251" s="9">
        <f>IF(OR(sales_data_sample[[#This Row],[STATUS]]="Shipped",sales_data_sample[[#This Row],[STATUS]]="Resolved"),sales_data_sample[[#This Row],[SALES]],0)</f>
        <v>3600</v>
      </c>
      <c r="F251" s="10">
        <v>13</v>
      </c>
      <c r="G251" s="12" t="s">
        <v>105</v>
      </c>
      <c r="H251" s="1" t="s">
        <v>26</v>
      </c>
      <c r="I251">
        <v>1</v>
      </c>
      <c r="J251">
        <v>1</v>
      </c>
      <c r="K251">
        <v>2004</v>
      </c>
      <c r="L251" s="1" t="s">
        <v>27</v>
      </c>
      <c r="M251">
        <v>150</v>
      </c>
      <c r="N251" s="1" t="s">
        <v>715</v>
      </c>
      <c r="O251" s="1" t="s">
        <v>106</v>
      </c>
      <c r="P251" s="1" t="s">
        <v>107</v>
      </c>
      <c r="Q251" s="1" t="s">
        <v>108</v>
      </c>
      <c r="R251" s="1" t="s">
        <v>32</v>
      </c>
      <c r="S251" s="1" t="s">
        <v>55</v>
      </c>
      <c r="T251" s="1" t="s">
        <v>32</v>
      </c>
      <c r="U251" s="1" t="s">
        <v>109</v>
      </c>
      <c r="V251" s="1" t="s">
        <v>47</v>
      </c>
      <c r="W251" s="1" t="s">
        <v>48</v>
      </c>
      <c r="X251" s="1" t="s">
        <v>110</v>
      </c>
      <c r="Y251" s="1" t="s">
        <v>111</v>
      </c>
      <c r="Z251" s="1" t="str">
        <f>TRIM(_xlfn.CONCAT(sales_data_sample[[#This Row],[CONTACTFIRSTNAME]],", ",sales_data_sample[[#This Row],[CONTACTLASTNAME]]))</f>
        <v>Dominique, Perrier</v>
      </c>
      <c r="AA251" s="1" t="s">
        <v>59</v>
      </c>
    </row>
    <row r="252" spans="1:27" x14ac:dyDescent="0.25">
      <c r="A252" s="10">
        <v>10224</v>
      </c>
      <c r="B252" s="9">
        <v>43</v>
      </c>
      <c r="C252" s="9">
        <v>100</v>
      </c>
      <c r="D252" s="9">
        <f>PRODUCT(sales_data_sample[[#This Row],[QUANTITYORDERED]],sales_data_sample[[#This Row],[PRICEEACH]])</f>
        <v>4300</v>
      </c>
      <c r="E252" s="9">
        <f>IF(OR(sales_data_sample[[#This Row],[STATUS]]="Shipped",sales_data_sample[[#This Row],[STATUS]]="Resolved"),sales_data_sample[[#This Row],[SALES]],0)</f>
        <v>4300</v>
      </c>
      <c r="F252" s="10">
        <v>6</v>
      </c>
      <c r="G252" s="12" t="s">
        <v>716</v>
      </c>
      <c r="H252" s="1" t="s">
        <v>26</v>
      </c>
      <c r="I252">
        <v>1</v>
      </c>
      <c r="J252">
        <v>2</v>
      </c>
      <c r="K252">
        <v>2004</v>
      </c>
      <c r="L252" s="1" t="s">
        <v>27</v>
      </c>
      <c r="M252">
        <v>150</v>
      </c>
      <c r="N252" s="1" t="s">
        <v>715</v>
      </c>
      <c r="O252" s="1" t="s">
        <v>84</v>
      </c>
      <c r="P252" s="1" t="s">
        <v>85</v>
      </c>
      <c r="Q252" s="1" t="s">
        <v>86</v>
      </c>
      <c r="R252" s="1" t="s">
        <v>32</v>
      </c>
      <c r="S252" s="1" t="s">
        <v>87</v>
      </c>
      <c r="T252" s="1" t="s">
        <v>32</v>
      </c>
      <c r="U252" s="1" t="s">
        <v>88</v>
      </c>
      <c r="V252" s="1" t="s">
        <v>47</v>
      </c>
      <c r="W252" s="1" t="s">
        <v>48</v>
      </c>
      <c r="X252" s="1" t="s">
        <v>89</v>
      </c>
      <c r="Y252" s="1" t="s">
        <v>90</v>
      </c>
      <c r="Z252" s="1" t="str">
        <f>TRIM(_xlfn.CONCAT(sales_data_sample[[#This Row],[CONTACTFIRSTNAME]],", ",sales_data_sample[[#This Row],[CONTACTLASTNAME]]))</f>
        <v>Martine, Rance</v>
      </c>
      <c r="AA252" s="1" t="s">
        <v>59</v>
      </c>
    </row>
    <row r="253" spans="1:27" x14ac:dyDescent="0.25">
      <c r="A253">
        <v>10237</v>
      </c>
      <c r="B253">
        <v>32</v>
      </c>
      <c r="C253">
        <v>100</v>
      </c>
      <c r="D253">
        <f>PRODUCT(sales_data_sample[[#This Row],[QUANTITYORDERED]],sales_data_sample[[#This Row],[PRICEEACH]])</f>
        <v>3200</v>
      </c>
      <c r="E253" s="9">
        <f>IF(OR(sales_data_sample[[#This Row],[STATUS]]="Shipped",sales_data_sample[[#This Row],[STATUS]]="Resolved"),sales_data_sample[[#This Row],[SALES]],0)</f>
        <v>3200</v>
      </c>
      <c r="F253">
        <v>6</v>
      </c>
      <c r="G253" s="12" t="s">
        <v>124</v>
      </c>
      <c r="H253" s="1" t="s">
        <v>26</v>
      </c>
      <c r="I253">
        <v>2</v>
      </c>
      <c r="J253">
        <v>4</v>
      </c>
      <c r="K253">
        <v>2004</v>
      </c>
      <c r="L253" s="1" t="s">
        <v>27</v>
      </c>
      <c r="M253">
        <v>150</v>
      </c>
      <c r="N253" s="1" t="s">
        <v>715</v>
      </c>
      <c r="O253" s="1" t="s">
        <v>125</v>
      </c>
      <c r="P253" s="1" t="s">
        <v>126</v>
      </c>
      <c r="Q253" s="1" t="s">
        <v>127</v>
      </c>
      <c r="R253" s="1" t="s">
        <v>128</v>
      </c>
      <c r="S253" s="1" t="s">
        <v>33</v>
      </c>
      <c r="T253" s="1" t="s">
        <v>34</v>
      </c>
      <c r="U253" s="1" t="s">
        <v>35</v>
      </c>
      <c r="V253" s="1" t="s">
        <v>36</v>
      </c>
      <c r="W253" s="1" t="s">
        <v>37</v>
      </c>
      <c r="X253" s="1" t="s">
        <v>129</v>
      </c>
      <c r="Y253" s="1" t="s">
        <v>130</v>
      </c>
      <c r="Z253" s="1" t="str">
        <f>TRIM(_xlfn.CONCAT(sales_data_sample[[#This Row],[CONTACTFIRSTNAME]],", ",sales_data_sample[[#This Row],[CONTACTLASTNAME]]))</f>
        <v>Michael, Frick</v>
      </c>
      <c r="AA253" s="1" t="s">
        <v>59</v>
      </c>
    </row>
    <row r="254" spans="1:27" x14ac:dyDescent="0.25">
      <c r="A254" s="10">
        <v>10251</v>
      </c>
      <c r="B254" s="9">
        <v>46</v>
      </c>
      <c r="C254" s="9">
        <v>100</v>
      </c>
      <c r="D254" s="9">
        <f>PRODUCT(sales_data_sample[[#This Row],[QUANTITYORDERED]],sales_data_sample[[#This Row],[PRICEEACH]])</f>
        <v>4600</v>
      </c>
      <c r="E254" s="9">
        <f>IF(OR(sales_data_sample[[#This Row],[STATUS]]="Shipped",sales_data_sample[[#This Row],[STATUS]]="Resolved"),sales_data_sample[[#This Row],[SALES]],0)</f>
        <v>4600</v>
      </c>
      <c r="F254" s="10">
        <v>1</v>
      </c>
      <c r="G254" s="12" t="s">
        <v>131</v>
      </c>
      <c r="H254" s="1" t="s">
        <v>26</v>
      </c>
      <c r="I254">
        <v>2</v>
      </c>
      <c r="J254">
        <v>5</v>
      </c>
      <c r="K254">
        <v>2004</v>
      </c>
      <c r="L254" s="1" t="s">
        <v>27</v>
      </c>
      <c r="M254">
        <v>150</v>
      </c>
      <c r="N254" s="1" t="s">
        <v>715</v>
      </c>
      <c r="O254" s="1" t="s">
        <v>132</v>
      </c>
      <c r="P254" s="1" t="s">
        <v>133</v>
      </c>
      <c r="Q254" s="1" t="s">
        <v>134</v>
      </c>
      <c r="R254" s="1" t="s">
        <v>32</v>
      </c>
      <c r="S254" s="1" t="s">
        <v>135</v>
      </c>
      <c r="T254" s="1" t="s">
        <v>136</v>
      </c>
      <c r="U254" s="1" t="s">
        <v>137</v>
      </c>
      <c r="V254" s="1" t="s">
        <v>36</v>
      </c>
      <c r="W254" s="1" t="s">
        <v>37</v>
      </c>
      <c r="X254" s="1" t="s">
        <v>74</v>
      </c>
      <c r="Y254" s="1" t="s">
        <v>138</v>
      </c>
      <c r="Z254" s="1" t="str">
        <f>TRIM(_xlfn.CONCAT(sales_data_sample[[#This Row],[CONTACTFIRSTNAME]],", ",sales_data_sample[[#This Row],[CONTACTLASTNAME]]))</f>
        <v>William, Brown</v>
      </c>
      <c r="AA254" s="1" t="s">
        <v>199</v>
      </c>
    </row>
    <row r="255" spans="1:27" x14ac:dyDescent="0.25">
      <c r="A255" s="10">
        <v>10263</v>
      </c>
      <c r="B255" s="9">
        <v>48</v>
      </c>
      <c r="C255" s="9">
        <v>100</v>
      </c>
      <c r="D255" s="9">
        <f>PRODUCT(sales_data_sample[[#This Row],[QUANTITYORDERED]],sales_data_sample[[#This Row],[PRICEEACH]])</f>
        <v>4800</v>
      </c>
      <c r="E255" s="9">
        <f>IF(OR(sales_data_sample[[#This Row],[STATUS]]="Shipped",sales_data_sample[[#This Row],[STATUS]]="Resolved"),sales_data_sample[[#This Row],[SALES]],0)</f>
        <v>4800</v>
      </c>
      <c r="F255" s="10">
        <v>1</v>
      </c>
      <c r="G255" s="12" t="s">
        <v>139</v>
      </c>
      <c r="H255" s="1" t="s">
        <v>26</v>
      </c>
      <c r="I255">
        <v>2</v>
      </c>
      <c r="J255">
        <v>6</v>
      </c>
      <c r="K255">
        <v>2004</v>
      </c>
      <c r="L255" s="1" t="s">
        <v>27</v>
      </c>
      <c r="M255">
        <v>150</v>
      </c>
      <c r="N255" s="1" t="s">
        <v>715</v>
      </c>
      <c r="O255" s="1" t="s">
        <v>140</v>
      </c>
      <c r="P255" s="1" t="s">
        <v>141</v>
      </c>
      <c r="Q255" s="1" t="s">
        <v>142</v>
      </c>
      <c r="R255" s="1" t="s">
        <v>32</v>
      </c>
      <c r="S255" s="1" t="s">
        <v>143</v>
      </c>
      <c r="T255" s="1" t="s">
        <v>144</v>
      </c>
      <c r="U255" s="1" t="s">
        <v>145</v>
      </c>
      <c r="V255" s="1" t="s">
        <v>36</v>
      </c>
      <c r="W255" s="1" t="s">
        <v>37</v>
      </c>
      <c r="X255" s="1" t="s">
        <v>146</v>
      </c>
      <c r="Y255" s="1" t="s">
        <v>68</v>
      </c>
      <c r="Z255" s="1" t="str">
        <f>TRIM(_xlfn.CONCAT(sales_data_sample[[#This Row],[CONTACTFIRSTNAME]],", ",sales_data_sample[[#This Row],[CONTACTLASTNAME]]))</f>
        <v>Julie, King</v>
      </c>
      <c r="AA255" s="1" t="s">
        <v>59</v>
      </c>
    </row>
    <row r="256" spans="1:27" x14ac:dyDescent="0.25">
      <c r="A256" s="10">
        <v>10276</v>
      </c>
      <c r="B256" s="9">
        <v>43</v>
      </c>
      <c r="C256" s="9">
        <v>100</v>
      </c>
      <c r="D256" s="9">
        <f>PRODUCT(sales_data_sample[[#This Row],[QUANTITYORDERED]],sales_data_sample[[#This Row],[PRICEEACH]])</f>
        <v>4300</v>
      </c>
      <c r="E256" s="9">
        <f>IF(OR(sales_data_sample[[#This Row],[STATUS]]="Shipped",sales_data_sample[[#This Row],[STATUS]]="Resolved"),sales_data_sample[[#This Row],[SALES]],0)</f>
        <v>4300</v>
      </c>
      <c r="F256" s="10">
        <v>14</v>
      </c>
      <c r="G256" s="12" t="s">
        <v>639</v>
      </c>
      <c r="H256" s="1" t="s">
        <v>26</v>
      </c>
      <c r="I256">
        <v>3</v>
      </c>
      <c r="J256">
        <v>8</v>
      </c>
      <c r="K256">
        <v>2004</v>
      </c>
      <c r="L256" s="1" t="s">
        <v>27</v>
      </c>
      <c r="M256">
        <v>150</v>
      </c>
      <c r="N256" s="1" t="s">
        <v>715</v>
      </c>
      <c r="O256" s="1" t="s">
        <v>640</v>
      </c>
      <c r="P256" s="1" t="s">
        <v>641</v>
      </c>
      <c r="Q256" s="1" t="s">
        <v>642</v>
      </c>
      <c r="R256" s="1" t="s">
        <v>32</v>
      </c>
      <c r="S256" s="1" t="s">
        <v>380</v>
      </c>
      <c r="T256" s="1" t="s">
        <v>160</v>
      </c>
      <c r="U256" s="1" t="s">
        <v>381</v>
      </c>
      <c r="V256" s="1" t="s">
        <v>36</v>
      </c>
      <c r="W256" s="1" t="s">
        <v>37</v>
      </c>
      <c r="X256" s="1" t="s">
        <v>643</v>
      </c>
      <c r="Y256" s="1" t="s">
        <v>644</v>
      </c>
      <c r="Z256" s="1" t="str">
        <f>TRIM(_xlfn.CONCAT(sales_data_sample[[#This Row],[CONTACTFIRSTNAME]],", ",sales_data_sample[[#This Row],[CONTACTLASTNAME]]))</f>
        <v>Miguel, Barajas</v>
      </c>
      <c r="AA256" s="1" t="s">
        <v>59</v>
      </c>
    </row>
    <row r="257" spans="1:27" x14ac:dyDescent="0.25">
      <c r="A257" s="10">
        <v>10285</v>
      </c>
      <c r="B257" s="9">
        <v>49</v>
      </c>
      <c r="C257" s="9">
        <v>100</v>
      </c>
      <c r="D257" s="9">
        <f>PRODUCT(sales_data_sample[[#This Row],[QUANTITYORDERED]],sales_data_sample[[#This Row],[PRICEEACH]])</f>
        <v>4900</v>
      </c>
      <c r="E257" s="9">
        <f>IF(OR(sales_data_sample[[#This Row],[STATUS]]="Shipped",sales_data_sample[[#This Row],[STATUS]]="Resolved"),sales_data_sample[[#This Row],[SALES]],0)</f>
        <v>4900</v>
      </c>
      <c r="F257" s="10">
        <v>5</v>
      </c>
      <c r="G257" s="12" t="s">
        <v>155</v>
      </c>
      <c r="H257" s="1" t="s">
        <v>26</v>
      </c>
      <c r="I257">
        <v>3</v>
      </c>
      <c r="J257">
        <v>8</v>
      </c>
      <c r="K257">
        <v>2004</v>
      </c>
      <c r="L257" s="1" t="s">
        <v>27</v>
      </c>
      <c r="M257">
        <v>150</v>
      </c>
      <c r="N257" s="1" t="s">
        <v>715</v>
      </c>
      <c r="O257" s="1" t="s">
        <v>156</v>
      </c>
      <c r="P257" s="1" t="s">
        <v>157</v>
      </c>
      <c r="Q257" s="1" t="s">
        <v>158</v>
      </c>
      <c r="R257" s="1" t="s">
        <v>32</v>
      </c>
      <c r="S257" s="1" t="s">
        <v>159</v>
      </c>
      <c r="T257" s="1" t="s">
        <v>160</v>
      </c>
      <c r="U257" s="1" t="s">
        <v>161</v>
      </c>
      <c r="V257" s="1" t="s">
        <v>36</v>
      </c>
      <c r="W257" s="1" t="s">
        <v>37</v>
      </c>
      <c r="X257" s="1" t="s">
        <v>162</v>
      </c>
      <c r="Y257" s="1" t="s">
        <v>163</v>
      </c>
      <c r="Z257" s="1" t="str">
        <f>TRIM(_xlfn.CONCAT(sales_data_sample[[#This Row],[CONTACTFIRSTNAME]],", ",sales_data_sample[[#This Row],[CONTACTLASTNAME]]))</f>
        <v>Marta, Hernandez</v>
      </c>
      <c r="AA257" s="1" t="s">
        <v>59</v>
      </c>
    </row>
    <row r="258" spans="1:27" x14ac:dyDescent="0.25">
      <c r="A258" s="10">
        <v>10299</v>
      </c>
      <c r="B258" s="9">
        <v>24</v>
      </c>
      <c r="C258" s="9">
        <v>100</v>
      </c>
      <c r="D258" s="9">
        <f>PRODUCT(sales_data_sample[[#This Row],[QUANTITYORDERED]],sales_data_sample[[#This Row],[PRICEEACH]])</f>
        <v>2400</v>
      </c>
      <c r="E258" s="9">
        <f>IF(OR(sales_data_sample[[#This Row],[STATUS]]="Shipped",sales_data_sample[[#This Row],[STATUS]]="Resolved"),sales_data_sample[[#This Row],[SALES]],0)</f>
        <v>2400</v>
      </c>
      <c r="F258" s="10">
        <v>8</v>
      </c>
      <c r="G258" s="12" t="s">
        <v>164</v>
      </c>
      <c r="H258" s="1" t="s">
        <v>26</v>
      </c>
      <c r="I258">
        <v>3</v>
      </c>
      <c r="J258">
        <v>9</v>
      </c>
      <c r="K258">
        <v>2004</v>
      </c>
      <c r="L258" s="1" t="s">
        <v>27</v>
      </c>
      <c r="M258">
        <v>150</v>
      </c>
      <c r="N258" s="1" t="s">
        <v>715</v>
      </c>
      <c r="O258" s="1" t="s">
        <v>165</v>
      </c>
      <c r="P258" s="1" t="s">
        <v>166</v>
      </c>
      <c r="Q258" s="1" t="s">
        <v>167</v>
      </c>
      <c r="R258" s="1" t="s">
        <v>32</v>
      </c>
      <c r="S258" s="1" t="s">
        <v>168</v>
      </c>
      <c r="T258" s="1" t="s">
        <v>32</v>
      </c>
      <c r="U258" s="1" t="s">
        <v>169</v>
      </c>
      <c r="V258" s="1" t="s">
        <v>170</v>
      </c>
      <c r="W258" s="1" t="s">
        <v>48</v>
      </c>
      <c r="X258" s="1" t="s">
        <v>171</v>
      </c>
      <c r="Y258" s="1" t="s">
        <v>172</v>
      </c>
      <c r="Z258" s="1" t="str">
        <f>TRIM(_xlfn.CONCAT(sales_data_sample[[#This Row],[CONTACTFIRSTNAME]],", ",sales_data_sample[[#This Row],[CONTACTLASTNAME]]))</f>
        <v>Matti, Karttunen</v>
      </c>
      <c r="AA258" s="1" t="s">
        <v>59</v>
      </c>
    </row>
    <row r="259" spans="1:27" x14ac:dyDescent="0.25">
      <c r="A259" s="10">
        <v>10309</v>
      </c>
      <c r="B259" s="9">
        <v>26</v>
      </c>
      <c r="C259" s="9">
        <v>100</v>
      </c>
      <c r="D259" s="9">
        <f>PRODUCT(sales_data_sample[[#This Row],[QUANTITYORDERED]],sales_data_sample[[#This Row],[PRICEEACH]])</f>
        <v>2600</v>
      </c>
      <c r="E259" s="9">
        <f>IF(OR(sales_data_sample[[#This Row],[STATUS]]="Shipped",sales_data_sample[[#This Row],[STATUS]]="Resolved"),sales_data_sample[[#This Row],[SALES]],0)</f>
        <v>2600</v>
      </c>
      <c r="F259" s="10">
        <v>4</v>
      </c>
      <c r="G259" s="12" t="s">
        <v>173</v>
      </c>
      <c r="H259" s="1" t="s">
        <v>26</v>
      </c>
      <c r="I259">
        <v>4</v>
      </c>
      <c r="J259">
        <v>10</v>
      </c>
      <c r="K259">
        <v>2004</v>
      </c>
      <c r="L259" s="1" t="s">
        <v>27</v>
      </c>
      <c r="M259">
        <v>150</v>
      </c>
      <c r="N259" s="1" t="s">
        <v>715</v>
      </c>
      <c r="O259" s="1" t="s">
        <v>174</v>
      </c>
      <c r="P259" s="1" t="s">
        <v>175</v>
      </c>
      <c r="Q259" s="1" t="s">
        <v>176</v>
      </c>
      <c r="R259" s="1" t="s">
        <v>32</v>
      </c>
      <c r="S259" s="1" t="s">
        <v>177</v>
      </c>
      <c r="T259" s="1" t="s">
        <v>32</v>
      </c>
      <c r="U259" s="1" t="s">
        <v>178</v>
      </c>
      <c r="V259" s="1" t="s">
        <v>97</v>
      </c>
      <c r="W259" s="1" t="s">
        <v>48</v>
      </c>
      <c r="X259" s="1" t="s">
        <v>179</v>
      </c>
      <c r="Y259" s="1" t="s">
        <v>180</v>
      </c>
      <c r="Z259" s="1" t="str">
        <f>TRIM(_xlfn.CONCAT(sales_data_sample[[#This Row],[CONTACTFIRSTNAME]],", ",sales_data_sample[[#This Row],[CONTACTLASTNAME]]))</f>
        <v>Jonas, Bergulfsen</v>
      </c>
      <c r="AA259" s="1" t="s">
        <v>59</v>
      </c>
    </row>
    <row r="260" spans="1:27" x14ac:dyDescent="0.25">
      <c r="A260">
        <v>10319</v>
      </c>
      <c r="B260">
        <v>30</v>
      </c>
      <c r="C260">
        <v>100</v>
      </c>
      <c r="D260">
        <f>PRODUCT(sales_data_sample[[#This Row],[QUANTITYORDERED]],sales_data_sample[[#This Row],[PRICEEACH]])</f>
        <v>3000</v>
      </c>
      <c r="E260" s="9">
        <f>IF(OR(sales_data_sample[[#This Row],[STATUS]]="Shipped",sales_data_sample[[#This Row],[STATUS]]="Resolved"),sales_data_sample[[#This Row],[SALES]],0)</f>
        <v>3000</v>
      </c>
      <c r="F260">
        <v>9</v>
      </c>
      <c r="G260" s="12" t="s">
        <v>654</v>
      </c>
      <c r="H260" s="1" t="s">
        <v>26</v>
      </c>
      <c r="I260">
        <v>4</v>
      </c>
      <c r="J260">
        <v>11</v>
      </c>
      <c r="K260">
        <v>2004</v>
      </c>
      <c r="L260" s="1" t="s">
        <v>27</v>
      </c>
      <c r="M260">
        <v>150</v>
      </c>
      <c r="N260" s="1" t="s">
        <v>715</v>
      </c>
      <c r="O260" s="1" t="s">
        <v>717</v>
      </c>
      <c r="P260" s="1" t="s">
        <v>718</v>
      </c>
      <c r="Q260" s="1" t="s">
        <v>719</v>
      </c>
      <c r="R260" s="1" t="s">
        <v>720</v>
      </c>
      <c r="S260" s="1" t="s">
        <v>33</v>
      </c>
      <c r="T260" s="1" t="s">
        <v>34</v>
      </c>
      <c r="U260" s="1" t="s">
        <v>35</v>
      </c>
      <c r="V260" s="1" t="s">
        <v>36</v>
      </c>
      <c r="W260" s="1" t="s">
        <v>37</v>
      </c>
      <c r="X260" s="1" t="s">
        <v>721</v>
      </c>
      <c r="Y260" s="1" t="s">
        <v>722</v>
      </c>
      <c r="Z260" s="1" t="str">
        <f>TRIM(_xlfn.CONCAT(sales_data_sample[[#This Row],[CONTACTFIRSTNAME]],", ",sales_data_sample[[#This Row],[CONTACTLASTNAME]]))</f>
        <v>Kee, Kuo</v>
      </c>
      <c r="AA260" s="1" t="s">
        <v>59</v>
      </c>
    </row>
    <row r="261" spans="1:27" x14ac:dyDescent="0.25">
      <c r="A261" s="10">
        <v>10329</v>
      </c>
      <c r="B261" s="9">
        <v>24</v>
      </c>
      <c r="C261" s="9">
        <v>100</v>
      </c>
      <c r="D261" s="9">
        <f>PRODUCT(sales_data_sample[[#This Row],[QUANTITYORDERED]],sales_data_sample[[#This Row],[PRICEEACH]])</f>
        <v>2400</v>
      </c>
      <c r="E261" s="9">
        <f>IF(OR(sales_data_sample[[#This Row],[STATUS]]="Shipped",sales_data_sample[[#This Row],[STATUS]]="Resolved"),sales_data_sample[[#This Row],[SALES]],0)</f>
        <v>2400</v>
      </c>
      <c r="F261" s="10">
        <v>6</v>
      </c>
      <c r="G261" s="12" t="s">
        <v>189</v>
      </c>
      <c r="H261" s="1" t="s">
        <v>26</v>
      </c>
      <c r="I261">
        <v>4</v>
      </c>
      <c r="J261">
        <v>11</v>
      </c>
      <c r="K261">
        <v>2004</v>
      </c>
      <c r="L261" s="1" t="s">
        <v>27</v>
      </c>
      <c r="M261">
        <v>150</v>
      </c>
      <c r="N261" s="1" t="s">
        <v>715</v>
      </c>
      <c r="O261" s="1" t="s">
        <v>29</v>
      </c>
      <c r="P261" s="1" t="s">
        <v>30</v>
      </c>
      <c r="Q261" s="1" t="s">
        <v>31</v>
      </c>
      <c r="R261" s="1" t="s">
        <v>32</v>
      </c>
      <c r="S261" s="1" t="s">
        <v>33</v>
      </c>
      <c r="T261" s="1" t="s">
        <v>34</v>
      </c>
      <c r="U261" s="1" t="s">
        <v>35</v>
      </c>
      <c r="V261" s="1" t="s">
        <v>36</v>
      </c>
      <c r="W261" s="1" t="s">
        <v>37</v>
      </c>
      <c r="X261" s="1" t="s">
        <v>38</v>
      </c>
      <c r="Y261" s="1" t="s">
        <v>39</v>
      </c>
      <c r="Z261" s="1" t="str">
        <f>TRIM(_xlfn.CONCAT(sales_data_sample[[#This Row],[CONTACTFIRSTNAME]],", ",sales_data_sample[[#This Row],[CONTACTLASTNAME]]))</f>
        <v>Kwai, Yu</v>
      </c>
      <c r="AA261" s="1" t="s">
        <v>59</v>
      </c>
    </row>
    <row r="262" spans="1:27" x14ac:dyDescent="0.25">
      <c r="A262" s="10">
        <v>10341</v>
      </c>
      <c r="B262" s="9">
        <v>55</v>
      </c>
      <c r="C262" s="9">
        <v>100</v>
      </c>
      <c r="D262" s="9">
        <f>PRODUCT(sales_data_sample[[#This Row],[QUANTITYORDERED]],sales_data_sample[[#This Row],[PRICEEACH]])</f>
        <v>5500</v>
      </c>
      <c r="E262" s="9">
        <f>IF(OR(sales_data_sample[[#This Row],[STATUS]]="Shipped",sales_data_sample[[#This Row],[STATUS]]="Resolved"),sales_data_sample[[#This Row],[SALES]],0)</f>
        <v>5500</v>
      </c>
      <c r="F262" s="10">
        <v>8</v>
      </c>
      <c r="G262" s="12" t="s">
        <v>190</v>
      </c>
      <c r="H262" s="1" t="s">
        <v>26</v>
      </c>
      <c r="I262">
        <v>4</v>
      </c>
      <c r="J262">
        <v>11</v>
      </c>
      <c r="K262">
        <v>2004</v>
      </c>
      <c r="L262" s="1" t="s">
        <v>27</v>
      </c>
      <c r="M262">
        <v>150</v>
      </c>
      <c r="N262" s="1" t="s">
        <v>715</v>
      </c>
      <c r="O262" s="1" t="s">
        <v>191</v>
      </c>
      <c r="P262" s="1" t="s">
        <v>192</v>
      </c>
      <c r="Q262" s="1" t="s">
        <v>193</v>
      </c>
      <c r="R262" s="1" t="s">
        <v>32</v>
      </c>
      <c r="S262" s="1" t="s">
        <v>194</v>
      </c>
      <c r="T262" s="1" t="s">
        <v>32</v>
      </c>
      <c r="U262" s="1" t="s">
        <v>195</v>
      </c>
      <c r="V262" s="1" t="s">
        <v>196</v>
      </c>
      <c r="W262" s="1" t="s">
        <v>48</v>
      </c>
      <c r="X262" s="1" t="s">
        <v>197</v>
      </c>
      <c r="Y262" s="1" t="s">
        <v>198</v>
      </c>
      <c r="Z262" s="1" t="str">
        <f>TRIM(_xlfn.CONCAT(sales_data_sample[[#This Row],[CONTACTFIRSTNAME]],", ",sales_data_sample[[#This Row],[CONTACTLASTNAME]]))</f>
        <v>Georg, Pipps</v>
      </c>
      <c r="AA262" s="1" t="s">
        <v>199</v>
      </c>
    </row>
    <row r="263" spans="1:27" x14ac:dyDescent="0.25">
      <c r="A263" s="10">
        <v>10362</v>
      </c>
      <c r="B263" s="9">
        <v>22</v>
      </c>
      <c r="C263" s="9">
        <v>100</v>
      </c>
      <c r="D263" s="9">
        <f>PRODUCT(sales_data_sample[[#This Row],[QUANTITYORDERED]],sales_data_sample[[#This Row],[PRICEEACH]])</f>
        <v>2200</v>
      </c>
      <c r="E263" s="9">
        <f>IF(OR(sales_data_sample[[#This Row],[STATUS]]="Shipped",sales_data_sample[[#This Row],[STATUS]]="Resolved"),sales_data_sample[[#This Row],[SALES]],0)</f>
        <v>2200</v>
      </c>
      <c r="F263" s="10">
        <v>1</v>
      </c>
      <c r="G263" s="12" t="s">
        <v>434</v>
      </c>
      <c r="H263" s="1" t="s">
        <v>26</v>
      </c>
      <c r="I263">
        <v>1</v>
      </c>
      <c r="J263">
        <v>1</v>
      </c>
      <c r="K263">
        <v>2005</v>
      </c>
      <c r="L263" s="1" t="s">
        <v>27</v>
      </c>
      <c r="M263">
        <v>150</v>
      </c>
      <c r="N263" s="1" t="s">
        <v>715</v>
      </c>
      <c r="O263" s="1" t="s">
        <v>76</v>
      </c>
      <c r="P263" s="1" t="s">
        <v>77</v>
      </c>
      <c r="Q263" s="1" t="s">
        <v>78</v>
      </c>
      <c r="R263" s="1" t="s">
        <v>32</v>
      </c>
      <c r="S263" s="1" t="s">
        <v>79</v>
      </c>
      <c r="T263" s="1" t="s">
        <v>65</v>
      </c>
      <c r="U263" s="1" t="s">
        <v>80</v>
      </c>
      <c r="V263" s="1" t="s">
        <v>36</v>
      </c>
      <c r="W263" s="1" t="s">
        <v>37</v>
      </c>
      <c r="X263" s="1" t="s">
        <v>81</v>
      </c>
      <c r="Y263" s="1" t="s">
        <v>82</v>
      </c>
      <c r="Z263" s="1" t="str">
        <f>TRIM(_xlfn.CONCAT(sales_data_sample[[#This Row],[CONTACTFIRSTNAME]],", ",sales_data_sample[[#This Row],[CONTACTLASTNAME]]))</f>
        <v>Juri, Hirano</v>
      </c>
      <c r="AA263" s="1" t="s">
        <v>59</v>
      </c>
    </row>
    <row r="264" spans="1:27" x14ac:dyDescent="0.25">
      <c r="A264" s="10">
        <v>10375</v>
      </c>
      <c r="B264" s="9">
        <v>49</v>
      </c>
      <c r="C264" s="9">
        <v>7892</v>
      </c>
      <c r="D264" s="9">
        <f>PRODUCT(sales_data_sample[[#This Row],[QUANTITYORDERED]],sales_data_sample[[#This Row],[PRICEEACH]])</f>
        <v>386708</v>
      </c>
      <c r="E264" s="9">
        <f>IF(OR(sales_data_sample[[#This Row],[STATUS]]="Shipped",sales_data_sample[[#This Row],[STATUS]]="Resolved"),sales_data_sample[[#This Row],[SALES]],0)</f>
        <v>386708</v>
      </c>
      <c r="F264" s="10">
        <v>13</v>
      </c>
      <c r="G264" s="12" t="s">
        <v>210</v>
      </c>
      <c r="H264" s="1" t="s">
        <v>26</v>
      </c>
      <c r="I264">
        <v>1</v>
      </c>
      <c r="J264">
        <v>2</v>
      </c>
      <c r="K264">
        <v>2005</v>
      </c>
      <c r="L264" s="1" t="s">
        <v>27</v>
      </c>
      <c r="M264">
        <v>150</v>
      </c>
      <c r="N264" s="1" t="s">
        <v>715</v>
      </c>
      <c r="O264" s="1" t="s">
        <v>148</v>
      </c>
      <c r="P264" s="1" t="s">
        <v>149</v>
      </c>
      <c r="Q264" s="1" t="s">
        <v>150</v>
      </c>
      <c r="R264" s="1" t="s">
        <v>32</v>
      </c>
      <c r="S264" s="1" t="s">
        <v>151</v>
      </c>
      <c r="T264" s="1" t="s">
        <v>32</v>
      </c>
      <c r="U264" s="1" t="s">
        <v>152</v>
      </c>
      <c r="V264" s="1" t="s">
        <v>47</v>
      </c>
      <c r="W264" s="1" t="s">
        <v>48</v>
      </c>
      <c r="X264" s="1" t="s">
        <v>153</v>
      </c>
      <c r="Y264" s="1" t="s">
        <v>154</v>
      </c>
      <c r="Z264" s="1" t="str">
        <f>TRIM(_xlfn.CONCAT(sales_data_sample[[#This Row],[CONTACTFIRSTNAME]],", ",sales_data_sample[[#This Row],[CONTACTLASTNAME]]))</f>
        <v>Janine, Labrune</v>
      </c>
      <c r="AA264" s="1" t="s">
        <v>59</v>
      </c>
    </row>
    <row r="265" spans="1:27" x14ac:dyDescent="0.25">
      <c r="A265" s="10">
        <v>10388</v>
      </c>
      <c r="B265" s="9">
        <v>44</v>
      </c>
      <c r="C265" s="9">
        <v>100</v>
      </c>
      <c r="D265" s="9">
        <f>PRODUCT(sales_data_sample[[#This Row],[QUANTITYORDERED]],sales_data_sample[[#This Row],[PRICEEACH]])</f>
        <v>4400</v>
      </c>
      <c r="E265" s="9">
        <f>IF(OR(sales_data_sample[[#This Row],[STATUS]]="Shipped",sales_data_sample[[#This Row],[STATUS]]="Resolved"),sales_data_sample[[#This Row],[SALES]],0)</f>
        <v>4400</v>
      </c>
      <c r="F265" s="10">
        <v>6</v>
      </c>
      <c r="G265" s="12" t="s">
        <v>211</v>
      </c>
      <c r="H265" s="1" t="s">
        <v>26</v>
      </c>
      <c r="I265">
        <v>1</v>
      </c>
      <c r="J265">
        <v>3</v>
      </c>
      <c r="K265">
        <v>2005</v>
      </c>
      <c r="L265" s="1" t="s">
        <v>27</v>
      </c>
      <c r="M265">
        <v>150</v>
      </c>
      <c r="N265" s="1" t="s">
        <v>715</v>
      </c>
      <c r="O265" s="1" t="s">
        <v>212</v>
      </c>
      <c r="P265" s="1" t="s">
        <v>213</v>
      </c>
      <c r="Q265" s="1" t="s">
        <v>214</v>
      </c>
      <c r="R265" s="1" t="s">
        <v>32</v>
      </c>
      <c r="S265" s="1" t="s">
        <v>215</v>
      </c>
      <c r="T265" s="1" t="s">
        <v>160</v>
      </c>
      <c r="U265" s="1" t="s">
        <v>216</v>
      </c>
      <c r="V265" s="1" t="s">
        <v>36</v>
      </c>
      <c r="W265" s="1" t="s">
        <v>37</v>
      </c>
      <c r="X265" s="1" t="s">
        <v>217</v>
      </c>
      <c r="Y265" s="1" t="s">
        <v>218</v>
      </c>
      <c r="Z265" s="1" t="str">
        <f>TRIM(_xlfn.CONCAT(sales_data_sample[[#This Row],[CONTACTFIRSTNAME]],", ",sales_data_sample[[#This Row],[CONTACTLASTNAME]]))</f>
        <v>Violeta, Benitez</v>
      </c>
      <c r="AA265" s="1" t="s">
        <v>59</v>
      </c>
    </row>
    <row r="266" spans="1:27" x14ac:dyDescent="0.25">
      <c r="A266" s="10">
        <v>10403</v>
      </c>
      <c r="B266" s="9">
        <v>66</v>
      </c>
      <c r="C266" s="9">
        <v>100</v>
      </c>
      <c r="D266" s="9">
        <f>PRODUCT(sales_data_sample[[#This Row],[QUANTITYORDERED]],sales_data_sample[[#This Row],[PRICEEACH]])</f>
        <v>6600</v>
      </c>
      <c r="E266" s="9">
        <f>IF(OR(sales_data_sample[[#This Row],[STATUS]]="Shipped",sales_data_sample[[#This Row],[STATUS]]="Resolved"),sales_data_sample[[#This Row],[SALES]],0)</f>
        <v>6600</v>
      </c>
      <c r="F266" s="10">
        <v>6</v>
      </c>
      <c r="G266" s="12" t="s">
        <v>219</v>
      </c>
      <c r="H266" s="1" t="s">
        <v>26</v>
      </c>
      <c r="I266">
        <v>2</v>
      </c>
      <c r="J266">
        <v>4</v>
      </c>
      <c r="K266">
        <v>2005</v>
      </c>
      <c r="L266" s="1" t="s">
        <v>27</v>
      </c>
      <c r="M266">
        <v>150</v>
      </c>
      <c r="N266" s="1" t="s">
        <v>715</v>
      </c>
      <c r="O266" s="1" t="s">
        <v>220</v>
      </c>
      <c r="P266" s="1" t="s">
        <v>221</v>
      </c>
      <c r="Q266" s="1" t="s">
        <v>222</v>
      </c>
      <c r="R266" s="1" t="s">
        <v>32</v>
      </c>
      <c r="S266" s="1" t="s">
        <v>223</v>
      </c>
      <c r="T266" s="1" t="s">
        <v>32</v>
      </c>
      <c r="U266" s="1" t="s">
        <v>224</v>
      </c>
      <c r="V266" s="1" t="s">
        <v>225</v>
      </c>
      <c r="W266" s="1" t="s">
        <v>48</v>
      </c>
      <c r="X266" s="1" t="s">
        <v>226</v>
      </c>
      <c r="Y266" s="1" t="s">
        <v>227</v>
      </c>
      <c r="Z266" s="1" t="str">
        <f>TRIM(_xlfn.CONCAT(sales_data_sample[[#This Row],[CONTACTFIRSTNAME]],", ",sales_data_sample[[#This Row],[CONTACTLASTNAME]]))</f>
        <v>Elizabeth, Devon</v>
      </c>
      <c r="AA266" s="1" t="s">
        <v>199</v>
      </c>
    </row>
    <row r="267" spans="1:27" x14ac:dyDescent="0.25">
      <c r="A267" s="10">
        <v>10417</v>
      </c>
      <c r="B267" s="9">
        <v>21</v>
      </c>
      <c r="C267" s="9">
        <v>100</v>
      </c>
      <c r="D267" s="9">
        <f>PRODUCT(sales_data_sample[[#This Row],[QUANTITYORDERED]],sales_data_sample[[#This Row],[PRICEEACH]])</f>
        <v>2100</v>
      </c>
      <c r="E267" s="9">
        <f>IF(OR(sales_data_sample[[#This Row],[STATUS]]="Shipped",sales_data_sample[[#This Row],[STATUS]]="Resolved"),sales_data_sample[[#This Row],[SALES]],0)</f>
        <v>0</v>
      </c>
      <c r="F267" s="10">
        <v>1</v>
      </c>
      <c r="G267" s="12" t="s">
        <v>228</v>
      </c>
      <c r="H267" s="1" t="s">
        <v>229</v>
      </c>
      <c r="I267">
        <v>2</v>
      </c>
      <c r="J267">
        <v>5</v>
      </c>
      <c r="K267">
        <v>2005</v>
      </c>
      <c r="L267" s="1" t="s">
        <v>27</v>
      </c>
      <c r="M267">
        <v>150</v>
      </c>
      <c r="N267" s="1" t="s">
        <v>715</v>
      </c>
      <c r="O267" s="1" t="s">
        <v>230</v>
      </c>
      <c r="P267" s="1" t="s">
        <v>231</v>
      </c>
      <c r="Q267" s="1" t="s">
        <v>232</v>
      </c>
      <c r="R267" s="1" t="s">
        <v>32</v>
      </c>
      <c r="S267" s="1" t="s">
        <v>233</v>
      </c>
      <c r="T267" s="1" t="s">
        <v>32</v>
      </c>
      <c r="U267" s="1" t="s">
        <v>234</v>
      </c>
      <c r="V267" s="1" t="s">
        <v>235</v>
      </c>
      <c r="W267" s="1" t="s">
        <v>48</v>
      </c>
      <c r="X267" s="1" t="s">
        <v>236</v>
      </c>
      <c r="Y267" s="1" t="s">
        <v>237</v>
      </c>
      <c r="Z267" s="1" t="str">
        <f>TRIM(_xlfn.CONCAT(sales_data_sample[[#This Row],[CONTACTFIRSTNAME]],", ",sales_data_sample[[#This Row],[CONTACTLASTNAME]]))</f>
        <v>Diego, Freyre</v>
      </c>
      <c r="AA267" s="1" t="s">
        <v>59</v>
      </c>
    </row>
    <row r="268" spans="1:27" x14ac:dyDescent="0.25">
      <c r="A268" s="10">
        <v>10104</v>
      </c>
      <c r="B268" s="9">
        <v>34</v>
      </c>
      <c r="C268" s="9">
        <v>100</v>
      </c>
      <c r="D268" s="9">
        <f>PRODUCT(sales_data_sample[[#This Row],[QUANTITYORDERED]],sales_data_sample[[#This Row],[PRICEEACH]])</f>
        <v>3400</v>
      </c>
      <c r="E268" s="9">
        <f>IF(OR(sales_data_sample[[#This Row],[STATUS]]="Shipped",sales_data_sample[[#This Row],[STATUS]]="Resolved"),sales_data_sample[[#This Row],[SALES]],0)</f>
        <v>3400</v>
      </c>
      <c r="F268" s="10">
        <v>1</v>
      </c>
      <c r="G268" s="12" t="s">
        <v>723</v>
      </c>
      <c r="H268" s="1" t="s">
        <v>26</v>
      </c>
      <c r="I268">
        <v>1</v>
      </c>
      <c r="J268">
        <v>1</v>
      </c>
      <c r="K268">
        <v>2003</v>
      </c>
      <c r="L268" s="1" t="s">
        <v>239</v>
      </c>
      <c r="M268">
        <v>151</v>
      </c>
      <c r="N268" s="1" t="s">
        <v>724</v>
      </c>
      <c r="O268" s="1" t="s">
        <v>230</v>
      </c>
      <c r="P268" s="1" t="s">
        <v>231</v>
      </c>
      <c r="Q268" s="1" t="s">
        <v>232</v>
      </c>
      <c r="R268" s="1" t="s">
        <v>32</v>
      </c>
      <c r="S268" s="1" t="s">
        <v>233</v>
      </c>
      <c r="T268" s="1" t="s">
        <v>32</v>
      </c>
      <c r="U268" s="1" t="s">
        <v>234</v>
      </c>
      <c r="V268" s="1" t="s">
        <v>235</v>
      </c>
      <c r="W268" s="1" t="s">
        <v>48</v>
      </c>
      <c r="X268" s="1" t="s">
        <v>236</v>
      </c>
      <c r="Y268" s="1" t="s">
        <v>237</v>
      </c>
      <c r="Z268" s="1" t="str">
        <f>TRIM(_xlfn.CONCAT(sales_data_sample[[#This Row],[CONTACTFIRSTNAME]],", ",sales_data_sample[[#This Row],[CONTACTLASTNAME]]))</f>
        <v>Diego, Freyre</v>
      </c>
      <c r="AA268" s="1" t="s">
        <v>59</v>
      </c>
    </row>
    <row r="269" spans="1:27" x14ac:dyDescent="0.25">
      <c r="A269" s="10">
        <v>10117</v>
      </c>
      <c r="B269" s="9">
        <v>43</v>
      </c>
      <c r="C269" s="9">
        <v>100</v>
      </c>
      <c r="D269" s="9">
        <f>PRODUCT(sales_data_sample[[#This Row],[QUANTITYORDERED]],sales_data_sample[[#This Row],[PRICEEACH]])</f>
        <v>4300</v>
      </c>
      <c r="E269" s="9">
        <f>IF(OR(sales_data_sample[[#This Row],[STATUS]]="Shipped",sales_data_sample[[#This Row],[STATUS]]="Resolved"),sales_data_sample[[#This Row],[SALES]],0)</f>
        <v>4300</v>
      </c>
      <c r="F269" s="10">
        <v>10</v>
      </c>
      <c r="G269" s="12" t="s">
        <v>665</v>
      </c>
      <c r="H269" s="1" t="s">
        <v>26</v>
      </c>
      <c r="I269">
        <v>2</v>
      </c>
      <c r="J269">
        <v>4</v>
      </c>
      <c r="K269">
        <v>2003</v>
      </c>
      <c r="L269" s="1" t="s">
        <v>239</v>
      </c>
      <c r="M269">
        <v>151</v>
      </c>
      <c r="N269" s="1" t="s">
        <v>724</v>
      </c>
      <c r="O269" s="1" t="s">
        <v>259</v>
      </c>
      <c r="P269" s="1" t="s">
        <v>260</v>
      </c>
      <c r="Q269" s="1" t="s">
        <v>261</v>
      </c>
      <c r="R269" s="1" t="s">
        <v>32</v>
      </c>
      <c r="S269" s="1" t="s">
        <v>262</v>
      </c>
      <c r="T269" s="1" t="s">
        <v>32</v>
      </c>
      <c r="U269" s="1" t="s">
        <v>263</v>
      </c>
      <c r="V269" s="1" t="s">
        <v>262</v>
      </c>
      <c r="W269" s="1" t="s">
        <v>264</v>
      </c>
      <c r="X269" s="1" t="s">
        <v>265</v>
      </c>
      <c r="Y269" s="1" t="s">
        <v>266</v>
      </c>
      <c r="Z269" s="1" t="str">
        <f>TRIM(_xlfn.CONCAT(sales_data_sample[[#This Row],[CONTACTFIRSTNAME]],", ",sales_data_sample[[#This Row],[CONTACTLASTNAME]]))</f>
        <v>Eric, Natividad</v>
      </c>
      <c r="AA269" s="1" t="s">
        <v>59</v>
      </c>
    </row>
    <row r="270" spans="1:27" x14ac:dyDescent="0.25">
      <c r="A270">
        <v>10127</v>
      </c>
      <c r="B270">
        <v>46</v>
      </c>
      <c r="C270">
        <v>100</v>
      </c>
      <c r="D270">
        <f>PRODUCT(sales_data_sample[[#This Row],[QUANTITYORDERED]],sales_data_sample[[#This Row],[PRICEEACH]])</f>
        <v>4600</v>
      </c>
      <c r="E270" s="9">
        <f>IF(OR(sales_data_sample[[#This Row],[STATUS]]="Shipped",sales_data_sample[[#This Row],[STATUS]]="Resolved"),sales_data_sample[[#This Row],[SALES]],0)</f>
        <v>4600</v>
      </c>
      <c r="F270">
        <v>3</v>
      </c>
      <c r="G270" s="12" t="s">
        <v>666</v>
      </c>
      <c r="H270" s="1" t="s">
        <v>26</v>
      </c>
      <c r="I270">
        <v>2</v>
      </c>
      <c r="J270">
        <v>6</v>
      </c>
      <c r="K270">
        <v>2003</v>
      </c>
      <c r="L270" s="1" t="s">
        <v>239</v>
      </c>
      <c r="M270">
        <v>151</v>
      </c>
      <c r="N270" s="1" t="s">
        <v>724</v>
      </c>
      <c r="O270" s="1" t="s">
        <v>667</v>
      </c>
      <c r="P270" s="1" t="s">
        <v>668</v>
      </c>
      <c r="Q270" s="1" t="s">
        <v>669</v>
      </c>
      <c r="R270" s="1" t="s">
        <v>670</v>
      </c>
      <c r="S270" s="1" t="s">
        <v>33</v>
      </c>
      <c r="T270" s="1" t="s">
        <v>34</v>
      </c>
      <c r="U270" s="1" t="s">
        <v>35</v>
      </c>
      <c r="V270" s="1" t="s">
        <v>36</v>
      </c>
      <c r="W270" s="1" t="s">
        <v>37</v>
      </c>
      <c r="X270" s="1" t="s">
        <v>67</v>
      </c>
      <c r="Y270" s="1" t="s">
        <v>671</v>
      </c>
      <c r="Z270" s="1" t="str">
        <f>TRIM(_xlfn.CONCAT(sales_data_sample[[#This Row],[CONTACTFIRSTNAME]],", ",sales_data_sample[[#This Row],[CONTACTLASTNAME]]))</f>
        <v>Jeff, Young</v>
      </c>
      <c r="AA270" s="1" t="s">
        <v>199</v>
      </c>
    </row>
    <row r="271" spans="1:27" x14ac:dyDescent="0.25">
      <c r="A271" s="10">
        <v>10142</v>
      </c>
      <c r="B271" s="9">
        <v>33</v>
      </c>
      <c r="C271" s="9">
        <v>100</v>
      </c>
      <c r="D271" s="9">
        <f>PRODUCT(sales_data_sample[[#This Row],[QUANTITYORDERED]],sales_data_sample[[#This Row],[PRICEEACH]])</f>
        <v>3300</v>
      </c>
      <c r="E271" s="9">
        <f>IF(OR(sales_data_sample[[#This Row],[STATUS]]="Shipped",sales_data_sample[[#This Row],[STATUS]]="Resolved"),sales_data_sample[[#This Row],[SALES]],0)</f>
        <v>3300</v>
      </c>
      <c r="F271" s="10">
        <v>13</v>
      </c>
      <c r="G271" s="12" t="s">
        <v>672</v>
      </c>
      <c r="H271" s="1" t="s">
        <v>26</v>
      </c>
      <c r="I271">
        <v>3</v>
      </c>
      <c r="J271">
        <v>8</v>
      </c>
      <c r="K271">
        <v>2003</v>
      </c>
      <c r="L271" s="1" t="s">
        <v>239</v>
      </c>
      <c r="M271">
        <v>151</v>
      </c>
      <c r="N271" s="1" t="s">
        <v>724</v>
      </c>
      <c r="O271" s="1" t="s">
        <v>361</v>
      </c>
      <c r="P271" s="1" t="s">
        <v>362</v>
      </c>
      <c r="Q271" s="1" t="s">
        <v>363</v>
      </c>
      <c r="R271" s="1" t="s">
        <v>32</v>
      </c>
      <c r="S271" s="1" t="s">
        <v>364</v>
      </c>
      <c r="T271" s="1" t="s">
        <v>65</v>
      </c>
      <c r="U271" s="1" t="s">
        <v>145</v>
      </c>
      <c r="V271" s="1" t="s">
        <v>36</v>
      </c>
      <c r="W271" s="1" t="s">
        <v>37</v>
      </c>
      <c r="X271" s="1" t="s">
        <v>365</v>
      </c>
      <c r="Y271" s="1" t="s">
        <v>366</v>
      </c>
      <c r="Z271" s="1" t="str">
        <f>TRIM(_xlfn.CONCAT(sales_data_sample[[#This Row],[CONTACTFIRSTNAME]],", ",sales_data_sample[[#This Row],[CONTACTLASTNAME]]))</f>
        <v>Valarie, Nelson</v>
      </c>
      <c r="AA271" s="1" t="s">
        <v>59</v>
      </c>
    </row>
    <row r="272" spans="1:27" x14ac:dyDescent="0.25">
      <c r="A272" s="10">
        <v>10153</v>
      </c>
      <c r="B272" s="9">
        <v>42</v>
      </c>
      <c r="C272" s="9">
        <v>100</v>
      </c>
      <c r="D272" s="9">
        <f>PRODUCT(sales_data_sample[[#This Row],[QUANTITYORDERED]],sales_data_sample[[#This Row],[PRICEEACH]])</f>
        <v>4200</v>
      </c>
      <c r="E272" s="9">
        <f>IF(OR(sales_data_sample[[#This Row],[STATUS]]="Shipped",sales_data_sample[[#This Row],[STATUS]]="Resolved"),sales_data_sample[[#This Row],[SALES]],0)</f>
        <v>4200</v>
      </c>
      <c r="F272" s="10">
        <v>12</v>
      </c>
      <c r="G272" s="12" t="s">
        <v>673</v>
      </c>
      <c r="H272" s="1" t="s">
        <v>26</v>
      </c>
      <c r="I272">
        <v>3</v>
      </c>
      <c r="J272">
        <v>9</v>
      </c>
      <c r="K272">
        <v>2003</v>
      </c>
      <c r="L272" s="1" t="s">
        <v>239</v>
      </c>
      <c r="M272">
        <v>151</v>
      </c>
      <c r="N272" s="1" t="s">
        <v>724</v>
      </c>
      <c r="O272" s="1" t="s">
        <v>230</v>
      </c>
      <c r="P272" s="1" t="s">
        <v>231</v>
      </c>
      <c r="Q272" s="1" t="s">
        <v>232</v>
      </c>
      <c r="R272" s="1" t="s">
        <v>32</v>
      </c>
      <c r="S272" s="1" t="s">
        <v>233</v>
      </c>
      <c r="T272" s="1" t="s">
        <v>32</v>
      </c>
      <c r="U272" s="1" t="s">
        <v>234</v>
      </c>
      <c r="V272" s="1" t="s">
        <v>235</v>
      </c>
      <c r="W272" s="1" t="s">
        <v>48</v>
      </c>
      <c r="X272" s="1" t="s">
        <v>236</v>
      </c>
      <c r="Y272" s="1" t="s">
        <v>237</v>
      </c>
      <c r="Z272" s="1" t="str">
        <f>TRIM(_xlfn.CONCAT(sales_data_sample[[#This Row],[CONTACTFIRSTNAME]],", ",sales_data_sample[[#This Row],[CONTACTLASTNAME]]))</f>
        <v>Diego, Freyre</v>
      </c>
      <c r="AA272" s="1" t="s">
        <v>59</v>
      </c>
    </row>
    <row r="273" spans="1:27" x14ac:dyDescent="0.25">
      <c r="A273" s="10">
        <v>10165</v>
      </c>
      <c r="B273" s="9">
        <v>34</v>
      </c>
      <c r="C273" s="9">
        <v>100</v>
      </c>
      <c r="D273" s="9">
        <f>PRODUCT(sales_data_sample[[#This Row],[QUANTITYORDERED]],sales_data_sample[[#This Row],[PRICEEACH]])</f>
        <v>3400</v>
      </c>
      <c r="E273" s="9">
        <f>IF(OR(sales_data_sample[[#This Row],[STATUS]]="Shipped",sales_data_sample[[#This Row],[STATUS]]="Resolved"),sales_data_sample[[#This Row],[SALES]],0)</f>
        <v>3400</v>
      </c>
      <c r="F273" s="10">
        <v>4</v>
      </c>
      <c r="G273" s="12" t="s">
        <v>674</v>
      </c>
      <c r="H273" s="1" t="s">
        <v>26</v>
      </c>
      <c r="I273">
        <v>4</v>
      </c>
      <c r="J273">
        <v>10</v>
      </c>
      <c r="K273">
        <v>2003</v>
      </c>
      <c r="L273" s="1" t="s">
        <v>239</v>
      </c>
      <c r="M273">
        <v>151</v>
      </c>
      <c r="N273" s="1" t="s">
        <v>724</v>
      </c>
      <c r="O273" s="1" t="s">
        <v>259</v>
      </c>
      <c r="P273" s="1" t="s">
        <v>260</v>
      </c>
      <c r="Q273" s="1" t="s">
        <v>261</v>
      </c>
      <c r="R273" s="1" t="s">
        <v>32</v>
      </c>
      <c r="S273" s="1" t="s">
        <v>262</v>
      </c>
      <c r="T273" s="1" t="s">
        <v>32</v>
      </c>
      <c r="U273" s="1" t="s">
        <v>263</v>
      </c>
      <c r="V273" s="1" t="s">
        <v>262</v>
      </c>
      <c r="W273" s="1" t="s">
        <v>264</v>
      </c>
      <c r="X273" s="1" t="s">
        <v>265</v>
      </c>
      <c r="Y273" s="1" t="s">
        <v>266</v>
      </c>
      <c r="Z273" s="1" t="str">
        <f>TRIM(_xlfn.CONCAT(sales_data_sample[[#This Row],[CONTACTFIRSTNAME]],", ",sales_data_sample[[#This Row],[CONTACTLASTNAME]]))</f>
        <v>Eric, Natividad</v>
      </c>
      <c r="AA273" s="1" t="s">
        <v>59</v>
      </c>
    </row>
    <row r="274" spans="1:27" x14ac:dyDescent="0.25">
      <c r="A274" s="10">
        <v>10176</v>
      </c>
      <c r="B274" s="9">
        <v>47</v>
      </c>
      <c r="C274" s="9">
        <v>100</v>
      </c>
      <c r="D274" s="9">
        <f>PRODUCT(sales_data_sample[[#This Row],[QUANTITYORDERED]],sales_data_sample[[#This Row],[PRICEEACH]])</f>
        <v>4700</v>
      </c>
      <c r="E274" s="9">
        <f>IF(OR(sales_data_sample[[#This Row],[STATUS]]="Shipped",sales_data_sample[[#This Row],[STATUS]]="Resolved"),sales_data_sample[[#This Row],[SALES]],0)</f>
        <v>4700</v>
      </c>
      <c r="F274" s="10">
        <v>3</v>
      </c>
      <c r="G274" s="12" t="s">
        <v>273</v>
      </c>
      <c r="H274" s="1" t="s">
        <v>26</v>
      </c>
      <c r="I274">
        <v>4</v>
      </c>
      <c r="J274">
        <v>11</v>
      </c>
      <c r="K274">
        <v>2003</v>
      </c>
      <c r="L274" s="1" t="s">
        <v>239</v>
      </c>
      <c r="M274">
        <v>151</v>
      </c>
      <c r="N274" s="1" t="s">
        <v>724</v>
      </c>
      <c r="O274" s="1" t="s">
        <v>632</v>
      </c>
      <c r="P274" s="1" t="s">
        <v>633</v>
      </c>
      <c r="Q274" s="1" t="s">
        <v>634</v>
      </c>
      <c r="R274" s="1" t="s">
        <v>32</v>
      </c>
      <c r="S274" s="1" t="s">
        <v>635</v>
      </c>
      <c r="T274" s="1" t="s">
        <v>32</v>
      </c>
      <c r="U274" s="1" t="s">
        <v>636</v>
      </c>
      <c r="V274" s="1" t="s">
        <v>343</v>
      </c>
      <c r="W274" s="1" t="s">
        <v>48</v>
      </c>
      <c r="X274" s="1" t="s">
        <v>637</v>
      </c>
      <c r="Y274" s="1" t="s">
        <v>638</v>
      </c>
      <c r="Z274" s="1" t="str">
        <f>TRIM(_xlfn.CONCAT(sales_data_sample[[#This Row],[CONTACTFIRSTNAME]],", ",sales_data_sample[[#This Row],[CONTACTLASTNAME]]))</f>
        <v>Maurizio, Moroni</v>
      </c>
      <c r="AA274" s="1" t="s">
        <v>199</v>
      </c>
    </row>
    <row r="275" spans="1:27" x14ac:dyDescent="0.25">
      <c r="A275" s="10">
        <v>10185</v>
      </c>
      <c r="B275" s="9">
        <v>33</v>
      </c>
      <c r="C275" s="9">
        <v>100</v>
      </c>
      <c r="D275" s="9">
        <f>PRODUCT(sales_data_sample[[#This Row],[QUANTITYORDERED]],sales_data_sample[[#This Row],[PRICEEACH]])</f>
        <v>3300</v>
      </c>
      <c r="E275" s="9">
        <f>IF(OR(sales_data_sample[[#This Row],[STATUS]]="Shipped",sales_data_sample[[#This Row],[STATUS]]="Resolved"),sales_data_sample[[#This Row],[SALES]],0)</f>
        <v>3300</v>
      </c>
      <c r="F275" s="10">
        <v>14</v>
      </c>
      <c r="G275" s="12" t="s">
        <v>470</v>
      </c>
      <c r="H275" s="1" t="s">
        <v>26</v>
      </c>
      <c r="I275">
        <v>4</v>
      </c>
      <c r="J275">
        <v>11</v>
      </c>
      <c r="K275">
        <v>2003</v>
      </c>
      <c r="L275" s="1" t="s">
        <v>239</v>
      </c>
      <c r="M275">
        <v>151</v>
      </c>
      <c r="N275" s="1" t="s">
        <v>724</v>
      </c>
      <c r="O275" s="1" t="s">
        <v>454</v>
      </c>
      <c r="P275" s="1" t="s">
        <v>455</v>
      </c>
      <c r="Q275" s="1" t="s">
        <v>456</v>
      </c>
      <c r="R275" s="1" t="s">
        <v>32</v>
      </c>
      <c r="S275" s="1" t="s">
        <v>215</v>
      </c>
      <c r="T275" s="1" t="s">
        <v>160</v>
      </c>
      <c r="U275" s="1" t="s">
        <v>216</v>
      </c>
      <c r="V275" s="1" t="s">
        <v>36</v>
      </c>
      <c r="W275" s="1" t="s">
        <v>37</v>
      </c>
      <c r="X275" s="1" t="s">
        <v>457</v>
      </c>
      <c r="Y275" s="1" t="s">
        <v>458</v>
      </c>
      <c r="Z275" s="1" t="str">
        <f>TRIM(_xlfn.CONCAT(sales_data_sample[[#This Row],[CONTACTFIRSTNAME]],", ",sales_data_sample[[#This Row],[CONTACTLASTNAME]]))</f>
        <v>Wing C, Tam</v>
      </c>
      <c r="AA275" s="1" t="s">
        <v>59</v>
      </c>
    </row>
    <row r="276" spans="1:27" x14ac:dyDescent="0.25">
      <c r="A276" s="10">
        <v>10196</v>
      </c>
      <c r="B276" s="9">
        <v>24</v>
      </c>
      <c r="C276" s="9">
        <v>100</v>
      </c>
      <c r="D276" s="9">
        <f>PRODUCT(sales_data_sample[[#This Row],[QUANTITYORDERED]],sales_data_sample[[#This Row],[PRICEEACH]])</f>
        <v>2400</v>
      </c>
      <c r="E276" s="9">
        <f>IF(OR(sales_data_sample[[#This Row],[STATUS]]="Shipped",sales_data_sample[[#This Row],[STATUS]]="Resolved"),sales_data_sample[[#This Row],[SALES]],0)</f>
        <v>2400</v>
      </c>
      <c r="F276" s="10">
        <v>6</v>
      </c>
      <c r="G276" s="12" t="s">
        <v>477</v>
      </c>
      <c r="H276" s="1" t="s">
        <v>26</v>
      </c>
      <c r="I276">
        <v>4</v>
      </c>
      <c r="J276">
        <v>11</v>
      </c>
      <c r="K276">
        <v>2003</v>
      </c>
      <c r="L276" s="1" t="s">
        <v>239</v>
      </c>
      <c r="M276">
        <v>151</v>
      </c>
      <c r="N276" s="1" t="s">
        <v>724</v>
      </c>
      <c r="O276" s="1" t="s">
        <v>321</v>
      </c>
      <c r="P276" s="1" t="s">
        <v>322</v>
      </c>
      <c r="Q276" s="1" t="s">
        <v>323</v>
      </c>
      <c r="R276" s="1" t="s">
        <v>32</v>
      </c>
      <c r="S276" s="1" t="s">
        <v>324</v>
      </c>
      <c r="T276" s="1" t="s">
        <v>144</v>
      </c>
      <c r="U276" s="1" t="s">
        <v>325</v>
      </c>
      <c r="V276" s="1" t="s">
        <v>36</v>
      </c>
      <c r="W276" s="1" t="s">
        <v>37</v>
      </c>
      <c r="X276" s="1" t="s">
        <v>104</v>
      </c>
      <c r="Y276" s="1" t="s">
        <v>326</v>
      </c>
      <c r="Z276" s="1" t="str">
        <f>TRIM(_xlfn.CONCAT(sales_data_sample[[#This Row],[CONTACTFIRSTNAME]],", ",sales_data_sample[[#This Row],[CONTACTLASTNAME]]))</f>
        <v>Leslie, Murphy</v>
      </c>
      <c r="AA276" s="1" t="s">
        <v>59</v>
      </c>
    </row>
    <row r="277" spans="1:27" x14ac:dyDescent="0.25">
      <c r="A277" s="10">
        <v>10208</v>
      </c>
      <c r="B277" s="9">
        <v>26</v>
      </c>
      <c r="C277" s="9">
        <v>100</v>
      </c>
      <c r="D277" s="9">
        <f>PRODUCT(sales_data_sample[[#This Row],[QUANTITYORDERED]],sales_data_sample[[#This Row],[PRICEEACH]])</f>
        <v>2600</v>
      </c>
      <c r="E277" s="9">
        <f>IF(OR(sales_data_sample[[#This Row],[STATUS]]="Shipped",sales_data_sample[[#This Row],[STATUS]]="Resolved"),sales_data_sample[[#This Row],[SALES]],0)</f>
        <v>2600</v>
      </c>
      <c r="F277" s="10">
        <v>14</v>
      </c>
      <c r="G277" s="12" t="s">
        <v>675</v>
      </c>
      <c r="H277" s="1" t="s">
        <v>26</v>
      </c>
      <c r="I277">
        <v>1</v>
      </c>
      <c r="J277">
        <v>1</v>
      </c>
      <c r="K277">
        <v>2004</v>
      </c>
      <c r="L277" s="1" t="s">
        <v>239</v>
      </c>
      <c r="M277">
        <v>151</v>
      </c>
      <c r="N277" s="1" t="s">
        <v>724</v>
      </c>
      <c r="O277" s="1" t="s">
        <v>291</v>
      </c>
      <c r="P277" s="1" t="s">
        <v>292</v>
      </c>
      <c r="Q277" s="1" t="s">
        <v>293</v>
      </c>
      <c r="R277" s="1" t="s">
        <v>32</v>
      </c>
      <c r="S277" s="1" t="s">
        <v>294</v>
      </c>
      <c r="T277" s="1" t="s">
        <v>32</v>
      </c>
      <c r="U277" s="1" t="s">
        <v>295</v>
      </c>
      <c r="V277" s="1" t="s">
        <v>47</v>
      </c>
      <c r="W277" s="1" t="s">
        <v>48</v>
      </c>
      <c r="X277" s="1" t="s">
        <v>296</v>
      </c>
      <c r="Y277" s="1" t="s">
        <v>297</v>
      </c>
      <c r="Z277" s="1" t="str">
        <f>TRIM(_xlfn.CONCAT(sales_data_sample[[#This Row],[CONTACTFIRSTNAME]],", ",sales_data_sample[[#This Row],[CONTACTLASTNAME]]))</f>
        <v>Mary, Saveley</v>
      </c>
      <c r="AA277" s="1" t="s">
        <v>59</v>
      </c>
    </row>
    <row r="278" spans="1:27" x14ac:dyDescent="0.25">
      <c r="A278">
        <v>10220</v>
      </c>
      <c r="B278">
        <v>30</v>
      </c>
      <c r="C278">
        <v>100</v>
      </c>
      <c r="D278">
        <f>PRODUCT(sales_data_sample[[#This Row],[QUANTITYORDERED]],sales_data_sample[[#This Row],[PRICEEACH]])</f>
        <v>3000</v>
      </c>
      <c r="E278" s="9">
        <f>IF(OR(sales_data_sample[[#This Row],[STATUS]]="Shipped",sales_data_sample[[#This Row],[STATUS]]="Resolved"),sales_data_sample[[#This Row],[SALES]],0)</f>
        <v>3000</v>
      </c>
      <c r="F278">
        <v>3</v>
      </c>
      <c r="G278" s="12" t="s">
        <v>676</v>
      </c>
      <c r="H278" s="1" t="s">
        <v>26</v>
      </c>
      <c r="I278">
        <v>1</v>
      </c>
      <c r="J278">
        <v>2</v>
      </c>
      <c r="K278">
        <v>2004</v>
      </c>
      <c r="L278" s="1" t="s">
        <v>239</v>
      </c>
      <c r="M278">
        <v>151</v>
      </c>
      <c r="N278" s="1" t="s">
        <v>724</v>
      </c>
      <c r="O278" s="1" t="s">
        <v>677</v>
      </c>
      <c r="P278" s="1" t="s">
        <v>678</v>
      </c>
      <c r="Q278" s="1" t="s">
        <v>679</v>
      </c>
      <c r="R278" s="1" t="s">
        <v>680</v>
      </c>
      <c r="S278" s="1" t="s">
        <v>681</v>
      </c>
      <c r="T278" s="1" t="s">
        <v>32</v>
      </c>
      <c r="U278" s="1" t="s">
        <v>682</v>
      </c>
      <c r="V278" s="1" t="s">
        <v>683</v>
      </c>
      <c r="W278" s="1" t="s">
        <v>48</v>
      </c>
      <c r="X278" s="1" t="s">
        <v>684</v>
      </c>
      <c r="Y278" s="1" t="s">
        <v>685</v>
      </c>
      <c r="Z278" s="1" t="str">
        <f>TRIM(_xlfn.CONCAT(sales_data_sample[[#This Row],[CONTACTFIRSTNAME]],", ",sales_data_sample[[#This Row],[CONTACTLASTNAME]]))</f>
        <v>Dean, Cassidy</v>
      </c>
      <c r="AA278" s="1" t="s">
        <v>59</v>
      </c>
    </row>
    <row r="279" spans="1:27" x14ac:dyDescent="0.25">
      <c r="A279" s="10">
        <v>10230</v>
      </c>
      <c r="B279" s="9">
        <v>43</v>
      </c>
      <c r="C279" s="9">
        <v>100</v>
      </c>
      <c r="D279" s="9">
        <f>PRODUCT(sales_data_sample[[#This Row],[QUANTITYORDERED]],sales_data_sample[[#This Row],[PRICEEACH]])</f>
        <v>4300</v>
      </c>
      <c r="E279" s="9">
        <f>IF(OR(sales_data_sample[[#This Row],[STATUS]]="Shipped",sales_data_sample[[#This Row],[STATUS]]="Resolved"),sales_data_sample[[#This Row],[SALES]],0)</f>
        <v>4300</v>
      </c>
      <c r="F279" s="10">
        <v>1</v>
      </c>
      <c r="G279" s="12" t="s">
        <v>725</v>
      </c>
      <c r="H279" s="1" t="s">
        <v>26</v>
      </c>
      <c r="I279">
        <v>1</v>
      </c>
      <c r="J279">
        <v>3</v>
      </c>
      <c r="K279">
        <v>2004</v>
      </c>
      <c r="L279" s="1" t="s">
        <v>239</v>
      </c>
      <c r="M279">
        <v>151</v>
      </c>
      <c r="N279" s="1" t="s">
        <v>724</v>
      </c>
      <c r="O279" s="1" t="s">
        <v>647</v>
      </c>
      <c r="P279" s="1" t="s">
        <v>648</v>
      </c>
      <c r="Q279" s="1" t="s">
        <v>649</v>
      </c>
      <c r="R279" s="1" t="s">
        <v>32</v>
      </c>
      <c r="S279" s="1" t="s">
        <v>650</v>
      </c>
      <c r="T279" s="1" t="s">
        <v>32</v>
      </c>
      <c r="U279" s="1" t="s">
        <v>651</v>
      </c>
      <c r="V279" s="1" t="s">
        <v>617</v>
      </c>
      <c r="W279" s="1" t="s">
        <v>48</v>
      </c>
      <c r="X279" s="1" t="s">
        <v>652</v>
      </c>
      <c r="Y279" s="1" t="s">
        <v>570</v>
      </c>
      <c r="Z279" s="1" t="str">
        <f>TRIM(_xlfn.CONCAT(sales_data_sample[[#This Row],[CONTACTFIRSTNAME]],", ",sales_data_sample[[#This Row],[CONTACTLASTNAME]]))</f>
        <v>Roland, Keitel</v>
      </c>
      <c r="AA279" s="1" t="s">
        <v>199</v>
      </c>
    </row>
    <row r="280" spans="1:27" x14ac:dyDescent="0.25">
      <c r="A280" s="10">
        <v>10247</v>
      </c>
      <c r="B280" s="9">
        <v>25</v>
      </c>
      <c r="C280" s="9">
        <v>100</v>
      </c>
      <c r="D280" s="9">
        <f>PRODUCT(sales_data_sample[[#This Row],[QUANTITYORDERED]],sales_data_sample[[#This Row],[PRICEEACH]])</f>
        <v>2500</v>
      </c>
      <c r="E280" s="9">
        <f>IF(OR(sales_data_sample[[#This Row],[STATUS]]="Shipped",sales_data_sample[[#This Row],[STATUS]]="Resolved"),sales_data_sample[[#This Row],[SALES]],0)</f>
        <v>2500</v>
      </c>
      <c r="F280" s="10">
        <v>3</v>
      </c>
      <c r="G280" s="12" t="s">
        <v>692</v>
      </c>
      <c r="H280" s="1" t="s">
        <v>26</v>
      </c>
      <c r="I280">
        <v>2</v>
      </c>
      <c r="J280">
        <v>5</v>
      </c>
      <c r="K280">
        <v>2004</v>
      </c>
      <c r="L280" s="1" t="s">
        <v>239</v>
      </c>
      <c r="M280">
        <v>151</v>
      </c>
      <c r="N280" s="1" t="s">
        <v>724</v>
      </c>
      <c r="O280" s="1" t="s">
        <v>656</v>
      </c>
      <c r="P280" s="1" t="s">
        <v>657</v>
      </c>
      <c r="Q280" s="1" t="s">
        <v>658</v>
      </c>
      <c r="R280" s="1" t="s">
        <v>32</v>
      </c>
      <c r="S280" s="1" t="s">
        <v>659</v>
      </c>
      <c r="T280" s="1" t="s">
        <v>32</v>
      </c>
      <c r="U280" s="1" t="s">
        <v>660</v>
      </c>
      <c r="V280" s="1" t="s">
        <v>170</v>
      </c>
      <c r="W280" s="1" t="s">
        <v>48</v>
      </c>
      <c r="X280" s="1" t="s">
        <v>661</v>
      </c>
      <c r="Y280" s="1" t="s">
        <v>662</v>
      </c>
      <c r="Z280" s="1" t="str">
        <f>TRIM(_xlfn.CONCAT(sales_data_sample[[#This Row],[CONTACTFIRSTNAME]],", ",sales_data_sample[[#This Row],[CONTACTLASTNAME]]))</f>
        <v>Kalle, Suominen</v>
      </c>
      <c r="AA280" s="1" t="s">
        <v>59</v>
      </c>
    </row>
    <row r="281" spans="1:27" x14ac:dyDescent="0.25">
      <c r="A281" s="10">
        <v>10272</v>
      </c>
      <c r="B281" s="9">
        <v>27</v>
      </c>
      <c r="C281" s="9">
        <v>100</v>
      </c>
      <c r="D281" s="9">
        <f>PRODUCT(sales_data_sample[[#This Row],[QUANTITYORDERED]],sales_data_sample[[#This Row],[PRICEEACH]])</f>
        <v>2700</v>
      </c>
      <c r="E281" s="9">
        <f>IF(OR(sales_data_sample[[#This Row],[STATUS]]="Shipped",sales_data_sample[[#This Row],[STATUS]]="Resolved"),sales_data_sample[[#This Row],[SALES]],0)</f>
        <v>2700</v>
      </c>
      <c r="F281" s="10">
        <v>3</v>
      </c>
      <c r="G281" s="12" t="s">
        <v>693</v>
      </c>
      <c r="H281" s="1" t="s">
        <v>26</v>
      </c>
      <c r="I281">
        <v>3</v>
      </c>
      <c r="J281">
        <v>7</v>
      </c>
      <c r="K281">
        <v>2004</v>
      </c>
      <c r="L281" s="1" t="s">
        <v>239</v>
      </c>
      <c r="M281">
        <v>151</v>
      </c>
      <c r="N281" s="1" t="s">
        <v>724</v>
      </c>
      <c r="O281" s="1" t="s">
        <v>182</v>
      </c>
      <c r="P281" s="1" t="s">
        <v>183</v>
      </c>
      <c r="Q281" s="1" t="s">
        <v>184</v>
      </c>
      <c r="R281" s="1" t="s">
        <v>32</v>
      </c>
      <c r="S281" s="1" t="s">
        <v>185</v>
      </c>
      <c r="T281" s="1" t="s">
        <v>186</v>
      </c>
      <c r="U281" s="1" t="s">
        <v>187</v>
      </c>
      <c r="V281" s="1" t="s">
        <v>36</v>
      </c>
      <c r="W281" s="1" t="s">
        <v>37</v>
      </c>
      <c r="X281" s="1" t="s">
        <v>38</v>
      </c>
      <c r="Y281" s="1" t="s">
        <v>188</v>
      </c>
      <c r="Z281" s="1" t="str">
        <f>TRIM(_xlfn.CONCAT(sales_data_sample[[#This Row],[CONTACTFIRSTNAME]],", ",sales_data_sample[[#This Row],[CONTACTLASTNAME]]))</f>
        <v>Kyung, Yu</v>
      </c>
      <c r="AA281" s="1" t="s">
        <v>59</v>
      </c>
    </row>
    <row r="282" spans="1:27" x14ac:dyDescent="0.25">
      <c r="A282" s="10">
        <v>10282</v>
      </c>
      <c r="B282" s="9">
        <v>27</v>
      </c>
      <c r="C282" s="9">
        <v>100</v>
      </c>
      <c r="D282" s="9">
        <f>PRODUCT(sales_data_sample[[#This Row],[QUANTITYORDERED]],sales_data_sample[[#This Row],[PRICEEACH]])</f>
        <v>2700</v>
      </c>
      <c r="E282" s="9">
        <f>IF(OR(sales_data_sample[[#This Row],[STATUS]]="Shipped",sales_data_sample[[#This Row],[STATUS]]="Resolved"),sales_data_sample[[#This Row],[SALES]],0)</f>
        <v>2700</v>
      </c>
      <c r="F282" s="10">
        <v>6</v>
      </c>
      <c r="G282" s="12" t="s">
        <v>508</v>
      </c>
      <c r="H282" s="1" t="s">
        <v>26</v>
      </c>
      <c r="I282">
        <v>3</v>
      </c>
      <c r="J282">
        <v>8</v>
      </c>
      <c r="K282">
        <v>2004</v>
      </c>
      <c r="L282" s="1" t="s">
        <v>239</v>
      </c>
      <c r="M282">
        <v>151</v>
      </c>
      <c r="N282" s="1" t="s">
        <v>724</v>
      </c>
      <c r="O282" s="1" t="s">
        <v>361</v>
      </c>
      <c r="P282" s="1" t="s">
        <v>362</v>
      </c>
      <c r="Q282" s="1" t="s">
        <v>363</v>
      </c>
      <c r="R282" s="1" t="s">
        <v>32</v>
      </c>
      <c r="S282" s="1" t="s">
        <v>364</v>
      </c>
      <c r="T282" s="1" t="s">
        <v>65</v>
      </c>
      <c r="U282" s="1" t="s">
        <v>145</v>
      </c>
      <c r="V282" s="1" t="s">
        <v>36</v>
      </c>
      <c r="W282" s="1" t="s">
        <v>37</v>
      </c>
      <c r="X282" s="1" t="s">
        <v>365</v>
      </c>
      <c r="Y282" s="1" t="s">
        <v>366</v>
      </c>
      <c r="Z282" s="1" t="str">
        <f>TRIM(_xlfn.CONCAT(sales_data_sample[[#This Row],[CONTACTFIRSTNAME]],", ",sales_data_sample[[#This Row],[CONTACTLASTNAME]]))</f>
        <v>Valarie, Nelson</v>
      </c>
      <c r="AA282" s="1" t="s">
        <v>59</v>
      </c>
    </row>
    <row r="283" spans="1:27" x14ac:dyDescent="0.25">
      <c r="A283" s="10">
        <v>10293</v>
      </c>
      <c r="B283" s="9">
        <v>24</v>
      </c>
      <c r="C283" s="9">
        <v>100</v>
      </c>
      <c r="D283" s="9">
        <f>PRODUCT(sales_data_sample[[#This Row],[QUANTITYORDERED]],sales_data_sample[[#This Row],[PRICEEACH]])</f>
        <v>2400</v>
      </c>
      <c r="E283" s="9">
        <f>IF(OR(sales_data_sample[[#This Row],[STATUS]]="Shipped",sales_data_sample[[#This Row],[STATUS]]="Resolved"),sales_data_sample[[#This Row],[SALES]],0)</f>
        <v>2400</v>
      </c>
      <c r="F283" s="10">
        <v>9</v>
      </c>
      <c r="G283" s="12" t="s">
        <v>694</v>
      </c>
      <c r="H283" s="1" t="s">
        <v>26</v>
      </c>
      <c r="I283">
        <v>3</v>
      </c>
      <c r="J283">
        <v>9</v>
      </c>
      <c r="K283">
        <v>2004</v>
      </c>
      <c r="L283" s="1" t="s">
        <v>239</v>
      </c>
      <c r="M283">
        <v>151</v>
      </c>
      <c r="N283" s="1" t="s">
        <v>724</v>
      </c>
      <c r="O283" s="1" t="s">
        <v>338</v>
      </c>
      <c r="P283" s="1" t="s">
        <v>339</v>
      </c>
      <c r="Q283" s="1" t="s">
        <v>340</v>
      </c>
      <c r="R283" s="1" t="s">
        <v>32</v>
      </c>
      <c r="S283" s="1" t="s">
        <v>341</v>
      </c>
      <c r="T283" s="1" t="s">
        <v>32</v>
      </c>
      <c r="U283" s="1" t="s">
        <v>342</v>
      </c>
      <c r="V283" s="1" t="s">
        <v>343</v>
      </c>
      <c r="W283" s="1" t="s">
        <v>48</v>
      </c>
      <c r="X283" s="1" t="s">
        <v>344</v>
      </c>
      <c r="Y283" s="1" t="s">
        <v>345</v>
      </c>
      <c r="Z283" s="1" t="str">
        <f>TRIM(_xlfn.CONCAT(sales_data_sample[[#This Row],[CONTACTFIRSTNAME]],", ",sales_data_sample[[#This Row],[CONTACTLASTNAME]]))</f>
        <v>Paolo, Accorti</v>
      </c>
      <c r="AA283" s="1" t="s">
        <v>59</v>
      </c>
    </row>
    <row r="284" spans="1:27" x14ac:dyDescent="0.25">
      <c r="A284" s="10">
        <v>10306</v>
      </c>
      <c r="B284" s="9">
        <v>34</v>
      </c>
      <c r="C284" s="9">
        <v>100</v>
      </c>
      <c r="D284" s="9">
        <f>PRODUCT(sales_data_sample[[#This Row],[QUANTITYORDERED]],sales_data_sample[[#This Row],[PRICEEACH]])</f>
        <v>3400</v>
      </c>
      <c r="E284" s="9">
        <f>IF(OR(sales_data_sample[[#This Row],[STATUS]]="Shipped",sales_data_sample[[#This Row],[STATUS]]="Resolved"),sales_data_sample[[#This Row],[SALES]],0)</f>
        <v>3400</v>
      </c>
      <c r="F284" s="10">
        <v>14</v>
      </c>
      <c r="G284" s="12" t="s">
        <v>522</v>
      </c>
      <c r="H284" s="1" t="s">
        <v>26</v>
      </c>
      <c r="I284">
        <v>4</v>
      </c>
      <c r="J284">
        <v>10</v>
      </c>
      <c r="K284">
        <v>2004</v>
      </c>
      <c r="L284" s="1" t="s">
        <v>239</v>
      </c>
      <c r="M284">
        <v>151</v>
      </c>
      <c r="N284" s="1" t="s">
        <v>724</v>
      </c>
      <c r="O284" s="1" t="s">
        <v>695</v>
      </c>
      <c r="P284" s="1" t="s">
        <v>696</v>
      </c>
      <c r="Q284" s="1" t="s">
        <v>697</v>
      </c>
      <c r="R284" s="1" t="s">
        <v>32</v>
      </c>
      <c r="S284" s="1" t="s">
        <v>698</v>
      </c>
      <c r="T284" s="1" t="s">
        <v>32</v>
      </c>
      <c r="U284" s="1" t="s">
        <v>699</v>
      </c>
      <c r="V284" s="1" t="s">
        <v>225</v>
      </c>
      <c r="W284" s="1" t="s">
        <v>48</v>
      </c>
      <c r="X284" s="1" t="s">
        <v>700</v>
      </c>
      <c r="Y284" s="1" t="s">
        <v>118</v>
      </c>
      <c r="Z284" s="1" t="str">
        <f>TRIM(_xlfn.CONCAT(sales_data_sample[[#This Row],[CONTACTFIRSTNAME]],", ",sales_data_sample[[#This Row],[CONTACTLASTNAME]]))</f>
        <v>Victoria, Ashworth</v>
      </c>
      <c r="AA284" s="1" t="s">
        <v>59</v>
      </c>
    </row>
    <row r="285" spans="1:27" x14ac:dyDescent="0.25">
      <c r="A285" s="10">
        <v>10314</v>
      </c>
      <c r="B285" s="9">
        <v>46</v>
      </c>
      <c r="C285" s="9">
        <v>100</v>
      </c>
      <c r="D285" s="9">
        <f>PRODUCT(sales_data_sample[[#This Row],[QUANTITYORDERED]],sales_data_sample[[#This Row],[PRICEEACH]])</f>
        <v>4600</v>
      </c>
      <c r="E285" s="9">
        <f>IF(OR(sales_data_sample[[#This Row],[STATUS]]="Shipped",sales_data_sample[[#This Row],[STATUS]]="Resolved"),sales_data_sample[[#This Row],[SALES]],0)</f>
        <v>4600</v>
      </c>
      <c r="F285" s="10">
        <v>6</v>
      </c>
      <c r="G285" s="12" t="s">
        <v>587</v>
      </c>
      <c r="H285" s="1" t="s">
        <v>26</v>
      </c>
      <c r="I285">
        <v>4</v>
      </c>
      <c r="J285">
        <v>10</v>
      </c>
      <c r="K285">
        <v>2004</v>
      </c>
      <c r="L285" s="1" t="s">
        <v>239</v>
      </c>
      <c r="M285">
        <v>151</v>
      </c>
      <c r="N285" s="1" t="s">
        <v>724</v>
      </c>
      <c r="O285" s="1" t="s">
        <v>701</v>
      </c>
      <c r="P285" s="1" t="s">
        <v>702</v>
      </c>
      <c r="Q285" s="1" t="s">
        <v>703</v>
      </c>
      <c r="R285" s="1" t="s">
        <v>32</v>
      </c>
      <c r="S285" s="1" t="s">
        <v>704</v>
      </c>
      <c r="T285" s="1" t="s">
        <v>32</v>
      </c>
      <c r="U285" s="1" t="s">
        <v>705</v>
      </c>
      <c r="V285" s="1" t="s">
        <v>442</v>
      </c>
      <c r="W285" s="1" t="s">
        <v>48</v>
      </c>
      <c r="X285" s="1" t="s">
        <v>706</v>
      </c>
      <c r="Y285" s="1" t="s">
        <v>707</v>
      </c>
      <c r="Z285" s="1" t="str">
        <f>TRIM(_xlfn.CONCAT(sales_data_sample[[#This Row],[CONTACTFIRSTNAME]],", ",sales_data_sample[[#This Row],[CONTACTLASTNAME]]))</f>
        <v>Palle, Ibsen</v>
      </c>
      <c r="AA285" s="1" t="s">
        <v>59</v>
      </c>
    </row>
    <row r="286" spans="1:27" x14ac:dyDescent="0.25">
      <c r="A286">
        <v>10324</v>
      </c>
      <c r="B286">
        <v>27</v>
      </c>
      <c r="C286">
        <v>5433</v>
      </c>
      <c r="D286">
        <f>PRODUCT(sales_data_sample[[#This Row],[QUANTITYORDERED]],sales_data_sample[[#This Row],[PRICEEACH]])</f>
        <v>146691</v>
      </c>
      <c r="E286" s="9">
        <f>IF(OR(sales_data_sample[[#This Row],[STATUS]]="Shipped",sales_data_sample[[#This Row],[STATUS]]="Resolved"),sales_data_sample[[#This Row],[SALES]],0)</f>
        <v>146691</v>
      </c>
      <c r="F286">
        <v>1</v>
      </c>
      <c r="G286" s="12" t="s">
        <v>532</v>
      </c>
      <c r="H286" s="1" t="s">
        <v>26</v>
      </c>
      <c r="I286">
        <v>4</v>
      </c>
      <c r="J286">
        <v>11</v>
      </c>
      <c r="K286">
        <v>2004</v>
      </c>
      <c r="L286" s="1" t="s">
        <v>239</v>
      </c>
      <c r="M286">
        <v>151</v>
      </c>
      <c r="N286" s="1" t="s">
        <v>724</v>
      </c>
      <c r="O286" s="1" t="s">
        <v>125</v>
      </c>
      <c r="P286" s="1" t="s">
        <v>126</v>
      </c>
      <c r="Q286" s="1" t="s">
        <v>127</v>
      </c>
      <c r="R286" s="1" t="s">
        <v>128</v>
      </c>
      <c r="S286" s="1" t="s">
        <v>33</v>
      </c>
      <c r="T286" s="1" t="s">
        <v>34</v>
      </c>
      <c r="U286" s="1" t="s">
        <v>35</v>
      </c>
      <c r="V286" s="1" t="s">
        <v>36</v>
      </c>
      <c r="W286" s="1" t="s">
        <v>37</v>
      </c>
      <c r="X286" s="1" t="s">
        <v>129</v>
      </c>
      <c r="Y286" s="1" t="s">
        <v>130</v>
      </c>
      <c r="Z286" s="1" t="str">
        <f>TRIM(_xlfn.CONCAT(sales_data_sample[[#This Row],[CONTACTFIRSTNAME]],", ",sales_data_sample[[#This Row],[CONTACTLASTNAME]]))</f>
        <v>Michael, Frick</v>
      </c>
      <c r="AA286" s="1" t="s">
        <v>40</v>
      </c>
    </row>
    <row r="287" spans="1:27" x14ac:dyDescent="0.25">
      <c r="A287" s="10">
        <v>10336</v>
      </c>
      <c r="B287" s="9">
        <v>33</v>
      </c>
      <c r="C287" s="9">
        <v>100</v>
      </c>
      <c r="D287" s="9">
        <f>PRODUCT(sales_data_sample[[#This Row],[QUANTITYORDERED]],sales_data_sample[[#This Row],[PRICEEACH]])</f>
        <v>3300</v>
      </c>
      <c r="E287" s="9">
        <f>IF(OR(sales_data_sample[[#This Row],[STATUS]]="Shipped",sales_data_sample[[#This Row],[STATUS]]="Resolved"),sales_data_sample[[#This Row],[SALES]],0)</f>
        <v>3300</v>
      </c>
      <c r="F287" s="10">
        <v>11</v>
      </c>
      <c r="G287" s="12" t="s">
        <v>708</v>
      </c>
      <c r="H287" s="1" t="s">
        <v>26</v>
      </c>
      <c r="I287">
        <v>4</v>
      </c>
      <c r="J287">
        <v>11</v>
      </c>
      <c r="K287">
        <v>2004</v>
      </c>
      <c r="L287" s="1" t="s">
        <v>239</v>
      </c>
      <c r="M287">
        <v>151</v>
      </c>
      <c r="N287" s="1" t="s">
        <v>724</v>
      </c>
      <c r="O287" s="1" t="s">
        <v>556</v>
      </c>
      <c r="P287" s="1" t="s">
        <v>557</v>
      </c>
      <c r="Q287" s="1" t="s">
        <v>558</v>
      </c>
      <c r="R287" s="1" t="s">
        <v>32</v>
      </c>
      <c r="S287" s="1" t="s">
        <v>55</v>
      </c>
      <c r="T287" s="1" t="s">
        <v>32</v>
      </c>
      <c r="U287" s="1" t="s">
        <v>559</v>
      </c>
      <c r="V287" s="1" t="s">
        <v>47</v>
      </c>
      <c r="W287" s="1" t="s">
        <v>48</v>
      </c>
      <c r="X287" s="1" t="s">
        <v>560</v>
      </c>
      <c r="Y287" s="1" t="s">
        <v>561</v>
      </c>
      <c r="Z287" s="1" t="str">
        <f>TRIM(_xlfn.CONCAT(sales_data_sample[[#This Row],[CONTACTFIRSTNAME]],", ",sales_data_sample[[#This Row],[CONTACTLASTNAME]]))</f>
        <v>Marie, Bertrand</v>
      </c>
      <c r="AA287" s="1" t="s">
        <v>59</v>
      </c>
    </row>
    <row r="288" spans="1:27" x14ac:dyDescent="0.25">
      <c r="A288" s="10">
        <v>10348</v>
      </c>
      <c r="B288" s="9">
        <v>47</v>
      </c>
      <c r="C288" s="9">
        <v>100</v>
      </c>
      <c r="D288" s="9">
        <f>PRODUCT(sales_data_sample[[#This Row],[QUANTITYORDERED]],sales_data_sample[[#This Row],[PRICEEACH]])</f>
        <v>4700</v>
      </c>
      <c r="E288" s="9">
        <f>IF(OR(sales_data_sample[[#This Row],[STATUS]]="Shipped",sales_data_sample[[#This Row],[STATUS]]="Resolved"),sales_data_sample[[#This Row],[SALES]],0)</f>
        <v>4700</v>
      </c>
      <c r="F288" s="10">
        <v>4</v>
      </c>
      <c r="G288" s="12" t="s">
        <v>523</v>
      </c>
      <c r="H288" s="1" t="s">
        <v>26</v>
      </c>
      <c r="I288">
        <v>4</v>
      </c>
      <c r="J288">
        <v>11</v>
      </c>
      <c r="K288">
        <v>2004</v>
      </c>
      <c r="L288" s="1" t="s">
        <v>239</v>
      </c>
      <c r="M288">
        <v>151</v>
      </c>
      <c r="N288" s="1" t="s">
        <v>724</v>
      </c>
      <c r="O288" s="1" t="s">
        <v>251</v>
      </c>
      <c r="P288" s="1" t="s">
        <v>252</v>
      </c>
      <c r="Q288" s="1" t="s">
        <v>253</v>
      </c>
      <c r="R288" s="1" t="s">
        <v>32</v>
      </c>
      <c r="S288" s="1" t="s">
        <v>233</v>
      </c>
      <c r="T288" s="1" t="s">
        <v>32</v>
      </c>
      <c r="U288" s="1" t="s">
        <v>254</v>
      </c>
      <c r="V288" s="1" t="s">
        <v>235</v>
      </c>
      <c r="W288" s="1" t="s">
        <v>48</v>
      </c>
      <c r="X288" s="1" t="s">
        <v>255</v>
      </c>
      <c r="Y288" s="1" t="s">
        <v>256</v>
      </c>
      <c r="Z288" s="1" t="str">
        <f>TRIM(_xlfn.CONCAT(sales_data_sample[[#This Row],[CONTACTFIRSTNAME]],", ",sales_data_sample[[#This Row],[CONTACTLASTNAME]]))</f>
        <v>Mart¡n, Sommer</v>
      </c>
      <c r="AA288" s="1" t="s">
        <v>59</v>
      </c>
    </row>
    <row r="289" spans="1:27" x14ac:dyDescent="0.25">
      <c r="A289" s="10">
        <v>10358</v>
      </c>
      <c r="B289" s="9">
        <v>49</v>
      </c>
      <c r="C289" s="9">
        <v>5534</v>
      </c>
      <c r="D289" s="9">
        <f>PRODUCT(sales_data_sample[[#This Row],[QUANTITYORDERED]],sales_data_sample[[#This Row],[PRICEEACH]])</f>
        <v>271166</v>
      </c>
      <c r="E289" s="9">
        <f>IF(OR(sales_data_sample[[#This Row],[STATUS]]="Shipped",sales_data_sample[[#This Row],[STATUS]]="Resolved"),sales_data_sample[[#This Row],[SALES]],0)</f>
        <v>271166</v>
      </c>
      <c r="F289" s="10">
        <v>5</v>
      </c>
      <c r="G289" s="12" t="s">
        <v>376</v>
      </c>
      <c r="H289" s="1" t="s">
        <v>26</v>
      </c>
      <c r="I289">
        <v>4</v>
      </c>
      <c r="J289">
        <v>12</v>
      </c>
      <c r="K289">
        <v>2004</v>
      </c>
      <c r="L289" s="1" t="s">
        <v>239</v>
      </c>
      <c r="M289">
        <v>151</v>
      </c>
      <c r="N289" s="1" t="s">
        <v>724</v>
      </c>
      <c r="O289" s="1" t="s">
        <v>230</v>
      </c>
      <c r="P289" s="1" t="s">
        <v>231</v>
      </c>
      <c r="Q289" s="1" t="s">
        <v>232</v>
      </c>
      <c r="R289" s="1" t="s">
        <v>32</v>
      </c>
      <c r="S289" s="1" t="s">
        <v>233</v>
      </c>
      <c r="T289" s="1" t="s">
        <v>32</v>
      </c>
      <c r="U289" s="1" t="s">
        <v>234</v>
      </c>
      <c r="V289" s="1" t="s">
        <v>235</v>
      </c>
      <c r="W289" s="1" t="s">
        <v>48</v>
      </c>
      <c r="X289" s="1" t="s">
        <v>236</v>
      </c>
      <c r="Y289" s="1" t="s">
        <v>237</v>
      </c>
      <c r="Z289" s="1" t="str">
        <f>TRIM(_xlfn.CONCAT(sales_data_sample[[#This Row],[CONTACTFIRSTNAME]],", ",sales_data_sample[[#This Row],[CONTACTLASTNAME]]))</f>
        <v>Diego, Freyre</v>
      </c>
      <c r="AA289" s="1" t="s">
        <v>40</v>
      </c>
    </row>
    <row r="290" spans="1:27" x14ac:dyDescent="0.25">
      <c r="A290" s="10">
        <v>10372</v>
      </c>
      <c r="B290" s="9">
        <v>40</v>
      </c>
      <c r="C290" s="9">
        <v>100</v>
      </c>
      <c r="D290" s="9">
        <f>PRODUCT(sales_data_sample[[#This Row],[QUANTITYORDERED]],sales_data_sample[[#This Row],[PRICEEACH]])</f>
        <v>4000</v>
      </c>
      <c r="E290" s="9">
        <f>IF(OR(sales_data_sample[[#This Row],[STATUS]]="Shipped",sales_data_sample[[#This Row],[STATUS]]="Resolved"),sales_data_sample[[#This Row],[SALES]],0)</f>
        <v>4000</v>
      </c>
      <c r="F290" s="10">
        <v>4</v>
      </c>
      <c r="G290" s="12" t="s">
        <v>726</v>
      </c>
      <c r="H290" s="1" t="s">
        <v>26</v>
      </c>
      <c r="I290">
        <v>1</v>
      </c>
      <c r="J290">
        <v>1</v>
      </c>
      <c r="K290">
        <v>2005</v>
      </c>
      <c r="L290" s="1" t="s">
        <v>239</v>
      </c>
      <c r="M290">
        <v>151</v>
      </c>
      <c r="N290" s="1" t="s">
        <v>724</v>
      </c>
      <c r="O290" s="1" t="s">
        <v>328</v>
      </c>
      <c r="P290" s="1" t="s">
        <v>329</v>
      </c>
      <c r="Q290" s="1" t="s">
        <v>330</v>
      </c>
      <c r="R290" s="1" t="s">
        <v>32</v>
      </c>
      <c r="S290" s="1" t="s">
        <v>331</v>
      </c>
      <c r="T290" s="1" t="s">
        <v>332</v>
      </c>
      <c r="U290" s="1" t="s">
        <v>333</v>
      </c>
      <c r="V290" s="1" t="s">
        <v>264</v>
      </c>
      <c r="W290" s="1" t="s">
        <v>264</v>
      </c>
      <c r="X290" s="1" t="s">
        <v>334</v>
      </c>
      <c r="Y290" s="1" t="s">
        <v>335</v>
      </c>
      <c r="Z290" s="1" t="str">
        <f>TRIM(_xlfn.CONCAT(sales_data_sample[[#This Row],[CONTACTFIRSTNAME]],", ",sales_data_sample[[#This Row],[CONTACTLASTNAME]]))</f>
        <v>Akiko, Shimamura</v>
      </c>
      <c r="AA290" s="1" t="s">
        <v>59</v>
      </c>
    </row>
    <row r="291" spans="1:27" x14ac:dyDescent="0.25">
      <c r="A291" s="10">
        <v>10382</v>
      </c>
      <c r="B291" s="9">
        <v>37</v>
      </c>
      <c r="C291" s="9">
        <v>100</v>
      </c>
      <c r="D291" s="9">
        <f>PRODUCT(sales_data_sample[[#This Row],[QUANTITYORDERED]],sales_data_sample[[#This Row],[PRICEEACH]])</f>
        <v>3700</v>
      </c>
      <c r="E291" s="9">
        <f>IF(OR(sales_data_sample[[#This Row],[STATUS]]="Shipped",sales_data_sample[[#This Row],[STATUS]]="Resolved"),sales_data_sample[[#This Row],[SALES]],0)</f>
        <v>3700</v>
      </c>
      <c r="F291" s="10">
        <v>11</v>
      </c>
      <c r="G291" s="12" t="s">
        <v>383</v>
      </c>
      <c r="H291" s="1" t="s">
        <v>26</v>
      </c>
      <c r="I291">
        <v>1</v>
      </c>
      <c r="J291">
        <v>2</v>
      </c>
      <c r="K291">
        <v>2005</v>
      </c>
      <c r="L291" s="1" t="s">
        <v>239</v>
      </c>
      <c r="M291">
        <v>151</v>
      </c>
      <c r="N291" s="1" t="s">
        <v>724</v>
      </c>
      <c r="O291" s="1" t="s">
        <v>361</v>
      </c>
      <c r="P291" s="1" t="s">
        <v>362</v>
      </c>
      <c r="Q291" s="1" t="s">
        <v>363</v>
      </c>
      <c r="R291" s="1" t="s">
        <v>32</v>
      </c>
      <c r="S291" s="1" t="s">
        <v>364</v>
      </c>
      <c r="T291" s="1" t="s">
        <v>65</v>
      </c>
      <c r="U291" s="1" t="s">
        <v>145</v>
      </c>
      <c r="V291" s="1" t="s">
        <v>36</v>
      </c>
      <c r="W291" s="1" t="s">
        <v>37</v>
      </c>
      <c r="X291" s="1" t="s">
        <v>365</v>
      </c>
      <c r="Y291" s="1" t="s">
        <v>366</v>
      </c>
      <c r="Z291" s="1" t="str">
        <f>TRIM(_xlfn.CONCAT(sales_data_sample[[#This Row],[CONTACTFIRSTNAME]],", ",sales_data_sample[[#This Row],[CONTACTLASTNAME]]))</f>
        <v>Valarie, Nelson</v>
      </c>
      <c r="AA291" s="1" t="s">
        <v>59</v>
      </c>
    </row>
    <row r="292" spans="1:27" x14ac:dyDescent="0.25">
      <c r="A292" s="10">
        <v>10413</v>
      </c>
      <c r="B292" s="9">
        <v>47</v>
      </c>
      <c r="C292" s="9">
        <v>100</v>
      </c>
      <c r="D292" s="9">
        <f>PRODUCT(sales_data_sample[[#This Row],[QUANTITYORDERED]],sales_data_sample[[#This Row],[PRICEEACH]])</f>
        <v>4700</v>
      </c>
      <c r="E292" s="9">
        <f>IF(OR(sales_data_sample[[#This Row],[STATUS]]="Shipped",sales_data_sample[[#This Row],[STATUS]]="Resolved"),sales_data_sample[[#This Row],[SALES]],0)</f>
        <v>4700</v>
      </c>
      <c r="F292" s="10">
        <v>3</v>
      </c>
      <c r="G292" s="12" t="s">
        <v>710</v>
      </c>
      <c r="H292" s="1" t="s">
        <v>26</v>
      </c>
      <c r="I292">
        <v>2</v>
      </c>
      <c r="J292">
        <v>5</v>
      </c>
      <c r="K292">
        <v>2005</v>
      </c>
      <c r="L292" s="1" t="s">
        <v>239</v>
      </c>
      <c r="M292">
        <v>151</v>
      </c>
      <c r="N292" s="1" t="s">
        <v>724</v>
      </c>
      <c r="O292" s="1" t="s">
        <v>140</v>
      </c>
      <c r="P292" s="1" t="s">
        <v>141</v>
      </c>
      <c r="Q292" s="1" t="s">
        <v>142</v>
      </c>
      <c r="R292" s="1" t="s">
        <v>32</v>
      </c>
      <c r="S292" s="1" t="s">
        <v>143</v>
      </c>
      <c r="T292" s="1" t="s">
        <v>144</v>
      </c>
      <c r="U292" s="1" t="s">
        <v>145</v>
      </c>
      <c r="V292" s="1" t="s">
        <v>36</v>
      </c>
      <c r="W292" s="1" t="s">
        <v>37</v>
      </c>
      <c r="X292" s="1" t="s">
        <v>146</v>
      </c>
      <c r="Y292" s="1" t="s">
        <v>68</v>
      </c>
      <c r="Z292" s="1" t="str">
        <f>TRIM(_xlfn.CONCAT(sales_data_sample[[#This Row],[CONTACTFIRSTNAME]],", ",sales_data_sample[[#This Row],[CONTACTLASTNAME]]))</f>
        <v>Julie, King</v>
      </c>
      <c r="AA292" s="1" t="s">
        <v>199</v>
      </c>
    </row>
    <row r="293" spans="1:27" x14ac:dyDescent="0.25">
      <c r="A293" s="10">
        <v>10108</v>
      </c>
      <c r="B293" s="9">
        <v>45</v>
      </c>
      <c r="C293" s="9">
        <v>100</v>
      </c>
      <c r="D293" s="9">
        <f>PRODUCT(sales_data_sample[[#This Row],[QUANTITYORDERED]],sales_data_sample[[#This Row],[PRICEEACH]])</f>
        <v>4500</v>
      </c>
      <c r="E293" s="9">
        <f>IF(OR(sales_data_sample[[#This Row],[STATUS]]="Shipped",sales_data_sample[[#This Row],[STATUS]]="Resolved"),sales_data_sample[[#This Row],[SALES]],0)</f>
        <v>4500</v>
      </c>
      <c r="F293" s="10">
        <v>4</v>
      </c>
      <c r="G293" s="12" t="s">
        <v>589</v>
      </c>
      <c r="H293" s="1" t="s">
        <v>26</v>
      </c>
      <c r="I293">
        <v>1</v>
      </c>
      <c r="J293">
        <v>3</v>
      </c>
      <c r="K293">
        <v>2003</v>
      </c>
      <c r="L293" s="1" t="s">
        <v>239</v>
      </c>
      <c r="M293">
        <v>117</v>
      </c>
      <c r="N293" s="1" t="s">
        <v>727</v>
      </c>
      <c r="O293" s="1" t="s">
        <v>591</v>
      </c>
      <c r="P293" s="1" t="s">
        <v>592</v>
      </c>
      <c r="Q293" s="1" t="s">
        <v>593</v>
      </c>
      <c r="R293" s="1" t="s">
        <v>32</v>
      </c>
      <c r="S293" s="1" t="s">
        <v>594</v>
      </c>
      <c r="T293" s="1" t="s">
        <v>32</v>
      </c>
      <c r="U293" s="1" t="s">
        <v>595</v>
      </c>
      <c r="V293" s="1" t="s">
        <v>596</v>
      </c>
      <c r="W293" s="1" t="s">
        <v>264</v>
      </c>
      <c r="X293" s="1" t="s">
        <v>597</v>
      </c>
      <c r="Y293" s="1" t="s">
        <v>598</v>
      </c>
      <c r="Z293" s="1" t="str">
        <f>TRIM(_xlfn.CONCAT(sales_data_sample[[#This Row],[CONTACTFIRSTNAME]],", ",sales_data_sample[[#This Row],[CONTACTLASTNAME]]))</f>
        <v>Arnold, Cruz</v>
      </c>
      <c r="AA293" s="1" t="s">
        <v>59</v>
      </c>
    </row>
    <row r="294" spans="1:27" x14ac:dyDescent="0.25">
      <c r="A294" s="10">
        <v>10122</v>
      </c>
      <c r="B294" s="9">
        <v>37</v>
      </c>
      <c r="C294" s="9">
        <v>9982</v>
      </c>
      <c r="D294" s="9">
        <f>PRODUCT(sales_data_sample[[#This Row],[QUANTITYORDERED]],sales_data_sample[[#This Row],[PRICEEACH]])</f>
        <v>369334</v>
      </c>
      <c r="E294" s="9">
        <f>IF(OR(sales_data_sample[[#This Row],[STATUS]]="Shipped",sales_data_sample[[#This Row],[STATUS]]="Resolved"),sales_data_sample[[#This Row],[SALES]],0)</f>
        <v>369334</v>
      </c>
      <c r="F294" s="10">
        <v>8</v>
      </c>
      <c r="G294" s="12" t="s">
        <v>599</v>
      </c>
      <c r="H294" s="1" t="s">
        <v>26</v>
      </c>
      <c r="I294">
        <v>2</v>
      </c>
      <c r="J294">
        <v>5</v>
      </c>
      <c r="K294">
        <v>2003</v>
      </c>
      <c r="L294" s="1" t="s">
        <v>239</v>
      </c>
      <c r="M294">
        <v>117</v>
      </c>
      <c r="N294" s="1" t="s">
        <v>727</v>
      </c>
      <c r="O294" s="1" t="s">
        <v>600</v>
      </c>
      <c r="P294" s="1" t="s">
        <v>601</v>
      </c>
      <c r="Q294" s="1" t="s">
        <v>602</v>
      </c>
      <c r="R294" s="1" t="s">
        <v>32</v>
      </c>
      <c r="S294" s="1" t="s">
        <v>603</v>
      </c>
      <c r="T294" s="1" t="s">
        <v>32</v>
      </c>
      <c r="U294" s="1" t="s">
        <v>604</v>
      </c>
      <c r="V294" s="1" t="s">
        <v>47</v>
      </c>
      <c r="W294" s="1" t="s">
        <v>48</v>
      </c>
      <c r="X294" s="1" t="s">
        <v>605</v>
      </c>
      <c r="Y294" s="1" t="s">
        <v>606</v>
      </c>
      <c r="Z294" s="1" t="str">
        <f>TRIM(_xlfn.CONCAT(sales_data_sample[[#This Row],[CONTACTFIRSTNAME]],", ",sales_data_sample[[#This Row],[CONTACTLASTNAME]]))</f>
        <v>Laurence, Lebihan</v>
      </c>
      <c r="AA294" s="1" t="s">
        <v>59</v>
      </c>
    </row>
    <row r="295" spans="1:27" x14ac:dyDescent="0.25">
      <c r="A295" s="10">
        <v>10135</v>
      </c>
      <c r="B295" s="9">
        <v>48</v>
      </c>
      <c r="C295" s="9">
        <v>100</v>
      </c>
      <c r="D295" s="9">
        <f>PRODUCT(sales_data_sample[[#This Row],[QUANTITYORDERED]],sales_data_sample[[#This Row],[PRICEEACH]])</f>
        <v>4800</v>
      </c>
      <c r="E295" s="9">
        <f>IF(OR(sales_data_sample[[#This Row],[STATUS]]="Shipped",sales_data_sample[[#This Row],[STATUS]]="Resolved"),sales_data_sample[[#This Row],[SALES]],0)</f>
        <v>4800</v>
      </c>
      <c r="F295" s="10">
        <v>5</v>
      </c>
      <c r="G295" s="12" t="s">
        <v>607</v>
      </c>
      <c r="H295" s="1" t="s">
        <v>26</v>
      </c>
      <c r="I295">
        <v>3</v>
      </c>
      <c r="J295">
        <v>7</v>
      </c>
      <c r="K295">
        <v>2003</v>
      </c>
      <c r="L295" s="1" t="s">
        <v>239</v>
      </c>
      <c r="M295">
        <v>117</v>
      </c>
      <c r="N295" s="1" t="s">
        <v>727</v>
      </c>
      <c r="O295" s="1" t="s">
        <v>361</v>
      </c>
      <c r="P295" s="1" t="s">
        <v>362</v>
      </c>
      <c r="Q295" s="1" t="s">
        <v>363</v>
      </c>
      <c r="R295" s="1" t="s">
        <v>32</v>
      </c>
      <c r="S295" s="1" t="s">
        <v>364</v>
      </c>
      <c r="T295" s="1" t="s">
        <v>65</v>
      </c>
      <c r="U295" s="1" t="s">
        <v>145</v>
      </c>
      <c r="V295" s="1" t="s">
        <v>36</v>
      </c>
      <c r="W295" s="1" t="s">
        <v>37</v>
      </c>
      <c r="X295" s="1" t="s">
        <v>365</v>
      </c>
      <c r="Y295" s="1" t="s">
        <v>366</v>
      </c>
      <c r="Z295" s="1" t="str">
        <f>TRIM(_xlfn.CONCAT(sales_data_sample[[#This Row],[CONTACTFIRSTNAME]],", ",sales_data_sample[[#This Row],[CONTACTLASTNAME]]))</f>
        <v>Valarie, Nelson</v>
      </c>
      <c r="AA295" s="1" t="s">
        <v>59</v>
      </c>
    </row>
    <row r="296" spans="1:27" x14ac:dyDescent="0.25">
      <c r="A296" s="10">
        <v>10147</v>
      </c>
      <c r="B296" s="9">
        <v>31</v>
      </c>
      <c r="C296" s="9">
        <v>100</v>
      </c>
      <c r="D296" s="9">
        <f>PRODUCT(sales_data_sample[[#This Row],[QUANTITYORDERED]],sales_data_sample[[#This Row],[PRICEEACH]])</f>
        <v>3100</v>
      </c>
      <c r="E296" s="9">
        <f>IF(OR(sales_data_sample[[#This Row],[STATUS]]="Shipped",sales_data_sample[[#This Row],[STATUS]]="Resolved"),sales_data_sample[[#This Row],[SALES]],0)</f>
        <v>3100</v>
      </c>
      <c r="F296" s="10">
        <v>5</v>
      </c>
      <c r="G296" s="12" t="s">
        <v>608</v>
      </c>
      <c r="H296" s="1" t="s">
        <v>26</v>
      </c>
      <c r="I296">
        <v>3</v>
      </c>
      <c r="J296">
        <v>9</v>
      </c>
      <c r="K296">
        <v>2003</v>
      </c>
      <c r="L296" s="1" t="s">
        <v>239</v>
      </c>
      <c r="M296">
        <v>117</v>
      </c>
      <c r="N296" s="1" t="s">
        <v>727</v>
      </c>
      <c r="O296" s="1" t="s">
        <v>378</v>
      </c>
      <c r="P296" s="1" t="s">
        <v>157</v>
      </c>
      <c r="Q296" s="1" t="s">
        <v>379</v>
      </c>
      <c r="R296" s="1" t="s">
        <v>32</v>
      </c>
      <c r="S296" s="1" t="s">
        <v>380</v>
      </c>
      <c r="T296" s="1" t="s">
        <v>160</v>
      </c>
      <c r="U296" s="1" t="s">
        <v>381</v>
      </c>
      <c r="V296" s="1" t="s">
        <v>36</v>
      </c>
      <c r="W296" s="1" t="s">
        <v>37</v>
      </c>
      <c r="X296" s="1" t="s">
        <v>365</v>
      </c>
      <c r="Y296" s="1" t="s">
        <v>382</v>
      </c>
      <c r="Z296" s="1" t="str">
        <f>TRIM(_xlfn.CONCAT(sales_data_sample[[#This Row],[CONTACTFIRSTNAME]],", ",sales_data_sample[[#This Row],[CONTACTLASTNAME]]))</f>
        <v>Allen, Nelson</v>
      </c>
      <c r="AA296" s="1" t="s">
        <v>59</v>
      </c>
    </row>
    <row r="297" spans="1:27" x14ac:dyDescent="0.25">
      <c r="A297" s="10">
        <v>10160</v>
      </c>
      <c r="B297" s="9">
        <v>46</v>
      </c>
      <c r="C297" s="9">
        <v>100</v>
      </c>
      <c r="D297" s="9">
        <f>PRODUCT(sales_data_sample[[#This Row],[QUANTITYORDERED]],sales_data_sample[[#This Row],[PRICEEACH]])</f>
        <v>4600</v>
      </c>
      <c r="E297" s="9">
        <f>IF(OR(sales_data_sample[[#This Row],[STATUS]]="Shipped",sales_data_sample[[#This Row],[STATUS]]="Resolved"),sales_data_sample[[#This Row],[SALES]],0)</f>
        <v>4600</v>
      </c>
      <c r="F297" s="10">
        <v>6</v>
      </c>
      <c r="G297" s="12" t="s">
        <v>728</v>
      </c>
      <c r="H297" s="1" t="s">
        <v>26</v>
      </c>
      <c r="I297">
        <v>4</v>
      </c>
      <c r="J297">
        <v>10</v>
      </c>
      <c r="K297">
        <v>2003</v>
      </c>
      <c r="L297" s="1" t="s">
        <v>239</v>
      </c>
      <c r="M297">
        <v>117</v>
      </c>
      <c r="N297" s="1" t="s">
        <v>727</v>
      </c>
      <c r="O297" s="1" t="s">
        <v>486</v>
      </c>
      <c r="P297" s="1" t="s">
        <v>487</v>
      </c>
      <c r="Q297" s="1" t="s">
        <v>488</v>
      </c>
      <c r="R297" s="1" t="s">
        <v>32</v>
      </c>
      <c r="S297" s="1" t="s">
        <v>489</v>
      </c>
      <c r="T297" s="1" t="s">
        <v>65</v>
      </c>
      <c r="U297" s="1" t="s">
        <v>32</v>
      </c>
      <c r="V297" s="1" t="s">
        <v>36</v>
      </c>
      <c r="W297" s="1" t="s">
        <v>37</v>
      </c>
      <c r="X297" s="1" t="s">
        <v>490</v>
      </c>
      <c r="Y297" s="1" t="s">
        <v>130</v>
      </c>
      <c r="Z297" s="1" t="str">
        <f>TRIM(_xlfn.CONCAT(sales_data_sample[[#This Row],[CONTACTFIRSTNAME]],", ",sales_data_sample[[#This Row],[CONTACTLASTNAME]]))</f>
        <v>Michael, Chandler</v>
      </c>
      <c r="AA297" s="1" t="s">
        <v>59</v>
      </c>
    </row>
    <row r="298" spans="1:27" x14ac:dyDescent="0.25">
      <c r="A298" s="10">
        <v>10170</v>
      </c>
      <c r="B298" s="9">
        <v>47</v>
      </c>
      <c r="C298" s="9">
        <v>100</v>
      </c>
      <c r="D298" s="9">
        <f>PRODUCT(sales_data_sample[[#This Row],[QUANTITYORDERED]],sales_data_sample[[#This Row],[PRICEEACH]])</f>
        <v>4700</v>
      </c>
      <c r="E298" s="9">
        <f>IF(OR(sales_data_sample[[#This Row],[STATUS]]="Shipped",sales_data_sample[[#This Row],[STATUS]]="Resolved"),sales_data_sample[[#This Row],[SALES]],0)</f>
        <v>4700</v>
      </c>
      <c r="F298" s="10">
        <v>4</v>
      </c>
      <c r="G298" s="12" t="s">
        <v>609</v>
      </c>
      <c r="H298" s="1" t="s">
        <v>26</v>
      </c>
      <c r="I298">
        <v>4</v>
      </c>
      <c r="J298">
        <v>11</v>
      </c>
      <c r="K298">
        <v>2003</v>
      </c>
      <c r="L298" s="1" t="s">
        <v>239</v>
      </c>
      <c r="M298">
        <v>117</v>
      </c>
      <c r="N298" s="1" t="s">
        <v>727</v>
      </c>
      <c r="O298" s="1" t="s">
        <v>564</v>
      </c>
      <c r="P298" s="1" t="s">
        <v>565</v>
      </c>
      <c r="Q298" s="1" t="s">
        <v>566</v>
      </c>
      <c r="R298" s="1" t="s">
        <v>32</v>
      </c>
      <c r="S298" s="1" t="s">
        <v>567</v>
      </c>
      <c r="T298" s="1" t="s">
        <v>32</v>
      </c>
      <c r="U298" s="1" t="s">
        <v>568</v>
      </c>
      <c r="V298" s="1" t="s">
        <v>196</v>
      </c>
      <c r="W298" s="1" t="s">
        <v>48</v>
      </c>
      <c r="X298" s="1" t="s">
        <v>569</v>
      </c>
      <c r="Y298" s="1" t="s">
        <v>570</v>
      </c>
      <c r="Z298" s="1" t="str">
        <f>TRIM(_xlfn.CONCAT(sales_data_sample[[#This Row],[CONTACTFIRSTNAME]],", ",sales_data_sample[[#This Row],[CONTACTLASTNAME]]))</f>
        <v>Roland, Mendel</v>
      </c>
      <c r="AA298" s="1" t="s">
        <v>59</v>
      </c>
    </row>
    <row r="299" spans="1:27" x14ac:dyDescent="0.25">
      <c r="A299" s="10">
        <v>10181</v>
      </c>
      <c r="B299" s="9">
        <v>28</v>
      </c>
      <c r="C299" s="9">
        <v>100</v>
      </c>
      <c r="D299" s="9">
        <f>PRODUCT(sales_data_sample[[#This Row],[QUANTITYORDERED]],sales_data_sample[[#This Row],[PRICEEACH]])</f>
        <v>2800</v>
      </c>
      <c r="E299" s="9">
        <f>IF(OR(sales_data_sample[[#This Row],[STATUS]]="Shipped",sales_data_sample[[#This Row],[STATUS]]="Resolved"),sales_data_sample[[#This Row],[SALES]],0)</f>
        <v>2800</v>
      </c>
      <c r="F299" s="10">
        <v>12</v>
      </c>
      <c r="G299" s="12" t="s">
        <v>610</v>
      </c>
      <c r="H299" s="1" t="s">
        <v>26</v>
      </c>
      <c r="I299">
        <v>4</v>
      </c>
      <c r="J299">
        <v>11</v>
      </c>
      <c r="K299">
        <v>2003</v>
      </c>
      <c r="L299" s="1" t="s">
        <v>239</v>
      </c>
      <c r="M299">
        <v>117</v>
      </c>
      <c r="N299" s="1" t="s">
        <v>727</v>
      </c>
      <c r="O299" s="1" t="s">
        <v>92</v>
      </c>
      <c r="P299" s="1" t="s">
        <v>93</v>
      </c>
      <c r="Q299" s="1" t="s">
        <v>94</v>
      </c>
      <c r="R299" s="1" t="s">
        <v>32</v>
      </c>
      <c r="S299" s="1" t="s">
        <v>95</v>
      </c>
      <c r="T299" s="1" t="s">
        <v>32</v>
      </c>
      <c r="U299" s="1" t="s">
        <v>96</v>
      </c>
      <c r="V299" s="1" t="s">
        <v>97</v>
      </c>
      <c r="W299" s="1" t="s">
        <v>48</v>
      </c>
      <c r="X299" s="1" t="s">
        <v>98</v>
      </c>
      <c r="Y299" s="1" t="s">
        <v>99</v>
      </c>
      <c r="Z299" s="1" t="str">
        <f>TRIM(_xlfn.CONCAT(sales_data_sample[[#This Row],[CONTACTFIRSTNAME]],", ",sales_data_sample[[#This Row],[CONTACTLASTNAME]]))</f>
        <v>Veysel, Oeztan</v>
      </c>
      <c r="AA299" s="1" t="s">
        <v>40</v>
      </c>
    </row>
    <row r="300" spans="1:27" x14ac:dyDescent="0.25">
      <c r="A300" s="10">
        <v>10191</v>
      </c>
      <c r="B300" s="9">
        <v>40</v>
      </c>
      <c r="C300" s="9">
        <v>100</v>
      </c>
      <c r="D300" s="9">
        <f>PRODUCT(sales_data_sample[[#This Row],[QUANTITYORDERED]],sales_data_sample[[#This Row],[PRICEEACH]])</f>
        <v>4000</v>
      </c>
      <c r="E300" s="9">
        <f>IF(OR(sales_data_sample[[#This Row],[STATUS]]="Shipped",sales_data_sample[[#This Row],[STATUS]]="Resolved"),sales_data_sample[[#This Row],[SALES]],0)</f>
        <v>4000</v>
      </c>
      <c r="F300" s="10">
        <v>1</v>
      </c>
      <c r="G300" s="12" t="s">
        <v>611</v>
      </c>
      <c r="H300" s="1" t="s">
        <v>26</v>
      </c>
      <c r="I300">
        <v>4</v>
      </c>
      <c r="J300">
        <v>11</v>
      </c>
      <c r="K300">
        <v>2003</v>
      </c>
      <c r="L300" s="1" t="s">
        <v>239</v>
      </c>
      <c r="M300">
        <v>117</v>
      </c>
      <c r="N300" s="1" t="s">
        <v>727</v>
      </c>
      <c r="O300" s="1" t="s">
        <v>612</v>
      </c>
      <c r="P300" s="1" t="s">
        <v>613</v>
      </c>
      <c r="Q300" s="1" t="s">
        <v>614</v>
      </c>
      <c r="R300" s="1" t="s">
        <v>32</v>
      </c>
      <c r="S300" s="1" t="s">
        <v>615</v>
      </c>
      <c r="T300" s="1" t="s">
        <v>32</v>
      </c>
      <c r="U300" s="1" t="s">
        <v>616</v>
      </c>
      <c r="V300" s="1" t="s">
        <v>617</v>
      </c>
      <c r="W300" s="1" t="s">
        <v>48</v>
      </c>
      <c r="X300" s="1" t="s">
        <v>618</v>
      </c>
      <c r="Y300" s="1" t="s">
        <v>619</v>
      </c>
      <c r="Z300" s="1" t="str">
        <f>TRIM(_xlfn.CONCAT(sales_data_sample[[#This Row],[CONTACTFIRSTNAME]],", ",sales_data_sample[[#This Row],[CONTACTLASTNAME]]))</f>
        <v>Henriette, Pfalzheim</v>
      </c>
      <c r="AA300" s="1" t="s">
        <v>59</v>
      </c>
    </row>
    <row r="301" spans="1:27" x14ac:dyDescent="0.25">
      <c r="A301" s="10">
        <v>10203</v>
      </c>
      <c r="B301" s="9">
        <v>20</v>
      </c>
      <c r="C301" s="9">
        <v>100</v>
      </c>
      <c r="D301" s="9">
        <f>PRODUCT(sales_data_sample[[#This Row],[QUANTITYORDERED]],sales_data_sample[[#This Row],[PRICEEACH]])</f>
        <v>2000</v>
      </c>
      <c r="E301" s="9">
        <f>IF(OR(sales_data_sample[[#This Row],[STATUS]]="Shipped",sales_data_sample[[#This Row],[STATUS]]="Resolved"),sales_data_sample[[#This Row],[SALES]],0)</f>
        <v>2000</v>
      </c>
      <c r="F301" s="10">
        <v>6</v>
      </c>
      <c r="G301" s="12" t="s">
        <v>620</v>
      </c>
      <c r="H301" s="1" t="s">
        <v>26</v>
      </c>
      <c r="I301">
        <v>4</v>
      </c>
      <c r="J301">
        <v>12</v>
      </c>
      <c r="K301">
        <v>2003</v>
      </c>
      <c r="L301" s="1" t="s">
        <v>239</v>
      </c>
      <c r="M301">
        <v>117</v>
      </c>
      <c r="N301" s="1" t="s">
        <v>727</v>
      </c>
      <c r="O301" s="1" t="s">
        <v>230</v>
      </c>
      <c r="P301" s="1" t="s">
        <v>231</v>
      </c>
      <c r="Q301" s="1" t="s">
        <v>232</v>
      </c>
      <c r="R301" s="1" t="s">
        <v>32</v>
      </c>
      <c r="S301" s="1" t="s">
        <v>233</v>
      </c>
      <c r="T301" s="1" t="s">
        <v>32</v>
      </c>
      <c r="U301" s="1" t="s">
        <v>234</v>
      </c>
      <c r="V301" s="1" t="s">
        <v>235</v>
      </c>
      <c r="W301" s="1" t="s">
        <v>48</v>
      </c>
      <c r="X301" s="1" t="s">
        <v>236</v>
      </c>
      <c r="Y301" s="1" t="s">
        <v>237</v>
      </c>
      <c r="Z301" s="1" t="str">
        <f>TRIM(_xlfn.CONCAT(sales_data_sample[[#This Row],[CONTACTFIRSTNAME]],", ",sales_data_sample[[#This Row],[CONTACTLASTNAME]]))</f>
        <v>Diego, Freyre</v>
      </c>
      <c r="AA301" s="1" t="s">
        <v>40</v>
      </c>
    </row>
    <row r="302" spans="1:27" x14ac:dyDescent="0.25">
      <c r="A302" s="10">
        <v>10212</v>
      </c>
      <c r="B302" s="9">
        <v>39</v>
      </c>
      <c r="C302" s="9">
        <v>100</v>
      </c>
      <c r="D302" s="9">
        <f>PRODUCT(sales_data_sample[[#This Row],[QUANTITYORDERED]],sales_data_sample[[#This Row],[PRICEEACH]])</f>
        <v>3900</v>
      </c>
      <c r="E302" s="9">
        <f>IF(OR(sales_data_sample[[#This Row],[STATUS]]="Shipped",sales_data_sample[[#This Row],[STATUS]]="Resolved"),sales_data_sample[[#This Row],[SALES]],0)</f>
        <v>3900</v>
      </c>
      <c r="F302" s="10">
        <v>16</v>
      </c>
      <c r="G302" s="12" t="s">
        <v>729</v>
      </c>
      <c r="H302" s="1" t="s">
        <v>26</v>
      </c>
      <c r="I302">
        <v>1</v>
      </c>
      <c r="J302">
        <v>1</v>
      </c>
      <c r="K302">
        <v>2004</v>
      </c>
      <c r="L302" s="1" t="s">
        <v>239</v>
      </c>
      <c r="M302">
        <v>117</v>
      </c>
      <c r="N302" s="1" t="s">
        <v>727</v>
      </c>
      <c r="O302" s="1" t="s">
        <v>230</v>
      </c>
      <c r="P302" s="1" t="s">
        <v>231</v>
      </c>
      <c r="Q302" s="1" t="s">
        <v>232</v>
      </c>
      <c r="R302" s="1" t="s">
        <v>32</v>
      </c>
      <c r="S302" s="1" t="s">
        <v>233</v>
      </c>
      <c r="T302" s="1" t="s">
        <v>32</v>
      </c>
      <c r="U302" s="1" t="s">
        <v>234</v>
      </c>
      <c r="V302" s="1" t="s">
        <v>235</v>
      </c>
      <c r="W302" s="1" t="s">
        <v>48</v>
      </c>
      <c r="X302" s="1" t="s">
        <v>236</v>
      </c>
      <c r="Y302" s="1" t="s">
        <v>237</v>
      </c>
      <c r="Z302" s="1" t="str">
        <f>TRIM(_xlfn.CONCAT(sales_data_sample[[#This Row],[CONTACTFIRSTNAME]],", ",sales_data_sample[[#This Row],[CONTACTLASTNAME]]))</f>
        <v>Diego, Freyre</v>
      </c>
      <c r="AA302" s="1" t="s">
        <v>59</v>
      </c>
    </row>
    <row r="303" spans="1:27" x14ac:dyDescent="0.25">
      <c r="A303" s="10">
        <v>10225</v>
      </c>
      <c r="B303" s="9">
        <v>25</v>
      </c>
      <c r="C303" s="9">
        <v>9982</v>
      </c>
      <c r="D303" s="9">
        <f>PRODUCT(sales_data_sample[[#This Row],[QUANTITYORDERED]],sales_data_sample[[#This Row],[PRICEEACH]])</f>
        <v>249550</v>
      </c>
      <c r="E303" s="9">
        <f>IF(OR(sales_data_sample[[#This Row],[STATUS]]="Shipped",sales_data_sample[[#This Row],[STATUS]]="Resolved"),sales_data_sample[[#This Row],[SALES]],0)</f>
        <v>249550</v>
      </c>
      <c r="F303" s="10">
        <v>7</v>
      </c>
      <c r="G303" s="12" t="s">
        <v>621</v>
      </c>
      <c r="H303" s="1" t="s">
        <v>26</v>
      </c>
      <c r="I303">
        <v>1</v>
      </c>
      <c r="J303">
        <v>2</v>
      </c>
      <c r="K303">
        <v>2004</v>
      </c>
      <c r="L303" s="1" t="s">
        <v>239</v>
      </c>
      <c r="M303">
        <v>117</v>
      </c>
      <c r="N303" s="1" t="s">
        <v>727</v>
      </c>
      <c r="O303" s="1" t="s">
        <v>622</v>
      </c>
      <c r="P303" s="1" t="s">
        <v>623</v>
      </c>
      <c r="Q303" s="1" t="s">
        <v>624</v>
      </c>
      <c r="R303" s="1" t="s">
        <v>32</v>
      </c>
      <c r="S303" s="1" t="s">
        <v>625</v>
      </c>
      <c r="T303" s="1" t="s">
        <v>32</v>
      </c>
      <c r="U303" s="1" t="s">
        <v>626</v>
      </c>
      <c r="V303" s="1" t="s">
        <v>627</v>
      </c>
      <c r="W303" s="1" t="s">
        <v>48</v>
      </c>
      <c r="X303" s="1" t="s">
        <v>628</v>
      </c>
      <c r="Y303" s="1" t="s">
        <v>130</v>
      </c>
      <c r="Z303" s="1" t="str">
        <f>TRIM(_xlfn.CONCAT(sales_data_sample[[#This Row],[CONTACTFIRSTNAME]],", ",sales_data_sample[[#This Row],[CONTACTLASTNAME]]))</f>
        <v>Michael, Holz</v>
      </c>
      <c r="AA303" s="1" t="s">
        <v>40</v>
      </c>
    </row>
    <row r="304" spans="1:27" x14ac:dyDescent="0.25">
      <c r="A304" s="10">
        <v>10238</v>
      </c>
      <c r="B304" s="9">
        <v>29</v>
      </c>
      <c r="C304" s="9">
        <v>100</v>
      </c>
      <c r="D304" s="9">
        <f>PRODUCT(sales_data_sample[[#This Row],[QUANTITYORDERED]],sales_data_sample[[#This Row],[PRICEEACH]])</f>
        <v>2900</v>
      </c>
      <c r="E304" s="9">
        <f>IF(OR(sales_data_sample[[#This Row],[STATUS]]="Shipped",sales_data_sample[[#This Row],[STATUS]]="Resolved"),sales_data_sample[[#This Row],[SALES]],0)</f>
        <v>2900</v>
      </c>
      <c r="F304" s="10">
        <v>1</v>
      </c>
      <c r="G304" s="12" t="s">
        <v>629</v>
      </c>
      <c r="H304" s="1" t="s">
        <v>26</v>
      </c>
      <c r="I304">
        <v>2</v>
      </c>
      <c r="J304">
        <v>4</v>
      </c>
      <c r="K304">
        <v>2004</v>
      </c>
      <c r="L304" s="1" t="s">
        <v>239</v>
      </c>
      <c r="M304">
        <v>117</v>
      </c>
      <c r="N304" s="1" t="s">
        <v>727</v>
      </c>
      <c r="O304" s="1" t="s">
        <v>437</v>
      </c>
      <c r="P304" s="1" t="s">
        <v>438</v>
      </c>
      <c r="Q304" s="1" t="s">
        <v>439</v>
      </c>
      <c r="R304" s="1" t="s">
        <v>32</v>
      </c>
      <c r="S304" s="1" t="s">
        <v>440</v>
      </c>
      <c r="T304" s="1" t="s">
        <v>32</v>
      </c>
      <c r="U304" s="1" t="s">
        <v>441</v>
      </c>
      <c r="V304" s="1" t="s">
        <v>442</v>
      </c>
      <c r="W304" s="1" t="s">
        <v>48</v>
      </c>
      <c r="X304" s="1" t="s">
        <v>443</v>
      </c>
      <c r="Y304" s="1" t="s">
        <v>444</v>
      </c>
      <c r="Z304" s="1" t="str">
        <f>TRIM(_xlfn.CONCAT(sales_data_sample[[#This Row],[CONTACTFIRSTNAME]],", ",sales_data_sample[[#This Row],[CONTACTLASTNAME]]))</f>
        <v>Jytte, Petersen</v>
      </c>
      <c r="AA304" s="1" t="s">
        <v>59</v>
      </c>
    </row>
    <row r="305" spans="1:27" x14ac:dyDescent="0.25">
      <c r="A305" s="10">
        <v>10253</v>
      </c>
      <c r="B305" s="9">
        <v>22</v>
      </c>
      <c r="C305" s="9">
        <v>100</v>
      </c>
      <c r="D305" s="9">
        <f>PRODUCT(sales_data_sample[[#This Row],[QUANTITYORDERED]],sales_data_sample[[#This Row],[PRICEEACH]])</f>
        <v>2200</v>
      </c>
      <c r="E305" s="9">
        <f>IF(OR(sales_data_sample[[#This Row],[STATUS]]="Shipped",sales_data_sample[[#This Row],[STATUS]]="Resolved"),sales_data_sample[[#This Row],[SALES]],0)</f>
        <v>0</v>
      </c>
      <c r="F305" s="10">
        <v>11</v>
      </c>
      <c r="G305" s="12" t="s">
        <v>630</v>
      </c>
      <c r="H305" s="1" t="s">
        <v>461</v>
      </c>
      <c r="I305">
        <v>2</v>
      </c>
      <c r="J305">
        <v>6</v>
      </c>
      <c r="K305">
        <v>2004</v>
      </c>
      <c r="L305" s="1" t="s">
        <v>239</v>
      </c>
      <c r="M305">
        <v>117</v>
      </c>
      <c r="N305" s="1" t="s">
        <v>727</v>
      </c>
      <c r="O305" s="1" t="s">
        <v>220</v>
      </c>
      <c r="P305" s="1" t="s">
        <v>221</v>
      </c>
      <c r="Q305" s="1" t="s">
        <v>222</v>
      </c>
      <c r="R305" s="1" t="s">
        <v>32</v>
      </c>
      <c r="S305" s="1" t="s">
        <v>223</v>
      </c>
      <c r="T305" s="1" t="s">
        <v>32</v>
      </c>
      <c r="U305" s="1" t="s">
        <v>224</v>
      </c>
      <c r="V305" s="1" t="s">
        <v>225</v>
      </c>
      <c r="W305" s="1" t="s">
        <v>48</v>
      </c>
      <c r="X305" s="1" t="s">
        <v>226</v>
      </c>
      <c r="Y305" s="1" t="s">
        <v>227</v>
      </c>
      <c r="Z305" s="1" t="str">
        <f>TRIM(_xlfn.CONCAT(sales_data_sample[[#This Row],[CONTACTFIRSTNAME]],", ",sales_data_sample[[#This Row],[CONTACTLASTNAME]]))</f>
        <v>Elizabeth, Devon</v>
      </c>
      <c r="AA305" s="1" t="s">
        <v>40</v>
      </c>
    </row>
    <row r="306" spans="1:27" x14ac:dyDescent="0.25">
      <c r="A306" s="10">
        <v>10266</v>
      </c>
      <c r="B306" s="9">
        <v>22</v>
      </c>
      <c r="C306" s="9">
        <v>100</v>
      </c>
      <c r="D306" s="9">
        <f>PRODUCT(sales_data_sample[[#This Row],[QUANTITYORDERED]],sales_data_sample[[#This Row],[PRICEEACH]])</f>
        <v>2200</v>
      </c>
      <c r="E306" s="9">
        <f>IF(OR(sales_data_sample[[#This Row],[STATUS]]="Shipped",sales_data_sample[[#This Row],[STATUS]]="Resolved"),sales_data_sample[[#This Row],[SALES]],0)</f>
        <v>2200</v>
      </c>
      <c r="F306" s="10">
        <v>12</v>
      </c>
      <c r="G306" s="12" t="s">
        <v>631</v>
      </c>
      <c r="H306" s="1" t="s">
        <v>26</v>
      </c>
      <c r="I306">
        <v>3</v>
      </c>
      <c r="J306">
        <v>7</v>
      </c>
      <c r="K306">
        <v>2004</v>
      </c>
      <c r="L306" s="1" t="s">
        <v>239</v>
      </c>
      <c r="M306">
        <v>117</v>
      </c>
      <c r="N306" s="1" t="s">
        <v>727</v>
      </c>
      <c r="O306" s="1" t="s">
        <v>632</v>
      </c>
      <c r="P306" s="1" t="s">
        <v>633</v>
      </c>
      <c r="Q306" s="1" t="s">
        <v>634</v>
      </c>
      <c r="R306" s="1" t="s">
        <v>32</v>
      </c>
      <c r="S306" s="1" t="s">
        <v>635</v>
      </c>
      <c r="T306" s="1" t="s">
        <v>32</v>
      </c>
      <c r="U306" s="1" t="s">
        <v>636</v>
      </c>
      <c r="V306" s="1" t="s">
        <v>343</v>
      </c>
      <c r="W306" s="1" t="s">
        <v>48</v>
      </c>
      <c r="X306" s="1" t="s">
        <v>637</v>
      </c>
      <c r="Y306" s="1" t="s">
        <v>638</v>
      </c>
      <c r="Z306" s="1" t="str">
        <f>TRIM(_xlfn.CONCAT(sales_data_sample[[#This Row],[CONTACTFIRSTNAME]],", ",sales_data_sample[[#This Row],[CONTACTLASTNAME]]))</f>
        <v>Maurizio, Moroni</v>
      </c>
      <c r="AA306" s="1" t="s">
        <v>40</v>
      </c>
    </row>
    <row r="307" spans="1:27" x14ac:dyDescent="0.25">
      <c r="A307" s="10">
        <v>10276</v>
      </c>
      <c r="B307" s="9">
        <v>47</v>
      </c>
      <c r="C307" s="9">
        <v>100</v>
      </c>
      <c r="D307" s="9">
        <f>PRODUCT(sales_data_sample[[#This Row],[QUANTITYORDERED]],sales_data_sample[[#This Row],[PRICEEACH]])</f>
        <v>4700</v>
      </c>
      <c r="E307" s="9">
        <f>IF(OR(sales_data_sample[[#This Row],[STATUS]]="Shipped",sales_data_sample[[#This Row],[STATUS]]="Resolved"),sales_data_sample[[#This Row],[SALES]],0)</f>
        <v>4700</v>
      </c>
      <c r="F307" s="10">
        <v>1</v>
      </c>
      <c r="G307" s="12" t="s">
        <v>639</v>
      </c>
      <c r="H307" s="1" t="s">
        <v>26</v>
      </c>
      <c r="I307">
        <v>3</v>
      </c>
      <c r="J307">
        <v>8</v>
      </c>
      <c r="K307">
        <v>2004</v>
      </c>
      <c r="L307" s="1" t="s">
        <v>239</v>
      </c>
      <c r="M307">
        <v>117</v>
      </c>
      <c r="N307" s="1" t="s">
        <v>727</v>
      </c>
      <c r="O307" s="1" t="s">
        <v>640</v>
      </c>
      <c r="P307" s="1" t="s">
        <v>641</v>
      </c>
      <c r="Q307" s="1" t="s">
        <v>642</v>
      </c>
      <c r="R307" s="1" t="s">
        <v>32</v>
      </c>
      <c r="S307" s="1" t="s">
        <v>380</v>
      </c>
      <c r="T307" s="1" t="s">
        <v>160</v>
      </c>
      <c r="U307" s="1" t="s">
        <v>381</v>
      </c>
      <c r="V307" s="1" t="s">
        <v>36</v>
      </c>
      <c r="W307" s="1" t="s">
        <v>37</v>
      </c>
      <c r="X307" s="1" t="s">
        <v>643</v>
      </c>
      <c r="Y307" s="1" t="s">
        <v>644</v>
      </c>
      <c r="Z307" s="1" t="str">
        <f>TRIM(_xlfn.CONCAT(sales_data_sample[[#This Row],[CONTACTFIRSTNAME]],", ",sales_data_sample[[#This Row],[CONTACTLASTNAME]]))</f>
        <v>Miguel, Barajas</v>
      </c>
      <c r="AA307" s="1" t="s">
        <v>59</v>
      </c>
    </row>
    <row r="308" spans="1:27" x14ac:dyDescent="0.25">
      <c r="A308" s="10">
        <v>10287</v>
      </c>
      <c r="B308" s="9">
        <v>45</v>
      </c>
      <c r="C308" s="9">
        <v>100</v>
      </c>
      <c r="D308" s="9">
        <f>PRODUCT(sales_data_sample[[#This Row],[QUANTITYORDERED]],sales_data_sample[[#This Row],[PRICEEACH]])</f>
        <v>4500</v>
      </c>
      <c r="E308" s="9">
        <f>IF(OR(sales_data_sample[[#This Row],[STATUS]]="Shipped",sales_data_sample[[#This Row],[STATUS]]="Resolved"),sales_data_sample[[#This Row],[SALES]],0)</f>
        <v>4500</v>
      </c>
      <c r="F308" s="10">
        <v>10</v>
      </c>
      <c r="G308" s="12" t="s">
        <v>645</v>
      </c>
      <c r="H308" s="1" t="s">
        <v>26</v>
      </c>
      <c r="I308">
        <v>3</v>
      </c>
      <c r="J308">
        <v>8</v>
      </c>
      <c r="K308">
        <v>2004</v>
      </c>
      <c r="L308" s="1" t="s">
        <v>239</v>
      </c>
      <c r="M308">
        <v>117</v>
      </c>
      <c r="N308" s="1" t="s">
        <v>727</v>
      </c>
      <c r="O308" s="1" t="s">
        <v>622</v>
      </c>
      <c r="P308" s="1" t="s">
        <v>623</v>
      </c>
      <c r="Q308" s="1" t="s">
        <v>624</v>
      </c>
      <c r="R308" s="1" t="s">
        <v>32</v>
      </c>
      <c r="S308" s="1" t="s">
        <v>625</v>
      </c>
      <c r="T308" s="1" t="s">
        <v>32</v>
      </c>
      <c r="U308" s="1" t="s">
        <v>626</v>
      </c>
      <c r="V308" s="1" t="s">
        <v>627</v>
      </c>
      <c r="W308" s="1" t="s">
        <v>48</v>
      </c>
      <c r="X308" s="1" t="s">
        <v>628</v>
      </c>
      <c r="Y308" s="1" t="s">
        <v>130</v>
      </c>
      <c r="Z308" s="1" t="str">
        <f>TRIM(_xlfn.CONCAT(sales_data_sample[[#This Row],[CONTACTFIRSTNAME]],", ",sales_data_sample[[#This Row],[CONTACTLASTNAME]]))</f>
        <v>Michael, Holz</v>
      </c>
      <c r="AA308" s="1" t="s">
        <v>59</v>
      </c>
    </row>
    <row r="309" spans="1:27" x14ac:dyDescent="0.25">
      <c r="A309" s="10">
        <v>10300</v>
      </c>
      <c r="B309" s="9">
        <v>29</v>
      </c>
      <c r="C309" s="9">
        <v>100</v>
      </c>
      <c r="D309" s="9">
        <f>PRODUCT(sales_data_sample[[#This Row],[QUANTITYORDERED]],sales_data_sample[[#This Row],[PRICEEACH]])</f>
        <v>2900</v>
      </c>
      <c r="E309" s="9">
        <f>IF(OR(sales_data_sample[[#This Row],[STATUS]]="Shipped",sales_data_sample[[#This Row],[STATUS]]="Resolved"),sales_data_sample[[#This Row],[SALES]],0)</f>
        <v>2900</v>
      </c>
      <c r="F309" s="10">
        <v>3</v>
      </c>
      <c r="G309" s="12" t="s">
        <v>646</v>
      </c>
      <c r="H309" s="1" t="s">
        <v>26</v>
      </c>
      <c r="I309">
        <v>4</v>
      </c>
      <c r="J309">
        <v>10</v>
      </c>
      <c r="K309">
        <v>2003</v>
      </c>
      <c r="L309" s="1" t="s">
        <v>239</v>
      </c>
      <c r="M309">
        <v>117</v>
      </c>
      <c r="N309" s="1" t="s">
        <v>727</v>
      </c>
      <c r="O309" s="1" t="s">
        <v>647</v>
      </c>
      <c r="P309" s="1" t="s">
        <v>648</v>
      </c>
      <c r="Q309" s="1" t="s">
        <v>649</v>
      </c>
      <c r="R309" s="1" t="s">
        <v>32</v>
      </c>
      <c r="S309" s="1" t="s">
        <v>650</v>
      </c>
      <c r="T309" s="1" t="s">
        <v>32</v>
      </c>
      <c r="U309" s="1" t="s">
        <v>651</v>
      </c>
      <c r="V309" s="1" t="s">
        <v>617</v>
      </c>
      <c r="W309" s="1" t="s">
        <v>48</v>
      </c>
      <c r="X309" s="1" t="s">
        <v>652</v>
      </c>
      <c r="Y309" s="1" t="s">
        <v>570</v>
      </c>
      <c r="Z309" s="1" t="str">
        <f>TRIM(_xlfn.CONCAT(sales_data_sample[[#This Row],[CONTACTFIRSTNAME]],", ",sales_data_sample[[#This Row],[CONTACTLASTNAME]]))</f>
        <v>Roland, Keitel</v>
      </c>
      <c r="AA309" s="1" t="s">
        <v>59</v>
      </c>
    </row>
    <row r="310" spans="1:27" x14ac:dyDescent="0.25">
      <c r="A310" s="10">
        <v>10310</v>
      </c>
      <c r="B310" s="9">
        <v>24</v>
      </c>
      <c r="C310" s="9">
        <v>100</v>
      </c>
      <c r="D310" s="9">
        <f>PRODUCT(sales_data_sample[[#This Row],[QUANTITYORDERED]],sales_data_sample[[#This Row],[PRICEEACH]])</f>
        <v>2400</v>
      </c>
      <c r="E310" s="9">
        <f>IF(OR(sales_data_sample[[#This Row],[STATUS]]="Shipped",sales_data_sample[[#This Row],[STATUS]]="Resolved"),sales_data_sample[[#This Row],[SALES]],0)</f>
        <v>2400</v>
      </c>
      <c r="F310" s="10">
        <v>8</v>
      </c>
      <c r="G310" s="12" t="s">
        <v>653</v>
      </c>
      <c r="H310" s="1" t="s">
        <v>26</v>
      </c>
      <c r="I310">
        <v>4</v>
      </c>
      <c r="J310">
        <v>10</v>
      </c>
      <c r="K310">
        <v>2004</v>
      </c>
      <c r="L310" s="1" t="s">
        <v>239</v>
      </c>
      <c r="M310">
        <v>117</v>
      </c>
      <c r="N310" s="1" t="s">
        <v>727</v>
      </c>
      <c r="O310" s="1" t="s">
        <v>612</v>
      </c>
      <c r="P310" s="1" t="s">
        <v>613</v>
      </c>
      <c r="Q310" s="1" t="s">
        <v>614</v>
      </c>
      <c r="R310" s="1" t="s">
        <v>32</v>
      </c>
      <c r="S310" s="1" t="s">
        <v>615</v>
      </c>
      <c r="T310" s="1" t="s">
        <v>32</v>
      </c>
      <c r="U310" s="1" t="s">
        <v>616</v>
      </c>
      <c r="V310" s="1" t="s">
        <v>617</v>
      </c>
      <c r="W310" s="1" t="s">
        <v>48</v>
      </c>
      <c r="X310" s="1" t="s">
        <v>618</v>
      </c>
      <c r="Y310" s="1" t="s">
        <v>619</v>
      </c>
      <c r="Z310" s="1" t="str">
        <f>TRIM(_xlfn.CONCAT(sales_data_sample[[#This Row],[CONTACTFIRSTNAME]],", ",sales_data_sample[[#This Row],[CONTACTLASTNAME]]))</f>
        <v>Henriette, Pfalzheim</v>
      </c>
      <c r="AA310" s="1" t="s">
        <v>59</v>
      </c>
    </row>
    <row r="311" spans="1:27" x14ac:dyDescent="0.25">
      <c r="A311" s="10">
        <v>10320</v>
      </c>
      <c r="B311" s="9">
        <v>35</v>
      </c>
      <c r="C311" s="9">
        <v>100</v>
      </c>
      <c r="D311" s="9">
        <f>PRODUCT(sales_data_sample[[#This Row],[QUANTITYORDERED]],sales_data_sample[[#This Row],[PRICEEACH]])</f>
        <v>3500</v>
      </c>
      <c r="E311" s="9">
        <f>IF(OR(sales_data_sample[[#This Row],[STATUS]]="Shipped",sales_data_sample[[#This Row],[STATUS]]="Resolved"),sales_data_sample[[#This Row],[SALES]],0)</f>
        <v>3500</v>
      </c>
      <c r="F311" s="10">
        <v>1</v>
      </c>
      <c r="G311" s="12" t="s">
        <v>654</v>
      </c>
      <c r="H311" s="1" t="s">
        <v>26</v>
      </c>
      <c r="I311">
        <v>4</v>
      </c>
      <c r="J311">
        <v>11</v>
      </c>
      <c r="K311">
        <v>2004</v>
      </c>
      <c r="L311" s="1" t="s">
        <v>239</v>
      </c>
      <c r="M311">
        <v>117</v>
      </c>
      <c r="N311" s="1" t="s">
        <v>727</v>
      </c>
      <c r="O311" s="1" t="s">
        <v>242</v>
      </c>
      <c r="P311" s="1" t="s">
        <v>243</v>
      </c>
      <c r="Q311" s="1" t="s">
        <v>244</v>
      </c>
      <c r="R311" s="1" t="s">
        <v>32</v>
      </c>
      <c r="S311" s="1" t="s">
        <v>245</v>
      </c>
      <c r="T311" s="1" t="s">
        <v>32</v>
      </c>
      <c r="U311" s="1" t="s">
        <v>246</v>
      </c>
      <c r="V311" s="1" t="s">
        <v>247</v>
      </c>
      <c r="W311" s="1" t="s">
        <v>48</v>
      </c>
      <c r="X311" s="1" t="s">
        <v>248</v>
      </c>
      <c r="Y311" s="1" t="s">
        <v>249</v>
      </c>
      <c r="Z311" s="1" t="str">
        <f>TRIM(_xlfn.CONCAT(sales_data_sample[[#This Row],[CONTACTFIRSTNAME]],", ",sales_data_sample[[#This Row],[CONTACTLASTNAME]]))</f>
        <v>Christina, Berglund</v>
      </c>
      <c r="AA311" s="1" t="s">
        <v>59</v>
      </c>
    </row>
    <row r="312" spans="1:27" x14ac:dyDescent="0.25">
      <c r="A312" s="10">
        <v>10329</v>
      </c>
      <c r="B312" s="9">
        <v>46</v>
      </c>
      <c r="C312" s="9">
        <v>8363</v>
      </c>
      <c r="D312" s="9">
        <f>PRODUCT(sales_data_sample[[#This Row],[QUANTITYORDERED]],sales_data_sample[[#This Row],[PRICEEACH]])</f>
        <v>384698</v>
      </c>
      <c r="E312" s="9">
        <f>IF(OR(sales_data_sample[[#This Row],[STATUS]]="Shipped",sales_data_sample[[#This Row],[STATUS]]="Resolved"),sales_data_sample[[#This Row],[SALES]],0)</f>
        <v>384698</v>
      </c>
      <c r="F312" s="10">
        <v>13</v>
      </c>
      <c r="G312" s="12" t="s">
        <v>189</v>
      </c>
      <c r="H312" s="1" t="s">
        <v>26</v>
      </c>
      <c r="I312">
        <v>4</v>
      </c>
      <c r="J312">
        <v>11</v>
      </c>
      <c r="K312">
        <v>2004</v>
      </c>
      <c r="L312" s="1" t="s">
        <v>239</v>
      </c>
      <c r="M312">
        <v>117</v>
      </c>
      <c r="N312" s="1" t="s">
        <v>727</v>
      </c>
      <c r="O312" s="1" t="s">
        <v>29</v>
      </c>
      <c r="P312" s="1" t="s">
        <v>30</v>
      </c>
      <c r="Q312" s="1" t="s">
        <v>31</v>
      </c>
      <c r="R312" s="1" t="s">
        <v>32</v>
      </c>
      <c r="S312" s="1" t="s">
        <v>33</v>
      </c>
      <c r="T312" s="1" t="s">
        <v>34</v>
      </c>
      <c r="U312" s="1" t="s">
        <v>35</v>
      </c>
      <c r="V312" s="1" t="s">
        <v>36</v>
      </c>
      <c r="W312" s="1" t="s">
        <v>37</v>
      </c>
      <c r="X312" s="1" t="s">
        <v>38</v>
      </c>
      <c r="Y312" s="1" t="s">
        <v>39</v>
      </c>
      <c r="Z312" s="1" t="str">
        <f>TRIM(_xlfn.CONCAT(sales_data_sample[[#This Row],[CONTACTFIRSTNAME]],", ",sales_data_sample[[#This Row],[CONTACTLASTNAME]]))</f>
        <v>Kwai, Yu</v>
      </c>
      <c r="AA312" s="1" t="s">
        <v>59</v>
      </c>
    </row>
    <row r="313" spans="1:27" x14ac:dyDescent="0.25">
      <c r="A313" s="10">
        <v>10341</v>
      </c>
      <c r="B313" s="9">
        <v>44</v>
      </c>
      <c r="C313" s="9">
        <v>9593</v>
      </c>
      <c r="D313" s="9">
        <f>PRODUCT(sales_data_sample[[#This Row],[QUANTITYORDERED]],sales_data_sample[[#This Row],[PRICEEACH]])</f>
        <v>422092</v>
      </c>
      <c r="E313" s="9">
        <f>IF(OR(sales_data_sample[[#This Row],[STATUS]]="Shipped",sales_data_sample[[#This Row],[STATUS]]="Resolved"),sales_data_sample[[#This Row],[SALES]],0)</f>
        <v>422092</v>
      </c>
      <c r="F313" s="10">
        <v>1</v>
      </c>
      <c r="G313" s="12" t="s">
        <v>190</v>
      </c>
      <c r="H313" s="1" t="s">
        <v>26</v>
      </c>
      <c r="I313">
        <v>4</v>
      </c>
      <c r="J313">
        <v>11</v>
      </c>
      <c r="K313">
        <v>2004</v>
      </c>
      <c r="L313" s="1" t="s">
        <v>239</v>
      </c>
      <c r="M313">
        <v>117</v>
      </c>
      <c r="N313" s="1" t="s">
        <v>727</v>
      </c>
      <c r="O313" s="1" t="s">
        <v>191</v>
      </c>
      <c r="P313" s="1" t="s">
        <v>192</v>
      </c>
      <c r="Q313" s="1" t="s">
        <v>193</v>
      </c>
      <c r="R313" s="1" t="s">
        <v>32</v>
      </c>
      <c r="S313" s="1" t="s">
        <v>194</v>
      </c>
      <c r="T313" s="1" t="s">
        <v>32</v>
      </c>
      <c r="U313" s="1" t="s">
        <v>195</v>
      </c>
      <c r="V313" s="1" t="s">
        <v>196</v>
      </c>
      <c r="W313" s="1" t="s">
        <v>48</v>
      </c>
      <c r="X313" s="1" t="s">
        <v>197</v>
      </c>
      <c r="Y313" s="1" t="s">
        <v>198</v>
      </c>
      <c r="Z313" s="1" t="str">
        <f>TRIM(_xlfn.CONCAT(sales_data_sample[[#This Row],[CONTACTFIRSTNAME]],", ",sales_data_sample[[#This Row],[CONTACTLASTNAME]]))</f>
        <v>Georg, Pipps</v>
      </c>
      <c r="AA313" s="1" t="s">
        <v>59</v>
      </c>
    </row>
    <row r="314" spans="1:27" x14ac:dyDescent="0.25">
      <c r="A314" s="10">
        <v>10363</v>
      </c>
      <c r="B314" s="9">
        <v>34</v>
      </c>
      <c r="C314" s="9">
        <v>9673</v>
      </c>
      <c r="D314" s="9">
        <f>PRODUCT(sales_data_sample[[#This Row],[QUANTITYORDERED]],sales_data_sample[[#This Row],[PRICEEACH]])</f>
        <v>328882</v>
      </c>
      <c r="E314" s="9">
        <f>IF(OR(sales_data_sample[[#This Row],[STATUS]]="Shipped",sales_data_sample[[#This Row],[STATUS]]="Resolved"),sales_data_sample[[#This Row],[SALES]],0)</f>
        <v>328882</v>
      </c>
      <c r="F314" s="10">
        <v>4</v>
      </c>
      <c r="G314" s="12" t="s">
        <v>655</v>
      </c>
      <c r="H314" s="1" t="s">
        <v>26</v>
      </c>
      <c r="I314">
        <v>1</v>
      </c>
      <c r="J314">
        <v>1</v>
      </c>
      <c r="K314">
        <v>2005</v>
      </c>
      <c r="L314" s="1" t="s">
        <v>239</v>
      </c>
      <c r="M314">
        <v>117</v>
      </c>
      <c r="N314" s="1" t="s">
        <v>727</v>
      </c>
      <c r="O314" s="1" t="s">
        <v>656</v>
      </c>
      <c r="P314" s="1" t="s">
        <v>657</v>
      </c>
      <c r="Q314" s="1" t="s">
        <v>658</v>
      </c>
      <c r="R314" s="1" t="s">
        <v>32</v>
      </c>
      <c r="S314" s="1" t="s">
        <v>659</v>
      </c>
      <c r="T314" s="1" t="s">
        <v>32</v>
      </c>
      <c r="U314" s="1" t="s">
        <v>660</v>
      </c>
      <c r="V314" s="1" t="s">
        <v>170</v>
      </c>
      <c r="W314" s="1" t="s">
        <v>48</v>
      </c>
      <c r="X314" s="1" t="s">
        <v>661</v>
      </c>
      <c r="Y314" s="1" t="s">
        <v>662</v>
      </c>
      <c r="Z314" s="1" t="str">
        <f>TRIM(_xlfn.CONCAT(sales_data_sample[[#This Row],[CONTACTFIRSTNAME]],", ",sales_data_sample[[#This Row],[CONTACTLASTNAME]]))</f>
        <v>Kalle, Suominen</v>
      </c>
      <c r="AA314" s="1" t="s">
        <v>59</v>
      </c>
    </row>
    <row r="315" spans="1:27" x14ac:dyDescent="0.25">
      <c r="A315" s="10">
        <v>10376</v>
      </c>
      <c r="B315" s="9">
        <v>35</v>
      </c>
      <c r="C315" s="9">
        <v>100</v>
      </c>
      <c r="D315" s="9">
        <f>PRODUCT(sales_data_sample[[#This Row],[QUANTITYORDERED]],sales_data_sample[[#This Row],[PRICEEACH]])</f>
        <v>3500</v>
      </c>
      <c r="E315" s="9">
        <f>IF(OR(sales_data_sample[[#This Row],[STATUS]]="Shipped",sales_data_sample[[#This Row],[STATUS]]="Resolved"),sales_data_sample[[#This Row],[SALES]],0)</f>
        <v>3500</v>
      </c>
      <c r="F315" s="10">
        <v>1</v>
      </c>
      <c r="G315" s="12" t="s">
        <v>730</v>
      </c>
      <c r="H315" s="1" t="s">
        <v>26</v>
      </c>
      <c r="I315">
        <v>1</v>
      </c>
      <c r="J315">
        <v>2</v>
      </c>
      <c r="K315">
        <v>2005</v>
      </c>
      <c r="L315" s="1" t="s">
        <v>239</v>
      </c>
      <c r="M315">
        <v>117</v>
      </c>
      <c r="N315" s="1" t="s">
        <v>727</v>
      </c>
      <c r="O315" s="1" t="s">
        <v>731</v>
      </c>
      <c r="P315" s="1" t="s">
        <v>732</v>
      </c>
      <c r="Q315" s="1" t="s">
        <v>733</v>
      </c>
      <c r="R315" s="1" t="s">
        <v>32</v>
      </c>
      <c r="S315" s="1" t="s">
        <v>734</v>
      </c>
      <c r="T315" s="1" t="s">
        <v>65</v>
      </c>
      <c r="U315" s="1" t="s">
        <v>735</v>
      </c>
      <c r="V315" s="1" t="s">
        <v>36</v>
      </c>
      <c r="W315" s="1" t="s">
        <v>37</v>
      </c>
      <c r="X315" s="1" t="s">
        <v>67</v>
      </c>
      <c r="Y315" s="1" t="s">
        <v>326</v>
      </c>
      <c r="Z315" s="1" t="str">
        <f>TRIM(_xlfn.CONCAT(sales_data_sample[[#This Row],[CONTACTFIRSTNAME]],", ",sales_data_sample[[#This Row],[CONTACTLASTNAME]]))</f>
        <v>Leslie, Young</v>
      </c>
      <c r="AA315" s="1" t="s">
        <v>59</v>
      </c>
    </row>
    <row r="316" spans="1:27" x14ac:dyDescent="0.25">
      <c r="A316" s="10">
        <v>10389</v>
      </c>
      <c r="B316" s="9">
        <v>25</v>
      </c>
      <c r="C316" s="9">
        <v>7238</v>
      </c>
      <c r="D316" s="9">
        <f>PRODUCT(sales_data_sample[[#This Row],[QUANTITYORDERED]],sales_data_sample[[#This Row],[PRICEEACH]])</f>
        <v>180950</v>
      </c>
      <c r="E316" s="9">
        <f>IF(OR(sales_data_sample[[#This Row],[STATUS]]="Shipped",sales_data_sample[[#This Row],[STATUS]]="Resolved"),sales_data_sample[[#This Row],[SALES]],0)</f>
        <v>180950</v>
      </c>
      <c r="F316" s="10">
        <v>6</v>
      </c>
      <c r="G316" s="12" t="s">
        <v>211</v>
      </c>
      <c r="H316" s="1" t="s">
        <v>26</v>
      </c>
      <c r="I316">
        <v>1</v>
      </c>
      <c r="J316">
        <v>3</v>
      </c>
      <c r="K316">
        <v>2005</v>
      </c>
      <c r="L316" s="1" t="s">
        <v>239</v>
      </c>
      <c r="M316">
        <v>117</v>
      </c>
      <c r="N316" s="1" t="s">
        <v>727</v>
      </c>
      <c r="O316" s="1" t="s">
        <v>347</v>
      </c>
      <c r="P316" s="1" t="s">
        <v>348</v>
      </c>
      <c r="Q316" s="1" t="s">
        <v>349</v>
      </c>
      <c r="R316" s="1" t="s">
        <v>32</v>
      </c>
      <c r="S316" s="1" t="s">
        <v>350</v>
      </c>
      <c r="T316" s="1" t="s">
        <v>32</v>
      </c>
      <c r="U316" s="1" t="s">
        <v>351</v>
      </c>
      <c r="V316" s="1" t="s">
        <v>247</v>
      </c>
      <c r="W316" s="1" t="s">
        <v>48</v>
      </c>
      <c r="X316" s="1" t="s">
        <v>352</v>
      </c>
      <c r="Y316" s="1" t="s">
        <v>272</v>
      </c>
      <c r="Z316" s="1" t="str">
        <f>TRIM(_xlfn.CONCAT(sales_data_sample[[#This Row],[CONTACTFIRSTNAME]],", ",sales_data_sample[[#This Row],[CONTACTLASTNAME]]))</f>
        <v>Maria, Larsson</v>
      </c>
      <c r="AA316" s="1" t="s">
        <v>40</v>
      </c>
    </row>
    <row r="317" spans="1:27" x14ac:dyDescent="0.25">
      <c r="A317" s="10">
        <v>10419</v>
      </c>
      <c r="B317" s="9">
        <v>10</v>
      </c>
      <c r="C317" s="9">
        <v>100</v>
      </c>
      <c r="D317" s="9">
        <f>PRODUCT(sales_data_sample[[#This Row],[QUANTITYORDERED]],sales_data_sample[[#This Row],[PRICEEACH]])</f>
        <v>1000</v>
      </c>
      <c r="E317" s="9">
        <f>IF(OR(sales_data_sample[[#This Row],[STATUS]]="Shipped",sales_data_sample[[#This Row],[STATUS]]="Resolved"),sales_data_sample[[#This Row],[SALES]],0)</f>
        <v>1000</v>
      </c>
      <c r="F317" s="10">
        <v>11</v>
      </c>
      <c r="G317" s="12" t="s">
        <v>663</v>
      </c>
      <c r="H317" s="1" t="s">
        <v>26</v>
      </c>
      <c r="I317">
        <v>2</v>
      </c>
      <c r="J317">
        <v>5</v>
      </c>
      <c r="K317">
        <v>2005</v>
      </c>
      <c r="L317" s="1" t="s">
        <v>239</v>
      </c>
      <c r="M317">
        <v>117</v>
      </c>
      <c r="N317" s="1" t="s">
        <v>727</v>
      </c>
      <c r="O317" s="1" t="s">
        <v>191</v>
      </c>
      <c r="P317" s="1" t="s">
        <v>192</v>
      </c>
      <c r="Q317" s="1" t="s">
        <v>193</v>
      </c>
      <c r="R317" s="1" t="s">
        <v>32</v>
      </c>
      <c r="S317" s="1" t="s">
        <v>194</v>
      </c>
      <c r="T317" s="1" t="s">
        <v>32</v>
      </c>
      <c r="U317" s="1" t="s">
        <v>195</v>
      </c>
      <c r="V317" s="1" t="s">
        <v>196</v>
      </c>
      <c r="W317" s="1" t="s">
        <v>48</v>
      </c>
      <c r="X317" s="1" t="s">
        <v>197</v>
      </c>
      <c r="Y317" s="1" t="s">
        <v>198</v>
      </c>
      <c r="Z317" s="1" t="str">
        <f>TRIM(_xlfn.CONCAT(sales_data_sample[[#This Row],[CONTACTFIRSTNAME]],", ",sales_data_sample[[#This Row],[CONTACTLASTNAME]]))</f>
        <v>Georg, Pipps</v>
      </c>
      <c r="AA317" s="1" t="s">
        <v>40</v>
      </c>
    </row>
    <row r="318" spans="1:27" x14ac:dyDescent="0.25">
      <c r="A318" s="10">
        <v>10105</v>
      </c>
      <c r="B318" s="9">
        <v>29</v>
      </c>
      <c r="C318" s="9">
        <v>100</v>
      </c>
      <c r="D318" s="9">
        <f>PRODUCT(sales_data_sample[[#This Row],[QUANTITYORDERED]],sales_data_sample[[#This Row],[PRICEEACH]])</f>
        <v>2900</v>
      </c>
      <c r="E318" s="9">
        <f>IF(OR(sales_data_sample[[#This Row],[STATUS]]="Shipped",sales_data_sample[[#This Row],[STATUS]]="Resolved"),sales_data_sample[[#This Row],[SALES]],0)</f>
        <v>2900</v>
      </c>
      <c r="F318" s="10">
        <v>14</v>
      </c>
      <c r="G318" s="12" t="s">
        <v>435</v>
      </c>
      <c r="H318" s="1" t="s">
        <v>26</v>
      </c>
      <c r="I318">
        <v>1</v>
      </c>
      <c r="J318">
        <v>2</v>
      </c>
      <c r="K318">
        <v>2003</v>
      </c>
      <c r="L318" s="1" t="s">
        <v>239</v>
      </c>
      <c r="M318">
        <v>173</v>
      </c>
      <c r="N318" s="1" t="s">
        <v>736</v>
      </c>
      <c r="O318" s="1" t="s">
        <v>437</v>
      </c>
      <c r="P318" s="1" t="s">
        <v>438</v>
      </c>
      <c r="Q318" s="1" t="s">
        <v>439</v>
      </c>
      <c r="R318" s="1" t="s">
        <v>32</v>
      </c>
      <c r="S318" s="1" t="s">
        <v>440</v>
      </c>
      <c r="T318" s="1" t="s">
        <v>32</v>
      </c>
      <c r="U318" s="1" t="s">
        <v>441</v>
      </c>
      <c r="V318" s="1" t="s">
        <v>442</v>
      </c>
      <c r="W318" s="1" t="s">
        <v>48</v>
      </c>
      <c r="X318" s="1" t="s">
        <v>443</v>
      </c>
      <c r="Y318" s="1" t="s">
        <v>444</v>
      </c>
      <c r="Z318" s="1" t="str">
        <f>TRIM(_xlfn.CONCAT(sales_data_sample[[#This Row],[CONTACTFIRSTNAME]],", ",sales_data_sample[[#This Row],[CONTACTLASTNAME]]))</f>
        <v>Jytte, Petersen</v>
      </c>
      <c r="AA318" s="1" t="s">
        <v>59</v>
      </c>
    </row>
    <row r="319" spans="1:27" x14ac:dyDescent="0.25">
      <c r="A319" s="10">
        <v>10117</v>
      </c>
      <c r="B319" s="9">
        <v>39</v>
      </c>
      <c r="C319" s="9">
        <v>100</v>
      </c>
      <c r="D319" s="9">
        <f>PRODUCT(sales_data_sample[[#This Row],[QUANTITYORDERED]],sales_data_sample[[#This Row],[PRICEEACH]])</f>
        <v>3900</v>
      </c>
      <c r="E319" s="9">
        <f>IF(OR(sales_data_sample[[#This Row],[STATUS]]="Shipped",sales_data_sample[[#This Row],[STATUS]]="Resolved"),sales_data_sample[[#This Row],[SALES]],0)</f>
        <v>3900</v>
      </c>
      <c r="F319" s="10">
        <v>8</v>
      </c>
      <c r="G319" s="12" t="s">
        <v>665</v>
      </c>
      <c r="H319" s="1" t="s">
        <v>26</v>
      </c>
      <c r="I319">
        <v>2</v>
      </c>
      <c r="J319">
        <v>4</v>
      </c>
      <c r="K319">
        <v>2003</v>
      </c>
      <c r="L319" s="1" t="s">
        <v>239</v>
      </c>
      <c r="M319">
        <v>173</v>
      </c>
      <c r="N319" s="1" t="s">
        <v>736</v>
      </c>
      <c r="O319" s="1" t="s">
        <v>259</v>
      </c>
      <c r="P319" s="1" t="s">
        <v>260</v>
      </c>
      <c r="Q319" s="1" t="s">
        <v>261</v>
      </c>
      <c r="R319" s="1" t="s">
        <v>32</v>
      </c>
      <c r="S319" s="1" t="s">
        <v>262</v>
      </c>
      <c r="T319" s="1" t="s">
        <v>32</v>
      </c>
      <c r="U319" s="1" t="s">
        <v>263</v>
      </c>
      <c r="V319" s="1" t="s">
        <v>262</v>
      </c>
      <c r="W319" s="1" t="s">
        <v>264</v>
      </c>
      <c r="X319" s="1" t="s">
        <v>265</v>
      </c>
      <c r="Y319" s="1" t="s">
        <v>266</v>
      </c>
      <c r="Z319" s="1" t="str">
        <f>TRIM(_xlfn.CONCAT(sales_data_sample[[#This Row],[CONTACTFIRSTNAME]],", ",sales_data_sample[[#This Row],[CONTACTLASTNAME]]))</f>
        <v>Eric, Natividad</v>
      </c>
      <c r="AA319" s="1" t="s">
        <v>59</v>
      </c>
    </row>
    <row r="320" spans="1:27" x14ac:dyDescent="0.25">
      <c r="A320">
        <v>10127</v>
      </c>
      <c r="B320">
        <v>42</v>
      </c>
      <c r="C320">
        <v>100</v>
      </c>
      <c r="D320">
        <f>PRODUCT(sales_data_sample[[#This Row],[QUANTITYORDERED]],sales_data_sample[[#This Row],[PRICEEACH]])</f>
        <v>4200</v>
      </c>
      <c r="E320" s="9">
        <f>IF(OR(sales_data_sample[[#This Row],[STATUS]]="Shipped",sales_data_sample[[#This Row],[STATUS]]="Resolved"),sales_data_sample[[#This Row],[SALES]],0)</f>
        <v>4200</v>
      </c>
      <c r="F320">
        <v>1</v>
      </c>
      <c r="G320" s="12" t="s">
        <v>666</v>
      </c>
      <c r="H320" s="1" t="s">
        <v>26</v>
      </c>
      <c r="I320">
        <v>2</v>
      </c>
      <c r="J320">
        <v>6</v>
      </c>
      <c r="K320">
        <v>2003</v>
      </c>
      <c r="L320" s="1" t="s">
        <v>239</v>
      </c>
      <c r="M320">
        <v>173</v>
      </c>
      <c r="N320" s="1" t="s">
        <v>736</v>
      </c>
      <c r="O320" s="1" t="s">
        <v>667</v>
      </c>
      <c r="P320" s="1" t="s">
        <v>668</v>
      </c>
      <c r="Q320" s="1" t="s">
        <v>669</v>
      </c>
      <c r="R320" s="1" t="s">
        <v>670</v>
      </c>
      <c r="S320" s="1" t="s">
        <v>33</v>
      </c>
      <c r="T320" s="1" t="s">
        <v>34</v>
      </c>
      <c r="U320" s="1" t="s">
        <v>35</v>
      </c>
      <c r="V320" s="1" t="s">
        <v>36</v>
      </c>
      <c r="W320" s="1" t="s">
        <v>37</v>
      </c>
      <c r="X320" s="1" t="s">
        <v>67</v>
      </c>
      <c r="Y320" s="1" t="s">
        <v>671</v>
      </c>
      <c r="Z320" s="1" t="str">
        <f>TRIM(_xlfn.CONCAT(sales_data_sample[[#This Row],[CONTACTFIRSTNAME]],", ",sales_data_sample[[#This Row],[CONTACTLASTNAME]]))</f>
        <v>Jeff, Young</v>
      </c>
      <c r="AA320" s="1" t="s">
        <v>199</v>
      </c>
    </row>
    <row r="321" spans="1:27" x14ac:dyDescent="0.25">
      <c r="A321" s="10">
        <v>10142</v>
      </c>
      <c r="B321" s="9">
        <v>46</v>
      </c>
      <c r="C321" s="9">
        <v>100</v>
      </c>
      <c r="D321" s="9">
        <f>PRODUCT(sales_data_sample[[#This Row],[QUANTITYORDERED]],sales_data_sample[[#This Row],[PRICEEACH]])</f>
        <v>4600</v>
      </c>
      <c r="E321" s="9">
        <f>IF(OR(sales_data_sample[[#This Row],[STATUS]]="Shipped",sales_data_sample[[#This Row],[STATUS]]="Resolved"),sales_data_sample[[#This Row],[SALES]],0)</f>
        <v>4600</v>
      </c>
      <c r="F321" s="10">
        <v>11</v>
      </c>
      <c r="G321" s="12" t="s">
        <v>672</v>
      </c>
      <c r="H321" s="1" t="s">
        <v>26</v>
      </c>
      <c r="I321">
        <v>3</v>
      </c>
      <c r="J321">
        <v>8</v>
      </c>
      <c r="K321">
        <v>2003</v>
      </c>
      <c r="L321" s="1" t="s">
        <v>239</v>
      </c>
      <c r="M321">
        <v>173</v>
      </c>
      <c r="N321" s="1" t="s">
        <v>736</v>
      </c>
      <c r="O321" s="1" t="s">
        <v>361</v>
      </c>
      <c r="P321" s="1" t="s">
        <v>362</v>
      </c>
      <c r="Q321" s="1" t="s">
        <v>363</v>
      </c>
      <c r="R321" s="1" t="s">
        <v>32</v>
      </c>
      <c r="S321" s="1" t="s">
        <v>364</v>
      </c>
      <c r="T321" s="1" t="s">
        <v>65</v>
      </c>
      <c r="U321" s="1" t="s">
        <v>145</v>
      </c>
      <c r="V321" s="1" t="s">
        <v>36</v>
      </c>
      <c r="W321" s="1" t="s">
        <v>37</v>
      </c>
      <c r="X321" s="1" t="s">
        <v>365</v>
      </c>
      <c r="Y321" s="1" t="s">
        <v>366</v>
      </c>
      <c r="Z321" s="1" t="str">
        <f>TRIM(_xlfn.CONCAT(sales_data_sample[[#This Row],[CONTACTFIRSTNAME]],", ",sales_data_sample[[#This Row],[CONTACTLASTNAME]]))</f>
        <v>Valarie, Nelson</v>
      </c>
      <c r="AA321" s="1" t="s">
        <v>199</v>
      </c>
    </row>
    <row r="322" spans="1:27" x14ac:dyDescent="0.25">
      <c r="A322" s="10">
        <v>10153</v>
      </c>
      <c r="B322" s="9">
        <v>49</v>
      </c>
      <c r="C322" s="9">
        <v>100</v>
      </c>
      <c r="D322" s="9">
        <f>PRODUCT(sales_data_sample[[#This Row],[QUANTITYORDERED]],sales_data_sample[[#This Row],[PRICEEACH]])</f>
        <v>4900</v>
      </c>
      <c r="E322" s="9">
        <f>IF(OR(sales_data_sample[[#This Row],[STATUS]]="Shipped",sales_data_sample[[#This Row],[STATUS]]="Resolved"),sales_data_sample[[#This Row],[SALES]],0)</f>
        <v>4900</v>
      </c>
      <c r="F322" s="10">
        <v>10</v>
      </c>
      <c r="G322" s="12" t="s">
        <v>673</v>
      </c>
      <c r="H322" s="1" t="s">
        <v>26</v>
      </c>
      <c r="I322">
        <v>3</v>
      </c>
      <c r="J322">
        <v>9</v>
      </c>
      <c r="K322">
        <v>2003</v>
      </c>
      <c r="L322" s="1" t="s">
        <v>239</v>
      </c>
      <c r="M322">
        <v>173</v>
      </c>
      <c r="N322" s="1" t="s">
        <v>736</v>
      </c>
      <c r="O322" s="1" t="s">
        <v>230</v>
      </c>
      <c r="P322" s="1" t="s">
        <v>231</v>
      </c>
      <c r="Q322" s="1" t="s">
        <v>232</v>
      </c>
      <c r="R322" s="1" t="s">
        <v>32</v>
      </c>
      <c r="S322" s="1" t="s">
        <v>233</v>
      </c>
      <c r="T322" s="1" t="s">
        <v>32</v>
      </c>
      <c r="U322" s="1" t="s">
        <v>234</v>
      </c>
      <c r="V322" s="1" t="s">
        <v>235</v>
      </c>
      <c r="W322" s="1" t="s">
        <v>48</v>
      </c>
      <c r="X322" s="1" t="s">
        <v>236</v>
      </c>
      <c r="Y322" s="1" t="s">
        <v>237</v>
      </c>
      <c r="Z322" s="1" t="str">
        <f>TRIM(_xlfn.CONCAT(sales_data_sample[[#This Row],[CONTACTFIRSTNAME]],", ",sales_data_sample[[#This Row],[CONTACTLASTNAME]]))</f>
        <v>Diego, Freyre</v>
      </c>
      <c r="AA322" s="1" t="s">
        <v>199</v>
      </c>
    </row>
    <row r="323" spans="1:27" x14ac:dyDescent="0.25">
      <c r="A323" s="10">
        <v>10165</v>
      </c>
      <c r="B323" s="9">
        <v>27</v>
      </c>
      <c r="C323" s="9">
        <v>100</v>
      </c>
      <c r="D323" s="9">
        <f>PRODUCT(sales_data_sample[[#This Row],[QUANTITYORDERED]],sales_data_sample[[#This Row],[PRICEEACH]])</f>
        <v>2700</v>
      </c>
      <c r="E323" s="9">
        <f>IF(OR(sales_data_sample[[#This Row],[STATUS]]="Shipped",sales_data_sample[[#This Row],[STATUS]]="Resolved"),sales_data_sample[[#This Row],[SALES]],0)</f>
        <v>2700</v>
      </c>
      <c r="F323" s="10">
        <v>2</v>
      </c>
      <c r="G323" s="12" t="s">
        <v>674</v>
      </c>
      <c r="H323" s="1" t="s">
        <v>26</v>
      </c>
      <c r="I323">
        <v>4</v>
      </c>
      <c r="J323">
        <v>10</v>
      </c>
      <c r="K323">
        <v>2003</v>
      </c>
      <c r="L323" s="1" t="s">
        <v>239</v>
      </c>
      <c r="M323">
        <v>173</v>
      </c>
      <c r="N323" s="1" t="s">
        <v>736</v>
      </c>
      <c r="O323" s="1" t="s">
        <v>259</v>
      </c>
      <c r="P323" s="1" t="s">
        <v>260</v>
      </c>
      <c r="Q323" s="1" t="s">
        <v>261</v>
      </c>
      <c r="R323" s="1" t="s">
        <v>32</v>
      </c>
      <c r="S323" s="1" t="s">
        <v>262</v>
      </c>
      <c r="T323" s="1" t="s">
        <v>32</v>
      </c>
      <c r="U323" s="1" t="s">
        <v>263</v>
      </c>
      <c r="V323" s="1" t="s">
        <v>262</v>
      </c>
      <c r="W323" s="1" t="s">
        <v>264</v>
      </c>
      <c r="X323" s="1" t="s">
        <v>265</v>
      </c>
      <c r="Y323" s="1" t="s">
        <v>266</v>
      </c>
      <c r="Z323" s="1" t="str">
        <f>TRIM(_xlfn.CONCAT(sales_data_sample[[#This Row],[CONTACTFIRSTNAME]],", ",sales_data_sample[[#This Row],[CONTACTLASTNAME]]))</f>
        <v>Eric, Natividad</v>
      </c>
      <c r="AA323" s="1" t="s">
        <v>59</v>
      </c>
    </row>
    <row r="324" spans="1:27" x14ac:dyDescent="0.25">
      <c r="A324" s="10">
        <v>10176</v>
      </c>
      <c r="B324" s="9">
        <v>50</v>
      </c>
      <c r="C324" s="9">
        <v>100</v>
      </c>
      <c r="D324" s="9">
        <f>PRODUCT(sales_data_sample[[#This Row],[QUANTITYORDERED]],sales_data_sample[[#This Row],[PRICEEACH]])</f>
        <v>5000</v>
      </c>
      <c r="E324" s="9">
        <f>IF(OR(sales_data_sample[[#This Row],[STATUS]]="Shipped",sales_data_sample[[#This Row],[STATUS]]="Resolved"),sales_data_sample[[#This Row],[SALES]],0)</f>
        <v>5000</v>
      </c>
      <c r="F324" s="10">
        <v>1</v>
      </c>
      <c r="G324" s="12" t="s">
        <v>273</v>
      </c>
      <c r="H324" s="1" t="s">
        <v>26</v>
      </c>
      <c r="I324">
        <v>4</v>
      </c>
      <c r="J324">
        <v>11</v>
      </c>
      <c r="K324">
        <v>2003</v>
      </c>
      <c r="L324" s="1" t="s">
        <v>239</v>
      </c>
      <c r="M324">
        <v>173</v>
      </c>
      <c r="N324" s="1" t="s">
        <v>736</v>
      </c>
      <c r="O324" s="1" t="s">
        <v>632</v>
      </c>
      <c r="P324" s="1" t="s">
        <v>633</v>
      </c>
      <c r="Q324" s="1" t="s">
        <v>634</v>
      </c>
      <c r="R324" s="1" t="s">
        <v>32</v>
      </c>
      <c r="S324" s="1" t="s">
        <v>635</v>
      </c>
      <c r="T324" s="1" t="s">
        <v>32</v>
      </c>
      <c r="U324" s="1" t="s">
        <v>636</v>
      </c>
      <c r="V324" s="1" t="s">
        <v>343</v>
      </c>
      <c r="W324" s="1" t="s">
        <v>48</v>
      </c>
      <c r="X324" s="1" t="s">
        <v>637</v>
      </c>
      <c r="Y324" s="1" t="s">
        <v>638</v>
      </c>
      <c r="Z324" s="1" t="str">
        <f>TRIM(_xlfn.CONCAT(sales_data_sample[[#This Row],[CONTACTFIRSTNAME]],", ",sales_data_sample[[#This Row],[CONTACTLASTNAME]]))</f>
        <v>Maurizio, Moroni</v>
      </c>
      <c r="AA324" s="1" t="s">
        <v>199</v>
      </c>
    </row>
    <row r="325" spans="1:27" x14ac:dyDescent="0.25">
      <c r="A325" s="10">
        <v>10185</v>
      </c>
      <c r="B325" s="9">
        <v>43</v>
      </c>
      <c r="C325" s="9">
        <v>100</v>
      </c>
      <c r="D325" s="9">
        <f>PRODUCT(sales_data_sample[[#This Row],[QUANTITYORDERED]],sales_data_sample[[#This Row],[PRICEEACH]])</f>
        <v>4300</v>
      </c>
      <c r="E325" s="9">
        <f>IF(OR(sales_data_sample[[#This Row],[STATUS]]="Shipped",sales_data_sample[[#This Row],[STATUS]]="Resolved"),sales_data_sample[[#This Row],[SALES]],0)</f>
        <v>4300</v>
      </c>
      <c r="F325" s="10">
        <v>12</v>
      </c>
      <c r="G325" s="12" t="s">
        <v>470</v>
      </c>
      <c r="H325" s="1" t="s">
        <v>26</v>
      </c>
      <c r="I325">
        <v>4</v>
      </c>
      <c r="J325">
        <v>11</v>
      </c>
      <c r="K325">
        <v>2003</v>
      </c>
      <c r="L325" s="1" t="s">
        <v>239</v>
      </c>
      <c r="M325">
        <v>173</v>
      </c>
      <c r="N325" s="1" t="s">
        <v>736</v>
      </c>
      <c r="O325" s="1" t="s">
        <v>454</v>
      </c>
      <c r="P325" s="1" t="s">
        <v>455</v>
      </c>
      <c r="Q325" s="1" t="s">
        <v>456</v>
      </c>
      <c r="R325" s="1" t="s">
        <v>32</v>
      </c>
      <c r="S325" s="1" t="s">
        <v>215</v>
      </c>
      <c r="T325" s="1" t="s">
        <v>160</v>
      </c>
      <c r="U325" s="1" t="s">
        <v>216</v>
      </c>
      <c r="V325" s="1" t="s">
        <v>36</v>
      </c>
      <c r="W325" s="1" t="s">
        <v>37</v>
      </c>
      <c r="X325" s="1" t="s">
        <v>457</v>
      </c>
      <c r="Y325" s="1" t="s">
        <v>458</v>
      </c>
      <c r="Z325" s="1" t="str">
        <f>TRIM(_xlfn.CONCAT(sales_data_sample[[#This Row],[CONTACTFIRSTNAME]],", ",sales_data_sample[[#This Row],[CONTACTLASTNAME]]))</f>
        <v>Wing C, Tam</v>
      </c>
      <c r="AA325" s="1" t="s">
        <v>199</v>
      </c>
    </row>
    <row r="326" spans="1:27" x14ac:dyDescent="0.25">
      <c r="A326" s="10">
        <v>10196</v>
      </c>
      <c r="B326" s="9">
        <v>38</v>
      </c>
      <c r="C326" s="9">
        <v>100</v>
      </c>
      <c r="D326" s="9">
        <f>PRODUCT(sales_data_sample[[#This Row],[QUANTITYORDERED]],sales_data_sample[[#This Row],[PRICEEACH]])</f>
        <v>3800</v>
      </c>
      <c r="E326" s="9">
        <f>IF(OR(sales_data_sample[[#This Row],[STATUS]]="Shipped",sales_data_sample[[#This Row],[STATUS]]="Resolved"),sales_data_sample[[#This Row],[SALES]],0)</f>
        <v>3800</v>
      </c>
      <c r="F326" s="10">
        <v>4</v>
      </c>
      <c r="G326" s="12" t="s">
        <v>477</v>
      </c>
      <c r="H326" s="1" t="s">
        <v>26</v>
      </c>
      <c r="I326">
        <v>4</v>
      </c>
      <c r="J326">
        <v>11</v>
      </c>
      <c r="K326">
        <v>2003</v>
      </c>
      <c r="L326" s="1" t="s">
        <v>239</v>
      </c>
      <c r="M326">
        <v>173</v>
      </c>
      <c r="N326" s="1" t="s">
        <v>736</v>
      </c>
      <c r="O326" s="1" t="s">
        <v>321</v>
      </c>
      <c r="P326" s="1" t="s">
        <v>322</v>
      </c>
      <c r="Q326" s="1" t="s">
        <v>323</v>
      </c>
      <c r="R326" s="1" t="s">
        <v>32</v>
      </c>
      <c r="S326" s="1" t="s">
        <v>324</v>
      </c>
      <c r="T326" s="1" t="s">
        <v>144</v>
      </c>
      <c r="U326" s="1" t="s">
        <v>325</v>
      </c>
      <c r="V326" s="1" t="s">
        <v>36</v>
      </c>
      <c r="W326" s="1" t="s">
        <v>37</v>
      </c>
      <c r="X326" s="1" t="s">
        <v>104</v>
      </c>
      <c r="Y326" s="1" t="s">
        <v>326</v>
      </c>
      <c r="Z326" s="1" t="str">
        <f>TRIM(_xlfn.CONCAT(sales_data_sample[[#This Row],[CONTACTFIRSTNAME]],", ",sales_data_sample[[#This Row],[CONTACTLASTNAME]]))</f>
        <v>Leslie, Murphy</v>
      </c>
      <c r="AA326" s="1" t="s">
        <v>199</v>
      </c>
    </row>
    <row r="327" spans="1:27" x14ac:dyDescent="0.25">
      <c r="A327" s="10">
        <v>10208</v>
      </c>
      <c r="B327" s="9">
        <v>20</v>
      </c>
      <c r="C327" s="9">
        <v>100</v>
      </c>
      <c r="D327" s="9">
        <f>PRODUCT(sales_data_sample[[#This Row],[QUANTITYORDERED]],sales_data_sample[[#This Row],[PRICEEACH]])</f>
        <v>2000</v>
      </c>
      <c r="E327" s="9">
        <f>IF(OR(sales_data_sample[[#This Row],[STATUS]]="Shipped",sales_data_sample[[#This Row],[STATUS]]="Resolved"),sales_data_sample[[#This Row],[SALES]],0)</f>
        <v>2000</v>
      </c>
      <c r="F327" s="10">
        <v>12</v>
      </c>
      <c r="G327" s="12" t="s">
        <v>675</v>
      </c>
      <c r="H327" s="1" t="s">
        <v>26</v>
      </c>
      <c r="I327">
        <v>1</v>
      </c>
      <c r="J327">
        <v>1</v>
      </c>
      <c r="K327">
        <v>2004</v>
      </c>
      <c r="L327" s="1" t="s">
        <v>239</v>
      </c>
      <c r="M327">
        <v>173</v>
      </c>
      <c r="N327" s="1" t="s">
        <v>736</v>
      </c>
      <c r="O327" s="1" t="s">
        <v>291</v>
      </c>
      <c r="P327" s="1" t="s">
        <v>292</v>
      </c>
      <c r="Q327" s="1" t="s">
        <v>293</v>
      </c>
      <c r="R327" s="1" t="s">
        <v>32</v>
      </c>
      <c r="S327" s="1" t="s">
        <v>294</v>
      </c>
      <c r="T327" s="1" t="s">
        <v>32</v>
      </c>
      <c r="U327" s="1" t="s">
        <v>295</v>
      </c>
      <c r="V327" s="1" t="s">
        <v>47</v>
      </c>
      <c r="W327" s="1" t="s">
        <v>48</v>
      </c>
      <c r="X327" s="1" t="s">
        <v>296</v>
      </c>
      <c r="Y327" s="1" t="s">
        <v>297</v>
      </c>
      <c r="Z327" s="1" t="str">
        <f>TRIM(_xlfn.CONCAT(sales_data_sample[[#This Row],[CONTACTFIRSTNAME]],", ",sales_data_sample[[#This Row],[CONTACTLASTNAME]]))</f>
        <v>Mary, Saveley</v>
      </c>
      <c r="AA327" s="1" t="s">
        <v>59</v>
      </c>
    </row>
    <row r="328" spans="1:27" x14ac:dyDescent="0.25">
      <c r="A328">
        <v>10220</v>
      </c>
      <c r="B328">
        <v>27</v>
      </c>
      <c r="C328">
        <v>100</v>
      </c>
      <c r="D328">
        <f>PRODUCT(sales_data_sample[[#This Row],[QUANTITYORDERED]],sales_data_sample[[#This Row],[PRICEEACH]])</f>
        <v>2700</v>
      </c>
      <c r="E328" s="9">
        <f>IF(OR(sales_data_sample[[#This Row],[STATUS]]="Shipped",sales_data_sample[[#This Row],[STATUS]]="Resolved"),sales_data_sample[[#This Row],[SALES]],0)</f>
        <v>2700</v>
      </c>
      <c r="F328">
        <v>1</v>
      </c>
      <c r="G328" s="12" t="s">
        <v>676</v>
      </c>
      <c r="H328" s="1" t="s">
        <v>26</v>
      </c>
      <c r="I328">
        <v>1</v>
      </c>
      <c r="J328">
        <v>2</v>
      </c>
      <c r="K328">
        <v>2004</v>
      </c>
      <c r="L328" s="1" t="s">
        <v>239</v>
      </c>
      <c r="M328">
        <v>173</v>
      </c>
      <c r="N328" s="1" t="s">
        <v>736</v>
      </c>
      <c r="O328" s="1" t="s">
        <v>677</v>
      </c>
      <c r="P328" s="1" t="s">
        <v>678</v>
      </c>
      <c r="Q328" s="1" t="s">
        <v>679</v>
      </c>
      <c r="R328" s="1" t="s">
        <v>680</v>
      </c>
      <c r="S328" s="1" t="s">
        <v>681</v>
      </c>
      <c r="T328" s="1" t="s">
        <v>32</v>
      </c>
      <c r="U328" s="1" t="s">
        <v>682</v>
      </c>
      <c r="V328" s="1" t="s">
        <v>683</v>
      </c>
      <c r="W328" s="1" t="s">
        <v>48</v>
      </c>
      <c r="X328" s="1" t="s">
        <v>684</v>
      </c>
      <c r="Y328" s="1" t="s">
        <v>685</v>
      </c>
      <c r="Z328" s="1" t="str">
        <f>TRIM(_xlfn.CONCAT(sales_data_sample[[#This Row],[CONTACTFIRSTNAME]],", ",sales_data_sample[[#This Row],[CONTACTLASTNAME]]))</f>
        <v>Dean, Cassidy</v>
      </c>
      <c r="AA328" s="1" t="s">
        <v>59</v>
      </c>
    </row>
    <row r="329" spans="1:27" x14ac:dyDescent="0.25">
      <c r="A329" s="10">
        <v>10231</v>
      </c>
      <c r="B329" s="9">
        <v>49</v>
      </c>
      <c r="C329" s="9">
        <v>100</v>
      </c>
      <c r="D329" s="9">
        <f>PRODUCT(sales_data_sample[[#This Row],[QUANTITYORDERED]],sales_data_sample[[#This Row],[PRICEEACH]])</f>
        <v>4900</v>
      </c>
      <c r="E329" s="9">
        <f>IF(OR(sales_data_sample[[#This Row],[STATUS]]="Shipped",sales_data_sample[[#This Row],[STATUS]]="Resolved"),sales_data_sample[[#This Row],[SALES]],0)</f>
        <v>4900</v>
      </c>
      <c r="F329" s="10">
        <v>1</v>
      </c>
      <c r="G329" s="12" t="s">
        <v>686</v>
      </c>
      <c r="H329" s="1" t="s">
        <v>26</v>
      </c>
      <c r="I329">
        <v>1</v>
      </c>
      <c r="J329">
        <v>3</v>
      </c>
      <c r="K329">
        <v>2004</v>
      </c>
      <c r="L329" s="1" t="s">
        <v>239</v>
      </c>
      <c r="M329">
        <v>173</v>
      </c>
      <c r="N329" s="1" t="s">
        <v>736</v>
      </c>
      <c r="O329" s="1" t="s">
        <v>687</v>
      </c>
      <c r="P329" s="1" t="s">
        <v>688</v>
      </c>
      <c r="Q329" s="1" t="s">
        <v>689</v>
      </c>
      <c r="R329" s="1" t="s">
        <v>32</v>
      </c>
      <c r="S329" s="1" t="s">
        <v>233</v>
      </c>
      <c r="T329" s="1" t="s">
        <v>32</v>
      </c>
      <c r="U329" s="1" t="s">
        <v>254</v>
      </c>
      <c r="V329" s="1" t="s">
        <v>235</v>
      </c>
      <c r="W329" s="1" t="s">
        <v>48</v>
      </c>
      <c r="X329" s="1" t="s">
        <v>690</v>
      </c>
      <c r="Y329" s="1" t="s">
        <v>691</v>
      </c>
      <c r="Z329" s="1" t="str">
        <f>TRIM(_xlfn.CONCAT(sales_data_sample[[#This Row],[CONTACTFIRSTNAME]],", ",sales_data_sample[[#This Row],[CONTACTLASTNAME]]))</f>
        <v>Jesus, Fernandez</v>
      </c>
      <c r="AA329" s="1" t="s">
        <v>59</v>
      </c>
    </row>
    <row r="330" spans="1:27" x14ac:dyDescent="0.25">
      <c r="A330" s="10">
        <v>10247</v>
      </c>
      <c r="B330" s="9">
        <v>27</v>
      </c>
      <c r="C330" s="9">
        <v>100</v>
      </c>
      <c r="D330" s="9">
        <f>PRODUCT(sales_data_sample[[#This Row],[QUANTITYORDERED]],sales_data_sample[[#This Row],[PRICEEACH]])</f>
        <v>2700</v>
      </c>
      <c r="E330" s="9">
        <f>IF(OR(sales_data_sample[[#This Row],[STATUS]]="Shipped",sales_data_sample[[#This Row],[STATUS]]="Resolved"),sales_data_sample[[#This Row],[SALES]],0)</f>
        <v>2700</v>
      </c>
      <c r="F330" s="10">
        <v>1</v>
      </c>
      <c r="G330" s="12" t="s">
        <v>692</v>
      </c>
      <c r="H330" s="1" t="s">
        <v>26</v>
      </c>
      <c r="I330">
        <v>2</v>
      </c>
      <c r="J330">
        <v>5</v>
      </c>
      <c r="K330">
        <v>2004</v>
      </c>
      <c r="L330" s="1" t="s">
        <v>239</v>
      </c>
      <c r="M330">
        <v>173</v>
      </c>
      <c r="N330" s="1" t="s">
        <v>736</v>
      </c>
      <c r="O330" s="1" t="s">
        <v>656</v>
      </c>
      <c r="P330" s="1" t="s">
        <v>657</v>
      </c>
      <c r="Q330" s="1" t="s">
        <v>658</v>
      </c>
      <c r="R330" s="1" t="s">
        <v>32</v>
      </c>
      <c r="S330" s="1" t="s">
        <v>659</v>
      </c>
      <c r="T330" s="1" t="s">
        <v>32</v>
      </c>
      <c r="U330" s="1" t="s">
        <v>660</v>
      </c>
      <c r="V330" s="1" t="s">
        <v>170</v>
      </c>
      <c r="W330" s="1" t="s">
        <v>48</v>
      </c>
      <c r="X330" s="1" t="s">
        <v>661</v>
      </c>
      <c r="Y330" s="1" t="s">
        <v>662</v>
      </c>
      <c r="Z330" s="1" t="str">
        <f>TRIM(_xlfn.CONCAT(sales_data_sample[[#This Row],[CONTACTFIRSTNAME]],", ",sales_data_sample[[#This Row],[CONTACTLASTNAME]]))</f>
        <v>Kalle, Suominen</v>
      </c>
      <c r="AA330" s="1" t="s">
        <v>59</v>
      </c>
    </row>
    <row r="331" spans="1:27" x14ac:dyDescent="0.25">
      <c r="A331" s="10">
        <v>10272</v>
      </c>
      <c r="B331" s="9">
        <v>39</v>
      </c>
      <c r="C331" s="9">
        <v>100</v>
      </c>
      <c r="D331" s="9">
        <f>PRODUCT(sales_data_sample[[#This Row],[QUANTITYORDERED]],sales_data_sample[[#This Row],[PRICEEACH]])</f>
        <v>3900</v>
      </c>
      <c r="E331" s="9">
        <f>IF(OR(sales_data_sample[[#This Row],[STATUS]]="Shipped",sales_data_sample[[#This Row],[STATUS]]="Resolved"),sales_data_sample[[#This Row],[SALES]],0)</f>
        <v>3900</v>
      </c>
      <c r="F331" s="10">
        <v>1</v>
      </c>
      <c r="G331" s="12" t="s">
        <v>693</v>
      </c>
      <c r="H331" s="1" t="s">
        <v>26</v>
      </c>
      <c r="I331">
        <v>3</v>
      </c>
      <c r="J331">
        <v>7</v>
      </c>
      <c r="K331">
        <v>2004</v>
      </c>
      <c r="L331" s="1" t="s">
        <v>239</v>
      </c>
      <c r="M331">
        <v>173</v>
      </c>
      <c r="N331" s="1" t="s">
        <v>736</v>
      </c>
      <c r="O331" s="1" t="s">
        <v>182</v>
      </c>
      <c r="P331" s="1" t="s">
        <v>183</v>
      </c>
      <c r="Q331" s="1" t="s">
        <v>184</v>
      </c>
      <c r="R331" s="1" t="s">
        <v>32</v>
      </c>
      <c r="S331" s="1" t="s">
        <v>185</v>
      </c>
      <c r="T331" s="1" t="s">
        <v>186</v>
      </c>
      <c r="U331" s="1" t="s">
        <v>187</v>
      </c>
      <c r="V331" s="1" t="s">
        <v>36</v>
      </c>
      <c r="W331" s="1" t="s">
        <v>37</v>
      </c>
      <c r="X331" s="1" t="s">
        <v>38</v>
      </c>
      <c r="Y331" s="1" t="s">
        <v>188</v>
      </c>
      <c r="Z331" s="1" t="str">
        <f>TRIM(_xlfn.CONCAT(sales_data_sample[[#This Row],[CONTACTFIRSTNAME]],", ",sales_data_sample[[#This Row],[CONTACTLASTNAME]]))</f>
        <v>Kyung, Yu</v>
      </c>
      <c r="AA331" s="1" t="s">
        <v>199</v>
      </c>
    </row>
    <row r="332" spans="1:27" x14ac:dyDescent="0.25">
      <c r="A332" s="10">
        <v>10282</v>
      </c>
      <c r="B332" s="9">
        <v>24</v>
      </c>
      <c r="C332" s="9">
        <v>100</v>
      </c>
      <c r="D332" s="9">
        <f>PRODUCT(sales_data_sample[[#This Row],[QUANTITYORDERED]],sales_data_sample[[#This Row],[PRICEEACH]])</f>
        <v>2400</v>
      </c>
      <c r="E332" s="9">
        <f>IF(OR(sales_data_sample[[#This Row],[STATUS]]="Shipped",sales_data_sample[[#This Row],[STATUS]]="Resolved"),sales_data_sample[[#This Row],[SALES]],0)</f>
        <v>2400</v>
      </c>
      <c r="F332" s="10">
        <v>4</v>
      </c>
      <c r="G332" s="12" t="s">
        <v>508</v>
      </c>
      <c r="H332" s="1" t="s">
        <v>26</v>
      </c>
      <c r="I332">
        <v>3</v>
      </c>
      <c r="J332">
        <v>8</v>
      </c>
      <c r="K332">
        <v>2004</v>
      </c>
      <c r="L332" s="1" t="s">
        <v>239</v>
      </c>
      <c r="M332">
        <v>173</v>
      </c>
      <c r="N332" s="1" t="s">
        <v>736</v>
      </c>
      <c r="O332" s="1" t="s">
        <v>361</v>
      </c>
      <c r="P332" s="1" t="s">
        <v>362</v>
      </c>
      <c r="Q332" s="1" t="s">
        <v>363</v>
      </c>
      <c r="R332" s="1" t="s">
        <v>32</v>
      </c>
      <c r="S332" s="1" t="s">
        <v>364</v>
      </c>
      <c r="T332" s="1" t="s">
        <v>65</v>
      </c>
      <c r="U332" s="1" t="s">
        <v>145</v>
      </c>
      <c r="V332" s="1" t="s">
        <v>36</v>
      </c>
      <c r="W332" s="1" t="s">
        <v>37</v>
      </c>
      <c r="X332" s="1" t="s">
        <v>365</v>
      </c>
      <c r="Y332" s="1" t="s">
        <v>366</v>
      </c>
      <c r="Z332" s="1" t="str">
        <f>TRIM(_xlfn.CONCAT(sales_data_sample[[#This Row],[CONTACTFIRSTNAME]],", ",sales_data_sample[[#This Row],[CONTACTLASTNAME]]))</f>
        <v>Valarie, Nelson</v>
      </c>
      <c r="AA332" s="1" t="s">
        <v>59</v>
      </c>
    </row>
    <row r="333" spans="1:27" x14ac:dyDescent="0.25">
      <c r="A333" s="10">
        <v>10293</v>
      </c>
      <c r="B333" s="9">
        <v>45</v>
      </c>
      <c r="C333" s="9">
        <v>100</v>
      </c>
      <c r="D333" s="9">
        <f>PRODUCT(sales_data_sample[[#This Row],[QUANTITYORDERED]],sales_data_sample[[#This Row],[PRICEEACH]])</f>
        <v>4500</v>
      </c>
      <c r="E333" s="9">
        <f>IF(OR(sales_data_sample[[#This Row],[STATUS]]="Shipped",sales_data_sample[[#This Row],[STATUS]]="Resolved"),sales_data_sample[[#This Row],[SALES]],0)</f>
        <v>4500</v>
      </c>
      <c r="F333" s="10">
        <v>7</v>
      </c>
      <c r="G333" s="12" t="s">
        <v>694</v>
      </c>
      <c r="H333" s="1" t="s">
        <v>26</v>
      </c>
      <c r="I333">
        <v>3</v>
      </c>
      <c r="J333">
        <v>9</v>
      </c>
      <c r="K333">
        <v>2004</v>
      </c>
      <c r="L333" s="1" t="s">
        <v>239</v>
      </c>
      <c r="M333">
        <v>173</v>
      </c>
      <c r="N333" s="1" t="s">
        <v>736</v>
      </c>
      <c r="O333" s="1" t="s">
        <v>338</v>
      </c>
      <c r="P333" s="1" t="s">
        <v>339</v>
      </c>
      <c r="Q333" s="1" t="s">
        <v>340</v>
      </c>
      <c r="R333" s="1" t="s">
        <v>32</v>
      </c>
      <c r="S333" s="1" t="s">
        <v>341</v>
      </c>
      <c r="T333" s="1" t="s">
        <v>32</v>
      </c>
      <c r="U333" s="1" t="s">
        <v>342</v>
      </c>
      <c r="V333" s="1" t="s">
        <v>343</v>
      </c>
      <c r="W333" s="1" t="s">
        <v>48</v>
      </c>
      <c r="X333" s="1" t="s">
        <v>344</v>
      </c>
      <c r="Y333" s="1" t="s">
        <v>345</v>
      </c>
      <c r="Z333" s="1" t="str">
        <f>TRIM(_xlfn.CONCAT(sales_data_sample[[#This Row],[CONTACTFIRSTNAME]],", ",sales_data_sample[[#This Row],[CONTACTLASTNAME]]))</f>
        <v>Paolo, Accorti</v>
      </c>
      <c r="AA333" s="1" t="s">
        <v>199</v>
      </c>
    </row>
    <row r="334" spans="1:27" x14ac:dyDescent="0.25">
      <c r="A334" s="10">
        <v>10306</v>
      </c>
      <c r="B334" s="9">
        <v>20</v>
      </c>
      <c r="C334" s="9">
        <v>100</v>
      </c>
      <c r="D334" s="9">
        <f>PRODUCT(sales_data_sample[[#This Row],[QUANTITYORDERED]],sales_data_sample[[#This Row],[PRICEEACH]])</f>
        <v>2000</v>
      </c>
      <c r="E334" s="9">
        <f>IF(OR(sales_data_sample[[#This Row],[STATUS]]="Shipped",sales_data_sample[[#This Row],[STATUS]]="Resolved"),sales_data_sample[[#This Row],[SALES]],0)</f>
        <v>2000</v>
      </c>
      <c r="F334" s="10">
        <v>12</v>
      </c>
      <c r="G334" s="12" t="s">
        <v>522</v>
      </c>
      <c r="H334" s="1" t="s">
        <v>26</v>
      </c>
      <c r="I334">
        <v>4</v>
      </c>
      <c r="J334">
        <v>10</v>
      </c>
      <c r="K334">
        <v>2004</v>
      </c>
      <c r="L334" s="1" t="s">
        <v>239</v>
      </c>
      <c r="M334">
        <v>173</v>
      </c>
      <c r="N334" s="1" t="s">
        <v>736</v>
      </c>
      <c r="O334" s="1" t="s">
        <v>695</v>
      </c>
      <c r="P334" s="1" t="s">
        <v>696</v>
      </c>
      <c r="Q334" s="1" t="s">
        <v>697</v>
      </c>
      <c r="R334" s="1" t="s">
        <v>32</v>
      </c>
      <c r="S334" s="1" t="s">
        <v>698</v>
      </c>
      <c r="T334" s="1" t="s">
        <v>32</v>
      </c>
      <c r="U334" s="1" t="s">
        <v>699</v>
      </c>
      <c r="V334" s="1" t="s">
        <v>225</v>
      </c>
      <c r="W334" s="1" t="s">
        <v>48</v>
      </c>
      <c r="X334" s="1" t="s">
        <v>700</v>
      </c>
      <c r="Y334" s="1" t="s">
        <v>118</v>
      </c>
      <c r="Z334" s="1" t="str">
        <f>TRIM(_xlfn.CONCAT(sales_data_sample[[#This Row],[CONTACTFIRSTNAME]],", ",sales_data_sample[[#This Row],[CONTACTLASTNAME]]))</f>
        <v>Victoria, Ashworth</v>
      </c>
      <c r="AA334" s="1" t="s">
        <v>59</v>
      </c>
    </row>
    <row r="335" spans="1:27" x14ac:dyDescent="0.25">
      <c r="A335" s="10">
        <v>10314</v>
      </c>
      <c r="B335" s="9">
        <v>36</v>
      </c>
      <c r="C335" s="9">
        <v>100</v>
      </c>
      <c r="D335" s="9">
        <f>PRODUCT(sales_data_sample[[#This Row],[QUANTITYORDERED]],sales_data_sample[[#This Row],[PRICEEACH]])</f>
        <v>3600</v>
      </c>
      <c r="E335" s="9">
        <f>IF(OR(sales_data_sample[[#This Row],[STATUS]]="Shipped",sales_data_sample[[#This Row],[STATUS]]="Resolved"),sales_data_sample[[#This Row],[SALES]],0)</f>
        <v>3600</v>
      </c>
      <c r="F335" s="10">
        <v>4</v>
      </c>
      <c r="G335" s="12" t="s">
        <v>587</v>
      </c>
      <c r="H335" s="1" t="s">
        <v>26</v>
      </c>
      <c r="I335">
        <v>4</v>
      </c>
      <c r="J335">
        <v>10</v>
      </c>
      <c r="K335">
        <v>2004</v>
      </c>
      <c r="L335" s="1" t="s">
        <v>239</v>
      </c>
      <c r="M335">
        <v>173</v>
      </c>
      <c r="N335" s="1" t="s">
        <v>736</v>
      </c>
      <c r="O335" s="1" t="s">
        <v>701</v>
      </c>
      <c r="P335" s="1" t="s">
        <v>702</v>
      </c>
      <c r="Q335" s="1" t="s">
        <v>703</v>
      </c>
      <c r="R335" s="1" t="s">
        <v>32</v>
      </c>
      <c r="S335" s="1" t="s">
        <v>704</v>
      </c>
      <c r="T335" s="1" t="s">
        <v>32</v>
      </c>
      <c r="U335" s="1" t="s">
        <v>705</v>
      </c>
      <c r="V335" s="1" t="s">
        <v>442</v>
      </c>
      <c r="W335" s="1" t="s">
        <v>48</v>
      </c>
      <c r="X335" s="1" t="s">
        <v>706</v>
      </c>
      <c r="Y335" s="1" t="s">
        <v>707</v>
      </c>
      <c r="Z335" s="1" t="str">
        <f>TRIM(_xlfn.CONCAT(sales_data_sample[[#This Row],[CONTACTFIRSTNAME]],", ",sales_data_sample[[#This Row],[CONTACTLASTNAME]]))</f>
        <v>Palle, Ibsen</v>
      </c>
      <c r="AA335" s="1" t="s">
        <v>59</v>
      </c>
    </row>
    <row r="336" spans="1:27" x14ac:dyDescent="0.25">
      <c r="A336" s="10">
        <v>10325</v>
      </c>
      <c r="B336" s="9">
        <v>24</v>
      </c>
      <c r="C336" s="9">
        <v>100</v>
      </c>
      <c r="D336" s="9">
        <f>PRODUCT(sales_data_sample[[#This Row],[QUANTITYORDERED]],sales_data_sample[[#This Row],[PRICEEACH]])</f>
        <v>2400</v>
      </c>
      <c r="E336" s="9">
        <f>IF(OR(sales_data_sample[[#This Row],[STATUS]]="Shipped",sales_data_sample[[#This Row],[STATUS]]="Resolved"),sales_data_sample[[#This Row],[SALES]],0)</f>
        <v>2400</v>
      </c>
      <c r="F336" s="10">
        <v>1</v>
      </c>
      <c r="G336" s="12" t="s">
        <v>532</v>
      </c>
      <c r="H336" s="1" t="s">
        <v>26</v>
      </c>
      <c r="I336">
        <v>4</v>
      </c>
      <c r="J336">
        <v>11</v>
      </c>
      <c r="K336">
        <v>2004</v>
      </c>
      <c r="L336" s="1" t="s">
        <v>239</v>
      </c>
      <c r="M336">
        <v>173</v>
      </c>
      <c r="N336" s="1" t="s">
        <v>736</v>
      </c>
      <c r="O336" s="1" t="s">
        <v>174</v>
      </c>
      <c r="P336" s="1" t="s">
        <v>175</v>
      </c>
      <c r="Q336" s="1" t="s">
        <v>176</v>
      </c>
      <c r="R336" s="1" t="s">
        <v>32</v>
      </c>
      <c r="S336" s="1" t="s">
        <v>177</v>
      </c>
      <c r="T336" s="1" t="s">
        <v>32</v>
      </c>
      <c r="U336" s="1" t="s">
        <v>178</v>
      </c>
      <c r="V336" s="1" t="s">
        <v>97</v>
      </c>
      <c r="W336" s="1" t="s">
        <v>48</v>
      </c>
      <c r="X336" s="1" t="s">
        <v>179</v>
      </c>
      <c r="Y336" s="1" t="s">
        <v>180</v>
      </c>
      <c r="Z336" s="1" t="str">
        <f>TRIM(_xlfn.CONCAT(sales_data_sample[[#This Row],[CONTACTFIRSTNAME]],", ",sales_data_sample[[#This Row],[CONTACTLASTNAME]]))</f>
        <v>Jonas, Bergulfsen</v>
      </c>
      <c r="AA336" s="1" t="s">
        <v>40</v>
      </c>
    </row>
    <row r="337" spans="1:27" x14ac:dyDescent="0.25">
      <c r="A337" s="10">
        <v>10336</v>
      </c>
      <c r="B337" s="9">
        <v>49</v>
      </c>
      <c r="C337" s="9">
        <v>6338</v>
      </c>
      <c r="D337" s="9">
        <f>PRODUCT(sales_data_sample[[#This Row],[QUANTITYORDERED]],sales_data_sample[[#This Row],[PRICEEACH]])</f>
        <v>310562</v>
      </c>
      <c r="E337" s="9">
        <f>IF(OR(sales_data_sample[[#This Row],[STATUS]]="Shipped",sales_data_sample[[#This Row],[STATUS]]="Resolved"),sales_data_sample[[#This Row],[SALES]],0)</f>
        <v>310562</v>
      </c>
      <c r="F337" s="10">
        <v>1</v>
      </c>
      <c r="G337" s="12" t="s">
        <v>708</v>
      </c>
      <c r="H337" s="1" t="s">
        <v>26</v>
      </c>
      <c r="I337">
        <v>4</v>
      </c>
      <c r="J337">
        <v>11</v>
      </c>
      <c r="K337">
        <v>2004</v>
      </c>
      <c r="L337" s="1" t="s">
        <v>239</v>
      </c>
      <c r="M337">
        <v>173</v>
      </c>
      <c r="N337" s="1" t="s">
        <v>736</v>
      </c>
      <c r="O337" s="1" t="s">
        <v>556</v>
      </c>
      <c r="P337" s="1" t="s">
        <v>557</v>
      </c>
      <c r="Q337" s="1" t="s">
        <v>558</v>
      </c>
      <c r="R337" s="1" t="s">
        <v>32</v>
      </c>
      <c r="S337" s="1" t="s">
        <v>55</v>
      </c>
      <c r="T337" s="1" t="s">
        <v>32</v>
      </c>
      <c r="U337" s="1" t="s">
        <v>559</v>
      </c>
      <c r="V337" s="1" t="s">
        <v>47</v>
      </c>
      <c r="W337" s="1" t="s">
        <v>48</v>
      </c>
      <c r="X337" s="1" t="s">
        <v>560</v>
      </c>
      <c r="Y337" s="1" t="s">
        <v>561</v>
      </c>
      <c r="Z337" s="1" t="str">
        <f>TRIM(_xlfn.CONCAT(sales_data_sample[[#This Row],[CONTACTFIRSTNAME]],", ",sales_data_sample[[#This Row],[CONTACTLASTNAME]]))</f>
        <v>Marie, Bertrand</v>
      </c>
      <c r="AA337" s="1" t="s">
        <v>59</v>
      </c>
    </row>
    <row r="338" spans="1:27" x14ac:dyDescent="0.25">
      <c r="A338">
        <v>10349</v>
      </c>
      <c r="B338">
        <v>26</v>
      </c>
      <c r="C338">
        <v>100</v>
      </c>
      <c r="D338">
        <f>PRODUCT(sales_data_sample[[#This Row],[QUANTITYORDERED]],sales_data_sample[[#This Row],[PRICEEACH]])</f>
        <v>2600</v>
      </c>
      <c r="E338" s="9">
        <f>IF(OR(sales_data_sample[[#This Row],[STATUS]]="Shipped",sales_data_sample[[#This Row],[STATUS]]="Resolved"),sales_data_sample[[#This Row],[SALES]],0)</f>
        <v>2600</v>
      </c>
      <c r="F338">
        <v>10</v>
      </c>
      <c r="G338" s="12" t="s">
        <v>737</v>
      </c>
      <c r="H338" s="1" t="s">
        <v>26</v>
      </c>
      <c r="I338">
        <v>4</v>
      </c>
      <c r="J338">
        <v>12</v>
      </c>
      <c r="K338">
        <v>2004</v>
      </c>
      <c r="L338" s="1" t="s">
        <v>239</v>
      </c>
      <c r="M338">
        <v>173</v>
      </c>
      <c r="N338" s="1" t="s">
        <v>736</v>
      </c>
      <c r="O338" s="1" t="s">
        <v>667</v>
      </c>
      <c r="P338" s="1" t="s">
        <v>668</v>
      </c>
      <c r="Q338" s="1" t="s">
        <v>669</v>
      </c>
      <c r="R338" s="1" t="s">
        <v>670</v>
      </c>
      <c r="S338" s="1" t="s">
        <v>33</v>
      </c>
      <c r="T338" s="1" t="s">
        <v>34</v>
      </c>
      <c r="U338" s="1" t="s">
        <v>35</v>
      </c>
      <c r="V338" s="1" t="s">
        <v>36</v>
      </c>
      <c r="W338" s="1" t="s">
        <v>37</v>
      </c>
      <c r="X338" s="1" t="s">
        <v>67</v>
      </c>
      <c r="Y338" s="1" t="s">
        <v>671</v>
      </c>
      <c r="Z338" s="1" t="str">
        <f>TRIM(_xlfn.CONCAT(sales_data_sample[[#This Row],[CONTACTFIRSTNAME]],", ",sales_data_sample[[#This Row],[CONTACTLASTNAME]]))</f>
        <v>Jeff, Young</v>
      </c>
      <c r="AA338" s="1" t="s">
        <v>59</v>
      </c>
    </row>
    <row r="339" spans="1:27" x14ac:dyDescent="0.25">
      <c r="A339" s="10">
        <v>10359</v>
      </c>
      <c r="B339" s="9">
        <v>49</v>
      </c>
      <c r="C339" s="9">
        <v>6209</v>
      </c>
      <c r="D339" s="9">
        <f>PRODUCT(sales_data_sample[[#This Row],[QUANTITYORDERED]],sales_data_sample[[#This Row],[PRICEEACH]])</f>
        <v>304241</v>
      </c>
      <c r="E339" s="9">
        <f>IF(OR(sales_data_sample[[#This Row],[STATUS]]="Shipped",sales_data_sample[[#This Row],[STATUS]]="Resolved"),sales_data_sample[[#This Row],[SALES]],0)</f>
        <v>304241</v>
      </c>
      <c r="F339" s="10">
        <v>5</v>
      </c>
      <c r="G339" s="12" t="s">
        <v>535</v>
      </c>
      <c r="H339" s="1" t="s">
        <v>26</v>
      </c>
      <c r="I339">
        <v>4</v>
      </c>
      <c r="J339">
        <v>12</v>
      </c>
      <c r="K339">
        <v>2004</v>
      </c>
      <c r="L339" s="1" t="s">
        <v>239</v>
      </c>
      <c r="M339">
        <v>173</v>
      </c>
      <c r="N339" s="1" t="s">
        <v>736</v>
      </c>
      <c r="O339" s="1" t="s">
        <v>42</v>
      </c>
      <c r="P339" s="1" t="s">
        <v>43</v>
      </c>
      <c r="Q339" s="1" t="s">
        <v>44</v>
      </c>
      <c r="R339" s="1" t="s">
        <v>32</v>
      </c>
      <c r="S339" s="1" t="s">
        <v>45</v>
      </c>
      <c r="T339" s="1" t="s">
        <v>32</v>
      </c>
      <c r="U339" s="1" t="s">
        <v>46</v>
      </c>
      <c r="V339" s="1" t="s">
        <v>47</v>
      </c>
      <c r="W339" s="1" t="s">
        <v>48</v>
      </c>
      <c r="X339" s="1" t="s">
        <v>49</v>
      </c>
      <c r="Y339" s="1" t="s">
        <v>50</v>
      </c>
      <c r="Z339" s="1" t="str">
        <f>TRIM(_xlfn.CONCAT(sales_data_sample[[#This Row],[CONTACTFIRSTNAME]],", ",sales_data_sample[[#This Row],[CONTACTLASTNAME]]))</f>
        <v>Paul, Henriot</v>
      </c>
      <c r="AA339" s="1" t="s">
        <v>59</v>
      </c>
    </row>
    <row r="340" spans="1:27" x14ac:dyDescent="0.25">
      <c r="A340" s="10">
        <v>10372</v>
      </c>
      <c r="B340" s="9">
        <v>34</v>
      </c>
      <c r="C340" s="9">
        <v>100</v>
      </c>
      <c r="D340" s="9">
        <f>PRODUCT(sales_data_sample[[#This Row],[QUANTITYORDERED]],sales_data_sample[[#This Row],[PRICEEACH]])</f>
        <v>3400</v>
      </c>
      <c r="E340" s="9">
        <f>IF(OR(sales_data_sample[[#This Row],[STATUS]]="Shipped",sales_data_sample[[#This Row],[STATUS]]="Resolved"),sales_data_sample[[#This Row],[SALES]],0)</f>
        <v>3400</v>
      </c>
      <c r="F340" s="10">
        <v>1</v>
      </c>
      <c r="G340" s="12" t="s">
        <v>726</v>
      </c>
      <c r="H340" s="1" t="s">
        <v>26</v>
      </c>
      <c r="I340">
        <v>1</v>
      </c>
      <c r="J340">
        <v>1</v>
      </c>
      <c r="K340">
        <v>2005</v>
      </c>
      <c r="L340" s="1" t="s">
        <v>239</v>
      </c>
      <c r="M340">
        <v>173</v>
      </c>
      <c r="N340" s="1" t="s">
        <v>736</v>
      </c>
      <c r="O340" s="1" t="s">
        <v>328</v>
      </c>
      <c r="P340" s="1" t="s">
        <v>329</v>
      </c>
      <c r="Q340" s="1" t="s">
        <v>330</v>
      </c>
      <c r="R340" s="1" t="s">
        <v>32</v>
      </c>
      <c r="S340" s="1" t="s">
        <v>331</v>
      </c>
      <c r="T340" s="1" t="s">
        <v>332</v>
      </c>
      <c r="U340" s="1" t="s">
        <v>333</v>
      </c>
      <c r="V340" s="1" t="s">
        <v>264</v>
      </c>
      <c r="W340" s="1" t="s">
        <v>264</v>
      </c>
      <c r="X340" s="1" t="s">
        <v>334</v>
      </c>
      <c r="Y340" s="1" t="s">
        <v>335</v>
      </c>
      <c r="Z340" s="1" t="str">
        <f>TRIM(_xlfn.CONCAT(sales_data_sample[[#This Row],[CONTACTFIRSTNAME]],", ",sales_data_sample[[#This Row],[CONTACTLASTNAME]]))</f>
        <v>Akiko, Shimamura</v>
      </c>
      <c r="AA340" s="1" t="s">
        <v>59</v>
      </c>
    </row>
    <row r="341" spans="1:27" x14ac:dyDescent="0.25">
      <c r="A341" s="10">
        <v>10382</v>
      </c>
      <c r="B341" s="9">
        <v>34</v>
      </c>
      <c r="C341" s="9">
        <v>9535</v>
      </c>
      <c r="D341" s="9">
        <f>PRODUCT(sales_data_sample[[#This Row],[QUANTITYORDERED]],sales_data_sample[[#This Row],[PRICEEACH]])</f>
        <v>324190</v>
      </c>
      <c r="E341" s="9">
        <f>IF(OR(sales_data_sample[[#This Row],[STATUS]]="Shipped",sales_data_sample[[#This Row],[STATUS]]="Resolved"),sales_data_sample[[#This Row],[SALES]],0)</f>
        <v>324190</v>
      </c>
      <c r="F341" s="10">
        <v>12</v>
      </c>
      <c r="G341" s="12" t="s">
        <v>383</v>
      </c>
      <c r="H341" s="1" t="s">
        <v>26</v>
      </c>
      <c r="I341">
        <v>1</v>
      </c>
      <c r="J341">
        <v>2</v>
      </c>
      <c r="K341">
        <v>2005</v>
      </c>
      <c r="L341" s="1" t="s">
        <v>239</v>
      </c>
      <c r="M341">
        <v>173</v>
      </c>
      <c r="N341" s="1" t="s">
        <v>736</v>
      </c>
      <c r="O341" s="1" t="s">
        <v>361</v>
      </c>
      <c r="P341" s="1" t="s">
        <v>362</v>
      </c>
      <c r="Q341" s="1" t="s">
        <v>363</v>
      </c>
      <c r="R341" s="1" t="s">
        <v>32</v>
      </c>
      <c r="S341" s="1" t="s">
        <v>364</v>
      </c>
      <c r="T341" s="1" t="s">
        <v>65</v>
      </c>
      <c r="U341" s="1" t="s">
        <v>145</v>
      </c>
      <c r="V341" s="1" t="s">
        <v>36</v>
      </c>
      <c r="W341" s="1" t="s">
        <v>37</v>
      </c>
      <c r="X341" s="1" t="s">
        <v>365</v>
      </c>
      <c r="Y341" s="1" t="s">
        <v>366</v>
      </c>
      <c r="Z341" s="1" t="str">
        <f>TRIM(_xlfn.CONCAT(sales_data_sample[[#This Row],[CONTACTFIRSTNAME]],", ",sales_data_sample[[#This Row],[CONTACTLASTNAME]]))</f>
        <v>Valarie, Nelson</v>
      </c>
      <c r="AA341" s="1" t="s">
        <v>59</v>
      </c>
    </row>
    <row r="342" spans="1:27" x14ac:dyDescent="0.25">
      <c r="A342" s="10">
        <v>10396</v>
      </c>
      <c r="B342" s="9">
        <v>33</v>
      </c>
      <c r="C342" s="9">
        <v>100</v>
      </c>
      <c r="D342" s="9">
        <f>PRODUCT(sales_data_sample[[#This Row],[QUANTITYORDERED]],sales_data_sample[[#This Row],[PRICEEACH]])</f>
        <v>3300</v>
      </c>
      <c r="E342" s="9">
        <f>IF(OR(sales_data_sample[[#This Row],[STATUS]]="Shipped",sales_data_sample[[#This Row],[STATUS]]="Resolved"),sales_data_sample[[#This Row],[SALES]],0)</f>
        <v>3300</v>
      </c>
      <c r="F342" s="10">
        <v>3</v>
      </c>
      <c r="G342" s="12" t="s">
        <v>738</v>
      </c>
      <c r="H342" s="1" t="s">
        <v>26</v>
      </c>
      <c r="I342">
        <v>1</v>
      </c>
      <c r="J342">
        <v>3</v>
      </c>
      <c r="K342">
        <v>2005</v>
      </c>
      <c r="L342" s="1" t="s">
        <v>239</v>
      </c>
      <c r="M342">
        <v>173</v>
      </c>
      <c r="N342" s="1" t="s">
        <v>736</v>
      </c>
      <c r="O342" s="1" t="s">
        <v>361</v>
      </c>
      <c r="P342" s="1" t="s">
        <v>362</v>
      </c>
      <c r="Q342" s="1" t="s">
        <v>363</v>
      </c>
      <c r="R342" s="1" t="s">
        <v>32</v>
      </c>
      <c r="S342" s="1" t="s">
        <v>364</v>
      </c>
      <c r="T342" s="1" t="s">
        <v>65</v>
      </c>
      <c r="U342" s="1" t="s">
        <v>145</v>
      </c>
      <c r="V342" s="1" t="s">
        <v>36</v>
      </c>
      <c r="W342" s="1" t="s">
        <v>37</v>
      </c>
      <c r="X342" s="1" t="s">
        <v>365</v>
      </c>
      <c r="Y342" s="1" t="s">
        <v>366</v>
      </c>
      <c r="Z342" s="1" t="str">
        <f>TRIM(_xlfn.CONCAT(sales_data_sample[[#This Row],[CONTACTFIRSTNAME]],", ",sales_data_sample[[#This Row],[CONTACTLASTNAME]]))</f>
        <v>Valarie, Nelson</v>
      </c>
      <c r="AA342" s="1" t="s">
        <v>59</v>
      </c>
    </row>
    <row r="343" spans="1:27" x14ac:dyDescent="0.25">
      <c r="A343" s="10">
        <v>10413</v>
      </c>
      <c r="B343" s="9">
        <v>22</v>
      </c>
      <c r="C343" s="9">
        <v>100</v>
      </c>
      <c r="D343" s="9">
        <f>PRODUCT(sales_data_sample[[#This Row],[QUANTITYORDERED]],sales_data_sample[[#This Row],[PRICEEACH]])</f>
        <v>2200</v>
      </c>
      <c r="E343" s="9">
        <f>IF(OR(sales_data_sample[[#This Row],[STATUS]]="Shipped",sales_data_sample[[#This Row],[STATUS]]="Resolved"),sales_data_sample[[#This Row],[SALES]],0)</f>
        <v>2200</v>
      </c>
      <c r="F343" s="10">
        <v>1</v>
      </c>
      <c r="G343" s="12" t="s">
        <v>710</v>
      </c>
      <c r="H343" s="1" t="s">
        <v>26</v>
      </c>
      <c r="I343">
        <v>2</v>
      </c>
      <c r="J343">
        <v>5</v>
      </c>
      <c r="K343">
        <v>2005</v>
      </c>
      <c r="L343" s="1" t="s">
        <v>239</v>
      </c>
      <c r="M343">
        <v>173</v>
      </c>
      <c r="N343" s="1" t="s">
        <v>736</v>
      </c>
      <c r="O343" s="1" t="s">
        <v>140</v>
      </c>
      <c r="P343" s="1" t="s">
        <v>141</v>
      </c>
      <c r="Q343" s="1" t="s">
        <v>142</v>
      </c>
      <c r="R343" s="1" t="s">
        <v>32</v>
      </c>
      <c r="S343" s="1" t="s">
        <v>143</v>
      </c>
      <c r="T343" s="1" t="s">
        <v>144</v>
      </c>
      <c r="U343" s="1" t="s">
        <v>145</v>
      </c>
      <c r="V343" s="1" t="s">
        <v>36</v>
      </c>
      <c r="W343" s="1" t="s">
        <v>37</v>
      </c>
      <c r="X343" s="1" t="s">
        <v>146</v>
      </c>
      <c r="Y343" s="1" t="s">
        <v>68</v>
      </c>
      <c r="Z343" s="1" t="str">
        <f>TRIM(_xlfn.CONCAT(sales_data_sample[[#This Row],[CONTACTFIRSTNAME]],", ",sales_data_sample[[#This Row],[CONTACTLASTNAME]]))</f>
        <v>Julie, King</v>
      </c>
      <c r="AA343" s="1" t="s">
        <v>59</v>
      </c>
    </row>
    <row r="344" spans="1:27" x14ac:dyDescent="0.25">
      <c r="A344" s="10">
        <v>10108</v>
      </c>
      <c r="B344" s="9">
        <v>39</v>
      </c>
      <c r="C344" s="9">
        <v>8938</v>
      </c>
      <c r="D344" s="9">
        <f>PRODUCT(sales_data_sample[[#This Row],[QUANTITYORDERED]],sales_data_sample[[#This Row],[PRICEEACH]])</f>
        <v>348582</v>
      </c>
      <c r="E344" s="9">
        <f>IF(OR(sales_data_sample[[#This Row],[STATUS]]="Shipped",sales_data_sample[[#This Row],[STATUS]]="Resolved"),sales_data_sample[[#This Row],[SALES]],0)</f>
        <v>348582</v>
      </c>
      <c r="F344" s="10">
        <v>7</v>
      </c>
      <c r="G344" s="12" t="s">
        <v>589</v>
      </c>
      <c r="H344" s="1" t="s">
        <v>26</v>
      </c>
      <c r="I344">
        <v>1</v>
      </c>
      <c r="J344">
        <v>3</v>
      </c>
      <c r="K344">
        <v>2003</v>
      </c>
      <c r="L344" s="1" t="s">
        <v>239</v>
      </c>
      <c r="M344">
        <v>79</v>
      </c>
      <c r="N344" s="1" t="s">
        <v>739</v>
      </c>
      <c r="O344" s="1" t="s">
        <v>591</v>
      </c>
      <c r="P344" s="1" t="s">
        <v>592</v>
      </c>
      <c r="Q344" s="1" t="s">
        <v>593</v>
      </c>
      <c r="R344" s="1" t="s">
        <v>32</v>
      </c>
      <c r="S344" s="1" t="s">
        <v>594</v>
      </c>
      <c r="T344" s="1" t="s">
        <v>32</v>
      </c>
      <c r="U344" s="1" t="s">
        <v>595</v>
      </c>
      <c r="V344" s="1" t="s">
        <v>596</v>
      </c>
      <c r="W344" s="1" t="s">
        <v>264</v>
      </c>
      <c r="X344" s="1" t="s">
        <v>597</v>
      </c>
      <c r="Y344" s="1" t="s">
        <v>598</v>
      </c>
      <c r="Z344" s="1" t="str">
        <f>TRIM(_xlfn.CONCAT(sales_data_sample[[#This Row],[CONTACTFIRSTNAME]],", ",sales_data_sample[[#This Row],[CONTACTLASTNAME]]))</f>
        <v>Arnold, Cruz</v>
      </c>
      <c r="AA344" s="1" t="s">
        <v>59</v>
      </c>
    </row>
    <row r="345" spans="1:27" x14ac:dyDescent="0.25">
      <c r="A345" s="10">
        <v>10122</v>
      </c>
      <c r="B345" s="9">
        <v>32</v>
      </c>
      <c r="C345" s="9">
        <v>6384</v>
      </c>
      <c r="D345" s="9">
        <f>PRODUCT(sales_data_sample[[#This Row],[QUANTITYORDERED]],sales_data_sample[[#This Row],[PRICEEACH]])</f>
        <v>204288</v>
      </c>
      <c r="E345" s="9">
        <f>IF(OR(sales_data_sample[[#This Row],[STATUS]]="Shipped",sales_data_sample[[#This Row],[STATUS]]="Resolved"),sales_data_sample[[#This Row],[SALES]],0)</f>
        <v>204288</v>
      </c>
      <c r="F345" s="10">
        <v>11</v>
      </c>
      <c r="G345" s="12" t="s">
        <v>599</v>
      </c>
      <c r="H345" s="1" t="s">
        <v>26</v>
      </c>
      <c r="I345">
        <v>2</v>
      </c>
      <c r="J345">
        <v>5</v>
      </c>
      <c r="K345">
        <v>2003</v>
      </c>
      <c r="L345" s="1" t="s">
        <v>239</v>
      </c>
      <c r="M345">
        <v>79</v>
      </c>
      <c r="N345" s="1" t="s">
        <v>739</v>
      </c>
      <c r="O345" s="1" t="s">
        <v>600</v>
      </c>
      <c r="P345" s="1" t="s">
        <v>601</v>
      </c>
      <c r="Q345" s="1" t="s">
        <v>602</v>
      </c>
      <c r="R345" s="1" t="s">
        <v>32</v>
      </c>
      <c r="S345" s="1" t="s">
        <v>603</v>
      </c>
      <c r="T345" s="1" t="s">
        <v>32</v>
      </c>
      <c r="U345" s="1" t="s">
        <v>604</v>
      </c>
      <c r="V345" s="1" t="s">
        <v>47</v>
      </c>
      <c r="W345" s="1" t="s">
        <v>48</v>
      </c>
      <c r="X345" s="1" t="s">
        <v>605</v>
      </c>
      <c r="Y345" s="1" t="s">
        <v>606</v>
      </c>
      <c r="Z345" s="1" t="str">
        <f>TRIM(_xlfn.CONCAT(sales_data_sample[[#This Row],[CONTACTFIRSTNAME]],", ",sales_data_sample[[#This Row],[CONTACTLASTNAME]]))</f>
        <v>Laurence, Lebihan</v>
      </c>
      <c r="AA345" s="1" t="s">
        <v>40</v>
      </c>
    </row>
    <row r="346" spans="1:27" x14ac:dyDescent="0.25">
      <c r="A346" s="10">
        <v>10135</v>
      </c>
      <c r="B346" s="9">
        <v>24</v>
      </c>
      <c r="C346" s="9">
        <v>7501</v>
      </c>
      <c r="D346" s="9">
        <f>PRODUCT(sales_data_sample[[#This Row],[QUANTITYORDERED]],sales_data_sample[[#This Row],[PRICEEACH]])</f>
        <v>180024</v>
      </c>
      <c r="E346" s="9">
        <f>IF(OR(sales_data_sample[[#This Row],[STATUS]]="Shipped",sales_data_sample[[#This Row],[STATUS]]="Resolved"),sales_data_sample[[#This Row],[SALES]],0)</f>
        <v>180024</v>
      </c>
      <c r="F346" s="10">
        <v>8</v>
      </c>
      <c r="G346" s="12" t="s">
        <v>607</v>
      </c>
      <c r="H346" s="1" t="s">
        <v>26</v>
      </c>
      <c r="I346">
        <v>3</v>
      </c>
      <c r="J346">
        <v>7</v>
      </c>
      <c r="K346">
        <v>2003</v>
      </c>
      <c r="L346" s="1" t="s">
        <v>239</v>
      </c>
      <c r="M346">
        <v>79</v>
      </c>
      <c r="N346" s="1" t="s">
        <v>739</v>
      </c>
      <c r="O346" s="1" t="s">
        <v>361</v>
      </c>
      <c r="P346" s="1" t="s">
        <v>362</v>
      </c>
      <c r="Q346" s="1" t="s">
        <v>363</v>
      </c>
      <c r="R346" s="1" t="s">
        <v>32</v>
      </c>
      <c r="S346" s="1" t="s">
        <v>364</v>
      </c>
      <c r="T346" s="1" t="s">
        <v>65</v>
      </c>
      <c r="U346" s="1" t="s">
        <v>145</v>
      </c>
      <c r="V346" s="1" t="s">
        <v>36</v>
      </c>
      <c r="W346" s="1" t="s">
        <v>37</v>
      </c>
      <c r="X346" s="1" t="s">
        <v>365</v>
      </c>
      <c r="Y346" s="1" t="s">
        <v>366</v>
      </c>
      <c r="Z346" s="1" t="str">
        <f>TRIM(_xlfn.CONCAT(sales_data_sample[[#This Row],[CONTACTFIRSTNAME]],", ",sales_data_sample[[#This Row],[CONTACTLASTNAME]]))</f>
        <v>Valarie, Nelson</v>
      </c>
      <c r="AA346" s="1" t="s">
        <v>40</v>
      </c>
    </row>
    <row r="347" spans="1:27" x14ac:dyDescent="0.25">
      <c r="A347" s="10">
        <v>10147</v>
      </c>
      <c r="B347" s="9">
        <v>21</v>
      </c>
      <c r="C347" s="9">
        <v>6384</v>
      </c>
      <c r="D347" s="9">
        <f>PRODUCT(sales_data_sample[[#This Row],[QUANTITYORDERED]],sales_data_sample[[#This Row],[PRICEEACH]])</f>
        <v>134064</v>
      </c>
      <c r="E347" s="9">
        <f>IF(OR(sales_data_sample[[#This Row],[STATUS]]="Shipped",sales_data_sample[[#This Row],[STATUS]]="Resolved"),sales_data_sample[[#This Row],[SALES]],0)</f>
        <v>134064</v>
      </c>
      <c r="F347" s="10">
        <v>8</v>
      </c>
      <c r="G347" s="12" t="s">
        <v>608</v>
      </c>
      <c r="H347" s="1" t="s">
        <v>26</v>
      </c>
      <c r="I347">
        <v>3</v>
      </c>
      <c r="J347">
        <v>9</v>
      </c>
      <c r="K347">
        <v>2003</v>
      </c>
      <c r="L347" s="1" t="s">
        <v>239</v>
      </c>
      <c r="M347">
        <v>79</v>
      </c>
      <c r="N347" s="1" t="s">
        <v>739</v>
      </c>
      <c r="O347" s="1" t="s">
        <v>378</v>
      </c>
      <c r="P347" s="1" t="s">
        <v>157</v>
      </c>
      <c r="Q347" s="1" t="s">
        <v>379</v>
      </c>
      <c r="R347" s="1" t="s">
        <v>32</v>
      </c>
      <c r="S347" s="1" t="s">
        <v>380</v>
      </c>
      <c r="T347" s="1" t="s">
        <v>160</v>
      </c>
      <c r="U347" s="1" t="s">
        <v>381</v>
      </c>
      <c r="V347" s="1" t="s">
        <v>36</v>
      </c>
      <c r="W347" s="1" t="s">
        <v>37</v>
      </c>
      <c r="X347" s="1" t="s">
        <v>365</v>
      </c>
      <c r="Y347" s="1" t="s">
        <v>382</v>
      </c>
      <c r="Z347" s="1" t="str">
        <f>TRIM(_xlfn.CONCAT(sales_data_sample[[#This Row],[CONTACTFIRSTNAME]],", ",sales_data_sample[[#This Row],[CONTACTLASTNAME]]))</f>
        <v>Allen, Nelson</v>
      </c>
      <c r="AA347" s="1" t="s">
        <v>40</v>
      </c>
    </row>
    <row r="348" spans="1:27" x14ac:dyDescent="0.25">
      <c r="A348" s="10">
        <v>10159</v>
      </c>
      <c r="B348" s="9">
        <v>24</v>
      </c>
      <c r="C348" s="9">
        <v>7342</v>
      </c>
      <c r="D348" s="9">
        <f>PRODUCT(sales_data_sample[[#This Row],[QUANTITYORDERED]],sales_data_sample[[#This Row],[PRICEEACH]])</f>
        <v>176208</v>
      </c>
      <c r="E348" s="9">
        <f>IF(OR(sales_data_sample[[#This Row],[STATUS]]="Shipped",sales_data_sample[[#This Row],[STATUS]]="Resolved"),sales_data_sample[[#This Row],[SALES]],0)</f>
        <v>176208</v>
      </c>
      <c r="F348" s="10">
        <v>3</v>
      </c>
      <c r="G348" s="12" t="s">
        <v>69</v>
      </c>
      <c r="H348" s="1" t="s">
        <v>26</v>
      </c>
      <c r="I348">
        <v>4</v>
      </c>
      <c r="J348">
        <v>10</v>
      </c>
      <c r="K348">
        <v>2003</v>
      </c>
      <c r="L348" s="1" t="s">
        <v>239</v>
      </c>
      <c r="M348">
        <v>79</v>
      </c>
      <c r="N348" s="1" t="s">
        <v>739</v>
      </c>
      <c r="O348" s="1" t="s">
        <v>70</v>
      </c>
      <c r="P348" s="1" t="s">
        <v>71</v>
      </c>
      <c r="Q348" s="1" t="s">
        <v>72</v>
      </c>
      <c r="R348" s="1" t="s">
        <v>32</v>
      </c>
      <c r="S348" s="1" t="s">
        <v>73</v>
      </c>
      <c r="T348" s="1" t="s">
        <v>65</v>
      </c>
      <c r="U348" s="1" t="s">
        <v>32</v>
      </c>
      <c r="V348" s="1" t="s">
        <v>36</v>
      </c>
      <c r="W348" s="1" t="s">
        <v>37</v>
      </c>
      <c r="X348" s="1" t="s">
        <v>74</v>
      </c>
      <c r="Y348" s="1" t="s">
        <v>68</v>
      </c>
      <c r="Z348" s="1" t="str">
        <f>TRIM(_xlfn.CONCAT(sales_data_sample[[#This Row],[CONTACTFIRSTNAME]],", ",sales_data_sample[[#This Row],[CONTACTLASTNAME]]))</f>
        <v>Julie, Brown</v>
      </c>
      <c r="AA348" s="1" t="s">
        <v>40</v>
      </c>
    </row>
    <row r="349" spans="1:27" x14ac:dyDescent="0.25">
      <c r="A349">
        <v>10169</v>
      </c>
      <c r="B349">
        <v>36</v>
      </c>
      <c r="C349">
        <v>6384</v>
      </c>
      <c r="D349">
        <f>PRODUCT(sales_data_sample[[#This Row],[QUANTITYORDERED]],sales_data_sample[[#This Row],[PRICEEACH]])</f>
        <v>229824</v>
      </c>
      <c r="E349" s="9">
        <f>IF(OR(sales_data_sample[[#This Row],[STATUS]]="Shipped",sales_data_sample[[#This Row],[STATUS]]="Resolved"),sales_data_sample[[#This Row],[SALES]],0)</f>
        <v>229824</v>
      </c>
      <c r="F349">
        <v>3</v>
      </c>
      <c r="G349" s="12" t="s">
        <v>609</v>
      </c>
      <c r="H349" s="1" t="s">
        <v>26</v>
      </c>
      <c r="I349">
        <v>4</v>
      </c>
      <c r="J349">
        <v>11</v>
      </c>
      <c r="K349">
        <v>2003</v>
      </c>
      <c r="L349" s="1" t="s">
        <v>239</v>
      </c>
      <c r="M349">
        <v>79</v>
      </c>
      <c r="N349" s="1" t="s">
        <v>739</v>
      </c>
      <c r="O349" s="1" t="s">
        <v>385</v>
      </c>
      <c r="P349" s="1" t="s">
        <v>386</v>
      </c>
      <c r="Q349" s="1" t="s">
        <v>387</v>
      </c>
      <c r="R349" s="1" t="s">
        <v>388</v>
      </c>
      <c r="S349" s="1" t="s">
        <v>389</v>
      </c>
      <c r="T349" s="1" t="s">
        <v>206</v>
      </c>
      <c r="U349" s="1" t="s">
        <v>390</v>
      </c>
      <c r="V349" s="1" t="s">
        <v>120</v>
      </c>
      <c r="W349" s="1" t="s">
        <v>121</v>
      </c>
      <c r="X349" s="1" t="s">
        <v>391</v>
      </c>
      <c r="Y349" s="1" t="s">
        <v>392</v>
      </c>
      <c r="Z349" s="1" t="str">
        <f>TRIM(_xlfn.CONCAT(sales_data_sample[[#This Row],[CONTACTFIRSTNAME]],", ",sales_data_sample[[#This Row],[CONTACTLASTNAME]]))</f>
        <v>Anna, O'Hara</v>
      </c>
      <c r="AA349" s="1" t="s">
        <v>40</v>
      </c>
    </row>
    <row r="350" spans="1:27" x14ac:dyDescent="0.25">
      <c r="A350" s="10">
        <v>10181</v>
      </c>
      <c r="B350" s="9">
        <v>20</v>
      </c>
      <c r="C350" s="9">
        <v>814</v>
      </c>
      <c r="D350" s="9">
        <f>PRODUCT(sales_data_sample[[#This Row],[QUANTITYORDERED]],sales_data_sample[[#This Row],[PRICEEACH]])</f>
        <v>16280</v>
      </c>
      <c r="E350" s="9">
        <f>IF(OR(sales_data_sample[[#This Row],[STATUS]]="Shipped",sales_data_sample[[#This Row],[STATUS]]="Resolved"),sales_data_sample[[#This Row],[SALES]],0)</f>
        <v>16280</v>
      </c>
      <c r="F350" s="10">
        <v>15</v>
      </c>
      <c r="G350" s="12" t="s">
        <v>610</v>
      </c>
      <c r="H350" s="1" t="s">
        <v>26</v>
      </c>
      <c r="I350">
        <v>4</v>
      </c>
      <c r="J350">
        <v>11</v>
      </c>
      <c r="K350">
        <v>2003</v>
      </c>
      <c r="L350" s="1" t="s">
        <v>239</v>
      </c>
      <c r="M350">
        <v>79</v>
      </c>
      <c r="N350" s="1" t="s">
        <v>739</v>
      </c>
      <c r="O350" s="1" t="s">
        <v>92</v>
      </c>
      <c r="P350" s="1" t="s">
        <v>93</v>
      </c>
      <c r="Q350" s="1" t="s">
        <v>94</v>
      </c>
      <c r="R350" s="1" t="s">
        <v>32</v>
      </c>
      <c r="S350" s="1" t="s">
        <v>95</v>
      </c>
      <c r="T350" s="1" t="s">
        <v>32</v>
      </c>
      <c r="U350" s="1" t="s">
        <v>96</v>
      </c>
      <c r="V350" s="1" t="s">
        <v>97</v>
      </c>
      <c r="W350" s="1" t="s">
        <v>48</v>
      </c>
      <c r="X350" s="1" t="s">
        <v>98</v>
      </c>
      <c r="Y350" s="1" t="s">
        <v>99</v>
      </c>
      <c r="Z350" s="1" t="str">
        <f>TRIM(_xlfn.CONCAT(sales_data_sample[[#This Row],[CONTACTFIRSTNAME]],", ",sales_data_sample[[#This Row],[CONTACTLASTNAME]]))</f>
        <v>Veysel, Oeztan</v>
      </c>
      <c r="AA350" s="1" t="s">
        <v>40</v>
      </c>
    </row>
    <row r="351" spans="1:27" x14ac:dyDescent="0.25">
      <c r="A351" s="10">
        <v>10191</v>
      </c>
      <c r="B351" s="9">
        <v>30</v>
      </c>
      <c r="C351" s="9">
        <v>6464</v>
      </c>
      <c r="D351" s="9">
        <f>PRODUCT(sales_data_sample[[#This Row],[QUANTITYORDERED]],sales_data_sample[[#This Row],[PRICEEACH]])</f>
        <v>193920</v>
      </c>
      <c r="E351" s="9">
        <f>IF(OR(sales_data_sample[[#This Row],[STATUS]]="Shipped",sales_data_sample[[#This Row],[STATUS]]="Resolved"),sales_data_sample[[#This Row],[SALES]],0)</f>
        <v>193920</v>
      </c>
      <c r="F351" s="10">
        <v>4</v>
      </c>
      <c r="G351" s="12" t="s">
        <v>611</v>
      </c>
      <c r="H351" s="1" t="s">
        <v>26</v>
      </c>
      <c r="I351">
        <v>4</v>
      </c>
      <c r="J351">
        <v>11</v>
      </c>
      <c r="K351">
        <v>2003</v>
      </c>
      <c r="L351" s="1" t="s">
        <v>239</v>
      </c>
      <c r="M351">
        <v>79</v>
      </c>
      <c r="N351" s="1" t="s">
        <v>739</v>
      </c>
      <c r="O351" s="1" t="s">
        <v>612</v>
      </c>
      <c r="P351" s="1" t="s">
        <v>613</v>
      </c>
      <c r="Q351" s="1" t="s">
        <v>614</v>
      </c>
      <c r="R351" s="1" t="s">
        <v>32</v>
      </c>
      <c r="S351" s="1" t="s">
        <v>615</v>
      </c>
      <c r="T351" s="1" t="s">
        <v>32</v>
      </c>
      <c r="U351" s="1" t="s">
        <v>616</v>
      </c>
      <c r="V351" s="1" t="s">
        <v>617</v>
      </c>
      <c r="W351" s="1" t="s">
        <v>48</v>
      </c>
      <c r="X351" s="1" t="s">
        <v>618</v>
      </c>
      <c r="Y351" s="1" t="s">
        <v>619</v>
      </c>
      <c r="Z351" s="1" t="str">
        <f>TRIM(_xlfn.CONCAT(sales_data_sample[[#This Row],[CONTACTFIRSTNAME]],", ",sales_data_sample[[#This Row],[CONTACTLASTNAME]]))</f>
        <v>Henriette, Pfalzheim</v>
      </c>
      <c r="AA351" s="1" t="s">
        <v>40</v>
      </c>
    </row>
    <row r="352" spans="1:27" x14ac:dyDescent="0.25">
      <c r="A352" s="10">
        <v>10203</v>
      </c>
      <c r="B352" s="9">
        <v>44</v>
      </c>
      <c r="C352" s="9">
        <v>8299</v>
      </c>
      <c r="D352" s="9">
        <f>PRODUCT(sales_data_sample[[#This Row],[QUANTITYORDERED]],sales_data_sample[[#This Row],[PRICEEACH]])</f>
        <v>365156</v>
      </c>
      <c r="E352" s="9">
        <f>IF(OR(sales_data_sample[[#This Row],[STATUS]]="Shipped",sales_data_sample[[#This Row],[STATUS]]="Resolved"),sales_data_sample[[#This Row],[SALES]],0)</f>
        <v>365156</v>
      </c>
      <c r="F352" s="10">
        <v>9</v>
      </c>
      <c r="G352" s="12" t="s">
        <v>620</v>
      </c>
      <c r="H352" s="1" t="s">
        <v>26</v>
      </c>
      <c r="I352">
        <v>4</v>
      </c>
      <c r="J352">
        <v>12</v>
      </c>
      <c r="K352">
        <v>2003</v>
      </c>
      <c r="L352" s="1" t="s">
        <v>239</v>
      </c>
      <c r="M352">
        <v>79</v>
      </c>
      <c r="N352" s="1" t="s">
        <v>739</v>
      </c>
      <c r="O352" s="1" t="s">
        <v>230</v>
      </c>
      <c r="P352" s="1" t="s">
        <v>231</v>
      </c>
      <c r="Q352" s="1" t="s">
        <v>232</v>
      </c>
      <c r="R352" s="1" t="s">
        <v>32</v>
      </c>
      <c r="S352" s="1" t="s">
        <v>233</v>
      </c>
      <c r="T352" s="1" t="s">
        <v>32</v>
      </c>
      <c r="U352" s="1" t="s">
        <v>234</v>
      </c>
      <c r="V352" s="1" t="s">
        <v>235</v>
      </c>
      <c r="W352" s="1" t="s">
        <v>48</v>
      </c>
      <c r="X352" s="1" t="s">
        <v>236</v>
      </c>
      <c r="Y352" s="1" t="s">
        <v>237</v>
      </c>
      <c r="Z352" s="1" t="str">
        <f>TRIM(_xlfn.CONCAT(sales_data_sample[[#This Row],[CONTACTFIRSTNAME]],", ",sales_data_sample[[#This Row],[CONTACTLASTNAME]]))</f>
        <v>Diego, Freyre</v>
      </c>
      <c r="AA352" s="1" t="s">
        <v>59</v>
      </c>
    </row>
    <row r="353" spans="1:27" x14ac:dyDescent="0.25">
      <c r="A353" s="10">
        <v>10211</v>
      </c>
      <c r="B353" s="9">
        <v>28</v>
      </c>
      <c r="C353" s="9">
        <v>9257</v>
      </c>
      <c r="D353" s="9">
        <f>PRODUCT(sales_data_sample[[#This Row],[QUANTITYORDERED]],sales_data_sample[[#This Row],[PRICEEACH]])</f>
        <v>259196</v>
      </c>
      <c r="E353" s="9">
        <f>IF(OR(sales_data_sample[[#This Row],[STATUS]]="Shipped",sales_data_sample[[#This Row],[STATUS]]="Resolved"),sales_data_sample[[#This Row],[SALES]],0)</f>
        <v>259196</v>
      </c>
      <c r="F353" s="10">
        <v>3</v>
      </c>
      <c r="G353" s="12" t="s">
        <v>105</v>
      </c>
      <c r="H353" s="1" t="s">
        <v>26</v>
      </c>
      <c r="I353">
        <v>1</v>
      </c>
      <c r="J353">
        <v>1</v>
      </c>
      <c r="K353">
        <v>2004</v>
      </c>
      <c r="L353" s="1" t="s">
        <v>239</v>
      </c>
      <c r="M353">
        <v>79</v>
      </c>
      <c r="N353" s="1" t="s">
        <v>739</v>
      </c>
      <c r="O353" s="1" t="s">
        <v>106</v>
      </c>
      <c r="P353" s="1" t="s">
        <v>107</v>
      </c>
      <c r="Q353" s="1" t="s">
        <v>108</v>
      </c>
      <c r="R353" s="1" t="s">
        <v>32</v>
      </c>
      <c r="S353" s="1" t="s">
        <v>55</v>
      </c>
      <c r="T353" s="1" t="s">
        <v>32</v>
      </c>
      <c r="U353" s="1" t="s">
        <v>109</v>
      </c>
      <c r="V353" s="1" t="s">
        <v>47</v>
      </c>
      <c r="W353" s="1" t="s">
        <v>48</v>
      </c>
      <c r="X353" s="1" t="s">
        <v>110</v>
      </c>
      <c r="Y353" s="1" t="s">
        <v>111</v>
      </c>
      <c r="Z353" s="1" t="str">
        <f>TRIM(_xlfn.CONCAT(sales_data_sample[[#This Row],[CONTACTFIRSTNAME]],", ",sales_data_sample[[#This Row],[CONTACTLASTNAME]]))</f>
        <v>Dominique, Perrier</v>
      </c>
      <c r="AA353" s="1" t="s">
        <v>40</v>
      </c>
    </row>
    <row r="354" spans="1:27" x14ac:dyDescent="0.25">
      <c r="A354" s="10">
        <v>10225</v>
      </c>
      <c r="B354" s="9">
        <v>37</v>
      </c>
      <c r="C354" s="9">
        <v>7741</v>
      </c>
      <c r="D354" s="9">
        <f>PRODUCT(sales_data_sample[[#This Row],[QUANTITYORDERED]],sales_data_sample[[#This Row],[PRICEEACH]])</f>
        <v>286417</v>
      </c>
      <c r="E354" s="9">
        <f>IF(OR(sales_data_sample[[#This Row],[STATUS]]="Shipped",sales_data_sample[[#This Row],[STATUS]]="Resolved"),sales_data_sample[[#This Row],[SALES]],0)</f>
        <v>286417</v>
      </c>
      <c r="F354" s="10">
        <v>10</v>
      </c>
      <c r="G354" s="12" t="s">
        <v>621</v>
      </c>
      <c r="H354" s="1" t="s">
        <v>26</v>
      </c>
      <c r="I354">
        <v>1</v>
      </c>
      <c r="J354">
        <v>2</v>
      </c>
      <c r="K354">
        <v>2004</v>
      </c>
      <c r="L354" s="1" t="s">
        <v>239</v>
      </c>
      <c r="M354">
        <v>79</v>
      </c>
      <c r="N354" s="1" t="s">
        <v>739</v>
      </c>
      <c r="O354" s="1" t="s">
        <v>622</v>
      </c>
      <c r="P354" s="1" t="s">
        <v>623</v>
      </c>
      <c r="Q354" s="1" t="s">
        <v>624</v>
      </c>
      <c r="R354" s="1" t="s">
        <v>32</v>
      </c>
      <c r="S354" s="1" t="s">
        <v>625</v>
      </c>
      <c r="T354" s="1" t="s">
        <v>32</v>
      </c>
      <c r="U354" s="1" t="s">
        <v>626</v>
      </c>
      <c r="V354" s="1" t="s">
        <v>627</v>
      </c>
      <c r="W354" s="1" t="s">
        <v>48</v>
      </c>
      <c r="X354" s="1" t="s">
        <v>628</v>
      </c>
      <c r="Y354" s="1" t="s">
        <v>130</v>
      </c>
      <c r="Z354" s="1" t="str">
        <f>TRIM(_xlfn.CONCAT(sales_data_sample[[#This Row],[CONTACTFIRSTNAME]],", ",sales_data_sample[[#This Row],[CONTACTLASTNAME]]))</f>
        <v>Michael, Holz</v>
      </c>
      <c r="AA354" s="1" t="s">
        <v>40</v>
      </c>
    </row>
    <row r="355" spans="1:27" x14ac:dyDescent="0.25">
      <c r="A355" s="10">
        <v>10238</v>
      </c>
      <c r="B355" s="9">
        <v>20</v>
      </c>
      <c r="C355" s="9">
        <v>7421</v>
      </c>
      <c r="D355" s="9">
        <f>PRODUCT(sales_data_sample[[#This Row],[QUANTITYORDERED]],sales_data_sample[[#This Row],[PRICEEACH]])</f>
        <v>148420</v>
      </c>
      <c r="E355" s="9">
        <f>IF(OR(sales_data_sample[[#This Row],[STATUS]]="Shipped",sales_data_sample[[#This Row],[STATUS]]="Resolved"),sales_data_sample[[#This Row],[SALES]],0)</f>
        <v>148420</v>
      </c>
      <c r="F355" s="10">
        <v>4</v>
      </c>
      <c r="G355" s="12" t="s">
        <v>629</v>
      </c>
      <c r="H355" s="1" t="s">
        <v>26</v>
      </c>
      <c r="I355">
        <v>2</v>
      </c>
      <c r="J355">
        <v>4</v>
      </c>
      <c r="K355">
        <v>2004</v>
      </c>
      <c r="L355" s="1" t="s">
        <v>239</v>
      </c>
      <c r="M355">
        <v>79</v>
      </c>
      <c r="N355" s="1" t="s">
        <v>739</v>
      </c>
      <c r="O355" s="1" t="s">
        <v>437</v>
      </c>
      <c r="P355" s="1" t="s">
        <v>438</v>
      </c>
      <c r="Q355" s="1" t="s">
        <v>439</v>
      </c>
      <c r="R355" s="1" t="s">
        <v>32</v>
      </c>
      <c r="S355" s="1" t="s">
        <v>440</v>
      </c>
      <c r="T355" s="1" t="s">
        <v>32</v>
      </c>
      <c r="U355" s="1" t="s">
        <v>441</v>
      </c>
      <c r="V355" s="1" t="s">
        <v>442</v>
      </c>
      <c r="W355" s="1" t="s">
        <v>48</v>
      </c>
      <c r="X355" s="1" t="s">
        <v>443</v>
      </c>
      <c r="Y355" s="1" t="s">
        <v>444</v>
      </c>
      <c r="Z355" s="1" t="str">
        <f>TRIM(_xlfn.CONCAT(sales_data_sample[[#This Row],[CONTACTFIRSTNAME]],", ",sales_data_sample[[#This Row],[CONTACTLASTNAME]]))</f>
        <v>Jytte, Petersen</v>
      </c>
      <c r="AA355" s="1" t="s">
        <v>40</v>
      </c>
    </row>
    <row r="356" spans="1:27" x14ac:dyDescent="0.25">
      <c r="A356" s="10">
        <v>10253</v>
      </c>
      <c r="B356" s="9">
        <v>25</v>
      </c>
      <c r="C356" s="9">
        <v>9017</v>
      </c>
      <c r="D356" s="9">
        <f>PRODUCT(sales_data_sample[[#This Row],[QUANTITYORDERED]],sales_data_sample[[#This Row],[PRICEEACH]])</f>
        <v>225425</v>
      </c>
      <c r="E356" s="9">
        <f>IF(OR(sales_data_sample[[#This Row],[STATUS]]="Shipped",sales_data_sample[[#This Row],[STATUS]]="Resolved"),sales_data_sample[[#This Row],[SALES]],0)</f>
        <v>0</v>
      </c>
      <c r="F356" s="10">
        <v>14</v>
      </c>
      <c r="G356" s="12" t="s">
        <v>630</v>
      </c>
      <c r="H356" s="1" t="s">
        <v>461</v>
      </c>
      <c r="I356">
        <v>2</v>
      </c>
      <c r="J356">
        <v>6</v>
      </c>
      <c r="K356">
        <v>2004</v>
      </c>
      <c r="L356" s="1" t="s">
        <v>239</v>
      </c>
      <c r="M356">
        <v>79</v>
      </c>
      <c r="N356" s="1" t="s">
        <v>739</v>
      </c>
      <c r="O356" s="1" t="s">
        <v>220</v>
      </c>
      <c r="P356" s="1" t="s">
        <v>221</v>
      </c>
      <c r="Q356" s="1" t="s">
        <v>222</v>
      </c>
      <c r="R356" s="1" t="s">
        <v>32</v>
      </c>
      <c r="S356" s="1" t="s">
        <v>223</v>
      </c>
      <c r="T356" s="1" t="s">
        <v>32</v>
      </c>
      <c r="U356" s="1" t="s">
        <v>224</v>
      </c>
      <c r="V356" s="1" t="s">
        <v>225</v>
      </c>
      <c r="W356" s="1" t="s">
        <v>48</v>
      </c>
      <c r="X356" s="1" t="s">
        <v>226</v>
      </c>
      <c r="Y356" s="1" t="s">
        <v>227</v>
      </c>
      <c r="Z356" s="1" t="str">
        <f>TRIM(_xlfn.CONCAT(sales_data_sample[[#This Row],[CONTACTFIRSTNAME]],", ",sales_data_sample[[#This Row],[CONTACTLASTNAME]]))</f>
        <v>Elizabeth, Devon</v>
      </c>
      <c r="AA356" s="1" t="s">
        <v>40</v>
      </c>
    </row>
    <row r="357" spans="1:27" x14ac:dyDescent="0.25">
      <c r="A357" s="10">
        <v>10266</v>
      </c>
      <c r="B357" s="9">
        <v>35</v>
      </c>
      <c r="C357" s="9">
        <v>7661</v>
      </c>
      <c r="D357" s="9">
        <f>PRODUCT(sales_data_sample[[#This Row],[QUANTITYORDERED]],sales_data_sample[[#This Row],[PRICEEACH]])</f>
        <v>268135</v>
      </c>
      <c r="E357" s="9">
        <f>IF(OR(sales_data_sample[[#This Row],[STATUS]]="Shipped",sales_data_sample[[#This Row],[STATUS]]="Resolved"),sales_data_sample[[#This Row],[SALES]],0)</f>
        <v>268135</v>
      </c>
      <c r="F357" s="10">
        <v>15</v>
      </c>
      <c r="G357" s="12" t="s">
        <v>631</v>
      </c>
      <c r="H357" s="1" t="s">
        <v>26</v>
      </c>
      <c r="I357">
        <v>3</v>
      </c>
      <c r="J357">
        <v>7</v>
      </c>
      <c r="K357">
        <v>2004</v>
      </c>
      <c r="L357" s="1" t="s">
        <v>239</v>
      </c>
      <c r="M357">
        <v>79</v>
      </c>
      <c r="N357" s="1" t="s">
        <v>739</v>
      </c>
      <c r="O357" s="1" t="s">
        <v>632</v>
      </c>
      <c r="P357" s="1" t="s">
        <v>633</v>
      </c>
      <c r="Q357" s="1" t="s">
        <v>634</v>
      </c>
      <c r="R357" s="1" t="s">
        <v>32</v>
      </c>
      <c r="S357" s="1" t="s">
        <v>635</v>
      </c>
      <c r="T357" s="1" t="s">
        <v>32</v>
      </c>
      <c r="U357" s="1" t="s">
        <v>636</v>
      </c>
      <c r="V357" s="1" t="s">
        <v>343</v>
      </c>
      <c r="W357" s="1" t="s">
        <v>48</v>
      </c>
      <c r="X357" s="1" t="s">
        <v>637</v>
      </c>
      <c r="Y357" s="1" t="s">
        <v>638</v>
      </c>
      <c r="Z357" s="1" t="str">
        <f>TRIM(_xlfn.CONCAT(sales_data_sample[[#This Row],[CONTACTFIRSTNAME]],", ",sales_data_sample[[#This Row],[CONTACTLASTNAME]]))</f>
        <v>Maurizio, Moroni</v>
      </c>
      <c r="AA357" s="1" t="s">
        <v>40</v>
      </c>
    </row>
    <row r="358" spans="1:27" x14ac:dyDescent="0.25">
      <c r="A358" s="10">
        <v>10276</v>
      </c>
      <c r="B358" s="9">
        <v>38</v>
      </c>
      <c r="C358" s="9">
        <v>8379</v>
      </c>
      <c r="D358" s="9">
        <f>PRODUCT(sales_data_sample[[#This Row],[QUANTITYORDERED]],sales_data_sample[[#This Row],[PRICEEACH]])</f>
        <v>318402</v>
      </c>
      <c r="E358" s="9">
        <f>IF(OR(sales_data_sample[[#This Row],[STATUS]]="Shipped",sales_data_sample[[#This Row],[STATUS]]="Resolved"),sales_data_sample[[#This Row],[SALES]],0)</f>
        <v>318402</v>
      </c>
      <c r="F358" s="10">
        <v>4</v>
      </c>
      <c r="G358" s="12" t="s">
        <v>639</v>
      </c>
      <c r="H358" s="1" t="s">
        <v>26</v>
      </c>
      <c r="I358">
        <v>3</v>
      </c>
      <c r="J358">
        <v>8</v>
      </c>
      <c r="K358">
        <v>2004</v>
      </c>
      <c r="L358" s="1" t="s">
        <v>239</v>
      </c>
      <c r="M358">
        <v>79</v>
      </c>
      <c r="N358" s="1" t="s">
        <v>739</v>
      </c>
      <c r="O358" s="1" t="s">
        <v>640</v>
      </c>
      <c r="P358" s="1" t="s">
        <v>641</v>
      </c>
      <c r="Q358" s="1" t="s">
        <v>642</v>
      </c>
      <c r="R358" s="1" t="s">
        <v>32</v>
      </c>
      <c r="S358" s="1" t="s">
        <v>380</v>
      </c>
      <c r="T358" s="1" t="s">
        <v>160</v>
      </c>
      <c r="U358" s="1" t="s">
        <v>381</v>
      </c>
      <c r="V358" s="1" t="s">
        <v>36</v>
      </c>
      <c r="W358" s="1" t="s">
        <v>37</v>
      </c>
      <c r="X358" s="1" t="s">
        <v>643</v>
      </c>
      <c r="Y358" s="1" t="s">
        <v>644</v>
      </c>
      <c r="Z358" s="1" t="str">
        <f>TRIM(_xlfn.CONCAT(sales_data_sample[[#This Row],[CONTACTFIRSTNAME]],", ",sales_data_sample[[#This Row],[CONTACTLASTNAME]]))</f>
        <v>Miguel, Barajas</v>
      </c>
      <c r="AA358" s="1" t="s">
        <v>59</v>
      </c>
    </row>
    <row r="359" spans="1:27" x14ac:dyDescent="0.25">
      <c r="A359" s="10">
        <v>10287</v>
      </c>
      <c r="B359" s="9">
        <v>41</v>
      </c>
      <c r="C359" s="9">
        <v>6943</v>
      </c>
      <c r="D359" s="9">
        <f>PRODUCT(sales_data_sample[[#This Row],[QUANTITYORDERED]],sales_data_sample[[#This Row],[PRICEEACH]])</f>
        <v>284663</v>
      </c>
      <c r="E359" s="9">
        <f>IF(OR(sales_data_sample[[#This Row],[STATUS]]="Shipped",sales_data_sample[[#This Row],[STATUS]]="Resolved"),sales_data_sample[[#This Row],[SALES]],0)</f>
        <v>284663</v>
      </c>
      <c r="F359" s="10">
        <v>13</v>
      </c>
      <c r="G359" s="12" t="s">
        <v>645</v>
      </c>
      <c r="H359" s="1" t="s">
        <v>26</v>
      </c>
      <c r="I359">
        <v>3</v>
      </c>
      <c r="J359">
        <v>8</v>
      </c>
      <c r="K359">
        <v>2004</v>
      </c>
      <c r="L359" s="1" t="s">
        <v>239</v>
      </c>
      <c r="M359">
        <v>79</v>
      </c>
      <c r="N359" s="1" t="s">
        <v>739</v>
      </c>
      <c r="O359" s="1" t="s">
        <v>622</v>
      </c>
      <c r="P359" s="1" t="s">
        <v>623</v>
      </c>
      <c r="Q359" s="1" t="s">
        <v>624</v>
      </c>
      <c r="R359" s="1" t="s">
        <v>32</v>
      </c>
      <c r="S359" s="1" t="s">
        <v>625</v>
      </c>
      <c r="T359" s="1" t="s">
        <v>32</v>
      </c>
      <c r="U359" s="1" t="s">
        <v>626</v>
      </c>
      <c r="V359" s="1" t="s">
        <v>627</v>
      </c>
      <c r="W359" s="1" t="s">
        <v>48</v>
      </c>
      <c r="X359" s="1" t="s">
        <v>628</v>
      </c>
      <c r="Y359" s="1" t="s">
        <v>130</v>
      </c>
      <c r="Z359" s="1" t="str">
        <f>TRIM(_xlfn.CONCAT(sales_data_sample[[#This Row],[CONTACTFIRSTNAME]],", ",sales_data_sample[[#This Row],[CONTACTLASTNAME]]))</f>
        <v>Michael, Holz</v>
      </c>
      <c r="AA359" s="1" t="s">
        <v>40</v>
      </c>
    </row>
    <row r="360" spans="1:27" x14ac:dyDescent="0.25">
      <c r="A360" s="10">
        <v>10300</v>
      </c>
      <c r="B360" s="9">
        <v>22</v>
      </c>
      <c r="C360" s="9">
        <v>7661</v>
      </c>
      <c r="D360" s="9">
        <f>PRODUCT(sales_data_sample[[#This Row],[QUANTITYORDERED]],sales_data_sample[[#This Row],[PRICEEACH]])</f>
        <v>168542</v>
      </c>
      <c r="E360" s="9">
        <f>IF(OR(sales_data_sample[[#This Row],[STATUS]]="Shipped",sales_data_sample[[#This Row],[STATUS]]="Resolved"),sales_data_sample[[#This Row],[SALES]],0)</f>
        <v>168542</v>
      </c>
      <c r="F360" s="10">
        <v>6</v>
      </c>
      <c r="G360" s="12" t="s">
        <v>646</v>
      </c>
      <c r="H360" s="1" t="s">
        <v>26</v>
      </c>
      <c r="I360">
        <v>4</v>
      </c>
      <c r="J360">
        <v>10</v>
      </c>
      <c r="K360">
        <v>2003</v>
      </c>
      <c r="L360" s="1" t="s">
        <v>239</v>
      </c>
      <c r="M360">
        <v>79</v>
      </c>
      <c r="N360" s="1" t="s">
        <v>739</v>
      </c>
      <c r="O360" s="1" t="s">
        <v>647</v>
      </c>
      <c r="P360" s="1" t="s">
        <v>648</v>
      </c>
      <c r="Q360" s="1" t="s">
        <v>649</v>
      </c>
      <c r="R360" s="1" t="s">
        <v>32</v>
      </c>
      <c r="S360" s="1" t="s">
        <v>650</v>
      </c>
      <c r="T360" s="1" t="s">
        <v>32</v>
      </c>
      <c r="U360" s="1" t="s">
        <v>651</v>
      </c>
      <c r="V360" s="1" t="s">
        <v>617</v>
      </c>
      <c r="W360" s="1" t="s">
        <v>48</v>
      </c>
      <c r="X360" s="1" t="s">
        <v>652</v>
      </c>
      <c r="Y360" s="1" t="s">
        <v>570</v>
      </c>
      <c r="Z360" s="1" t="str">
        <f>TRIM(_xlfn.CONCAT(sales_data_sample[[#This Row],[CONTACTFIRSTNAME]],", ",sales_data_sample[[#This Row],[CONTACTLASTNAME]]))</f>
        <v>Roland, Keitel</v>
      </c>
      <c r="AA360" s="1" t="s">
        <v>40</v>
      </c>
    </row>
    <row r="361" spans="1:27" x14ac:dyDescent="0.25">
      <c r="A361" s="10">
        <v>10310</v>
      </c>
      <c r="B361" s="9">
        <v>49</v>
      </c>
      <c r="C361" s="9">
        <v>814</v>
      </c>
      <c r="D361" s="9">
        <f>PRODUCT(sales_data_sample[[#This Row],[QUANTITYORDERED]],sales_data_sample[[#This Row],[PRICEEACH]])</f>
        <v>39886</v>
      </c>
      <c r="E361" s="9">
        <f>IF(OR(sales_data_sample[[#This Row],[STATUS]]="Shipped",sales_data_sample[[#This Row],[STATUS]]="Resolved"),sales_data_sample[[#This Row],[SALES]],0)</f>
        <v>39886</v>
      </c>
      <c r="F361" s="10">
        <v>11</v>
      </c>
      <c r="G361" s="12" t="s">
        <v>653</v>
      </c>
      <c r="H361" s="1" t="s">
        <v>26</v>
      </c>
      <c r="I361">
        <v>4</v>
      </c>
      <c r="J361">
        <v>10</v>
      </c>
      <c r="K361">
        <v>2004</v>
      </c>
      <c r="L361" s="1" t="s">
        <v>239</v>
      </c>
      <c r="M361">
        <v>79</v>
      </c>
      <c r="N361" s="1" t="s">
        <v>739</v>
      </c>
      <c r="O361" s="1" t="s">
        <v>612</v>
      </c>
      <c r="P361" s="1" t="s">
        <v>613</v>
      </c>
      <c r="Q361" s="1" t="s">
        <v>614</v>
      </c>
      <c r="R361" s="1" t="s">
        <v>32</v>
      </c>
      <c r="S361" s="1" t="s">
        <v>615</v>
      </c>
      <c r="T361" s="1" t="s">
        <v>32</v>
      </c>
      <c r="U361" s="1" t="s">
        <v>616</v>
      </c>
      <c r="V361" s="1" t="s">
        <v>617</v>
      </c>
      <c r="W361" s="1" t="s">
        <v>48</v>
      </c>
      <c r="X361" s="1" t="s">
        <v>618</v>
      </c>
      <c r="Y361" s="1" t="s">
        <v>619</v>
      </c>
      <c r="Z361" s="1" t="str">
        <f>TRIM(_xlfn.CONCAT(sales_data_sample[[#This Row],[CONTACTFIRSTNAME]],", ",sales_data_sample[[#This Row],[CONTACTLASTNAME]]))</f>
        <v>Henriette, Pfalzheim</v>
      </c>
      <c r="AA361" s="1" t="s">
        <v>59</v>
      </c>
    </row>
    <row r="362" spans="1:27" x14ac:dyDescent="0.25">
      <c r="A362" s="10">
        <v>10320</v>
      </c>
      <c r="B362" s="9">
        <v>38</v>
      </c>
      <c r="C362" s="9">
        <v>7342</v>
      </c>
      <c r="D362" s="9">
        <f>PRODUCT(sales_data_sample[[#This Row],[QUANTITYORDERED]],sales_data_sample[[#This Row],[PRICEEACH]])</f>
        <v>278996</v>
      </c>
      <c r="E362" s="9">
        <f>IF(OR(sales_data_sample[[#This Row],[STATUS]]="Shipped",sales_data_sample[[#This Row],[STATUS]]="Resolved"),sales_data_sample[[#This Row],[SALES]],0)</f>
        <v>278996</v>
      </c>
      <c r="F362" s="10">
        <v>4</v>
      </c>
      <c r="G362" s="12" t="s">
        <v>654</v>
      </c>
      <c r="H362" s="1" t="s">
        <v>26</v>
      </c>
      <c r="I362">
        <v>4</v>
      </c>
      <c r="J362">
        <v>11</v>
      </c>
      <c r="K362">
        <v>2004</v>
      </c>
      <c r="L362" s="1" t="s">
        <v>239</v>
      </c>
      <c r="M362">
        <v>79</v>
      </c>
      <c r="N362" s="1" t="s">
        <v>739</v>
      </c>
      <c r="O362" s="1" t="s">
        <v>242</v>
      </c>
      <c r="P362" s="1" t="s">
        <v>243</v>
      </c>
      <c r="Q362" s="1" t="s">
        <v>244</v>
      </c>
      <c r="R362" s="1" t="s">
        <v>32</v>
      </c>
      <c r="S362" s="1" t="s">
        <v>245</v>
      </c>
      <c r="T362" s="1" t="s">
        <v>32</v>
      </c>
      <c r="U362" s="1" t="s">
        <v>246</v>
      </c>
      <c r="V362" s="1" t="s">
        <v>247</v>
      </c>
      <c r="W362" s="1" t="s">
        <v>48</v>
      </c>
      <c r="X362" s="1" t="s">
        <v>248</v>
      </c>
      <c r="Y362" s="1" t="s">
        <v>249</v>
      </c>
      <c r="Z362" s="1" t="str">
        <f>TRIM(_xlfn.CONCAT(sales_data_sample[[#This Row],[CONTACTFIRSTNAME]],", ",sales_data_sample[[#This Row],[CONTACTLASTNAME]]))</f>
        <v>Christina, Berglund</v>
      </c>
      <c r="AA362" s="1" t="s">
        <v>40</v>
      </c>
    </row>
    <row r="363" spans="1:27" x14ac:dyDescent="0.25">
      <c r="A363" s="10">
        <v>10329</v>
      </c>
      <c r="B363" s="9">
        <v>33</v>
      </c>
      <c r="C363" s="9">
        <v>100</v>
      </c>
      <c r="D363" s="9">
        <f>PRODUCT(sales_data_sample[[#This Row],[QUANTITYORDERED]],sales_data_sample[[#This Row],[PRICEEACH]])</f>
        <v>3300</v>
      </c>
      <c r="E363" s="9">
        <f>IF(OR(sales_data_sample[[#This Row],[STATUS]]="Shipped",sales_data_sample[[#This Row],[STATUS]]="Resolved"),sales_data_sample[[#This Row],[SALES]],0)</f>
        <v>3300</v>
      </c>
      <c r="F363" s="10">
        <v>14</v>
      </c>
      <c r="G363" s="12" t="s">
        <v>189</v>
      </c>
      <c r="H363" s="1" t="s">
        <v>26</v>
      </c>
      <c r="I363">
        <v>4</v>
      </c>
      <c r="J363">
        <v>11</v>
      </c>
      <c r="K363">
        <v>2004</v>
      </c>
      <c r="L363" s="1" t="s">
        <v>239</v>
      </c>
      <c r="M363">
        <v>79</v>
      </c>
      <c r="N363" s="1" t="s">
        <v>739</v>
      </c>
      <c r="O363" s="1" t="s">
        <v>29</v>
      </c>
      <c r="P363" s="1" t="s">
        <v>30</v>
      </c>
      <c r="Q363" s="1" t="s">
        <v>31</v>
      </c>
      <c r="R363" s="1" t="s">
        <v>32</v>
      </c>
      <c r="S363" s="1" t="s">
        <v>33</v>
      </c>
      <c r="T363" s="1" t="s">
        <v>34</v>
      </c>
      <c r="U363" s="1" t="s">
        <v>35</v>
      </c>
      <c r="V363" s="1" t="s">
        <v>36</v>
      </c>
      <c r="W363" s="1" t="s">
        <v>37</v>
      </c>
      <c r="X363" s="1" t="s">
        <v>38</v>
      </c>
      <c r="Y363" s="1" t="s">
        <v>39</v>
      </c>
      <c r="Z363" s="1" t="str">
        <f>TRIM(_xlfn.CONCAT(sales_data_sample[[#This Row],[CONTACTFIRSTNAME]],", ",sales_data_sample[[#This Row],[CONTACTLASTNAME]]))</f>
        <v>Kwai, Yu</v>
      </c>
      <c r="AA363" s="1" t="s">
        <v>59</v>
      </c>
    </row>
    <row r="364" spans="1:27" x14ac:dyDescent="0.25">
      <c r="A364" s="10">
        <v>10341</v>
      </c>
      <c r="B364" s="9">
        <v>36</v>
      </c>
      <c r="C364" s="9">
        <v>9356</v>
      </c>
      <c r="D364" s="9">
        <f>PRODUCT(sales_data_sample[[#This Row],[QUANTITYORDERED]],sales_data_sample[[#This Row],[PRICEEACH]])</f>
        <v>336816</v>
      </c>
      <c r="E364" s="9">
        <f>IF(OR(sales_data_sample[[#This Row],[STATUS]]="Shipped",sales_data_sample[[#This Row],[STATUS]]="Resolved"),sales_data_sample[[#This Row],[SALES]],0)</f>
        <v>336816</v>
      </c>
      <c r="F364" s="10">
        <v>10</v>
      </c>
      <c r="G364" s="12" t="s">
        <v>190</v>
      </c>
      <c r="H364" s="1" t="s">
        <v>26</v>
      </c>
      <c r="I364">
        <v>4</v>
      </c>
      <c r="J364">
        <v>11</v>
      </c>
      <c r="K364">
        <v>2004</v>
      </c>
      <c r="L364" s="1" t="s">
        <v>239</v>
      </c>
      <c r="M364">
        <v>79</v>
      </c>
      <c r="N364" s="1" t="s">
        <v>739</v>
      </c>
      <c r="O364" s="1" t="s">
        <v>191</v>
      </c>
      <c r="P364" s="1" t="s">
        <v>192</v>
      </c>
      <c r="Q364" s="1" t="s">
        <v>193</v>
      </c>
      <c r="R364" s="1" t="s">
        <v>32</v>
      </c>
      <c r="S364" s="1" t="s">
        <v>194</v>
      </c>
      <c r="T364" s="1" t="s">
        <v>32</v>
      </c>
      <c r="U364" s="1" t="s">
        <v>195</v>
      </c>
      <c r="V364" s="1" t="s">
        <v>196</v>
      </c>
      <c r="W364" s="1" t="s">
        <v>48</v>
      </c>
      <c r="X364" s="1" t="s">
        <v>197</v>
      </c>
      <c r="Y364" s="1" t="s">
        <v>198</v>
      </c>
      <c r="Z364" s="1" t="str">
        <f>TRIM(_xlfn.CONCAT(sales_data_sample[[#This Row],[CONTACTFIRSTNAME]],", ",sales_data_sample[[#This Row],[CONTACTLASTNAME]]))</f>
        <v>Georg, Pipps</v>
      </c>
      <c r="AA364" s="1" t="s">
        <v>59</v>
      </c>
    </row>
    <row r="365" spans="1:27" x14ac:dyDescent="0.25">
      <c r="A365" s="10">
        <v>10363</v>
      </c>
      <c r="B365" s="9">
        <v>34</v>
      </c>
      <c r="C365" s="9">
        <v>8162</v>
      </c>
      <c r="D365" s="9">
        <f>PRODUCT(sales_data_sample[[#This Row],[QUANTITYORDERED]],sales_data_sample[[#This Row],[PRICEEACH]])</f>
        <v>277508</v>
      </c>
      <c r="E365" s="9">
        <f>IF(OR(sales_data_sample[[#This Row],[STATUS]]="Shipped",sales_data_sample[[#This Row],[STATUS]]="Resolved"),sales_data_sample[[#This Row],[SALES]],0)</f>
        <v>277508</v>
      </c>
      <c r="F365" s="10">
        <v>5</v>
      </c>
      <c r="G365" s="12" t="s">
        <v>655</v>
      </c>
      <c r="H365" s="1" t="s">
        <v>26</v>
      </c>
      <c r="I365">
        <v>1</v>
      </c>
      <c r="J365">
        <v>1</v>
      </c>
      <c r="K365">
        <v>2005</v>
      </c>
      <c r="L365" s="1" t="s">
        <v>239</v>
      </c>
      <c r="M365">
        <v>79</v>
      </c>
      <c r="N365" s="1" t="s">
        <v>739</v>
      </c>
      <c r="O365" s="1" t="s">
        <v>656</v>
      </c>
      <c r="P365" s="1" t="s">
        <v>657</v>
      </c>
      <c r="Q365" s="1" t="s">
        <v>658</v>
      </c>
      <c r="R365" s="1" t="s">
        <v>32</v>
      </c>
      <c r="S365" s="1" t="s">
        <v>659</v>
      </c>
      <c r="T365" s="1" t="s">
        <v>32</v>
      </c>
      <c r="U365" s="1" t="s">
        <v>660</v>
      </c>
      <c r="V365" s="1" t="s">
        <v>170</v>
      </c>
      <c r="W365" s="1" t="s">
        <v>48</v>
      </c>
      <c r="X365" s="1" t="s">
        <v>661</v>
      </c>
      <c r="Y365" s="1" t="s">
        <v>662</v>
      </c>
      <c r="Z365" s="1" t="str">
        <f>TRIM(_xlfn.CONCAT(sales_data_sample[[#This Row],[CONTACTFIRSTNAME]],", ",sales_data_sample[[#This Row],[CONTACTLASTNAME]]))</f>
        <v>Kalle, Suominen</v>
      </c>
      <c r="AA365" s="1" t="s">
        <v>40</v>
      </c>
    </row>
    <row r="366" spans="1:27" x14ac:dyDescent="0.25">
      <c r="A366" s="10">
        <v>10377</v>
      </c>
      <c r="B366" s="9">
        <v>24</v>
      </c>
      <c r="C366" s="9">
        <v>6783</v>
      </c>
      <c r="D366" s="9">
        <f>PRODUCT(sales_data_sample[[#This Row],[QUANTITYORDERED]],sales_data_sample[[#This Row],[PRICEEACH]])</f>
        <v>162792</v>
      </c>
      <c r="E366" s="9">
        <f>IF(OR(sales_data_sample[[#This Row],[STATUS]]="Shipped",sales_data_sample[[#This Row],[STATUS]]="Resolved"),sales_data_sample[[#This Row],[SALES]],0)</f>
        <v>162792</v>
      </c>
      <c r="F366" s="10">
        <v>5</v>
      </c>
      <c r="G366" s="12" t="s">
        <v>740</v>
      </c>
      <c r="H366" s="1" t="s">
        <v>26</v>
      </c>
      <c r="I366">
        <v>1</v>
      </c>
      <c r="J366">
        <v>2</v>
      </c>
      <c r="K366">
        <v>2005</v>
      </c>
      <c r="L366" s="1" t="s">
        <v>239</v>
      </c>
      <c r="M366">
        <v>79</v>
      </c>
      <c r="N366" s="1" t="s">
        <v>739</v>
      </c>
      <c r="O366" s="1" t="s">
        <v>165</v>
      </c>
      <c r="P366" s="1" t="s">
        <v>166</v>
      </c>
      <c r="Q366" s="1" t="s">
        <v>167</v>
      </c>
      <c r="R366" s="1" t="s">
        <v>32</v>
      </c>
      <c r="S366" s="1" t="s">
        <v>168</v>
      </c>
      <c r="T366" s="1" t="s">
        <v>32</v>
      </c>
      <c r="U366" s="1" t="s">
        <v>169</v>
      </c>
      <c r="V366" s="1" t="s">
        <v>170</v>
      </c>
      <c r="W366" s="1" t="s">
        <v>48</v>
      </c>
      <c r="X366" s="1" t="s">
        <v>171</v>
      </c>
      <c r="Y366" s="1" t="s">
        <v>172</v>
      </c>
      <c r="Z366" s="1" t="str">
        <f>TRIM(_xlfn.CONCAT(sales_data_sample[[#This Row],[CONTACTFIRSTNAME]],", ",sales_data_sample[[#This Row],[CONTACTLASTNAME]]))</f>
        <v>Matti, Karttunen</v>
      </c>
      <c r="AA366" s="1" t="s">
        <v>40</v>
      </c>
    </row>
    <row r="367" spans="1:27" x14ac:dyDescent="0.25">
      <c r="A367" s="10">
        <v>10389</v>
      </c>
      <c r="B367" s="9">
        <v>36</v>
      </c>
      <c r="C367" s="9">
        <v>7026</v>
      </c>
      <c r="D367" s="9">
        <f>PRODUCT(sales_data_sample[[#This Row],[QUANTITYORDERED]],sales_data_sample[[#This Row],[PRICEEACH]])</f>
        <v>252936</v>
      </c>
      <c r="E367" s="9">
        <f>IF(OR(sales_data_sample[[#This Row],[STATUS]]="Shipped",sales_data_sample[[#This Row],[STATUS]]="Resolved"),sales_data_sample[[#This Row],[SALES]],0)</f>
        <v>252936</v>
      </c>
      <c r="F367" s="10">
        <v>7</v>
      </c>
      <c r="G367" s="12" t="s">
        <v>211</v>
      </c>
      <c r="H367" s="1" t="s">
        <v>26</v>
      </c>
      <c r="I367">
        <v>1</v>
      </c>
      <c r="J367">
        <v>3</v>
      </c>
      <c r="K367">
        <v>2005</v>
      </c>
      <c r="L367" s="1" t="s">
        <v>239</v>
      </c>
      <c r="M367">
        <v>79</v>
      </c>
      <c r="N367" s="1" t="s">
        <v>739</v>
      </c>
      <c r="O367" s="1" t="s">
        <v>347</v>
      </c>
      <c r="P367" s="1" t="s">
        <v>348</v>
      </c>
      <c r="Q367" s="1" t="s">
        <v>349</v>
      </c>
      <c r="R367" s="1" t="s">
        <v>32</v>
      </c>
      <c r="S367" s="1" t="s">
        <v>350</v>
      </c>
      <c r="T367" s="1" t="s">
        <v>32</v>
      </c>
      <c r="U367" s="1" t="s">
        <v>351</v>
      </c>
      <c r="V367" s="1" t="s">
        <v>247</v>
      </c>
      <c r="W367" s="1" t="s">
        <v>48</v>
      </c>
      <c r="X367" s="1" t="s">
        <v>352</v>
      </c>
      <c r="Y367" s="1" t="s">
        <v>272</v>
      </c>
      <c r="Z367" s="1" t="str">
        <f>TRIM(_xlfn.CONCAT(sales_data_sample[[#This Row],[CONTACTFIRSTNAME]],", ",sales_data_sample[[#This Row],[CONTACTLASTNAME]]))</f>
        <v>Maria, Larsson</v>
      </c>
      <c r="AA367" s="1" t="s">
        <v>40</v>
      </c>
    </row>
    <row r="368" spans="1:27" x14ac:dyDescent="0.25">
      <c r="A368" s="10">
        <v>10419</v>
      </c>
      <c r="B368" s="9">
        <v>34</v>
      </c>
      <c r="C368" s="9">
        <v>9017</v>
      </c>
      <c r="D368" s="9">
        <f>PRODUCT(sales_data_sample[[#This Row],[QUANTITYORDERED]],sales_data_sample[[#This Row],[PRICEEACH]])</f>
        <v>306578</v>
      </c>
      <c r="E368" s="9">
        <f>IF(OR(sales_data_sample[[#This Row],[STATUS]]="Shipped",sales_data_sample[[#This Row],[STATUS]]="Resolved"),sales_data_sample[[#This Row],[SALES]],0)</f>
        <v>306578</v>
      </c>
      <c r="F368" s="10">
        <v>14</v>
      </c>
      <c r="G368" s="12" t="s">
        <v>663</v>
      </c>
      <c r="H368" s="1" t="s">
        <v>26</v>
      </c>
      <c r="I368">
        <v>2</v>
      </c>
      <c r="J368">
        <v>5</v>
      </c>
      <c r="K368">
        <v>2005</v>
      </c>
      <c r="L368" s="1" t="s">
        <v>239</v>
      </c>
      <c r="M368">
        <v>79</v>
      </c>
      <c r="N368" s="1" t="s">
        <v>739</v>
      </c>
      <c r="O368" s="1" t="s">
        <v>191</v>
      </c>
      <c r="P368" s="1" t="s">
        <v>192</v>
      </c>
      <c r="Q368" s="1" t="s">
        <v>193</v>
      </c>
      <c r="R368" s="1" t="s">
        <v>32</v>
      </c>
      <c r="S368" s="1" t="s">
        <v>194</v>
      </c>
      <c r="T368" s="1" t="s">
        <v>32</v>
      </c>
      <c r="U368" s="1" t="s">
        <v>195</v>
      </c>
      <c r="V368" s="1" t="s">
        <v>196</v>
      </c>
      <c r="W368" s="1" t="s">
        <v>48</v>
      </c>
      <c r="X368" s="1" t="s">
        <v>197</v>
      </c>
      <c r="Y368" s="1" t="s">
        <v>198</v>
      </c>
      <c r="Z368" s="1" t="str">
        <f>TRIM(_xlfn.CONCAT(sales_data_sample[[#This Row],[CONTACTFIRSTNAME]],", ",sales_data_sample[[#This Row],[CONTACTLASTNAME]]))</f>
        <v>Georg, Pipps</v>
      </c>
      <c r="AA368" s="1" t="s">
        <v>59</v>
      </c>
    </row>
    <row r="369" spans="1:27" x14ac:dyDescent="0.25">
      <c r="A369" s="10">
        <v>10104</v>
      </c>
      <c r="B369" s="9">
        <v>41</v>
      </c>
      <c r="C369" s="9">
        <v>100</v>
      </c>
      <c r="D369" s="9">
        <f>PRODUCT(sales_data_sample[[#This Row],[QUANTITYORDERED]],sales_data_sample[[#This Row],[PRICEEACH]])</f>
        <v>4100</v>
      </c>
      <c r="E369" s="9">
        <f>IF(OR(sales_data_sample[[#This Row],[STATUS]]="Shipped",sales_data_sample[[#This Row],[STATUS]]="Resolved"),sales_data_sample[[#This Row],[SALES]],0)</f>
        <v>4100</v>
      </c>
      <c r="F369" s="10">
        <v>9</v>
      </c>
      <c r="G369" s="12" t="s">
        <v>723</v>
      </c>
      <c r="H369" s="1" t="s">
        <v>26</v>
      </c>
      <c r="I369">
        <v>1</v>
      </c>
      <c r="J369">
        <v>1</v>
      </c>
      <c r="K369">
        <v>2003</v>
      </c>
      <c r="L369" s="1" t="s">
        <v>711</v>
      </c>
      <c r="M369">
        <v>118</v>
      </c>
      <c r="N369" s="1" t="s">
        <v>741</v>
      </c>
      <c r="O369" s="1" t="s">
        <v>230</v>
      </c>
      <c r="P369" s="1" t="s">
        <v>231</v>
      </c>
      <c r="Q369" s="1" t="s">
        <v>232</v>
      </c>
      <c r="R369" s="1" t="s">
        <v>32</v>
      </c>
      <c r="S369" s="1" t="s">
        <v>233</v>
      </c>
      <c r="T369" s="1" t="s">
        <v>32</v>
      </c>
      <c r="U369" s="1" t="s">
        <v>234</v>
      </c>
      <c r="V369" s="1" t="s">
        <v>235</v>
      </c>
      <c r="W369" s="1" t="s">
        <v>48</v>
      </c>
      <c r="X369" s="1" t="s">
        <v>236</v>
      </c>
      <c r="Y369" s="1" t="s">
        <v>237</v>
      </c>
      <c r="Z369" s="1" t="str">
        <f>TRIM(_xlfn.CONCAT(sales_data_sample[[#This Row],[CONTACTFIRSTNAME]],", ",sales_data_sample[[#This Row],[CONTACTLASTNAME]]))</f>
        <v>Diego, Freyre</v>
      </c>
      <c r="AA369" s="1" t="s">
        <v>59</v>
      </c>
    </row>
    <row r="370" spans="1:27" x14ac:dyDescent="0.25">
      <c r="A370">
        <v>10115</v>
      </c>
      <c r="B370">
        <v>46</v>
      </c>
      <c r="C370">
        <v>100</v>
      </c>
      <c r="D370">
        <f>PRODUCT(sales_data_sample[[#This Row],[QUANTITYORDERED]],sales_data_sample[[#This Row],[PRICEEACH]])</f>
        <v>4600</v>
      </c>
      <c r="E370" s="9">
        <f>IF(OR(sales_data_sample[[#This Row],[STATUS]]="Shipped",sales_data_sample[[#This Row],[STATUS]]="Resolved"),sales_data_sample[[#This Row],[SALES]],0)</f>
        <v>4600</v>
      </c>
      <c r="F370">
        <v>5</v>
      </c>
      <c r="G370" s="12" t="s">
        <v>742</v>
      </c>
      <c r="H370" s="1" t="s">
        <v>26</v>
      </c>
      <c r="I370">
        <v>2</v>
      </c>
      <c r="J370">
        <v>4</v>
      </c>
      <c r="K370">
        <v>2003</v>
      </c>
      <c r="L370" s="1" t="s">
        <v>711</v>
      </c>
      <c r="M370">
        <v>118</v>
      </c>
      <c r="N370" s="1" t="s">
        <v>741</v>
      </c>
      <c r="O370" s="1" t="s">
        <v>268</v>
      </c>
      <c r="P370" s="1" t="s">
        <v>269</v>
      </c>
      <c r="Q370" s="1" t="s">
        <v>270</v>
      </c>
      <c r="R370" s="1" t="s">
        <v>271</v>
      </c>
      <c r="S370" s="1" t="s">
        <v>33</v>
      </c>
      <c r="T370" s="1" t="s">
        <v>34</v>
      </c>
      <c r="U370" s="1" t="s">
        <v>35</v>
      </c>
      <c r="V370" s="1" t="s">
        <v>36</v>
      </c>
      <c r="W370" s="1" t="s">
        <v>37</v>
      </c>
      <c r="X370" s="1" t="s">
        <v>162</v>
      </c>
      <c r="Y370" s="1" t="s">
        <v>272</v>
      </c>
      <c r="Z370" s="1" t="str">
        <f>TRIM(_xlfn.CONCAT(sales_data_sample[[#This Row],[CONTACTFIRSTNAME]],", ",sales_data_sample[[#This Row],[CONTACTLASTNAME]]))</f>
        <v>Maria, Hernandez</v>
      </c>
      <c r="AA370" s="1" t="s">
        <v>59</v>
      </c>
    </row>
    <row r="371" spans="1:27" x14ac:dyDescent="0.25">
      <c r="A371">
        <v>10127</v>
      </c>
      <c r="B371">
        <v>24</v>
      </c>
      <c r="C371">
        <v>100</v>
      </c>
      <c r="D371">
        <f>PRODUCT(sales_data_sample[[#This Row],[QUANTITYORDERED]],sales_data_sample[[#This Row],[PRICEEACH]])</f>
        <v>2400</v>
      </c>
      <c r="E371" s="9">
        <f>IF(OR(sales_data_sample[[#This Row],[STATUS]]="Shipped",sales_data_sample[[#This Row],[STATUS]]="Resolved"),sales_data_sample[[#This Row],[SALES]],0)</f>
        <v>2400</v>
      </c>
      <c r="F371">
        <v>11</v>
      </c>
      <c r="G371" s="12" t="s">
        <v>666</v>
      </c>
      <c r="H371" s="1" t="s">
        <v>26</v>
      </c>
      <c r="I371">
        <v>2</v>
      </c>
      <c r="J371">
        <v>6</v>
      </c>
      <c r="K371">
        <v>2003</v>
      </c>
      <c r="L371" s="1" t="s">
        <v>711</v>
      </c>
      <c r="M371">
        <v>118</v>
      </c>
      <c r="N371" s="1" t="s">
        <v>741</v>
      </c>
      <c r="O371" s="1" t="s">
        <v>667</v>
      </c>
      <c r="P371" s="1" t="s">
        <v>668</v>
      </c>
      <c r="Q371" s="1" t="s">
        <v>669</v>
      </c>
      <c r="R371" s="1" t="s">
        <v>670</v>
      </c>
      <c r="S371" s="1" t="s">
        <v>33</v>
      </c>
      <c r="T371" s="1" t="s">
        <v>34</v>
      </c>
      <c r="U371" s="1" t="s">
        <v>35</v>
      </c>
      <c r="V371" s="1" t="s">
        <v>36</v>
      </c>
      <c r="W371" s="1" t="s">
        <v>37</v>
      </c>
      <c r="X371" s="1" t="s">
        <v>67</v>
      </c>
      <c r="Y371" s="1" t="s">
        <v>671</v>
      </c>
      <c r="Z371" s="1" t="str">
        <f>TRIM(_xlfn.CONCAT(sales_data_sample[[#This Row],[CONTACTFIRSTNAME]],", ",sales_data_sample[[#This Row],[CONTACTLASTNAME]]))</f>
        <v>Jeff, Young</v>
      </c>
      <c r="AA371" s="1" t="s">
        <v>40</v>
      </c>
    </row>
    <row r="372" spans="1:27" x14ac:dyDescent="0.25">
      <c r="A372" s="10">
        <v>10141</v>
      </c>
      <c r="B372" s="9">
        <v>21</v>
      </c>
      <c r="C372" s="9">
        <v>100</v>
      </c>
      <c r="D372" s="9">
        <f>PRODUCT(sales_data_sample[[#This Row],[QUANTITYORDERED]],sales_data_sample[[#This Row],[PRICEEACH]])</f>
        <v>2100</v>
      </c>
      <c r="E372" s="9">
        <f>IF(OR(sales_data_sample[[#This Row],[STATUS]]="Shipped",sales_data_sample[[#This Row],[STATUS]]="Resolved"),sales_data_sample[[#This Row],[SALES]],0)</f>
        <v>2100</v>
      </c>
      <c r="F372" s="10">
        <v>5</v>
      </c>
      <c r="G372" s="12" t="s">
        <v>743</v>
      </c>
      <c r="H372" s="1" t="s">
        <v>26</v>
      </c>
      <c r="I372">
        <v>3</v>
      </c>
      <c r="J372">
        <v>8</v>
      </c>
      <c r="K372">
        <v>2003</v>
      </c>
      <c r="L372" s="1" t="s">
        <v>711</v>
      </c>
      <c r="M372">
        <v>118</v>
      </c>
      <c r="N372" s="1" t="s">
        <v>741</v>
      </c>
      <c r="O372" s="1" t="s">
        <v>656</v>
      </c>
      <c r="P372" s="1" t="s">
        <v>657</v>
      </c>
      <c r="Q372" s="1" t="s">
        <v>658</v>
      </c>
      <c r="R372" s="1" t="s">
        <v>32</v>
      </c>
      <c r="S372" s="1" t="s">
        <v>659</v>
      </c>
      <c r="T372" s="1" t="s">
        <v>32</v>
      </c>
      <c r="U372" s="1" t="s">
        <v>660</v>
      </c>
      <c r="V372" s="1" t="s">
        <v>170</v>
      </c>
      <c r="W372" s="1" t="s">
        <v>48</v>
      </c>
      <c r="X372" s="1" t="s">
        <v>661</v>
      </c>
      <c r="Y372" s="1" t="s">
        <v>662</v>
      </c>
      <c r="Z372" s="1" t="str">
        <f>TRIM(_xlfn.CONCAT(sales_data_sample[[#This Row],[CONTACTFIRSTNAME]],", ",sales_data_sample[[#This Row],[CONTACTLASTNAME]]))</f>
        <v>Kalle, Suominen</v>
      </c>
      <c r="AA372" s="1" t="s">
        <v>40</v>
      </c>
    </row>
    <row r="373" spans="1:27" x14ac:dyDescent="0.25">
      <c r="A373" s="10">
        <v>10151</v>
      </c>
      <c r="B373" s="9">
        <v>24</v>
      </c>
      <c r="C373" s="9">
        <v>100</v>
      </c>
      <c r="D373" s="9">
        <f>PRODUCT(sales_data_sample[[#This Row],[QUANTITYORDERED]],sales_data_sample[[#This Row],[PRICEEACH]])</f>
        <v>2400</v>
      </c>
      <c r="E373" s="9">
        <f>IF(OR(sales_data_sample[[#This Row],[STATUS]]="Shipped",sales_data_sample[[#This Row],[STATUS]]="Resolved"),sales_data_sample[[#This Row],[SALES]],0)</f>
        <v>2400</v>
      </c>
      <c r="F373" s="10">
        <v>3</v>
      </c>
      <c r="G373" s="12" t="s">
        <v>744</v>
      </c>
      <c r="H373" s="1" t="s">
        <v>26</v>
      </c>
      <c r="I373">
        <v>3</v>
      </c>
      <c r="J373">
        <v>9</v>
      </c>
      <c r="K373">
        <v>2003</v>
      </c>
      <c r="L373" s="1" t="s">
        <v>711</v>
      </c>
      <c r="M373">
        <v>118</v>
      </c>
      <c r="N373" s="1" t="s">
        <v>741</v>
      </c>
      <c r="O373" s="1" t="s">
        <v>537</v>
      </c>
      <c r="P373" s="1" t="s">
        <v>538</v>
      </c>
      <c r="Q373" s="1" t="s">
        <v>539</v>
      </c>
      <c r="R373" s="1" t="s">
        <v>32</v>
      </c>
      <c r="S373" s="1" t="s">
        <v>540</v>
      </c>
      <c r="T373" s="1" t="s">
        <v>32</v>
      </c>
      <c r="U373" s="1" t="s">
        <v>541</v>
      </c>
      <c r="V373" s="1" t="s">
        <v>170</v>
      </c>
      <c r="W373" s="1" t="s">
        <v>48</v>
      </c>
      <c r="X373" s="1" t="s">
        <v>542</v>
      </c>
      <c r="Y373" s="1" t="s">
        <v>543</v>
      </c>
      <c r="Z373" s="1" t="str">
        <f>TRIM(_xlfn.CONCAT(sales_data_sample[[#This Row],[CONTACTFIRSTNAME]],", ",sales_data_sample[[#This Row],[CONTACTLASTNAME]]))</f>
        <v>Pirkko, Koskitalo</v>
      </c>
      <c r="AA373" s="1" t="s">
        <v>59</v>
      </c>
    </row>
    <row r="374" spans="1:27" x14ac:dyDescent="0.25">
      <c r="A374" s="10">
        <v>10165</v>
      </c>
      <c r="B374" s="9">
        <v>48</v>
      </c>
      <c r="C374" s="9">
        <v>100</v>
      </c>
      <c r="D374" s="9">
        <f>PRODUCT(sales_data_sample[[#This Row],[QUANTITYORDERED]],sales_data_sample[[#This Row],[PRICEEACH]])</f>
        <v>4800</v>
      </c>
      <c r="E374" s="9">
        <f>IF(OR(sales_data_sample[[#This Row],[STATUS]]="Shipped",sales_data_sample[[#This Row],[STATUS]]="Resolved"),sales_data_sample[[#This Row],[SALES]],0)</f>
        <v>4800</v>
      </c>
      <c r="F374" s="10">
        <v>12</v>
      </c>
      <c r="G374" s="12" t="s">
        <v>674</v>
      </c>
      <c r="H374" s="1" t="s">
        <v>26</v>
      </c>
      <c r="I374">
        <v>4</v>
      </c>
      <c r="J374">
        <v>10</v>
      </c>
      <c r="K374">
        <v>2003</v>
      </c>
      <c r="L374" s="1" t="s">
        <v>711</v>
      </c>
      <c r="M374">
        <v>118</v>
      </c>
      <c r="N374" s="1" t="s">
        <v>741</v>
      </c>
      <c r="O374" s="1" t="s">
        <v>259</v>
      </c>
      <c r="P374" s="1" t="s">
        <v>260</v>
      </c>
      <c r="Q374" s="1" t="s">
        <v>261</v>
      </c>
      <c r="R374" s="1" t="s">
        <v>32</v>
      </c>
      <c r="S374" s="1" t="s">
        <v>262</v>
      </c>
      <c r="T374" s="1" t="s">
        <v>32</v>
      </c>
      <c r="U374" s="1" t="s">
        <v>263</v>
      </c>
      <c r="V374" s="1" t="s">
        <v>262</v>
      </c>
      <c r="W374" s="1" t="s">
        <v>264</v>
      </c>
      <c r="X374" s="1" t="s">
        <v>265</v>
      </c>
      <c r="Y374" s="1" t="s">
        <v>266</v>
      </c>
      <c r="Z374" s="1" t="str">
        <f>TRIM(_xlfn.CONCAT(sales_data_sample[[#This Row],[CONTACTFIRSTNAME]],", ",sales_data_sample[[#This Row],[CONTACTLASTNAME]]))</f>
        <v>Eric, Natividad</v>
      </c>
      <c r="AA374" s="1" t="s">
        <v>59</v>
      </c>
    </row>
    <row r="375" spans="1:27" x14ac:dyDescent="0.25">
      <c r="A375" s="10">
        <v>10175</v>
      </c>
      <c r="B375" s="9">
        <v>26</v>
      </c>
      <c r="C375" s="9">
        <v>100</v>
      </c>
      <c r="D375" s="9">
        <f>PRODUCT(sales_data_sample[[#This Row],[QUANTITYORDERED]],sales_data_sample[[#This Row],[PRICEEACH]])</f>
        <v>2600</v>
      </c>
      <c r="E375" s="9">
        <f>IF(OR(sales_data_sample[[#This Row],[STATUS]]="Shipped",sales_data_sample[[#This Row],[STATUS]]="Resolved"),sales_data_sample[[#This Row],[SALES]],0)</f>
        <v>2600</v>
      </c>
      <c r="F375" s="10">
        <v>1</v>
      </c>
      <c r="G375" s="12" t="s">
        <v>273</v>
      </c>
      <c r="H375" s="1" t="s">
        <v>26</v>
      </c>
      <c r="I375">
        <v>4</v>
      </c>
      <c r="J375">
        <v>11</v>
      </c>
      <c r="K375">
        <v>2003</v>
      </c>
      <c r="L375" s="1" t="s">
        <v>711</v>
      </c>
      <c r="M375">
        <v>118</v>
      </c>
      <c r="N375" s="1" t="s">
        <v>741</v>
      </c>
      <c r="O375" s="1" t="s">
        <v>447</v>
      </c>
      <c r="P375" s="1" t="s">
        <v>448</v>
      </c>
      <c r="Q375" s="1" t="s">
        <v>449</v>
      </c>
      <c r="R375" s="1" t="s">
        <v>32</v>
      </c>
      <c r="S375" s="1" t="s">
        <v>450</v>
      </c>
      <c r="T375" s="1" t="s">
        <v>32</v>
      </c>
      <c r="U375" s="1" t="s">
        <v>451</v>
      </c>
      <c r="V375" s="1" t="s">
        <v>225</v>
      </c>
      <c r="W375" s="1" t="s">
        <v>48</v>
      </c>
      <c r="X375" s="1" t="s">
        <v>74</v>
      </c>
      <c r="Y375" s="1" t="s">
        <v>452</v>
      </c>
      <c r="Z375" s="1" t="str">
        <f>TRIM(_xlfn.CONCAT(sales_data_sample[[#This Row],[CONTACTFIRSTNAME]],", ",sales_data_sample[[#This Row],[CONTACTLASTNAME]]))</f>
        <v>Ann, Brown</v>
      </c>
      <c r="AA375" s="1" t="s">
        <v>59</v>
      </c>
    </row>
    <row r="376" spans="1:27" x14ac:dyDescent="0.25">
      <c r="A376" s="10">
        <v>10184</v>
      </c>
      <c r="B376" s="9">
        <v>37</v>
      </c>
      <c r="C376" s="9">
        <v>100</v>
      </c>
      <c r="D376" s="9">
        <f>PRODUCT(sales_data_sample[[#This Row],[QUANTITYORDERED]],sales_data_sample[[#This Row],[PRICEEACH]])</f>
        <v>3700</v>
      </c>
      <c r="E376" s="9">
        <f>IF(OR(sales_data_sample[[#This Row],[STATUS]]="Shipped",sales_data_sample[[#This Row],[STATUS]]="Resolved"),sales_data_sample[[#This Row],[SALES]],0)</f>
        <v>3700</v>
      </c>
      <c r="F376" s="10">
        <v>6</v>
      </c>
      <c r="G376" s="12" t="s">
        <v>470</v>
      </c>
      <c r="H376" s="1" t="s">
        <v>26</v>
      </c>
      <c r="I376">
        <v>4</v>
      </c>
      <c r="J376">
        <v>11</v>
      </c>
      <c r="K376">
        <v>2003</v>
      </c>
      <c r="L376" s="1" t="s">
        <v>711</v>
      </c>
      <c r="M376">
        <v>118</v>
      </c>
      <c r="N376" s="1" t="s">
        <v>741</v>
      </c>
      <c r="O376" s="1" t="s">
        <v>745</v>
      </c>
      <c r="P376" s="1" t="s">
        <v>746</v>
      </c>
      <c r="Q376" s="1" t="s">
        <v>747</v>
      </c>
      <c r="R376" s="1" t="s">
        <v>32</v>
      </c>
      <c r="S376" s="1" t="s">
        <v>748</v>
      </c>
      <c r="T376" s="1" t="s">
        <v>32</v>
      </c>
      <c r="U376" s="1" t="s">
        <v>749</v>
      </c>
      <c r="V376" s="1" t="s">
        <v>235</v>
      </c>
      <c r="W376" s="1" t="s">
        <v>48</v>
      </c>
      <c r="X376" s="1" t="s">
        <v>750</v>
      </c>
      <c r="Y376" s="1" t="s">
        <v>751</v>
      </c>
      <c r="Z376" s="1" t="str">
        <f>TRIM(_xlfn.CONCAT(sales_data_sample[[#This Row],[CONTACTFIRSTNAME]],", ",sales_data_sample[[#This Row],[CONTACTLASTNAME]]))</f>
        <v>Jose Pedro, Roel</v>
      </c>
      <c r="AA376" s="1" t="s">
        <v>59</v>
      </c>
    </row>
    <row r="377" spans="1:27" x14ac:dyDescent="0.25">
      <c r="A377" s="10">
        <v>10195</v>
      </c>
      <c r="B377" s="9">
        <v>49</v>
      </c>
      <c r="C377" s="9">
        <v>100</v>
      </c>
      <c r="D377" s="9">
        <f>PRODUCT(sales_data_sample[[#This Row],[QUANTITYORDERED]],sales_data_sample[[#This Row],[PRICEEACH]])</f>
        <v>4900</v>
      </c>
      <c r="E377" s="9">
        <f>IF(OR(sales_data_sample[[#This Row],[STATUS]]="Shipped",sales_data_sample[[#This Row],[STATUS]]="Resolved"),sales_data_sample[[#This Row],[SALES]],0)</f>
        <v>4900</v>
      </c>
      <c r="F377" s="10">
        <v>6</v>
      </c>
      <c r="G377" s="12" t="s">
        <v>290</v>
      </c>
      <c r="H377" s="1" t="s">
        <v>26</v>
      </c>
      <c r="I377">
        <v>4</v>
      </c>
      <c r="J377">
        <v>11</v>
      </c>
      <c r="K377">
        <v>2003</v>
      </c>
      <c r="L377" s="1" t="s">
        <v>711</v>
      </c>
      <c r="M377">
        <v>118</v>
      </c>
      <c r="N377" s="1" t="s">
        <v>741</v>
      </c>
      <c r="O377" s="1" t="s">
        <v>425</v>
      </c>
      <c r="P377" s="1" t="s">
        <v>426</v>
      </c>
      <c r="Q377" s="1" t="s">
        <v>427</v>
      </c>
      <c r="R377" s="1" t="s">
        <v>32</v>
      </c>
      <c r="S377" s="1" t="s">
        <v>428</v>
      </c>
      <c r="T377" s="1" t="s">
        <v>34</v>
      </c>
      <c r="U377" s="1" t="s">
        <v>429</v>
      </c>
      <c r="V377" s="1" t="s">
        <v>36</v>
      </c>
      <c r="W377" s="1" t="s">
        <v>37</v>
      </c>
      <c r="X377" s="1" t="s">
        <v>129</v>
      </c>
      <c r="Y377" s="1" t="s">
        <v>314</v>
      </c>
      <c r="Z377" s="1" t="str">
        <f>TRIM(_xlfn.CONCAT(sales_data_sample[[#This Row],[CONTACTFIRSTNAME]],", ",sales_data_sample[[#This Row],[CONTACTLASTNAME]]))</f>
        <v>Steve, Frick</v>
      </c>
      <c r="AA377" s="1" t="s">
        <v>59</v>
      </c>
    </row>
    <row r="378" spans="1:27" x14ac:dyDescent="0.25">
      <c r="A378" s="10">
        <v>10207</v>
      </c>
      <c r="B378" s="9">
        <v>34</v>
      </c>
      <c r="C378" s="9">
        <v>9954</v>
      </c>
      <c r="D378" s="9">
        <f>PRODUCT(sales_data_sample[[#This Row],[QUANTITYORDERED]],sales_data_sample[[#This Row],[PRICEEACH]])</f>
        <v>338436</v>
      </c>
      <c r="E378" s="9">
        <f>IF(OR(sales_data_sample[[#This Row],[STATUS]]="Shipped",sales_data_sample[[#This Row],[STATUS]]="Resolved"),sales_data_sample[[#This Row],[SALES]],0)</f>
        <v>338436</v>
      </c>
      <c r="F378" s="10">
        <v>7</v>
      </c>
      <c r="G378" s="12" t="s">
        <v>571</v>
      </c>
      <c r="H378" s="1" t="s">
        <v>26</v>
      </c>
      <c r="I378">
        <v>4</v>
      </c>
      <c r="J378">
        <v>12</v>
      </c>
      <c r="K378">
        <v>2003</v>
      </c>
      <c r="L378" s="1" t="s">
        <v>711</v>
      </c>
      <c r="M378">
        <v>118</v>
      </c>
      <c r="N378" s="1" t="s">
        <v>741</v>
      </c>
      <c r="O378" s="1" t="s">
        <v>572</v>
      </c>
      <c r="P378" s="1" t="s">
        <v>573</v>
      </c>
      <c r="Q378" s="1" t="s">
        <v>574</v>
      </c>
      <c r="R378" s="1" t="s">
        <v>32</v>
      </c>
      <c r="S378" s="1" t="s">
        <v>519</v>
      </c>
      <c r="T378" s="1" t="s">
        <v>160</v>
      </c>
      <c r="U378" s="1" t="s">
        <v>520</v>
      </c>
      <c r="V378" s="1" t="s">
        <v>36</v>
      </c>
      <c r="W378" s="1" t="s">
        <v>37</v>
      </c>
      <c r="X378" s="1" t="s">
        <v>575</v>
      </c>
      <c r="Y378" s="1" t="s">
        <v>366</v>
      </c>
      <c r="Z378" s="1" t="str">
        <f>TRIM(_xlfn.CONCAT(sales_data_sample[[#This Row],[CONTACTFIRSTNAME]],", ",sales_data_sample[[#This Row],[CONTACTLASTNAME]]))</f>
        <v>Valarie, Franco</v>
      </c>
      <c r="AA378" s="1" t="s">
        <v>59</v>
      </c>
    </row>
    <row r="379" spans="1:27" x14ac:dyDescent="0.25">
      <c r="A379" s="10">
        <v>10219</v>
      </c>
      <c r="B379" s="9">
        <v>48</v>
      </c>
      <c r="C379" s="9">
        <v>100</v>
      </c>
      <c r="D379" s="9">
        <f>PRODUCT(sales_data_sample[[#This Row],[QUANTITYORDERED]],sales_data_sample[[#This Row],[PRICEEACH]])</f>
        <v>4800</v>
      </c>
      <c r="E379" s="9">
        <f>IF(OR(sales_data_sample[[#This Row],[STATUS]]="Shipped",sales_data_sample[[#This Row],[STATUS]]="Resolved"),sales_data_sample[[#This Row],[SALES]],0)</f>
        <v>4800</v>
      </c>
      <c r="F379" s="10">
        <v>2</v>
      </c>
      <c r="G379" s="12" t="s">
        <v>752</v>
      </c>
      <c r="H379" s="1" t="s">
        <v>26</v>
      </c>
      <c r="I379">
        <v>1</v>
      </c>
      <c r="J379">
        <v>2</v>
      </c>
      <c r="K379">
        <v>2004</v>
      </c>
      <c r="L379" s="1" t="s">
        <v>711</v>
      </c>
      <c r="M379">
        <v>118</v>
      </c>
      <c r="N379" s="1" t="s">
        <v>741</v>
      </c>
      <c r="O379" s="1" t="s">
        <v>753</v>
      </c>
      <c r="P379" s="1" t="s">
        <v>754</v>
      </c>
      <c r="Q379" s="1" t="s">
        <v>755</v>
      </c>
      <c r="R379" s="1" t="s">
        <v>32</v>
      </c>
      <c r="S379" s="1" t="s">
        <v>756</v>
      </c>
      <c r="T379" s="1" t="s">
        <v>65</v>
      </c>
      <c r="U379" s="1" t="s">
        <v>80</v>
      </c>
      <c r="V379" s="1" t="s">
        <v>36</v>
      </c>
      <c r="W379" s="1" t="s">
        <v>37</v>
      </c>
      <c r="X379" s="1" t="s">
        <v>757</v>
      </c>
      <c r="Y379" s="1" t="s">
        <v>551</v>
      </c>
      <c r="Z379" s="1" t="str">
        <f>TRIM(_xlfn.CONCAT(sales_data_sample[[#This Row],[CONTACTFIRSTNAME]],", ",sales_data_sample[[#This Row],[CONTACTLASTNAME]]))</f>
        <v>Sue, Taylor</v>
      </c>
      <c r="AA379" s="1" t="s">
        <v>59</v>
      </c>
    </row>
    <row r="380" spans="1:27" x14ac:dyDescent="0.25">
      <c r="A380" s="10">
        <v>10229</v>
      </c>
      <c r="B380" s="9">
        <v>36</v>
      </c>
      <c r="C380" s="9">
        <v>100</v>
      </c>
      <c r="D380" s="9">
        <f>PRODUCT(sales_data_sample[[#This Row],[QUANTITYORDERED]],sales_data_sample[[#This Row],[PRICEEACH]])</f>
        <v>3600</v>
      </c>
      <c r="E380" s="9">
        <f>IF(OR(sales_data_sample[[#This Row],[STATUS]]="Shipped",sales_data_sample[[#This Row],[STATUS]]="Resolved"),sales_data_sample[[#This Row],[SALES]],0)</f>
        <v>3600</v>
      </c>
      <c r="F380" s="10">
        <v>1</v>
      </c>
      <c r="G380" s="12" t="s">
        <v>584</v>
      </c>
      <c r="H380" s="1" t="s">
        <v>26</v>
      </c>
      <c r="I380">
        <v>1</v>
      </c>
      <c r="J380">
        <v>3</v>
      </c>
      <c r="K380">
        <v>2004</v>
      </c>
      <c r="L380" s="1" t="s">
        <v>711</v>
      </c>
      <c r="M380">
        <v>118</v>
      </c>
      <c r="N380" s="1" t="s">
        <v>741</v>
      </c>
      <c r="O380" s="1" t="s">
        <v>361</v>
      </c>
      <c r="P380" s="1" t="s">
        <v>362</v>
      </c>
      <c r="Q380" s="1" t="s">
        <v>363</v>
      </c>
      <c r="R380" s="1" t="s">
        <v>32</v>
      </c>
      <c r="S380" s="1" t="s">
        <v>364</v>
      </c>
      <c r="T380" s="1" t="s">
        <v>65</v>
      </c>
      <c r="U380" s="1" t="s">
        <v>145</v>
      </c>
      <c r="V380" s="1" t="s">
        <v>36</v>
      </c>
      <c r="W380" s="1" t="s">
        <v>37</v>
      </c>
      <c r="X380" s="1" t="s">
        <v>365</v>
      </c>
      <c r="Y380" s="1" t="s">
        <v>366</v>
      </c>
      <c r="Z380" s="1" t="str">
        <f>TRIM(_xlfn.CONCAT(sales_data_sample[[#This Row],[CONTACTFIRSTNAME]],", ",sales_data_sample[[#This Row],[CONTACTLASTNAME]]))</f>
        <v>Valarie, Nelson</v>
      </c>
      <c r="AA380" s="1" t="s">
        <v>59</v>
      </c>
    </row>
    <row r="381" spans="1:27" x14ac:dyDescent="0.25">
      <c r="A381" s="10">
        <v>10246</v>
      </c>
      <c r="B381" s="9">
        <v>46</v>
      </c>
      <c r="C381" s="9">
        <v>100</v>
      </c>
      <c r="D381" s="9">
        <f>PRODUCT(sales_data_sample[[#This Row],[QUANTITYORDERED]],sales_data_sample[[#This Row],[PRICEEACH]])</f>
        <v>4600</v>
      </c>
      <c r="E381" s="9">
        <f>IF(OR(sales_data_sample[[#This Row],[STATUS]]="Shipped",sales_data_sample[[#This Row],[STATUS]]="Resolved"),sales_data_sample[[#This Row],[SALES]],0)</f>
        <v>4600</v>
      </c>
      <c r="F381" s="10">
        <v>5</v>
      </c>
      <c r="G381" s="12" t="s">
        <v>692</v>
      </c>
      <c r="H381" s="1" t="s">
        <v>26</v>
      </c>
      <c r="I381">
        <v>2</v>
      </c>
      <c r="J381">
        <v>5</v>
      </c>
      <c r="K381">
        <v>2004</v>
      </c>
      <c r="L381" s="1" t="s">
        <v>711</v>
      </c>
      <c r="M381">
        <v>118</v>
      </c>
      <c r="N381" s="1" t="s">
        <v>741</v>
      </c>
      <c r="O381" s="1" t="s">
        <v>230</v>
      </c>
      <c r="P381" s="1" t="s">
        <v>231</v>
      </c>
      <c r="Q381" s="1" t="s">
        <v>232</v>
      </c>
      <c r="R381" s="1" t="s">
        <v>32</v>
      </c>
      <c r="S381" s="1" t="s">
        <v>233</v>
      </c>
      <c r="T381" s="1" t="s">
        <v>32</v>
      </c>
      <c r="U381" s="1" t="s">
        <v>234</v>
      </c>
      <c r="V381" s="1" t="s">
        <v>235</v>
      </c>
      <c r="W381" s="1" t="s">
        <v>48</v>
      </c>
      <c r="X381" s="1" t="s">
        <v>236</v>
      </c>
      <c r="Y381" s="1" t="s">
        <v>237</v>
      </c>
      <c r="Z381" s="1" t="str">
        <f>TRIM(_xlfn.CONCAT(sales_data_sample[[#This Row],[CONTACTFIRSTNAME]],", ",sales_data_sample[[#This Row],[CONTACTLASTNAME]]))</f>
        <v>Diego, Freyre</v>
      </c>
      <c r="AA381" s="1" t="s">
        <v>59</v>
      </c>
    </row>
    <row r="382" spans="1:27" x14ac:dyDescent="0.25">
      <c r="A382">
        <v>10259</v>
      </c>
      <c r="B382">
        <v>46</v>
      </c>
      <c r="C382">
        <v>100</v>
      </c>
      <c r="D382">
        <f>PRODUCT(sales_data_sample[[#This Row],[QUANTITYORDERED]],sales_data_sample[[#This Row],[PRICEEACH]])</f>
        <v>4600</v>
      </c>
      <c r="E382" s="9">
        <f>IF(OR(sales_data_sample[[#This Row],[STATUS]]="Shipped",sales_data_sample[[#This Row],[STATUS]]="Resolved"),sales_data_sample[[#This Row],[SALES]],0)</f>
        <v>4600</v>
      </c>
      <c r="F382">
        <v>4</v>
      </c>
      <c r="G382" s="12" t="s">
        <v>327</v>
      </c>
      <c r="H382" s="1" t="s">
        <v>26</v>
      </c>
      <c r="I382">
        <v>2</v>
      </c>
      <c r="J382">
        <v>6</v>
      </c>
      <c r="K382">
        <v>2004</v>
      </c>
      <c r="L382" s="1" t="s">
        <v>711</v>
      </c>
      <c r="M382">
        <v>118</v>
      </c>
      <c r="N382" s="1" t="s">
        <v>741</v>
      </c>
      <c r="O382" s="1" t="s">
        <v>577</v>
      </c>
      <c r="P382" s="1" t="s">
        <v>578</v>
      </c>
      <c r="Q382" s="1" t="s">
        <v>579</v>
      </c>
      <c r="R382" s="1" t="s">
        <v>580</v>
      </c>
      <c r="S382" s="1" t="s">
        <v>262</v>
      </c>
      <c r="T382" s="1" t="s">
        <v>32</v>
      </c>
      <c r="U382" s="1" t="s">
        <v>581</v>
      </c>
      <c r="V382" s="1" t="s">
        <v>262</v>
      </c>
      <c r="W382" s="1" t="s">
        <v>121</v>
      </c>
      <c r="X382" s="1" t="s">
        <v>582</v>
      </c>
      <c r="Y382" s="1" t="s">
        <v>583</v>
      </c>
      <c r="Z382" s="1" t="str">
        <f>TRIM(_xlfn.CONCAT(sales_data_sample[[#This Row],[CONTACTFIRSTNAME]],", ",sales_data_sample[[#This Row],[CONTACTLASTNAME]]))</f>
        <v>Wendy, Victorino</v>
      </c>
      <c r="AA382" s="1" t="s">
        <v>59</v>
      </c>
    </row>
    <row r="383" spans="1:27" x14ac:dyDescent="0.25">
      <c r="A383" s="10">
        <v>10271</v>
      </c>
      <c r="B383" s="9">
        <v>31</v>
      </c>
      <c r="C383" s="9">
        <v>9717</v>
      </c>
      <c r="D383" s="9">
        <f>PRODUCT(sales_data_sample[[#This Row],[QUANTITYORDERED]],sales_data_sample[[#This Row],[PRICEEACH]])</f>
        <v>301227</v>
      </c>
      <c r="E383" s="9">
        <f>IF(OR(sales_data_sample[[#This Row],[STATUS]]="Shipped",sales_data_sample[[#This Row],[STATUS]]="Resolved"),sales_data_sample[[#This Row],[SALES]],0)</f>
        <v>301227</v>
      </c>
      <c r="F383" s="10">
        <v>5</v>
      </c>
      <c r="G383" s="12" t="s">
        <v>693</v>
      </c>
      <c r="H383" s="1" t="s">
        <v>26</v>
      </c>
      <c r="I383">
        <v>3</v>
      </c>
      <c r="J383">
        <v>7</v>
      </c>
      <c r="K383">
        <v>2004</v>
      </c>
      <c r="L383" s="1" t="s">
        <v>711</v>
      </c>
      <c r="M383">
        <v>118</v>
      </c>
      <c r="N383" s="1" t="s">
        <v>741</v>
      </c>
      <c r="O383" s="1" t="s">
        <v>361</v>
      </c>
      <c r="P383" s="1" t="s">
        <v>362</v>
      </c>
      <c r="Q383" s="1" t="s">
        <v>363</v>
      </c>
      <c r="R383" s="1" t="s">
        <v>32</v>
      </c>
      <c r="S383" s="1" t="s">
        <v>364</v>
      </c>
      <c r="T383" s="1" t="s">
        <v>65</v>
      </c>
      <c r="U383" s="1" t="s">
        <v>145</v>
      </c>
      <c r="V383" s="1" t="s">
        <v>36</v>
      </c>
      <c r="W383" s="1" t="s">
        <v>37</v>
      </c>
      <c r="X383" s="1" t="s">
        <v>365</v>
      </c>
      <c r="Y383" s="1" t="s">
        <v>366</v>
      </c>
      <c r="Z383" s="1" t="str">
        <f>TRIM(_xlfn.CONCAT(sales_data_sample[[#This Row],[CONTACTFIRSTNAME]],", ",sales_data_sample[[#This Row],[CONTACTLASTNAME]]))</f>
        <v>Valarie, Nelson</v>
      </c>
      <c r="AA383" s="1" t="s">
        <v>59</v>
      </c>
    </row>
    <row r="384" spans="1:27" x14ac:dyDescent="0.25">
      <c r="A384" s="10">
        <v>10281</v>
      </c>
      <c r="B384" s="9">
        <v>41</v>
      </c>
      <c r="C384" s="9">
        <v>100</v>
      </c>
      <c r="D384" s="9">
        <f>PRODUCT(sales_data_sample[[#This Row],[QUANTITYORDERED]],sales_data_sample[[#This Row],[PRICEEACH]])</f>
        <v>4100</v>
      </c>
      <c r="E384" s="9">
        <f>IF(OR(sales_data_sample[[#This Row],[STATUS]]="Shipped",sales_data_sample[[#This Row],[STATUS]]="Resolved"),sales_data_sample[[#This Row],[SALES]],0)</f>
        <v>4100</v>
      </c>
      <c r="F384" s="10">
        <v>1</v>
      </c>
      <c r="G384" s="12" t="s">
        <v>585</v>
      </c>
      <c r="H384" s="1" t="s">
        <v>26</v>
      </c>
      <c r="I384">
        <v>3</v>
      </c>
      <c r="J384">
        <v>8</v>
      </c>
      <c r="K384">
        <v>2004</v>
      </c>
      <c r="L384" s="1" t="s">
        <v>711</v>
      </c>
      <c r="M384">
        <v>118</v>
      </c>
      <c r="N384" s="1" t="s">
        <v>741</v>
      </c>
      <c r="O384" s="1" t="s">
        <v>182</v>
      </c>
      <c r="P384" s="1" t="s">
        <v>183</v>
      </c>
      <c r="Q384" s="1" t="s">
        <v>184</v>
      </c>
      <c r="R384" s="1" t="s">
        <v>32</v>
      </c>
      <c r="S384" s="1" t="s">
        <v>185</v>
      </c>
      <c r="T384" s="1" t="s">
        <v>186</v>
      </c>
      <c r="U384" s="1" t="s">
        <v>187</v>
      </c>
      <c r="V384" s="1" t="s">
        <v>36</v>
      </c>
      <c r="W384" s="1" t="s">
        <v>37</v>
      </c>
      <c r="X384" s="1" t="s">
        <v>38</v>
      </c>
      <c r="Y384" s="1" t="s">
        <v>188</v>
      </c>
      <c r="Z384" s="1" t="str">
        <f>TRIM(_xlfn.CONCAT(sales_data_sample[[#This Row],[CONTACTFIRSTNAME]],", ",sales_data_sample[[#This Row],[CONTACTLASTNAME]]))</f>
        <v>Kyung, Yu</v>
      </c>
      <c r="AA384" s="1" t="s">
        <v>59</v>
      </c>
    </row>
    <row r="385" spans="1:27" x14ac:dyDescent="0.25">
      <c r="A385" s="10">
        <v>10292</v>
      </c>
      <c r="B385" s="9">
        <v>21</v>
      </c>
      <c r="C385" s="9">
        <v>100</v>
      </c>
      <c r="D385" s="9">
        <f>PRODUCT(sales_data_sample[[#This Row],[QUANTITYORDERED]],sales_data_sample[[#This Row],[PRICEEACH]])</f>
        <v>2100</v>
      </c>
      <c r="E385" s="9">
        <f>IF(OR(sales_data_sample[[#This Row],[STATUS]]="Shipped",sales_data_sample[[#This Row],[STATUS]]="Resolved"),sales_data_sample[[#This Row],[SALES]],0)</f>
        <v>2100</v>
      </c>
      <c r="F385" s="10">
        <v>8</v>
      </c>
      <c r="G385" s="12" t="s">
        <v>346</v>
      </c>
      <c r="H385" s="1" t="s">
        <v>26</v>
      </c>
      <c r="I385">
        <v>3</v>
      </c>
      <c r="J385">
        <v>9</v>
      </c>
      <c r="K385">
        <v>2004</v>
      </c>
      <c r="L385" s="1" t="s">
        <v>711</v>
      </c>
      <c r="M385">
        <v>118</v>
      </c>
      <c r="N385" s="1" t="s">
        <v>741</v>
      </c>
      <c r="O385" s="1" t="s">
        <v>29</v>
      </c>
      <c r="P385" s="1" t="s">
        <v>30</v>
      </c>
      <c r="Q385" s="1" t="s">
        <v>31</v>
      </c>
      <c r="R385" s="1" t="s">
        <v>32</v>
      </c>
      <c r="S385" s="1" t="s">
        <v>33</v>
      </c>
      <c r="T385" s="1" t="s">
        <v>34</v>
      </c>
      <c r="U385" s="1" t="s">
        <v>35</v>
      </c>
      <c r="V385" s="1" t="s">
        <v>36</v>
      </c>
      <c r="W385" s="1" t="s">
        <v>37</v>
      </c>
      <c r="X385" s="1" t="s">
        <v>38</v>
      </c>
      <c r="Y385" s="1" t="s">
        <v>39</v>
      </c>
      <c r="Z385" s="1" t="str">
        <f>TRIM(_xlfn.CONCAT(sales_data_sample[[#This Row],[CONTACTFIRSTNAME]],", ",sales_data_sample[[#This Row],[CONTACTLASTNAME]]))</f>
        <v>Kwai, Yu</v>
      </c>
      <c r="AA385" s="1" t="s">
        <v>40</v>
      </c>
    </row>
    <row r="386" spans="1:27" x14ac:dyDescent="0.25">
      <c r="A386" s="10">
        <v>10305</v>
      </c>
      <c r="B386" s="9">
        <v>38</v>
      </c>
      <c r="C386" s="9">
        <v>100</v>
      </c>
      <c r="D386" s="9">
        <f>PRODUCT(sales_data_sample[[#This Row],[QUANTITYORDERED]],sales_data_sample[[#This Row],[PRICEEACH]])</f>
        <v>3800</v>
      </c>
      <c r="E386" s="9">
        <f>IF(OR(sales_data_sample[[#This Row],[STATUS]]="Shipped",sales_data_sample[[#This Row],[STATUS]]="Resolved"),sales_data_sample[[#This Row],[SALES]],0)</f>
        <v>3800</v>
      </c>
      <c r="F386" s="10">
        <v>5</v>
      </c>
      <c r="G386" s="12" t="s">
        <v>586</v>
      </c>
      <c r="H386" s="1" t="s">
        <v>26</v>
      </c>
      <c r="I386">
        <v>4</v>
      </c>
      <c r="J386">
        <v>10</v>
      </c>
      <c r="K386">
        <v>2004</v>
      </c>
      <c r="L386" s="1" t="s">
        <v>711</v>
      </c>
      <c r="M386">
        <v>118</v>
      </c>
      <c r="N386" s="1" t="s">
        <v>741</v>
      </c>
      <c r="O386" s="1" t="s">
        <v>156</v>
      </c>
      <c r="P386" s="1" t="s">
        <v>157</v>
      </c>
      <c r="Q386" s="1" t="s">
        <v>158</v>
      </c>
      <c r="R386" s="1" t="s">
        <v>32</v>
      </c>
      <c r="S386" s="1" t="s">
        <v>159</v>
      </c>
      <c r="T386" s="1" t="s">
        <v>160</v>
      </c>
      <c r="U386" s="1" t="s">
        <v>161</v>
      </c>
      <c r="V386" s="1" t="s">
        <v>36</v>
      </c>
      <c r="W386" s="1" t="s">
        <v>37</v>
      </c>
      <c r="X386" s="1" t="s">
        <v>162</v>
      </c>
      <c r="Y386" s="1" t="s">
        <v>163</v>
      </c>
      <c r="Z386" s="1" t="str">
        <f>TRIM(_xlfn.CONCAT(sales_data_sample[[#This Row],[CONTACTFIRSTNAME]],", ",sales_data_sample[[#This Row],[CONTACTLASTNAME]]))</f>
        <v>Marta, Hernandez</v>
      </c>
      <c r="AA386" s="1" t="s">
        <v>59</v>
      </c>
    </row>
    <row r="387" spans="1:27" x14ac:dyDescent="0.25">
      <c r="A387" s="10">
        <v>10314</v>
      </c>
      <c r="B387" s="9">
        <v>45</v>
      </c>
      <c r="C387" s="9">
        <v>100</v>
      </c>
      <c r="D387" s="9">
        <f>PRODUCT(sales_data_sample[[#This Row],[QUANTITYORDERED]],sales_data_sample[[#This Row],[PRICEEACH]])</f>
        <v>4500</v>
      </c>
      <c r="E387" s="9">
        <f>IF(OR(sales_data_sample[[#This Row],[STATUS]]="Shipped",sales_data_sample[[#This Row],[STATUS]]="Resolved"),sales_data_sample[[#This Row],[SALES]],0)</f>
        <v>4500</v>
      </c>
      <c r="F387" s="10">
        <v>14</v>
      </c>
      <c r="G387" s="12" t="s">
        <v>587</v>
      </c>
      <c r="H387" s="1" t="s">
        <v>26</v>
      </c>
      <c r="I387">
        <v>4</v>
      </c>
      <c r="J387">
        <v>10</v>
      </c>
      <c r="K387">
        <v>2004</v>
      </c>
      <c r="L387" s="1" t="s">
        <v>711</v>
      </c>
      <c r="M387">
        <v>118</v>
      </c>
      <c r="N387" s="1" t="s">
        <v>741</v>
      </c>
      <c r="O387" s="1" t="s">
        <v>701</v>
      </c>
      <c r="P387" s="1" t="s">
        <v>702</v>
      </c>
      <c r="Q387" s="1" t="s">
        <v>703</v>
      </c>
      <c r="R387" s="1" t="s">
        <v>32</v>
      </c>
      <c r="S387" s="1" t="s">
        <v>704</v>
      </c>
      <c r="T387" s="1" t="s">
        <v>32</v>
      </c>
      <c r="U387" s="1" t="s">
        <v>705</v>
      </c>
      <c r="V387" s="1" t="s">
        <v>442</v>
      </c>
      <c r="W387" s="1" t="s">
        <v>48</v>
      </c>
      <c r="X387" s="1" t="s">
        <v>706</v>
      </c>
      <c r="Y387" s="1" t="s">
        <v>707</v>
      </c>
      <c r="Z387" s="1" t="str">
        <f>TRIM(_xlfn.CONCAT(sales_data_sample[[#This Row],[CONTACTFIRSTNAME]],", ",sales_data_sample[[#This Row],[CONTACTLASTNAME]]))</f>
        <v>Palle, Ibsen</v>
      </c>
      <c r="AA387" s="1" t="s">
        <v>59</v>
      </c>
    </row>
    <row r="388" spans="1:27" x14ac:dyDescent="0.25">
      <c r="A388">
        <v>10324</v>
      </c>
      <c r="B388">
        <v>26</v>
      </c>
      <c r="C388">
        <v>5838</v>
      </c>
      <c r="D388">
        <f>PRODUCT(sales_data_sample[[#This Row],[QUANTITYORDERED]],sales_data_sample[[#This Row],[PRICEEACH]])</f>
        <v>151788</v>
      </c>
      <c r="E388" s="9">
        <f>IF(OR(sales_data_sample[[#This Row],[STATUS]]="Shipped",sales_data_sample[[#This Row],[STATUS]]="Resolved"),sales_data_sample[[#This Row],[SALES]],0)</f>
        <v>151788</v>
      </c>
      <c r="F388">
        <v>7</v>
      </c>
      <c r="G388" s="12" t="s">
        <v>532</v>
      </c>
      <c r="H388" s="1" t="s">
        <v>26</v>
      </c>
      <c r="I388">
        <v>4</v>
      </c>
      <c r="J388">
        <v>11</v>
      </c>
      <c r="K388">
        <v>2004</v>
      </c>
      <c r="L388" s="1" t="s">
        <v>711</v>
      </c>
      <c r="M388">
        <v>118</v>
      </c>
      <c r="N388" s="1" t="s">
        <v>741</v>
      </c>
      <c r="O388" s="1" t="s">
        <v>125</v>
      </c>
      <c r="P388" s="1" t="s">
        <v>126</v>
      </c>
      <c r="Q388" s="1" t="s">
        <v>127</v>
      </c>
      <c r="R388" s="1" t="s">
        <v>128</v>
      </c>
      <c r="S388" s="1" t="s">
        <v>33</v>
      </c>
      <c r="T388" s="1" t="s">
        <v>34</v>
      </c>
      <c r="U388" s="1" t="s">
        <v>35</v>
      </c>
      <c r="V388" s="1" t="s">
        <v>36</v>
      </c>
      <c r="W388" s="1" t="s">
        <v>37</v>
      </c>
      <c r="X388" s="1" t="s">
        <v>129</v>
      </c>
      <c r="Y388" s="1" t="s">
        <v>130</v>
      </c>
      <c r="Z388" s="1" t="str">
        <f>TRIM(_xlfn.CONCAT(sales_data_sample[[#This Row],[CONTACTFIRSTNAME]],", ",sales_data_sample[[#This Row],[CONTACTLASTNAME]]))</f>
        <v>Michael, Frick</v>
      </c>
      <c r="AA388" s="1" t="s">
        <v>40</v>
      </c>
    </row>
    <row r="389" spans="1:27" x14ac:dyDescent="0.25">
      <c r="A389" s="10">
        <v>10336</v>
      </c>
      <c r="B389" s="9">
        <v>38</v>
      </c>
      <c r="C389" s="9">
        <v>100</v>
      </c>
      <c r="D389" s="9">
        <f>PRODUCT(sales_data_sample[[#This Row],[QUANTITYORDERED]],sales_data_sample[[#This Row],[PRICEEACH]])</f>
        <v>3800</v>
      </c>
      <c r="E389" s="9">
        <f>IF(OR(sales_data_sample[[#This Row],[STATUS]]="Shipped",sales_data_sample[[#This Row],[STATUS]]="Resolved"),sales_data_sample[[#This Row],[SALES]],0)</f>
        <v>3800</v>
      </c>
      <c r="F389" s="10">
        <v>3</v>
      </c>
      <c r="G389" s="12" t="s">
        <v>708</v>
      </c>
      <c r="H389" s="1" t="s">
        <v>26</v>
      </c>
      <c r="I389">
        <v>4</v>
      </c>
      <c r="J389">
        <v>11</v>
      </c>
      <c r="K389">
        <v>2004</v>
      </c>
      <c r="L389" s="1" t="s">
        <v>711</v>
      </c>
      <c r="M389">
        <v>118</v>
      </c>
      <c r="N389" s="1" t="s">
        <v>741</v>
      </c>
      <c r="O389" s="1" t="s">
        <v>556</v>
      </c>
      <c r="P389" s="1" t="s">
        <v>557</v>
      </c>
      <c r="Q389" s="1" t="s">
        <v>558</v>
      </c>
      <c r="R389" s="1" t="s">
        <v>32</v>
      </c>
      <c r="S389" s="1" t="s">
        <v>55</v>
      </c>
      <c r="T389" s="1" t="s">
        <v>32</v>
      </c>
      <c r="U389" s="1" t="s">
        <v>559</v>
      </c>
      <c r="V389" s="1" t="s">
        <v>47</v>
      </c>
      <c r="W389" s="1" t="s">
        <v>48</v>
      </c>
      <c r="X389" s="1" t="s">
        <v>560</v>
      </c>
      <c r="Y389" s="1" t="s">
        <v>561</v>
      </c>
      <c r="Z389" s="1" t="str">
        <f>TRIM(_xlfn.CONCAT(sales_data_sample[[#This Row],[CONTACTFIRSTNAME]],", ",sales_data_sample[[#This Row],[CONTACTLASTNAME]]))</f>
        <v>Marie, Bertrand</v>
      </c>
      <c r="AA389" s="1" t="s">
        <v>59</v>
      </c>
    </row>
    <row r="390" spans="1:27" x14ac:dyDescent="0.25">
      <c r="A390">
        <v>10349</v>
      </c>
      <c r="B390">
        <v>48</v>
      </c>
      <c r="C390">
        <v>100</v>
      </c>
      <c r="D390">
        <f>PRODUCT(sales_data_sample[[#This Row],[QUANTITYORDERED]],sales_data_sample[[#This Row],[PRICEEACH]])</f>
        <v>4800</v>
      </c>
      <c r="E390" s="9">
        <f>IF(OR(sales_data_sample[[#This Row],[STATUS]]="Shipped",sales_data_sample[[#This Row],[STATUS]]="Resolved"),sales_data_sample[[#This Row],[SALES]],0)</f>
        <v>4800</v>
      </c>
      <c r="F390">
        <v>9</v>
      </c>
      <c r="G390" s="12" t="s">
        <v>737</v>
      </c>
      <c r="H390" s="1" t="s">
        <v>26</v>
      </c>
      <c r="I390">
        <v>4</v>
      </c>
      <c r="J390">
        <v>12</v>
      </c>
      <c r="K390">
        <v>2004</v>
      </c>
      <c r="L390" s="1" t="s">
        <v>711</v>
      </c>
      <c r="M390">
        <v>118</v>
      </c>
      <c r="N390" s="1" t="s">
        <v>741</v>
      </c>
      <c r="O390" s="1" t="s">
        <v>667</v>
      </c>
      <c r="P390" s="1" t="s">
        <v>668</v>
      </c>
      <c r="Q390" s="1" t="s">
        <v>669</v>
      </c>
      <c r="R390" s="1" t="s">
        <v>670</v>
      </c>
      <c r="S390" s="1" t="s">
        <v>33</v>
      </c>
      <c r="T390" s="1" t="s">
        <v>34</v>
      </c>
      <c r="U390" s="1" t="s">
        <v>35</v>
      </c>
      <c r="V390" s="1" t="s">
        <v>36</v>
      </c>
      <c r="W390" s="1" t="s">
        <v>37</v>
      </c>
      <c r="X390" s="1" t="s">
        <v>67</v>
      </c>
      <c r="Y390" s="1" t="s">
        <v>671</v>
      </c>
      <c r="Z390" s="1" t="str">
        <f>TRIM(_xlfn.CONCAT(sales_data_sample[[#This Row],[CONTACTFIRSTNAME]],", ",sales_data_sample[[#This Row],[CONTACTLASTNAME]]))</f>
        <v>Jeff, Young</v>
      </c>
      <c r="AA390" s="1" t="s">
        <v>59</v>
      </c>
    </row>
    <row r="391" spans="1:27" x14ac:dyDescent="0.25">
      <c r="A391" s="10">
        <v>10358</v>
      </c>
      <c r="B391" s="9">
        <v>42</v>
      </c>
      <c r="C391" s="9">
        <v>6416</v>
      </c>
      <c r="D391" s="9">
        <f>PRODUCT(sales_data_sample[[#This Row],[QUANTITYORDERED]],sales_data_sample[[#This Row],[PRICEEACH]])</f>
        <v>269472</v>
      </c>
      <c r="E391" s="9">
        <f>IF(OR(sales_data_sample[[#This Row],[STATUS]]="Shipped",sales_data_sample[[#This Row],[STATUS]]="Resolved"),sales_data_sample[[#This Row],[SALES]],0)</f>
        <v>269472</v>
      </c>
      <c r="F391" s="10">
        <v>9</v>
      </c>
      <c r="G391" s="12" t="s">
        <v>376</v>
      </c>
      <c r="H391" s="1" t="s">
        <v>26</v>
      </c>
      <c r="I391">
        <v>4</v>
      </c>
      <c r="J391">
        <v>12</v>
      </c>
      <c r="K391">
        <v>2004</v>
      </c>
      <c r="L391" s="1" t="s">
        <v>711</v>
      </c>
      <c r="M391">
        <v>118</v>
      </c>
      <c r="N391" s="1" t="s">
        <v>741</v>
      </c>
      <c r="O391" s="1" t="s">
        <v>230</v>
      </c>
      <c r="P391" s="1" t="s">
        <v>231</v>
      </c>
      <c r="Q391" s="1" t="s">
        <v>232</v>
      </c>
      <c r="R391" s="1" t="s">
        <v>32</v>
      </c>
      <c r="S391" s="1" t="s">
        <v>233</v>
      </c>
      <c r="T391" s="1" t="s">
        <v>32</v>
      </c>
      <c r="U391" s="1" t="s">
        <v>234</v>
      </c>
      <c r="V391" s="1" t="s">
        <v>235</v>
      </c>
      <c r="W391" s="1" t="s">
        <v>48</v>
      </c>
      <c r="X391" s="1" t="s">
        <v>236</v>
      </c>
      <c r="Y391" s="1" t="s">
        <v>237</v>
      </c>
      <c r="Z391" s="1" t="str">
        <f>TRIM(_xlfn.CONCAT(sales_data_sample[[#This Row],[CONTACTFIRSTNAME]],", ",sales_data_sample[[#This Row],[CONTACTLASTNAME]]))</f>
        <v>Diego, Freyre</v>
      </c>
      <c r="AA391" s="1" t="s">
        <v>40</v>
      </c>
    </row>
    <row r="392" spans="1:27" x14ac:dyDescent="0.25">
      <c r="A392" s="10">
        <v>10371</v>
      </c>
      <c r="B392" s="9">
        <v>49</v>
      </c>
      <c r="C392" s="9">
        <v>3571</v>
      </c>
      <c r="D392" s="9">
        <f>PRODUCT(sales_data_sample[[#This Row],[QUANTITYORDERED]],sales_data_sample[[#This Row],[PRICEEACH]])</f>
        <v>174979</v>
      </c>
      <c r="E392" s="9">
        <f>IF(OR(sales_data_sample[[#This Row],[STATUS]]="Shipped",sales_data_sample[[#This Row],[STATUS]]="Resolved"),sales_data_sample[[#This Row],[SALES]],0)</f>
        <v>174979</v>
      </c>
      <c r="F392" s="10">
        <v>4</v>
      </c>
      <c r="G392" s="12" t="s">
        <v>709</v>
      </c>
      <c r="H392" s="1" t="s">
        <v>26</v>
      </c>
      <c r="I392">
        <v>1</v>
      </c>
      <c r="J392">
        <v>1</v>
      </c>
      <c r="K392">
        <v>2005</v>
      </c>
      <c r="L392" s="1" t="s">
        <v>711</v>
      </c>
      <c r="M392">
        <v>118</v>
      </c>
      <c r="N392" s="1" t="s">
        <v>741</v>
      </c>
      <c r="O392" s="1" t="s">
        <v>361</v>
      </c>
      <c r="P392" s="1" t="s">
        <v>362</v>
      </c>
      <c r="Q392" s="1" t="s">
        <v>363</v>
      </c>
      <c r="R392" s="1" t="s">
        <v>32</v>
      </c>
      <c r="S392" s="1" t="s">
        <v>364</v>
      </c>
      <c r="T392" s="1" t="s">
        <v>65</v>
      </c>
      <c r="U392" s="1" t="s">
        <v>145</v>
      </c>
      <c r="V392" s="1" t="s">
        <v>36</v>
      </c>
      <c r="W392" s="1" t="s">
        <v>37</v>
      </c>
      <c r="X392" s="1" t="s">
        <v>365</v>
      </c>
      <c r="Y392" s="1" t="s">
        <v>366</v>
      </c>
      <c r="Z392" s="1" t="str">
        <f>TRIM(_xlfn.CONCAT(sales_data_sample[[#This Row],[CONTACTFIRSTNAME]],", ",sales_data_sample[[#This Row],[CONTACTLASTNAME]]))</f>
        <v>Valarie, Nelson</v>
      </c>
      <c r="AA392" s="1" t="s">
        <v>40</v>
      </c>
    </row>
    <row r="393" spans="1:27" x14ac:dyDescent="0.25">
      <c r="A393" s="10">
        <v>10382</v>
      </c>
      <c r="B393" s="9">
        <v>32</v>
      </c>
      <c r="C393" s="9">
        <v>6658</v>
      </c>
      <c r="D393" s="9">
        <f>PRODUCT(sales_data_sample[[#This Row],[QUANTITYORDERED]],sales_data_sample[[#This Row],[PRICEEACH]])</f>
        <v>213056</v>
      </c>
      <c r="E393" s="9">
        <f>IF(OR(sales_data_sample[[#This Row],[STATUS]]="Shipped",sales_data_sample[[#This Row],[STATUS]]="Resolved"),sales_data_sample[[#This Row],[SALES]],0)</f>
        <v>213056</v>
      </c>
      <c r="F393" s="10">
        <v>13</v>
      </c>
      <c r="G393" s="12" t="s">
        <v>383</v>
      </c>
      <c r="H393" s="1" t="s">
        <v>26</v>
      </c>
      <c r="I393">
        <v>1</v>
      </c>
      <c r="J393">
        <v>2</v>
      </c>
      <c r="K393">
        <v>2005</v>
      </c>
      <c r="L393" s="1" t="s">
        <v>711</v>
      </c>
      <c r="M393">
        <v>118</v>
      </c>
      <c r="N393" s="1" t="s">
        <v>741</v>
      </c>
      <c r="O393" s="1" t="s">
        <v>361</v>
      </c>
      <c r="P393" s="1" t="s">
        <v>362</v>
      </c>
      <c r="Q393" s="1" t="s">
        <v>363</v>
      </c>
      <c r="R393" s="1" t="s">
        <v>32</v>
      </c>
      <c r="S393" s="1" t="s">
        <v>364</v>
      </c>
      <c r="T393" s="1" t="s">
        <v>65</v>
      </c>
      <c r="U393" s="1" t="s">
        <v>145</v>
      </c>
      <c r="V393" s="1" t="s">
        <v>36</v>
      </c>
      <c r="W393" s="1" t="s">
        <v>37</v>
      </c>
      <c r="X393" s="1" t="s">
        <v>365</v>
      </c>
      <c r="Y393" s="1" t="s">
        <v>366</v>
      </c>
      <c r="Z393" s="1" t="str">
        <f>TRIM(_xlfn.CONCAT(sales_data_sample[[#This Row],[CONTACTFIRSTNAME]],", ",sales_data_sample[[#This Row],[CONTACTLASTNAME]]))</f>
        <v>Valarie, Nelson</v>
      </c>
      <c r="AA393" s="1" t="s">
        <v>40</v>
      </c>
    </row>
    <row r="394" spans="1:27" x14ac:dyDescent="0.25">
      <c r="A394" s="10">
        <v>10412</v>
      </c>
      <c r="B394" s="9">
        <v>54</v>
      </c>
      <c r="C394" s="9">
        <v>100</v>
      </c>
      <c r="D394" s="9">
        <f>PRODUCT(sales_data_sample[[#This Row],[QUANTITYORDERED]],sales_data_sample[[#This Row],[PRICEEACH]])</f>
        <v>5400</v>
      </c>
      <c r="E394" s="9">
        <f>IF(OR(sales_data_sample[[#This Row],[STATUS]]="Shipped",sales_data_sample[[#This Row],[STATUS]]="Resolved"),sales_data_sample[[#This Row],[SALES]],0)</f>
        <v>5400</v>
      </c>
      <c r="F394" s="10">
        <v>5</v>
      </c>
      <c r="G394" s="12" t="s">
        <v>758</v>
      </c>
      <c r="H394" s="1" t="s">
        <v>26</v>
      </c>
      <c r="I394">
        <v>2</v>
      </c>
      <c r="J394">
        <v>5</v>
      </c>
      <c r="K394">
        <v>2005</v>
      </c>
      <c r="L394" s="1" t="s">
        <v>711</v>
      </c>
      <c r="M394">
        <v>118</v>
      </c>
      <c r="N394" s="1" t="s">
        <v>741</v>
      </c>
      <c r="O394" s="1" t="s">
        <v>230</v>
      </c>
      <c r="P394" s="1" t="s">
        <v>231</v>
      </c>
      <c r="Q394" s="1" t="s">
        <v>232</v>
      </c>
      <c r="R394" s="1" t="s">
        <v>32</v>
      </c>
      <c r="S394" s="1" t="s">
        <v>233</v>
      </c>
      <c r="T394" s="1" t="s">
        <v>32</v>
      </c>
      <c r="U394" s="1" t="s">
        <v>234</v>
      </c>
      <c r="V394" s="1" t="s">
        <v>235</v>
      </c>
      <c r="W394" s="1" t="s">
        <v>48</v>
      </c>
      <c r="X394" s="1" t="s">
        <v>236</v>
      </c>
      <c r="Y394" s="1" t="s">
        <v>237</v>
      </c>
      <c r="Z394" s="1" t="str">
        <f>TRIM(_xlfn.CONCAT(sales_data_sample[[#This Row],[CONTACTFIRSTNAME]],", ",sales_data_sample[[#This Row],[CONTACTLASTNAME]]))</f>
        <v>Diego, Freyre</v>
      </c>
      <c r="AA394" s="1" t="s">
        <v>59</v>
      </c>
    </row>
    <row r="395" spans="1:27" x14ac:dyDescent="0.25">
      <c r="A395" s="10">
        <v>10425</v>
      </c>
      <c r="B395" s="9">
        <v>33</v>
      </c>
      <c r="C395" s="9">
        <v>100</v>
      </c>
      <c r="D395" s="9">
        <f>PRODUCT(sales_data_sample[[#This Row],[QUANTITYORDERED]],sales_data_sample[[#This Row],[PRICEEACH]])</f>
        <v>3300</v>
      </c>
      <c r="E395" s="9">
        <f>IF(OR(sales_data_sample[[#This Row],[STATUS]]="Shipped",sales_data_sample[[#This Row],[STATUS]]="Resolved"),sales_data_sample[[#This Row],[SALES]],0)</f>
        <v>0</v>
      </c>
      <c r="F395" s="10">
        <v>4</v>
      </c>
      <c r="G395" s="12" t="s">
        <v>402</v>
      </c>
      <c r="H395" s="1" t="s">
        <v>403</v>
      </c>
      <c r="I395">
        <v>2</v>
      </c>
      <c r="J395">
        <v>5</v>
      </c>
      <c r="K395">
        <v>2005</v>
      </c>
      <c r="L395" s="1" t="s">
        <v>711</v>
      </c>
      <c r="M395">
        <v>118</v>
      </c>
      <c r="N395" s="1" t="s">
        <v>741</v>
      </c>
      <c r="O395" s="1" t="s">
        <v>148</v>
      </c>
      <c r="P395" s="1" t="s">
        <v>149</v>
      </c>
      <c r="Q395" s="1" t="s">
        <v>150</v>
      </c>
      <c r="R395" s="1" t="s">
        <v>32</v>
      </c>
      <c r="S395" s="1" t="s">
        <v>151</v>
      </c>
      <c r="T395" s="1" t="s">
        <v>32</v>
      </c>
      <c r="U395" s="1" t="s">
        <v>152</v>
      </c>
      <c r="V395" s="1" t="s">
        <v>47</v>
      </c>
      <c r="W395" s="1" t="s">
        <v>48</v>
      </c>
      <c r="X395" s="1" t="s">
        <v>153</v>
      </c>
      <c r="Y395" s="1" t="s">
        <v>154</v>
      </c>
      <c r="Z395" s="1" t="str">
        <f>TRIM(_xlfn.CONCAT(sales_data_sample[[#This Row],[CONTACTFIRSTNAME]],", ",sales_data_sample[[#This Row],[CONTACTLASTNAME]]))</f>
        <v>Janine, Labrune</v>
      </c>
      <c r="AA395" s="1" t="s">
        <v>59</v>
      </c>
    </row>
    <row r="396" spans="1:27" x14ac:dyDescent="0.25">
      <c r="A396" s="10">
        <v>10108</v>
      </c>
      <c r="B396" s="9">
        <v>36</v>
      </c>
      <c r="C396" s="9">
        <v>100</v>
      </c>
      <c r="D396" s="9">
        <f>PRODUCT(sales_data_sample[[#This Row],[QUANTITYORDERED]],sales_data_sample[[#This Row],[PRICEEACH]])</f>
        <v>3600</v>
      </c>
      <c r="E396" s="9">
        <f>IF(OR(sales_data_sample[[#This Row],[STATUS]]="Shipped",sales_data_sample[[#This Row],[STATUS]]="Resolved"),sales_data_sample[[#This Row],[SALES]],0)</f>
        <v>3600</v>
      </c>
      <c r="F396" s="10">
        <v>3</v>
      </c>
      <c r="G396" s="12" t="s">
        <v>589</v>
      </c>
      <c r="H396" s="1" t="s">
        <v>26</v>
      </c>
      <c r="I396">
        <v>1</v>
      </c>
      <c r="J396">
        <v>3</v>
      </c>
      <c r="K396">
        <v>2003</v>
      </c>
      <c r="L396" s="1" t="s">
        <v>239</v>
      </c>
      <c r="M396">
        <v>115</v>
      </c>
      <c r="N396" s="1" t="s">
        <v>759</v>
      </c>
      <c r="O396" s="1" t="s">
        <v>591</v>
      </c>
      <c r="P396" s="1" t="s">
        <v>592</v>
      </c>
      <c r="Q396" s="1" t="s">
        <v>593</v>
      </c>
      <c r="R396" s="1" t="s">
        <v>32</v>
      </c>
      <c r="S396" s="1" t="s">
        <v>594</v>
      </c>
      <c r="T396" s="1" t="s">
        <v>32</v>
      </c>
      <c r="U396" s="1" t="s">
        <v>595</v>
      </c>
      <c r="V396" s="1" t="s">
        <v>596</v>
      </c>
      <c r="W396" s="1" t="s">
        <v>264</v>
      </c>
      <c r="X396" s="1" t="s">
        <v>597</v>
      </c>
      <c r="Y396" s="1" t="s">
        <v>598</v>
      </c>
      <c r="Z396" s="1" t="str">
        <f>TRIM(_xlfn.CONCAT(sales_data_sample[[#This Row],[CONTACTFIRSTNAME]],", ",sales_data_sample[[#This Row],[CONTACTLASTNAME]]))</f>
        <v>Arnold, Cruz</v>
      </c>
      <c r="AA396" s="1" t="s">
        <v>59</v>
      </c>
    </row>
    <row r="397" spans="1:27" x14ac:dyDescent="0.25">
      <c r="A397" s="10">
        <v>10122</v>
      </c>
      <c r="B397" s="9">
        <v>20</v>
      </c>
      <c r="C397" s="9">
        <v>100</v>
      </c>
      <c r="D397" s="9">
        <f>PRODUCT(sales_data_sample[[#This Row],[QUANTITYORDERED]],sales_data_sample[[#This Row],[PRICEEACH]])</f>
        <v>2000</v>
      </c>
      <c r="E397" s="9">
        <f>IF(OR(sales_data_sample[[#This Row],[STATUS]]="Shipped",sales_data_sample[[#This Row],[STATUS]]="Resolved"),sales_data_sample[[#This Row],[SALES]],0)</f>
        <v>2000</v>
      </c>
      <c r="F397" s="10">
        <v>7</v>
      </c>
      <c r="G397" s="12" t="s">
        <v>599</v>
      </c>
      <c r="H397" s="1" t="s">
        <v>26</v>
      </c>
      <c r="I397">
        <v>2</v>
      </c>
      <c r="J397">
        <v>5</v>
      </c>
      <c r="K397">
        <v>2003</v>
      </c>
      <c r="L397" s="1" t="s">
        <v>239</v>
      </c>
      <c r="M397">
        <v>115</v>
      </c>
      <c r="N397" s="1" t="s">
        <v>759</v>
      </c>
      <c r="O397" s="1" t="s">
        <v>600</v>
      </c>
      <c r="P397" s="1" t="s">
        <v>601</v>
      </c>
      <c r="Q397" s="1" t="s">
        <v>602</v>
      </c>
      <c r="R397" s="1" t="s">
        <v>32</v>
      </c>
      <c r="S397" s="1" t="s">
        <v>603</v>
      </c>
      <c r="T397" s="1" t="s">
        <v>32</v>
      </c>
      <c r="U397" s="1" t="s">
        <v>604</v>
      </c>
      <c r="V397" s="1" t="s">
        <v>47</v>
      </c>
      <c r="W397" s="1" t="s">
        <v>48</v>
      </c>
      <c r="X397" s="1" t="s">
        <v>605</v>
      </c>
      <c r="Y397" s="1" t="s">
        <v>606</v>
      </c>
      <c r="Z397" s="1" t="str">
        <f>TRIM(_xlfn.CONCAT(sales_data_sample[[#This Row],[CONTACTFIRSTNAME]],", ",sales_data_sample[[#This Row],[CONTACTLASTNAME]]))</f>
        <v>Laurence, Lebihan</v>
      </c>
      <c r="AA397" s="1" t="s">
        <v>40</v>
      </c>
    </row>
    <row r="398" spans="1:27" x14ac:dyDescent="0.25">
      <c r="A398" s="10">
        <v>10135</v>
      </c>
      <c r="B398" s="9">
        <v>29</v>
      </c>
      <c r="C398" s="9">
        <v>9789</v>
      </c>
      <c r="D398" s="9">
        <f>PRODUCT(sales_data_sample[[#This Row],[QUANTITYORDERED]],sales_data_sample[[#This Row],[PRICEEACH]])</f>
        <v>283881</v>
      </c>
      <c r="E398" s="9">
        <f>IF(OR(sales_data_sample[[#This Row],[STATUS]]="Shipped",sales_data_sample[[#This Row],[STATUS]]="Resolved"),sales_data_sample[[#This Row],[SALES]],0)</f>
        <v>283881</v>
      </c>
      <c r="F398" s="10">
        <v>4</v>
      </c>
      <c r="G398" s="12" t="s">
        <v>607</v>
      </c>
      <c r="H398" s="1" t="s">
        <v>26</v>
      </c>
      <c r="I398">
        <v>3</v>
      </c>
      <c r="J398">
        <v>7</v>
      </c>
      <c r="K398">
        <v>2003</v>
      </c>
      <c r="L398" s="1" t="s">
        <v>239</v>
      </c>
      <c r="M398">
        <v>115</v>
      </c>
      <c r="N398" s="1" t="s">
        <v>759</v>
      </c>
      <c r="O398" s="1" t="s">
        <v>361</v>
      </c>
      <c r="P398" s="1" t="s">
        <v>362</v>
      </c>
      <c r="Q398" s="1" t="s">
        <v>363</v>
      </c>
      <c r="R398" s="1" t="s">
        <v>32</v>
      </c>
      <c r="S398" s="1" t="s">
        <v>364</v>
      </c>
      <c r="T398" s="1" t="s">
        <v>65</v>
      </c>
      <c r="U398" s="1" t="s">
        <v>145</v>
      </c>
      <c r="V398" s="1" t="s">
        <v>36</v>
      </c>
      <c r="W398" s="1" t="s">
        <v>37</v>
      </c>
      <c r="X398" s="1" t="s">
        <v>365</v>
      </c>
      <c r="Y398" s="1" t="s">
        <v>366</v>
      </c>
      <c r="Z398" s="1" t="str">
        <f>TRIM(_xlfn.CONCAT(sales_data_sample[[#This Row],[CONTACTFIRSTNAME]],", ",sales_data_sample[[#This Row],[CONTACTLASTNAME]]))</f>
        <v>Valarie, Nelson</v>
      </c>
      <c r="AA398" s="1" t="s">
        <v>40</v>
      </c>
    </row>
    <row r="399" spans="1:27" x14ac:dyDescent="0.25">
      <c r="A399" s="10">
        <v>10147</v>
      </c>
      <c r="B399" s="9">
        <v>33</v>
      </c>
      <c r="C399" s="9">
        <v>9789</v>
      </c>
      <c r="D399" s="9">
        <f>PRODUCT(sales_data_sample[[#This Row],[QUANTITYORDERED]],sales_data_sample[[#This Row],[PRICEEACH]])</f>
        <v>323037</v>
      </c>
      <c r="E399" s="9">
        <f>IF(OR(sales_data_sample[[#This Row],[STATUS]]="Shipped",sales_data_sample[[#This Row],[STATUS]]="Resolved"),sales_data_sample[[#This Row],[SALES]],0)</f>
        <v>323037</v>
      </c>
      <c r="F399" s="10">
        <v>4</v>
      </c>
      <c r="G399" s="12" t="s">
        <v>608</v>
      </c>
      <c r="H399" s="1" t="s">
        <v>26</v>
      </c>
      <c r="I399">
        <v>3</v>
      </c>
      <c r="J399">
        <v>9</v>
      </c>
      <c r="K399">
        <v>2003</v>
      </c>
      <c r="L399" s="1" t="s">
        <v>239</v>
      </c>
      <c r="M399">
        <v>115</v>
      </c>
      <c r="N399" s="1" t="s">
        <v>759</v>
      </c>
      <c r="O399" s="1" t="s">
        <v>378</v>
      </c>
      <c r="P399" s="1" t="s">
        <v>157</v>
      </c>
      <c r="Q399" s="1" t="s">
        <v>379</v>
      </c>
      <c r="R399" s="1" t="s">
        <v>32</v>
      </c>
      <c r="S399" s="1" t="s">
        <v>380</v>
      </c>
      <c r="T399" s="1" t="s">
        <v>160</v>
      </c>
      <c r="U399" s="1" t="s">
        <v>381</v>
      </c>
      <c r="V399" s="1" t="s">
        <v>36</v>
      </c>
      <c r="W399" s="1" t="s">
        <v>37</v>
      </c>
      <c r="X399" s="1" t="s">
        <v>365</v>
      </c>
      <c r="Y399" s="1" t="s">
        <v>382</v>
      </c>
      <c r="Z399" s="1" t="str">
        <f>TRIM(_xlfn.CONCAT(sales_data_sample[[#This Row],[CONTACTFIRSTNAME]],", ",sales_data_sample[[#This Row],[CONTACTLASTNAME]]))</f>
        <v>Allen, Nelson</v>
      </c>
      <c r="AA399" s="1" t="s">
        <v>59</v>
      </c>
    </row>
    <row r="400" spans="1:27" x14ac:dyDescent="0.25">
      <c r="A400" s="10">
        <v>10160</v>
      </c>
      <c r="B400" s="9">
        <v>50</v>
      </c>
      <c r="C400" s="9">
        <v>100</v>
      </c>
      <c r="D400" s="9">
        <f>PRODUCT(sales_data_sample[[#This Row],[QUANTITYORDERED]],sales_data_sample[[#This Row],[PRICEEACH]])</f>
        <v>5000</v>
      </c>
      <c r="E400" s="9">
        <f>IF(OR(sales_data_sample[[#This Row],[STATUS]]="Shipped",sales_data_sample[[#This Row],[STATUS]]="Resolved"),sales_data_sample[[#This Row],[SALES]],0)</f>
        <v>5000</v>
      </c>
      <c r="F400" s="10">
        <v>5</v>
      </c>
      <c r="G400" s="12" t="s">
        <v>728</v>
      </c>
      <c r="H400" s="1" t="s">
        <v>26</v>
      </c>
      <c r="I400">
        <v>4</v>
      </c>
      <c r="J400">
        <v>10</v>
      </c>
      <c r="K400">
        <v>2003</v>
      </c>
      <c r="L400" s="1" t="s">
        <v>239</v>
      </c>
      <c r="M400">
        <v>115</v>
      </c>
      <c r="N400" s="1" t="s">
        <v>759</v>
      </c>
      <c r="O400" s="1" t="s">
        <v>486</v>
      </c>
      <c r="P400" s="1" t="s">
        <v>487</v>
      </c>
      <c r="Q400" s="1" t="s">
        <v>488</v>
      </c>
      <c r="R400" s="1" t="s">
        <v>32</v>
      </c>
      <c r="S400" s="1" t="s">
        <v>489</v>
      </c>
      <c r="T400" s="1" t="s">
        <v>65</v>
      </c>
      <c r="U400" s="1" t="s">
        <v>32</v>
      </c>
      <c r="V400" s="1" t="s">
        <v>36</v>
      </c>
      <c r="W400" s="1" t="s">
        <v>37</v>
      </c>
      <c r="X400" s="1" t="s">
        <v>490</v>
      </c>
      <c r="Y400" s="1" t="s">
        <v>130</v>
      </c>
      <c r="Z400" s="1" t="str">
        <f>TRIM(_xlfn.CONCAT(sales_data_sample[[#This Row],[CONTACTFIRSTNAME]],", ",sales_data_sample[[#This Row],[CONTACTLASTNAME]]))</f>
        <v>Michael, Chandler</v>
      </c>
      <c r="AA400" s="1" t="s">
        <v>59</v>
      </c>
    </row>
    <row r="401" spans="1:27" x14ac:dyDescent="0.25">
      <c r="A401" s="10">
        <v>10170</v>
      </c>
      <c r="B401" s="9">
        <v>41</v>
      </c>
      <c r="C401" s="9">
        <v>100</v>
      </c>
      <c r="D401" s="9">
        <f>PRODUCT(sales_data_sample[[#This Row],[QUANTITYORDERED]],sales_data_sample[[#This Row],[PRICEEACH]])</f>
        <v>4100</v>
      </c>
      <c r="E401" s="9">
        <f>IF(OR(sales_data_sample[[#This Row],[STATUS]]="Shipped",sales_data_sample[[#This Row],[STATUS]]="Resolved"),sales_data_sample[[#This Row],[SALES]],0)</f>
        <v>4100</v>
      </c>
      <c r="F401" s="10">
        <v>3</v>
      </c>
      <c r="G401" s="12" t="s">
        <v>609</v>
      </c>
      <c r="H401" s="1" t="s">
        <v>26</v>
      </c>
      <c r="I401">
        <v>4</v>
      </c>
      <c r="J401">
        <v>11</v>
      </c>
      <c r="K401">
        <v>2003</v>
      </c>
      <c r="L401" s="1" t="s">
        <v>239</v>
      </c>
      <c r="M401">
        <v>115</v>
      </c>
      <c r="N401" s="1" t="s">
        <v>759</v>
      </c>
      <c r="O401" s="1" t="s">
        <v>564</v>
      </c>
      <c r="P401" s="1" t="s">
        <v>565</v>
      </c>
      <c r="Q401" s="1" t="s">
        <v>566</v>
      </c>
      <c r="R401" s="1" t="s">
        <v>32</v>
      </c>
      <c r="S401" s="1" t="s">
        <v>567</v>
      </c>
      <c r="T401" s="1" t="s">
        <v>32</v>
      </c>
      <c r="U401" s="1" t="s">
        <v>568</v>
      </c>
      <c r="V401" s="1" t="s">
        <v>196</v>
      </c>
      <c r="W401" s="1" t="s">
        <v>48</v>
      </c>
      <c r="X401" s="1" t="s">
        <v>569</v>
      </c>
      <c r="Y401" s="1" t="s">
        <v>570</v>
      </c>
      <c r="Z401" s="1" t="str">
        <f>TRIM(_xlfn.CONCAT(sales_data_sample[[#This Row],[CONTACTFIRSTNAME]],", ",sales_data_sample[[#This Row],[CONTACTLASTNAME]]))</f>
        <v>Roland, Mendel</v>
      </c>
      <c r="AA401" s="1" t="s">
        <v>59</v>
      </c>
    </row>
    <row r="402" spans="1:27" x14ac:dyDescent="0.25">
      <c r="A402" s="10">
        <v>10181</v>
      </c>
      <c r="B402" s="9">
        <v>36</v>
      </c>
      <c r="C402" s="9">
        <v>100</v>
      </c>
      <c r="D402" s="9">
        <f>PRODUCT(sales_data_sample[[#This Row],[QUANTITYORDERED]],sales_data_sample[[#This Row],[PRICEEACH]])</f>
        <v>3600</v>
      </c>
      <c r="E402" s="9">
        <f>IF(OR(sales_data_sample[[#This Row],[STATUS]]="Shipped",sales_data_sample[[#This Row],[STATUS]]="Resolved"),sales_data_sample[[#This Row],[SALES]],0)</f>
        <v>3600</v>
      </c>
      <c r="F402" s="10">
        <v>11</v>
      </c>
      <c r="G402" s="12" t="s">
        <v>610</v>
      </c>
      <c r="H402" s="1" t="s">
        <v>26</v>
      </c>
      <c r="I402">
        <v>4</v>
      </c>
      <c r="J402">
        <v>11</v>
      </c>
      <c r="K402">
        <v>2003</v>
      </c>
      <c r="L402" s="1" t="s">
        <v>239</v>
      </c>
      <c r="M402">
        <v>115</v>
      </c>
      <c r="N402" s="1" t="s">
        <v>759</v>
      </c>
      <c r="O402" s="1" t="s">
        <v>92</v>
      </c>
      <c r="P402" s="1" t="s">
        <v>93</v>
      </c>
      <c r="Q402" s="1" t="s">
        <v>94</v>
      </c>
      <c r="R402" s="1" t="s">
        <v>32</v>
      </c>
      <c r="S402" s="1" t="s">
        <v>95</v>
      </c>
      <c r="T402" s="1" t="s">
        <v>32</v>
      </c>
      <c r="U402" s="1" t="s">
        <v>96</v>
      </c>
      <c r="V402" s="1" t="s">
        <v>97</v>
      </c>
      <c r="W402" s="1" t="s">
        <v>48</v>
      </c>
      <c r="X402" s="1" t="s">
        <v>98</v>
      </c>
      <c r="Y402" s="1" t="s">
        <v>99</v>
      </c>
      <c r="Z402" s="1" t="str">
        <f>TRIM(_xlfn.CONCAT(sales_data_sample[[#This Row],[CONTACTFIRSTNAME]],", ",sales_data_sample[[#This Row],[CONTACTLASTNAME]]))</f>
        <v>Veysel, Oeztan</v>
      </c>
      <c r="AA402" s="1" t="s">
        <v>59</v>
      </c>
    </row>
    <row r="403" spans="1:27" x14ac:dyDescent="0.25">
      <c r="A403" s="10">
        <v>10192</v>
      </c>
      <c r="B403" s="9">
        <v>27</v>
      </c>
      <c r="C403" s="9">
        <v>100</v>
      </c>
      <c r="D403" s="9">
        <f>PRODUCT(sales_data_sample[[#This Row],[QUANTITYORDERED]],sales_data_sample[[#This Row],[PRICEEACH]])</f>
        <v>2700</v>
      </c>
      <c r="E403" s="9">
        <f>IF(OR(sales_data_sample[[#This Row],[STATUS]]="Shipped",sales_data_sample[[#This Row],[STATUS]]="Resolved"),sales_data_sample[[#This Row],[SALES]],0)</f>
        <v>2700</v>
      </c>
      <c r="F403" s="10">
        <v>16</v>
      </c>
      <c r="G403" s="12" t="s">
        <v>611</v>
      </c>
      <c r="H403" s="1" t="s">
        <v>26</v>
      </c>
      <c r="I403">
        <v>4</v>
      </c>
      <c r="J403">
        <v>11</v>
      </c>
      <c r="K403">
        <v>2003</v>
      </c>
      <c r="L403" s="1" t="s">
        <v>239</v>
      </c>
      <c r="M403">
        <v>115</v>
      </c>
      <c r="N403" s="1" t="s">
        <v>759</v>
      </c>
      <c r="O403" s="1" t="s">
        <v>368</v>
      </c>
      <c r="P403" s="1" t="s">
        <v>369</v>
      </c>
      <c r="Q403" s="1" t="s">
        <v>370</v>
      </c>
      <c r="R403" s="1" t="s">
        <v>32</v>
      </c>
      <c r="S403" s="1" t="s">
        <v>371</v>
      </c>
      <c r="T403" s="1" t="s">
        <v>372</v>
      </c>
      <c r="U403" s="1" t="s">
        <v>373</v>
      </c>
      <c r="V403" s="1" t="s">
        <v>36</v>
      </c>
      <c r="W403" s="1" t="s">
        <v>37</v>
      </c>
      <c r="X403" s="1" t="s">
        <v>67</v>
      </c>
      <c r="Y403" s="1" t="s">
        <v>366</v>
      </c>
      <c r="Z403" s="1" t="str">
        <f>TRIM(_xlfn.CONCAT(sales_data_sample[[#This Row],[CONTACTFIRSTNAME]],", ",sales_data_sample[[#This Row],[CONTACTLASTNAME]]))</f>
        <v>Valarie, Young</v>
      </c>
      <c r="AA403" s="1" t="s">
        <v>59</v>
      </c>
    </row>
    <row r="404" spans="1:27" x14ac:dyDescent="0.25">
      <c r="A404" s="10">
        <v>10203</v>
      </c>
      <c r="B404" s="9">
        <v>47</v>
      </c>
      <c r="C404" s="9">
        <v>100</v>
      </c>
      <c r="D404" s="9">
        <f>PRODUCT(sales_data_sample[[#This Row],[QUANTITYORDERED]],sales_data_sample[[#This Row],[PRICEEACH]])</f>
        <v>4700</v>
      </c>
      <c r="E404" s="9">
        <f>IF(OR(sales_data_sample[[#This Row],[STATUS]]="Shipped",sales_data_sample[[#This Row],[STATUS]]="Resolved"),sales_data_sample[[#This Row],[SALES]],0)</f>
        <v>4700</v>
      </c>
      <c r="F404" s="10">
        <v>5</v>
      </c>
      <c r="G404" s="12" t="s">
        <v>620</v>
      </c>
      <c r="H404" s="1" t="s">
        <v>26</v>
      </c>
      <c r="I404">
        <v>4</v>
      </c>
      <c r="J404">
        <v>12</v>
      </c>
      <c r="K404">
        <v>2003</v>
      </c>
      <c r="L404" s="1" t="s">
        <v>239</v>
      </c>
      <c r="M404">
        <v>115</v>
      </c>
      <c r="N404" s="1" t="s">
        <v>759</v>
      </c>
      <c r="O404" s="1" t="s">
        <v>230</v>
      </c>
      <c r="P404" s="1" t="s">
        <v>231</v>
      </c>
      <c r="Q404" s="1" t="s">
        <v>232</v>
      </c>
      <c r="R404" s="1" t="s">
        <v>32</v>
      </c>
      <c r="S404" s="1" t="s">
        <v>233</v>
      </c>
      <c r="T404" s="1" t="s">
        <v>32</v>
      </c>
      <c r="U404" s="1" t="s">
        <v>234</v>
      </c>
      <c r="V404" s="1" t="s">
        <v>235</v>
      </c>
      <c r="W404" s="1" t="s">
        <v>48</v>
      </c>
      <c r="X404" s="1" t="s">
        <v>236</v>
      </c>
      <c r="Y404" s="1" t="s">
        <v>237</v>
      </c>
      <c r="Z404" s="1" t="str">
        <f>TRIM(_xlfn.CONCAT(sales_data_sample[[#This Row],[CONTACTFIRSTNAME]],", ",sales_data_sample[[#This Row],[CONTACTLASTNAME]]))</f>
        <v>Diego, Freyre</v>
      </c>
      <c r="AA404" s="1" t="s">
        <v>59</v>
      </c>
    </row>
    <row r="405" spans="1:27" x14ac:dyDescent="0.25">
      <c r="A405" s="10">
        <v>10212</v>
      </c>
      <c r="B405" s="9">
        <v>33</v>
      </c>
      <c r="C405" s="9">
        <v>100</v>
      </c>
      <c r="D405" s="9">
        <f>PRODUCT(sales_data_sample[[#This Row],[QUANTITYORDERED]],sales_data_sample[[#This Row],[PRICEEACH]])</f>
        <v>3300</v>
      </c>
      <c r="E405" s="9">
        <f>IF(OR(sales_data_sample[[#This Row],[STATUS]]="Shipped",sales_data_sample[[#This Row],[STATUS]]="Resolved"),sales_data_sample[[#This Row],[SALES]],0)</f>
        <v>3300</v>
      </c>
      <c r="F405" s="10">
        <v>15</v>
      </c>
      <c r="G405" s="12" t="s">
        <v>729</v>
      </c>
      <c r="H405" s="1" t="s">
        <v>26</v>
      </c>
      <c r="I405">
        <v>1</v>
      </c>
      <c r="J405">
        <v>1</v>
      </c>
      <c r="K405">
        <v>2004</v>
      </c>
      <c r="L405" s="1" t="s">
        <v>239</v>
      </c>
      <c r="M405">
        <v>115</v>
      </c>
      <c r="N405" s="1" t="s">
        <v>759</v>
      </c>
      <c r="O405" s="1" t="s">
        <v>230</v>
      </c>
      <c r="P405" s="1" t="s">
        <v>231</v>
      </c>
      <c r="Q405" s="1" t="s">
        <v>232</v>
      </c>
      <c r="R405" s="1" t="s">
        <v>32</v>
      </c>
      <c r="S405" s="1" t="s">
        <v>233</v>
      </c>
      <c r="T405" s="1" t="s">
        <v>32</v>
      </c>
      <c r="U405" s="1" t="s">
        <v>234</v>
      </c>
      <c r="V405" s="1" t="s">
        <v>235</v>
      </c>
      <c r="W405" s="1" t="s">
        <v>48</v>
      </c>
      <c r="X405" s="1" t="s">
        <v>236</v>
      </c>
      <c r="Y405" s="1" t="s">
        <v>237</v>
      </c>
      <c r="Z405" s="1" t="str">
        <f>TRIM(_xlfn.CONCAT(sales_data_sample[[#This Row],[CONTACTFIRSTNAME]],", ",sales_data_sample[[#This Row],[CONTACTLASTNAME]]))</f>
        <v>Diego, Freyre</v>
      </c>
      <c r="AA405" s="1" t="s">
        <v>59</v>
      </c>
    </row>
    <row r="406" spans="1:27" x14ac:dyDescent="0.25">
      <c r="A406" s="10">
        <v>10225</v>
      </c>
      <c r="B406" s="9">
        <v>21</v>
      </c>
      <c r="C406" s="9">
        <v>100</v>
      </c>
      <c r="D406" s="9">
        <f>PRODUCT(sales_data_sample[[#This Row],[QUANTITYORDERED]],sales_data_sample[[#This Row],[PRICEEACH]])</f>
        <v>2100</v>
      </c>
      <c r="E406" s="9">
        <f>IF(OR(sales_data_sample[[#This Row],[STATUS]]="Shipped",sales_data_sample[[#This Row],[STATUS]]="Resolved"),sales_data_sample[[#This Row],[SALES]],0)</f>
        <v>2100</v>
      </c>
      <c r="F406" s="10">
        <v>6</v>
      </c>
      <c r="G406" s="12" t="s">
        <v>621</v>
      </c>
      <c r="H406" s="1" t="s">
        <v>26</v>
      </c>
      <c r="I406">
        <v>1</v>
      </c>
      <c r="J406">
        <v>2</v>
      </c>
      <c r="K406">
        <v>2004</v>
      </c>
      <c r="L406" s="1" t="s">
        <v>239</v>
      </c>
      <c r="M406">
        <v>115</v>
      </c>
      <c r="N406" s="1" t="s">
        <v>759</v>
      </c>
      <c r="O406" s="1" t="s">
        <v>622</v>
      </c>
      <c r="P406" s="1" t="s">
        <v>623</v>
      </c>
      <c r="Q406" s="1" t="s">
        <v>624</v>
      </c>
      <c r="R406" s="1" t="s">
        <v>32</v>
      </c>
      <c r="S406" s="1" t="s">
        <v>625</v>
      </c>
      <c r="T406" s="1" t="s">
        <v>32</v>
      </c>
      <c r="U406" s="1" t="s">
        <v>626</v>
      </c>
      <c r="V406" s="1" t="s">
        <v>627</v>
      </c>
      <c r="W406" s="1" t="s">
        <v>48</v>
      </c>
      <c r="X406" s="1" t="s">
        <v>628</v>
      </c>
      <c r="Y406" s="1" t="s">
        <v>130</v>
      </c>
      <c r="Z406" s="1" t="str">
        <f>TRIM(_xlfn.CONCAT(sales_data_sample[[#This Row],[CONTACTFIRSTNAME]],", ",sales_data_sample[[#This Row],[CONTACTLASTNAME]]))</f>
        <v>Michael, Holz</v>
      </c>
      <c r="AA406" s="1" t="s">
        <v>40</v>
      </c>
    </row>
    <row r="407" spans="1:27" x14ac:dyDescent="0.25">
      <c r="A407" s="10">
        <v>10239</v>
      </c>
      <c r="B407" s="9">
        <v>21</v>
      </c>
      <c r="C407" s="9">
        <v>9328</v>
      </c>
      <c r="D407" s="9">
        <f>PRODUCT(sales_data_sample[[#This Row],[QUANTITYORDERED]],sales_data_sample[[#This Row],[PRICEEACH]])</f>
        <v>195888</v>
      </c>
      <c r="E407" s="9">
        <f>IF(OR(sales_data_sample[[#This Row],[STATUS]]="Shipped",sales_data_sample[[#This Row],[STATUS]]="Resolved"),sales_data_sample[[#This Row],[SALES]],0)</f>
        <v>195888</v>
      </c>
      <c r="F407" s="10">
        <v>5</v>
      </c>
      <c r="G407" s="12" t="s">
        <v>760</v>
      </c>
      <c r="H407" s="1" t="s">
        <v>26</v>
      </c>
      <c r="I407">
        <v>2</v>
      </c>
      <c r="J407">
        <v>4</v>
      </c>
      <c r="K407">
        <v>2004</v>
      </c>
      <c r="L407" s="1" t="s">
        <v>239</v>
      </c>
      <c r="M407">
        <v>115</v>
      </c>
      <c r="N407" s="1" t="s">
        <v>759</v>
      </c>
      <c r="O407" s="1" t="s">
        <v>537</v>
      </c>
      <c r="P407" s="1" t="s">
        <v>538</v>
      </c>
      <c r="Q407" s="1" t="s">
        <v>539</v>
      </c>
      <c r="R407" s="1" t="s">
        <v>32</v>
      </c>
      <c r="S407" s="1" t="s">
        <v>540</v>
      </c>
      <c r="T407" s="1" t="s">
        <v>32</v>
      </c>
      <c r="U407" s="1" t="s">
        <v>541</v>
      </c>
      <c r="V407" s="1" t="s">
        <v>170</v>
      </c>
      <c r="W407" s="1" t="s">
        <v>48</v>
      </c>
      <c r="X407" s="1" t="s">
        <v>542</v>
      </c>
      <c r="Y407" s="1" t="s">
        <v>543</v>
      </c>
      <c r="Z407" s="1" t="str">
        <f>TRIM(_xlfn.CONCAT(sales_data_sample[[#This Row],[CONTACTFIRSTNAME]],", ",sales_data_sample[[#This Row],[CONTACTLASTNAME]]))</f>
        <v>Pirkko, Koskitalo</v>
      </c>
      <c r="AA407" s="1" t="s">
        <v>40</v>
      </c>
    </row>
    <row r="408" spans="1:27" x14ac:dyDescent="0.25">
      <c r="A408" s="10">
        <v>10253</v>
      </c>
      <c r="B408" s="9">
        <v>41</v>
      </c>
      <c r="C408" s="9">
        <v>100</v>
      </c>
      <c r="D408" s="9">
        <f>PRODUCT(sales_data_sample[[#This Row],[QUANTITYORDERED]],sales_data_sample[[#This Row],[PRICEEACH]])</f>
        <v>4100</v>
      </c>
      <c r="E408" s="9">
        <f>IF(OR(sales_data_sample[[#This Row],[STATUS]]="Shipped",sales_data_sample[[#This Row],[STATUS]]="Resolved"),sales_data_sample[[#This Row],[SALES]],0)</f>
        <v>0</v>
      </c>
      <c r="F408" s="10">
        <v>10</v>
      </c>
      <c r="G408" s="12" t="s">
        <v>630</v>
      </c>
      <c r="H408" s="1" t="s">
        <v>461</v>
      </c>
      <c r="I408">
        <v>2</v>
      </c>
      <c r="J408">
        <v>6</v>
      </c>
      <c r="K408">
        <v>2004</v>
      </c>
      <c r="L408" s="1" t="s">
        <v>239</v>
      </c>
      <c r="M408">
        <v>115</v>
      </c>
      <c r="N408" s="1" t="s">
        <v>759</v>
      </c>
      <c r="O408" s="1" t="s">
        <v>220</v>
      </c>
      <c r="P408" s="1" t="s">
        <v>221</v>
      </c>
      <c r="Q408" s="1" t="s">
        <v>222</v>
      </c>
      <c r="R408" s="1" t="s">
        <v>32</v>
      </c>
      <c r="S408" s="1" t="s">
        <v>223</v>
      </c>
      <c r="T408" s="1" t="s">
        <v>32</v>
      </c>
      <c r="U408" s="1" t="s">
        <v>224</v>
      </c>
      <c r="V408" s="1" t="s">
        <v>225</v>
      </c>
      <c r="W408" s="1" t="s">
        <v>48</v>
      </c>
      <c r="X408" s="1" t="s">
        <v>226</v>
      </c>
      <c r="Y408" s="1" t="s">
        <v>227</v>
      </c>
      <c r="Z408" s="1" t="str">
        <f>TRIM(_xlfn.CONCAT(sales_data_sample[[#This Row],[CONTACTFIRSTNAME]],", ",sales_data_sample[[#This Row],[CONTACTLASTNAME]]))</f>
        <v>Elizabeth, Devon</v>
      </c>
      <c r="AA408" s="1" t="s">
        <v>59</v>
      </c>
    </row>
    <row r="409" spans="1:27" x14ac:dyDescent="0.25">
      <c r="A409" s="10">
        <v>10266</v>
      </c>
      <c r="B409" s="9">
        <v>40</v>
      </c>
      <c r="C409" s="9">
        <v>100</v>
      </c>
      <c r="D409" s="9">
        <f>PRODUCT(sales_data_sample[[#This Row],[QUANTITYORDERED]],sales_data_sample[[#This Row],[PRICEEACH]])</f>
        <v>4000</v>
      </c>
      <c r="E409" s="9">
        <f>IF(OR(sales_data_sample[[#This Row],[STATUS]]="Shipped",sales_data_sample[[#This Row],[STATUS]]="Resolved"),sales_data_sample[[#This Row],[SALES]],0)</f>
        <v>4000</v>
      </c>
      <c r="F409" s="10">
        <v>11</v>
      </c>
      <c r="G409" s="12" t="s">
        <v>631</v>
      </c>
      <c r="H409" s="1" t="s">
        <v>26</v>
      </c>
      <c r="I409">
        <v>3</v>
      </c>
      <c r="J409">
        <v>7</v>
      </c>
      <c r="K409">
        <v>2004</v>
      </c>
      <c r="L409" s="1" t="s">
        <v>239</v>
      </c>
      <c r="M409">
        <v>115</v>
      </c>
      <c r="N409" s="1" t="s">
        <v>759</v>
      </c>
      <c r="O409" s="1" t="s">
        <v>632</v>
      </c>
      <c r="P409" s="1" t="s">
        <v>633</v>
      </c>
      <c r="Q409" s="1" t="s">
        <v>634</v>
      </c>
      <c r="R409" s="1" t="s">
        <v>32</v>
      </c>
      <c r="S409" s="1" t="s">
        <v>635</v>
      </c>
      <c r="T409" s="1" t="s">
        <v>32</v>
      </c>
      <c r="U409" s="1" t="s">
        <v>636</v>
      </c>
      <c r="V409" s="1" t="s">
        <v>343</v>
      </c>
      <c r="W409" s="1" t="s">
        <v>48</v>
      </c>
      <c r="X409" s="1" t="s">
        <v>637</v>
      </c>
      <c r="Y409" s="1" t="s">
        <v>638</v>
      </c>
      <c r="Z409" s="1" t="str">
        <f>TRIM(_xlfn.CONCAT(sales_data_sample[[#This Row],[CONTACTFIRSTNAME]],", ",sales_data_sample[[#This Row],[CONTACTLASTNAME]]))</f>
        <v>Maurizio, Moroni</v>
      </c>
      <c r="AA409" s="1" t="s">
        <v>59</v>
      </c>
    </row>
    <row r="410" spans="1:27" x14ac:dyDescent="0.25">
      <c r="A410" s="10">
        <v>10277</v>
      </c>
      <c r="B410" s="9">
        <v>28</v>
      </c>
      <c r="C410" s="9">
        <v>100</v>
      </c>
      <c r="D410" s="9">
        <f>PRODUCT(sales_data_sample[[#This Row],[QUANTITYORDERED]],sales_data_sample[[#This Row],[PRICEEACH]])</f>
        <v>2800</v>
      </c>
      <c r="E410" s="9">
        <f>IF(OR(sales_data_sample[[#This Row],[STATUS]]="Shipped",sales_data_sample[[#This Row],[STATUS]]="Resolved"),sales_data_sample[[#This Row],[SALES]],0)</f>
        <v>2800</v>
      </c>
      <c r="F410" s="10">
        <v>1</v>
      </c>
      <c r="G410" s="12" t="s">
        <v>761</v>
      </c>
      <c r="H410" s="1" t="s">
        <v>26</v>
      </c>
      <c r="I410">
        <v>3</v>
      </c>
      <c r="J410">
        <v>8</v>
      </c>
      <c r="K410">
        <v>2004</v>
      </c>
      <c r="L410" s="1" t="s">
        <v>239</v>
      </c>
      <c r="M410">
        <v>115</v>
      </c>
      <c r="N410" s="1" t="s">
        <v>759</v>
      </c>
      <c r="O410" s="1" t="s">
        <v>259</v>
      </c>
      <c r="P410" s="1" t="s">
        <v>260</v>
      </c>
      <c r="Q410" s="1" t="s">
        <v>261</v>
      </c>
      <c r="R410" s="1" t="s">
        <v>32</v>
      </c>
      <c r="S410" s="1" t="s">
        <v>262</v>
      </c>
      <c r="T410" s="1" t="s">
        <v>32</v>
      </c>
      <c r="U410" s="1" t="s">
        <v>263</v>
      </c>
      <c r="V410" s="1" t="s">
        <v>262</v>
      </c>
      <c r="W410" s="1" t="s">
        <v>264</v>
      </c>
      <c r="X410" s="1" t="s">
        <v>265</v>
      </c>
      <c r="Y410" s="1" t="s">
        <v>266</v>
      </c>
      <c r="Z410" s="1" t="str">
        <f>TRIM(_xlfn.CONCAT(sales_data_sample[[#This Row],[CONTACTFIRSTNAME]],", ",sales_data_sample[[#This Row],[CONTACTLASTNAME]]))</f>
        <v>Eric, Natividad</v>
      </c>
      <c r="AA410" s="1" t="s">
        <v>59</v>
      </c>
    </row>
    <row r="411" spans="1:27" x14ac:dyDescent="0.25">
      <c r="A411" s="10">
        <v>10287</v>
      </c>
      <c r="B411" s="9">
        <v>23</v>
      </c>
      <c r="C411" s="9">
        <v>100</v>
      </c>
      <c r="D411" s="9">
        <f>PRODUCT(sales_data_sample[[#This Row],[QUANTITYORDERED]],sales_data_sample[[#This Row],[PRICEEACH]])</f>
        <v>2300</v>
      </c>
      <c r="E411" s="9">
        <f>IF(OR(sales_data_sample[[#This Row],[STATUS]]="Shipped",sales_data_sample[[#This Row],[STATUS]]="Resolved"),sales_data_sample[[#This Row],[SALES]],0)</f>
        <v>2300</v>
      </c>
      <c r="F411" s="10">
        <v>9</v>
      </c>
      <c r="G411" s="12" t="s">
        <v>645</v>
      </c>
      <c r="H411" s="1" t="s">
        <v>26</v>
      </c>
      <c r="I411">
        <v>3</v>
      </c>
      <c r="J411">
        <v>8</v>
      </c>
      <c r="K411">
        <v>2004</v>
      </c>
      <c r="L411" s="1" t="s">
        <v>239</v>
      </c>
      <c r="M411">
        <v>115</v>
      </c>
      <c r="N411" s="1" t="s">
        <v>759</v>
      </c>
      <c r="O411" s="1" t="s">
        <v>622</v>
      </c>
      <c r="P411" s="1" t="s">
        <v>623</v>
      </c>
      <c r="Q411" s="1" t="s">
        <v>624</v>
      </c>
      <c r="R411" s="1" t="s">
        <v>32</v>
      </c>
      <c r="S411" s="1" t="s">
        <v>625</v>
      </c>
      <c r="T411" s="1" t="s">
        <v>32</v>
      </c>
      <c r="U411" s="1" t="s">
        <v>626</v>
      </c>
      <c r="V411" s="1" t="s">
        <v>627</v>
      </c>
      <c r="W411" s="1" t="s">
        <v>48</v>
      </c>
      <c r="X411" s="1" t="s">
        <v>628</v>
      </c>
      <c r="Y411" s="1" t="s">
        <v>130</v>
      </c>
      <c r="Z411" s="1" t="str">
        <f>TRIM(_xlfn.CONCAT(sales_data_sample[[#This Row],[CONTACTFIRSTNAME]],", ",sales_data_sample[[#This Row],[CONTACTLASTNAME]]))</f>
        <v>Michael, Holz</v>
      </c>
      <c r="AA411" s="1" t="s">
        <v>40</v>
      </c>
    </row>
    <row r="412" spans="1:27" x14ac:dyDescent="0.25">
      <c r="A412" s="10">
        <v>10300</v>
      </c>
      <c r="B412" s="9">
        <v>23</v>
      </c>
      <c r="C412" s="9">
        <v>100</v>
      </c>
      <c r="D412" s="9">
        <f>PRODUCT(sales_data_sample[[#This Row],[QUANTITYORDERED]],sales_data_sample[[#This Row],[PRICEEACH]])</f>
        <v>2300</v>
      </c>
      <c r="E412" s="9">
        <f>IF(OR(sales_data_sample[[#This Row],[STATUS]]="Shipped",sales_data_sample[[#This Row],[STATUS]]="Resolved"),sales_data_sample[[#This Row],[SALES]],0)</f>
        <v>2300</v>
      </c>
      <c r="F412" s="10">
        <v>2</v>
      </c>
      <c r="G412" s="12" t="s">
        <v>646</v>
      </c>
      <c r="H412" s="1" t="s">
        <v>26</v>
      </c>
      <c r="I412">
        <v>4</v>
      </c>
      <c r="J412">
        <v>10</v>
      </c>
      <c r="K412">
        <v>2003</v>
      </c>
      <c r="L412" s="1" t="s">
        <v>239</v>
      </c>
      <c r="M412">
        <v>115</v>
      </c>
      <c r="N412" s="1" t="s">
        <v>759</v>
      </c>
      <c r="O412" s="1" t="s">
        <v>647</v>
      </c>
      <c r="P412" s="1" t="s">
        <v>648</v>
      </c>
      <c r="Q412" s="1" t="s">
        <v>649</v>
      </c>
      <c r="R412" s="1" t="s">
        <v>32</v>
      </c>
      <c r="S412" s="1" t="s">
        <v>650</v>
      </c>
      <c r="T412" s="1" t="s">
        <v>32</v>
      </c>
      <c r="U412" s="1" t="s">
        <v>651</v>
      </c>
      <c r="V412" s="1" t="s">
        <v>617</v>
      </c>
      <c r="W412" s="1" t="s">
        <v>48</v>
      </c>
      <c r="X412" s="1" t="s">
        <v>652</v>
      </c>
      <c r="Y412" s="1" t="s">
        <v>570</v>
      </c>
      <c r="Z412" s="1" t="str">
        <f>TRIM(_xlfn.CONCAT(sales_data_sample[[#This Row],[CONTACTFIRSTNAME]],", ",sales_data_sample[[#This Row],[CONTACTLASTNAME]]))</f>
        <v>Roland, Keitel</v>
      </c>
      <c r="AA412" s="1" t="s">
        <v>40</v>
      </c>
    </row>
    <row r="413" spans="1:27" x14ac:dyDescent="0.25">
      <c r="A413" s="10">
        <v>10310</v>
      </c>
      <c r="B413" s="9">
        <v>25</v>
      </c>
      <c r="C413" s="9">
        <v>100</v>
      </c>
      <c r="D413" s="9">
        <f>PRODUCT(sales_data_sample[[#This Row],[QUANTITYORDERED]],sales_data_sample[[#This Row],[PRICEEACH]])</f>
        <v>2500</v>
      </c>
      <c r="E413" s="9">
        <f>IF(OR(sales_data_sample[[#This Row],[STATUS]]="Shipped",sales_data_sample[[#This Row],[STATUS]]="Resolved"),sales_data_sample[[#This Row],[SALES]],0)</f>
        <v>2500</v>
      </c>
      <c r="F413" s="10">
        <v>7</v>
      </c>
      <c r="G413" s="12" t="s">
        <v>653</v>
      </c>
      <c r="H413" s="1" t="s">
        <v>26</v>
      </c>
      <c r="I413">
        <v>4</v>
      </c>
      <c r="J413">
        <v>10</v>
      </c>
      <c r="K413">
        <v>2004</v>
      </c>
      <c r="L413" s="1" t="s">
        <v>239</v>
      </c>
      <c r="M413">
        <v>115</v>
      </c>
      <c r="N413" s="1" t="s">
        <v>759</v>
      </c>
      <c r="O413" s="1" t="s">
        <v>612</v>
      </c>
      <c r="P413" s="1" t="s">
        <v>613</v>
      </c>
      <c r="Q413" s="1" t="s">
        <v>614</v>
      </c>
      <c r="R413" s="1" t="s">
        <v>32</v>
      </c>
      <c r="S413" s="1" t="s">
        <v>615</v>
      </c>
      <c r="T413" s="1" t="s">
        <v>32</v>
      </c>
      <c r="U413" s="1" t="s">
        <v>616</v>
      </c>
      <c r="V413" s="1" t="s">
        <v>617</v>
      </c>
      <c r="W413" s="1" t="s">
        <v>48</v>
      </c>
      <c r="X413" s="1" t="s">
        <v>618</v>
      </c>
      <c r="Y413" s="1" t="s">
        <v>619</v>
      </c>
      <c r="Z413" s="1" t="str">
        <f>TRIM(_xlfn.CONCAT(sales_data_sample[[#This Row],[CONTACTFIRSTNAME]],", ",sales_data_sample[[#This Row],[CONTACTLASTNAME]]))</f>
        <v>Henriette, Pfalzheim</v>
      </c>
      <c r="AA413" s="1" t="s">
        <v>40</v>
      </c>
    </row>
    <row r="414" spans="1:27" x14ac:dyDescent="0.25">
      <c r="A414" s="10">
        <v>10321</v>
      </c>
      <c r="B414" s="9">
        <v>24</v>
      </c>
      <c r="C414" s="9">
        <v>100</v>
      </c>
      <c r="D414" s="9">
        <f>PRODUCT(sales_data_sample[[#This Row],[QUANTITYORDERED]],sales_data_sample[[#This Row],[PRICEEACH]])</f>
        <v>2400</v>
      </c>
      <c r="E414" s="9">
        <f>IF(OR(sales_data_sample[[#This Row],[STATUS]]="Shipped",sales_data_sample[[#This Row],[STATUS]]="Resolved"),sales_data_sample[[#This Row],[SALES]],0)</f>
        <v>2400</v>
      </c>
      <c r="F414" s="10">
        <v>15</v>
      </c>
      <c r="G414" s="12" t="s">
        <v>367</v>
      </c>
      <c r="H414" s="1" t="s">
        <v>26</v>
      </c>
      <c r="I414">
        <v>4</v>
      </c>
      <c r="J414">
        <v>11</v>
      </c>
      <c r="K414">
        <v>2004</v>
      </c>
      <c r="L414" s="1" t="s">
        <v>239</v>
      </c>
      <c r="M414">
        <v>115</v>
      </c>
      <c r="N414" s="1" t="s">
        <v>759</v>
      </c>
      <c r="O414" s="1" t="s">
        <v>212</v>
      </c>
      <c r="P414" s="1" t="s">
        <v>213</v>
      </c>
      <c r="Q414" s="1" t="s">
        <v>214</v>
      </c>
      <c r="R414" s="1" t="s">
        <v>32</v>
      </c>
      <c r="S414" s="1" t="s">
        <v>215</v>
      </c>
      <c r="T414" s="1" t="s">
        <v>160</v>
      </c>
      <c r="U414" s="1" t="s">
        <v>216</v>
      </c>
      <c r="V414" s="1" t="s">
        <v>36</v>
      </c>
      <c r="W414" s="1" t="s">
        <v>37</v>
      </c>
      <c r="X414" s="1" t="s">
        <v>217</v>
      </c>
      <c r="Y414" s="1" t="s">
        <v>218</v>
      </c>
      <c r="Z414" s="1" t="str">
        <f>TRIM(_xlfn.CONCAT(sales_data_sample[[#This Row],[CONTACTFIRSTNAME]],", ",sales_data_sample[[#This Row],[CONTACTLASTNAME]]))</f>
        <v>Violeta, Benitez</v>
      </c>
      <c r="AA414" s="1" t="s">
        <v>40</v>
      </c>
    </row>
    <row r="415" spans="1:27" x14ac:dyDescent="0.25">
      <c r="A415" s="10">
        <v>10329</v>
      </c>
      <c r="B415" s="9">
        <v>39</v>
      </c>
      <c r="C415" s="9">
        <v>6474</v>
      </c>
      <c r="D415" s="9">
        <f>PRODUCT(sales_data_sample[[#This Row],[QUANTITYORDERED]],sales_data_sample[[#This Row],[PRICEEACH]])</f>
        <v>252486</v>
      </c>
      <c r="E415" s="9">
        <f>IF(OR(sales_data_sample[[#This Row],[STATUS]]="Shipped",sales_data_sample[[#This Row],[STATUS]]="Resolved"),sales_data_sample[[#This Row],[SALES]],0)</f>
        <v>252486</v>
      </c>
      <c r="F415" s="10">
        <v>15</v>
      </c>
      <c r="G415" s="12" t="s">
        <v>189</v>
      </c>
      <c r="H415" s="1" t="s">
        <v>26</v>
      </c>
      <c r="I415">
        <v>4</v>
      </c>
      <c r="J415">
        <v>11</v>
      </c>
      <c r="K415">
        <v>2004</v>
      </c>
      <c r="L415" s="1" t="s">
        <v>239</v>
      </c>
      <c r="M415">
        <v>115</v>
      </c>
      <c r="N415" s="1" t="s">
        <v>759</v>
      </c>
      <c r="O415" s="1" t="s">
        <v>29</v>
      </c>
      <c r="P415" s="1" t="s">
        <v>30</v>
      </c>
      <c r="Q415" s="1" t="s">
        <v>31</v>
      </c>
      <c r="R415" s="1" t="s">
        <v>32</v>
      </c>
      <c r="S415" s="1" t="s">
        <v>33</v>
      </c>
      <c r="T415" s="1" t="s">
        <v>34</v>
      </c>
      <c r="U415" s="1" t="s">
        <v>35</v>
      </c>
      <c r="V415" s="1" t="s">
        <v>36</v>
      </c>
      <c r="W415" s="1" t="s">
        <v>37</v>
      </c>
      <c r="X415" s="1" t="s">
        <v>38</v>
      </c>
      <c r="Y415" s="1" t="s">
        <v>39</v>
      </c>
      <c r="Z415" s="1" t="str">
        <f>TRIM(_xlfn.CONCAT(sales_data_sample[[#This Row],[CONTACTFIRSTNAME]],", ",sales_data_sample[[#This Row],[CONTACTLASTNAME]]))</f>
        <v>Kwai, Yu</v>
      </c>
      <c r="AA415" s="1" t="s">
        <v>40</v>
      </c>
    </row>
    <row r="416" spans="1:27" x14ac:dyDescent="0.25">
      <c r="A416" s="10">
        <v>10341</v>
      </c>
      <c r="B416" s="9">
        <v>55</v>
      </c>
      <c r="C416" s="9">
        <v>752</v>
      </c>
      <c r="D416" s="9">
        <f>PRODUCT(sales_data_sample[[#This Row],[QUANTITYORDERED]],sales_data_sample[[#This Row],[PRICEEACH]])</f>
        <v>41360</v>
      </c>
      <c r="E416" s="9">
        <f>IF(OR(sales_data_sample[[#This Row],[STATUS]]="Shipped",sales_data_sample[[#This Row],[STATUS]]="Resolved"),sales_data_sample[[#This Row],[SALES]],0)</f>
        <v>41360</v>
      </c>
      <c r="F416" s="10">
        <v>7</v>
      </c>
      <c r="G416" s="12" t="s">
        <v>190</v>
      </c>
      <c r="H416" s="1" t="s">
        <v>26</v>
      </c>
      <c r="I416">
        <v>4</v>
      </c>
      <c r="J416">
        <v>11</v>
      </c>
      <c r="K416">
        <v>2004</v>
      </c>
      <c r="L416" s="1" t="s">
        <v>239</v>
      </c>
      <c r="M416">
        <v>115</v>
      </c>
      <c r="N416" s="1" t="s">
        <v>759</v>
      </c>
      <c r="O416" s="1" t="s">
        <v>191</v>
      </c>
      <c r="P416" s="1" t="s">
        <v>192</v>
      </c>
      <c r="Q416" s="1" t="s">
        <v>193</v>
      </c>
      <c r="R416" s="1" t="s">
        <v>32</v>
      </c>
      <c r="S416" s="1" t="s">
        <v>194</v>
      </c>
      <c r="T416" s="1" t="s">
        <v>32</v>
      </c>
      <c r="U416" s="1" t="s">
        <v>195</v>
      </c>
      <c r="V416" s="1" t="s">
        <v>196</v>
      </c>
      <c r="W416" s="1" t="s">
        <v>48</v>
      </c>
      <c r="X416" s="1" t="s">
        <v>197</v>
      </c>
      <c r="Y416" s="1" t="s">
        <v>198</v>
      </c>
      <c r="Z416" s="1" t="str">
        <f>TRIM(_xlfn.CONCAT(sales_data_sample[[#This Row],[CONTACTFIRSTNAME]],", ",sales_data_sample[[#This Row],[CONTACTLASTNAME]]))</f>
        <v>Georg, Pipps</v>
      </c>
      <c r="AA416" s="1" t="s">
        <v>59</v>
      </c>
    </row>
    <row r="417" spans="1:27" x14ac:dyDescent="0.25">
      <c r="A417" s="10">
        <v>10363</v>
      </c>
      <c r="B417" s="9">
        <v>46</v>
      </c>
      <c r="C417" s="9">
        <v>8845</v>
      </c>
      <c r="D417" s="9">
        <f>PRODUCT(sales_data_sample[[#This Row],[QUANTITYORDERED]],sales_data_sample[[#This Row],[PRICEEACH]])</f>
        <v>406870</v>
      </c>
      <c r="E417" s="9">
        <f>IF(OR(sales_data_sample[[#This Row],[STATUS]]="Shipped",sales_data_sample[[#This Row],[STATUS]]="Resolved"),sales_data_sample[[#This Row],[SALES]],0)</f>
        <v>406870</v>
      </c>
      <c r="F417" s="10">
        <v>6</v>
      </c>
      <c r="G417" s="12" t="s">
        <v>655</v>
      </c>
      <c r="H417" s="1" t="s">
        <v>26</v>
      </c>
      <c r="I417">
        <v>1</v>
      </c>
      <c r="J417">
        <v>1</v>
      </c>
      <c r="K417">
        <v>2005</v>
      </c>
      <c r="L417" s="1" t="s">
        <v>239</v>
      </c>
      <c r="M417">
        <v>115</v>
      </c>
      <c r="N417" s="1" t="s">
        <v>759</v>
      </c>
      <c r="O417" s="1" t="s">
        <v>656</v>
      </c>
      <c r="P417" s="1" t="s">
        <v>657</v>
      </c>
      <c r="Q417" s="1" t="s">
        <v>658</v>
      </c>
      <c r="R417" s="1" t="s">
        <v>32</v>
      </c>
      <c r="S417" s="1" t="s">
        <v>659</v>
      </c>
      <c r="T417" s="1" t="s">
        <v>32</v>
      </c>
      <c r="U417" s="1" t="s">
        <v>660</v>
      </c>
      <c r="V417" s="1" t="s">
        <v>170</v>
      </c>
      <c r="W417" s="1" t="s">
        <v>48</v>
      </c>
      <c r="X417" s="1" t="s">
        <v>661</v>
      </c>
      <c r="Y417" s="1" t="s">
        <v>662</v>
      </c>
      <c r="Z417" s="1" t="str">
        <f>TRIM(_xlfn.CONCAT(sales_data_sample[[#This Row],[CONTACTFIRSTNAME]],", ",sales_data_sample[[#This Row],[CONTACTLASTNAME]]))</f>
        <v>Kalle, Suominen</v>
      </c>
      <c r="AA417" s="1" t="s">
        <v>59</v>
      </c>
    </row>
    <row r="418" spans="1:27" x14ac:dyDescent="0.25">
      <c r="A418" s="10">
        <v>10377</v>
      </c>
      <c r="B418" s="9">
        <v>50</v>
      </c>
      <c r="C418" s="9">
        <v>100</v>
      </c>
      <c r="D418" s="9">
        <f>PRODUCT(sales_data_sample[[#This Row],[QUANTITYORDERED]],sales_data_sample[[#This Row],[PRICEEACH]])</f>
        <v>5000</v>
      </c>
      <c r="E418" s="9">
        <f>IF(OR(sales_data_sample[[#This Row],[STATUS]]="Shipped",sales_data_sample[[#This Row],[STATUS]]="Resolved"),sales_data_sample[[#This Row],[SALES]],0)</f>
        <v>5000</v>
      </c>
      <c r="F418" s="10">
        <v>1</v>
      </c>
      <c r="G418" s="12" t="s">
        <v>740</v>
      </c>
      <c r="H418" s="1" t="s">
        <v>26</v>
      </c>
      <c r="I418">
        <v>1</v>
      </c>
      <c r="J418">
        <v>2</v>
      </c>
      <c r="K418">
        <v>2005</v>
      </c>
      <c r="L418" s="1" t="s">
        <v>239</v>
      </c>
      <c r="M418">
        <v>115</v>
      </c>
      <c r="N418" s="1" t="s">
        <v>759</v>
      </c>
      <c r="O418" s="1" t="s">
        <v>165</v>
      </c>
      <c r="P418" s="1" t="s">
        <v>166</v>
      </c>
      <c r="Q418" s="1" t="s">
        <v>167</v>
      </c>
      <c r="R418" s="1" t="s">
        <v>32</v>
      </c>
      <c r="S418" s="1" t="s">
        <v>168</v>
      </c>
      <c r="T418" s="1" t="s">
        <v>32</v>
      </c>
      <c r="U418" s="1" t="s">
        <v>169</v>
      </c>
      <c r="V418" s="1" t="s">
        <v>170</v>
      </c>
      <c r="W418" s="1" t="s">
        <v>48</v>
      </c>
      <c r="X418" s="1" t="s">
        <v>171</v>
      </c>
      <c r="Y418" s="1" t="s">
        <v>172</v>
      </c>
      <c r="Z418" s="1" t="str">
        <f>TRIM(_xlfn.CONCAT(sales_data_sample[[#This Row],[CONTACTFIRSTNAME]],", ",sales_data_sample[[#This Row],[CONTACTLASTNAME]]))</f>
        <v>Matti, Karttunen</v>
      </c>
      <c r="AA418" s="1" t="s">
        <v>59</v>
      </c>
    </row>
    <row r="419" spans="1:27" x14ac:dyDescent="0.25">
      <c r="A419" s="10">
        <v>10389</v>
      </c>
      <c r="B419" s="9">
        <v>47</v>
      </c>
      <c r="C419" s="9">
        <v>100</v>
      </c>
      <c r="D419" s="9">
        <f>PRODUCT(sales_data_sample[[#This Row],[QUANTITYORDERED]],sales_data_sample[[#This Row],[PRICEEACH]])</f>
        <v>4700</v>
      </c>
      <c r="E419" s="9">
        <f>IF(OR(sales_data_sample[[#This Row],[STATUS]]="Shipped",sales_data_sample[[#This Row],[STATUS]]="Resolved"),sales_data_sample[[#This Row],[SALES]],0)</f>
        <v>4700</v>
      </c>
      <c r="F419" s="10">
        <v>8</v>
      </c>
      <c r="G419" s="12" t="s">
        <v>211</v>
      </c>
      <c r="H419" s="1" t="s">
        <v>26</v>
      </c>
      <c r="I419">
        <v>1</v>
      </c>
      <c r="J419">
        <v>3</v>
      </c>
      <c r="K419">
        <v>2005</v>
      </c>
      <c r="L419" s="1" t="s">
        <v>239</v>
      </c>
      <c r="M419">
        <v>115</v>
      </c>
      <c r="N419" s="1" t="s">
        <v>759</v>
      </c>
      <c r="O419" s="1" t="s">
        <v>347</v>
      </c>
      <c r="P419" s="1" t="s">
        <v>348</v>
      </c>
      <c r="Q419" s="1" t="s">
        <v>349</v>
      </c>
      <c r="R419" s="1" t="s">
        <v>32</v>
      </c>
      <c r="S419" s="1" t="s">
        <v>350</v>
      </c>
      <c r="T419" s="1" t="s">
        <v>32</v>
      </c>
      <c r="U419" s="1" t="s">
        <v>351</v>
      </c>
      <c r="V419" s="1" t="s">
        <v>247</v>
      </c>
      <c r="W419" s="1" t="s">
        <v>48</v>
      </c>
      <c r="X419" s="1" t="s">
        <v>352</v>
      </c>
      <c r="Y419" s="1" t="s">
        <v>272</v>
      </c>
      <c r="Z419" s="1" t="str">
        <f>TRIM(_xlfn.CONCAT(sales_data_sample[[#This Row],[CONTACTFIRSTNAME]],", ",sales_data_sample[[#This Row],[CONTACTLASTNAME]]))</f>
        <v>Maria, Larsson</v>
      </c>
      <c r="AA419" s="1" t="s">
        <v>59</v>
      </c>
    </row>
    <row r="420" spans="1:27" x14ac:dyDescent="0.25">
      <c r="A420" s="10">
        <v>10405</v>
      </c>
      <c r="B420" s="9">
        <v>97</v>
      </c>
      <c r="C420" s="9">
        <v>9328</v>
      </c>
      <c r="D420" s="9">
        <f>PRODUCT(sales_data_sample[[#This Row],[QUANTITYORDERED]],sales_data_sample[[#This Row],[PRICEEACH]])</f>
        <v>904816</v>
      </c>
      <c r="E420" s="9">
        <f>IF(OR(sales_data_sample[[#This Row],[STATUS]]="Shipped",sales_data_sample[[#This Row],[STATUS]]="Resolved"),sales_data_sample[[#This Row],[SALES]],0)</f>
        <v>904816</v>
      </c>
      <c r="F420" s="10">
        <v>5</v>
      </c>
      <c r="G420" s="12" t="s">
        <v>762</v>
      </c>
      <c r="H420" s="1" t="s">
        <v>26</v>
      </c>
      <c r="I420">
        <v>2</v>
      </c>
      <c r="J420">
        <v>4</v>
      </c>
      <c r="K420">
        <v>2005</v>
      </c>
      <c r="L420" s="1" t="s">
        <v>239</v>
      </c>
      <c r="M420">
        <v>115</v>
      </c>
      <c r="N420" s="1" t="s">
        <v>759</v>
      </c>
      <c r="O420" s="1" t="s">
        <v>763</v>
      </c>
      <c r="P420" s="1" t="s">
        <v>764</v>
      </c>
      <c r="Q420" s="1" t="s">
        <v>765</v>
      </c>
      <c r="R420" s="1" t="s">
        <v>32</v>
      </c>
      <c r="S420" s="1" t="s">
        <v>766</v>
      </c>
      <c r="T420" s="1" t="s">
        <v>32</v>
      </c>
      <c r="U420" s="1" t="s">
        <v>767</v>
      </c>
      <c r="V420" s="1" t="s">
        <v>47</v>
      </c>
      <c r="W420" s="1" t="s">
        <v>48</v>
      </c>
      <c r="X420" s="1" t="s">
        <v>768</v>
      </c>
      <c r="Y420" s="1" t="s">
        <v>769</v>
      </c>
      <c r="Z420" s="1" t="str">
        <f>TRIM(_xlfn.CONCAT(sales_data_sample[[#This Row],[CONTACTFIRSTNAME]],", ",sales_data_sample[[#This Row],[CONTACTLASTNAME]]))</f>
        <v>Frederique, Citeaux</v>
      </c>
      <c r="AA420" s="1" t="s">
        <v>199</v>
      </c>
    </row>
    <row r="421" spans="1:27" x14ac:dyDescent="0.25">
      <c r="A421" s="10">
        <v>10419</v>
      </c>
      <c r="B421" s="9">
        <v>32</v>
      </c>
      <c r="C421" s="9">
        <v>100</v>
      </c>
      <c r="D421" s="9">
        <f>PRODUCT(sales_data_sample[[#This Row],[QUANTITYORDERED]],sales_data_sample[[#This Row],[PRICEEACH]])</f>
        <v>3200</v>
      </c>
      <c r="E421" s="9">
        <f>IF(OR(sales_data_sample[[#This Row],[STATUS]]="Shipped",sales_data_sample[[#This Row],[STATUS]]="Resolved"),sales_data_sample[[#This Row],[SALES]],0)</f>
        <v>3200</v>
      </c>
      <c r="F421" s="10">
        <v>10</v>
      </c>
      <c r="G421" s="12" t="s">
        <v>663</v>
      </c>
      <c r="H421" s="1" t="s">
        <v>26</v>
      </c>
      <c r="I421">
        <v>2</v>
      </c>
      <c r="J421">
        <v>5</v>
      </c>
      <c r="K421">
        <v>2005</v>
      </c>
      <c r="L421" s="1" t="s">
        <v>239</v>
      </c>
      <c r="M421">
        <v>115</v>
      </c>
      <c r="N421" s="1" t="s">
        <v>759</v>
      </c>
      <c r="O421" s="1" t="s">
        <v>191</v>
      </c>
      <c r="P421" s="1" t="s">
        <v>192</v>
      </c>
      <c r="Q421" s="1" t="s">
        <v>193</v>
      </c>
      <c r="R421" s="1" t="s">
        <v>32</v>
      </c>
      <c r="S421" s="1" t="s">
        <v>194</v>
      </c>
      <c r="T421" s="1" t="s">
        <v>32</v>
      </c>
      <c r="U421" s="1" t="s">
        <v>195</v>
      </c>
      <c r="V421" s="1" t="s">
        <v>196</v>
      </c>
      <c r="W421" s="1" t="s">
        <v>48</v>
      </c>
      <c r="X421" s="1" t="s">
        <v>197</v>
      </c>
      <c r="Y421" s="1" t="s">
        <v>198</v>
      </c>
      <c r="Z421" s="1" t="str">
        <f>TRIM(_xlfn.CONCAT(sales_data_sample[[#This Row],[CONTACTFIRSTNAME]],", ",sales_data_sample[[#This Row],[CONTACTLASTNAME]]))</f>
        <v>Georg, Pipps</v>
      </c>
      <c r="AA421" s="1" t="s">
        <v>59</v>
      </c>
    </row>
    <row r="422" spans="1:27" x14ac:dyDescent="0.25">
      <c r="A422" s="10">
        <v>10103</v>
      </c>
      <c r="B422" s="9">
        <v>35</v>
      </c>
      <c r="C422" s="9">
        <v>100</v>
      </c>
      <c r="D422" s="9">
        <f>PRODUCT(sales_data_sample[[#This Row],[QUANTITYORDERED]],sales_data_sample[[#This Row],[PRICEEACH]])</f>
        <v>3500</v>
      </c>
      <c r="E422" s="9">
        <f>IF(OR(sales_data_sample[[#This Row],[STATUS]]="Shipped",sales_data_sample[[#This Row],[STATUS]]="Resolved"),sales_data_sample[[#This Row],[SALES]],0)</f>
        <v>3500</v>
      </c>
      <c r="F422" s="10">
        <v>10</v>
      </c>
      <c r="G422" s="12" t="s">
        <v>238</v>
      </c>
      <c r="H422" s="1" t="s">
        <v>26</v>
      </c>
      <c r="I422">
        <v>1</v>
      </c>
      <c r="J422">
        <v>1</v>
      </c>
      <c r="K422">
        <v>2003</v>
      </c>
      <c r="L422" s="1" t="s">
        <v>711</v>
      </c>
      <c r="M422">
        <v>116</v>
      </c>
      <c r="N422" s="1" t="s">
        <v>770</v>
      </c>
      <c r="O422" s="1" t="s">
        <v>174</v>
      </c>
      <c r="P422" s="1" t="s">
        <v>175</v>
      </c>
      <c r="Q422" s="1" t="s">
        <v>176</v>
      </c>
      <c r="R422" s="1" t="s">
        <v>32</v>
      </c>
      <c r="S422" s="1" t="s">
        <v>177</v>
      </c>
      <c r="T422" s="1" t="s">
        <v>32</v>
      </c>
      <c r="U422" s="1" t="s">
        <v>178</v>
      </c>
      <c r="V422" s="1" t="s">
        <v>97</v>
      </c>
      <c r="W422" s="1" t="s">
        <v>48</v>
      </c>
      <c r="X422" s="1" t="s">
        <v>179</v>
      </c>
      <c r="Y422" s="1" t="s">
        <v>180</v>
      </c>
      <c r="Z422" s="1" t="str">
        <f>TRIM(_xlfn.CONCAT(sales_data_sample[[#This Row],[CONTACTFIRSTNAME]],", ",sales_data_sample[[#This Row],[CONTACTLASTNAME]]))</f>
        <v>Jonas, Bergulfsen</v>
      </c>
      <c r="AA422" s="1" t="s">
        <v>59</v>
      </c>
    </row>
    <row r="423" spans="1:27" x14ac:dyDescent="0.25">
      <c r="A423" s="10">
        <v>10113</v>
      </c>
      <c r="B423" s="9">
        <v>49</v>
      </c>
      <c r="C423" s="9">
        <v>100</v>
      </c>
      <c r="D423" s="9">
        <f>PRODUCT(sales_data_sample[[#This Row],[QUANTITYORDERED]],sales_data_sample[[#This Row],[PRICEEACH]])</f>
        <v>4900</v>
      </c>
      <c r="E423" s="9">
        <f>IF(OR(sales_data_sample[[#This Row],[STATUS]]="Shipped",sales_data_sample[[#This Row],[STATUS]]="Resolved"),sales_data_sample[[#This Row],[SALES]],0)</f>
        <v>4900</v>
      </c>
      <c r="F423" s="10">
        <v>4</v>
      </c>
      <c r="G423" s="12" t="s">
        <v>713</v>
      </c>
      <c r="H423" s="1" t="s">
        <v>26</v>
      </c>
      <c r="I423">
        <v>1</v>
      </c>
      <c r="J423">
        <v>3</v>
      </c>
      <c r="K423">
        <v>2003</v>
      </c>
      <c r="L423" s="1" t="s">
        <v>711</v>
      </c>
      <c r="M423">
        <v>116</v>
      </c>
      <c r="N423" s="1" t="s">
        <v>770</v>
      </c>
      <c r="O423" s="1" t="s">
        <v>361</v>
      </c>
      <c r="P423" s="1" t="s">
        <v>362</v>
      </c>
      <c r="Q423" s="1" t="s">
        <v>363</v>
      </c>
      <c r="R423" s="1" t="s">
        <v>32</v>
      </c>
      <c r="S423" s="1" t="s">
        <v>364</v>
      </c>
      <c r="T423" s="1" t="s">
        <v>65</v>
      </c>
      <c r="U423" s="1" t="s">
        <v>145</v>
      </c>
      <c r="V423" s="1" t="s">
        <v>36</v>
      </c>
      <c r="W423" s="1" t="s">
        <v>37</v>
      </c>
      <c r="X423" s="1" t="s">
        <v>365</v>
      </c>
      <c r="Y423" s="1" t="s">
        <v>366</v>
      </c>
      <c r="Z423" s="1" t="str">
        <f>TRIM(_xlfn.CONCAT(sales_data_sample[[#This Row],[CONTACTFIRSTNAME]],", ",sales_data_sample[[#This Row],[CONTACTLASTNAME]]))</f>
        <v>Valarie, Nelson</v>
      </c>
      <c r="AA423" s="1" t="s">
        <v>59</v>
      </c>
    </row>
    <row r="424" spans="1:27" x14ac:dyDescent="0.25">
      <c r="A424" s="10">
        <v>10126</v>
      </c>
      <c r="B424" s="9">
        <v>38</v>
      </c>
      <c r="C424" s="9">
        <v>100</v>
      </c>
      <c r="D424" s="9">
        <f>PRODUCT(sales_data_sample[[#This Row],[QUANTITYORDERED]],sales_data_sample[[#This Row],[PRICEEACH]])</f>
        <v>3800</v>
      </c>
      <c r="E424" s="9">
        <f>IF(OR(sales_data_sample[[#This Row],[STATUS]]="Shipped",sales_data_sample[[#This Row],[STATUS]]="Resolved"),sales_data_sample[[#This Row],[SALES]],0)</f>
        <v>3800</v>
      </c>
      <c r="F424" s="10">
        <v>10</v>
      </c>
      <c r="G424" s="12" t="s">
        <v>250</v>
      </c>
      <c r="H424" s="1" t="s">
        <v>26</v>
      </c>
      <c r="I424">
        <v>2</v>
      </c>
      <c r="J424">
        <v>5</v>
      </c>
      <c r="K424">
        <v>2003</v>
      </c>
      <c r="L424" s="1" t="s">
        <v>711</v>
      </c>
      <c r="M424">
        <v>116</v>
      </c>
      <c r="N424" s="1" t="s">
        <v>770</v>
      </c>
      <c r="O424" s="1" t="s">
        <v>251</v>
      </c>
      <c r="P424" s="1" t="s">
        <v>252</v>
      </c>
      <c r="Q424" s="1" t="s">
        <v>253</v>
      </c>
      <c r="R424" s="1" t="s">
        <v>32</v>
      </c>
      <c r="S424" s="1" t="s">
        <v>233</v>
      </c>
      <c r="T424" s="1" t="s">
        <v>32</v>
      </c>
      <c r="U424" s="1" t="s">
        <v>254</v>
      </c>
      <c r="V424" s="1" t="s">
        <v>235</v>
      </c>
      <c r="W424" s="1" t="s">
        <v>48</v>
      </c>
      <c r="X424" s="1" t="s">
        <v>255</v>
      </c>
      <c r="Y424" s="1" t="s">
        <v>256</v>
      </c>
      <c r="Z424" s="1" t="str">
        <f>TRIM(_xlfn.CONCAT(sales_data_sample[[#This Row],[CONTACTFIRSTNAME]],", ",sales_data_sample[[#This Row],[CONTACTLASTNAME]]))</f>
        <v>Mart¡n, Sommer</v>
      </c>
      <c r="AA424" s="1" t="s">
        <v>59</v>
      </c>
    </row>
    <row r="425" spans="1:27" x14ac:dyDescent="0.25">
      <c r="A425" s="10">
        <v>10140</v>
      </c>
      <c r="B425" s="9">
        <v>32</v>
      </c>
      <c r="C425" s="9">
        <v>100</v>
      </c>
      <c r="D425" s="9">
        <f>PRODUCT(sales_data_sample[[#This Row],[QUANTITYORDERED]],sales_data_sample[[#This Row],[PRICEEACH]])</f>
        <v>3200</v>
      </c>
      <c r="E425" s="9">
        <f>IF(OR(sales_data_sample[[#This Row],[STATUS]]="Shipped",sales_data_sample[[#This Row],[STATUS]]="Resolved"),sales_data_sample[[#This Row],[SALES]],0)</f>
        <v>3200</v>
      </c>
      <c r="F425" s="10">
        <v>10</v>
      </c>
      <c r="G425" s="12" t="s">
        <v>257</v>
      </c>
      <c r="H425" s="1" t="s">
        <v>26</v>
      </c>
      <c r="I425">
        <v>3</v>
      </c>
      <c r="J425">
        <v>7</v>
      </c>
      <c r="K425">
        <v>2003</v>
      </c>
      <c r="L425" s="1" t="s">
        <v>711</v>
      </c>
      <c r="M425">
        <v>116</v>
      </c>
      <c r="N425" s="1" t="s">
        <v>770</v>
      </c>
      <c r="O425" s="1" t="s">
        <v>76</v>
      </c>
      <c r="P425" s="1" t="s">
        <v>77</v>
      </c>
      <c r="Q425" s="1" t="s">
        <v>78</v>
      </c>
      <c r="R425" s="1" t="s">
        <v>32</v>
      </c>
      <c r="S425" s="1" t="s">
        <v>79</v>
      </c>
      <c r="T425" s="1" t="s">
        <v>65</v>
      </c>
      <c r="U425" s="1" t="s">
        <v>80</v>
      </c>
      <c r="V425" s="1" t="s">
        <v>36</v>
      </c>
      <c r="W425" s="1" t="s">
        <v>37</v>
      </c>
      <c r="X425" s="1" t="s">
        <v>81</v>
      </c>
      <c r="Y425" s="1" t="s">
        <v>82</v>
      </c>
      <c r="Z425" s="1" t="str">
        <f>TRIM(_xlfn.CONCAT(sales_data_sample[[#This Row],[CONTACTFIRSTNAME]],", ",sales_data_sample[[#This Row],[CONTACTLASTNAME]]))</f>
        <v>Juri, Hirano</v>
      </c>
      <c r="AA425" s="1" t="s">
        <v>59</v>
      </c>
    </row>
    <row r="426" spans="1:27" x14ac:dyDescent="0.25">
      <c r="A426" s="10">
        <v>10150</v>
      </c>
      <c r="B426" s="9">
        <v>34</v>
      </c>
      <c r="C426" s="9">
        <v>100</v>
      </c>
      <c r="D426" s="9">
        <f>PRODUCT(sales_data_sample[[#This Row],[QUANTITYORDERED]],sales_data_sample[[#This Row],[PRICEEACH]])</f>
        <v>3400</v>
      </c>
      <c r="E426" s="9">
        <f>IF(OR(sales_data_sample[[#This Row],[STATUS]]="Shipped",sales_data_sample[[#This Row],[STATUS]]="Resolved"),sales_data_sample[[#This Row],[SALES]],0)</f>
        <v>3400</v>
      </c>
      <c r="F426" s="10">
        <v>7</v>
      </c>
      <c r="G426" s="12" t="s">
        <v>258</v>
      </c>
      <c r="H426" s="1" t="s">
        <v>26</v>
      </c>
      <c r="I426">
        <v>3</v>
      </c>
      <c r="J426">
        <v>9</v>
      </c>
      <c r="K426">
        <v>2003</v>
      </c>
      <c r="L426" s="1" t="s">
        <v>711</v>
      </c>
      <c r="M426">
        <v>116</v>
      </c>
      <c r="N426" s="1" t="s">
        <v>770</v>
      </c>
      <c r="O426" s="1" t="s">
        <v>259</v>
      </c>
      <c r="P426" s="1" t="s">
        <v>260</v>
      </c>
      <c r="Q426" s="1" t="s">
        <v>261</v>
      </c>
      <c r="R426" s="1" t="s">
        <v>32</v>
      </c>
      <c r="S426" s="1" t="s">
        <v>262</v>
      </c>
      <c r="T426" s="1" t="s">
        <v>32</v>
      </c>
      <c r="U426" s="1" t="s">
        <v>263</v>
      </c>
      <c r="V426" s="1" t="s">
        <v>262</v>
      </c>
      <c r="W426" s="1" t="s">
        <v>264</v>
      </c>
      <c r="X426" s="1" t="s">
        <v>265</v>
      </c>
      <c r="Y426" s="1" t="s">
        <v>266</v>
      </c>
      <c r="Z426" s="1" t="str">
        <f>TRIM(_xlfn.CONCAT(sales_data_sample[[#This Row],[CONTACTFIRSTNAME]],", ",sales_data_sample[[#This Row],[CONTACTLASTNAME]]))</f>
        <v>Eric, Natividad</v>
      </c>
      <c r="AA426" s="1" t="s">
        <v>59</v>
      </c>
    </row>
    <row r="427" spans="1:27" x14ac:dyDescent="0.25">
      <c r="A427" s="10">
        <v>10164</v>
      </c>
      <c r="B427" s="9">
        <v>36</v>
      </c>
      <c r="C427" s="9">
        <v>9917</v>
      </c>
      <c r="D427" s="9">
        <f>PRODUCT(sales_data_sample[[#This Row],[QUANTITYORDERED]],sales_data_sample[[#This Row],[PRICEEACH]])</f>
        <v>357012</v>
      </c>
      <c r="E427" s="9">
        <f>IF(OR(sales_data_sample[[#This Row],[STATUS]]="Shipped",sales_data_sample[[#This Row],[STATUS]]="Resolved"),sales_data_sample[[#This Row],[SALES]],0)</f>
        <v>357012</v>
      </c>
      <c r="F427" s="10">
        <v>8</v>
      </c>
      <c r="G427" s="12" t="s">
        <v>562</v>
      </c>
      <c r="H427" s="1" t="s">
        <v>563</v>
      </c>
      <c r="I427">
        <v>4</v>
      </c>
      <c r="J427">
        <v>10</v>
      </c>
      <c r="K427">
        <v>2003</v>
      </c>
      <c r="L427" s="1" t="s">
        <v>711</v>
      </c>
      <c r="M427">
        <v>116</v>
      </c>
      <c r="N427" s="1" t="s">
        <v>770</v>
      </c>
      <c r="O427" s="1" t="s">
        <v>564</v>
      </c>
      <c r="P427" s="1" t="s">
        <v>565</v>
      </c>
      <c r="Q427" s="1" t="s">
        <v>566</v>
      </c>
      <c r="R427" s="1" t="s">
        <v>32</v>
      </c>
      <c r="S427" s="1" t="s">
        <v>567</v>
      </c>
      <c r="T427" s="1" t="s">
        <v>32</v>
      </c>
      <c r="U427" s="1" t="s">
        <v>568</v>
      </c>
      <c r="V427" s="1" t="s">
        <v>196</v>
      </c>
      <c r="W427" s="1" t="s">
        <v>48</v>
      </c>
      <c r="X427" s="1" t="s">
        <v>569</v>
      </c>
      <c r="Y427" s="1" t="s">
        <v>570</v>
      </c>
      <c r="Z427" s="1" t="str">
        <f>TRIM(_xlfn.CONCAT(sales_data_sample[[#This Row],[CONTACTFIRSTNAME]],", ",sales_data_sample[[#This Row],[CONTACTLASTNAME]]))</f>
        <v>Roland, Mendel</v>
      </c>
      <c r="AA427" s="1" t="s">
        <v>59</v>
      </c>
    </row>
    <row r="428" spans="1:27" x14ac:dyDescent="0.25">
      <c r="A428" s="10">
        <v>10174</v>
      </c>
      <c r="B428" s="9">
        <v>48</v>
      </c>
      <c r="C428" s="9">
        <v>9334</v>
      </c>
      <c r="D428" s="9">
        <f>PRODUCT(sales_data_sample[[#This Row],[QUANTITYORDERED]],sales_data_sample[[#This Row],[PRICEEACH]])</f>
        <v>448032</v>
      </c>
      <c r="E428" s="9">
        <f>IF(OR(sales_data_sample[[#This Row],[STATUS]]="Shipped",sales_data_sample[[#This Row],[STATUS]]="Resolved"),sales_data_sample[[#This Row],[SALES]],0)</f>
        <v>448032</v>
      </c>
      <c r="F428" s="10">
        <v>3</v>
      </c>
      <c r="G428" s="12" t="s">
        <v>273</v>
      </c>
      <c r="H428" s="1" t="s">
        <v>26</v>
      </c>
      <c r="I428">
        <v>4</v>
      </c>
      <c r="J428">
        <v>11</v>
      </c>
      <c r="K428">
        <v>2003</v>
      </c>
      <c r="L428" s="1" t="s">
        <v>711</v>
      </c>
      <c r="M428">
        <v>116</v>
      </c>
      <c r="N428" s="1" t="s">
        <v>770</v>
      </c>
      <c r="O428" s="1" t="s">
        <v>274</v>
      </c>
      <c r="P428" s="1" t="s">
        <v>275</v>
      </c>
      <c r="Q428" s="1" t="s">
        <v>276</v>
      </c>
      <c r="R428" s="1" t="s">
        <v>32</v>
      </c>
      <c r="S428" s="1" t="s">
        <v>277</v>
      </c>
      <c r="T428" s="1" t="s">
        <v>278</v>
      </c>
      <c r="U428" s="1" t="s">
        <v>279</v>
      </c>
      <c r="V428" s="1" t="s">
        <v>120</v>
      </c>
      <c r="W428" s="1" t="s">
        <v>121</v>
      </c>
      <c r="X428" s="1" t="s">
        <v>280</v>
      </c>
      <c r="Y428" s="1" t="s">
        <v>281</v>
      </c>
      <c r="Z428" s="1" t="str">
        <f>TRIM(_xlfn.CONCAT(sales_data_sample[[#This Row],[CONTACTFIRSTNAME]],", ",sales_data_sample[[#This Row],[CONTACTLASTNAME]]))</f>
        <v>Tony, Calaghan</v>
      </c>
      <c r="AA428" s="1" t="s">
        <v>59</v>
      </c>
    </row>
    <row r="429" spans="1:27" x14ac:dyDescent="0.25">
      <c r="A429" s="10">
        <v>10183</v>
      </c>
      <c r="B429" s="9">
        <v>21</v>
      </c>
      <c r="C429" s="9">
        <v>9684</v>
      </c>
      <c r="D429" s="9">
        <f>PRODUCT(sales_data_sample[[#This Row],[QUANTITYORDERED]],sales_data_sample[[#This Row],[PRICEEACH]])</f>
        <v>203364</v>
      </c>
      <c r="E429" s="9">
        <f>IF(OR(sales_data_sample[[#This Row],[STATUS]]="Shipped",sales_data_sample[[#This Row],[STATUS]]="Resolved"),sales_data_sample[[#This Row],[SALES]],0)</f>
        <v>203364</v>
      </c>
      <c r="F429" s="10">
        <v>7</v>
      </c>
      <c r="G429" s="12" t="s">
        <v>282</v>
      </c>
      <c r="H429" s="1" t="s">
        <v>26</v>
      </c>
      <c r="I429">
        <v>4</v>
      </c>
      <c r="J429">
        <v>11</v>
      </c>
      <c r="K429">
        <v>2003</v>
      </c>
      <c r="L429" s="1" t="s">
        <v>711</v>
      </c>
      <c r="M429">
        <v>116</v>
      </c>
      <c r="N429" s="1" t="s">
        <v>770</v>
      </c>
      <c r="O429" s="1" t="s">
        <v>283</v>
      </c>
      <c r="P429" s="1" t="s">
        <v>284</v>
      </c>
      <c r="Q429" s="1" t="s">
        <v>285</v>
      </c>
      <c r="R429" s="1" t="s">
        <v>32</v>
      </c>
      <c r="S429" s="1" t="s">
        <v>286</v>
      </c>
      <c r="T429" s="1" t="s">
        <v>186</v>
      </c>
      <c r="U429" s="1" t="s">
        <v>287</v>
      </c>
      <c r="V429" s="1" t="s">
        <v>36</v>
      </c>
      <c r="W429" s="1" t="s">
        <v>37</v>
      </c>
      <c r="X429" s="1" t="s">
        <v>288</v>
      </c>
      <c r="Y429" s="1" t="s">
        <v>289</v>
      </c>
      <c r="Z429" s="1" t="str">
        <f>TRIM(_xlfn.CONCAT(sales_data_sample[[#This Row],[CONTACTFIRSTNAME]],", ",sales_data_sample[[#This Row],[CONTACTLASTNAME]]))</f>
        <v>Francisca, Cervantes</v>
      </c>
      <c r="AA429" s="1" t="s">
        <v>40</v>
      </c>
    </row>
    <row r="430" spans="1:27" x14ac:dyDescent="0.25">
      <c r="A430" s="10">
        <v>10194</v>
      </c>
      <c r="B430" s="9">
        <v>21</v>
      </c>
      <c r="C430" s="9">
        <v>9334</v>
      </c>
      <c r="D430" s="9">
        <f>PRODUCT(sales_data_sample[[#This Row],[QUANTITYORDERED]],sales_data_sample[[#This Row],[PRICEEACH]])</f>
        <v>196014</v>
      </c>
      <c r="E430" s="9">
        <f>IF(OR(sales_data_sample[[#This Row],[STATUS]]="Shipped",sales_data_sample[[#This Row],[STATUS]]="Resolved"),sales_data_sample[[#This Row],[SALES]],0)</f>
        <v>196014</v>
      </c>
      <c r="F430" s="10">
        <v>10</v>
      </c>
      <c r="G430" s="12" t="s">
        <v>290</v>
      </c>
      <c r="H430" s="1" t="s">
        <v>26</v>
      </c>
      <c r="I430">
        <v>4</v>
      </c>
      <c r="J430">
        <v>11</v>
      </c>
      <c r="K430">
        <v>2003</v>
      </c>
      <c r="L430" s="1" t="s">
        <v>711</v>
      </c>
      <c r="M430">
        <v>116</v>
      </c>
      <c r="N430" s="1" t="s">
        <v>770</v>
      </c>
      <c r="O430" s="1" t="s">
        <v>291</v>
      </c>
      <c r="P430" s="1" t="s">
        <v>292</v>
      </c>
      <c r="Q430" s="1" t="s">
        <v>293</v>
      </c>
      <c r="R430" s="1" t="s">
        <v>32</v>
      </c>
      <c r="S430" s="1" t="s">
        <v>294</v>
      </c>
      <c r="T430" s="1" t="s">
        <v>32</v>
      </c>
      <c r="U430" s="1" t="s">
        <v>295</v>
      </c>
      <c r="V430" s="1" t="s">
        <v>47</v>
      </c>
      <c r="W430" s="1" t="s">
        <v>48</v>
      </c>
      <c r="X430" s="1" t="s">
        <v>296</v>
      </c>
      <c r="Y430" s="1" t="s">
        <v>297</v>
      </c>
      <c r="Z430" s="1" t="str">
        <f>TRIM(_xlfn.CONCAT(sales_data_sample[[#This Row],[CONTACTFIRSTNAME]],", ",sales_data_sample[[#This Row],[CONTACTLASTNAME]]))</f>
        <v>Mary, Saveley</v>
      </c>
      <c r="AA430" s="1" t="s">
        <v>40</v>
      </c>
    </row>
    <row r="431" spans="1:27" x14ac:dyDescent="0.25">
      <c r="A431" s="10">
        <v>10206</v>
      </c>
      <c r="B431" s="9">
        <v>34</v>
      </c>
      <c r="C431" s="9">
        <v>100</v>
      </c>
      <c r="D431" s="9">
        <f>PRODUCT(sales_data_sample[[#This Row],[QUANTITYORDERED]],sales_data_sample[[#This Row],[PRICEEACH]])</f>
        <v>3400</v>
      </c>
      <c r="E431" s="9">
        <f>IF(OR(sales_data_sample[[#This Row],[STATUS]]="Shipped",sales_data_sample[[#This Row],[STATUS]]="Resolved"),sales_data_sample[[#This Row],[SALES]],0)</f>
        <v>3400</v>
      </c>
      <c r="F431" s="10">
        <v>5</v>
      </c>
      <c r="G431" s="12" t="s">
        <v>298</v>
      </c>
      <c r="H431" s="1" t="s">
        <v>26</v>
      </c>
      <c r="I431">
        <v>4</v>
      </c>
      <c r="J431">
        <v>12</v>
      </c>
      <c r="K431">
        <v>2003</v>
      </c>
      <c r="L431" s="1" t="s">
        <v>711</v>
      </c>
      <c r="M431">
        <v>116</v>
      </c>
      <c r="N431" s="1" t="s">
        <v>770</v>
      </c>
      <c r="O431" s="1" t="s">
        <v>299</v>
      </c>
      <c r="P431" s="1" t="s">
        <v>300</v>
      </c>
      <c r="Q431" s="1" t="s">
        <v>301</v>
      </c>
      <c r="R431" s="1" t="s">
        <v>32</v>
      </c>
      <c r="S431" s="1" t="s">
        <v>302</v>
      </c>
      <c r="T431" s="1" t="s">
        <v>303</v>
      </c>
      <c r="U431" s="1" t="s">
        <v>304</v>
      </c>
      <c r="V431" s="1" t="s">
        <v>305</v>
      </c>
      <c r="W431" s="1" t="s">
        <v>37</v>
      </c>
      <c r="X431" s="1" t="s">
        <v>306</v>
      </c>
      <c r="Y431" s="1" t="s">
        <v>307</v>
      </c>
      <c r="Z431" s="1" t="str">
        <f>TRIM(_xlfn.CONCAT(sales_data_sample[[#This Row],[CONTACTFIRSTNAME]],", ",sales_data_sample[[#This Row],[CONTACTLASTNAME]]))</f>
        <v>Yoshi, Tannamuri</v>
      </c>
      <c r="AA431" s="1" t="s">
        <v>59</v>
      </c>
    </row>
    <row r="432" spans="1:27" x14ac:dyDescent="0.25">
      <c r="A432" s="10">
        <v>10215</v>
      </c>
      <c r="B432" s="9">
        <v>46</v>
      </c>
      <c r="C432" s="9">
        <v>100</v>
      </c>
      <c r="D432" s="9">
        <f>PRODUCT(sales_data_sample[[#This Row],[QUANTITYORDERED]],sales_data_sample[[#This Row],[PRICEEACH]])</f>
        <v>4600</v>
      </c>
      <c r="E432" s="9">
        <f>IF(OR(sales_data_sample[[#This Row],[STATUS]]="Shipped",sales_data_sample[[#This Row],[STATUS]]="Resolved"),sales_data_sample[[#This Row],[SALES]],0)</f>
        <v>4600</v>
      </c>
      <c r="F432" s="10">
        <v>2</v>
      </c>
      <c r="G432" s="12" t="s">
        <v>308</v>
      </c>
      <c r="H432" s="1" t="s">
        <v>26</v>
      </c>
      <c r="I432">
        <v>1</v>
      </c>
      <c r="J432">
        <v>1</v>
      </c>
      <c r="K432">
        <v>2004</v>
      </c>
      <c r="L432" s="1" t="s">
        <v>711</v>
      </c>
      <c r="M432">
        <v>116</v>
      </c>
      <c r="N432" s="1" t="s">
        <v>770</v>
      </c>
      <c r="O432" s="1" t="s">
        <v>309</v>
      </c>
      <c r="P432" s="1" t="s">
        <v>310</v>
      </c>
      <c r="Q432" s="1" t="s">
        <v>311</v>
      </c>
      <c r="R432" s="1" t="s">
        <v>32</v>
      </c>
      <c r="S432" s="1" t="s">
        <v>312</v>
      </c>
      <c r="T432" s="1" t="s">
        <v>65</v>
      </c>
      <c r="U432" s="1" t="s">
        <v>137</v>
      </c>
      <c r="V432" s="1" t="s">
        <v>36</v>
      </c>
      <c r="W432" s="1" t="s">
        <v>37</v>
      </c>
      <c r="X432" s="1" t="s">
        <v>313</v>
      </c>
      <c r="Y432" s="1" t="s">
        <v>314</v>
      </c>
      <c r="Z432" s="1" t="str">
        <f>TRIM(_xlfn.CONCAT(sales_data_sample[[#This Row],[CONTACTFIRSTNAME]],", ",sales_data_sample[[#This Row],[CONTACTLASTNAME]]))</f>
        <v>Steve, Thompson</v>
      </c>
      <c r="AA432" s="1" t="s">
        <v>59</v>
      </c>
    </row>
    <row r="433" spans="1:27" x14ac:dyDescent="0.25">
      <c r="A433" s="10">
        <v>10228</v>
      </c>
      <c r="B433" s="9">
        <v>32</v>
      </c>
      <c r="C433" s="9">
        <v>100</v>
      </c>
      <c r="D433" s="9">
        <f>PRODUCT(sales_data_sample[[#This Row],[QUANTITYORDERED]],sales_data_sample[[#This Row],[PRICEEACH]])</f>
        <v>3200</v>
      </c>
      <c r="E433" s="9">
        <f>IF(OR(sales_data_sample[[#This Row],[STATUS]]="Shipped",sales_data_sample[[#This Row],[STATUS]]="Resolved"),sales_data_sample[[#This Row],[SALES]],0)</f>
        <v>3200</v>
      </c>
      <c r="F433" s="10">
        <v>1</v>
      </c>
      <c r="G433" s="12" t="s">
        <v>315</v>
      </c>
      <c r="H433" s="1" t="s">
        <v>26</v>
      </c>
      <c r="I433">
        <v>1</v>
      </c>
      <c r="J433">
        <v>3</v>
      </c>
      <c r="K433">
        <v>2004</v>
      </c>
      <c r="L433" s="1" t="s">
        <v>711</v>
      </c>
      <c r="M433">
        <v>116</v>
      </c>
      <c r="N433" s="1" t="s">
        <v>770</v>
      </c>
      <c r="O433" s="1" t="s">
        <v>316</v>
      </c>
      <c r="P433" s="1" t="s">
        <v>317</v>
      </c>
      <c r="Q433" s="1" t="s">
        <v>318</v>
      </c>
      <c r="R433" s="1" t="s">
        <v>32</v>
      </c>
      <c r="S433" s="1" t="s">
        <v>159</v>
      </c>
      <c r="T433" s="1" t="s">
        <v>160</v>
      </c>
      <c r="U433" s="1" t="s">
        <v>161</v>
      </c>
      <c r="V433" s="1" t="s">
        <v>36</v>
      </c>
      <c r="W433" s="1" t="s">
        <v>37</v>
      </c>
      <c r="X433" s="1" t="s">
        <v>319</v>
      </c>
      <c r="Y433" s="1" t="s">
        <v>188</v>
      </c>
      <c r="Z433" s="1" t="str">
        <f>TRIM(_xlfn.CONCAT(sales_data_sample[[#This Row],[CONTACTFIRSTNAME]],", ",sales_data_sample[[#This Row],[CONTACTLASTNAME]]))</f>
        <v>Kyung, Tseng</v>
      </c>
      <c r="AA433" s="1" t="s">
        <v>59</v>
      </c>
    </row>
    <row r="434" spans="1:27" x14ac:dyDescent="0.25">
      <c r="A434" s="10">
        <v>10245</v>
      </c>
      <c r="B434" s="9">
        <v>29</v>
      </c>
      <c r="C434" s="9">
        <v>100</v>
      </c>
      <c r="D434" s="9">
        <f>PRODUCT(sales_data_sample[[#This Row],[QUANTITYORDERED]],sales_data_sample[[#This Row],[PRICEEACH]])</f>
        <v>2900</v>
      </c>
      <c r="E434" s="9">
        <f>IF(OR(sales_data_sample[[#This Row],[STATUS]]="Shipped",sales_data_sample[[#This Row],[STATUS]]="Resolved"),sales_data_sample[[#This Row],[SALES]],0)</f>
        <v>2900</v>
      </c>
      <c r="F434" s="10">
        <v>8</v>
      </c>
      <c r="G434" s="12" t="s">
        <v>320</v>
      </c>
      <c r="H434" s="1" t="s">
        <v>26</v>
      </c>
      <c r="I434">
        <v>2</v>
      </c>
      <c r="J434">
        <v>5</v>
      </c>
      <c r="K434">
        <v>2004</v>
      </c>
      <c r="L434" s="1" t="s">
        <v>711</v>
      </c>
      <c r="M434">
        <v>116</v>
      </c>
      <c r="N434" s="1" t="s">
        <v>770</v>
      </c>
      <c r="O434" s="1" t="s">
        <v>321</v>
      </c>
      <c r="P434" s="1" t="s">
        <v>322</v>
      </c>
      <c r="Q434" s="1" t="s">
        <v>323</v>
      </c>
      <c r="R434" s="1" t="s">
        <v>32</v>
      </c>
      <c r="S434" s="1" t="s">
        <v>324</v>
      </c>
      <c r="T434" s="1" t="s">
        <v>144</v>
      </c>
      <c r="U434" s="1" t="s">
        <v>325</v>
      </c>
      <c r="V434" s="1" t="s">
        <v>36</v>
      </c>
      <c r="W434" s="1" t="s">
        <v>37</v>
      </c>
      <c r="X434" s="1" t="s">
        <v>104</v>
      </c>
      <c r="Y434" s="1" t="s">
        <v>326</v>
      </c>
      <c r="Z434" s="1" t="str">
        <f>TRIM(_xlfn.CONCAT(sales_data_sample[[#This Row],[CONTACTFIRSTNAME]],", ",sales_data_sample[[#This Row],[CONTACTLASTNAME]]))</f>
        <v>Leslie, Murphy</v>
      </c>
      <c r="AA434" s="1" t="s">
        <v>59</v>
      </c>
    </row>
    <row r="435" spans="1:27" x14ac:dyDescent="0.25">
      <c r="A435" s="10">
        <v>10258</v>
      </c>
      <c r="B435" s="9">
        <v>41</v>
      </c>
      <c r="C435" s="9">
        <v>100</v>
      </c>
      <c r="D435" s="9">
        <f>PRODUCT(sales_data_sample[[#This Row],[QUANTITYORDERED]],sales_data_sample[[#This Row],[PRICEEACH]])</f>
        <v>4100</v>
      </c>
      <c r="E435" s="9">
        <f>IF(OR(sales_data_sample[[#This Row],[STATUS]]="Shipped",sales_data_sample[[#This Row],[STATUS]]="Resolved"),sales_data_sample[[#This Row],[SALES]],0)</f>
        <v>4100</v>
      </c>
      <c r="F435" s="10">
        <v>5</v>
      </c>
      <c r="G435" s="12" t="s">
        <v>327</v>
      </c>
      <c r="H435" s="1" t="s">
        <v>26</v>
      </c>
      <c r="I435">
        <v>2</v>
      </c>
      <c r="J435">
        <v>6</v>
      </c>
      <c r="K435">
        <v>2004</v>
      </c>
      <c r="L435" s="1" t="s">
        <v>711</v>
      </c>
      <c r="M435">
        <v>116</v>
      </c>
      <c r="N435" s="1" t="s">
        <v>770</v>
      </c>
      <c r="O435" s="1" t="s">
        <v>328</v>
      </c>
      <c r="P435" s="1" t="s">
        <v>329</v>
      </c>
      <c r="Q435" s="1" t="s">
        <v>330</v>
      </c>
      <c r="R435" s="1" t="s">
        <v>32</v>
      </c>
      <c r="S435" s="1" t="s">
        <v>331</v>
      </c>
      <c r="T435" s="1" t="s">
        <v>332</v>
      </c>
      <c r="U435" s="1" t="s">
        <v>333</v>
      </c>
      <c r="V435" s="1" t="s">
        <v>264</v>
      </c>
      <c r="W435" s="1" t="s">
        <v>264</v>
      </c>
      <c r="X435" s="1" t="s">
        <v>334</v>
      </c>
      <c r="Y435" s="1" t="s">
        <v>335</v>
      </c>
      <c r="Z435" s="1" t="str">
        <f>TRIM(_xlfn.CONCAT(sales_data_sample[[#This Row],[CONTACTFIRSTNAME]],", ",sales_data_sample[[#This Row],[CONTACTLASTNAME]]))</f>
        <v>Akiko, Shimamura</v>
      </c>
      <c r="AA435" s="1" t="s">
        <v>59</v>
      </c>
    </row>
    <row r="436" spans="1:27" x14ac:dyDescent="0.25">
      <c r="A436">
        <v>10270</v>
      </c>
      <c r="B436">
        <v>43</v>
      </c>
      <c r="C436">
        <v>9684</v>
      </c>
      <c r="D436">
        <f>PRODUCT(sales_data_sample[[#This Row],[QUANTITYORDERED]],sales_data_sample[[#This Row],[PRICEEACH]])</f>
        <v>416412</v>
      </c>
      <c r="E436" s="9">
        <f>IF(OR(sales_data_sample[[#This Row],[STATUS]]="Shipped",sales_data_sample[[#This Row],[STATUS]]="Resolved"),sales_data_sample[[#This Row],[SALES]],0)</f>
        <v>416412</v>
      </c>
      <c r="F436">
        <v>8</v>
      </c>
      <c r="G436" s="12" t="s">
        <v>336</v>
      </c>
      <c r="H436" s="1" t="s">
        <v>26</v>
      </c>
      <c r="I436">
        <v>3</v>
      </c>
      <c r="J436">
        <v>7</v>
      </c>
      <c r="K436">
        <v>2004</v>
      </c>
      <c r="L436" s="1" t="s">
        <v>711</v>
      </c>
      <c r="M436">
        <v>116</v>
      </c>
      <c r="N436" s="1" t="s">
        <v>770</v>
      </c>
      <c r="O436" s="1" t="s">
        <v>201</v>
      </c>
      <c r="P436" s="1" t="s">
        <v>202</v>
      </c>
      <c r="Q436" s="1" t="s">
        <v>203</v>
      </c>
      <c r="R436" s="1" t="s">
        <v>204</v>
      </c>
      <c r="S436" s="1" t="s">
        <v>205</v>
      </c>
      <c r="T436" s="1" t="s">
        <v>206</v>
      </c>
      <c r="U436" s="1" t="s">
        <v>207</v>
      </c>
      <c r="V436" s="1" t="s">
        <v>120</v>
      </c>
      <c r="W436" s="1" t="s">
        <v>121</v>
      </c>
      <c r="X436" s="1" t="s">
        <v>208</v>
      </c>
      <c r="Y436" s="1" t="s">
        <v>209</v>
      </c>
      <c r="Z436" s="1" t="str">
        <f>TRIM(_xlfn.CONCAT(sales_data_sample[[#This Row],[CONTACTFIRSTNAME]],", ",sales_data_sample[[#This Row],[CONTACTLASTNAME]]))</f>
        <v>Adrian, Huxley</v>
      </c>
      <c r="AA436" s="1" t="s">
        <v>59</v>
      </c>
    </row>
    <row r="437" spans="1:27" x14ac:dyDescent="0.25">
      <c r="A437" s="10">
        <v>10280</v>
      </c>
      <c r="B437" s="9">
        <v>24</v>
      </c>
      <c r="C437" s="9">
        <v>100</v>
      </c>
      <c r="D437" s="9">
        <f>PRODUCT(sales_data_sample[[#This Row],[QUANTITYORDERED]],sales_data_sample[[#This Row],[PRICEEACH]])</f>
        <v>2400</v>
      </c>
      <c r="E437" s="9">
        <f>IF(OR(sales_data_sample[[#This Row],[STATUS]]="Shipped",sales_data_sample[[#This Row],[STATUS]]="Resolved"),sales_data_sample[[#This Row],[SALES]],0)</f>
        <v>2400</v>
      </c>
      <c r="F437" s="10">
        <v>1</v>
      </c>
      <c r="G437" s="12" t="s">
        <v>337</v>
      </c>
      <c r="H437" s="1" t="s">
        <v>26</v>
      </c>
      <c r="I437">
        <v>3</v>
      </c>
      <c r="J437">
        <v>8</v>
      </c>
      <c r="K437">
        <v>2004</v>
      </c>
      <c r="L437" s="1" t="s">
        <v>711</v>
      </c>
      <c r="M437">
        <v>116</v>
      </c>
      <c r="N437" s="1" t="s">
        <v>770</v>
      </c>
      <c r="O437" s="1" t="s">
        <v>338</v>
      </c>
      <c r="P437" s="1" t="s">
        <v>339</v>
      </c>
      <c r="Q437" s="1" t="s">
        <v>340</v>
      </c>
      <c r="R437" s="1" t="s">
        <v>32</v>
      </c>
      <c r="S437" s="1" t="s">
        <v>341</v>
      </c>
      <c r="T437" s="1" t="s">
        <v>32</v>
      </c>
      <c r="U437" s="1" t="s">
        <v>342</v>
      </c>
      <c r="V437" s="1" t="s">
        <v>343</v>
      </c>
      <c r="W437" s="1" t="s">
        <v>48</v>
      </c>
      <c r="X437" s="1" t="s">
        <v>344</v>
      </c>
      <c r="Y437" s="1" t="s">
        <v>345</v>
      </c>
      <c r="Z437" s="1" t="str">
        <f>TRIM(_xlfn.CONCAT(sales_data_sample[[#This Row],[CONTACTFIRSTNAME]],", ",sales_data_sample[[#This Row],[CONTACTLASTNAME]]))</f>
        <v>Paolo, Accorti</v>
      </c>
      <c r="AA437" s="1" t="s">
        <v>40</v>
      </c>
    </row>
    <row r="438" spans="1:27" x14ac:dyDescent="0.25">
      <c r="A438" s="10">
        <v>10291</v>
      </c>
      <c r="B438" s="9">
        <v>41</v>
      </c>
      <c r="C438" s="9">
        <v>100</v>
      </c>
      <c r="D438" s="9">
        <f>PRODUCT(sales_data_sample[[#This Row],[QUANTITYORDERED]],sales_data_sample[[#This Row],[PRICEEACH]])</f>
        <v>4100</v>
      </c>
      <c r="E438" s="9">
        <f>IF(OR(sales_data_sample[[#This Row],[STATUS]]="Shipped",sales_data_sample[[#This Row],[STATUS]]="Resolved"),sales_data_sample[[#This Row],[SALES]],0)</f>
        <v>4100</v>
      </c>
      <c r="F438" s="10">
        <v>10</v>
      </c>
      <c r="G438" s="12" t="s">
        <v>346</v>
      </c>
      <c r="H438" s="1" t="s">
        <v>26</v>
      </c>
      <c r="I438">
        <v>3</v>
      </c>
      <c r="J438">
        <v>9</v>
      </c>
      <c r="K438">
        <v>2004</v>
      </c>
      <c r="L438" s="1" t="s">
        <v>711</v>
      </c>
      <c r="M438">
        <v>116</v>
      </c>
      <c r="N438" s="1" t="s">
        <v>770</v>
      </c>
      <c r="O438" s="1" t="s">
        <v>347</v>
      </c>
      <c r="P438" s="1" t="s">
        <v>348</v>
      </c>
      <c r="Q438" s="1" t="s">
        <v>349</v>
      </c>
      <c r="R438" s="1" t="s">
        <v>32</v>
      </c>
      <c r="S438" s="1" t="s">
        <v>350</v>
      </c>
      <c r="T438" s="1" t="s">
        <v>32</v>
      </c>
      <c r="U438" s="1" t="s">
        <v>351</v>
      </c>
      <c r="V438" s="1" t="s">
        <v>247</v>
      </c>
      <c r="W438" s="1" t="s">
        <v>48</v>
      </c>
      <c r="X438" s="1" t="s">
        <v>352</v>
      </c>
      <c r="Y438" s="1" t="s">
        <v>272</v>
      </c>
      <c r="Z438" s="1" t="str">
        <f>TRIM(_xlfn.CONCAT(sales_data_sample[[#This Row],[CONTACTFIRSTNAME]],", ",sales_data_sample[[#This Row],[CONTACTLASTNAME]]))</f>
        <v>Maria, Larsson</v>
      </c>
      <c r="AA438" s="1" t="s">
        <v>59</v>
      </c>
    </row>
    <row r="439" spans="1:27" x14ac:dyDescent="0.25">
      <c r="A439" s="10">
        <v>10304</v>
      </c>
      <c r="B439" s="9">
        <v>46</v>
      </c>
      <c r="C439" s="9">
        <v>98</v>
      </c>
      <c r="D439" s="9">
        <f>PRODUCT(sales_data_sample[[#This Row],[QUANTITYORDERED]],sales_data_sample[[#This Row],[PRICEEACH]])</f>
        <v>4508</v>
      </c>
      <c r="E439" s="9">
        <f>IF(OR(sales_data_sample[[#This Row],[STATUS]]="Shipped",sales_data_sample[[#This Row],[STATUS]]="Resolved"),sales_data_sample[[#This Row],[SALES]],0)</f>
        <v>4508</v>
      </c>
      <c r="F439" s="10">
        <v>5</v>
      </c>
      <c r="G439" s="12" t="s">
        <v>353</v>
      </c>
      <c r="H439" s="1" t="s">
        <v>26</v>
      </c>
      <c r="I439">
        <v>4</v>
      </c>
      <c r="J439">
        <v>10</v>
      </c>
      <c r="K439">
        <v>2004</v>
      </c>
      <c r="L439" s="1" t="s">
        <v>711</v>
      </c>
      <c r="M439">
        <v>116</v>
      </c>
      <c r="N439" s="1" t="s">
        <v>770</v>
      </c>
      <c r="O439" s="1" t="s">
        <v>354</v>
      </c>
      <c r="P439" s="1" t="s">
        <v>355</v>
      </c>
      <c r="Q439" s="1" t="s">
        <v>356</v>
      </c>
      <c r="R439" s="1" t="s">
        <v>32</v>
      </c>
      <c r="S439" s="1" t="s">
        <v>357</v>
      </c>
      <c r="T439" s="1" t="s">
        <v>32</v>
      </c>
      <c r="U439" s="1" t="s">
        <v>358</v>
      </c>
      <c r="V439" s="1" t="s">
        <v>47</v>
      </c>
      <c r="W439" s="1" t="s">
        <v>48</v>
      </c>
      <c r="X439" s="1" t="s">
        <v>359</v>
      </c>
      <c r="Y439" s="1" t="s">
        <v>58</v>
      </c>
      <c r="Z439" s="1" t="str">
        <f>TRIM(_xlfn.CONCAT(sales_data_sample[[#This Row],[CONTACTFIRSTNAME]],", ",sales_data_sample[[#This Row],[CONTACTLASTNAME]]))</f>
        <v>Daniel, Tonini</v>
      </c>
      <c r="AA439" s="1" t="s">
        <v>59</v>
      </c>
    </row>
    <row r="440" spans="1:27" x14ac:dyDescent="0.25">
      <c r="A440" s="10">
        <v>10312</v>
      </c>
      <c r="B440" s="9">
        <v>32</v>
      </c>
      <c r="C440" s="9">
        <v>100</v>
      </c>
      <c r="D440" s="9">
        <f>PRODUCT(sales_data_sample[[#This Row],[QUANTITYORDERED]],sales_data_sample[[#This Row],[PRICEEACH]])</f>
        <v>3200</v>
      </c>
      <c r="E440" s="9">
        <f>IF(OR(sales_data_sample[[#This Row],[STATUS]]="Shipped",sales_data_sample[[#This Row],[STATUS]]="Resolved"),sales_data_sample[[#This Row],[SALES]],0)</f>
        <v>3200</v>
      </c>
      <c r="F440" s="10">
        <v>2</v>
      </c>
      <c r="G440" s="12" t="s">
        <v>360</v>
      </c>
      <c r="H440" s="1" t="s">
        <v>26</v>
      </c>
      <c r="I440">
        <v>4</v>
      </c>
      <c r="J440">
        <v>10</v>
      </c>
      <c r="K440">
        <v>2004</v>
      </c>
      <c r="L440" s="1" t="s">
        <v>711</v>
      </c>
      <c r="M440">
        <v>116</v>
      </c>
      <c r="N440" s="1" t="s">
        <v>770</v>
      </c>
      <c r="O440" s="1" t="s">
        <v>361</v>
      </c>
      <c r="P440" s="1" t="s">
        <v>362</v>
      </c>
      <c r="Q440" s="1" t="s">
        <v>363</v>
      </c>
      <c r="R440" s="1" t="s">
        <v>32</v>
      </c>
      <c r="S440" s="1" t="s">
        <v>364</v>
      </c>
      <c r="T440" s="1" t="s">
        <v>65</v>
      </c>
      <c r="U440" s="1" t="s">
        <v>145</v>
      </c>
      <c r="V440" s="1" t="s">
        <v>36</v>
      </c>
      <c r="W440" s="1" t="s">
        <v>37</v>
      </c>
      <c r="X440" s="1" t="s">
        <v>365</v>
      </c>
      <c r="Y440" s="1" t="s">
        <v>366</v>
      </c>
      <c r="Z440" s="1" t="str">
        <f>TRIM(_xlfn.CONCAT(sales_data_sample[[#This Row],[CONTACTFIRSTNAME]],", ",sales_data_sample[[#This Row],[CONTACTLASTNAME]]))</f>
        <v>Valarie, Nelson</v>
      </c>
      <c r="AA440" s="1" t="s">
        <v>59</v>
      </c>
    </row>
    <row r="441" spans="1:27" x14ac:dyDescent="0.25">
      <c r="A441" s="10">
        <v>10322</v>
      </c>
      <c r="B441" s="9">
        <v>22</v>
      </c>
      <c r="C441" s="9">
        <v>100</v>
      </c>
      <c r="D441" s="9">
        <f>PRODUCT(sales_data_sample[[#This Row],[QUANTITYORDERED]],sales_data_sample[[#This Row],[PRICEEACH]])</f>
        <v>2200</v>
      </c>
      <c r="E441" s="9">
        <f>IF(OR(sales_data_sample[[#This Row],[STATUS]]="Shipped",sales_data_sample[[#This Row],[STATUS]]="Resolved"),sales_data_sample[[#This Row],[SALES]],0)</f>
        <v>2200</v>
      </c>
      <c r="F441" s="10">
        <v>10</v>
      </c>
      <c r="G441" s="12" t="s">
        <v>367</v>
      </c>
      <c r="H441" s="1" t="s">
        <v>26</v>
      </c>
      <c r="I441">
        <v>4</v>
      </c>
      <c r="J441">
        <v>11</v>
      </c>
      <c r="K441">
        <v>2004</v>
      </c>
      <c r="L441" s="1" t="s">
        <v>711</v>
      </c>
      <c r="M441">
        <v>116</v>
      </c>
      <c r="N441" s="1" t="s">
        <v>770</v>
      </c>
      <c r="O441" s="1" t="s">
        <v>368</v>
      </c>
      <c r="P441" s="1" t="s">
        <v>369</v>
      </c>
      <c r="Q441" s="1" t="s">
        <v>370</v>
      </c>
      <c r="R441" s="1" t="s">
        <v>32</v>
      </c>
      <c r="S441" s="1" t="s">
        <v>371</v>
      </c>
      <c r="T441" s="1" t="s">
        <v>372</v>
      </c>
      <c r="U441" s="1" t="s">
        <v>373</v>
      </c>
      <c r="V441" s="1" t="s">
        <v>36</v>
      </c>
      <c r="W441" s="1" t="s">
        <v>37</v>
      </c>
      <c r="X441" s="1" t="s">
        <v>67</v>
      </c>
      <c r="Y441" s="1" t="s">
        <v>366</v>
      </c>
      <c r="Z441" s="1" t="str">
        <f>TRIM(_xlfn.CONCAT(sales_data_sample[[#This Row],[CONTACTFIRSTNAME]],", ",sales_data_sample[[#This Row],[CONTACTLASTNAME]]))</f>
        <v>Valarie, Young</v>
      </c>
      <c r="AA441" s="1" t="s">
        <v>40</v>
      </c>
    </row>
    <row r="442" spans="1:27" x14ac:dyDescent="0.25">
      <c r="A442" s="10">
        <v>10333</v>
      </c>
      <c r="B442" s="9">
        <v>29</v>
      </c>
      <c r="C442" s="9">
        <v>4025</v>
      </c>
      <c r="D442" s="9">
        <f>PRODUCT(sales_data_sample[[#This Row],[QUANTITYORDERED]],sales_data_sample[[#This Row],[PRICEEACH]])</f>
        <v>116725</v>
      </c>
      <c r="E442" s="9">
        <f>IF(OR(sales_data_sample[[#This Row],[STATUS]]="Shipped",sales_data_sample[[#This Row],[STATUS]]="Resolved"),sales_data_sample[[#This Row],[SALES]],0)</f>
        <v>116725</v>
      </c>
      <c r="F442" s="10">
        <v>7</v>
      </c>
      <c r="G442" s="12" t="s">
        <v>374</v>
      </c>
      <c r="H442" s="1" t="s">
        <v>26</v>
      </c>
      <c r="I442">
        <v>4</v>
      </c>
      <c r="J442">
        <v>11</v>
      </c>
      <c r="K442">
        <v>2004</v>
      </c>
      <c r="L442" s="1" t="s">
        <v>711</v>
      </c>
      <c r="M442">
        <v>116</v>
      </c>
      <c r="N442" s="1" t="s">
        <v>770</v>
      </c>
      <c r="O442" s="1" t="s">
        <v>101</v>
      </c>
      <c r="P442" s="1" t="s">
        <v>102</v>
      </c>
      <c r="Q442" s="1" t="s">
        <v>103</v>
      </c>
      <c r="R442" s="1" t="s">
        <v>32</v>
      </c>
      <c r="S442" s="1" t="s">
        <v>73</v>
      </c>
      <c r="T442" s="1" t="s">
        <v>65</v>
      </c>
      <c r="U442" s="1" t="s">
        <v>32</v>
      </c>
      <c r="V442" s="1" t="s">
        <v>36</v>
      </c>
      <c r="W442" s="1" t="s">
        <v>37</v>
      </c>
      <c r="X442" s="1" t="s">
        <v>104</v>
      </c>
      <c r="Y442" s="1" t="s">
        <v>68</v>
      </c>
      <c r="Z442" s="1" t="str">
        <f>TRIM(_xlfn.CONCAT(sales_data_sample[[#This Row],[CONTACTFIRSTNAME]],", ",sales_data_sample[[#This Row],[CONTACTLASTNAME]]))</f>
        <v>Julie, Murphy</v>
      </c>
      <c r="AA442" s="1" t="s">
        <v>40</v>
      </c>
    </row>
    <row r="443" spans="1:27" x14ac:dyDescent="0.25">
      <c r="A443">
        <v>10347</v>
      </c>
      <c r="B443">
        <v>42</v>
      </c>
      <c r="C443">
        <v>496</v>
      </c>
      <c r="D443">
        <f>PRODUCT(sales_data_sample[[#This Row],[QUANTITYORDERED]],sales_data_sample[[#This Row],[PRICEEACH]])</f>
        <v>20832</v>
      </c>
      <c r="E443" s="9">
        <f>IF(OR(sales_data_sample[[#This Row],[STATUS]]="Shipped",sales_data_sample[[#This Row],[STATUS]]="Resolved"),sales_data_sample[[#This Row],[SALES]],0)</f>
        <v>20832</v>
      </c>
      <c r="F443">
        <v>5</v>
      </c>
      <c r="G443" s="12" t="s">
        <v>375</v>
      </c>
      <c r="H443" s="1" t="s">
        <v>26</v>
      </c>
      <c r="I443">
        <v>4</v>
      </c>
      <c r="J443">
        <v>11</v>
      </c>
      <c r="K443">
        <v>2004</v>
      </c>
      <c r="L443" s="1" t="s">
        <v>711</v>
      </c>
      <c r="M443">
        <v>116</v>
      </c>
      <c r="N443" s="1" t="s">
        <v>770</v>
      </c>
      <c r="O443" s="1" t="s">
        <v>113</v>
      </c>
      <c r="P443" s="1" t="s">
        <v>114</v>
      </c>
      <c r="Q443" s="1" t="s">
        <v>115</v>
      </c>
      <c r="R443" s="1" t="s">
        <v>116</v>
      </c>
      <c r="S443" s="1" t="s">
        <v>117</v>
      </c>
      <c r="T443" s="1" t="s">
        <v>118</v>
      </c>
      <c r="U443" s="1" t="s">
        <v>119</v>
      </c>
      <c r="V443" s="1" t="s">
        <v>120</v>
      </c>
      <c r="W443" s="1" t="s">
        <v>121</v>
      </c>
      <c r="X443" s="1" t="s">
        <v>122</v>
      </c>
      <c r="Y443" s="1" t="s">
        <v>123</v>
      </c>
      <c r="Z443" s="1" t="str">
        <f>TRIM(_xlfn.CONCAT(sales_data_sample[[#This Row],[CONTACTFIRSTNAME]],", ",sales_data_sample[[#This Row],[CONTACTLASTNAME]]))</f>
        <v>Peter, Ferguson</v>
      </c>
      <c r="AA443" s="1" t="s">
        <v>40</v>
      </c>
    </row>
    <row r="444" spans="1:27" x14ac:dyDescent="0.25">
      <c r="A444" s="10">
        <v>10357</v>
      </c>
      <c r="B444" s="9">
        <v>39</v>
      </c>
      <c r="C444" s="9">
        <v>98</v>
      </c>
      <c r="D444" s="9">
        <f>PRODUCT(sales_data_sample[[#This Row],[QUANTITYORDERED]],sales_data_sample[[#This Row],[PRICEEACH]])</f>
        <v>3822</v>
      </c>
      <c r="E444" s="9">
        <f>IF(OR(sales_data_sample[[#This Row],[STATUS]]="Shipped",sales_data_sample[[#This Row],[STATUS]]="Resolved"),sales_data_sample[[#This Row],[SALES]],0)</f>
        <v>3822</v>
      </c>
      <c r="F444" s="10">
        <v>1</v>
      </c>
      <c r="G444" s="12" t="s">
        <v>376</v>
      </c>
      <c r="H444" s="1" t="s">
        <v>26</v>
      </c>
      <c r="I444">
        <v>4</v>
      </c>
      <c r="J444">
        <v>12</v>
      </c>
      <c r="K444">
        <v>2004</v>
      </c>
      <c r="L444" s="1" t="s">
        <v>711</v>
      </c>
      <c r="M444">
        <v>116</v>
      </c>
      <c r="N444" s="1" t="s">
        <v>770</v>
      </c>
      <c r="O444" s="1" t="s">
        <v>361</v>
      </c>
      <c r="P444" s="1" t="s">
        <v>362</v>
      </c>
      <c r="Q444" s="1" t="s">
        <v>363</v>
      </c>
      <c r="R444" s="1" t="s">
        <v>32</v>
      </c>
      <c r="S444" s="1" t="s">
        <v>364</v>
      </c>
      <c r="T444" s="1" t="s">
        <v>65</v>
      </c>
      <c r="U444" s="1" t="s">
        <v>145</v>
      </c>
      <c r="V444" s="1" t="s">
        <v>36</v>
      </c>
      <c r="W444" s="1" t="s">
        <v>37</v>
      </c>
      <c r="X444" s="1" t="s">
        <v>365</v>
      </c>
      <c r="Y444" s="1" t="s">
        <v>366</v>
      </c>
      <c r="Z444" s="1" t="str">
        <f>TRIM(_xlfn.CONCAT(sales_data_sample[[#This Row],[CONTACTFIRSTNAME]],", ",sales_data_sample[[#This Row],[CONTACTLASTNAME]]))</f>
        <v>Valarie, Nelson</v>
      </c>
      <c r="AA444" s="1" t="s">
        <v>59</v>
      </c>
    </row>
    <row r="445" spans="1:27" x14ac:dyDescent="0.25">
      <c r="A445">
        <v>10370</v>
      </c>
      <c r="B445">
        <v>27</v>
      </c>
      <c r="C445">
        <v>100</v>
      </c>
      <c r="D445">
        <f>PRODUCT(sales_data_sample[[#This Row],[QUANTITYORDERED]],sales_data_sample[[#This Row],[PRICEEACH]])</f>
        <v>2700</v>
      </c>
      <c r="E445" s="9">
        <f>IF(OR(sales_data_sample[[#This Row],[STATUS]]="Shipped",sales_data_sample[[#This Row],[STATUS]]="Resolved"),sales_data_sample[[#This Row],[SALES]],0)</f>
        <v>2700</v>
      </c>
      <c r="F445">
        <v>1</v>
      </c>
      <c r="G445" s="12" t="s">
        <v>377</v>
      </c>
      <c r="H445" s="1" t="s">
        <v>26</v>
      </c>
      <c r="I445">
        <v>1</v>
      </c>
      <c r="J445">
        <v>1</v>
      </c>
      <c r="K445">
        <v>2005</v>
      </c>
      <c r="L445" s="1" t="s">
        <v>711</v>
      </c>
      <c r="M445">
        <v>116</v>
      </c>
      <c r="N445" s="1" t="s">
        <v>770</v>
      </c>
      <c r="O445" s="1" t="s">
        <v>385</v>
      </c>
      <c r="P445" s="1" t="s">
        <v>386</v>
      </c>
      <c r="Q445" s="1" t="s">
        <v>387</v>
      </c>
      <c r="R445" s="1" t="s">
        <v>388</v>
      </c>
      <c r="S445" s="1" t="s">
        <v>389</v>
      </c>
      <c r="T445" s="1" t="s">
        <v>206</v>
      </c>
      <c r="U445" s="1" t="s">
        <v>390</v>
      </c>
      <c r="V445" s="1" t="s">
        <v>120</v>
      </c>
      <c r="W445" s="1" t="s">
        <v>121</v>
      </c>
      <c r="X445" s="1" t="s">
        <v>391</v>
      </c>
      <c r="Y445" s="1" t="s">
        <v>392</v>
      </c>
      <c r="Z445" s="1" t="str">
        <f>TRIM(_xlfn.CONCAT(sales_data_sample[[#This Row],[CONTACTFIRSTNAME]],", ",sales_data_sample[[#This Row],[CONTACTLASTNAME]]))</f>
        <v>Anna, O'Hara</v>
      </c>
      <c r="AA445" s="1" t="s">
        <v>59</v>
      </c>
    </row>
    <row r="446" spans="1:27" x14ac:dyDescent="0.25">
      <c r="A446" s="10">
        <v>10381</v>
      </c>
      <c r="B446" s="9">
        <v>48</v>
      </c>
      <c r="C446" s="9">
        <v>98</v>
      </c>
      <c r="D446" s="9">
        <f>PRODUCT(sales_data_sample[[#This Row],[QUANTITYORDERED]],sales_data_sample[[#This Row],[PRICEEACH]])</f>
        <v>4704</v>
      </c>
      <c r="E446" s="9">
        <f>IF(OR(sales_data_sample[[#This Row],[STATUS]]="Shipped",sales_data_sample[[#This Row],[STATUS]]="Resolved"),sales_data_sample[[#This Row],[SALES]],0)</f>
        <v>4704</v>
      </c>
      <c r="F446" s="10">
        <v>2</v>
      </c>
      <c r="G446" s="12" t="s">
        <v>383</v>
      </c>
      <c r="H446" s="1" t="s">
        <v>26</v>
      </c>
      <c r="I446">
        <v>1</v>
      </c>
      <c r="J446">
        <v>2</v>
      </c>
      <c r="K446">
        <v>2005</v>
      </c>
      <c r="L446" s="1" t="s">
        <v>711</v>
      </c>
      <c r="M446">
        <v>116</v>
      </c>
      <c r="N446" s="1" t="s">
        <v>770</v>
      </c>
      <c r="O446" s="1" t="s">
        <v>70</v>
      </c>
      <c r="P446" s="1" t="s">
        <v>71</v>
      </c>
      <c r="Q446" s="1" t="s">
        <v>72</v>
      </c>
      <c r="R446" s="1" t="s">
        <v>32</v>
      </c>
      <c r="S446" s="1" t="s">
        <v>73</v>
      </c>
      <c r="T446" s="1" t="s">
        <v>65</v>
      </c>
      <c r="U446" s="1" t="s">
        <v>32</v>
      </c>
      <c r="V446" s="1" t="s">
        <v>36</v>
      </c>
      <c r="W446" s="1" t="s">
        <v>37</v>
      </c>
      <c r="X446" s="1" t="s">
        <v>74</v>
      </c>
      <c r="Y446" s="1" t="s">
        <v>68</v>
      </c>
      <c r="Z446" s="1" t="str">
        <f>TRIM(_xlfn.CONCAT(sales_data_sample[[#This Row],[CONTACTFIRSTNAME]],", ",sales_data_sample[[#This Row],[CONTACTLASTNAME]]))</f>
        <v>Julie, Brown</v>
      </c>
      <c r="AA446" s="1" t="s">
        <v>59</v>
      </c>
    </row>
    <row r="447" spans="1:27" x14ac:dyDescent="0.25">
      <c r="A447">
        <v>10391</v>
      </c>
      <c r="B447">
        <v>29</v>
      </c>
      <c r="C447">
        <v>851</v>
      </c>
      <c r="D447">
        <f>PRODUCT(sales_data_sample[[#This Row],[QUANTITYORDERED]],sales_data_sample[[#This Row],[PRICEEACH]])</f>
        <v>24679</v>
      </c>
      <c r="E447" s="9">
        <f>IF(OR(sales_data_sample[[#This Row],[STATUS]]="Shipped",sales_data_sample[[#This Row],[STATUS]]="Resolved"),sales_data_sample[[#This Row],[SALES]],0)</f>
        <v>24679</v>
      </c>
      <c r="F447">
        <v>10</v>
      </c>
      <c r="G447" s="12" t="s">
        <v>384</v>
      </c>
      <c r="H447" s="1" t="s">
        <v>26</v>
      </c>
      <c r="I447">
        <v>1</v>
      </c>
      <c r="J447">
        <v>3</v>
      </c>
      <c r="K447">
        <v>2005</v>
      </c>
      <c r="L447" s="1" t="s">
        <v>711</v>
      </c>
      <c r="M447">
        <v>116</v>
      </c>
      <c r="N447" s="1" t="s">
        <v>770</v>
      </c>
      <c r="O447" s="1" t="s">
        <v>385</v>
      </c>
      <c r="P447" s="1" t="s">
        <v>386</v>
      </c>
      <c r="Q447" s="1" t="s">
        <v>387</v>
      </c>
      <c r="R447" s="1" t="s">
        <v>388</v>
      </c>
      <c r="S447" s="1" t="s">
        <v>389</v>
      </c>
      <c r="T447" s="1" t="s">
        <v>206</v>
      </c>
      <c r="U447" s="1" t="s">
        <v>390</v>
      </c>
      <c r="V447" s="1" t="s">
        <v>120</v>
      </c>
      <c r="W447" s="1" t="s">
        <v>121</v>
      </c>
      <c r="X447" s="1" t="s">
        <v>391</v>
      </c>
      <c r="Y447" s="1" t="s">
        <v>392</v>
      </c>
      <c r="Z447" s="1" t="str">
        <f>TRIM(_xlfn.CONCAT(sales_data_sample[[#This Row],[CONTACTFIRSTNAME]],", ",sales_data_sample[[#This Row],[CONTACTLASTNAME]]))</f>
        <v>Anna, O'Hara</v>
      </c>
      <c r="AA447" s="1" t="s">
        <v>40</v>
      </c>
    </row>
    <row r="448" spans="1:27" x14ac:dyDescent="0.25">
      <c r="A448" s="10">
        <v>10411</v>
      </c>
      <c r="B448" s="9">
        <v>27</v>
      </c>
      <c r="C448" s="9">
        <v>100</v>
      </c>
      <c r="D448" s="9">
        <f>PRODUCT(sales_data_sample[[#This Row],[QUANTITYORDERED]],sales_data_sample[[#This Row],[PRICEEACH]])</f>
        <v>2700</v>
      </c>
      <c r="E448" s="9">
        <f>IF(OR(sales_data_sample[[#This Row],[STATUS]]="Shipped",sales_data_sample[[#This Row],[STATUS]]="Resolved"),sales_data_sample[[#This Row],[SALES]],0)</f>
        <v>2700</v>
      </c>
      <c r="F448" s="10">
        <v>8</v>
      </c>
      <c r="G448" s="12" t="s">
        <v>393</v>
      </c>
      <c r="H448" s="1" t="s">
        <v>26</v>
      </c>
      <c r="I448">
        <v>2</v>
      </c>
      <c r="J448">
        <v>5</v>
      </c>
      <c r="K448">
        <v>2005</v>
      </c>
      <c r="L448" s="1" t="s">
        <v>711</v>
      </c>
      <c r="M448">
        <v>116</v>
      </c>
      <c r="N448" s="1" t="s">
        <v>770</v>
      </c>
      <c r="O448" s="1" t="s">
        <v>394</v>
      </c>
      <c r="P448" s="1" t="s">
        <v>395</v>
      </c>
      <c r="Q448" s="1" t="s">
        <v>396</v>
      </c>
      <c r="R448" s="1" t="s">
        <v>32</v>
      </c>
      <c r="S448" s="1" t="s">
        <v>397</v>
      </c>
      <c r="T448" s="1" t="s">
        <v>398</v>
      </c>
      <c r="U448" s="1" t="s">
        <v>399</v>
      </c>
      <c r="V448" s="1" t="s">
        <v>305</v>
      </c>
      <c r="W448" s="1" t="s">
        <v>37</v>
      </c>
      <c r="X448" s="1" t="s">
        <v>400</v>
      </c>
      <c r="Y448" s="1" t="s">
        <v>401</v>
      </c>
      <c r="Z448" s="1" t="str">
        <f>TRIM(_xlfn.CONCAT(sales_data_sample[[#This Row],[CONTACTFIRSTNAME]],", ",sales_data_sample[[#This Row],[CONTACTLASTNAME]]))</f>
        <v>Jean, Fresnisre</v>
      </c>
      <c r="AA448" s="1" t="s">
        <v>59</v>
      </c>
    </row>
    <row r="449" spans="1:27" x14ac:dyDescent="0.25">
      <c r="A449" s="10">
        <v>10424</v>
      </c>
      <c r="B449" s="9">
        <v>54</v>
      </c>
      <c r="C449" s="9">
        <v>100</v>
      </c>
      <c r="D449" s="9">
        <f>PRODUCT(sales_data_sample[[#This Row],[QUANTITYORDERED]],sales_data_sample[[#This Row],[PRICEEACH]])</f>
        <v>5400</v>
      </c>
      <c r="E449" s="9">
        <f>IF(OR(sales_data_sample[[#This Row],[STATUS]]="Shipped",sales_data_sample[[#This Row],[STATUS]]="Resolved"),sales_data_sample[[#This Row],[SALES]],0)</f>
        <v>0</v>
      </c>
      <c r="F449" s="10">
        <v>5</v>
      </c>
      <c r="G449" s="12" t="s">
        <v>402</v>
      </c>
      <c r="H449" s="1" t="s">
        <v>403</v>
      </c>
      <c r="I449">
        <v>2</v>
      </c>
      <c r="J449">
        <v>5</v>
      </c>
      <c r="K449">
        <v>2005</v>
      </c>
      <c r="L449" s="1" t="s">
        <v>711</v>
      </c>
      <c r="M449">
        <v>116</v>
      </c>
      <c r="N449" s="1" t="s">
        <v>770</v>
      </c>
      <c r="O449" s="1" t="s">
        <v>230</v>
      </c>
      <c r="P449" s="1" t="s">
        <v>231</v>
      </c>
      <c r="Q449" s="1" t="s">
        <v>232</v>
      </c>
      <c r="R449" s="1" t="s">
        <v>32</v>
      </c>
      <c r="S449" s="1" t="s">
        <v>233</v>
      </c>
      <c r="T449" s="1" t="s">
        <v>32</v>
      </c>
      <c r="U449" s="1" t="s">
        <v>234</v>
      </c>
      <c r="V449" s="1" t="s">
        <v>235</v>
      </c>
      <c r="W449" s="1" t="s">
        <v>48</v>
      </c>
      <c r="X449" s="1" t="s">
        <v>236</v>
      </c>
      <c r="Y449" s="1" t="s">
        <v>237</v>
      </c>
      <c r="Z449" s="1" t="str">
        <f>TRIM(_xlfn.CONCAT(sales_data_sample[[#This Row],[CONTACTFIRSTNAME]],", ",sales_data_sample[[#This Row],[CONTACTLASTNAME]]))</f>
        <v>Diego, Freyre</v>
      </c>
      <c r="AA449" s="1" t="s">
        <v>199</v>
      </c>
    </row>
    <row r="450" spans="1:27" x14ac:dyDescent="0.25">
      <c r="A450" s="10">
        <v>10109</v>
      </c>
      <c r="B450" s="9">
        <v>26</v>
      </c>
      <c r="C450" s="9">
        <v>100</v>
      </c>
      <c r="D450" s="9">
        <f>PRODUCT(sales_data_sample[[#This Row],[QUANTITYORDERED]],sales_data_sample[[#This Row],[PRICEEACH]])</f>
        <v>2600</v>
      </c>
      <c r="E450" s="9">
        <f>IF(OR(sales_data_sample[[#This Row],[STATUS]]="Shipped",sales_data_sample[[#This Row],[STATUS]]="Resolved"),sales_data_sample[[#This Row],[SALES]],0)</f>
        <v>2600</v>
      </c>
      <c r="F450" s="10">
        <v>4</v>
      </c>
      <c r="G450" s="12" t="s">
        <v>771</v>
      </c>
      <c r="H450" s="1" t="s">
        <v>26</v>
      </c>
      <c r="I450">
        <v>1</v>
      </c>
      <c r="J450">
        <v>3</v>
      </c>
      <c r="K450">
        <v>2003</v>
      </c>
      <c r="L450" s="1" t="s">
        <v>239</v>
      </c>
      <c r="M450">
        <v>141</v>
      </c>
      <c r="N450" s="1" t="s">
        <v>772</v>
      </c>
      <c r="O450" s="1" t="s">
        <v>415</v>
      </c>
      <c r="P450" s="1" t="s">
        <v>416</v>
      </c>
      <c r="Q450" s="1" t="s">
        <v>417</v>
      </c>
      <c r="R450" s="1" t="s">
        <v>32</v>
      </c>
      <c r="S450" s="1" t="s">
        <v>286</v>
      </c>
      <c r="T450" s="1" t="s">
        <v>186</v>
      </c>
      <c r="U450" s="1" t="s">
        <v>287</v>
      </c>
      <c r="V450" s="1" t="s">
        <v>36</v>
      </c>
      <c r="W450" s="1" t="s">
        <v>37</v>
      </c>
      <c r="X450" s="1" t="s">
        <v>162</v>
      </c>
      <c r="Y450" s="1" t="s">
        <v>418</v>
      </c>
      <c r="Z450" s="1" t="str">
        <f>TRIM(_xlfn.CONCAT(sales_data_sample[[#This Row],[CONTACTFIRSTNAME]],", ",sales_data_sample[[#This Row],[CONTACTLASTNAME]]))</f>
        <v>Rosa, Hernandez</v>
      </c>
      <c r="AA450" s="1" t="s">
        <v>59</v>
      </c>
    </row>
    <row r="451" spans="1:27" x14ac:dyDescent="0.25">
      <c r="A451" s="10">
        <v>10122</v>
      </c>
      <c r="B451" s="9">
        <v>34</v>
      </c>
      <c r="C451" s="9">
        <v>100</v>
      </c>
      <c r="D451" s="9">
        <f>PRODUCT(sales_data_sample[[#This Row],[QUANTITYORDERED]],sales_data_sample[[#This Row],[PRICEEACH]])</f>
        <v>3400</v>
      </c>
      <c r="E451" s="9">
        <f>IF(OR(sales_data_sample[[#This Row],[STATUS]]="Shipped",sales_data_sample[[#This Row],[STATUS]]="Resolved"),sales_data_sample[[#This Row],[SALES]],0)</f>
        <v>3400</v>
      </c>
      <c r="F451" s="10">
        <v>2</v>
      </c>
      <c r="G451" s="12" t="s">
        <v>599</v>
      </c>
      <c r="H451" s="1" t="s">
        <v>26</v>
      </c>
      <c r="I451">
        <v>2</v>
      </c>
      <c r="J451">
        <v>5</v>
      </c>
      <c r="K451">
        <v>2003</v>
      </c>
      <c r="L451" s="1" t="s">
        <v>239</v>
      </c>
      <c r="M451">
        <v>141</v>
      </c>
      <c r="N451" s="1" t="s">
        <v>772</v>
      </c>
      <c r="O451" s="1" t="s">
        <v>600</v>
      </c>
      <c r="P451" s="1" t="s">
        <v>601</v>
      </c>
      <c r="Q451" s="1" t="s">
        <v>602</v>
      </c>
      <c r="R451" s="1" t="s">
        <v>32</v>
      </c>
      <c r="S451" s="1" t="s">
        <v>603</v>
      </c>
      <c r="T451" s="1" t="s">
        <v>32</v>
      </c>
      <c r="U451" s="1" t="s">
        <v>604</v>
      </c>
      <c r="V451" s="1" t="s">
        <v>47</v>
      </c>
      <c r="W451" s="1" t="s">
        <v>48</v>
      </c>
      <c r="X451" s="1" t="s">
        <v>605</v>
      </c>
      <c r="Y451" s="1" t="s">
        <v>606</v>
      </c>
      <c r="Z451" s="1" t="str">
        <f>TRIM(_xlfn.CONCAT(sales_data_sample[[#This Row],[CONTACTFIRSTNAME]],", ",sales_data_sample[[#This Row],[CONTACTLASTNAME]]))</f>
        <v>Laurence, Lebihan</v>
      </c>
      <c r="AA451" s="1" t="s">
        <v>59</v>
      </c>
    </row>
    <row r="452" spans="1:27" x14ac:dyDescent="0.25">
      <c r="A452" s="10">
        <v>10136</v>
      </c>
      <c r="B452" s="9">
        <v>25</v>
      </c>
      <c r="C452" s="9">
        <v>100</v>
      </c>
      <c r="D452" s="9">
        <f>PRODUCT(sales_data_sample[[#This Row],[QUANTITYORDERED]],sales_data_sample[[#This Row],[PRICEEACH]])</f>
        <v>2500</v>
      </c>
      <c r="E452" s="9">
        <f>IF(OR(sales_data_sample[[#This Row],[STATUS]]="Shipped",sales_data_sample[[#This Row],[STATUS]]="Resolved"),sales_data_sample[[#This Row],[SALES]],0)</f>
        <v>2500</v>
      </c>
      <c r="F452" s="10">
        <v>2</v>
      </c>
      <c r="G452" s="12" t="s">
        <v>773</v>
      </c>
      <c r="H452" s="1" t="s">
        <v>26</v>
      </c>
      <c r="I452">
        <v>3</v>
      </c>
      <c r="J452">
        <v>7</v>
      </c>
      <c r="K452">
        <v>2003</v>
      </c>
      <c r="L452" s="1" t="s">
        <v>239</v>
      </c>
      <c r="M452">
        <v>141</v>
      </c>
      <c r="N452" s="1" t="s">
        <v>772</v>
      </c>
      <c r="O452" s="1" t="s">
        <v>463</v>
      </c>
      <c r="P452" s="1" t="s">
        <v>464</v>
      </c>
      <c r="Q452" s="1" t="s">
        <v>465</v>
      </c>
      <c r="R452" s="1" t="s">
        <v>32</v>
      </c>
      <c r="S452" s="1" t="s">
        <v>466</v>
      </c>
      <c r="T452" s="1" t="s">
        <v>32</v>
      </c>
      <c r="U452" s="1" t="s">
        <v>467</v>
      </c>
      <c r="V452" s="1" t="s">
        <v>47</v>
      </c>
      <c r="W452" s="1" t="s">
        <v>48</v>
      </c>
      <c r="X452" s="1" t="s">
        <v>468</v>
      </c>
      <c r="Y452" s="1" t="s">
        <v>469</v>
      </c>
      <c r="Z452" s="1" t="str">
        <f>TRIM(_xlfn.CONCAT(sales_data_sample[[#This Row],[CONTACTFIRSTNAME]],", ",sales_data_sample[[#This Row],[CONTACTLASTNAME]]))</f>
        <v>Annette, Roulet</v>
      </c>
      <c r="AA452" s="1" t="s">
        <v>59</v>
      </c>
    </row>
    <row r="453" spans="1:27" x14ac:dyDescent="0.25">
      <c r="A453">
        <v>10148</v>
      </c>
      <c r="B453">
        <v>23</v>
      </c>
      <c r="C453">
        <v>100</v>
      </c>
      <c r="D453">
        <f>PRODUCT(sales_data_sample[[#This Row],[QUANTITYORDERED]],sales_data_sample[[#This Row],[PRICEEACH]])</f>
        <v>2300</v>
      </c>
      <c r="E453" s="9">
        <f>IF(OR(sales_data_sample[[#This Row],[STATUS]]="Shipped",sales_data_sample[[#This Row],[STATUS]]="Resolved"),sales_data_sample[[#This Row],[SALES]],0)</f>
        <v>2300</v>
      </c>
      <c r="F453">
        <v>13</v>
      </c>
      <c r="G453" s="12" t="s">
        <v>774</v>
      </c>
      <c r="H453" s="1" t="s">
        <v>26</v>
      </c>
      <c r="I453">
        <v>3</v>
      </c>
      <c r="J453">
        <v>9</v>
      </c>
      <c r="K453">
        <v>2003</v>
      </c>
      <c r="L453" s="1" t="s">
        <v>239</v>
      </c>
      <c r="M453">
        <v>141</v>
      </c>
      <c r="N453" s="1" t="s">
        <v>772</v>
      </c>
      <c r="O453" s="1" t="s">
        <v>385</v>
      </c>
      <c r="P453" s="1" t="s">
        <v>386</v>
      </c>
      <c r="Q453" s="1" t="s">
        <v>387</v>
      </c>
      <c r="R453" s="1" t="s">
        <v>388</v>
      </c>
      <c r="S453" s="1" t="s">
        <v>389</v>
      </c>
      <c r="T453" s="1" t="s">
        <v>206</v>
      </c>
      <c r="U453" s="1" t="s">
        <v>390</v>
      </c>
      <c r="V453" s="1" t="s">
        <v>120</v>
      </c>
      <c r="W453" s="1" t="s">
        <v>121</v>
      </c>
      <c r="X453" s="1" t="s">
        <v>391</v>
      </c>
      <c r="Y453" s="1" t="s">
        <v>392</v>
      </c>
      <c r="Z453" s="1" t="str">
        <f>TRIM(_xlfn.CONCAT(sales_data_sample[[#This Row],[CONTACTFIRSTNAME]],", ",sales_data_sample[[#This Row],[CONTACTLASTNAME]]))</f>
        <v>Anna, O'Hara</v>
      </c>
      <c r="AA453" s="1" t="s">
        <v>40</v>
      </c>
    </row>
    <row r="454" spans="1:27" x14ac:dyDescent="0.25">
      <c r="A454" s="10">
        <v>10161</v>
      </c>
      <c r="B454" s="9">
        <v>28</v>
      </c>
      <c r="C454" s="9">
        <v>100</v>
      </c>
      <c r="D454" s="9">
        <f>PRODUCT(sales_data_sample[[#This Row],[QUANTITYORDERED]],sales_data_sample[[#This Row],[PRICEEACH]])</f>
        <v>2800</v>
      </c>
      <c r="E454" s="9">
        <f>IF(OR(sales_data_sample[[#This Row],[STATUS]]="Shipped",sales_data_sample[[#This Row],[STATUS]]="Resolved"),sales_data_sample[[#This Row],[SALES]],0)</f>
        <v>2800</v>
      </c>
      <c r="F454" s="10">
        <v>12</v>
      </c>
      <c r="G454" s="12" t="s">
        <v>775</v>
      </c>
      <c r="H454" s="1" t="s">
        <v>26</v>
      </c>
      <c r="I454">
        <v>4</v>
      </c>
      <c r="J454">
        <v>10</v>
      </c>
      <c r="K454">
        <v>2003</v>
      </c>
      <c r="L454" s="1" t="s">
        <v>239</v>
      </c>
      <c r="M454">
        <v>141</v>
      </c>
      <c r="N454" s="1" t="s">
        <v>772</v>
      </c>
      <c r="O454" s="1" t="s">
        <v>701</v>
      </c>
      <c r="P454" s="1" t="s">
        <v>702</v>
      </c>
      <c r="Q454" s="1" t="s">
        <v>703</v>
      </c>
      <c r="R454" s="1" t="s">
        <v>32</v>
      </c>
      <c r="S454" s="1" t="s">
        <v>704</v>
      </c>
      <c r="T454" s="1" t="s">
        <v>32</v>
      </c>
      <c r="U454" s="1" t="s">
        <v>705</v>
      </c>
      <c r="V454" s="1" t="s">
        <v>442</v>
      </c>
      <c r="W454" s="1" t="s">
        <v>48</v>
      </c>
      <c r="X454" s="1" t="s">
        <v>706</v>
      </c>
      <c r="Y454" s="1" t="s">
        <v>707</v>
      </c>
      <c r="Z454" s="1" t="str">
        <f>TRIM(_xlfn.CONCAT(sales_data_sample[[#This Row],[CONTACTFIRSTNAME]],", ",sales_data_sample[[#This Row],[CONTACTLASTNAME]]))</f>
        <v>Palle, Ibsen</v>
      </c>
      <c r="AA454" s="1" t="s">
        <v>59</v>
      </c>
    </row>
    <row r="455" spans="1:27" x14ac:dyDescent="0.25">
      <c r="A455" s="10">
        <v>10171</v>
      </c>
      <c r="B455" s="9">
        <v>35</v>
      </c>
      <c r="C455" s="9">
        <v>100</v>
      </c>
      <c r="D455" s="9">
        <f>PRODUCT(sales_data_sample[[#This Row],[QUANTITYORDERED]],sales_data_sample[[#This Row],[PRICEEACH]])</f>
        <v>3500</v>
      </c>
      <c r="E455" s="9">
        <f>IF(OR(sales_data_sample[[#This Row],[STATUS]]="Shipped",sales_data_sample[[#This Row],[STATUS]]="Resolved"),sales_data_sample[[#This Row],[SALES]],0)</f>
        <v>3500</v>
      </c>
      <c r="F455" s="10">
        <v>2</v>
      </c>
      <c r="G455" s="12" t="s">
        <v>776</v>
      </c>
      <c r="H455" s="1" t="s">
        <v>26</v>
      </c>
      <c r="I455">
        <v>4</v>
      </c>
      <c r="J455">
        <v>11</v>
      </c>
      <c r="K455">
        <v>2003</v>
      </c>
      <c r="L455" s="1" t="s">
        <v>239</v>
      </c>
      <c r="M455">
        <v>141</v>
      </c>
      <c r="N455" s="1" t="s">
        <v>772</v>
      </c>
      <c r="O455" s="1" t="s">
        <v>394</v>
      </c>
      <c r="P455" s="1" t="s">
        <v>395</v>
      </c>
      <c r="Q455" s="1" t="s">
        <v>396</v>
      </c>
      <c r="R455" s="1" t="s">
        <v>32</v>
      </c>
      <c r="S455" s="1" t="s">
        <v>397</v>
      </c>
      <c r="T455" s="1" t="s">
        <v>398</v>
      </c>
      <c r="U455" s="1" t="s">
        <v>399</v>
      </c>
      <c r="V455" s="1" t="s">
        <v>305</v>
      </c>
      <c r="W455" s="1" t="s">
        <v>37</v>
      </c>
      <c r="X455" s="1" t="s">
        <v>400</v>
      </c>
      <c r="Y455" s="1" t="s">
        <v>401</v>
      </c>
      <c r="Z455" s="1" t="str">
        <f>TRIM(_xlfn.CONCAT(sales_data_sample[[#This Row],[CONTACTFIRSTNAME]],", ",sales_data_sample[[#This Row],[CONTACTLASTNAME]]))</f>
        <v>Jean, Fresnisre</v>
      </c>
      <c r="AA455" s="1" t="s">
        <v>59</v>
      </c>
    </row>
    <row r="456" spans="1:27" x14ac:dyDescent="0.25">
      <c r="A456" s="10">
        <v>10181</v>
      </c>
      <c r="B456" s="9">
        <v>44</v>
      </c>
      <c r="C456" s="9">
        <v>100</v>
      </c>
      <c r="D456" s="9">
        <f>PRODUCT(sales_data_sample[[#This Row],[QUANTITYORDERED]],sales_data_sample[[#This Row],[PRICEEACH]])</f>
        <v>4400</v>
      </c>
      <c r="E456" s="9">
        <f>IF(OR(sales_data_sample[[#This Row],[STATUS]]="Shipped",sales_data_sample[[#This Row],[STATUS]]="Resolved"),sales_data_sample[[#This Row],[SALES]],0)</f>
        <v>4400</v>
      </c>
      <c r="F456" s="10">
        <v>6</v>
      </c>
      <c r="G456" s="12" t="s">
        <v>610</v>
      </c>
      <c r="H456" s="1" t="s">
        <v>26</v>
      </c>
      <c r="I456">
        <v>4</v>
      </c>
      <c r="J456">
        <v>11</v>
      </c>
      <c r="K456">
        <v>2003</v>
      </c>
      <c r="L456" s="1" t="s">
        <v>239</v>
      </c>
      <c r="M456">
        <v>141</v>
      </c>
      <c r="N456" s="1" t="s">
        <v>772</v>
      </c>
      <c r="O456" s="1" t="s">
        <v>92</v>
      </c>
      <c r="P456" s="1" t="s">
        <v>93</v>
      </c>
      <c r="Q456" s="1" t="s">
        <v>94</v>
      </c>
      <c r="R456" s="1" t="s">
        <v>32</v>
      </c>
      <c r="S456" s="1" t="s">
        <v>95</v>
      </c>
      <c r="T456" s="1" t="s">
        <v>32</v>
      </c>
      <c r="U456" s="1" t="s">
        <v>96</v>
      </c>
      <c r="V456" s="1" t="s">
        <v>97</v>
      </c>
      <c r="W456" s="1" t="s">
        <v>48</v>
      </c>
      <c r="X456" s="1" t="s">
        <v>98</v>
      </c>
      <c r="Y456" s="1" t="s">
        <v>99</v>
      </c>
      <c r="Z456" s="1" t="str">
        <f>TRIM(_xlfn.CONCAT(sales_data_sample[[#This Row],[CONTACTFIRSTNAME]],", ",sales_data_sample[[#This Row],[CONTACTLASTNAME]]))</f>
        <v>Veysel, Oeztan</v>
      </c>
      <c r="AA456" s="1" t="s">
        <v>59</v>
      </c>
    </row>
    <row r="457" spans="1:27" x14ac:dyDescent="0.25">
      <c r="A457" s="10">
        <v>10192</v>
      </c>
      <c r="B457" s="9">
        <v>22</v>
      </c>
      <c r="C457" s="9">
        <v>100</v>
      </c>
      <c r="D457" s="9">
        <f>PRODUCT(sales_data_sample[[#This Row],[QUANTITYORDERED]],sales_data_sample[[#This Row],[PRICEEACH]])</f>
        <v>2200</v>
      </c>
      <c r="E457" s="9">
        <f>IF(OR(sales_data_sample[[#This Row],[STATUS]]="Shipped",sales_data_sample[[#This Row],[STATUS]]="Resolved"),sales_data_sample[[#This Row],[SALES]],0)</f>
        <v>2200</v>
      </c>
      <c r="F457" s="10">
        <v>11</v>
      </c>
      <c r="G457" s="12" t="s">
        <v>611</v>
      </c>
      <c r="H457" s="1" t="s">
        <v>26</v>
      </c>
      <c r="I457">
        <v>4</v>
      </c>
      <c r="J457">
        <v>11</v>
      </c>
      <c r="K457">
        <v>2003</v>
      </c>
      <c r="L457" s="1" t="s">
        <v>239</v>
      </c>
      <c r="M457">
        <v>141</v>
      </c>
      <c r="N457" s="1" t="s">
        <v>772</v>
      </c>
      <c r="O457" s="1" t="s">
        <v>368</v>
      </c>
      <c r="P457" s="1" t="s">
        <v>369</v>
      </c>
      <c r="Q457" s="1" t="s">
        <v>370</v>
      </c>
      <c r="R457" s="1" t="s">
        <v>32</v>
      </c>
      <c r="S457" s="1" t="s">
        <v>371</v>
      </c>
      <c r="T457" s="1" t="s">
        <v>372</v>
      </c>
      <c r="U457" s="1" t="s">
        <v>373</v>
      </c>
      <c r="V457" s="1" t="s">
        <v>36</v>
      </c>
      <c r="W457" s="1" t="s">
        <v>37</v>
      </c>
      <c r="X457" s="1" t="s">
        <v>67</v>
      </c>
      <c r="Y457" s="1" t="s">
        <v>366</v>
      </c>
      <c r="Z457" s="1" t="str">
        <f>TRIM(_xlfn.CONCAT(sales_data_sample[[#This Row],[CONTACTFIRSTNAME]],", ",sales_data_sample[[#This Row],[CONTACTLASTNAME]]))</f>
        <v>Valarie, Young</v>
      </c>
      <c r="AA457" s="1" t="s">
        <v>59</v>
      </c>
    </row>
    <row r="458" spans="1:27" x14ac:dyDescent="0.25">
      <c r="A458">
        <v>10204</v>
      </c>
      <c r="B458">
        <v>42</v>
      </c>
      <c r="C458">
        <v>100</v>
      </c>
      <c r="D458">
        <f>PRODUCT(sales_data_sample[[#This Row],[QUANTITYORDERED]],sales_data_sample[[#This Row],[PRICEEACH]])</f>
        <v>4200</v>
      </c>
      <c r="E458" s="9">
        <f>IF(OR(sales_data_sample[[#This Row],[STATUS]]="Shipped",sales_data_sample[[#This Row],[STATUS]]="Resolved"),sales_data_sample[[#This Row],[SALES]],0)</f>
        <v>4200</v>
      </c>
      <c r="F458">
        <v>17</v>
      </c>
      <c r="G458" s="12" t="s">
        <v>620</v>
      </c>
      <c r="H458" s="1" t="s">
        <v>26</v>
      </c>
      <c r="I458">
        <v>4</v>
      </c>
      <c r="J458">
        <v>12</v>
      </c>
      <c r="K458">
        <v>2003</v>
      </c>
      <c r="L458" s="1" t="s">
        <v>239</v>
      </c>
      <c r="M458">
        <v>141</v>
      </c>
      <c r="N458" s="1" t="s">
        <v>772</v>
      </c>
      <c r="O458" s="1" t="s">
        <v>667</v>
      </c>
      <c r="P458" s="1" t="s">
        <v>668</v>
      </c>
      <c r="Q458" s="1" t="s">
        <v>669</v>
      </c>
      <c r="R458" s="1" t="s">
        <v>670</v>
      </c>
      <c r="S458" s="1" t="s">
        <v>33</v>
      </c>
      <c r="T458" s="1" t="s">
        <v>34</v>
      </c>
      <c r="U458" s="1" t="s">
        <v>35</v>
      </c>
      <c r="V458" s="1" t="s">
        <v>36</v>
      </c>
      <c r="W458" s="1" t="s">
        <v>37</v>
      </c>
      <c r="X458" s="1" t="s">
        <v>67</v>
      </c>
      <c r="Y458" s="1" t="s">
        <v>671</v>
      </c>
      <c r="Z458" s="1" t="str">
        <f>TRIM(_xlfn.CONCAT(sales_data_sample[[#This Row],[CONTACTFIRSTNAME]],", ",sales_data_sample[[#This Row],[CONTACTLASTNAME]]))</f>
        <v>Jeff, Young</v>
      </c>
      <c r="AA458" s="1" t="s">
        <v>59</v>
      </c>
    </row>
    <row r="459" spans="1:27" x14ac:dyDescent="0.25">
      <c r="A459" s="10">
        <v>10212</v>
      </c>
      <c r="B459" s="9">
        <v>29</v>
      </c>
      <c r="C459" s="9">
        <v>100</v>
      </c>
      <c r="D459" s="9">
        <f>PRODUCT(sales_data_sample[[#This Row],[QUANTITYORDERED]],sales_data_sample[[#This Row],[PRICEEACH]])</f>
        <v>2900</v>
      </c>
      <c r="E459" s="9">
        <f>IF(OR(sales_data_sample[[#This Row],[STATUS]]="Shipped",sales_data_sample[[#This Row],[STATUS]]="Resolved"),sales_data_sample[[#This Row],[SALES]],0)</f>
        <v>2900</v>
      </c>
      <c r="F459" s="10">
        <v>10</v>
      </c>
      <c r="G459" s="12" t="s">
        <v>729</v>
      </c>
      <c r="H459" s="1" t="s">
        <v>26</v>
      </c>
      <c r="I459">
        <v>1</v>
      </c>
      <c r="J459">
        <v>1</v>
      </c>
      <c r="K459">
        <v>2004</v>
      </c>
      <c r="L459" s="1" t="s">
        <v>239</v>
      </c>
      <c r="M459">
        <v>141</v>
      </c>
      <c r="N459" s="1" t="s">
        <v>772</v>
      </c>
      <c r="O459" s="1" t="s">
        <v>230</v>
      </c>
      <c r="P459" s="1" t="s">
        <v>231</v>
      </c>
      <c r="Q459" s="1" t="s">
        <v>232</v>
      </c>
      <c r="R459" s="1" t="s">
        <v>32</v>
      </c>
      <c r="S459" s="1" t="s">
        <v>233</v>
      </c>
      <c r="T459" s="1" t="s">
        <v>32</v>
      </c>
      <c r="U459" s="1" t="s">
        <v>234</v>
      </c>
      <c r="V459" s="1" t="s">
        <v>235</v>
      </c>
      <c r="W459" s="1" t="s">
        <v>48</v>
      </c>
      <c r="X459" s="1" t="s">
        <v>236</v>
      </c>
      <c r="Y459" s="1" t="s">
        <v>237</v>
      </c>
      <c r="Z459" s="1" t="str">
        <f>TRIM(_xlfn.CONCAT(sales_data_sample[[#This Row],[CONTACTFIRSTNAME]],", ",sales_data_sample[[#This Row],[CONTACTLASTNAME]]))</f>
        <v>Diego, Freyre</v>
      </c>
      <c r="AA459" s="1" t="s">
        <v>59</v>
      </c>
    </row>
    <row r="460" spans="1:27" x14ac:dyDescent="0.25">
      <c r="A460" s="10">
        <v>10225</v>
      </c>
      <c r="B460" s="9">
        <v>32</v>
      </c>
      <c r="C460" s="9">
        <v>100</v>
      </c>
      <c r="D460" s="9">
        <f>PRODUCT(sales_data_sample[[#This Row],[QUANTITYORDERED]],sales_data_sample[[#This Row],[PRICEEACH]])</f>
        <v>3200</v>
      </c>
      <c r="E460" s="9">
        <f>IF(OR(sales_data_sample[[#This Row],[STATUS]]="Shipped",sales_data_sample[[#This Row],[STATUS]]="Resolved"),sales_data_sample[[#This Row],[SALES]],0)</f>
        <v>3200</v>
      </c>
      <c r="F460" s="10">
        <v>1</v>
      </c>
      <c r="G460" s="12" t="s">
        <v>621</v>
      </c>
      <c r="H460" s="1" t="s">
        <v>26</v>
      </c>
      <c r="I460">
        <v>1</v>
      </c>
      <c r="J460">
        <v>2</v>
      </c>
      <c r="K460">
        <v>2004</v>
      </c>
      <c r="L460" s="1" t="s">
        <v>239</v>
      </c>
      <c r="M460">
        <v>141</v>
      </c>
      <c r="N460" s="1" t="s">
        <v>772</v>
      </c>
      <c r="O460" s="1" t="s">
        <v>622</v>
      </c>
      <c r="P460" s="1" t="s">
        <v>623</v>
      </c>
      <c r="Q460" s="1" t="s">
        <v>624</v>
      </c>
      <c r="R460" s="1" t="s">
        <v>32</v>
      </c>
      <c r="S460" s="1" t="s">
        <v>625</v>
      </c>
      <c r="T460" s="1" t="s">
        <v>32</v>
      </c>
      <c r="U460" s="1" t="s">
        <v>626</v>
      </c>
      <c r="V460" s="1" t="s">
        <v>627</v>
      </c>
      <c r="W460" s="1" t="s">
        <v>48</v>
      </c>
      <c r="X460" s="1" t="s">
        <v>628</v>
      </c>
      <c r="Y460" s="1" t="s">
        <v>130</v>
      </c>
      <c r="Z460" s="1" t="str">
        <f>TRIM(_xlfn.CONCAT(sales_data_sample[[#This Row],[CONTACTFIRSTNAME]],", ",sales_data_sample[[#This Row],[CONTACTLASTNAME]]))</f>
        <v>Michael, Holz</v>
      </c>
      <c r="AA460" s="1" t="s">
        <v>59</v>
      </c>
    </row>
    <row r="461" spans="1:27" x14ac:dyDescent="0.25">
      <c r="A461" s="10">
        <v>10240</v>
      </c>
      <c r="B461" s="9">
        <v>41</v>
      </c>
      <c r="C461" s="9">
        <v>100</v>
      </c>
      <c r="D461" s="9">
        <f>PRODUCT(sales_data_sample[[#This Row],[QUANTITYORDERED]],sales_data_sample[[#This Row],[PRICEEACH]])</f>
        <v>4100</v>
      </c>
      <c r="E461" s="9">
        <f>IF(OR(sales_data_sample[[#This Row],[STATUS]]="Shipped",sales_data_sample[[#This Row],[STATUS]]="Resolved"),sales_data_sample[[#This Row],[SALES]],0)</f>
        <v>4100</v>
      </c>
      <c r="F461" s="10">
        <v>3</v>
      </c>
      <c r="G461" s="12" t="s">
        <v>777</v>
      </c>
      <c r="H461" s="1" t="s">
        <v>26</v>
      </c>
      <c r="I461">
        <v>2</v>
      </c>
      <c r="J461">
        <v>4</v>
      </c>
      <c r="K461">
        <v>2004</v>
      </c>
      <c r="L461" s="1" t="s">
        <v>239</v>
      </c>
      <c r="M461">
        <v>141</v>
      </c>
      <c r="N461" s="1" t="s">
        <v>772</v>
      </c>
      <c r="O461" s="1" t="s">
        <v>407</v>
      </c>
      <c r="P461" s="1" t="s">
        <v>408</v>
      </c>
      <c r="Q461" s="1" t="s">
        <v>409</v>
      </c>
      <c r="R461" s="1" t="s">
        <v>32</v>
      </c>
      <c r="S461" s="1" t="s">
        <v>410</v>
      </c>
      <c r="T461" s="1" t="s">
        <v>410</v>
      </c>
      <c r="U461" s="1" t="s">
        <v>411</v>
      </c>
      <c r="V461" s="1" t="s">
        <v>264</v>
      </c>
      <c r="W461" s="1" t="s">
        <v>264</v>
      </c>
      <c r="X461" s="1" t="s">
        <v>412</v>
      </c>
      <c r="Y461" s="1" t="s">
        <v>413</v>
      </c>
      <c r="Z461" s="1" t="str">
        <f>TRIM(_xlfn.CONCAT(sales_data_sample[[#This Row],[CONTACTFIRSTNAME]],", ",sales_data_sample[[#This Row],[CONTACTLASTNAME]]))</f>
        <v>Mory, Kentary</v>
      </c>
      <c r="AA461" s="1" t="s">
        <v>59</v>
      </c>
    </row>
    <row r="462" spans="1:27" x14ac:dyDescent="0.25">
      <c r="A462" s="10">
        <v>10253</v>
      </c>
      <c r="B462" s="9">
        <v>26</v>
      </c>
      <c r="C462" s="9">
        <v>100</v>
      </c>
      <c r="D462" s="9">
        <f>PRODUCT(sales_data_sample[[#This Row],[QUANTITYORDERED]],sales_data_sample[[#This Row],[PRICEEACH]])</f>
        <v>2600</v>
      </c>
      <c r="E462" s="9">
        <f>IF(OR(sales_data_sample[[#This Row],[STATUS]]="Shipped",sales_data_sample[[#This Row],[STATUS]]="Resolved"),sales_data_sample[[#This Row],[SALES]],0)</f>
        <v>0</v>
      </c>
      <c r="F462" s="10">
        <v>5</v>
      </c>
      <c r="G462" s="12" t="s">
        <v>630</v>
      </c>
      <c r="H462" s="1" t="s">
        <v>461</v>
      </c>
      <c r="I462">
        <v>2</v>
      </c>
      <c r="J462">
        <v>6</v>
      </c>
      <c r="K462">
        <v>2004</v>
      </c>
      <c r="L462" s="1" t="s">
        <v>239</v>
      </c>
      <c r="M462">
        <v>141</v>
      </c>
      <c r="N462" s="1" t="s">
        <v>772</v>
      </c>
      <c r="O462" s="1" t="s">
        <v>220</v>
      </c>
      <c r="P462" s="1" t="s">
        <v>221</v>
      </c>
      <c r="Q462" s="1" t="s">
        <v>222</v>
      </c>
      <c r="R462" s="1" t="s">
        <v>32</v>
      </c>
      <c r="S462" s="1" t="s">
        <v>223</v>
      </c>
      <c r="T462" s="1" t="s">
        <v>32</v>
      </c>
      <c r="U462" s="1" t="s">
        <v>224</v>
      </c>
      <c r="V462" s="1" t="s">
        <v>225</v>
      </c>
      <c r="W462" s="1" t="s">
        <v>48</v>
      </c>
      <c r="X462" s="1" t="s">
        <v>226</v>
      </c>
      <c r="Y462" s="1" t="s">
        <v>227</v>
      </c>
      <c r="Z462" s="1" t="str">
        <f>TRIM(_xlfn.CONCAT(sales_data_sample[[#This Row],[CONTACTFIRSTNAME]],", ",sales_data_sample[[#This Row],[CONTACTLASTNAME]]))</f>
        <v>Elizabeth, Devon</v>
      </c>
      <c r="AA462" s="1" t="s">
        <v>59</v>
      </c>
    </row>
    <row r="463" spans="1:27" x14ac:dyDescent="0.25">
      <c r="A463" s="10">
        <v>10266</v>
      </c>
      <c r="B463" s="9">
        <v>21</v>
      </c>
      <c r="C463" s="9">
        <v>100</v>
      </c>
      <c r="D463" s="9">
        <f>PRODUCT(sales_data_sample[[#This Row],[QUANTITYORDERED]],sales_data_sample[[#This Row],[PRICEEACH]])</f>
        <v>2100</v>
      </c>
      <c r="E463" s="9">
        <f>IF(OR(sales_data_sample[[#This Row],[STATUS]]="Shipped",sales_data_sample[[#This Row],[STATUS]]="Resolved"),sales_data_sample[[#This Row],[SALES]],0)</f>
        <v>2100</v>
      </c>
      <c r="F463" s="10">
        <v>6</v>
      </c>
      <c r="G463" s="12" t="s">
        <v>631</v>
      </c>
      <c r="H463" s="1" t="s">
        <v>26</v>
      </c>
      <c r="I463">
        <v>3</v>
      </c>
      <c r="J463">
        <v>7</v>
      </c>
      <c r="K463">
        <v>2004</v>
      </c>
      <c r="L463" s="1" t="s">
        <v>239</v>
      </c>
      <c r="M463">
        <v>141</v>
      </c>
      <c r="N463" s="1" t="s">
        <v>772</v>
      </c>
      <c r="O463" s="1" t="s">
        <v>632</v>
      </c>
      <c r="P463" s="1" t="s">
        <v>633</v>
      </c>
      <c r="Q463" s="1" t="s">
        <v>634</v>
      </c>
      <c r="R463" s="1" t="s">
        <v>32</v>
      </c>
      <c r="S463" s="1" t="s">
        <v>635</v>
      </c>
      <c r="T463" s="1" t="s">
        <v>32</v>
      </c>
      <c r="U463" s="1" t="s">
        <v>636</v>
      </c>
      <c r="V463" s="1" t="s">
        <v>343</v>
      </c>
      <c r="W463" s="1" t="s">
        <v>48</v>
      </c>
      <c r="X463" s="1" t="s">
        <v>637</v>
      </c>
      <c r="Y463" s="1" t="s">
        <v>638</v>
      </c>
      <c r="Z463" s="1" t="str">
        <f>TRIM(_xlfn.CONCAT(sales_data_sample[[#This Row],[CONTACTFIRSTNAME]],", ",sales_data_sample[[#This Row],[CONTACTLASTNAME]]))</f>
        <v>Maurizio, Moroni</v>
      </c>
      <c r="AA463" s="1" t="s">
        <v>40</v>
      </c>
    </row>
    <row r="464" spans="1:27" x14ac:dyDescent="0.25">
      <c r="A464" s="10">
        <v>10278</v>
      </c>
      <c r="B464" s="9">
        <v>34</v>
      </c>
      <c r="C464" s="9">
        <v>100</v>
      </c>
      <c r="D464" s="9">
        <f>PRODUCT(sales_data_sample[[#This Row],[QUANTITYORDERED]],sales_data_sample[[#This Row],[PRICEEACH]])</f>
        <v>3400</v>
      </c>
      <c r="E464" s="9">
        <f>IF(OR(sales_data_sample[[#This Row],[STATUS]]="Shipped",sales_data_sample[[#This Row],[STATUS]]="Resolved"),sales_data_sample[[#This Row],[SALES]],0)</f>
        <v>3400</v>
      </c>
      <c r="F464" s="10">
        <v>6</v>
      </c>
      <c r="G464" s="12" t="s">
        <v>778</v>
      </c>
      <c r="H464" s="1" t="s">
        <v>26</v>
      </c>
      <c r="I464">
        <v>3</v>
      </c>
      <c r="J464">
        <v>8</v>
      </c>
      <c r="K464">
        <v>2004</v>
      </c>
      <c r="L464" s="1" t="s">
        <v>239</v>
      </c>
      <c r="M464">
        <v>141</v>
      </c>
      <c r="N464" s="1" t="s">
        <v>772</v>
      </c>
      <c r="O464" s="1" t="s">
        <v>779</v>
      </c>
      <c r="P464" s="1" t="s">
        <v>780</v>
      </c>
      <c r="Q464" s="1" t="s">
        <v>781</v>
      </c>
      <c r="R464" s="1" t="s">
        <v>32</v>
      </c>
      <c r="S464" s="1" t="s">
        <v>782</v>
      </c>
      <c r="T464" s="1" t="s">
        <v>783</v>
      </c>
      <c r="U464" s="1" t="s">
        <v>784</v>
      </c>
      <c r="V464" s="1" t="s">
        <v>36</v>
      </c>
      <c r="W464" s="1" t="s">
        <v>37</v>
      </c>
      <c r="X464" s="1" t="s">
        <v>146</v>
      </c>
      <c r="Y464" s="1" t="s">
        <v>551</v>
      </c>
      <c r="Z464" s="1" t="str">
        <f>TRIM(_xlfn.CONCAT(sales_data_sample[[#This Row],[CONTACTFIRSTNAME]],", ",sales_data_sample[[#This Row],[CONTACTLASTNAME]]))</f>
        <v>Sue, King</v>
      </c>
      <c r="AA464" s="1" t="s">
        <v>59</v>
      </c>
    </row>
    <row r="465" spans="1:27" x14ac:dyDescent="0.25">
      <c r="A465" s="10">
        <v>10287</v>
      </c>
      <c r="B465" s="9">
        <v>41</v>
      </c>
      <c r="C465" s="9">
        <v>100</v>
      </c>
      <c r="D465" s="9">
        <f>PRODUCT(sales_data_sample[[#This Row],[QUANTITYORDERED]],sales_data_sample[[#This Row],[PRICEEACH]])</f>
        <v>4100</v>
      </c>
      <c r="E465" s="9">
        <f>IF(OR(sales_data_sample[[#This Row],[STATUS]]="Shipped",sales_data_sample[[#This Row],[STATUS]]="Resolved"),sales_data_sample[[#This Row],[SALES]],0)</f>
        <v>4100</v>
      </c>
      <c r="F465" s="10">
        <v>4</v>
      </c>
      <c r="G465" s="12" t="s">
        <v>645</v>
      </c>
      <c r="H465" s="1" t="s">
        <v>26</v>
      </c>
      <c r="I465">
        <v>3</v>
      </c>
      <c r="J465">
        <v>8</v>
      </c>
      <c r="K465">
        <v>2004</v>
      </c>
      <c r="L465" s="1" t="s">
        <v>239</v>
      </c>
      <c r="M465">
        <v>141</v>
      </c>
      <c r="N465" s="1" t="s">
        <v>772</v>
      </c>
      <c r="O465" s="1" t="s">
        <v>622</v>
      </c>
      <c r="P465" s="1" t="s">
        <v>623</v>
      </c>
      <c r="Q465" s="1" t="s">
        <v>624</v>
      </c>
      <c r="R465" s="1" t="s">
        <v>32</v>
      </c>
      <c r="S465" s="1" t="s">
        <v>625</v>
      </c>
      <c r="T465" s="1" t="s">
        <v>32</v>
      </c>
      <c r="U465" s="1" t="s">
        <v>626</v>
      </c>
      <c r="V465" s="1" t="s">
        <v>627</v>
      </c>
      <c r="W465" s="1" t="s">
        <v>48</v>
      </c>
      <c r="X465" s="1" t="s">
        <v>628</v>
      </c>
      <c r="Y465" s="1" t="s">
        <v>130</v>
      </c>
      <c r="Z465" s="1" t="str">
        <f>TRIM(_xlfn.CONCAT(sales_data_sample[[#This Row],[CONTACTFIRSTNAME]],", ",sales_data_sample[[#This Row],[CONTACTLASTNAME]]))</f>
        <v>Michael, Holz</v>
      </c>
      <c r="AA465" s="1" t="s">
        <v>59</v>
      </c>
    </row>
    <row r="466" spans="1:27" x14ac:dyDescent="0.25">
      <c r="A466" s="10">
        <v>10301</v>
      </c>
      <c r="B466" s="9">
        <v>37</v>
      </c>
      <c r="C466" s="9">
        <v>100</v>
      </c>
      <c r="D466" s="9">
        <f>PRODUCT(sales_data_sample[[#This Row],[QUANTITYORDERED]],sales_data_sample[[#This Row],[PRICEEACH]])</f>
        <v>3700</v>
      </c>
      <c r="E466" s="9">
        <f>IF(OR(sales_data_sample[[#This Row],[STATUS]]="Shipped",sales_data_sample[[#This Row],[STATUS]]="Resolved"),sales_data_sample[[#This Row],[SALES]],0)</f>
        <v>3700</v>
      </c>
      <c r="F466" s="10">
        <v>8</v>
      </c>
      <c r="G466" s="12" t="s">
        <v>785</v>
      </c>
      <c r="H466" s="1" t="s">
        <v>26</v>
      </c>
      <c r="I466">
        <v>4</v>
      </c>
      <c r="J466">
        <v>10</v>
      </c>
      <c r="K466">
        <v>2003</v>
      </c>
      <c r="L466" s="1" t="s">
        <v>239</v>
      </c>
      <c r="M466">
        <v>141</v>
      </c>
      <c r="N466" s="1" t="s">
        <v>772</v>
      </c>
      <c r="O466" s="1" t="s">
        <v>786</v>
      </c>
      <c r="P466" s="1" t="s">
        <v>787</v>
      </c>
      <c r="Q466" s="1" t="s">
        <v>788</v>
      </c>
      <c r="R466" s="1" t="s">
        <v>32</v>
      </c>
      <c r="S466" s="1" t="s">
        <v>789</v>
      </c>
      <c r="T466" s="1" t="s">
        <v>32</v>
      </c>
      <c r="U466" s="1" t="s">
        <v>790</v>
      </c>
      <c r="V466" s="1" t="s">
        <v>97</v>
      </c>
      <c r="W466" s="1" t="s">
        <v>48</v>
      </c>
      <c r="X466" s="1" t="s">
        <v>791</v>
      </c>
      <c r="Y466" s="1" t="s">
        <v>792</v>
      </c>
      <c r="Z466" s="1" t="str">
        <f>TRIM(_xlfn.CONCAT(sales_data_sample[[#This Row],[CONTACTFIRSTNAME]],", ",sales_data_sample[[#This Row],[CONTACTLASTNAME]]))</f>
        <v>Jan, Klaeboe</v>
      </c>
      <c r="AA466" s="1" t="s">
        <v>59</v>
      </c>
    </row>
    <row r="467" spans="1:27" x14ac:dyDescent="0.25">
      <c r="A467" s="10">
        <v>10310</v>
      </c>
      <c r="B467" s="9">
        <v>37</v>
      </c>
      <c r="C467" s="9">
        <v>100</v>
      </c>
      <c r="D467" s="9">
        <f>PRODUCT(sales_data_sample[[#This Row],[QUANTITYORDERED]],sales_data_sample[[#This Row],[PRICEEACH]])</f>
        <v>3700</v>
      </c>
      <c r="E467" s="9">
        <f>IF(OR(sales_data_sample[[#This Row],[STATUS]]="Shipped",sales_data_sample[[#This Row],[STATUS]]="Resolved"),sales_data_sample[[#This Row],[SALES]],0)</f>
        <v>3700</v>
      </c>
      <c r="F467" s="10">
        <v>2</v>
      </c>
      <c r="G467" s="12" t="s">
        <v>653</v>
      </c>
      <c r="H467" s="1" t="s">
        <v>26</v>
      </c>
      <c r="I467">
        <v>4</v>
      </c>
      <c r="J467">
        <v>10</v>
      </c>
      <c r="K467">
        <v>2004</v>
      </c>
      <c r="L467" s="1" t="s">
        <v>239</v>
      </c>
      <c r="M467">
        <v>141</v>
      </c>
      <c r="N467" s="1" t="s">
        <v>772</v>
      </c>
      <c r="O467" s="1" t="s">
        <v>612</v>
      </c>
      <c r="P467" s="1" t="s">
        <v>613</v>
      </c>
      <c r="Q467" s="1" t="s">
        <v>614</v>
      </c>
      <c r="R467" s="1" t="s">
        <v>32</v>
      </c>
      <c r="S467" s="1" t="s">
        <v>615</v>
      </c>
      <c r="T467" s="1" t="s">
        <v>32</v>
      </c>
      <c r="U467" s="1" t="s">
        <v>616</v>
      </c>
      <c r="V467" s="1" t="s">
        <v>617</v>
      </c>
      <c r="W467" s="1" t="s">
        <v>48</v>
      </c>
      <c r="X467" s="1" t="s">
        <v>618</v>
      </c>
      <c r="Y467" s="1" t="s">
        <v>619</v>
      </c>
      <c r="Z467" s="1" t="str">
        <f>TRIM(_xlfn.CONCAT(sales_data_sample[[#This Row],[CONTACTFIRSTNAME]],", ",sales_data_sample[[#This Row],[CONTACTLASTNAME]]))</f>
        <v>Henriette, Pfalzheim</v>
      </c>
      <c r="AA467" s="1" t="s">
        <v>59</v>
      </c>
    </row>
    <row r="468" spans="1:27" x14ac:dyDescent="0.25">
      <c r="A468" s="10">
        <v>10321</v>
      </c>
      <c r="B468" s="9">
        <v>41</v>
      </c>
      <c r="C468" s="9">
        <v>100</v>
      </c>
      <c r="D468" s="9">
        <f>PRODUCT(sales_data_sample[[#This Row],[QUANTITYORDERED]],sales_data_sample[[#This Row],[PRICEEACH]])</f>
        <v>4100</v>
      </c>
      <c r="E468" s="9">
        <f>IF(OR(sales_data_sample[[#This Row],[STATUS]]="Shipped",sales_data_sample[[#This Row],[STATUS]]="Resolved"),sales_data_sample[[#This Row],[SALES]],0)</f>
        <v>4100</v>
      </c>
      <c r="F468" s="10">
        <v>10</v>
      </c>
      <c r="G468" s="12" t="s">
        <v>367</v>
      </c>
      <c r="H468" s="1" t="s">
        <v>26</v>
      </c>
      <c r="I468">
        <v>4</v>
      </c>
      <c r="J468">
        <v>11</v>
      </c>
      <c r="K468">
        <v>2004</v>
      </c>
      <c r="L468" s="1" t="s">
        <v>239</v>
      </c>
      <c r="M468">
        <v>141</v>
      </c>
      <c r="N468" s="1" t="s">
        <v>772</v>
      </c>
      <c r="O468" s="1" t="s">
        <v>212</v>
      </c>
      <c r="P468" s="1" t="s">
        <v>213</v>
      </c>
      <c r="Q468" s="1" t="s">
        <v>214</v>
      </c>
      <c r="R468" s="1" t="s">
        <v>32</v>
      </c>
      <c r="S468" s="1" t="s">
        <v>215</v>
      </c>
      <c r="T468" s="1" t="s">
        <v>160</v>
      </c>
      <c r="U468" s="1" t="s">
        <v>216</v>
      </c>
      <c r="V468" s="1" t="s">
        <v>36</v>
      </c>
      <c r="W468" s="1" t="s">
        <v>37</v>
      </c>
      <c r="X468" s="1" t="s">
        <v>217</v>
      </c>
      <c r="Y468" s="1" t="s">
        <v>218</v>
      </c>
      <c r="Z468" s="1" t="str">
        <f>TRIM(_xlfn.CONCAT(sales_data_sample[[#This Row],[CONTACTFIRSTNAME]],", ",sales_data_sample[[#This Row],[CONTACTLASTNAME]]))</f>
        <v>Violeta, Benitez</v>
      </c>
      <c r="AA468" s="1" t="s">
        <v>59</v>
      </c>
    </row>
    <row r="469" spans="1:27" x14ac:dyDescent="0.25">
      <c r="A469" s="10">
        <v>10331</v>
      </c>
      <c r="B469" s="9">
        <v>46</v>
      </c>
      <c r="C469" s="9">
        <v>100</v>
      </c>
      <c r="D469" s="9">
        <f>PRODUCT(sales_data_sample[[#This Row],[QUANTITYORDERED]],sales_data_sample[[#This Row],[PRICEEACH]])</f>
        <v>4600</v>
      </c>
      <c r="E469" s="9">
        <f>IF(OR(sales_data_sample[[#This Row],[STATUS]]="Shipped",sales_data_sample[[#This Row],[STATUS]]="Resolved"),sales_data_sample[[#This Row],[SALES]],0)</f>
        <v>4600</v>
      </c>
      <c r="F469" s="10">
        <v>6</v>
      </c>
      <c r="G469" s="12" t="s">
        <v>793</v>
      </c>
      <c r="H469" s="1" t="s">
        <v>26</v>
      </c>
      <c r="I469">
        <v>4</v>
      </c>
      <c r="J469">
        <v>11</v>
      </c>
      <c r="K469">
        <v>2004</v>
      </c>
      <c r="L469" s="1" t="s">
        <v>239</v>
      </c>
      <c r="M469">
        <v>141</v>
      </c>
      <c r="N469" s="1" t="s">
        <v>772</v>
      </c>
      <c r="O469" s="1" t="s">
        <v>415</v>
      </c>
      <c r="P469" s="1" t="s">
        <v>416</v>
      </c>
      <c r="Q469" s="1" t="s">
        <v>417</v>
      </c>
      <c r="R469" s="1" t="s">
        <v>32</v>
      </c>
      <c r="S469" s="1" t="s">
        <v>286</v>
      </c>
      <c r="T469" s="1" t="s">
        <v>186</v>
      </c>
      <c r="U469" s="1" t="s">
        <v>287</v>
      </c>
      <c r="V469" s="1" t="s">
        <v>36</v>
      </c>
      <c r="W469" s="1" t="s">
        <v>37</v>
      </c>
      <c r="X469" s="1" t="s">
        <v>162</v>
      </c>
      <c r="Y469" s="1" t="s">
        <v>418</v>
      </c>
      <c r="Z469" s="1" t="str">
        <f>TRIM(_xlfn.CONCAT(sales_data_sample[[#This Row],[CONTACTFIRSTNAME]],", ",sales_data_sample[[#This Row],[CONTACTLASTNAME]]))</f>
        <v>Rosa, Hernandez</v>
      </c>
      <c r="AA469" s="1" t="s">
        <v>59</v>
      </c>
    </row>
    <row r="470" spans="1:27" x14ac:dyDescent="0.25">
      <c r="A470">
        <v>10342</v>
      </c>
      <c r="B470">
        <v>40</v>
      </c>
      <c r="C470">
        <v>100</v>
      </c>
      <c r="D470">
        <f>PRODUCT(sales_data_sample[[#This Row],[QUANTITYORDERED]],sales_data_sample[[#This Row],[PRICEEACH]])</f>
        <v>4000</v>
      </c>
      <c r="E470" s="9">
        <f>IF(OR(sales_data_sample[[#This Row],[STATUS]]="Shipped",sales_data_sample[[#This Row],[STATUS]]="Resolved"),sales_data_sample[[#This Row],[SALES]],0)</f>
        <v>4000</v>
      </c>
      <c r="F470">
        <v>2</v>
      </c>
      <c r="G470" s="12" t="s">
        <v>190</v>
      </c>
      <c r="H470" s="1" t="s">
        <v>26</v>
      </c>
      <c r="I470">
        <v>4</v>
      </c>
      <c r="J470">
        <v>11</v>
      </c>
      <c r="K470">
        <v>2004</v>
      </c>
      <c r="L470" s="1" t="s">
        <v>239</v>
      </c>
      <c r="M470">
        <v>141</v>
      </c>
      <c r="N470" s="1" t="s">
        <v>772</v>
      </c>
      <c r="O470" s="1" t="s">
        <v>113</v>
      </c>
      <c r="P470" s="1" t="s">
        <v>114</v>
      </c>
      <c r="Q470" s="1" t="s">
        <v>115</v>
      </c>
      <c r="R470" s="1" t="s">
        <v>116</v>
      </c>
      <c r="S470" s="1" t="s">
        <v>117</v>
      </c>
      <c r="T470" s="1" t="s">
        <v>118</v>
      </c>
      <c r="U470" s="1" t="s">
        <v>119</v>
      </c>
      <c r="V470" s="1" t="s">
        <v>120</v>
      </c>
      <c r="W470" s="1" t="s">
        <v>121</v>
      </c>
      <c r="X470" s="1" t="s">
        <v>122</v>
      </c>
      <c r="Y470" s="1" t="s">
        <v>123</v>
      </c>
      <c r="Z470" s="1" t="str">
        <f>TRIM(_xlfn.CONCAT(sales_data_sample[[#This Row],[CONTACTFIRSTNAME]],", ",sales_data_sample[[#This Row],[CONTACTLASTNAME]]))</f>
        <v>Peter, Ferguson</v>
      </c>
      <c r="AA470" s="1" t="s">
        <v>59</v>
      </c>
    </row>
    <row r="471" spans="1:27" x14ac:dyDescent="0.25">
      <c r="A471" s="10">
        <v>10356</v>
      </c>
      <c r="B471" s="9">
        <v>43</v>
      </c>
      <c r="C471" s="9">
        <v>976</v>
      </c>
      <c r="D471" s="9">
        <f>PRODUCT(sales_data_sample[[#This Row],[QUANTITYORDERED]],sales_data_sample[[#This Row],[PRICEEACH]])</f>
        <v>41968</v>
      </c>
      <c r="E471" s="9">
        <f>IF(OR(sales_data_sample[[#This Row],[STATUS]]="Shipped",sales_data_sample[[#This Row],[STATUS]]="Resolved"),sales_data_sample[[#This Row],[SALES]],0)</f>
        <v>41968</v>
      </c>
      <c r="F471" s="10">
        <v>8</v>
      </c>
      <c r="G471" s="12" t="s">
        <v>794</v>
      </c>
      <c r="H471" s="1" t="s">
        <v>26</v>
      </c>
      <c r="I471">
        <v>4</v>
      </c>
      <c r="J471">
        <v>12</v>
      </c>
      <c r="K471">
        <v>2004</v>
      </c>
      <c r="L471" s="1" t="s">
        <v>239</v>
      </c>
      <c r="M471">
        <v>141</v>
      </c>
      <c r="N471" s="1" t="s">
        <v>772</v>
      </c>
      <c r="O471" s="1" t="s">
        <v>52</v>
      </c>
      <c r="P471" s="1" t="s">
        <v>53</v>
      </c>
      <c r="Q471" s="1" t="s">
        <v>54</v>
      </c>
      <c r="R471" s="1" t="s">
        <v>32</v>
      </c>
      <c r="S471" s="1" t="s">
        <v>55</v>
      </c>
      <c r="T471" s="1" t="s">
        <v>32</v>
      </c>
      <c r="U471" s="1" t="s">
        <v>56</v>
      </c>
      <c r="V471" s="1" t="s">
        <v>47</v>
      </c>
      <c r="W471" s="1" t="s">
        <v>48</v>
      </c>
      <c r="X471" s="1" t="s">
        <v>57</v>
      </c>
      <c r="Y471" s="1" t="s">
        <v>58</v>
      </c>
      <c r="Z471" s="1" t="str">
        <f>TRIM(_xlfn.CONCAT(sales_data_sample[[#This Row],[CONTACTFIRSTNAME]],", ",sales_data_sample[[#This Row],[CONTACTLASTNAME]]))</f>
        <v>Daniel, Da Cunha</v>
      </c>
      <c r="AA471" s="1" t="s">
        <v>59</v>
      </c>
    </row>
    <row r="472" spans="1:27" x14ac:dyDescent="0.25">
      <c r="A472" s="10">
        <v>10365</v>
      </c>
      <c r="B472" s="9">
        <v>30</v>
      </c>
      <c r="C472" s="9">
        <v>8706</v>
      </c>
      <c r="D472" s="9">
        <f>PRODUCT(sales_data_sample[[#This Row],[QUANTITYORDERED]],sales_data_sample[[#This Row],[PRICEEACH]])</f>
        <v>261180</v>
      </c>
      <c r="E472" s="9">
        <f>IF(OR(sales_data_sample[[#This Row],[STATUS]]="Shipped",sales_data_sample[[#This Row],[STATUS]]="Resolved"),sales_data_sample[[#This Row],[SALES]],0)</f>
        <v>261180</v>
      </c>
      <c r="F472" s="10">
        <v>1</v>
      </c>
      <c r="G472" s="12" t="s">
        <v>795</v>
      </c>
      <c r="H472" s="1" t="s">
        <v>26</v>
      </c>
      <c r="I472">
        <v>1</v>
      </c>
      <c r="J472">
        <v>1</v>
      </c>
      <c r="K472">
        <v>2005</v>
      </c>
      <c r="L472" s="1" t="s">
        <v>239</v>
      </c>
      <c r="M472">
        <v>141</v>
      </c>
      <c r="N472" s="1" t="s">
        <v>772</v>
      </c>
      <c r="O472" s="1" t="s">
        <v>454</v>
      </c>
      <c r="P472" s="1" t="s">
        <v>455</v>
      </c>
      <c r="Q472" s="1" t="s">
        <v>456</v>
      </c>
      <c r="R472" s="1" t="s">
        <v>32</v>
      </c>
      <c r="S472" s="1" t="s">
        <v>215</v>
      </c>
      <c r="T472" s="1" t="s">
        <v>160</v>
      </c>
      <c r="U472" s="1" t="s">
        <v>216</v>
      </c>
      <c r="V472" s="1" t="s">
        <v>36</v>
      </c>
      <c r="W472" s="1" t="s">
        <v>37</v>
      </c>
      <c r="X472" s="1" t="s">
        <v>457</v>
      </c>
      <c r="Y472" s="1" t="s">
        <v>458</v>
      </c>
      <c r="Z472" s="1" t="str">
        <f>TRIM(_xlfn.CONCAT(sales_data_sample[[#This Row],[CONTACTFIRSTNAME]],", ",sales_data_sample[[#This Row],[CONTACTLASTNAME]]))</f>
        <v>Wing C, Tam</v>
      </c>
      <c r="AA472" s="1" t="s">
        <v>40</v>
      </c>
    </row>
    <row r="473" spans="1:27" x14ac:dyDescent="0.25">
      <c r="A473" s="10">
        <v>10377</v>
      </c>
      <c r="B473" s="9">
        <v>35</v>
      </c>
      <c r="C473" s="9">
        <v>100</v>
      </c>
      <c r="D473" s="9">
        <f>PRODUCT(sales_data_sample[[#This Row],[QUANTITYORDERED]],sales_data_sample[[#This Row],[PRICEEACH]])</f>
        <v>3500</v>
      </c>
      <c r="E473" s="9">
        <f>IF(OR(sales_data_sample[[#This Row],[STATUS]]="Shipped",sales_data_sample[[#This Row],[STATUS]]="Resolved"),sales_data_sample[[#This Row],[SALES]],0)</f>
        <v>3500</v>
      </c>
      <c r="F473" s="10">
        <v>2</v>
      </c>
      <c r="G473" s="12" t="s">
        <v>740</v>
      </c>
      <c r="H473" s="1" t="s">
        <v>26</v>
      </c>
      <c r="I473">
        <v>1</v>
      </c>
      <c r="J473">
        <v>2</v>
      </c>
      <c r="K473">
        <v>2005</v>
      </c>
      <c r="L473" s="1" t="s">
        <v>239</v>
      </c>
      <c r="M473">
        <v>141</v>
      </c>
      <c r="N473" s="1" t="s">
        <v>772</v>
      </c>
      <c r="O473" s="1" t="s">
        <v>165</v>
      </c>
      <c r="P473" s="1" t="s">
        <v>166</v>
      </c>
      <c r="Q473" s="1" t="s">
        <v>167</v>
      </c>
      <c r="R473" s="1" t="s">
        <v>32</v>
      </c>
      <c r="S473" s="1" t="s">
        <v>168</v>
      </c>
      <c r="T473" s="1" t="s">
        <v>32</v>
      </c>
      <c r="U473" s="1" t="s">
        <v>169</v>
      </c>
      <c r="V473" s="1" t="s">
        <v>170</v>
      </c>
      <c r="W473" s="1" t="s">
        <v>48</v>
      </c>
      <c r="X473" s="1" t="s">
        <v>171</v>
      </c>
      <c r="Y473" s="1" t="s">
        <v>172</v>
      </c>
      <c r="Z473" s="1" t="str">
        <f>TRIM(_xlfn.CONCAT(sales_data_sample[[#This Row],[CONTACTFIRSTNAME]],", ",sales_data_sample[[#This Row],[CONTACTLASTNAME]]))</f>
        <v>Matti, Karttunen</v>
      </c>
      <c r="AA473" s="1" t="s">
        <v>59</v>
      </c>
    </row>
    <row r="474" spans="1:27" x14ac:dyDescent="0.25">
      <c r="A474" s="10">
        <v>10390</v>
      </c>
      <c r="B474" s="9">
        <v>36</v>
      </c>
      <c r="C474" s="9">
        <v>9377</v>
      </c>
      <c r="D474" s="9">
        <f>PRODUCT(sales_data_sample[[#This Row],[QUANTITYORDERED]],sales_data_sample[[#This Row],[PRICEEACH]])</f>
        <v>337572</v>
      </c>
      <c r="E474" s="9">
        <f>IF(OR(sales_data_sample[[#This Row],[STATUS]]="Shipped",sales_data_sample[[#This Row],[STATUS]]="Resolved"),sales_data_sample[[#This Row],[SALES]],0)</f>
        <v>337572</v>
      </c>
      <c r="F474" s="10">
        <v>14</v>
      </c>
      <c r="G474" s="12" t="s">
        <v>796</v>
      </c>
      <c r="H474" s="1" t="s">
        <v>26</v>
      </c>
      <c r="I474">
        <v>1</v>
      </c>
      <c r="J474">
        <v>3</v>
      </c>
      <c r="K474">
        <v>2005</v>
      </c>
      <c r="L474" s="1" t="s">
        <v>239</v>
      </c>
      <c r="M474">
        <v>141</v>
      </c>
      <c r="N474" s="1" t="s">
        <v>772</v>
      </c>
      <c r="O474" s="1" t="s">
        <v>361</v>
      </c>
      <c r="P474" s="1" t="s">
        <v>362</v>
      </c>
      <c r="Q474" s="1" t="s">
        <v>363</v>
      </c>
      <c r="R474" s="1" t="s">
        <v>32</v>
      </c>
      <c r="S474" s="1" t="s">
        <v>364</v>
      </c>
      <c r="T474" s="1" t="s">
        <v>65</v>
      </c>
      <c r="U474" s="1" t="s">
        <v>145</v>
      </c>
      <c r="V474" s="1" t="s">
        <v>36</v>
      </c>
      <c r="W474" s="1" t="s">
        <v>37</v>
      </c>
      <c r="X474" s="1" t="s">
        <v>365</v>
      </c>
      <c r="Y474" s="1" t="s">
        <v>366</v>
      </c>
      <c r="Z474" s="1" t="str">
        <f>TRIM(_xlfn.CONCAT(sales_data_sample[[#This Row],[CONTACTFIRSTNAME]],", ",sales_data_sample[[#This Row],[CONTACTLASTNAME]]))</f>
        <v>Valarie, Nelson</v>
      </c>
      <c r="AA474" s="1" t="s">
        <v>59</v>
      </c>
    </row>
    <row r="475" spans="1:27" x14ac:dyDescent="0.25">
      <c r="A475" s="10">
        <v>10406</v>
      </c>
      <c r="B475" s="9">
        <v>61</v>
      </c>
      <c r="C475" s="9">
        <v>100</v>
      </c>
      <c r="D475" s="9">
        <f>PRODUCT(sales_data_sample[[#This Row],[QUANTITYORDERED]],sales_data_sample[[#This Row],[PRICEEACH]])</f>
        <v>6100</v>
      </c>
      <c r="E475" s="9">
        <f>IF(OR(sales_data_sample[[#This Row],[STATUS]]="Shipped",sales_data_sample[[#This Row],[STATUS]]="Resolved"),sales_data_sample[[#This Row],[SALES]],0)</f>
        <v>0</v>
      </c>
      <c r="F475" s="10">
        <v>3</v>
      </c>
      <c r="G475" s="12" t="s">
        <v>797</v>
      </c>
      <c r="H475" s="1" t="s">
        <v>229</v>
      </c>
      <c r="I475">
        <v>2</v>
      </c>
      <c r="J475">
        <v>4</v>
      </c>
      <c r="K475">
        <v>2005</v>
      </c>
      <c r="L475" s="1" t="s">
        <v>239</v>
      </c>
      <c r="M475">
        <v>141</v>
      </c>
      <c r="N475" s="1" t="s">
        <v>772</v>
      </c>
      <c r="O475" s="1" t="s">
        <v>437</v>
      </c>
      <c r="P475" s="1" t="s">
        <v>438</v>
      </c>
      <c r="Q475" s="1" t="s">
        <v>439</v>
      </c>
      <c r="R475" s="1" t="s">
        <v>32</v>
      </c>
      <c r="S475" s="1" t="s">
        <v>440</v>
      </c>
      <c r="T475" s="1" t="s">
        <v>32</v>
      </c>
      <c r="U475" s="1" t="s">
        <v>441</v>
      </c>
      <c r="V475" s="1" t="s">
        <v>442</v>
      </c>
      <c r="W475" s="1" t="s">
        <v>48</v>
      </c>
      <c r="X475" s="1" t="s">
        <v>443</v>
      </c>
      <c r="Y475" s="1" t="s">
        <v>444</v>
      </c>
      <c r="Z475" s="1" t="str">
        <f>TRIM(_xlfn.CONCAT(sales_data_sample[[#This Row],[CONTACTFIRSTNAME]],", ",sales_data_sample[[#This Row],[CONTACTLASTNAME]]))</f>
        <v>Jytte, Petersen</v>
      </c>
      <c r="AA475" s="1" t="s">
        <v>199</v>
      </c>
    </row>
    <row r="476" spans="1:27" x14ac:dyDescent="0.25">
      <c r="A476" s="10">
        <v>10419</v>
      </c>
      <c r="B476" s="9">
        <v>38</v>
      </c>
      <c r="C476" s="9">
        <v>100</v>
      </c>
      <c r="D476" s="9">
        <f>PRODUCT(sales_data_sample[[#This Row],[QUANTITYORDERED]],sales_data_sample[[#This Row],[PRICEEACH]])</f>
        <v>3800</v>
      </c>
      <c r="E476" s="9">
        <f>IF(OR(sales_data_sample[[#This Row],[STATUS]]="Shipped",sales_data_sample[[#This Row],[STATUS]]="Resolved"),sales_data_sample[[#This Row],[SALES]],0)</f>
        <v>3800</v>
      </c>
      <c r="F476" s="10">
        <v>5</v>
      </c>
      <c r="G476" s="12" t="s">
        <v>663</v>
      </c>
      <c r="H476" s="1" t="s">
        <v>26</v>
      </c>
      <c r="I476">
        <v>2</v>
      </c>
      <c r="J476">
        <v>5</v>
      </c>
      <c r="K476">
        <v>2005</v>
      </c>
      <c r="L476" s="1" t="s">
        <v>239</v>
      </c>
      <c r="M476">
        <v>141</v>
      </c>
      <c r="N476" s="1" t="s">
        <v>772</v>
      </c>
      <c r="O476" s="1" t="s">
        <v>191</v>
      </c>
      <c r="P476" s="1" t="s">
        <v>192</v>
      </c>
      <c r="Q476" s="1" t="s">
        <v>193</v>
      </c>
      <c r="R476" s="1" t="s">
        <v>32</v>
      </c>
      <c r="S476" s="1" t="s">
        <v>194</v>
      </c>
      <c r="T476" s="1" t="s">
        <v>32</v>
      </c>
      <c r="U476" s="1" t="s">
        <v>195</v>
      </c>
      <c r="V476" s="1" t="s">
        <v>196</v>
      </c>
      <c r="W476" s="1" t="s">
        <v>48</v>
      </c>
      <c r="X476" s="1" t="s">
        <v>197</v>
      </c>
      <c r="Y476" s="1" t="s">
        <v>198</v>
      </c>
      <c r="Z476" s="1" t="str">
        <f>TRIM(_xlfn.CONCAT(sales_data_sample[[#This Row],[CONTACTFIRSTNAME]],", ",sales_data_sample[[#This Row],[CONTACTLASTNAME]]))</f>
        <v>Georg, Pipps</v>
      </c>
      <c r="AA476" s="1" t="s">
        <v>59</v>
      </c>
    </row>
    <row r="477" spans="1:27" x14ac:dyDescent="0.25">
      <c r="A477">
        <v>10102</v>
      </c>
      <c r="B477">
        <v>39</v>
      </c>
      <c r="C477">
        <v>100</v>
      </c>
      <c r="D477">
        <f>PRODUCT(sales_data_sample[[#This Row],[QUANTITYORDERED]],sales_data_sample[[#This Row],[PRICEEACH]])</f>
        <v>3900</v>
      </c>
      <c r="E477" s="9">
        <f>IF(OR(sales_data_sample[[#This Row],[STATUS]]="Shipped",sales_data_sample[[#This Row],[STATUS]]="Resolved"),sales_data_sample[[#This Row],[SALES]],0)</f>
        <v>3900</v>
      </c>
      <c r="F477">
        <v>2</v>
      </c>
      <c r="G477" s="12" t="s">
        <v>798</v>
      </c>
      <c r="H477" s="1" t="s">
        <v>26</v>
      </c>
      <c r="I477">
        <v>1</v>
      </c>
      <c r="J477">
        <v>1</v>
      </c>
      <c r="K477">
        <v>2003</v>
      </c>
      <c r="L477" s="1" t="s">
        <v>799</v>
      </c>
      <c r="M477">
        <v>102</v>
      </c>
      <c r="N477" s="1" t="s">
        <v>800</v>
      </c>
      <c r="O477" s="1" t="s">
        <v>125</v>
      </c>
      <c r="P477" s="1" t="s">
        <v>126</v>
      </c>
      <c r="Q477" s="1" t="s">
        <v>127</v>
      </c>
      <c r="R477" s="1" t="s">
        <v>128</v>
      </c>
      <c r="S477" s="1" t="s">
        <v>33</v>
      </c>
      <c r="T477" s="1" t="s">
        <v>34</v>
      </c>
      <c r="U477" s="1" t="s">
        <v>35</v>
      </c>
      <c r="V477" s="1" t="s">
        <v>36</v>
      </c>
      <c r="W477" s="1" t="s">
        <v>37</v>
      </c>
      <c r="X477" s="1" t="s">
        <v>129</v>
      </c>
      <c r="Y477" s="1" t="s">
        <v>130</v>
      </c>
      <c r="Z477" s="1" t="str">
        <f>TRIM(_xlfn.CONCAT(sales_data_sample[[#This Row],[CONTACTFIRSTNAME]],", ",sales_data_sample[[#This Row],[CONTACTLASTNAME]]))</f>
        <v>Michael, Frick</v>
      </c>
      <c r="AA477" s="1" t="s">
        <v>59</v>
      </c>
    </row>
    <row r="478" spans="1:27" x14ac:dyDescent="0.25">
      <c r="A478" s="10">
        <v>10111</v>
      </c>
      <c r="B478" s="9">
        <v>33</v>
      </c>
      <c r="C478" s="9">
        <v>9966</v>
      </c>
      <c r="D478" s="9">
        <f>PRODUCT(sales_data_sample[[#This Row],[QUANTITYORDERED]],sales_data_sample[[#This Row],[PRICEEACH]])</f>
        <v>328878</v>
      </c>
      <c r="E478" s="9">
        <f>IF(OR(sales_data_sample[[#This Row],[STATUS]]="Shipped",sales_data_sample[[#This Row],[STATUS]]="Resolved"),sales_data_sample[[#This Row],[SALES]],0)</f>
        <v>328878</v>
      </c>
      <c r="F478" s="10">
        <v>6</v>
      </c>
      <c r="G478" s="12" t="s">
        <v>801</v>
      </c>
      <c r="H478" s="1" t="s">
        <v>26</v>
      </c>
      <c r="I478">
        <v>1</v>
      </c>
      <c r="J478">
        <v>3</v>
      </c>
      <c r="K478">
        <v>2003</v>
      </c>
      <c r="L478" s="1" t="s">
        <v>799</v>
      </c>
      <c r="M478">
        <v>102</v>
      </c>
      <c r="N478" s="1" t="s">
        <v>800</v>
      </c>
      <c r="O478" s="1" t="s">
        <v>101</v>
      </c>
      <c r="P478" s="1" t="s">
        <v>102</v>
      </c>
      <c r="Q478" s="1" t="s">
        <v>103</v>
      </c>
      <c r="R478" s="1" t="s">
        <v>32</v>
      </c>
      <c r="S478" s="1" t="s">
        <v>73</v>
      </c>
      <c r="T478" s="1" t="s">
        <v>65</v>
      </c>
      <c r="U478" s="1" t="s">
        <v>32</v>
      </c>
      <c r="V478" s="1" t="s">
        <v>36</v>
      </c>
      <c r="W478" s="1" t="s">
        <v>37</v>
      </c>
      <c r="X478" s="1" t="s">
        <v>104</v>
      </c>
      <c r="Y478" s="1" t="s">
        <v>68</v>
      </c>
      <c r="Z478" s="1" t="str">
        <f>TRIM(_xlfn.CONCAT(sales_data_sample[[#This Row],[CONTACTFIRSTNAME]],", ",sales_data_sample[[#This Row],[CONTACTLASTNAME]]))</f>
        <v>Julie, Murphy</v>
      </c>
      <c r="AA478" s="1" t="s">
        <v>59</v>
      </c>
    </row>
    <row r="479" spans="1:27" x14ac:dyDescent="0.25">
      <c r="A479">
        <v>10125</v>
      </c>
      <c r="B479">
        <v>32</v>
      </c>
      <c r="C479">
        <v>100</v>
      </c>
      <c r="D479">
        <f>PRODUCT(sales_data_sample[[#This Row],[QUANTITYORDERED]],sales_data_sample[[#This Row],[PRICEEACH]])</f>
        <v>3200</v>
      </c>
      <c r="E479" s="9">
        <f>IF(OR(sales_data_sample[[#This Row],[STATUS]]="Shipped",sales_data_sample[[#This Row],[STATUS]]="Resolved"),sales_data_sample[[#This Row],[SALES]],0)</f>
        <v>3200</v>
      </c>
      <c r="F479">
        <v>1</v>
      </c>
      <c r="G479" s="12" t="s">
        <v>802</v>
      </c>
      <c r="H479" s="1" t="s">
        <v>26</v>
      </c>
      <c r="I479">
        <v>2</v>
      </c>
      <c r="J479">
        <v>5</v>
      </c>
      <c r="K479">
        <v>2003</v>
      </c>
      <c r="L479" s="1" t="s">
        <v>799</v>
      </c>
      <c r="M479">
        <v>102</v>
      </c>
      <c r="N479" s="1" t="s">
        <v>800</v>
      </c>
      <c r="O479" s="1" t="s">
        <v>113</v>
      </c>
      <c r="P479" s="1" t="s">
        <v>114</v>
      </c>
      <c r="Q479" s="1" t="s">
        <v>115</v>
      </c>
      <c r="R479" s="1" t="s">
        <v>116</v>
      </c>
      <c r="S479" s="1" t="s">
        <v>117</v>
      </c>
      <c r="T479" s="1" t="s">
        <v>118</v>
      </c>
      <c r="U479" s="1" t="s">
        <v>119</v>
      </c>
      <c r="V479" s="1" t="s">
        <v>120</v>
      </c>
      <c r="W479" s="1" t="s">
        <v>121</v>
      </c>
      <c r="X479" s="1" t="s">
        <v>122</v>
      </c>
      <c r="Y479" s="1" t="s">
        <v>123</v>
      </c>
      <c r="Z479" s="1" t="str">
        <f>TRIM(_xlfn.CONCAT(sales_data_sample[[#This Row],[CONTACTFIRSTNAME]],", ",sales_data_sample[[#This Row],[CONTACTLASTNAME]]))</f>
        <v>Peter, Ferguson</v>
      </c>
      <c r="AA479" s="1" t="s">
        <v>59</v>
      </c>
    </row>
    <row r="480" spans="1:27" x14ac:dyDescent="0.25">
      <c r="A480">
        <v>10139</v>
      </c>
      <c r="B480">
        <v>31</v>
      </c>
      <c r="C480">
        <v>100</v>
      </c>
      <c r="D480">
        <f>PRODUCT(sales_data_sample[[#This Row],[QUANTITYORDERED]],sales_data_sample[[#This Row],[PRICEEACH]])</f>
        <v>3100</v>
      </c>
      <c r="E480" s="9">
        <f>IF(OR(sales_data_sample[[#This Row],[STATUS]]="Shipped",sales_data_sample[[#This Row],[STATUS]]="Resolved"),sales_data_sample[[#This Row],[SALES]],0)</f>
        <v>3100</v>
      </c>
      <c r="F480">
        <v>7</v>
      </c>
      <c r="G480" s="12" t="s">
        <v>803</v>
      </c>
      <c r="H480" s="1" t="s">
        <v>26</v>
      </c>
      <c r="I480">
        <v>3</v>
      </c>
      <c r="J480">
        <v>7</v>
      </c>
      <c r="K480">
        <v>2003</v>
      </c>
      <c r="L480" s="1" t="s">
        <v>799</v>
      </c>
      <c r="M480">
        <v>102</v>
      </c>
      <c r="N480" s="1" t="s">
        <v>800</v>
      </c>
      <c r="O480" s="1" t="s">
        <v>201</v>
      </c>
      <c r="P480" s="1" t="s">
        <v>202</v>
      </c>
      <c r="Q480" s="1" t="s">
        <v>203</v>
      </c>
      <c r="R480" s="1" t="s">
        <v>204</v>
      </c>
      <c r="S480" s="1" t="s">
        <v>205</v>
      </c>
      <c r="T480" s="1" t="s">
        <v>206</v>
      </c>
      <c r="U480" s="1" t="s">
        <v>207</v>
      </c>
      <c r="V480" s="1" t="s">
        <v>120</v>
      </c>
      <c r="W480" s="1" t="s">
        <v>121</v>
      </c>
      <c r="X480" s="1" t="s">
        <v>208</v>
      </c>
      <c r="Y480" s="1" t="s">
        <v>209</v>
      </c>
      <c r="Z480" s="1" t="str">
        <f>TRIM(_xlfn.CONCAT(sales_data_sample[[#This Row],[CONTACTFIRSTNAME]],", ",sales_data_sample[[#This Row],[CONTACTLASTNAME]]))</f>
        <v>Adrian, Huxley</v>
      </c>
      <c r="AA480" s="1" t="s">
        <v>59</v>
      </c>
    </row>
    <row r="481" spans="1:27" x14ac:dyDescent="0.25">
      <c r="A481" s="10">
        <v>10149</v>
      </c>
      <c r="B481" s="9">
        <v>50</v>
      </c>
      <c r="C481" s="9">
        <v>100</v>
      </c>
      <c r="D481" s="9">
        <f>PRODUCT(sales_data_sample[[#This Row],[QUANTITYORDERED]],sales_data_sample[[#This Row],[PRICEEACH]])</f>
        <v>5000</v>
      </c>
      <c r="E481" s="9">
        <f>IF(OR(sales_data_sample[[#This Row],[STATUS]]="Shipped",sales_data_sample[[#This Row],[STATUS]]="Resolved"),sales_data_sample[[#This Row],[SALES]],0)</f>
        <v>5000</v>
      </c>
      <c r="F481" s="10">
        <v>4</v>
      </c>
      <c r="G481" s="12" t="s">
        <v>804</v>
      </c>
      <c r="H481" s="1" t="s">
        <v>26</v>
      </c>
      <c r="I481">
        <v>3</v>
      </c>
      <c r="J481">
        <v>9</v>
      </c>
      <c r="K481">
        <v>2003</v>
      </c>
      <c r="L481" s="1" t="s">
        <v>799</v>
      </c>
      <c r="M481">
        <v>102</v>
      </c>
      <c r="N481" s="1" t="s">
        <v>800</v>
      </c>
      <c r="O481" s="1" t="s">
        <v>753</v>
      </c>
      <c r="P481" s="1" t="s">
        <v>754</v>
      </c>
      <c r="Q481" s="1" t="s">
        <v>755</v>
      </c>
      <c r="R481" s="1" t="s">
        <v>32</v>
      </c>
      <c r="S481" s="1" t="s">
        <v>756</v>
      </c>
      <c r="T481" s="1" t="s">
        <v>65</v>
      </c>
      <c r="U481" s="1" t="s">
        <v>80</v>
      </c>
      <c r="V481" s="1" t="s">
        <v>36</v>
      </c>
      <c r="W481" s="1" t="s">
        <v>37</v>
      </c>
      <c r="X481" s="1" t="s">
        <v>757</v>
      </c>
      <c r="Y481" s="1" t="s">
        <v>551</v>
      </c>
      <c r="Z481" s="1" t="str">
        <f>TRIM(_xlfn.CONCAT(sales_data_sample[[#This Row],[CONTACTFIRSTNAME]],", ",sales_data_sample[[#This Row],[CONTACTLASTNAME]]))</f>
        <v>Sue, Taylor</v>
      </c>
      <c r="AA481" s="1" t="s">
        <v>59</v>
      </c>
    </row>
    <row r="482" spans="1:27" x14ac:dyDescent="0.25">
      <c r="A482" s="10">
        <v>10162</v>
      </c>
      <c r="B482" s="9">
        <v>48</v>
      </c>
      <c r="C482" s="9">
        <v>9144</v>
      </c>
      <c r="D482" s="9">
        <f>PRODUCT(sales_data_sample[[#This Row],[QUANTITYORDERED]],sales_data_sample[[#This Row],[PRICEEACH]])</f>
        <v>438912</v>
      </c>
      <c r="E482" s="9">
        <f>IF(OR(sales_data_sample[[#This Row],[STATUS]]="Shipped",sales_data_sample[[#This Row],[STATUS]]="Resolved"),sales_data_sample[[#This Row],[SALES]],0)</f>
        <v>438912</v>
      </c>
      <c r="F482" s="10">
        <v>2</v>
      </c>
      <c r="G482" s="12" t="s">
        <v>805</v>
      </c>
      <c r="H482" s="1" t="s">
        <v>26</v>
      </c>
      <c r="I482">
        <v>4</v>
      </c>
      <c r="J482">
        <v>10</v>
      </c>
      <c r="K482">
        <v>2003</v>
      </c>
      <c r="L482" s="1" t="s">
        <v>799</v>
      </c>
      <c r="M482">
        <v>102</v>
      </c>
      <c r="N482" s="1" t="s">
        <v>800</v>
      </c>
      <c r="O482" s="1" t="s">
        <v>70</v>
      </c>
      <c r="P482" s="1" t="s">
        <v>71</v>
      </c>
      <c r="Q482" s="1" t="s">
        <v>72</v>
      </c>
      <c r="R482" s="1" t="s">
        <v>32</v>
      </c>
      <c r="S482" s="1" t="s">
        <v>73</v>
      </c>
      <c r="T482" s="1" t="s">
        <v>65</v>
      </c>
      <c r="U482" s="1" t="s">
        <v>32</v>
      </c>
      <c r="V482" s="1" t="s">
        <v>36</v>
      </c>
      <c r="W482" s="1" t="s">
        <v>37</v>
      </c>
      <c r="X482" s="1" t="s">
        <v>74</v>
      </c>
      <c r="Y482" s="1" t="s">
        <v>68</v>
      </c>
      <c r="Z482" s="1" t="str">
        <f>TRIM(_xlfn.CONCAT(sales_data_sample[[#This Row],[CONTACTFIRSTNAME]],", ",sales_data_sample[[#This Row],[CONTACTLASTNAME]]))</f>
        <v>Julie, Brown</v>
      </c>
      <c r="AA482" s="1" t="s">
        <v>59</v>
      </c>
    </row>
    <row r="483" spans="1:27" x14ac:dyDescent="0.25">
      <c r="A483" s="10">
        <v>10173</v>
      </c>
      <c r="B483" s="9">
        <v>43</v>
      </c>
      <c r="C483" s="9">
        <v>100</v>
      </c>
      <c r="D483" s="9">
        <f>PRODUCT(sales_data_sample[[#This Row],[QUANTITYORDERED]],sales_data_sample[[#This Row],[PRICEEACH]])</f>
        <v>4300</v>
      </c>
      <c r="E483" s="9">
        <f>IF(OR(sales_data_sample[[#This Row],[STATUS]]="Shipped",sales_data_sample[[#This Row],[STATUS]]="Resolved"),sales_data_sample[[#This Row],[SALES]],0)</f>
        <v>4300</v>
      </c>
      <c r="F483" s="10">
        <v>6</v>
      </c>
      <c r="G483" s="12" t="s">
        <v>776</v>
      </c>
      <c r="H483" s="1" t="s">
        <v>26</v>
      </c>
      <c r="I483">
        <v>4</v>
      </c>
      <c r="J483">
        <v>11</v>
      </c>
      <c r="K483">
        <v>2003</v>
      </c>
      <c r="L483" s="1" t="s">
        <v>799</v>
      </c>
      <c r="M483">
        <v>102</v>
      </c>
      <c r="N483" s="1" t="s">
        <v>800</v>
      </c>
      <c r="O483" s="1" t="s">
        <v>806</v>
      </c>
      <c r="P483" s="1" t="s">
        <v>807</v>
      </c>
      <c r="Q483" s="1" t="s">
        <v>808</v>
      </c>
      <c r="R483" s="1" t="s">
        <v>32</v>
      </c>
      <c r="S483" s="1" t="s">
        <v>809</v>
      </c>
      <c r="T483" s="1" t="s">
        <v>32</v>
      </c>
      <c r="U483" s="1" t="s">
        <v>810</v>
      </c>
      <c r="V483" s="1" t="s">
        <v>343</v>
      </c>
      <c r="W483" s="1" t="s">
        <v>48</v>
      </c>
      <c r="X483" s="1" t="s">
        <v>811</v>
      </c>
      <c r="Y483" s="1" t="s">
        <v>812</v>
      </c>
      <c r="Z483" s="1" t="str">
        <f>TRIM(_xlfn.CONCAT(sales_data_sample[[#This Row],[CONTACTFIRSTNAME]],", ",sales_data_sample[[#This Row],[CONTACTLASTNAME]]))</f>
        <v>Giovanni, Rovelli</v>
      </c>
      <c r="AA483" s="1" t="s">
        <v>59</v>
      </c>
    </row>
    <row r="484" spans="1:27" x14ac:dyDescent="0.25">
      <c r="A484" s="10">
        <v>10182</v>
      </c>
      <c r="B484" s="9">
        <v>25</v>
      </c>
      <c r="C484" s="9">
        <v>8733</v>
      </c>
      <c r="D484" s="9">
        <f>PRODUCT(sales_data_sample[[#This Row],[QUANTITYORDERED]],sales_data_sample[[#This Row],[PRICEEACH]])</f>
        <v>218325</v>
      </c>
      <c r="E484" s="9">
        <f>IF(OR(sales_data_sample[[#This Row],[STATUS]]="Shipped",sales_data_sample[[#This Row],[STATUS]]="Resolved"),sales_data_sample[[#This Row],[SALES]],0)</f>
        <v>218325</v>
      </c>
      <c r="F484" s="10">
        <v>3</v>
      </c>
      <c r="G484" s="12" t="s">
        <v>610</v>
      </c>
      <c r="H484" s="1" t="s">
        <v>26</v>
      </c>
      <c r="I484">
        <v>4</v>
      </c>
      <c r="J484">
        <v>11</v>
      </c>
      <c r="K484">
        <v>2003</v>
      </c>
      <c r="L484" s="1" t="s">
        <v>799</v>
      </c>
      <c r="M484">
        <v>102</v>
      </c>
      <c r="N484" s="1" t="s">
        <v>800</v>
      </c>
      <c r="O484" s="1" t="s">
        <v>361</v>
      </c>
      <c r="P484" s="1" t="s">
        <v>362</v>
      </c>
      <c r="Q484" s="1" t="s">
        <v>363</v>
      </c>
      <c r="R484" s="1" t="s">
        <v>32</v>
      </c>
      <c r="S484" s="1" t="s">
        <v>364</v>
      </c>
      <c r="T484" s="1" t="s">
        <v>65</v>
      </c>
      <c r="U484" s="1" t="s">
        <v>145</v>
      </c>
      <c r="V484" s="1" t="s">
        <v>36</v>
      </c>
      <c r="W484" s="1" t="s">
        <v>37</v>
      </c>
      <c r="X484" s="1" t="s">
        <v>365</v>
      </c>
      <c r="Y484" s="1" t="s">
        <v>366</v>
      </c>
      <c r="Z484" s="1" t="str">
        <f>TRIM(_xlfn.CONCAT(sales_data_sample[[#This Row],[CONTACTFIRSTNAME]],", ",sales_data_sample[[#This Row],[CONTACTLASTNAME]]))</f>
        <v>Valarie, Nelson</v>
      </c>
      <c r="AA484" s="1" t="s">
        <v>40</v>
      </c>
    </row>
    <row r="485" spans="1:27" x14ac:dyDescent="0.25">
      <c r="A485" s="10">
        <v>10193</v>
      </c>
      <c r="B485" s="9">
        <v>28</v>
      </c>
      <c r="C485" s="9">
        <v>100</v>
      </c>
      <c r="D485" s="9">
        <f>PRODUCT(sales_data_sample[[#This Row],[QUANTITYORDERED]],sales_data_sample[[#This Row],[PRICEEACH]])</f>
        <v>2800</v>
      </c>
      <c r="E485" s="9">
        <f>IF(OR(sales_data_sample[[#This Row],[STATUS]]="Shipped",sales_data_sample[[#This Row],[STATUS]]="Resolved"),sales_data_sample[[#This Row],[SALES]],0)</f>
        <v>2800</v>
      </c>
      <c r="F485" s="10">
        <v>7</v>
      </c>
      <c r="G485" s="12" t="s">
        <v>813</v>
      </c>
      <c r="H485" s="1" t="s">
        <v>26</v>
      </c>
      <c r="I485">
        <v>4</v>
      </c>
      <c r="J485">
        <v>11</v>
      </c>
      <c r="K485">
        <v>2003</v>
      </c>
      <c r="L485" s="1" t="s">
        <v>799</v>
      </c>
      <c r="M485">
        <v>102</v>
      </c>
      <c r="N485" s="1" t="s">
        <v>800</v>
      </c>
      <c r="O485" s="1" t="s">
        <v>814</v>
      </c>
      <c r="P485" s="1" t="s">
        <v>815</v>
      </c>
      <c r="Q485" s="1" t="s">
        <v>816</v>
      </c>
      <c r="R485" s="1" t="s">
        <v>32</v>
      </c>
      <c r="S485" s="1" t="s">
        <v>817</v>
      </c>
      <c r="T485" s="1" t="s">
        <v>118</v>
      </c>
      <c r="U485" s="1" t="s">
        <v>818</v>
      </c>
      <c r="V485" s="1" t="s">
        <v>120</v>
      </c>
      <c r="W485" s="1" t="s">
        <v>121</v>
      </c>
      <c r="X485" s="1" t="s">
        <v>819</v>
      </c>
      <c r="Y485" s="1" t="s">
        <v>820</v>
      </c>
      <c r="Z485" s="1" t="str">
        <f>TRIM(_xlfn.CONCAT(sales_data_sample[[#This Row],[CONTACTFIRSTNAME]],", ",sales_data_sample[[#This Row],[CONTACTLASTNAME]]))</f>
        <v>Sean, Connery</v>
      </c>
      <c r="AA485" s="1" t="s">
        <v>59</v>
      </c>
    </row>
    <row r="486" spans="1:27" x14ac:dyDescent="0.25">
      <c r="A486" s="10">
        <v>10205</v>
      </c>
      <c r="B486" s="9">
        <v>36</v>
      </c>
      <c r="C486" s="9">
        <v>100</v>
      </c>
      <c r="D486" s="9">
        <f>PRODUCT(sales_data_sample[[#This Row],[QUANTITYORDERED]],sales_data_sample[[#This Row],[PRICEEACH]])</f>
        <v>3600</v>
      </c>
      <c r="E486" s="9">
        <f>IF(OR(sales_data_sample[[#This Row],[STATUS]]="Shipped",sales_data_sample[[#This Row],[STATUS]]="Resolved"),sales_data_sample[[#This Row],[SALES]],0)</f>
        <v>3600</v>
      </c>
      <c r="F486" s="10">
        <v>2</v>
      </c>
      <c r="G486" s="12" t="s">
        <v>821</v>
      </c>
      <c r="H486" s="1" t="s">
        <v>26</v>
      </c>
      <c r="I486">
        <v>4</v>
      </c>
      <c r="J486">
        <v>12</v>
      </c>
      <c r="K486">
        <v>2003</v>
      </c>
      <c r="L486" s="1" t="s">
        <v>799</v>
      </c>
      <c r="M486">
        <v>102</v>
      </c>
      <c r="N486" s="1" t="s">
        <v>800</v>
      </c>
      <c r="O486" s="1" t="s">
        <v>230</v>
      </c>
      <c r="P486" s="1" t="s">
        <v>231</v>
      </c>
      <c r="Q486" s="1" t="s">
        <v>232</v>
      </c>
      <c r="R486" s="1" t="s">
        <v>32</v>
      </c>
      <c r="S486" s="1" t="s">
        <v>233</v>
      </c>
      <c r="T486" s="1" t="s">
        <v>32</v>
      </c>
      <c r="U486" s="1" t="s">
        <v>234</v>
      </c>
      <c r="V486" s="1" t="s">
        <v>235</v>
      </c>
      <c r="W486" s="1" t="s">
        <v>48</v>
      </c>
      <c r="X486" s="1" t="s">
        <v>236</v>
      </c>
      <c r="Y486" s="1" t="s">
        <v>237</v>
      </c>
      <c r="Z486" s="1" t="str">
        <f>TRIM(_xlfn.CONCAT(sales_data_sample[[#This Row],[CONTACTFIRSTNAME]],", ",sales_data_sample[[#This Row],[CONTACTLASTNAME]]))</f>
        <v>Diego, Freyre</v>
      </c>
      <c r="AA486" s="1" t="s">
        <v>59</v>
      </c>
    </row>
    <row r="487" spans="1:27" x14ac:dyDescent="0.25">
      <c r="A487" s="10">
        <v>10215</v>
      </c>
      <c r="B487" s="9">
        <v>27</v>
      </c>
      <c r="C487" s="9">
        <v>8938</v>
      </c>
      <c r="D487" s="9">
        <f>PRODUCT(sales_data_sample[[#This Row],[QUANTITYORDERED]],sales_data_sample[[#This Row],[PRICEEACH]])</f>
        <v>241326</v>
      </c>
      <c r="E487" s="9">
        <f>IF(OR(sales_data_sample[[#This Row],[STATUS]]="Shipped",sales_data_sample[[#This Row],[STATUS]]="Resolved"),sales_data_sample[[#This Row],[SALES]],0)</f>
        <v>241326</v>
      </c>
      <c r="F487" s="10">
        <v>10</v>
      </c>
      <c r="G487" s="12" t="s">
        <v>308</v>
      </c>
      <c r="H487" s="1" t="s">
        <v>26</v>
      </c>
      <c r="I487">
        <v>1</v>
      </c>
      <c r="J487">
        <v>1</v>
      </c>
      <c r="K487">
        <v>2004</v>
      </c>
      <c r="L487" s="1" t="s">
        <v>799</v>
      </c>
      <c r="M487">
        <v>102</v>
      </c>
      <c r="N487" s="1" t="s">
        <v>800</v>
      </c>
      <c r="O487" s="1" t="s">
        <v>309</v>
      </c>
      <c r="P487" s="1" t="s">
        <v>310</v>
      </c>
      <c r="Q487" s="1" t="s">
        <v>311</v>
      </c>
      <c r="R487" s="1" t="s">
        <v>32</v>
      </c>
      <c r="S487" s="1" t="s">
        <v>312</v>
      </c>
      <c r="T487" s="1" t="s">
        <v>65</v>
      </c>
      <c r="U487" s="1" t="s">
        <v>137</v>
      </c>
      <c r="V487" s="1" t="s">
        <v>36</v>
      </c>
      <c r="W487" s="1" t="s">
        <v>37</v>
      </c>
      <c r="X487" s="1" t="s">
        <v>313</v>
      </c>
      <c r="Y487" s="1" t="s">
        <v>314</v>
      </c>
      <c r="Z487" s="1" t="str">
        <f>TRIM(_xlfn.CONCAT(sales_data_sample[[#This Row],[CONTACTFIRSTNAME]],", ",sales_data_sample[[#This Row],[CONTACTLASTNAME]]))</f>
        <v>Steve, Thompson</v>
      </c>
      <c r="AA487" s="1" t="s">
        <v>40</v>
      </c>
    </row>
    <row r="488" spans="1:27" x14ac:dyDescent="0.25">
      <c r="A488" s="10">
        <v>10227</v>
      </c>
      <c r="B488" s="9">
        <v>25</v>
      </c>
      <c r="C488" s="9">
        <v>100</v>
      </c>
      <c r="D488" s="9">
        <f>PRODUCT(sales_data_sample[[#This Row],[QUANTITYORDERED]],sales_data_sample[[#This Row],[PRICEEACH]])</f>
        <v>2500</v>
      </c>
      <c r="E488" s="9">
        <f>IF(OR(sales_data_sample[[#This Row],[STATUS]]="Shipped",sales_data_sample[[#This Row],[STATUS]]="Resolved"),sales_data_sample[[#This Row],[SALES]],0)</f>
        <v>2500</v>
      </c>
      <c r="F488" s="10">
        <v>3</v>
      </c>
      <c r="G488" s="12" t="s">
        <v>822</v>
      </c>
      <c r="H488" s="1" t="s">
        <v>26</v>
      </c>
      <c r="I488">
        <v>1</v>
      </c>
      <c r="J488">
        <v>3</v>
      </c>
      <c r="K488">
        <v>2004</v>
      </c>
      <c r="L488" s="1" t="s">
        <v>799</v>
      </c>
      <c r="M488">
        <v>102</v>
      </c>
      <c r="N488" s="1" t="s">
        <v>800</v>
      </c>
      <c r="O488" s="1" t="s">
        <v>291</v>
      </c>
      <c r="P488" s="1" t="s">
        <v>292</v>
      </c>
      <c r="Q488" s="1" t="s">
        <v>293</v>
      </c>
      <c r="R488" s="1" t="s">
        <v>32</v>
      </c>
      <c r="S488" s="1" t="s">
        <v>294</v>
      </c>
      <c r="T488" s="1" t="s">
        <v>32</v>
      </c>
      <c r="U488" s="1" t="s">
        <v>295</v>
      </c>
      <c r="V488" s="1" t="s">
        <v>47</v>
      </c>
      <c r="W488" s="1" t="s">
        <v>48</v>
      </c>
      <c r="X488" s="1" t="s">
        <v>296</v>
      </c>
      <c r="Y488" s="1" t="s">
        <v>297</v>
      </c>
      <c r="Z488" s="1" t="str">
        <f>TRIM(_xlfn.CONCAT(sales_data_sample[[#This Row],[CONTACTFIRSTNAME]],", ",sales_data_sample[[#This Row],[CONTACTLASTNAME]]))</f>
        <v>Mary, Saveley</v>
      </c>
      <c r="AA488" s="1" t="s">
        <v>40</v>
      </c>
    </row>
    <row r="489" spans="1:27" x14ac:dyDescent="0.25">
      <c r="A489" s="10">
        <v>10244</v>
      </c>
      <c r="B489" s="9">
        <v>40</v>
      </c>
      <c r="C489" s="9">
        <v>100</v>
      </c>
      <c r="D489" s="9">
        <f>PRODUCT(sales_data_sample[[#This Row],[QUANTITYORDERED]],sales_data_sample[[#This Row],[PRICEEACH]])</f>
        <v>4000</v>
      </c>
      <c r="E489" s="9">
        <f>IF(OR(sales_data_sample[[#This Row],[STATUS]]="Shipped",sales_data_sample[[#This Row],[STATUS]]="Resolved"),sales_data_sample[[#This Row],[SALES]],0)</f>
        <v>4000</v>
      </c>
      <c r="F489" s="10">
        <v>7</v>
      </c>
      <c r="G489" s="12" t="s">
        <v>823</v>
      </c>
      <c r="H489" s="1" t="s">
        <v>26</v>
      </c>
      <c r="I489">
        <v>2</v>
      </c>
      <c r="J489">
        <v>4</v>
      </c>
      <c r="K489">
        <v>2004</v>
      </c>
      <c r="L489" s="1" t="s">
        <v>799</v>
      </c>
      <c r="M489">
        <v>102</v>
      </c>
      <c r="N489" s="1" t="s">
        <v>800</v>
      </c>
      <c r="O489" s="1" t="s">
        <v>230</v>
      </c>
      <c r="P489" s="1" t="s">
        <v>231</v>
      </c>
      <c r="Q489" s="1" t="s">
        <v>232</v>
      </c>
      <c r="R489" s="1" t="s">
        <v>32</v>
      </c>
      <c r="S489" s="1" t="s">
        <v>233</v>
      </c>
      <c r="T489" s="1" t="s">
        <v>32</v>
      </c>
      <c r="U489" s="1" t="s">
        <v>234</v>
      </c>
      <c r="V489" s="1" t="s">
        <v>235</v>
      </c>
      <c r="W489" s="1" t="s">
        <v>48</v>
      </c>
      <c r="X489" s="1" t="s">
        <v>236</v>
      </c>
      <c r="Y489" s="1" t="s">
        <v>237</v>
      </c>
      <c r="Z489" s="1" t="str">
        <f>TRIM(_xlfn.CONCAT(sales_data_sample[[#This Row],[CONTACTFIRSTNAME]],", ",sales_data_sample[[#This Row],[CONTACTLASTNAME]]))</f>
        <v>Diego, Freyre</v>
      </c>
      <c r="AA489" s="1" t="s">
        <v>59</v>
      </c>
    </row>
    <row r="490" spans="1:27" x14ac:dyDescent="0.25">
      <c r="A490" s="10">
        <v>10256</v>
      </c>
      <c r="B490" s="9">
        <v>34</v>
      </c>
      <c r="C490" s="9">
        <v>9555</v>
      </c>
      <c r="D490" s="9">
        <f>PRODUCT(sales_data_sample[[#This Row],[QUANTITYORDERED]],sales_data_sample[[#This Row],[PRICEEACH]])</f>
        <v>324870</v>
      </c>
      <c r="E490" s="9">
        <f>IF(OR(sales_data_sample[[#This Row],[STATUS]]="Shipped",sales_data_sample[[#This Row],[STATUS]]="Resolved"),sales_data_sample[[#This Row],[SALES]],0)</f>
        <v>324870</v>
      </c>
      <c r="F490" s="10">
        <v>2</v>
      </c>
      <c r="G490" s="12" t="s">
        <v>824</v>
      </c>
      <c r="H490" s="1" t="s">
        <v>26</v>
      </c>
      <c r="I490">
        <v>2</v>
      </c>
      <c r="J490">
        <v>6</v>
      </c>
      <c r="K490">
        <v>2004</v>
      </c>
      <c r="L490" s="1" t="s">
        <v>799</v>
      </c>
      <c r="M490">
        <v>102</v>
      </c>
      <c r="N490" s="1" t="s">
        <v>800</v>
      </c>
      <c r="O490" s="1" t="s">
        <v>437</v>
      </c>
      <c r="P490" s="1" t="s">
        <v>438</v>
      </c>
      <c r="Q490" s="1" t="s">
        <v>439</v>
      </c>
      <c r="R490" s="1" t="s">
        <v>32</v>
      </c>
      <c r="S490" s="1" t="s">
        <v>440</v>
      </c>
      <c r="T490" s="1" t="s">
        <v>32</v>
      </c>
      <c r="U490" s="1" t="s">
        <v>441</v>
      </c>
      <c r="V490" s="1" t="s">
        <v>442</v>
      </c>
      <c r="W490" s="1" t="s">
        <v>48</v>
      </c>
      <c r="X490" s="1" t="s">
        <v>443</v>
      </c>
      <c r="Y490" s="1" t="s">
        <v>444</v>
      </c>
      <c r="Z490" s="1" t="str">
        <f>TRIM(_xlfn.CONCAT(sales_data_sample[[#This Row],[CONTACTFIRSTNAME]],", ",sales_data_sample[[#This Row],[CONTACTLASTNAME]]))</f>
        <v>Jytte, Petersen</v>
      </c>
      <c r="AA490" s="1" t="s">
        <v>59</v>
      </c>
    </row>
    <row r="491" spans="1:27" x14ac:dyDescent="0.25">
      <c r="A491" s="10">
        <v>10280</v>
      </c>
      <c r="B491" s="9">
        <v>50</v>
      </c>
      <c r="C491" s="9">
        <v>100</v>
      </c>
      <c r="D491" s="9">
        <f>PRODUCT(sales_data_sample[[#This Row],[QUANTITYORDERED]],sales_data_sample[[#This Row],[PRICEEACH]])</f>
        <v>5000</v>
      </c>
      <c r="E491" s="9">
        <f>IF(OR(sales_data_sample[[#This Row],[STATUS]]="Shipped",sales_data_sample[[#This Row],[STATUS]]="Resolved"),sales_data_sample[[#This Row],[SALES]],0)</f>
        <v>5000</v>
      </c>
      <c r="F491" s="10">
        <v>9</v>
      </c>
      <c r="G491" s="12" t="s">
        <v>337</v>
      </c>
      <c r="H491" s="1" t="s">
        <v>26</v>
      </c>
      <c r="I491">
        <v>3</v>
      </c>
      <c r="J491">
        <v>8</v>
      </c>
      <c r="K491">
        <v>2004</v>
      </c>
      <c r="L491" s="1" t="s">
        <v>799</v>
      </c>
      <c r="M491">
        <v>102</v>
      </c>
      <c r="N491" s="1" t="s">
        <v>800</v>
      </c>
      <c r="O491" s="1" t="s">
        <v>338</v>
      </c>
      <c r="P491" s="1" t="s">
        <v>339</v>
      </c>
      <c r="Q491" s="1" t="s">
        <v>340</v>
      </c>
      <c r="R491" s="1" t="s">
        <v>32</v>
      </c>
      <c r="S491" s="1" t="s">
        <v>341</v>
      </c>
      <c r="T491" s="1" t="s">
        <v>32</v>
      </c>
      <c r="U491" s="1" t="s">
        <v>342</v>
      </c>
      <c r="V491" s="1" t="s">
        <v>343</v>
      </c>
      <c r="W491" s="1" t="s">
        <v>48</v>
      </c>
      <c r="X491" s="1" t="s">
        <v>344</v>
      </c>
      <c r="Y491" s="1" t="s">
        <v>345</v>
      </c>
      <c r="Z491" s="1" t="str">
        <f>TRIM(_xlfn.CONCAT(sales_data_sample[[#This Row],[CONTACTFIRSTNAME]],", ",sales_data_sample[[#This Row],[CONTACTLASTNAME]]))</f>
        <v>Paolo, Accorti</v>
      </c>
      <c r="AA491" s="1" t="s">
        <v>59</v>
      </c>
    </row>
    <row r="492" spans="1:27" x14ac:dyDescent="0.25">
      <c r="A492" s="10">
        <v>10289</v>
      </c>
      <c r="B492" s="9">
        <v>38</v>
      </c>
      <c r="C492" s="9">
        <v>100</v>
      </c>
      <c r="D492" s="9">
        <f>PRODUCT(sales_data_sample[[#This Row],[QUANTITYORDERED]],sales_data_sample[[#This Row],[PRICEEACH]])</f>
        <v>3800</v>
      </c>
      <c r="E492" s="9">
        <f>IF(OR(sales_data_sample[[#This Row],[STATUS]]="Shipped",sales_data_sample[[#This Row],[STATUS]]="Resolved"),sales_data_sample[[#This Row],[SALES]],0)</f>
        <v>3800</v>
      </c>
      <c r="F492" s="10">
        <v>2</v>
      </c>
      <c r="G492" s="12" t="s">
        <v>825</v>
      </c>
      <c r="H492" s="1" t="s">
        <v>26</v>
      </c>
      <c r="I492">
        <v>3</v>
      </c>
      <c r="J492">
        <v>9</v>
      </c>
      <c r="K492">
        <v>2004</v>
      </c>
      <c r="L492" s="1" t="s">
        <v>799</v>
      </c>
      <c r="M492">
        <v>102</v>
      </c>
      <c r="N492" s="1" t="s">
        <v>800</v>
      </c>
      <c r="O492" s="1" t="s">
        <v>92</v>
      </c>
      <c r="P492" s="1" t="s">
        <v>93</v>
      </c>
      <c r="Q492" s="1" t="s">
        <v>94</v>
      </c>
      <c r="R492" s="1" t="s">
        <v>32</v>
      </c>
      <c r="S492" s="1" t="s">
        <v>95</v>
      </c>
      <c r="T492" s="1" t="s">
        <v>32</v>
      </c>
      <c r="U492" s="1" t="s">
        <v>96</v>
      </c>
      <c r="V492" s="1" t="s">
        <v>97</v>
      </c>
      <c r="W492" s="1" t="s">
        <v>48</v>
      </c>
      <c r="X492" s="1" t="s">
        <v>98</v>
      </c>
      <c r="Y492" s="1" t="s">
        <v>99</v>
      </c>
      <c r="Z492" s="1" t="str">
        <f>TRIM(_xlfn.CONCAT(sales_data_sample[[#This Row],[CONTACTFIRSTNAME]],", ",sales_data_sample[[#This Row],[CONTACTLASTNAME]]))</f>
        <v>Veysel, Oeztan</v>
      </c>
      <c r="AA492" s="1" t="s">
        <v>59</v>
      </c>
    </row>
    <row r="493" spans="1:27" x14ac:dyDescent="0.25">
      <c r="A493" s="10">
        <v>10304</v>
      </c>
      <c r="B493" s="9">
        <v>37</v>
      </c>
      <c r="C493" s="9">
        <v>9555</v>
      </c>
      <c r="D493" s="9">
        <f>PRODUCT(sales_data_sample[[#This Row],[QUANTITYORDERED]],sales_data_sample[[#This Row],[PRICEEACH]])</f>
        <v>353535</v>
      </c>
      <c r="E493" s="9">
        <f>IF(OR(sales_data_sample[[#This Row],[STATUS]]="Shipped",sales_data_sample[[#This Row],[STATUS]]="Resolved"),sales_data_sample[[#This Row],[SALES]],0)</f>
        <v>353535</v>
      </c>
      <c r="F493" s="10">
        <v>13</v>
      </c>
      <c r="G493" s="12" t="s">
        <v>353</v>
      </c>
      <c r="H493" s="1" t="s">
        <v>26</v>
      </c>
      <c r="I493">
        <v>4</v>
      </c>
      <c r="J493">
        <v>10</v>
      </c>
      <c r="K493">
        <v>2004</v>
      </c>
      <c r="L493" s="1" t="s">
        <v>799</v>
      </c>
      <c r="M493">
        <v>102</v>
      </c>
      <c r="N493" s="1" t="s">
        <v>800</v>
      </c>
      <c r="O493" s="1" t="s">
        <v>354</v>
      </c>
      <c r="P493" s="1" t="s">
        <v>355</v>
      </c>
      <c r="Q493" s="1" t="s">
        <v>356</v>
      </c>
      <c r="R493" s="1" t="s">
        <v>32</v>
      </c>
      <c r="S493" s="1" t="s">
        <v>357</v>
      </c>
      <c r="T493" s="1" t="s">
        <v>32</v>
      </c>
      <c r="U493" s="1" t="s">
        <v>358</v>
      </c>
      <c r="V493" s="1" t="s">
        <v>47</v>
      </c>
      <c r="W493" s="1" t="s">
        <v>48</v>
      </c>
      <c r="X493" s="1" t="s">
        <v>359</v>
      </c>
      <c r="Y493" s="1" t="s">
        <v>58</v>
      </c>
      <c r="Z493" s="1" t="str">
        <f>TRIM(_xlfn.CONCAT(sales_data_sample[[#This Row],[CONTACTFIRSTNAME]],", ",sales_data_sample[[#This Row],[CONTACTLASTNAME]]))</f>
        <v>Daniel, Tonini</v>
      </c>
      <c r="AA493" s="1" t="s">
        <v>59</v>
      </c>
    </row>
    <row r="494" spans="1:27" x14ac:dyDescent="0.25">
      <c r="A494" s="10">
        <v>10312</v>
      </c>
      <c r="B494" s="9">
        <v>43</v>
      </c>
      <c r="C494" s="9">
        <v>8938</v>
      </c>
      <c r="D494" s="9">
        <f>PRODUCT(sales_data_sample[[#This Row],[QUANTITYORDERED]],sales_data_sample[[#This Row],[PRICEEACH]])</f>
        <v>384334</v>
      </c>
      <c r="E494" s="9">
        <f>IF(OR(sales_data_sample[[#This Row],[STATUS]]="Shipped",sales_data_sample[[#This Row],[STATUS]]="Resolved"),sales_data_sample[[#This Row],[SALES]],0)</f>
        <v>384334</v>
      </c>
      <c r="F494" s="10">
        <v>10</v>
      </c>
      <c r="G494" s="12" t="s">
        <v>360</v>
      </c>
      <c r="H494" s="1" t="s">
        <v>26</v>
      </c>
      <c r="I494">
        <v>4</v>
      </c>
      <c r="J494">
        <v>10</v>
      </c>
      <c r="K494">
        <v>2004</v>
      </c>
      <c r="L494" s="1" t="s">
        <v>799</v>
      </c>
      <c r="M494">
        <v>102</v>
      </c>
      <c r="N494" s="1" t="s">
        <v>800</v>
      </c>
      <c r="O494" s="1" t="s">
        <v>361</v>
      </c>
      <c r="P494" s="1" t="s">
        <v>362</v>
      </c>
      <c r="Q494" s="1" t="s">
        <v>363</v>
      </c>
      <c r="R494" s="1" t="s">
        <v>32</v>
      </c>
      <c r="S494" s="1" t="s">
        <v>364</v>
      </c>
      <c r="T494" s="1" t="s">
        <v>65</v>
      </c>
      <c r="U494" s="1" t="s">
        <v>145</v>
      </c>
      <c r="V494" s="1" t="s">
        <v>36</v>
      </c>
      <c r="W494" s="1" t="s">
        <v>37</v>
      </c>
      <c r="X494" s="1" t="s">
        <v>365</v>
      </c>
      <c r="Y494" s="1" t="s">
        <v>366</v>
      </c>
      <c r="Z494" s="1" t="str">
        <f>TRIM(_xlfn.CONCAT(sales_data_sample[[#This Row],[CONTACTFIRSTNAME]],", ",sales_data_sample[[#This Row],[CONTACTLASTNAME]]))</f>
        <v>Valarie, Nelson</v>
      </c>
      <c r="AA494" s="1" t="s">
        <v>59</v>
      </c>
    </row>
    <row r="495" spans="1:27" x14ac:dyDescent="0.25">
      <c r="A495" s="10">
        <v>10322</v>
      </c>
      <c r="B495" s="9">
        <v>43</v>
      </c>
      <c r="C495" s="9">
        <v>863</v>
      </c>
      <c r="D495" s="9">
        <f>PRODUCT(sales_data_sample[[#This Row],[QUANTITYORDERED]],sales_data_sample[[#This Row],[PRICEEACH]])</f>
        <v>37109</v>
      </c>
      <c r="E495" s="9">
        <f>IF(OR(sales_data_sample[[#This Row],[STATUS]]="Shipped",sales_data_sample[[#This Row],[STATUS]]="Resolved"),sales_data_sample[[#This Row],[SALES]],0)</f>
        <v>37109</v>
      </c>
      <c r="F495" s="10">
        <v>14</v>
      </c>
      <c r="G495" s="12" t="s">
        <v>367</v>
      </c>
      <c r="H495" s="1" t="s">
        <v>26</v>
      </c>
      <c r="I495">
        <v>4</v>
      </c>
      <c r="J495">
        <v>11</v>
      </c>
      <c r="K495">
        <v>2004</v>
      </c>
      <c r="L495" s="1" t="s">
        <v>799</v>
      </c>
      <c r="M495">
        <v>102</v>
      </c>
      <c r="N495" s="1" t="s">
        <v>800</v>
      </c>
      <c r="O495" s="1" t="s">
        <v>368</v>
      </c>
      <c r="P495" s="1" t="s">
        <v>369</v>
      </c>
      <c r="Q495" s="1" t="s">
        <v>370</v>
      </c>
      <c r="R495" s="1" t="s">
        <v>32</v>
      </c>
      <c r="S495" s="1" t="s">
        <v>371</v>
      </c>
      <c r="T495" s="1" t="s">
        <v>372</v>
      </c>
      <c r="U495" s="1" t="s">
        <v>373</v>
      </c>
      <c r="V495" s="1" t="s">
        <v>36</v>
      </c>
      <c r="W495" s="1" t="s">
        <v>37</v>
      </c>
      <c r="X495" s="1" t="s">
        <v>67</v>
      </c>
      <c r="Y495" s="1" t="s">
        <v>366</v>
      </c>
      <c r="Z495" s="1" t="str">
        <f>TRIM(_xlfn.CONCAT(sales_data_sample[[#This Row],[CONTACTFIRSTNAME]],", ",sales_data_sample[[#This Row],[CONTACTLASTNAME]]))</f>
        <v>Valarie, Young</v>
      </c>
      <c r="AA495" s="1" t="s">
        <v>59</v>
      </c>
    </row>
    <row r="496" spans="1:27" x14ac:dyDescent="0.25">
      <c r="A496" s="10">
        <v>10332</v>
      </c>
      <c r="B496" s="9">
        <v>46</v>
      </c>
      <c r="C496" s="9">
        <v>9513</v>
      </c>
      <c r="D496" s="9">
        <f>PRODUCT(sales_data_sample[[#This Row],[QUANTITYORDERED]],sales_data_sample[[#This Row],[PRICEEACH]])</f>
        <v>437598</v>
      </c>
      <c r="E496" s="9">
        <f>IF(OR(sales_data_sample[[#This Row],[STATUS]]="Shipped",sales_data_sample[[#This Row],[STATUS]]="Resolved"),sales_data_sample[[#This Row],[SALES]],0)</f>
        <v>437598</v>
      </c>
      <c r="F496" s="10">
        <v>15</v>
      </c>
      <c r="G496" s="12" t="s">
        <v>793</v>
      </c>
      <c r="H496" s="1" t="s">
        <v>26</v>
      </c>
      <c r="I496">
        <v>4</v>
      </c>
      <c r="J496">
        <v>11</v>
      </c>
      <c r="K496">
        <v>2004</v>
      </c>
      <c r="L496" s="1" t="s">
        <v>799</v>
      </c>
      <c r="M496">
        <v>102</v>
      </c>
      <c r="N496" s="1" t="s">
        <v>800</v>
      </c>
      <c r="O496" s="1" t="s">
        <v>695</v>
      </c>
      <c r="P496" s="1" t="s">
        <v>696</v>
      </c>
      <c r="Q496" s="1" t="s">
        <v>697</v>
      </c>
      <c r="R496" s="1" t="s">
        <v>32</v>
      </c>
      <c r="S496" s="1" t="s">
        <v>698</v>
      </c>
      <c r="T496" s="1" t="s">
        <v>32</v>
      </c>
      <c r="U496" s="1" t="s">
        <v>699</v>
      </c>
      <c r="V496" s="1" t="s">
        <v>225</v>
      </c>
      <c r="W496" s="1" t="s">
        <v>48</v>
      </c>
      <c r="X496" s="1" t="s">
        <v>700</v>
      </c>
      <c r="Y496" s="1" t="s">
        <v>118</v>
      </c>
      <c r="Z496" s="1" t="str">
        <f>TRIM(_xlfn.CONCAT(sales_data_sample[[#This Row],[CONTACTFIRSTNAME]],", ",sales_data_sample[[#This Row],[CONTACTLASTNAME]]))</f>
        <v>Victoria, Ashworth</v>
      </c>
      <c r="AA496" s="1" t="s">
        <v>59</v>
      </c>
    </row>
    <row r="497" spans="1:27" x14ac:dyDescent="0.25">
      <c r="A497" s="10">
        <v>10346</v>
      </c>
      <c r="B497" s="9">
        <v>42</v>
      </c>
      <c r="C497" s="9">
        <v>3611</v>
      </c>
      <c r="D497" s="9">
        <f>PRODUCT(sales_data_sample[[#This Row],[QUANTITYORDERED]],sales_data_sample[[#This Row],[PRICEEACH]])</f>
        <v>151662</v>
      </c>
      <c r="E497" s="9">
        <f>IF(OR(sales_data_sample[[#This Row],[STATUS]]="Shipped",sales_data_sample[[#This Row],[STATUS]]="Resolved"),sales_data_sample[[#This Row],[SALES]],0)</f>
        <v>151662</v>
      </c>
      <c r="F497" s="10">
        <v>3</v>
      </c>
      <c r="G497" s="12" t="s">
        <v>375</v>
      </c>
      <c r="H497" s="1" t="s">
        <v>26</v>
      </c>
      <c r="I497">
        <v>4</v>
      </c>
      <c r="J497">
        <v>11</v>
      </c>
      <c r="K497">
        <v>2004</v>
      </c>
      <c r="L497" s="1" t="s">
        <v>799</v>
      </c>
      <c r="M497">
        <v>102</v>
      </c>
      <c r="N497" s="1" t="s">
        <v>800</v>
      </c>
      <c r="O497" s="1" t="s">
        <v>779</v>
      </c>
      <c r="P497" s="1" t="s">
        <v>780</v>
      </c>
      <c r="Q497" s="1" t="s">
        <v>781</v>
      </c>
      <c r="R497" s="1" t="s">
        <v>32</v>
      </c>
      <c r="S497" s="1" t="s">
        <v>782</v>
      </c>
      <c r="T497" s="1" t="s">
        <v>783</v>
      </c>
      <c r="U497" s="1" t="s">
        <v>784</v>
      </c>
      <c r="V497" s="1" t="s">
        <v>36</v>
      </c>
      <c r="W497" s="1" t="s">
        <v>37</v>
      </c>
      <c r="X497" s="1" t="s">
        <v>146</v>
      </c>
      <c r="Y497" s="1" t="s">
        <v>551</v>
      </c>
      <c r="Z497" s="1" t="str">
        <f>TRIM(_xlfn.CONCAT(sales_data_sample[[#This Row],[CONTACTFIRSTNAME]],", ",sales_data_sample[[#This Row],[CONTACTLASTNAME]]))</f>
        <v>Sue, King</v>
      </c>
      <c r="AA497" s="1" t="s">
        <v>40</v>
      </c>
    </row>
    <row r="498" spans="1:27" x14ac:dyDescent="0.25">
      <c r="A498" s="10">
        <v>10356</v>
      </c>
      <c r="B498" s="9">
        <v>50</v>
      </c>
      <c r="C498" s="9">
        <v>5018</v>
      </c>
      <c r="D498" s="9">
        <f>PRODUCT(sales_data_sample[[#This Row],[QUANTITYORDERED]],sales_data_sample[[#This Row],[PRICEEACH]])</f>
        <v>250900</v>
      </c>
      <c r="E498" s="9">
        <f>IF(OR(sales_data_sample[[#This Row],[STATUS]]="Shipped",sales_data_sample[[#This Row],[STATUS]]="Resolved"),sales_data_sample[[#This Row],[SALES]],0)</f>
        <v>250900</v>
      </c>
      <c r="F498" s="10">
        <v>9</v>
      </c>
      <c r="G498" s="12" t="s">
        <v>794</v>
      </c>
      <c r="H498" s="1" t="s">
        <v>26</v>
      </c>
      <c r="I498">
        <v>4</v>
      </c>
      <c r="J498">
        <v>12</v>
      </c>
      <c r="K498">
        <v>2004</v>
      </c>
      <c r="L498" s="1" t="s">
        <v>799</v>
      </c>
      <c r="M498">
        <v>102</v>
      </c>
      <c r="N498" s="1" t="s">
        <v>800</v>
      </c>
      <c r="O498" s="1" t="s">
        <v>52</v>
      </c>
      <c r="P498" s="1" t="s">
        <v>53</v>
      </c>
      <c r="Q498" s="1" t="s">
        <v>54</v>
      </c>
      <c r="R498" s="1" t="s">
        <v>32</v>
      </c>
      <c r="S498" s="1" t="s">
        <v>55</v>
      </c>
      <c r="T498" s="1" t="s">
        <v>32</v>
      </c>
      <c r="U498" s="1" t="s">
        <v>56</v>
      </c>
      <c r="V498" s="1" t="s">
        <v>47</v>
      </c>
      <c r="W498" s="1" t="s">
        <v>48</v>
      </c>
      <c r="X498" s="1" t="s">
        <v>57</v>
      </c>
      <c r="Y498" s="1" t="s">
        <v>58</v>
      </c>
      <c r="Z498" s="1" t="str">
        <f>TRIM(_xlfn.CONCAT(sales_data_sample[[#This Row],[CONTACTFIRSTNAME]],", ",sales_data_sample[[#This Row],[CONTACTLASTNAME]]))</f>
        <v>Daniel, Da Cunha</v>
      </c>
      <c r="AA498" s="1" t="s">
        <v>40</v>
      </c>
    </row>
    <row r="499" spans="1:27" x14ac:dyDescent="0.25">
      <c r="A499" s="10">
        <v>10369</v>
      </c>
      <c r="B499" s="9">
        <v>44</v>
      </c>
      <c r="C499" s="9">
        <v>100</v>
      </c>
      <c r="D499" s="9">
        <f>PRODUCT(sales_data_sample[[#This Row],[QUANTITYORDERED]],sales_data_sample[[#This Row],[PRICEEACH]])</f>
        <v>4400</v>
      </c>
      <c r="E499" s="9">
        <f>IF(OR(sales_data_sample[[#This Row],[STATUS]]="Shipped",sales_data_sample[[#This Row],[STATUS]]="Resolved"),sales_data_sample[[#This Row],[SALES]],0)</f>
        <v>4400</v>
      </c>
      <c r="F499" s="10">
        <v>8</v>
      </c>
      <c r="G499" s="12" t="s">
        <v>377</v>
      </c>
      <c r="H499" s="1" t="s">
        <v>26</v>
      </c>
      <c r="I499">
        <v>1</v>
      </c>
      <c r="J499">
        <v>1</v>
      </c>
      <c r="K499">
        <v>2005</v>
      </c>
      <c r="L499" s="1" t="s">
        <v>799</v>
      </c>
      <c r="M499">
        <v>102</v>
      </c>
      <c r="N499" s="1" t="s">
        <v>800</v>
      </c>
      <c r="O499" s="1" t="s">
        <v>378</v>
      </c>
      <c r="P499" s="1" t="s">
        <v>157</v>
      </c>
      <c r="Q499" s="1" t="s">
        <v>379</v>
      </c>
      <c r="R499" s="1" t="s">
        <v>32</v>
      </c>
      <c r="S499" s="1" t="s">
        <v>380</v>
      </c>
      <c r="T499" s="1" t="s">
        <v>160</v>
      </c>
      <c r="U499" s="1" t="s">
        <v>381</v>
      </c>
      <c r="V499" s="1" t="s">
        <v>36</v>
      </c>
      <c r="W499" s="1" t="s">
        <v>37</v>
      </c>
      <c r="X499" s="1" t="s">
        <v>365</v>
      </c>
      <c r="Y499" s="1" t="s">
        <v>382</v>
      </c>
      <c r="Z499" s="1" t="str">
        <f>TRIM(_xlfn.CONCAT(sales_data_sample[[#This Row],[CONTACTFIRSTNAME]],", ",sales_data_sample[[#This Row],[CONTACTLASTNAME]]))</f>
        <v>Allen, Nelson</v>
      </c>
      <c r="AA499" s="1" t="s">
        <v>199</v>
      </c>
    </row>
    <row r="500" spans="1:27" x14ac:dyDescent="0.25">
      <c r="A500" s="10">
        <v>10380</v>
      </c>
      <c r="B500" s="9">
        <v>27</v>
      </c>
      <c r="C500" s="9">
        <v>9316</v>
      </c>
      <c r="D500" s="9">
        <f>PRODUCT(sales_data_sample[[#This Row],[QUANTITYORDERED]],sales_data_sample[[#This Row],[PRICEEACH]])</f>
        <v>251532</v>
      </c>
      <c r="E500" s="9">
        <f>IF(OR(sales_data_sample[[#This Row],[STATUS]]="Shipped",sales_data_sample[[#This Row],[STATUS]]="Resolved"),sales_data_sample[[#This Row],[SALES]],0)</f>
        <v>251532</v>
      </c>
      <c r="F500" s="10">
        <v>13</v>
      </c>
      <c r="G500" s="12" t="s">
        <v>826</v>
      </c>
      <c r="H500" s="1" t="s">
        <v>26</v>
      </c>
      <c r="I500">
        <v>1</v>
      </c>
      <c r="J500">
        <v>2</v>
      </c>
      <c r="K500">
        <v>2005</v>
      </c>
      <c r="L500" s="1" t="s">
        <v>799</v>
      </c>
      <c r="M500">
        <v>102</v>
      </c>
      <c r="N500" s="1" t="s">
        <v>800</v>
      </c>
      <c r="O500" s="1" t="s">
        <v>230</v>
      </c>
      <c r="P500" s="1" t="s">
        <v>231</v>
      </c>
      <c r="Q500" s="1" t="s">
        <v>232</v>
      </c>
      <c r="R500" s="1" t="s">
        <v>32</v>
      </c>
      <c r="S500" s="1" t="s">
        <v>233</v>
      </c>
      <c r="T500" s="1" t="s">
        <v>32</v>
      </c>
      <c r="U500" s="1" t="s">
        <v>234</v>
      </c>
      <c r="V500" s="1" t="s">
        <v>235</v>
      </c>
      <c r="W500" s="1" t="s">
        <v>48</v>
      </c>
      <c r="X500" s="1" t="s">
        <v>236</v>
      </c>
      <c r="Y500" s="1" t="s">
        <v>237</v>
      </c>
      <c r="Z500" s="1" t="str">
        <f>TRIM(_xlfn.CONCAT(sales_data_sample[[#This Row],[CONTACTFIRSTNAME]],", ",sales_data_sample[[#This Row],[CONTACTLASTNAME]]))</f>
        <v>Diego, Freyre</v>
      </c>
      <c r="AA500" s="1" t="s">
        <v>40</v>
      </c>
    </row>
    <row r="501" spans="1:27" x14ac:dyDescent="0.25">
      <c r="A501">
        <v>10391</v>
      </c>
      <c r="B501">
        <v>35</v>
      </c>
      <c r="C501">
        <v>100</v>
      </c>
      <c r="D501">
        <f>PRODUCT(sales_data_sample[[#This Row],[QUANTITYORDERED]],sales_data_sample[[#This Row],[PRICEEACH]])</f>
        <v>3500</v>
      </c>
      <c r="E501" s="9">
        <f>IF(OR(sales_data_sample[[#This Row],[STATUS]]="Shipped",sales_data_sample[[#This Row],[STATUS]]="Resolved"),sales_data_sample[[#This Row],[SALES]],0)</f>
        <v>3500</v>
      </c>
      <c r="F501">
        <v>2</v>
      </c>
      <c r="G501" s="12" t="s">
        <v>384</v>
      </c>
      <c r="H501" s="1" t="s">
        <v>26</v>
      </c>
      <c r="I501">
        <v>1</v>
      </c>
      <c r="J501">
        <v>3</v>
      </c>
      <c r="K501">
        <v>2005</v>
      </c>
      <c r="L501" s="1" t="s">
        <v>799</v>
      </c>
      <c r="M501">
        <v>102</v>
      </c>
      <c r="N501" s="1" t="s">
        <v>800</v>
      </c>
      <c r="O501" s="1" t="s">
        <v>385</v>
      </c>
      <c r="P501" s="1" t="s">
        <v>386</v>
      </c>
      <c r="Q501" s="1" t="s">
        <v>387</v>
      </c>
      <c r="R501" s="1" t="s">
        <v>388</v>
      </c>
      <c r="S501" s="1" t="s">
        <v>389</v>
      </c>
      <c r="T501" s="1" t="s">
        <v>206</v>
      </c>
      <c r="U501" s="1" t="s">
        <v>390</v>
      </c>
      <c r="V501" s="1" t="s">
        <v>120</v>
      </c>
      <c r="W501" s="1" t="s">
        <v>121</v>
      </c>
      <c r="X501" s="1" t="s">
        <v>391</v>
      </c>
      <c r="Y501" s="1" t="s">
        <v>392</v>
      </c>
      <c r="Z501" s="1" t="str">
        <f>TRIM(_xlfn.CONCAT(sales_data_sample[[#This Row],[CONTACTFIRSTNAME]],", ",sales_data_sample[[#This Row],[CONTACTLASTNAME]]))</f>
        <v>Anna, O'Hara</v>
      </c>
      <c r="AA501" s="1" t="s">
        <v>59</v>
      </c>
    </row>
    <row r="502" spans="1:27" x14ac:dyDescent="0.25">
      <c r="A502" s="10">
        <v>10422</v>
      </c>
      <c r="B502" s="9">
        <v>51</v>
      </c>
      <c r="C502" s="9">
        <v>9555</v>
      </c>
      <c r="D502" s="9">
        <f>PRODUCT(sales_data_sample[[#This Row],[QUANTITYORDERED]],sales_data_sample[[#This Row],[PRICEEACH]])</f>
        <v>487305</v>
      </c>
      <c r="E502" s="9">
        <f>IF(OR(sales_data_sample[[#This Row],[STATUS]]="Shipped",sales_data_sample[[#This Row],[STATUS]]="Resolved"),sales_data_sample[[#This Row],[SALES]],0)</f>
        <v>0</v>
      </c>
      <c r="F502" s="10">
        <v>2</v>
      </c>
      <c r="G502" s="12" t="s">
        <v>827</v>
      </c>
      <c r="H502" s="1" t="s">
        <v>403</v>
      </c>
      <c r="I502">
        <v>2</v>
      </c>
      <c r="J502">
        <v>5</v>
      </c>
      <c r="K502">
        <v>2005</v>
      </c>
      <c r="L502" s="1" t="s">
        <v>799</v>
      </c>
      <c r="M502">
        <v>102</v>
      </c>
      <c r="N502" s="1" t="s">
        <v>800</v>
      </c>
      <c r="O502" s="1" t="s">
        <v>182</v>
      </c>
      <c r="P502" s="1" t="s">
        <v>183</v>
      </c>
      <c r="Q502" s="1" t="s">
        <v>184</v>
      </c>
      <c r="R502" s="1" t="s">
        <v>32</v>
      </c>
      <c r="S502" s="1" t="s">
        <v>185</v>
      </c>
      <c r="T502" s="1" t="s">
        <v>186</v>
      </c>
      <c r="U502" s="1" t="s">
        <v>187</v>
      </c>
      <c r="V502" s="1" t="s">
        <v>36</v>
      </c>
      <c r="W502" s="1" t="s">
        <v>37</v>
      </c>
      <c r="X502" s="1" t="s">
        <v>38</v>
      </c>
      <c r="Y502" s="1" t="s">
        <v>188</v>
      </c>
      <c r="Z502" s="1" t="str">
        <f>TRIM(_xlfn.CONCAT(sales_data_sample[[#This Row],[CONTACTFIRSTNAME]],", ",sales_data_sample[[#This Row],[CONTACTLASTNAME]]))</f>
        <v>Kyung, Yu</v>
      </c>
      <c r="AA502" s="1" t="s">
        <v>59</v>
      </c>
    </row>
    <row r="503" spans="1:27" x14ac:dyDescent="0.25">
      <c r="A503">
        <v>10102</v>
      </c>
      <c r="B503">
        <v>41</v>
      </c>
      <c r="C503">
        <v>5014</v>
      </c>
      <c r="D503">
        <f>PRODUCT(sales_data_sample[[#This Row],[QUANTITYORDERED]],sales_data_sample[[#This Row],[PRICEEACH]])</f>
        <v>205574</v>
      </c>
      <c r="E503" s="9">
        <f>IF(OR(sales_data_sample[[#This Row],[STATUS]]="Shipped",sales_data_sample[[#This Row],[STATUS]]="Resolved"),sales_data_sample[[#This Row],[SALES]],0)</f>
        <v>205574</v>
      </c>
      <c r="F503">
        <v>1</v>
      </c>
      <c r="G503" s="12" t="s">
        <v>798</v>
      </c>
      <c r="H503" s="1" t="s">
        <v>26</v>
      </c>
      <c r="I503">
        <v>1</v>
      </c>
      <c r="J503">
        <v>1</v>
      </c>
      <c r="K503">
        <v>2003</v>
      </c>
      <c r="L503" s="1" t="s">
        <v>799</v>
      </c>
      <c r="M503">
        <v>53</v>
      </c>
      <c r="N503" s="1" t="s">
        <v>828</v>
      </c>
      <c r="O503" s="1" t="s">
        <v>125</v>
      </c>
      <c r="P503" s="1" t="s">
        <v>126</v>
      </c>
      <c r="Q503" s="1" t="s">
        <v>127</v>
      </c>
      <c r="R503" s="1" t="s">
        <v>128</v>
      </c>
      <c r="S503" s="1" t="s">
        <v>33</v>
      </c>
      <c r="T503" s="1" t="s">
        <v>34</v>
      </c>
      <c r="U503" s="1" t="s">
        <v>35</v>
      </c>
      <c r="V503" s="1" t="s">
        <v>36</v>
      </c>
      <c r="W503" s="1" t="s">
        <v>37</v>
      </c>
      <c r="X503" s="1" t="s">
        <v>129</v>
      </c>
      <c r="Y503" s="1" t="s">
        <v>130</v>
      </c>
      <c r="Z503" s="1" t="str">
        <f>TRIM(_xlfn.CONCAT(sales_data_sample[[#This Row],[CONTACTFIRSTNAME]],", ",sales_data_sample[[#This Row],[CONTACTLASTNAME]]))</f>
        <v>Michael, Frick</v>
      </c>
      <c r="AA503" s="1" t="s">
        <v>40</v>
      </c>
    </row>
    <row r="504" spans="1:27" x14ac:dyDescent="0.25">
      <c r="A504" s="10">
        <v>10111</v>
      </c>
      <c r="B504" s="9">
        <v>48</v>
      </c>
      <c r="C504" s="9">
        <v>4906</v>
      </c>
      <c r="D504" s="9">
        <f>PRODUCT(sales_data_sample[[#This Row],[QUANTITYORDERED]],sales_data_sample[[#This Row],[PRICEEACH]])</f>
        <v>235488</v>
      </c>
      <c r="E504" s="9">
        <f>IF(OR(sales_data_sample[[#This Row],[STATUS]]="Shipped",sales_data_sample[[#This Row],[STATUS]]="Resolved"),sales_data_sample[[#This Row],[SALES]],0)</f>
        <v>235488</v>
      </c>
      <c r="F504" s="10">
        <v>5</v>
      </c>
      <c r="G504" s="12" t="s">
        <v>801</v>
      </c>
      <c r="H504" s="1" t="s">
        <v>26</v>
      </c>
      <c r="I504">
        <v>1</v>
      </c>
      <c r="J504">
        <v>3</v>
      </c>
      <c r="K504">
        <v>2003</v>
      </c>
      <c r="L504" s="1" t="s">
        <v>799</v>
      </c>
      <c r="M504">
        <v>53</v>
      </c>
      <c r="N504" s="1" t="s">
        <v>828</v>
      </c>
      <c r="O504" s="1" t="s">
        <v>101</v>
      </c>
      <c r="P504" s="1" t="s">
        <v>102</v>
      </c>
      <c r="Q504" s="1" t="s">
        <v>103</v>
      </c>
      <c r="R504" s="1" t="s">
        <v>32</v>
      </c>
      <c r="S504" s="1" t="s">
        <v>73</v>
      </c>
      <c r="T504" s="1" t="s">
        <v>65</v>
      </c>
      <c r="U504" s="1" t="s">
        <v>32</v>
      </c>
      <c r="V504" s="1" t="s">
        <v>36</v>
      </c>
      <c r="W504" s="1" t="s">
        <v>37</v>
      </c>
      <c r="X504" s="1" t="s">
        <v>104</v>
      </c>
      <c r="Y504" s="1" t="s">
        <v>68</v>
      </c>
      <c r="Z504" s="1" t="str">
        <f>TRIM(_xlfn.CONCAT(sales_data_sample[[#This Row],[CONTACTFIRSTNAME]],", ",sales_data_sample[[#This Row],[CONTACTLASTNAME]]))</f>
        <v>Julie, Murphy</v>
      </c>
      <c r="AA504" s="1" t="s">
        <v>40</v>
      </c>
    </row>
    <row r="505" spans="1:27" x14ac:dyDescent="0.25">
      <c r="A505" s="10">
        <v>10126</v>
      </c>
      <c r="B505" s="9">
        <v>42</v>
      </c>
      <c r="C505" s="9">
        <v>5499</v>
      </c>
      <c r="D505" s="9">
        <f>PRODUCT(sales_data_sample[[#This Row],[QUANTITYORDERED]],sales_data_sample[[#This Row],[PRICEEACH]])</f>
        <v>230958</v>
      </c>
      <c r="E505" s="9">
        <f>IF(OR(sales_data_sample[[#This Row],[STATUS]]="Shipped",sales_data_sample[[#This Row],[STATUS]]="Resolved"),sales_data_sample[[#This Row],[SALES]],0)</f>
        <v>230958</v>
      </c>
      <c r="F505" s="10">
        <v>17</v>
      </c>
      <c r="G505" s="12" t="s">
        <v>250</v>
      </c>
      <c r="H505" s="1" t="s">
        <v>26</v>
      </c>
      <c r="I505">
        <v>2</v>
      </c>
      <c r="J505">
        <v>5</v>
      </c>
      <c r="K505">
        <v>2003</v>
      </c>
      <c r="L505" s="1" t="s">
        <v>799</v>
      </c>
      <c r="M505">
        <v>53</v>
      </c>
      <c r="N505" s="1" t="s">
        <v>828</v>
      </c>
      <c r="O505" s="1" t="s">
        <v>251</v>
      </c>
      <c r="P505" s="1" t="s">
        <v>252</v>
      </c>
      <c r="Q505" s="1" t="s">
        <v>253</v>
      </c>
      <c r="R505" s="1" t="s">
        <v>32</v>
      </c>
      <c r="S505" s="1" t="s">
        <v>233</v>
      </c>
      <c r="T505" s="1" t="s">
        <v>32</v>
      </c>
      <c r="U505" s="1" t="s">
        <v>254</v>
      </c>
      <c r="V505" s="1" t="s">
        <v>235</v>
      </c>
      <c r="W505" s="1" t="s">
        <v>48</v>
      </c>
      <c r="X505" s="1" t="s">
        <v>255</v>
      </c>
      <c r="Y505" s="1" t="s">
        <v>256</v>
      </c>
      <c r="Z505" s="1" t="str">
        <f>TRIM(_xlfn.CONCAT(sales_data_sample[[#This Row],[CONTACTFIRSTNAME]],", ",sales_data_sample[[#This Row],[CONTACTLASTNAME]]))</f>
        <v>Mart¡n, Sommer</v>
      </c>
      <c r="AA505" s="1" t="s">
        <v>40</v>
      </c>
    </row>
    <row r="506" spans="1:27" x14ac:dyDescent="0.25">
      <c r="A506">
        <v>10139</v>
      </c>
      <c r="B506">
        <v>49</v>
      </c>
      <c r="C506">
        <v>4313</v>
      </c>
      <c r="D506">
        <f>PRODUCT(sales_data_sample[[#This Row],[QUANTITYORDERED]],sales_data_sample[[#This Row],[PRICEEACH]])</f>
        <v>211337</v>
      </c>
      <c r="E506" s="9">
        <f>IF(OR(sales_data_sample[[#This Row],[STATUS]]="Shipped",sales_data_sample[[#This Row],[STATUS]]="Resolved"),sales_data_sample[[#This Row],[SALES]],0)</f>
        <v>211337</v>
      </c>
      <c r="F506">
        <v>6</v>
      </c>
      <c r="G506" s="12" t="s">
        <v>803</v>
      </c>
      <c r="H506" s="1" t="s">
        <v>26</v>
      </c>
      <c r="I506">
        <v>3</v>
      </c>
      <c r="J506">
        <v>7</v>
      </c>
      <c r="K506">
        <v>2003</v>
      </c>
      <c r="L506" s="1" t="s">
        <v>799</v>
      </c>
      <c r="M506">
        <v>53</v>
      </c>
      <c r="N506" s="1" t="s">
        <v>828</v>
      </c>
      <c r="O506" s="1" t="s">
        <v>201</v>
      </c>
      <c r="P506" s="1" t="s">
        <v>202</v>
      </c>
      <c r="Q506" s="1" t="s">
        <v>203</v>
      </c>
      <c r="R506" s="1" t="s">
        <v>204</v>
      </c>
      <c r="S506" s="1" t="s">
        <v>205</v>
      </c>
      <c r="T506" s="1" t="s">
        <v>206</v>
      </c>
      <c r="U506" s="1" t="s">
        <v>207</v>
      </c>
      <c r="V506" s="1" t="s">
        <v>120</v>
      </c>
      <c r="W506" s="1" t="s">
        <v>121</v>
      </c>
      <c r="X506" s="1" t="s">
        <v>208</v>
      </c>
      <c r="Y506" s="1" t="s">
        <v>209</v>
      </c>
      <c r="Z506" s="1" t="str">
        <f>TRIM(_xlfn.CONCAT(sales_data_sample[[#This Row],[CONTACTFIRSTNAME]],", ",sales_data_sample[[#This Row],[CONTACTLASTNAME]]))</f>
        <v>Adrian, Huxley</v>
      </c>
      <c r="AA506" s="1" t="s">
        <v>40</v>
      </c>
    </row>
    <row r="507" spans="1:27" x14ac:dyDescent="0.25">
      <c r="A507" s="10">
        <v>10149</v>
      </c>
      <c r="B507" s="9">
        <v>30</v>
      </c>
      <c r="C507" s="9">
        <v>5822</v>
      </c>
      <c r="D507" s="9">
        <f>PRODUCT(sales_data_sample[[#This Row],[QUANTITYORDERED]],sales_data_sample[[#This Row],[PRICEEACH]])</f>
        <v>174660</v>
      </c>
      <c r="E507" s="9">
        <f>IF(OR(sales_data_sample[[#This Row],[STATUS]]="Shipped",sales_data_sample[[#This Row],[STATUS]]="Resolved"),sales_data_sample[[#This Row],[SALES]],0)</f>
        <v>174660</v>
      </c>
      <c r="F507" s="10">
        <v>3</v>
      </c>
      <c r="G507" s="12" t="s">
        <v>804</v>
      </c>
      <c r="H507" s="1" t="s">
        <v>26</v>
      </c>
      <c r="I507">
        <v>3</v>
      </c>
      <c r="J507">
        <v>9</v>
      </c>
      <c r="K507">
        <v>2003</v>
      </c>
      <c r="L507" s="1" t="s">
        <v>799</v>
      </c>
      <c r="M507">
        <v>53</v>
      </c>
      <c r="N507" s="1" t="s">
        <v>828</v>
      </c>
      <c r="O507" s="1" t="s">
        <v>753</v>
      </c>
      <c r="P507" s="1" t="s">
        <v>754</v>
      </c>
      <c r="Q507" s="1" t="s">
        <v>755</v>
      </c>
      <c r="R507" s="1" t="s">
        <v>32</v>
      </c>
      <c r="S507" s="1" t="s">
        <v>756</v>
      </c>
      <c r="T507" s="1" t="s">
        <v>65</v>
      </c>
      <c r="U507" s="1" t="s">
        <v>80</v>
      </c>
      <c r="V507" s="1" t="s">
        <v>36</v>
      </c>
      <c r="W507" s="1" t="s">
        <v>37</v>
      </c>
      <c r="X507" s="1" t="s">
        <v>757</v>
      </c>
      <c r="Y507" s="1" t="s">
        <v>551</v>
      </c>
      <c r="Z507" s="1" t="str">
        <f>TRIM(_xlfn.CONCAT(sales_data_sample[[#This Row],[CONTACTFIRSTNAME]],", ",sales_data_sample[[#This Row],[CONTACTLASTNAME]]))</f>
        <v>Sue, Taylor</v>
      </c>
      <c r="AA507" s="1" t="s">
        <v>40</v>
      </c>
    </row>
    <row r="508" spans="1:27" x14ac:dyDescent="0.25">
      <c r="A508" s="10">
        <v>10162</v>
      </c>
      <c r="B508" s="9">
        <v>45</v>
      </c>
      <c r="C508" s="9">
        <v>5121</v>
      </c>
      <c r="D508" s="9">
        <f>PRODUCT(sales_data_sample[[#This Row],[QUANTITYORDERED]],sales_data_sample[[#This Row],[PRICEEACH]])</f>
        <v>230445</v>
      </c>
      <c r="E508" s="9">
        <f>IF(OR(sales_data_sample[[#This Row],[STATUS]]="Shipped",sales_data_sample[[#This Row],[STATUS]]="Resolved"),sales_data_sample[[#This Row],[SALES]],0)</f>
        <v>230445</v>
      </c>
      <c r="F508" s="10">
        <v>1</v>
      </c>
      <c r="G508" s="12" t="s">
        <v>805</v>
      </c>
      <c r="H508" s="1" t="s">
        <v>26</v>
      </c>
      <c r="I508">
        <v>4</v>
      </c>
      <c r="J508">
        <v>10</v>
      </c>
      <c r="K508">
        <v>2003</v>
      </c>
      <c r="L508" s="1" t="s">
        <v>799</v>
      </c>
      <c r="M508">
        <v>53</v>
      </c>
      <c r="N508" s="1" t="s">
        <v>828</v>
      </c>
      <c r="O508" s="1" t="s">
        <v>70</v>
      </c>
      <c r="P508" s="1" t="s">
        <v>71</v>
      </c>
      <c r="Q508" s="1" t="s">
        <v>72</v>
      </c>
      <c r="R508" s="1" t="s">
        <v>32</v>
      </c>
      <c r="S508" s="1" t="s">
        <v>73</v>
      </c>
      <c r="T508" s="1" t="s">
        <v>65</v>
      </c>
      <c r="U508" s="1" t="s">
        <v>32</v>
      </c>
      <c r="V508" s="1" t="s">
        <v>36</v>
      </c>
      <c r="W508" s="1" t="s">
        <v>37</v>
      </c>
      <c r="X508" s="1" t="s">
        <v>74</v>
      </c>
      <c r="Y508" s="1" t="s">
        <v>68</v>
      </c>
      <c r="Z508" s="1" t="str">
        <f>TRIM(_xlfn.CONCAT(sales_data_sample[[#This Row],[CONTACTFIRSTNAME]],", ",sales_data_sample[[#This Row],[CONTACTLASTNAME]]))</f>
        <v>Julie, Brown</v>
      </c>
      <c r="AA508" s="1" t="s">
        <v>40</v>
      </c>
    </row>
    <row r="509" spans="1:27" x14ac:dyDescent="0.25">
      <c r="A509" s="10">
        <v>10173</v>
      </c>
      <c r="B509" s="9">
        <v>48</v>
      </c>
      <c r="C509" s="9">
        <v>4421</v>
      </c>
      <c r="D509" s="9">
        <f>PRODUCT(sales_data_sample[[#This Row],[QUANTITYORDERED]],sales_data_sample[[#This Row],[PRICEEACH]])</f>
        <v>212208</v>
      </c>
      <c r="E509" s="9">
        <f>IF(OR(sales_data_sample[[#This Row],[STATUS]]="Shipped",sales_data_sample[[#This Row],[STATUS]]="Resolved"),sales_data_sample[[#This Row],[SALES]],0)</f>
        <v>212208</v>
      </c>
      <c r="F509" s="10">
        <v>5</v>
      </c>
      <c r="G509" s="12" t="s">
        <v>776</v>
      </c>
      <c r="H509" s="1" t="s">
        <v>26</v>
      </c>
      <c r="I509">
        <v>4</v>
      </c>
      <c r="J509">
        <v>11</v>
      </c>
      <c r="K509">
        <v>2003</v>
      </c>
      <c r="L509" s="1" t="s">
        <v>799</v>
      </c>
      <c r="M509">
        <v>53</v>
      </c>
      <c r="N509" s="1" t="s">
        <v>828</v>
      </c>
      <c r="O509" s="1" t="s">
        <v>806</v>
      </c>
      <c r="P509" s="1" t="s">
        <v>807</v>
      </c>
      <c r="Q509" s="1" t="s">
        <v>808</v>
      </c>
      <c r="R509" s="1" t="s">
        <v>32</v>
      </c>
      <c r="S509" s="1" t="s">
        <v>809</v>
      </c>
      <c r="T509" s="1" t="s">
        <v>32</v>
      </c>
      <c r="U509" s="1" t="s">
        <v>810</v>
      </c>
      <c r="V509" s="1" t="s">
        <v>343</v>
      </c>
      <c r="W509" s="1" t="s">
        <v>48</v>
      </c>
      <c r="X509" s="1" t="s">
        <v>811</v>
      </c>
      <c r="Y509" s="1" t="s">
        <v>812</v>
      </c>
      <c r="Z509" s="1" t="str">
        <f>TRIM(_xlfn.CONCAT(sales_data_sample[[#This Row],[CONTACTFIRSTNAME]],", ",sales_data_sample[[#This Row],[CONTACTLASTNAME]]))</f>
        <v>Giovanni, Rovelli</v>
      </c>
      <c r="AA509" s="1" t="s">
        <v>40</v>
      </c>
    </row>
    <row r="510" spans="1:27" x14ac:dyDescent="0.25">
      <c r="A510" s="10">
        <v>10182</v>
      </c>
      <c r="B510" s="9">
        <v>32</v>
      </c>
      <c r="C510" s="9">
        <v>5445</v>
      </c>
      <c r="D510" s="9">
        <f>PRODUCT(sales_data_sample[[#This Row],[QUANTITYORDERED]],sales_data_sample[[#This Row],[PRICEEACH]])</f>
        <v>174240</v>
      </c>
      <c r="E510" s="9">
        <f>IF(OR(sales_data_sample[[#This Row],[STATUS]]="Shipped",sales_data_sample[[#This Row],[STATUS]]="Resolved"),sales_data_sample[[#This Row],[SALES]],0)</f>
        <v>174240</v>
      </c>
      <c r="F510" s="10">
        <v>2</v>
      </c>
      <c r="G510" s="12" t="s">
        <v>610</v>
      </c>
      <c r="H510" s="1" t="s">
        <v>26</v>
      </c>
      <c r="I510">
        <v>4</v>
      </c>
      <c r="J510">
        <v>11</v>
      </c>
      <c r="K510">
        <v>2003</v>
      </c>
      <c r="L510" s="1" t="s">
        <v>799</v>
      </c>
      <c r="M510">
        <v>53</v>
      </c>
      <c r="N510" s="1" t="s">
        <v>828</v>
      </c>
      <c r="O510" s="1" t="s">
        <v>361</v>
      </c>
      <c r="P510" s="1" t="s">
        <v>362</v>
      </c>
      <c r="Q510" s="1" t="s">
        <v>363</v>
      </c>
      <c r="R510" s="1" t="s">
        <v>32</v>
      </c>
      <c r="S510" s="1" t="s">
        <v>364</v>
      </c>
      <c r="T510" s="1" t="s">
        <v>65</v>
      </c>
      <c r="U510" s="1" t="s">
        <v>145</v>
      </c>
      <c r="V510" s="1" t="s">
        <v>36</v>
      </c>
      <c r="W510" s="1" t="s">
        <v>37</v>
      </c>
      <c r="X510" s="1" t="s">
        <v>365</v>
      </c>
      <c r="Y510" s="1" t="s">
        <v>366</v>
      </c>
      <c r="Z510" s="1" t="str">
        <f>TRIM(_xlfn.CONCAT(sales_data_sample[[#This Row],[CONTACTFIRSTNAME]],", ",sales_data_sample[[#This Row],[CONTACTLASTNAME]]))</f>
        <v>Valarie, Nelson</v>
      </c>
      <c r="AA510" s="1" t="s">
        <v>40</v>
      </c>
    </row>
    <row r="511" spans="1:27" x14ac:dyDescent="0.25">
      <c r="A511" s="10">
        <v>10193</v>
      </c>
      <c r="B511" s="9">
        <v>46</v>
      </c>
      <c r="C511" s="9">
        <v>5337</v>
      </c>
      <c r="D511" s="9">
        <f>PRODUCT(sales_data_sample[[#This Row],[QUANTITYORDERED]],sales_data_sample[[#This Row],[PRICEEACH]])</f>
        <v>245502</v>
      </c>
      <c r="E511" s="9">
        <f>IF(OR(sales_data_sample[[#This Row],[STATUS]]="Shipped",sales_data_sample[[#This Row],[STATUS]]="Resolved"),sales_data_sample[[#This Row],[SALES]],0)</f>
        <v>245502</v>
      </c>
      <c r="F511" s="10">
        <v>6</v>
      </c>
      <c r="G511" s="12" t="s">
        <v>813</v>
      </c>
      <c r="H511" s="1" t="s">
        <v>26</v>
      </c>
      <c r="I511">
        <v>4</v>
      </c>
      <c r="J511">
        <v>11</v>
      </c>
      <c r="K511">
        <v>2003</v>
      </c>
      <c r="L511" s="1" t="s">
        <v>799</v>
      </c>
      <c r="M511">
        <v>53</v>
      </c>
      <c r="N511" s="1" t="s">
        <v>828</v>
      </c>
      <c r="O511" s="1" t="s">
        <v>814</v>
      </c>
      <c r="P511" s="1" t="s">
        <v>815</v>
      </c>
      <c r="Q511" s="1" t="s">
        <v>816</v>
      </c>
      <c r="R511" s="1" t="s">
        <v>32</v>
      </c>
      <c r="S511" s="1" t="s">
        <v>817</v>
      </c>
      <c r="T511" s="1" t="s">
        <v>118</v>
      </c>
      <c r="U511" s="1" t="s">
        <v>818</v>
      </c>
      <c r="V511" s="1" t="s">
        <v>120</v>
      </c>
      <c r="W511" s="1" t="s">
        <v>121</v>
      </c>
      <c r="X511" s="1" t="s">
        <v>819</v>
      </c>
      <c r="Y511" s="1" t="s">
        <v>820</v>
      </c>
      <c r="Z511" s="1" t="str">
        <f>TRIM(_xlfn.CONCAT(sales_data_sample[[#This Row],[CONTACTFIRSTNAME]],", ",sales_data_sample[[#This Row],[CONTACTLASTNAME]]))</f>
        <v>Sean, Connery</v>
      </c>
      <c r="AA511" s="1" t="s">
        <v>40</v>
      </c>
    </row>
    <row r="512" spans="1:27" x14ac:dyDescent="0.25">
      <c r="A512" s="10">
        <v>10205</v>
      </c>
      <c r="B512" s="9">
        <v>48</v>
      </c>
      <c r="C512" s="9">
        <v>6361</v>
      </c>
      <c r="D512" s="9">
        <f>PRODUCT(sales_data_sample[[#This Row],[QUANTITYORDERED]],sales_data_sample[[#This Row],[PRICEEACH]])</f>
        <v>305328</v>
      </c>
      <c r="E512" s="9">
        <f>IF(OR(sales_data_sample[[#This Row],[STATUS]]="Shipped",sales_data_sample[[#This Row],[STATUS]]="Resolved"),sales_data_sample[[#This Row],[SALES]],0)</f>
        <v>305328</v>
      </c>
      <c r="F512" s="10">
        <v>1</v>
      </c>
      <c r="G512" s="12" t="s">
        <v>821</v>
      </c>
      <c r="H512" s="1" t="s">
        <v>26</v>
      </c>
      <c r="I512">
        <v>4</v>
      </c>
      <c r="J512">
        <v>12</v>
      </c>
      <c r="K512">
        <v>2003</v>
      </c>
      <c r="L512" s="1" t="s">
        <v>799</v>
      </c>
      <c r="M512">
        <v>53</v>
      </c>
      <c r="N512" s="1" t="s">
        <v>828</v>
      </c>
      <c r="O512" s="1" t="s">
        <v>230</v>
      </c>
      <c r="P512" s="1" t="s">
        <v>231</v>
      </c>
      <c r="Q512" s="1" t="s">
        <v>232</v>
      </c>
      <c r="R512" s="1" t="s">
        <v>32</v>
      </c>
      <c r="S512" s="1" t="s">
        <v>233</v>
      </c>
      <c r="T512" s="1" t="s">
        <v>32</v>
      </c>
      <c r="U512" s="1" t="s">
        <v>234</v>
      </c>
      <c r="V512" s="1" t="s">
        <v>235</v>
      </c>
      <c r="W512" s="1" t="s">
        <v>48</v>
      </c>
      <c r="X512" s="1" t="s">
        <v>236</v>
      </c>
      <c r="Y512" s="1" t="s">
        <v>237</v>
      </c>
      <c r="Z512" s="1" t="str">
        <f>TRIM(_xlfn.CONCAT(sales_data_sample[[#This Row],[CONTACTFIRSTNAME]],", ",sales_data_sample[[#This Row],[CONTACTLASTNAME]]))</f>
        <v>Diego, Freyre</v>
      </c>
      <c r="AA512" s="1" t="s">
        <v>59</v>
      </c>
    </row>
    <row r="513" spans="1:27" x14ac:dyDescent="0.25">
      <c r="A513" s="10">
        <v>10215</v>
      </c>
      <c r="B513" s="9">
        <v>33</v>
      </c>
      <c r="C513" s="9">
        <v>4313</v>
      </c>
      <c r="D513" s="9">
        <f>PRODUCT(sales_data_sample[[#This Row],[QUANTITYORDERED]],sales_data_sample[[#This Row],[PRICEEACH]])</f>
        <v>142329</v>
      </c>
      <c r="E513" s="9">
        <f>IF(OR(sales_data_sample[[#This Row],[STATUS]]="Shipped",sales_data_sample[[#This Row],[STATUS]]="Resolved"),sales_data_sample[[#This Row],[SALES]],0)</f>
        <v>142329</v>
      </c>
      <c r="F513" s="10">
        <v>9</v>
      </c>
      <c r="G513" s="12" t="s">
        <v>308</v>
      </c>
      <c r="H513" s="1" t="s">
        <v>26</v>
      </c>
      <c r="I513">
        <v>1</v>
      </c>
      <c r="J513">
        <v>1</v>
      </c>
      <c r="K513">
        <v>2004</v>
      </c>
      <c r="L513" s="1" t="s">
        <v>799</v>
      </c>
      <c r="M513">
        <v>53</v>
      </c>
      <c r="N513" s="1" t="s">
        <v>828</v>
      </c>
      <c r="O513" s="1" t="s">
        <v>309</v>
      </c>
      <c r="P513" s="1" t="s">
        <v>310</v>
      </c>
      <c r="Q513" s="1" t="s">
        <v>311</v>
      </c>
      <c r="R513" s="1" t="s">
        <v>32</v>
      </c>
      <c r="S513" s="1" t="s">
        <v>312</v>
      </c>
      <c r="T513" s="1" t="s">
        <v>65</v>
      </c>
      <c r="U513" s="1" t="s">
        <v>137</v>
      </c>
      <c r="V513" s="1" t="s">
        <v>36</v>
      </c>
      <c r="W513" s="1" t="s">
        <v>37</v>
      </c>
      <c r="X513" s="1" t="s">
        <v>313</v>
      </c>
      <c r="Y513" s="1" t="s">
        <v>314</v>
      </c>
      <c r="Z513" s="1" t="str">
        <f>TRIM(_xlfn.CONCAT(sales_data_sample[[#This Row],[CONTACTFIRSTNAME]],", ",sales_data_sample[[#This Row],[CONTACTLASTNAME]]))</f>
        <v>Steve, Thompson</v>
      </c>
      <c r="AA513" s="1" t="s">
        <v>40</v>
      </c>
    </row>
    <row r="514" spans="1:27" x14ac:dyDescent="0.25">
      <c r="A514" s="10">
        <v>10227</v>
      </c>
      <c r="B514" s="9">
        <v>31</v>
      </c>
      <c r="C514" s="9">
        <v>4852</v>
      </c>
      <c r="D514" s="9">
        <f>PRODUCT(sales_data_sample[[#This Row],[QUANTITYORDERED]],sales_data_sample[[#This Row],[PRICEEACH]])</f>
        <v>150412</v>
      </c>
      <c r="E514" s="9">
        <f>IF(OR(sales_data_sample[[#This Row],[STATUS]]="Shipped",sales_data_sample[[#This Row],[STATUS]]="Resolved"),sales_data_sample[[#This Row],[SALES]],0)</f>
        <v>150412</v>
      </c>
      <c r="F514" s="10">
        <v>2</v>
      </c>
      <c r="G514" s="12" t="s">
        <v>822</v>
      </c>
      <c r="H514" s="1" t="s">
        <v>26</v>
      </c>
      <c r="I514">
        <v>1</v>
      </c>
      <c r="J514">
        <v>3</v>
      </c>
      <c r="K514">
        <v>2004</v>
      </c>
      <c r="L514" s="1" t="s">
        <v>799</v>
      </c>
      <c r="M514">
        <v>53</v>
      </c>
      <c r="N514" s="1" t="s">
        <v>828</v>
      </c>
      <c r="O514" s="1" t="s">
        <v>291</v>
      </c>
      <c r="P514" s="1" t="s">
        <v>292</v>
      </c>
      <c r="Q514" s="1" t="s">
        <v>293</v>
      </c>
      <c r="R514" s="1" t="s">
        <v>32</v>
      </c>
      <c r="S514" s="1" t="s">
        <v>294</v>
      </c>
      <c r="T514" s="1" t="s">
        <v>32</v>
      </c>
      <c r="U514" s="1" t="s">
        <v>295</v>
      </c>
      <c r="V514" s="1" t="s">
        <v>47</v>
      </c>
      <c r="W514" s="1" t="s">
        <v>48</v>
      </c>
      <c r="X514" s="1" t="s">
        <v>296</v>
      </c>
      <c r="Y514" s="1" t="s">
        <v>297</v>
      </c>
      <c r="Z514" s="1" t="str">
        <f>TRIM(_xlfn.CONCAT(sales_data_sample[[#This Row],[CONTACTFIRSTNAME]],", ",sales_data_sample[[#This Row],[CONTACTLASTNAME]]))</f>
        <v>Mary, Saveley</v>
      </c>
      <c r="AA514" s="1" t="s">
        <v>40</v>
      </c>
    </row>
    <row r="515" spans="1:27" x14ac:dyDescent="0.25">
      <c r="A515" s="10">
        <v>10244</v>
      </c>
      <c r="B515" s="9">
        <v>20</v>
      </c>
      <c r="C515" s="9">
        <v>5822</v>
      </c>
      <c r="D515" s="9">
        <f>PRODUCT(sales_data_sample[[#This Row],[QUANTITYORDERED]],sales_data_sample[[#This Row],[PRICEEACH]])</f>
        <v>116440</v>
      </c>
      <c r="E515" s="9">
        <f>IF(OR(sales_data_sample[[#This Row],[STATUS]]="Shipped",sales_data_sample[[#This Row],[STATUS]]="Resolved"),sales_data_sample[[#This Row],[SALES]],0)</f>
        <v>116440</v>
      </c>
      <c r="F515" s="10">
        <v>6</v>
      </c>
      <c r="G515" s="12" t="s">
        <v>823</v>
      </c>
      <c r="H515" s="1" t="s">
        <v>26</v>
      </c>
      <c r="I515">
        <v>2</v>
      </c>
      <c r="J515">
        <v>4</v>
      </c>
      <c r="K515">
        <v>2004</v>
      </c>
      <c r="L515" s="1" t="s">
        <v>799</v>
      </c>
      <c r="M515">
        <v>53</v>
      </c>
      <c r="N515" s="1" t="s">
        <v>828</v>
      </c>
      <c r="O515" s="1" t="s">
        <v>230</v>
      </c>
      <c r="P515" s="1" t="s">
        <v>231</v>
      </c>
      <c r="Q515" s="1" t="s">
        <v>232</v>
      </c>
      <c r="R515" s="1" t="s">
        <v>32</v>
      </c>
      <c r="S515" s="1" t="s">
        <v>233</v>
      </c>
      <c r="T515" s="1" t="s">
        <v>32</v>
      </c>
      <c r="U515" s="1" t="s">
        <v>234</v>
      </c>
      <c r="V515" s="1" t="s">
        <v>235</v>
      </c>
      <c r="W515" s="1" t="s">
        <v>48</v>
      </c>
      <c r="X515" s="1" t="s">
        <v>236</v>
      </c>
      <c r="Y515" s="1" t="s">
        <v>237</v>
      </c>
      <c r="Z515" s="1" t="str">
        <f>TRIM(_xlfn.CONCAT(sales_data_sample[[#This Row],[CONTACTFIRSTNAME]],", ",sales_data_sample[[#This Row],[CONTACTLASTNAME]]))</f>
        <v>Diego, Freyre</v>
      </c>
      <c r="AA515" s="1" t="s">
        <v>40</v>
      </c>
    </row>
    <row r="516" spans="1:27" x14ac:dyDescent="0.25">
      <c r="A516" s="10">
        <v>10256</v>
      </c>
      <c r="B516" s="9">
        <v>29</v>
      </c>
      <c r="C516" s="9">
        <v>5175</v>
      </c>
      <c r="D516" s="9">
        <f>PRODUCT(sales_data_sample[[#This Row],[QUANTITYORDERED]],sales_data_sample[[#This Row],[PRICEEACH]])</f>
        <v>150075</v>
      </c>
      <c r="E516" s="9">
        <f>IF(OR(sales_data_sample[[#This Row],[STATUS]]="Shipped",sales_data_sample[[#This Row],[STATUS]]="Resolved"),sales_data_sample[[#This Row],[SALES]],0)</f>
        <v>150075</v>
      </c>
      <c r="F516" s="10">
        <v>1</v>
      </c>
      <c r="G516" s="12" t="s">
        <v>824</v>
      </c>
      <c r="H516" s="1" t="s">
        <v>26</v>
      </c>
      <c r="I516">
        <v>2</v>
      </c>
      <c r="J516">
        <v>6</v>
      </c>
      <c r="K516">
        <v>2004</v>
      </c>
      <c r="L516" s="1" t="s">
        <v>799</v>
      </c>
      <c r="M516">
        <v>53</v>
      </c>
      <c r="N516" s="1" t="s">
        <v>828</v>
      </c>
      <c r="O516" s="1" t="s">
        <v>437</v>
      </c>
      <c r="P516" s="1" t="s">
        <v>438</v>
      </c>
      <c r="Q516" s="1" t="s">
        <v>439</v>
      </c>
      <c r="R516" s="1" t="s">
        <v>32</v>
      </c>
      <c r="S516" s="1" t="s">
        <v>440</v>
      </c>
      <c r="T516" s="1" t="s">
        <v>32</v>
      </c>
      <c r="U516" s="1" t="s">
        <v>441</v>
      </c>
      <c r="V516" s="1" t="s">
        <v>442</v>
      </c>
      <c r="W516" s="1" t="s">
        <v>48</v>
      </c>
      <c r="X516" s="1" t="s">
        <v>443</v>
      </c>
      <c r="Y516" s="1" t="s">
        <v>444</v>
      </c>
      <c r="Z516" s="1" t="str">
        <f>TRIM(_xlfn.CONCAT(sales_data_sample[[#This Row],[CONTACTFIRSTNAME]],", ",sales_data_sample[[#This Row],[CONTACTLASTNAME]]))</f>
        <v>Jytte, Petersen</v>
      </c>
      <c r="AA516" s="1" t="s">
        <v>40</v>
      </c>
    </row>
    <row r="517" spans="1:27" x14ac:dyDescent="0.25">
      <c r="A517" s="10">
        <v>10280</v>
      </c>
      <c r="B517" s="9">
        <v>27</v>
      </c>
      <c r="C517" s="9">
        <v>5768</v>
      </c>
      <c r="D517" s="9">
        <f>PRODUCT(sales_data_sample[[#This Row],[QUANTITYORDERED]],sales_data_sample[[#This Row],[PRICEEACH]])</f>
        <v>155736</v>
      </c>
      <c r="E517" s="9">
        <f>IF(OR(sales_data_sample[[#This Row],[STATUS]]="Shipped",sales_data_sample[[#This Row],[STATUS]]="Resolved"),sales_data_sample[[#This Row],[SALES]],0)</f>
        <v>155736</v>
      </c>
      <c r="F517" s="10">
        <v>8</v>
      </c>
      <c r="G517" s="12" t="s">
        <v>337</v>
      </c>
      <c r="H517" s="1" t="s">
        <v>26</v>
      </c>
      <c r="I517">
        <v>3</v>
      </c>
      <c r="J517">
        <v>8</v>
      </c>
      <c r="K517">
        <v>2004</v>
      </c>
      <c r="L517" s="1" t="s">
        <v>799</v>
      </c>
      <c r="M517">
        <v>53</v>
      </c>
      <c r="N517" s="1" t="s">
        <v>828</v>
      </c>
      <c r="O517" s="1" t="s">
        <v>338</v>
      </c>
      <c r="P517" s="1" t="s">
        <v>339</v>
      </c>
      <c r="Q517" s="1" t="s">
        <v>340</v>
      </c>
      <c r="R517" s="1" t="s">
        <v>32</v>
      </c>
      <c r="S517" s="1" t="s">
        <v>341</v>
      </c>
      <c r="T517" s="1" t="s">
        <v>32</v>
      </c>
      <c r="U517" s="1" t="s">
        <v>342</v>
      </c>
      <c r="V517" s="1" t="s">
        <v>343</v>
      </c>
      <c r="W517" s="1" t="s">
        <v>48</v>
      </c>
      <c r="X517" s="1" t="s">
        <v>344</v>
      </c>
      <c r="Y517" s="1" t="s">
        <v>345</v>
      </c>
      <c r="Z517" s="1" t="str">
        <f>TRIM(_xlfn.CONCAT(sales_data_sample[[#This Row],[CONTACTFIRSTNAME]],", ",sales_data_sample[[#This Row],[CONTACTLASTNAME]]))</f>
        <v>Paolo, Accorti</v>
      </c>
      <c r="AA517" s="1" t="s">
        <v>40</v>
      </c>
    </row>
    <row r="518" spans="1:27" x14ac:dyDescent="0.25">
      <c r="A518" s="10">
        <v>10289</v>
      </c>
      <c r="B518" s="9">
        <v>24</v>
      </c>
      <c r="C518" s="9">
        <v>5607</v>
      </c>
      <c r="D518" s="9">
        <f>PRODUCT(sales_data_sample[[#This Row],[QUANTITYORDERED]],sales_data_sample[[#This Row],[PRICEEACH]])</f>
        <v>134568</v>
      </c>
      <c r="E518" s="9">
        <f>IF(OR(sales_data_sample[[#This Row],[STATUS]]="Shipped",sales_data_sample[[#This Row],[STATUS]]="Resolved"),sales_data_sample[[#This Row],[SALES]],0)</f>
        <v>134568</v>
      </c>
      <c r="F518" s="10">
        <v>1</v>
      </c>
      <c r="G518" s="12" t="s">
        <v>825</v>
      </c>
      <c r="H518" s="1" t="s">
        <v>26</v>
      </c>
      <c r="I518">
        <v>3</v>
      </c>
      <c r="J518">
        <v>9</v>
      </c>
      <c r="K518">
        <v>2004</v>
      </c>
      <c r="L518" s="1" t="s">
        <v>799</v>
      </c>
      <c r="M518">
        <v>53</v>
      </c>
      <c r="N518" s="1" t="s">
        <v>828</v>
      </c>
      <c r="O518" s="1" t="s">
        <v>92</v>
      </c>
      <c r="P518" s="1" t="s">
        <v>93</v>
      </c>
      <c r="Q518" s="1" t="s">
        <v>94</v>
      </c>
      <c r="R518" s="1" t="s">
        <v>32</v>
      </c>
      <c r="S518" s="1" t="s">
        <v>95</v>
      </c>
      <c r="T518" s="1" t="s">
        <v>32</v>
      </c>
      <c r="U518" s="1" t="s">
        <v>96</v>
      </c>
      <c r="V518" s="1" t="s">
        <v>97</v>
      </c>
      <c r="W518" s="1" t="s">
        <v>48</v>
      </c>
      <c r="X518" s="1" t="s">
        <v>98</v>
      </c>
      <c r="Y518" s="1" t="s">
        <v>99</v>
      </c>
      <c r="Z518" s="1" t="str">
        <f>TRIM(_xlfn.CONCAT(sales_data_sample[[#This Row],[CONTACTFIRSTNAME]],", ",sales_data_sample[[#This Row],[CONTACTLASTNAME]]))</f>
        <v>Veysel, Oeztan</v>
      </c>
      <c r="AA518" s="1" t="s">
        <v>40</v>
      </c>
    </row>
    <row r="519" spans="1:27" x14ac:dyDescent="0.25">
      <c r="A519" s="10">
        <v>10304</v>
      </c>
      <c r="B519" s="9">
        <v>37</v>
      </c>
      <c r="C519" s="9">
        <v>4852</v>
      </c>
      <c r="D519" s="9">
        <f>PRODUCT(sales_data_sample[[#This Row],[QUANTITYORDERED]],sales_data_sample[[#This Row],[PRICEEACH]])</f>
        <v>179524</v>
      </c>
      <c r="E519" s="9">
        <f>IF(OR(sales_data_sample[[#This Row],[STATUS]]="Shipped",sales_data_sample[[#This Row],[STATUS]]="Resolved"),sales_data_sample[[#This Row],[SALES]],0)</f>
        <v>179524</v>
      </c>
      <c r="F519" s="10">
        <v>12</v>
      </c>
      <c r="G519" s="12" t="s">
        <v>353</v>
      </c>
      <c r="H519" s="1" t="s">
        <v>26</v>
      </c>
      <c r="I519">
        <v>4</v>
      </c>
      <c r="J519">
        <v>10</v>
      </c>
      <c r="K519">
        <v>2004</v>
      </c>
      <c r="L519" s="1" t="s">
        <v>799</v>
      </c>
      <c r="M519">
        <v>53</v>
      </c>
      <c r="N519" s="1" t="s">
        <v>828</v>
      </c>
      <c r="O519" s="1" t="s">
        <v>354</v>
      </c>
      <c r="P519" s="1" t="s">
        <v>355</v>
      </c>
      <c r="Q519" s="1" t="s">
        <v>356</v>
      </c>
      <c r="R519" s="1" t="s">
        <v>32</v>
      </c>
      <c r="S519" s="1" t="s">
        <v>357</v>
      </c>
      <c r="T519" s="1" t="s">
        <v>32</v>
      </c>
      <c r="U519" s="1" t="s">
        <v>358</v>
      </c>
      <c r="V519" s="1" t="s">
        <v>47</v>
      </c>
      <c r="W519" s="1" t="s">
        <v>48</v>
      </c>
      <c r="X519" s="1" t="s">
        <v>359</v>
      </c>
      <c r="Y519" s="1" t="s">
        <v>58</v>
      </c>
      <c r="Z519" s="1" t="str">
        <f>TRIM(_xlfn.CONCAT(sales_data_sample[[#This Row],[CONTACTFIRSTNAME]],", ",sales_data_sample[[#This Row],[CONTACTLASTNAME]]))</f>
        <v>Daniel, Tonini</v>
      </c>
      <c r="AA519" s="1" t="s">
        <v>40</v>
      </c>
    </row>
    <row r="520" spans="1:27" x14ac:dyDescent="0.25">
      <c r="A520" s="10">
        <v>10312</v>
      </c>
      <c r="B520" s="9">
        <v>25</v>
      </c>
      <c r="C520" s="9">
        <v>4421</v>
      </c>
      <c r="D520" s="9">
        <f>PRODUCT(sales_data_sample[[#This Row],[QUANTITYORDERED]],sales_data_sample[[#This Row],[PRICEEACH]])</f>
        <v>110525</v>
      </c>
      <c r="E520" s="9">
        <f>IF(OR(sales_data_sample[[#This Row],[STATUS]]="Shipped",sales_data_sample[[#This Row],[STATUS]]="Resolved"),sales_data_sample[[#This Row],[SALES]],0)</f>
        <v>110525</v>
      </c>
      <c r="F520" s="10">
        <v>9</v>
      </c>
      <c r="G520" s="12" t="s">
        <v>360</v>
      </c>
      <c r="H520" s="1" t="s">
        <v>26</v>
      </c>
      <c r="I520">
        <v>4</v>
      </c>
      <c r="J520">
        <v>10</v>
      </c>
      <c r="K520">
        <v>2004</v>
      </c>
      <c r="L520" s="1" t="s">
        <v>799</v>
      </c>
      <c r="M520">
        <v>53</v>
      </c>
      <c r="N520" s="1" t="s">
        <v>828</v>
      </c>
      <c r="O520" s="1" t="s">
        <v>361</v>
      </c>
      <c r="P520" s="1" t="s">
        <v>362</v>
      </c>
      <c r="Q520" s="1" t="s">
        <v>363</v>
      </c>
      <c r="R520" s="1" t="s">
        <v>32</v>
      </c>
      <c r="S520" s="1" t="s">
        <v>364</v>
      </c>
      <c r="T520" s="1" t="s">
        <v>65</v>
      </c>
      <c r="U520" s="1" t="s">
        <v>145</v>
      </c>
      <c r="V520" s="1" t="s">
        <v>36</v>
      </c>
      <c r="W520" s="1" t="s">
        <v>37</v>
      </c>
      <c r="X520" s="1" t="s">
        <v>365</v>
      </c>
      <c r="Y520" s="1" t="s">
        <v>366</v>
      </c>
      <c r="Z520" s="1" t="str">
        <f>TRIM(_xlfn.CONCAT(sales_data_sample[[#This Row],[CONTACTFIRSTNAME]],", ",sales_data_sample[[#This Row],[CONTACTLASTNAME]]))</f>
        <v>Valarie, Nelson</v>
      </c>
      <c r="AA520" s="1" t="s">
        <v>40</v>
      </c>
    </row>
    <row r="521" spans="1:27" x14ac:dyDescent="0.25">
      <c r="A521" s="10">
        <v>10322</v>
      </c>
      <c r="B521" s="9">
        <v>41</v>
      </c>
      <c r="C521" s="9">
        <v>5768</v>
      </c>
      <c r="D521" s="9">
        <f>PRODUCT(sales_data_sample[[#This Row],[QUANTITYORDERED]],sales_data_sample[[#This Row],[PRICEEACH]])</f>
        <v>236488</v>
      </c>
      <c r="E521" s="9">
        <f>IF(OR(sales_data_sample[[#This Row],[STATUS]]="Shipped",sales_data_sample[[#This Row],[STATUS]]="Resolved"),sales_data_sample[[#This Row],[SALES]],0)</f>
        <v>236488</v>
      </c>
      <c r="F521" s="10">
        <v>5</v>
      </c>
      <c r="G521" s="12" t="s">
        <v>367</v>
      </c>
      <c r="H521" s="1" t="s">
        <v>26</v>
      </c>
      <c r="I521">
        <v>4</v>
      </c>
      <c r="J521">
        <v>11</v>
      </c>
      <c r="K521">
        <v>2004</v>
      </c>
      <c r="L521" s="1" t="s">
        <v>799</v>
      </c>
      <c r="M521">
        <v>53</v>
      </c>
      <c r="N521" s="1" t="s">
        <v>828</v>
      </c>
      <c r="O521" s="1" t="s">
        <v>368</v>
      </c>
      <c r="P521" s="1" t="s">
        <v>369</v>
      </c>
      <c r="Q521" s="1" t="s">
        <v>370</v>
      </c>
      <c r="R521" s="1" t="s">
        <v>32</v>
      </c>
      <c r="S521" s="1" t="s">
        <v>371</v>
      </c>
      <c r="T521" s="1" t="s">
        <v>372</v>
      </c>
      <c r="U521" s="1" t="s">
        <v>373</v>
      </c>
      <c r="V521" s="1" t="s">
        <v>36</v>
      </c>
      <c r="W521" s="1" t="s">
        <v>37</v>
      </c>
      <c r="X521" s="1" t="s">
        <v>67</v>
      </c>
      <c r="Y521" s="1" t="s">
        <v>366</v>
      </c>
      <c r="Z521" s="1" t="str">
        <f>TRIM(_xlfn.CONCAT(sales_data_sample[[#This Row],[CONTACTFIRSTNAME]],", ",sales_data_sample[[#This Row],[CONTACTLASTNAME]]))</f>
        <v>Valarie, Young</v>
      </c>
      <c r="AA521" s="1" t="s">
        <v>40</v>
      </c>
    </row>
    <row r="522" spans="1:27" x14ac:dyDescent="0.25">
      <c r="A522" s="10">
        <v>10332</v>
      </c>
      <c r="B522" s="9">
        <v>27</v>
      </c>
      <c r="C522" s="9">
        <v>8989</v>
      </c>
      <c r="D522" s="9">
        <f>PRODUCT(sales_data_sample[[#This Row],[QUANTITYORDERED]],sales_data_sample[[#This Row],[PRICEEACH]])</f>
        <v>242703</v>
      </c>
      <c r="E522" s="9">
        <f>IF(OR(sales_data_sample[[#This Row],[STATUS]]="Shipped",sales_data_sample[[#This Row],[STATUS]]="Resolved"),sales_data_sample[[#This Row],[SALES]],0)</f>
        <v>242703</v>
      </c>
      <c r="F522" s="10">
        <v>16</v>
      </c>
      <c r="G522" s="12" t="s">
        <v>793</v>
      </c>
      <c r="H522" s="1" t="s">
        <v>26</v>
      </c>
      <c r="I522">
        <v>4</v>
      </c>
      <c r="J522">
        <v>11</v>
      </c>
      <c r="K522">
        <v>2004</v>
      </c>
      <c r="L522" s="1" t="s">
        <v>799</v>
      </c>
      <c r="M522">
        <v>53</v>
      </c>
      <c r="N522" s="1" t="s">
        <v>828</v>
      </c>
      <c r="O522" s="1" t="s">
        <v>695</v>
      </c>
      <c r="P522" s="1" t="s">
        <v>696</v>
      </c>
      <c r="Q522" s="1" t="s">
        <v>697</v>
      </c>
      <c r="R522" s="1" t="s">
        <v>32</v>
      </c>
      <c r="S522" s="1" t="s">
        <v>698</v>
      </c>
      <c r="T522" s="1" t="s">
        <v>32</v>
      </c>
      <c r="U522" s="1" t="s">
        <v>699</v>
      </c>
      <c r="V522" s="1" t="s">
        <v>225</v>
      </c>
      <c r="W522" s="1" t="s">
        <v>48</v>
      </c>
      <c r="X522" s="1" t="s">
        <v>700</v>
      </c>
      <c r="Y522" s="1" t="s">
        <v>118</v>
      </c>
      <c r="Z522" s="1" t="str">
        <f>TRIM(_xlfn.CONCAT(sales_data_sample[[#This Row],[CONTACTFIRSTNAME]],", ",sales_data_sample[[#This Row],[CONTACTLASTNAME]]))</f>
        <v>Victoria, Ashworth</v>
      </c>
      <c r="AA522" s="1" t="s">
        <v>40</v>
      </c>
    </row>
    <row r="523" spans="1:27" x14ac:dyDescent="0.25">
      <c r="A523">
        <v>10347</v>
      </c>
      <c r="B523">
        <v>21</v>
      </c>
      <c r="C523">
        <v>5895</v>
      </c>
      <c r="D523">
        <f>PRODUCT(sales_data_sample[[#This Row],[QUANTITYORDERED]],sales_data_sample[[#This Row],[PRICEEACH]])</f>
        <v>123795</v>
      </c>
      <c r="E523" s="9">
        <f>IF(OR(sales_data_sample[[#This Row],[STATUS]]="Shipped",sales_data_sample[[#This Row],[STATUS]]="Resolved"),sales_data_sample[[#This Row],[SALES]],0)</f>
        <v>123795</v>
      </c>
      <c r="F523">
        <v>7</v>
      </c>
      <c r="G523" s="12" t="s">
        <v>375</v>
      </c>
      <c r="H523" s="1" t="s">
        <v>26</v>
      </c>
      <c r="I523">
        <v>4</v>
      </c>
      <c r="J523">
        <v>11</v>
      </c>
      <c r="K523">
        <v>2004</v>
      </c>
      <c r="L523" s="1" t="s">
        <v>799</v>
      </c>
      <c r="M523">
        <v>53</v>
      </c>
      <c r="N523" s="1" t="s">
        <v>828</v>
      </c>
      <c r="O523" s="1" t="s">
        <v>113</v>
      </c>
      <c r="P523" s="1" t="s">
        <v>114</v>
      </c>
      <c r="Q523" s="1" t="s">
        <v>115</v>
      </c>
      <c r="R523" s="1" t="s">
        <v>116</v>
      </c>
      <c r="S523" s="1" t="s">
        <v>117</v>
      </c>
      <c r="T523" s="1" t="s">
        <v>118</v>
      </c>
      <c r="U523" s="1" t="s">
        <v>119</v>
      </c>
      <c r="V523" s="1" t="s">
        <v>120</v>
      </c>
      <c r="W523" s="1" t="s">
        <v>121</v>
      </c>
      <c r="X523" s="1" t="s">
        <v>122</v>
      </c>
      <c r="Y523" s="1" t="s">
        <v>123</v>
      </c>
      <c r="Z523" s="1" t="str">
        <f>TRIM(_xlfn.CONCAT(sales_data_sample[[#This Row],[CONTACTFIRSTNAME]],", ",sales_data_sample[[#This Row],[CONTACTLASTNAME]]))</f>
        <v>Peter, Ferguson</v>
      </c>
      <c r="AA523" s="1" t="s">
        <v>40</v>
      </c>
    </row>
    <row r="524" spans="1:27" x14ac:dyDescent="0.25">
      <c r="A524" s="10">
        <v>10356</v>
      </c>
      <c r="B524" s="9">
        <v>22</v>
      </c>
      <c r="C524" s="9">
        <v>7241</v>
      </c>
      <c r="D524" s="9">
        <f>PRODUCT(sales_data_sample[[#This Row],[QUANTITYORDERED]],sales_data_sample[[#This Row],[PRICEEACH]])</f>
        <v>159302</v>
      </c>
      <c r="E524" s="9">
        <f>IF(OR(sales_data_sample[[#This Row],[STATUS]]="Shipped",sales_data_sample[[#This Row],[STATUS]]="Resolved"),sales_data_sample[[#This Row],[SALES]],0)</f>
        <v>159302</v>
      </c>
      <c r="F524" s="10">
        <v>6</v>
      </c>
      <c r="G524" s="12" t="s">
        <v>794</v>
      </c>
      <c r="H524" s="1" t="s">
        <v>26</v>
      </c>
      <c r="I524">
        <v>4</v>
      </c>
      <c r="J524">
        <v>12</v>
      </c>
      <c r="K524">
        <v>2004</v>
      </c>
      <c r="L524" s="1" t="s">
        <v>799</v>
      </c>
      <c r="M524">
        <v>53</v>
      </c>
      <c r="N524" s="1" t="s">
        <v>828</v>
      </c>
      <c r="O524" s="1" t="s">
        <v>52</v>
      </c>
      <c r="P524" s="1" t="s">
        <v>53</v>
      </c>
      <c r="Q524" s="1" t="s">
        <v>54</v>
      </c>
      <c r="R524" s="1" t="s">
        <v>32</v>
      </c>
      <c r="S524" s="1" t="s">
        <v>55</v>
      </c>
      <c r="T524" s="1" t="s">
        <v>32</v>
      </c>
      <c r="U524" s="1" t="s">
        <v>56</v>
      </c>
      <c r="V524" s="1" t="s">
        <v>47</v>
      </c>
      <c r="W524" s="1" t="s">
        <v>48</v>
      </c>
      <c r="X524" s="1" t="s">
        <v>57</v>
      </c>
      <c r="Y524" s="1" t="s">
        <v>58</v>
      </c>
      <c r="Z524" s="1" t="str">
        <f>TRIM(_xlfn.CONCAT(sales_data_sample[[#This Row],[CONTACTFIRSTNAME]],", ",sales_data_sample[[#This Row],[CONTACTLASTNAME]]))</f>
        <v>Daniel, Da Cunha</v>
      </c>
      <c r="AA524" s="1" t="s">
        <v>40</v>
      </c>
    </row>
    <row r="525" spans="1:27" x14ac:dyDescent="0.25">
      <c r="A525" s="10">
        <v>10369</v>
      </c>
      <c r="B525" s="9">
        <v>32</v>
      </c>
      <c r="C525" s="9">
        <v>9863</v>
      </c>
      <c r="D525" s="9">
        <f>PRODUCT(sales_data_sample[[#This Row],[QUANTITYORDERED]],sales_data_sample[[#This Row],[PRICEEACH]])</f>
        <v>315616</v>
      </c>
      <c r="E525" s="9">
        <f>IF(OR(sales_data_sample[[#This Row],[STATUS]]="Shipped",sales_data_sample[[#This Row],[STATUS]]="Resolved"),sales_data_sample[[#This Row],[SALES]],0)</f>
        <v>315616</v>
      </c>
      <c r="F525" s="10">
        <v>7</v>
      </c>
      <c r="G525" s="12" t="s">
        <v>377</v>
      </c>
      <c r="H525" s="1" t="s">
        <v>26</v>
      </c>
      <c r="I525">
        <v>1</v>
      </c>
      <c r="J525">
        <v>1</v>
      </c>
      <c r="K525">
        <v>2005</v>
      </c>
      <c r="L525" s="1" t="s">
        <v>799</v>
      </c>
      <c r="M525">
        <v>53</v>
      </c>
      <c r="N525" s="1" t="s">
        <v>828</v>
      </c>
      <c r="O525" s="1" t="s">
        <v>378</v>
      </c>
      <c r="P525" s="1" t="s">
        <v>157</v>
      </c>
      <c r="Q525" s="1" t="s">
        <v>379</v>
      </c>
      <c r="R525" s="1" t="s">
        <v>32</v>
      </c>
      <c r="S525" s="1" t="s">
        <v>380</v>
      </c>
      <c r="T525" s="1" t="s">
        <v>160</v>
      </c>
      <c r="U525" s="1" t="s">
        <v>381</v>
      </c>
      <c r="V525" s="1" t="s">
        <v>36</v>
      </c>
      <c r="W525" s="1" t="s">
        <v>37</v>
      </c>
      <c r="X525" s="1" t="s">
        <v>365</v>
      </c>
      <c r="Y525" s="1" t="s">
        <v>382</v>
      </c>
      <c r="Z525" s="1" t="str">
        <f>TRIM(_xlfn.CONCAT(sales_data_sample[[#This Row],[CONTACTFIRSTNAME]],", ",sales_data_sample[[#This Row],[CONTACTLASTNAME]]))</f>
        <v>Allen, Nelson</v>
      </c>
      <c r="AA525" s="1" t="s">
        <v>59</v>
      </c>
    </row>
    <row r="526" spans="1:27" x14ac:dyDescent="0.25">
      <c r="A526" s="10">
        <v>10381</v>
      </c>
      <c r="B526" s="9">
        <v>25</v>
      </c>
      <c r="C526" s="9">
        <v>5283</v>
      </c>
      <c r="D526" s="9">
        <f>PRODUCT(sales_data_sample[[#This Row],[QUANTITYORDERED]],sales_data_sample[[#This Row],[PRICEEACH]])</f>
        <v>132075</v>
      </c>
      <c r="E526" s="9">
        <f>IF(OR(sales_data_sample[[#This Row],[STATUS]]="Shipped",sales_data_sample[[#This Row],[STATUS]]="Resolved"),sales_data_sample[[#This Row],[SALES]],0)</f>
        <v>132075</v>
      </c>
      <c r="F526" s="10">
        <v>9</v>
      </c>
      <c r="G526" s="12" t="s">
        <v>383</v>
      </c>
      <c r="H526" s="1" t="s">
        <v>26</v>
      </c>
      <c r="I526">
        <v>1</v>
      </c>
      <c r="J526">
        <v>2</v>
      </c>
      <c r="K526">
        <v>2005</v>
      </c>
      <c r="L526" s="1" t="s">
        <v>799</v>
      </c>
      <c r="M526">
        <v>53</v>
      </c>
      <c r="N526" s="1" t="s">
        <v>828</v>
      </c>
      <c r="O526" s="1" t="s">
        <v>70</v>
      </c>
      <c r="P526" s="1" t="s">
        <v>71</v>
      </c>
      <c r="Q526" s="1" t="s">
        <v>72</v>
      </c>
      <c r="R526" s="1" t="s">
        <v>32</v>
      </c>
      <c r="S526" s="1" t="s">
        <v>73</v>
      </c>
      <c r="T526" s="1" t="s">
        <v>65</v>
      </c>
      <c r="U526" s="1" t="s">
        <v>32</v>
      </c>
      <c r="V526" s="1" t="s">
        <v>36</v>
      </c>
      <c r="W526" s="1" t="s">
        <v>37</v>
      </c>
      <c r="X526" s="1" t="s">
        <v>74</v>
      </c>
      <c r="Y526" s="1" t="s">
        <v>68</v>
      </c>
      <c r="Z526" s="1" t="str">
        <f>TRIM(_xlfn.CONCAT(sales_data_sample[[#This Row],[CONTACTFIRSTNAME]],", ",sales_data_sample[[#This Row],[CONTACTLASTNAME]]))</f>
        <v>Julie, Brown</v>
      </c>
      <c r="AA526" s="1" t="s">
        <v>40</v>
      </c>
    </row>
    <row r="527" spans="1:27" x14ac:dyDescent="0.25">
      <c r="A527">
        <v>10391</v>
      </c>
      <c r="B527">
        <v>42</v>
      </c>
      <c r="C527">
        <v>100</v>
      </c>
      <c r="D527">
        <f>PRODUCT(sales_data_sample[[#This Row],[QUANTITYORDERED]],sales_data_sample[[#This Row],[PRICEEACH]])</f>
        <v>4200</v>
      </c>
      <c r="E527" s="9">
        <f>IF(OR(sales_data_sample[[#This Row],[STATUS]]="Shipped",sales_data_sample[[#This Row],[STATUS]]="Resolved"),sales_data_sample[[#This Row],[SALES]],0)</f>
        <v>4200</v>
      </c>
      <c r="F527">
        <v>3</v>
      </c>
      <c r="G527" s="12" t="s">
        <v>384</v>
      </c>
      <c r="H527" s="1" t="s">
        <v>26</v>
      </c>
      <c r="I527">
        <v>1</v>
      </c>
      <c r="J527">
        <v>3</v>
      </c>
      <c r="K527">
        <v>2005</v>
      </c>
      <c r="L527" s="1" t="s">
        <v>799</v>
      </c>
      <c r="M527">
        <v>53</v>
      </c>
      <c r="N527" s="1" t="s">
        <v>828</v>
      </c>
      <c r="O527" s="1" t="s">
        <v>385</v>
      </c>
      <c r="P527" s="1" t="s">
        <v>386</v>
      </c>
      <c r="Q527" s="1" t="s">
        <v>387</v>
      </c>
      <c r="R527" s="1" t="s">
        <v>388</v>
      </c>
      <c r="S527" s="1" t="s">
        <v>389</v>
      </c>
      <c r="T527" s="1" t="s">
        <v>206</v>
      </c>
      <c r="U527" s="1" t="s">
        <v>390</v>
      </c>
      <c r="V527" s="1" t="s">
        <v>120</v>
      </c>
      <c r="W527" s="1" t="s">
        <v>121</v>
      </c>
      <c r="X527" s="1" t="s">
        <v>391</v>
      </c>
      <c r="Y527" s="1" t="s">
        <v>392</v>
      </c>
      <c r="Z527" s="1" t="str">
        <f>TRIM(_xlfn.CONCAT(sales_data_sample[[#This Row],[CONTACTFIRSTNAME]],", ",sales_data_sample[[#This Row],[CONTACTLASTNAME]]))</f>
        <v>Anna, O'Hara</v>
      </c>
      <c r="AA527" s="1" t="s">
        <v>59</v>
      </c>
    </row>
    <row r="528" spans="1:27" x14ac:dyDescent="0.25">
      <c r="A528" s="10">
        <v>10422</v>
      </c>
      <c r="B528" s="9">
        <v>25</v>
      </c>
      <c r="C528" s="9">
        <v>5175</v>
      </c>
      <c r="D528" s="9">
        <f>PRODUCT(sales_data_sample[[#This Row],[QUANTITYORDERED]],sales_data_sample[[#This Row],[PRICEEACH]])</f>
        <v>129375</v>
      </c>
      <c r="E528" s="9">
        <f>IF(OR(sales_data_sample[[#This Row],[STATUS]]="Shipped",sales_data_sample[[#This Row],[STATUS]]="Resolved"),sales_data_sample[[#This Row],[SALES]],0)</f>
        <v>0</v>
      </c>
      <c r="F528" s="10">
        <v>1</v>
      </c>
      <c r="G528" s="12" t="s">
        <v>827</v>
      </c>
      <c r="H528" s="1" t="s">
        <v>403</v>
      </c>
      <c r="I528">
        <v>2</v>
      </c>
      <c r="J528">
        <v>5</v>
      </c>
      <c r="K528">
        <v>2005</v>
      </c>
      <c r="L528" s="1" t="s">
        <v>799</v>
      </c>
      <c r="M528">
        <v>53</v>
      </c>
      <c r="N528" s="1" t="s">
        <v>828</v>
      </c>
      <c r="O528" s="1" t="s">
        <v>182</v>
      </c>
      <c r="P528" s="1" t="s">
        <v>183</v>
      </c>
      <c r="Q528" s="1" t="s">
        <v>184</v>
      </c>
      <c r="R528" s="1" t="s">
        <v>32</v>
      </c>
      <c r="S528" s="1" t="s">
        <v>185</v>
      </c>
      <c r="T528" s="1" t="s">
        <v>186</v>
      </c>
      <c r="U528" s="1" t="s">
        <v>187</v>
      </c>
      <c r="V528" s="1" t="s">
        <v>36</v>
      </c>
      <c r="W528" s="1" t="s">
        <v>37</v>
      </c>
      <c r="X528" s="1" t="s">
        <v>38</v>
      </c>
      <c r="Y528" s="1" t="s">
        <v>188</v>
      </c>
      <c r="Z528" s="1" t="str">
        <f>TRIM(_xlfn.CONCAT(sales_data_sample[[#This Row],[CONTACTFIRSTNAME]],", ",sales_data_sample[[#This Row],[CONTACTLASTNAME]]))</f>
        <v>Kyung, Yu</v>
      </c>
      <c r="AA528" s="1" t="s">
        <v>40</v>
      </c>
    </row>
    <row r="529" spans="1:27" x14ac:dyDescent="0.25">
      <c r="A529" s="10">
        <v>10110</v>
      </c>
      <c r="B529" s="9">
        <v>37</v>
      </c>
      <c r="C529" s="9">
        <v>100</v>
      </c>
      <c r="D529" s="9">
        <f>PRODUCT(sales_data_sample[[#This Row],[QUANTITYORDERED]],sales_data_sample[[#This Row],[PRICEEACH]])</f>
        <v>3700</v>
      </c>
      <c r="E529" s="9">
        <f>IF(OR(sales_data_sample[[#This Row],[STATUS]]="Shipped",sales_data_sample[[#This Row],[STATUS]]="Resolved"),sales_data_sample[[#This Row],[SALES]],0)</f>
        <v>3700</v>
      </c>
      <c r="F529" s="10">
        <v>16</v>
      </c>
      <c r="G529" s="12" t="s">
        <v>829</v>
      </c>
      <c r="H529" s="1" t="s">
        <v>26</v>
      </c>
      <c r="I529">
        <v>1</v>
      </c>
      <c r="J529">
        <v>3</v>
      </c>
      <c r="K529">
        <v>2003</v>
      </c>
      <c r="L529" s="1" t="s">
        <v>239</v>
      </c>
      <c r="M529">
        <v>124</v>
      </c>
      <c r="N529" s="1" t="s">
        <v>830</v>
      </c>
      <c r="O529" s="1" t="s">
        <v>695</v>
      </c>
      <c r="P529" s="1" t="s">
        <v>696</v>
      </c>
      <c r="Q529" s="1" t="s">
        <v>697</v>
      </c>
      <c r="R529" s="1" t="s">
        <v>32</v>
      </c>
      <c r="S529" s="1" t="s">
        <v>698</v>
      </c>
      <c r="T529" s="1" t="s">
        <v>32</v>
      </c>
      <c r="U529" s="1" t="s">
        <v>699</v>
      </c>
      <c r="V529" s="1" t="s">
        <v>225</v>
      </c>
      <c r="W529" s="1" t="s">
        <v>48</v>
      </c>
      <c r="X529" s="1" t="s">
        <v>700</v>
      </c>
      <c r="Y529" s="1" t="s">
        <v>118</v>
      </c>
      <c r="Z529" s="1" t="str">
        <f>TRIM(_xlfn.CONCAT(sales_data_sample[[#This Row],[CONTACTFIRSTNAME]],", ",sales_data_sample[[#This Row],[CONTACTLASTNAME]]))</f>
        <v>Victoria, Ashworth</v>
      </c>
      <c r="AA529" s="1" t="s">
        <v>59</v>
      </c>
    </row>
    <row r="530" spans="1:27" x14ac:dyDescent="0.25">
      <c r="A530" s="10">
        <v>10123</v>
      </c>
      <c r="B530" s="9">
        <v>26</v>
      </c>
      <c r="C530" s="9">
        <v>100</v>
      </c>
      <c r="D530" s="9">
        <f>PRODUCT(sales_data_sample[[#This Row],[QUANTITYORDERED]],sales_data_sample[[#This Row],[PRICEEACH]])</f>
        <v>2600</v>
      </c>
      <c r="E530" s="9">
        <f>IF(OR(sales_data_sample[[#This Row],[STATUS]]="Shipped",sales_data_sample[[#This Row],[STATUS]]="Resolved"),sales_data_sample[[#This Row],[SALES]],0)</f>
        <v>2600</v>
      </c>
      <c r="F530" s="10">
        <v>2</v>
      </c>
      <c r="G530" s="12" t="s">
        <v>831</v>
      </c>
      <c r="H530" s="1" t="s">
        <v>26</v>
      </c>
      <c r="I530">
        <v>2</v>
      </c>
      <c r="J530">
        <v>5</v>
      </c>
      <c r="K530">
        <v>2003</v>
      </c>
      <c r="L530" s="1" t="s">
        <v>239</v>
      </c>
      <c r="M530">
        <v>124</v>
      </c>
      <c r="N530" s="1" t="s">
        <v>830</v>
      </c>
      <c r="O530" s="1" t="s">
        <v>420</v>
      </c>
      <c r="P530" s="1" t="s">
        <v>421</v>
      </c>
      <c r="Q530" s="1" t="s">
        <v>422</v>
      </c>
      <c r="R530" s="1" t="s">
        <v>32</v>
      </c>
      <c r="S530" s="1" t="s">
        <v>151</v>
      </c>
      <c r="T530" s="1" t="s">
        <v>32</v>
      </c>
      <c r="U530" s="1" t="s">
        <v>152</v>
      </c>
      <c r="V530" s="1" t="s">
        <v>47</v>
      </c>
      <c r="W530" s="1" t="s">
        <v>48</v>
      </c>
      <c r="X530" s="1" t="s">
        <v>423</v>
      </c>
      <c r="Y530" s="1" t="s">
        <v>424</v>
      </c>
      <c r="Z530" s="1" t="str">
        <f>TRIM(_xlfn.CONCAT(sales_data_sample[[#This Row],[CONTACTFIRSTNAME]],", ",sales_data_sample[[#This Row],[CONTACTLASTNAME]]))</f>
        <v>Carine, Schmitt</v>
      </c>
      <c r="AA530" s="1" t="s">
        <v>59</v>
      </c>
    </row>
    <row r="531" spans="1:27" x14ac:dyDescent="0.25">
      <c r="A531" s="10">
        <v>10137</v>
      </c>
      <c r="B531" s="9">
        <v>44</v>
      </c>
      <c r="C531" s="9">
        <v>9955</v>
      </c>
      <c r="D531" s="9">
        <f>PRODUCT(sales_data_sample[[#This Row],[QUANTITYORDERED]],sales_data_sample[[#This Row],[PRICEEACH]])</f>
        <v>438020</v>
      </c>
      <c r="E531" s="9">
        <f>IF(OR(sales_data_sample[[#This Row],[STATUS]]="Shipped",sales_data_sample[[#This Row],[STATUS]]="Resolved"),sales_data_sample[[#This Row],[SALES]],0)</f>
        <v>438020</v>
      </c>
      <c r="F531" s="10">
        <v>2</v>
      </c>
      <c r="G531" s="12" t="s">
        <v>832</v>
      </c>
      <c r="H531" s="1" t="s">
        <v>26</v>
      </c>
      <c r="I531">
        <v>3</v>
      </c>
      <c r="J531">
        <v>7</v>
      </c>
      <c r="K531">
        <v>2003</v>
      </c>
      <c r="L531" s="1" t="s">
        <v>239</v>
      </c>
      <c r="M531">
        <v>124</v>
      </c>
      <c r="N531" s="1" t="s">
        <v>830</v>
      </c>
      <c r="O531" s="1" t="s">
        <v>42</v>
      </c>
      <c r="P531" s="1" t="s">
        <v>43</v>
      </c>
      <c r="Q531" s="1" t="s">
        <v>44</v>
      </c>
      <c r="R531" s="1" t="s">
        <v>32</v>
      </c>
      <c r="S531" s="1" t="s">
        <v>45</v>
      </c>
      <c r="T531" s="1" t="s">
        <v>32</v>
      </c>
      <c r="U531" s="1" t="s">
        <v>46</v>
      </c>
      <c r="V531" s="1" t="s">
        <v>47</v>
      </c>
      <c r="W531" s="1" t="s">
        <v>48</v>
      </c>
      <c r="X531" s="1" t="s">
        <v>49</v>
      </c>
      <c r="Y531" s="1" t="s">
        <v>50</v>
      </c>
      <c r="Z531" s="1" t="str">
        <f>TRIM(_xlfn.CONCAT(sales_data_sample[[#This Row],[CONTACTFIRSTNAME]],", ",sales_data_sample[[#This Row],[CONTACTLASTNAME]]))</f>
        <v>Paul, Henriot</v>
      </c>
      <c r="AA531" s="1" t="s">
        <v>59</v>
      </c>
    </row>
    <row r="532" spans="1:27" x14ac:dyDescent="0.25">
      <c r="A532">
        <v>10148</v>
      </c>
      <c r="B532">
        <v>47</v>
      </c>
      <c r="C532">
        <v>100</v>
      </c>
      <c r="D532">
        <f>PRODUCT(sales_data_sample[[#This Row],[QUANTITYORDERED]],sales_data_sample[[#This Row],[PRICEEACH]])</f>
        <v>4700</v>
      </c>
      <c r="E532" s="9">
        <f>IF(OR(sales_data_sample[[#This Row],[STATUS]]="Shipped",sales_data_sample[[#This Row],[STATUS]]="Resolved"),sales_data_sample[[#This Row],[SALES]],0)</f>
        <v>4700</v>
      </c>
      <c r="F532">
        <v>9</v>
      </c>
      <c r="G532" s="12" t="s">
        <v>774</v>
      </c>
      <c r="H532" s="1" t="s">
        <v>26</v>
      </c>
      <c r="I532">
        <v>3</v>
      </c>
      <c r="J532">
        <v>9</v>
      </c>
      <c r="K532">
        <v>2003</v>
      </c>
      <c r="L532" s="1" t="s">
        <v>239</v>
      </c>
      <c r="M532">
        <v>124</v>
      </c>
      <c r="N532" s="1" t="s">
        <v>830</v>
      </c>
      <c r="O532" s="1" t="s">
        <v>385</v>
      </c>
      <c r="P532" s="1" t="s">
        <v>386</v>
      </c>
      <c r="Q532" s="1" t="s">
        <v>387</v>
      </c>
      <c r="R532" s="1" t="s">
        <v>388</v>
      </c>
      <c r="S532" s="1" t="s">
        <v>389</v>
      </c>
      <c r="T532" s="1" t="s">
        <v>206</v>
      </c>
      <c r="U532" s="1" t="s">
        <v>390</v>
      </c>
      <c r="V532" s="1" t="s">
        <v>120</v>
      </c>
      <c r="W532" s="1" t="s">
        <v>121</v>
      </c>
      <c r="X532" s="1" t="s">
        <v>391</v>
      </c>
      <c r="Y532" s="1" t="s">
        <v>392</v>
      </c>
      <c r="Z532" s="1" t="str">
        <f>TRIM(_xlfn.CONCAT(sales_data_sample[[#This Row],[CONTACTFIRSTNAME]],", ",sales_data_sample[[#This Row],[CONTACTLASTNAME]]))</f>
        <v>Anna, O'Hara</v>
      </c>
      <c r="AA532" s="1" t="s">
        <v>59</v>
      </c>
    </row>
    <row r="533" spans="1:27" x14ac:dyDescent="0.25">
      <c r="A533" s="10">
        <v>10161</v>
      </c>
      <c r="B533" s="9">
        <v>43</v>
      </c>
      <c r="C533" s="9">
        <v>100</v>
      </c>
      <c r="D533" s="9">
        <f>PRODUCT(sales_data_sample[[#This Row],[QUANTITYORDERED]],sales_data_sample[[#This Row],[PRICEEACH]])</f>
        <v>4300</v>
      </c>
      <c r="E533" s="9">
        <f>IF(OR(sales_data_sample[[#This Row],[STATUS]]="Shipped",sales_data_sample[[#This Row],[STATUS]]="Resolved"),sales_data_sample[[#This Row],[SALES]],0)</f>
        <v>4300</v>
      </c>
      <c r="F533" s="10">
        <v>8</v>
      </c>
      <c r="G533" s="12" t="s">
        <v>775</v>
      </c>
      <c r="H533" s="1" t="s">
        <v>26</v>
      </c>
      <c r="I533">
        <v>4</v>
      </c>
      <c r="J533">
        <v>10</v>
      </c>
      <c r="K533">
        <v>2003</v>
      </c>
      <c r="L533" s="1" t="s">
        <v>239</v>
      </c>
      <c r="M533">
        <v>124</v>
      </c>
      <c r="N533" s="1" t="s">
        <v>830</v>
      </c>
      <c r="O533" s="1" t="s">
        <v>701</v>
      </c>
      <c r="P533" s="1" t="s">
        <v>702</v>
      </c>
      <c r="Q533" s="1" t="s">
        <v>703</v>
      </c>
      <c r="R533" s="1" t="s">
        <v>32</v>
      </c>
      <c r="S533" s="1" t="s">
        <v>704</v>
      </c>
      <c r="T533" s="1" t="s">
        <v>32</v>
      </c>
      <c r="U533" s="1" t="s">
        <v>705</v>
      </c>
      <c r="V533" s="1" t="s">
        <v>442</v>
      </c>
      <c r="W533" s="1" t="s">
        <v>48</v>
      </c>
      <c r="X533" s="1" t="s">
        <v>706</v>
      </c>
      <c r="Y533" s="1" t="s">
        <v>707</v>
      </c>
      <c r="Z533" s="1" t="str">
        <f>TRIM(_xlfn.CONCAT(sales_data_sample[[#This Row],[CONTACTFIRSTNAME]],", ",sales_data_sample[[#This Row],[CONTACTLASTNAME]]))</f>
        <v>Palle, Ibsen</v>
      </c>
      <c r="AA533" s="1" t="s">
        <v>59</v>
      </c>
    </row>
    <row r="534" spans="1:27" x14ac:dyDescent="0.25">
      <c r="A534" s="10">
        <v>10172</v>
      </c>
      <c r="B534" s="9">
        <v>42</v>
      </c>
      <c r="C534" s="9">
        <v>100</v>
      </c>
      <c r="D534" s="9">
        <f>PRODUCT(sales_data_sample[[#This Row],[QUANTITYORDERED]],sales_data_sample[[#This Row],[PRICEEACH]])</f>
        <v>4200</v>
      </c>
      <c r="E534" s="9">
        <f>IF(OR(sales_data_sample[[#This Row],[STATUS]]="Shipped",sales_data_sample[[#This Row],[STATUS]]="Resolved"),sales_data_sample[[#This Row],[SALES]],0)</f>
        <v>4200</v>
      </c>
      <c r="F534" s="10">
        <v>6</v>
      </c>
      <c r="G534" s="12" t="s">
        <v>776</v>
      </c>
      <c r="H534" s="1" t="s">
        <v>26</v>
      </c>
      <c r="I534">
        <v>4</v>
      </c>
      <c r="J534">
        <v>11</v>
      </c>
      <c r="K534">
        <v>2003</v>
      </c>
      <c r="L534" s="1" t="s">
        <v>239</v>
      </c>
      <c r="M534">
        <v>124</v>
      </c>
      <c r="N534" s="1" t="s">
        <v>830</v>
      </c>
      <c r="O534" s="1" t="s">
        <v>140</v>
      </c>
      <c r="P534" s="1" t="s">
        <v>141</v>
      </c>
      <c r="Q534" s="1" t="s">
        <v>142</v>
      </c>
      <c r="R534" s="1" t="s">
        <v>32</v>
      </c>
      <c r="S534" s="1" t="s">
        <v>143</v>
      </c>
      <c r="T534" s="1" t="s">
        <v>144</v>
      </c>
      <c r="U534" s="1" t="s">
        <v>145</v>
      </c>
      <c r="V534" s="1" t="s">
        <v>36</v>
      </c>
      <c r="W534" s="1" t="s">
        <v>37</v>
      </c>
      <c r="X534" s="1" t="s">
        <v>146</v>
      </c>
      <c r="Y534" s="1" t="s">
        <v>68</v>
      </c>
      <c r="Z534" s="1" t="str">
        <f>TRIM(_xlfn.CONCAT(sales_data_sample[[#This Row],[CONTACTFIRSTNAME]],", ",sales_data_sample[[#This Row],[CONTACTLASTNAME]]))</f>
        <v>Julie, King</v>
      </c>
      <c r="AA534" s="1" t="s">
        <v>59</v>
      </c>
    </row>
    <row r="535" spans="1:27" x14ac:dyDescent="0.25">
      <c r="A535" s="10">
        <v>10181</v>
      </c>
      <c r="B535" s="9">
        <v>42</v>
      </c>
      <c r="C535" s="9">
        <v>100</v>
      </c>
      <c r="D535" s="9">
        <f>PRODUCT(sales_data_sample[[#This Row],[QUANTITYORDERED]],sales_data_sample[[#This Row],[PRICEEACH]])</f>
        <v>4200</v>
      </c>
      <c r="E535" s="9">
        <f>IF(OR(sales_data_sample[[#This Row],[STATUS]]="Shipped",sales_data_sample[[#This Row],[STATUS]]="Resolved"),sales_data_sample[[#This Row],[SALES]],0)</f>
        <v>4200</v>
      </c>
      <c r="F535" s="10">
        <v>2</v>
      </c>
      <c r="G535" s="12" t="s">
        <v>610</v>
      </c>
      <c r="H535" s="1" t="s">
        <v>26</v>
      </c>
      <c r="I535">
        <v>4</v>
      </c>
      <c r="J535">
        <v>11</v>
      </c>
      <c r="K535">
        <v>2003</v>
      </c>
      <c r="L535" s="1" t="s">
        <v>239</v>
      </c>
      <c r="M535">
        <v>124</v>
      </c>
      <c r="N535" s="1" t="s">
        <v>830</v>
      </c>
      <c r="O535" s="1" t="s">
        <v>92</v>
      </c>
      <c r="P535" s="1" t="s">
        <v>93</v>
      </c>
      <c r="Q535" s="1" t="s">
        <v>94</v>
      </c>
      <c r="R535" s="1" t="s">
        <v>32</v>
      </c>
      <c r="S535" s="1" t="s">
        <v>95</v>
      </c>
      <c r="T535" s="1" t="s">
        <v>32</v>
      </c>
      <c r="U535" s="1" t="s">
        <v>96</v>
      </c>
      <c r="V535" s="1" t="s">
        <v>97</v>
      </c>
      <c r="W535" s="1" t="s">
        <v>48</v>
      </c>
      <c r="X535" s="1" t="s">
        <v>98</v>
      </c>
      <c r="Y535" s="1" t="s">
        <v>99</v>
      </c>
      <c r="Z535" s="1" t="str">
        <f>TRIM(_xlfn.CONCAT(sales_data_sample[[#This Row],[CONTACTFIRSTNAME]],", ",sales_data_sample[[#This Row],[CONTACTLASTNAME]]))</f>
        <v>Veysel, Oeztan</v>
      </c>
      <c r="AA535" s="1" t="s">
        <v>59</v>
      </c>
    </row>
    <row r="536" spans="1:27" x14ac:dyDescent="0.25">
      <c r="A536" s="10">
        <v>10192</v>
      </c>
      <c r="B536" s="9">
        <v>29</v>
      </c>
      <c r="C536" s="9">
        <v>100</v>
      </c>
      <c r="D536" s="9">
        <f>PRODUCT(sales_data_sample[[#This Row],[QUANTITYORDERED]],sales_data_sample[[#This Row],[PRICEEACH]])</f>
        <v>2900</v>
      </c>
      <c r="E536" s="9">
        <f>IF(OR(sales_data_sample[[#This Row],[STATUS]]="Shipped",sales_data_sample[[#This Row],[STATUS]]="Resolved"),sales_data_sample[[#This Row],[SALES]],0)</f>
        <v>2900</v>
      </c>
      <c r="F536" s="10">
        <v>7</v>
      </c>
      <c r="G536" s="12" t="s">
        <v>611</v>
      </c>
      <c r="H536" s="1" t="s">
        <v>26</v>
      </c>
      <c r="I536">
        <v>4</v>
      </c>
      <c r="J536">
        <v>11</v>
      </c>
      <c r="K536">
        <v>2003</v>
      </c>
      <c r="L536" s="1" t="s">
        <v>239</v>
      </c>
      <c r="M536">
        <v>124</v>
      </c>
      <c r="N536" s="1" t="s">
        <v>830</v>
      </c>
      <c r="O536" s="1" t="s">
        <v>368</v>
      </c>
      <c r="P536" s="1" t="s">
        <v>369</v>
      </c>
      <c r="Q536" s="1" t="s">
        <v>370</v>
      </c>
      <c r="R536" s="1" t="s">
        <v>32</v>
      </c>
      <c r="S536" s="1" t="s">
        <v>371</v>
      </c>
      <c r="T536" s="1" t="s">
        <v>372</v>
      </c>
      <c r="U536" s="1" t="s">
        <v>373</v>
      </c>
      <c r="V536" s="1" t="s">
        <v>36</v>
      </c>
      <c r="W536" s="1" t="s">
        <v>37</v>
      </c>
      <c r="X536" s="1" t="s">
        <v>67</v>
      </c>
      <c r="Y536" s="1" t="s">
        <v>366</v>
      </c>
      <c r="Z536" s="1" t="str">
        <f>TRIM(_xlfn.CONCAT(sales_data_sample[[#This Row],[CONTACTFIRSTNAME]],", ",sales_data_sample[[#This Row],[CONTACTLASTNAME]]))</f>
        <v>Valarie, Young</v>
      </c>
      <c r="AA536" s="1" t="s">
        <v>59</v>
      </c>
    </row>
    <row r="537" spans="1:27" x14ac:dyDescent="0.25">
      <c r="A537">
        <v>10204</v>
      </c>
      <c r="B537">
        <v>40</v>
      </c>
      <c r="C537">
        <v>100</v>
      </c>
      <c r="D537">
        <f>PRODUCT(sales_data_sample[[#This Row],[QUANTITYORDERED]],sales_data_sample[[#This Row],[PRICEEACH]])</f>
        <v>4000</v>
      </c>
      <c r="E537" s="9">
        <f>IF(OR(sales_data_sample[[#This Row],[STATUS]]="Shipped",sales_data_sample[[#This Row],[STATUS]]="Resolved"),sales_data_sample[[#This Row],[SALES]],0)</f>
        <v>4000</v>
      </c>
      <c r="F537">
        <v>13</v>
      </c>
      <c r="G537" s="12" t="s">
        <v>620</v>
      </c>
      <c r="H537" s="1" t="s">
        <v>26</v>
      </c>
      <c r="I537">
        <v>4</v>
      </c>
      <c r="J537">
        <v>12</v>
      </c>
      <c r="K537">
        <v>2003</v>
      </c>
      <c r="L537" s="1" t="s">
        <v>239</v>
      </c>
      <c r="M537">
        <v>124</v>
      </c>
      <c r="N537" s="1" t="s">
        <v>830</v>
      </c>
      <c r="O537" s="1" t="s">
        <v>667</v>
      </c>
      <c r="P537" s="1" t="s">
        <v>668</v>
      </c>
      <c r="Q537" s="1" t="s">
        <v>669</v>
      </c>
      <c r="R537" s="1" t="s">
        <v>670</v>
      </c>
      <c r="S537" s="1" t="s">
        <v>33</v>
      </c>
      <c r="T537" s="1" t="s">
        <v>34</v>
      </c>
      <c r="U537" s="1" t="s">
        <v>35</v>
      </c>
      <c r="V537" s="1" t="s">
        <v>36</v>
      </c>
      <c r="W537" s="1" t="s">
        <v>37</v>
      </c>
      <c r="X537" s="1" t="s">
        <v>67</v>
      </c>
      <c r="Y537" s="1" t="s">
        <v>671</v>
      </c>
      <c r="Z537" s="1" t="str">
        <f>TRIM(_xlfn.CONCAT(sales_data_sample[[#This Row],[CONTACTFIRSTNAME]],", ",sales_data_sample[[#This Row],[CONTACTLASTNAME]]))</f>
        <v>Jeff, Young</v>
      </c>
      <c r="AA537" s="1" t="s">
        <v>59</v>
      </c>
    </row>
    <row r="538" spans="1:27" x14ac:dyDescent="0.25">
      <c r="A538" s="10">
        <v>10212</v>
      </c>
      <c r="B538" s="9">
        <v>38</v>
      </c>
      <c r="C538" s="9">
        <v>100</v>
      </c>
      <c r="D538" s="9">
        <f>PRODUCT(sales_data_sample[[#This Row],[QUANTITYORDERED]],sales_data_sample[[#This Row],[PRICEEACH]])</f>
        <v>3800</v>
      </c>
      <c r="E538" s="9">
        <f>IF(OR(sales_data_sample[[#This Row],[STATUS]]="Shipped",sales_data_sample[[#This Row],[STATUS]]="Resolved"),sales_data_sample[[#This Row],[SALES]],0)</f>
        <v>3800</v>
      </c>
      <c r="F538" s="10">
        <v>6</v>
      </c>
      <c r="G538" s="12" t="s">
        <v>729</v>
      </c>
      <c r="H538" s="1" t="s">
        <v>26</v>
      </c>
      <c r="I538">
        <v>1</v>
      </c>
      <c r="J538">
        <v>1</v>
      </c>
      <c r="K538">
        <v>2004</v>
      </c>
      <c r="L538" s="1" t="s">
        <v>239</v>
      </c>
      <c r="M538">
        <v>124</v>
      </c>
      <c r="N538" s="1" t="s">
        <v>830</v>
      </c>
      <c r="O538" s="1" t="s">
        <v>230</v>
      </c>
      <c r="P538" s="1" t="s">
        <v>231</v>
      </c>
      <c r="Q538" s="1" t="s">
        <v>232</v>
      </c>
      <c r="R538" s="1" t="s">
        <v>32</v>
      </c>
      <c r="S538" s="1" t="s">
        <v>233</v>
      </c>
      <c r="T538" s="1" t="s">
        <v>32</v>
      </c>
      <c r="U538" s="1" t="s">
        <v>234</v>
      </c>
      <c r="V538" s="1" t="s">
        <v>235</v>
      </c>
      <c r="W538" s="1" t="s">
        <v>48</v>
      </c>
      <c r="X538" s="1" t="s">
        <v>236</v>
      </c>
      <c r="Y538" s="1" t="s">
        <v>237</v>
      </c>
      <c r="Z538" s="1" t="str">
        <f>TRIM(_xlfn.CONCAT(sales_data_sample[[#This Row],[CONTACTFIRSTNAME]],", ",sales_data_sample[[#This Row],[CONTACTLASTNAME]]))</f>
        <v>Diego, Freyre</v>
      </c>
      <c r="AA538" s="1" t="s">
        <v>59</v>
      </c>
    </row>
    <row r="539" spans="1:27" x14ac:dyDescent="0.25">
      <c r="A539" s="10">
        <v>10226</v>
      </c>
      <c r="B539" s="9">
        <v>38</v>
      </c>
      <c r="C539" s="9">
        <v>100</v>
      </c>
      <c r="D539" s="9">
        <f>PRODUCT(sales_data_sample[[#This Row],[QUANTITYORDERED]],sales_data_sample[[#This Row],[PRICEEACH]])</f>
        <v>3800</v>
      </c>
      <c r="E539" s="9">
        <f>IF(OR(sales_data_sample[[#This Row],[STATUS]]="Shipped",sales_data_sample[[#This Row],[STATUS]]="Resolved"),sales_data_sample[[#This Row],[SALES]],0)</f>
        <v>3800</v>
      </c>
      <c r="F539" s="10">
        <v>4</v>
      </c>
      <c r="G539" s="12" t="s">
        <v>833</v>
      </c>
      <c r="H539" s="1" t="s">
        <v>26</v>
      </c>
      <c r="I539">
        <v>1</v>
      </c>
      <c r="J539">
        <v>2</v>
      </c>
      <c r="K539">
        <v>2004</v>
      </c>
      <c r="L539" s="1" t="s">
        <v>239</v>
      </c>
      <c r="M539">
        <v>124</v>
      </c>
      <c r="N539" s="1" t="s">
        <v>830</v>
      </c>
      <c r="O539" s="1" t="s">
        <v>492</v>
      </c>
      <c r="P539" s="1" t="s">
        <v>493</v>
      </c>
      <c r="Q539" s="1" t="s">
        <v>494</v>
      </c>
      <c r="R539" s="1" t="s">
        <v>32</v>
      </c>
      <c r="S539" s="1" t="s">
        <v>495</v>
      </c>
      <c r="T539" s="1" t="s">
        <v>65</v>
      </c>
      <c r="U539" s="1" t="s">
        <v>496</v>
      </c>
      <c r="V539" s="1" t="s">
        <v>36</v>
      </c>
      <c r="W539" s="1" t="s">
        <v>37</v>
      </c>
      <c r="X539" s="1" t="s">
        <v>313</v>
      </c>
      <c r="Y539" s="1" t="s">
        <v>366</v>
      </c>
      <c r="Z539" s="1" t="str">
        <f>TRIM(_xlfn.CONCAT(sales_data_sample[[#This Row],[CONTACTFIRSTNAME]],", ",sales_data_sample[[#This Row],[CONTACTLASTNAME]]))</f>
        <v>Valarie, Thompson</v>
      </c>
      <c r="AA539" s="1" t="s">
        <v>59</v>
      </c>
    </row>
    <row r="540" spans="1:27" x14ac:dyDescent="0.25">
      <c r="A540" s="10">
        <v>10241</v>
      </c>
      <c r="B540" s="9">
        <v>21</v>
      </c>
      <c r="C540" s="9">
        <v>100</v>
      </c>
      <c r="D540" s="9">
        <f>PRODUCT(sales_data_sample[[#This Row],[QUANTITYORDERED]],sales_data_sample[[#This Row],[PRICEEACH]])</f>
        <v>2100</v>
      </c>
      <c r="E540" s="9">
        <f>IF(OR(sales_data_sample[[#This Row],[STATUS]]="Shipped",sales_data_sample[[#This Row],[STATUS]]="Resolved"),sales_data_sample[[#This Row],[SALES]],0)</f>
        <v>2100</v>
      </c>
      <c r="F540" s="10">
        <v>11</v>
      </c>
      <c r="G540" s="12" t="s">
        <v>777</v>
      </c>
      <c r="H540" s="1" t="s">
        <v>26</v>
      </c>
      <c r="I540">
        <v>2</v>
      </c>
      <c r="J540">
        <v>4</v>
      </c>
      <c r="K540">
        <v>2004</v>
      </c>
      <c r="L540" s="1" t="s">
        <v>239</v>
      </c>
      <c r="M540">
        <v>124</v>
      </c>
      <c r="N540" s="1" t="s">
        <v>830</v>
      </c>
      <c r="O540" s="1" t="s">
        <v>763</v>
      </c>
      <c r="P540" s="1" t="s">
        <v>764</v>
      </c>
      <c r="Q540" s="1" t="s">
        <v>765</v>
      </c>
      <c r="R540" s="1" t="s">
        <v>32</v>
      </c>
      <c r="S540" s="1" t="s">
        <v>766</v>
      </c>
      <c r="T540" s="1" t="s">
        <v>32</v>
      </c>
      <c r="U540" s="1" t="s">
        <v>767</v>
      </c>
      <c r="V540" s="1" t="s">
        <v>47</v>
      </c>
      <c r="W540" s="1" t="s">
        <v>48</v>
      </c>
      <c r="X540" s="1" t="s">
        <v>768</v>
      </c>
      <c r="Y540" s="1" t="s">
        <v>769</v>
      </c>
      <c r="Z540" s="1" t="str">
        <f>TRIM(_xlfn.CONCAT(sales_data_sample[[#This Row],[CONTACTFIRSTNAME]],", ",sales_data_sample[[#This Row],[CONTACTLASTNAME]]))</f>
        <v>Frederique, Citeaux</v>
      </c>
      <c r="AA540" s="1" t="s">
        <v>40</v>
      </c>
    </row>
    <row r="541" spans="1:27" x14ac:dyDescent="0.25">
      <c r="A541" s="10">
        <v>10253</v>
      </c>
      <c r="B541" s="9">
        <v>24</v>
      </c>
      <c r="C541" s="9">
        <v>100</v>
      </c>
      <c r="D541" s="9">
        <f>PRODUCT(sales_data_sample[[#This Row],[QUANTITYORDERED]],sales_data_sample[[#This Row],[PRICEEACH]])</f>
        <v>2400</v>
      </c>
      <c r="E541" s="9">
        <f>IF(OR(sales_data_sample[[#This Row],[STATUS]]="Shipped",sales_data_sample[[#This Row],[STATUS]]="Resolved"),sales_data_sample[[#This Row],[SALES]],0)</f>
        <v>0</v>
      </c>
      <c r="F541" s="10">
        <v>1</v>
      </c>
      <c r="G541" s="12" t="s">
        <v>630</v>
      </c>
      <c r="H541" s="1" t="s">
        <v>461</v>
      </c>
      <c r="I541">
        <v>2</v>
      </c>
      <c r="J541">
        <v>6</v>
      </c>
      <c r="K541">
        <v>2004</v>
      </c>
      <c r="L541" s="1" t="s">
        <v>239</v>
      </c>
      <c r="M541">
        <v>124</v>
      </c>
      <c r="N541" s="1" t="s">
        <v>830</v>
      </c>
      <c r="O541" s="1" t="s">
        <v>220</v>
      </c>
      <c r="P541" s="1" t="s">
        <v>221</v>
      </c>
      <c r="Q541" s="1" t="s">
        <v>222</v>
      </c>
      <c r="R541" s="1" t="s">
        <v>32</v>
      </c>
      <c r="S541" s="1" t="s">
        <v>223</v>
      </c>
      <c r="T541" s="1" t="s">
        <v>32</v>
      </c>
      <c r="U541" s="1" t="s">
        <v>224</v>
      </c>
      <c r="V541" s="1" t="s">
        <v>225</v>
      </c>
      <c r="W541" s="1" t="s">
        <v>48</v>
      </c>
      <c r="X541" s="1" t="s">
        <v>226</v>
      </c>
      <c r="Y541" s="1" t="s">
        <v>227</v>
      </c>
      <c r="Z541" s="1" t="str">
        <f>TRIM(_xlfn.CONCAT(sales_data_sample[[#This Row],[CONTACTFIRSTNAME]],", ",sales_data_sample[[#This Row],[CONTACTLASTNAME]]))</f>
        <v>Elizabeth, Devon</v>
      </c>
      <c r="AA541" s="1" t="s">
        <v>59</v>
      </c>
    </row>
    <row r="542" spans="1:27" x14ac:dyDescent="0.25">
      <c r="A542" s="10">
        <v>10266</v>
      </c>
      <c r="B542" s="9">
        <v>36</v>
      </c>
      <c r="C542" s="9">
        <v>100</v>
      </c>
      <c r="D542" s="9">
        <f>PRODUCT(sales_data_sample[[#This Row],[QUANTITYORDERED]],sales_data_sample[[#This Row],[PRICEEACH]])</f>
        <v>3600</v>
      </c>
      <c r="E542" s="9">
        <f>IF(OR(sales_data_sample[[#This Row],[STATUS]]="Shipped",sales_data_sample[[#This Row],[STATUS]]="Resolved"),sales_data_sample[[#This Row],[SALES]],0)</f>
        <v>3600</v>
      </c>
      <c r="F542" s="10">
        <v>2</v>
      </c>
      <c r="G542" s="12" t="s">
        <v>631</v>
      </c>
      <c r="H542" s="1" t="s">
        <v>26</v>
      </c>
      <c r="I542">
        <v>3</v>
      </c>
      <c r="J542">
        <v>7</v>
      </c>
      <c r="K542">
        <v>2004</v>
      </c>
      <c r="L542" s="1" t="s">
        <v>239</v>
      </c>
      <c r="M542">
        <v>124</v>
      </c>
      <c r="N542" s="1" t="s">
        <v>830</v>
      </c>
      <c r="O542" s="1" t="s">
        <v>632</v>
      </c>
      <c r="P542" s="1" t="s">
        <v>633</v>
      </c>
      <c r="Q542" s="1" t="s">
        <v>634</v>
      </c>
      <c r="R542" s="1" t="s">
        <v>32</v>
      </c>
      <c r="S542" s="1" t="s">
        <v>635</v>
      </c>
      <c r="T542" s="1" t="s">
        <v>32</v>
      </c>
      <c r="U542" s="1" t="s">
        <v>636</v>
      </c>
      <c r="V542" s="1" t="s">
        <v>343</v>
      </c>
      <c r="W542" s="1" t="s">
        <v>48</v>
      </c>
      <c r="X542" s="1" t="s">
        <v>637</v>
      </c>
      <c r="Y542" s="1" t="s">
        <v>638</v>
      </c>
      <c r="Z542" s="1" t="str">
        <f>TRIM(_xlfn.CONCAT(sales_data_sample[[#This Row],[CONTACTFIRSTNAME]],", ",sales_data_sample[[#This Row],[CONTACTLASTNAME]]))</f>
        <v>Maurizio, Moroni</v>
      </c>
      <c r="AA542" s="1" t="s">
        <v>59</v>
      </c>
    </row>
    <row r="543" spans="1:27" x14ac:dyDescent="0.25">
      <c r="A543" s="10">
        <v>10278</v>
      </c>
      <c r="B543" s="9">
        <v>23</v>
      </c>
      <c r="C543" s="9">
        <v>100</v>
      </c>
      <c r="D543" s="9">
        <f>PRODUCT(sales_data_sample[[#This Row],[QUANTITYORDERED]],sales_data_sample[[#This Row],[PRICEEACH]])</f>
        <v>2300</v>
      </c>
      <c r="E543" s="9">
        <f>IF(OR(sales_data_sample[[#This Row],[STATUS]]="Shipped",sales_data_sample[[#This Row],[STATUS]]="Resolved"),sales_data_sample[[#This Row],[SALES]],0)</f>
        <v>2300</v>
      </c>
      <c r="F543" s="10">
        <v>2</v>
      </c>
      <c r="G543" s="12" t="s">
        <v>778</v>
      </c>
      <c r="H543" s="1" t="s">
        <v>26</v>
      </c>
      <c r="I543">
        <v>3</v>
      </c>
      <c r="J543">
        <v>8</v>
      </c>
      <c r="K543">
        <v>2004</v>
      </c>
      <c r="L543" s="1" t="s">
        <v>239</v>
      </c>
      <c r="M543">
        <v>124</v>
      </c>
      <c r="N543" s="1" t="s">
        <v>830</v>
      </c>
      <c r="O543" s="1" t="s">
        <v>779</v>
      </c>
      <c r="P543" s="1" t="s">
        <v>780</v>
      </c>
      <c r="Q543" s="1" t="s">
        <v>781</v>
      </c>
      <c r="R543" s="1" t="s">
        <v>32</v>
      </c>
      <c r="S543" s="1" t="s">
        <v>782</v>
      </c>
      <c r="T543" s="1" t="s">
        <v>783</v>
      </c>
      <c r="U543" s="1" t="s">
        <v>784</v>
      </c>
      <c r="V543" s="1" t="s">
        <v>36</v>
      </c>
      <c r="W543" s="1" t="s">
        <v>37</v>
      </c>
      <c r="X543" s="1" t="s">
        <v>146</v>
      </c>
      <c r="Y543" s="1" t="s">
        <v>551</v>
      </c>
      <c r="Z543" s="1" t="str">
        <f>TRIM(_xlfn.CONCAT(sales_data_sample[[#This Row],[CONTACTFIRSTNAME]],", ",sales_data_sample[[#This Row],[CONTACTLASTNAME]]))</f>
        <v>Sue, King</v>
      </c>
      <c r="AA543" s="1" t="s">
        <v>40</v>
      </c>
    </row>
    <row r="544" spans="1:27" x14ac:dyDescent="0.25">
      <c r="A544">
        <v>10288</v>
      </c>
      <c r="B544">
        <v>20</v>
      </c>
      <c r="C544">
        <v>100</v>
      </c>
      <c r="D544">
        <f>PRODUCT(sales_data_sample[[#This Row],[QUANTITYORDERED]],sales_data_sample[[#This Row],[PRICEEACH]])</f>
        <v>2000</v>
      </c>
      <c r="E544" s="9">
        <f>IF(OR(sales_data_sample[[#This Row],[STATUS]]="Shipped",sales_data_sample[[#This Row],[STATUS]]="Resolved"),sales_data_sample[[#This Row],[SALES]],0)</f>
        <v>2000</v>
      </c>
      <c r="F544">
        <v>14</v>
      </c>
      <c r="G544" s="12" t="s">
        <v>834</v>
      </c>
      <c r="H544" s="1" t="s">
        <v>26</v>
      </c>
      <c r="I544">
        <v>3</v>
      </c>
      <c r="J544">
        <v>9</v>
      </c>
      <c r="K544">
        <v>2004</v>
      </c>
      <c r="L544" s="1" t="s">
        <v>239</v>
      </c>
      <c r="M544">
        <v>124</v>
      </c>
      <c r="N544" s="1" t="s">
        <v>830</v>
      </c>
      <c r="O544" s="1" t="s">
        <v>577</v>
      </c>
      <c r="P544" s="1" t="s">
        <v>578</v>
      </c>
      <c r="Q544" s="1" t="s">
        <v>579</v>
      </c>
      <c r="R544" s="1" t="s">
        <v>580</v>
      </c>
      <c r="S544" s="1" t="s">
        <v>262</v>
      </c>
      <c r="T544" s="1" t="s">
        <v>32</v>
      </c>
      <c r="U544" s="1" t="s">
        <v>581</v>
      </c>
      <c r="V544" s="1" t="s">
        <v>262</v>
      </c>
      <c r="W544" s="1" t="s">
        <v>121</v>
      </c>
      <c r="X544" s="1" t="s">
        <v>582</v>
      </c>
      <c r="Y544" s="1" t="s">
        <v>583</v>
      </c>
      <c r="Z544" s="1" t="str">
        <f>TRIM(_xlfn.CONCAT(sales_data_sample[[#This Row],[CONTACTFIRSTNAME]],", ",sales_data_sample[[#This Row],[CONTACTLASTNAME]]))</f>
        <v>Wendy, Victorino</v>
      </c>
      <c r="AA544" s="1" t="s">
        <v>40</v>
      </c>
    </row>
    <row r="545" spans="1:27" x14ac:dyDescent="0.25">
      <c r="A545" s="10">
        <v>10301</v>
      </c>
      <c r="B545" s="9">
        <v>32</v>
      </c>
      <c r="C545" s="9">
        <v>100</v>
      </c>
      <c r="D545" s="9">
        <f>PRODUCT(sales_data_sample[[#This Row],[QUANTITYORDERED]],sales_data_sample[[#This Row],[PRICEEACH]])</f>
        <v>3200</v>
      </c>
      <c r="E545" s="9">
        <f>IF(OR(sales_data_sample[[#This Row],[STATUS]]="Shipped",sales_data_sample[[#This Row],[STATUS]]="Resolved"),sales_data_sample[[#This Row],[SALES]],0)</f>
        <v>3200</v>
      </c>
      <c r="F545" s="10">
        <v>4</v>
      </c>
      <c r="G545" s="12" t="s">
        <v>785</v>
      </c>
      <c r="H545" s="1" t="s">
        <v>26</v>
      </c>
      <c r="I545">
        <v>4</v>
      </c>
      <c r="J545">
        <v>10</v>
      </c>
      <c r="K545">
        <v>2003</v>
      </c>
      <c r="L545" s="1" t="s">
        <v>239</v>
      </c>
      <c r="M545">
        <v>124</v>
      </c>
      <c r="N545" s="1" t="s">
        <v>830</v>
      </c>
      <c r="O545" s="1" t="s">
        <v>786</v>
      </c>
      <c r="P545" s="1" t="s">
        <v>787</v>
      </c>
      <c r="Q545" s="1" t="s">
        <v>788</v>
      </c>
      <c r="R545" s="1" t="s">
        <v>32</v>
      </c>
      <c r="S545" s="1" t="s">
        <v>789</v>
      </c>
      <c r="T545" s="1" t="s">
        <v>32</v>
      </c>
      <c r="U545" s="1" t="s">
        <v>790</v>
      </c>
      <c r="V545" s="1" t="s">
        <v>97</v>
      </c>
      <c r="W545" s="1" t="s">
        <v>48</v>
      </c>
      <c r="X545" s="1" t="s">
        <v>791</v>
      </c>
      <c r="Y545" s="1" t="s">
        <v>792</v>
      </c>
      <c r="Z545" s="1" t="str">
        <f>TRIM(_xlfn.CONCAT(sales_data_sample[[#This Row],[CONTACTFIRSTNAME]],", ",sales_data_sample[[#This Row],[CONTACTLASTNAME]]))</f>
        <v>Jan, Klaeboe</v>
      </c>
      <c r="AA545" s="1" t="s">
        <v>59</v>
      </c>
    </row>
    <row r="546" spans="1:27" x14ac:dyDescent="0.25">
      <c r="A546" s="10">
        <v>10311</v>
      </c>
      <c r="B546" s="9">
        <v>29</v>
      </c>
      <c r="C546" s="9">
        <v>100</v>
      </c>
      <c r="D546" s="9">
        <f>PRODUCT(sales_data_sample[[#This Row],[QUANTITYORDERED]],sales_data_sample[[#This Row],[PRICEEACH]])</f>
        <v>2900</v>
      </c>
      <c r="E546" s="9">
        <f>IF(OR(sales_data_sample[[#This Row],[STATUS]]="Shipped",sales_data_sample[[#This Row],[STATUS]]="Resolved"),sales_data_sample[[#This Row],[SALES]],0)</f>
        <v>2900</v>
      </c>
      <c r="F546" s="10">
        <v>9</v>
      </c>
      <c r="G546" s="12" t="s">
        <v>653</v>
      </c>
      <c r="H546" s="1" t="s">
        <v>26</v>
      </c>
      <c r="I546">
        <v>4</v>
      </c>
      <c r="J546">
        <v>10</v>
      </c>
      <c r="K546">
        <v>2004</v>
      </c>
      <c r="L546" s="1" t="s">
        <v>239</v>
      </c>
      <c r="M546">
        <v>124</v>
      </c>
      <c r="N546" s="1" t="s">
        <v>830</v>
      </c>
      <c r="O546" s="1" t="s">
        <v>230</v>
      </c>
      <c r="P546" s="1" t="s">
        <v>231</v>
      </c>
      <c r="Q546" s="1" t="s">
        <v>232</v>
      </c>
      <c r="R546" s="1" t="s">
        <v>32</v>
      </c>
      <c r="S546" s="1" t="s">
        <v>233</v>
      </c>
      <c r="T546" s="1" t="s">
        <v>32</v>
      </c>
      <c r="U546" s="1" t="s">
        <v>234</v>
      </c>
      <c r="V546" s="1" t="s">
        <v>235</v>
      </c>
      <c r="W546" s="1" t="s">
        <v>48</v>
      </c>
      <c r="X546" s="1" t="s">
        <v>236</v>
      </c>
      <c r="Y546" s="1" t="s">
        <v>237</v>
      </c>
      <c r="Z546" s="1" t="str">
        <f>TRIM(_xlfn.CONCAT(sales_data_sample[[#This Row],[CONTACTFIRSTNAME]],", ",sales_data_sample[[#This Row],[CONTACTLASTNAME]]))</f>
        <v>Diego, Freyre</v>
      </c>
      <c r="AA546" s="1" t="s">
        <v>40</v>
      </c>
    </row>
    <row r="547" spans="1:27" x14ac:dyDescent="0.25">
      <c r="A547" s="10">
        <v>10321</v>
      </c>
      <c r="B547" s="9">
        <v>44</v>
      </c>
      <c r="C547" s="9">
        <v>100</v>
      </c>
      <c r="D547" s="9">
        <f>PRODUCT(sales_data_sample[[#This Row],[QUANTITYORDERED]],sales_data_sample[[#This Row],[PRICEEACH]])</f>
        <v>4400</v>
      </c>
      <c r="E547" s="9">
        <f>IF(OR(sales_data_sample[[#This Row],[STATUS]]="Shipped",sales_data_sample[[#This Row],[STATUS]]="Resolved"),sales_data_sample[[#This Row],[SALES]],0)</f>
        <v>4400</v>
      </c>
      <c r="F547" s="10">
        <v>6</v>
      </c>
      <c r="G547" s="12" t="s">
        <v>367</v>
      </c>
      <c r="H547" s="1" t="s">
        <v>26</v>
      </c>
      <c r="I547">
        <v>4</v>
      </c>
      <c r="J547">
        <v>11</v>
      </c>
      <c r="K547">
        <v>2004</v>
      </c>
      <c r="L547" s="1" t="s">
        <v>239</v>
      </c>
      <c r="M547">
        <v>124</v>
      </c>
      <c r="N547" s="1" t="s">
        <v>830</v>
      </c>
      <c r="O547" s="1" t="s">
        <v>212</v>
      </c>
      <c r="P547" s="1" t="s">
        <v>213</v>
      </c>
      <c r="Q547" s="1" t="s">
        <v>214</v>
      </c>
      <c r="R547" s="1" t="s">
        <v>32</v>
      </c>
      <c r="S547" s="1" t="s">
        <v>215</v>
      </c>
      <c r="T547" s="1" t="s">
        <v>160</v>
      </c>
      <c r="U547" s="1" t="s">
        <v>216</v>
      </c>
      <c r="V547" s="1" t="s">
        <v>36</v>
      </c>
      <c r="W547" s="1" t="s">
        <v>37</v>
      </c>
      <c r="X547" s="1" t="s">
        <v>217</v>
      </c>
      <c r="Y547" s="1" t="s">
        <v>218</v>
      </c>
      <c r="Z547" s="1" t="str">
        <f>TRIM(_xlfn.CONCAT(sales_data_sample[[#This Row],[CONTACTFIRSTNAME]],", ",sales_data_sample[[#This Row],[CONTACTLASTNAME]]))</f>
        <v>Violeta, Benitez</v>
      </c>
      <c r="AA547" s="1" t="s">
        <v>59</v>
      </c>
    </row>
    <row r="548" spans="1:27" x14ac:dyDescent="0.25">
      <c r="A548" s="10">
        <v>10331</v>
      </c>
      <c r="B548" s="9">
        <v>44</v>
      </c>
      <c r="C548" s="9">
        <v>100</v>
      </c>
      <c r="D548" s="9">
        <f>PRODUCT(sales_data_sample[[#This Row],[QUANTITYORDERED]],sales_data_sample[[#This Row],[PRICEEACH]])</f>
        <v>4400</v>
      </c>
      <c r="E548" s="9">
        <f>IF(OR(sales_data_sample[[#This Row],[STATUS]]="Shipped",sales_data_sample[[#This Row],[STATUS]]="Resolved"),sales_data_sample[[#This Row],[SALES]],0)</f>
        <v>4400</v>
      </c>
      <c r="F548" s="10">
        <v>14</v>
      </c>
      <c r="G548" s="12" t="s">
        <v>793</v>
      </c>
      <c r="H548" s="1" t="s">
        <v>26</v>
      </c>
      <c r="I548">
        <v>4</v>
      </c>
      <c r="J548">
        <v>11</v>
      </c>
      <c r="K548">
        <v>2004</v>
      </c>
      <c r="L548" s="1" t="s">
        <v>239</v>
      </c>
      <c r="M548">
        <v>124</v>
      </c>
      <c r="N548" s="1" t="s">
        <v>830</v>
      </c>
      <c r="O548" s="1" t="s">
        <v>415</v>
      </c>
      <c r="P548" s="1" t="s">
        <v>416</v>
      </c>
      <c r="Q548" s="1" t="s">
        <v>417</v>
      </c>
      <c r="R548" s="1" t="s">
        <v>32</v>
      </c>
      <c r="S548" s="1" t="s">
        <v>286</v>
      </c>
      <c r="T548" s="1" t="s">
        <v>186</v>
      </c>
      <c r="U548" s="1" t="s">
        <v>287</v>
      </c>
      <c r="V548" s="1" t="s">
        <v>36</v>
      </c>
      <c r="W548" s="1" t="s">
        <v>37</v>
      </c>
      <c r="X548" s="1" t="s">
        <v>162</v>
      </c>
      <c r="Y548" s="1" t="s">
        <v>418</v>
      </c>
      <c r="Z548" s="1" t="str">
        <f>TRIM(_xlfn.CONCAT(sales_data_sample[[#This Row],[CONTACTFIRSTNAME]],", ",sales_data_sample[[#This Row],[CONTACTLASTNAME]]))</f>
        <v>Rosa, Hernandez</v>
      </c>
      <c r="AA548" s="1" t="s">
        <v>59</v>
      </c>
    </row>
    <row r="549" spans="1:27" x14ac:dyDescent="0.25">
      <c r="A549" s="10">
        <v>10343</v>
      </c>
      <c r="B549" s="9">
        <v>36</v>
      </c>
      <c r="C549" s="9">
        <v>100</v>
      </c>
      <c r="D549" s="9">
        <f>PRODUCT(sales_data_sample[[#This Row],[QUANTITYORDERED]],sales_data_sample[[#This Row],[PRICEEACH]])</f>
        <v>3600</v>
      </c>
      <c r="E549" s="9">
        <f>IF(OR(sales_data_sample[[#This Row],[STATUS]]="Shipped",sales_data_sample[[#This Row],[STATUS]]="Resolved"),sales_data_sample[[#This Row],[SALES]],0)</f>
        <v>3600</v>
      </c>
      <c r="F549" s="10">
        <v>4</v>
      </c>
      <c r="G549" s="12" t="s">
        <v>190</v>
      </c>
      <c r="H549" s="1" t="s">
        <v>26</v>
      </c>
      <c r="I549">
        <v>4</v>
      </c>
      <c r="J549">
        <v>11</v>
      </c>
      <c r="K549">
        <v>2004</v>
      </c>
      <c r="L549" s="1" t="s">
        <v>239</v>
      </c>
      <c r="M549">
        <v>124</v>
      </c>
      <c r="N549" s="1" t="s">
        <v>830</v>
      </c>
      <c r="O549" s="1" t="s">
        <v>42</v>
      </c>
      <c r="P549" s="1" t="s">
        <v>43</v>
      </c>
      <c r="Q549" s="1" t="s">
        <v>44</v>
      </c>
      <c r="R549" s="1" t="s">
        <v>32</v>
      </c>
      <c r="S549" s="1" t="s">
        <v>45</v>
      </c>
      <c r="T549" s="1" t="s">
        <v>32</v>
      </c>
      <c r="U549" s="1" t="s">
        <v>46</v>
      </c>
      <c r="V549" s="1" t="s">
        <v>47</v>
      </c>
      <c r="W549" s="1" t="s">
        <v>48</v>
      </c>
      <c r="X549" s="1" t="s">
        <v>49</v>
      </c>
      <c r="Y549" s="1" t="s">
        <v>50</v>
      </c>
      <c r="Z549" s="1" t="str">
        <f>TRIM(_xlfn.CONCAT(sales_data_sample[[#This Row],[CONTACTFIRSTNAME]],", ",sales_data_sample[[#This Row],[CONTACTLASTNAME]]))</f>
        <v>Paul, Henriot</v>
      </c>
      <c r="AA549" s="1" t="s">
        <v>59</v>
      </c>
    </row>
    <row r="550" spans="1:27" x14ac:dyDescent="0.25">
      <c r="A550" s="10">
        <v>10367</v>
      </c>
      <c r="B550" s="9">
        <v>49</v>
      </c>
      <c r="C550" s="9">
        <v>563</v>
      </c>
      <c r="D550" s="9">
        <f>PRODUCT(sales_data_sample[[#This Row],[QUANTITYORDERED]],sales_data_sample[[#This Row],[PRICEEACH]])</f>
        <v>27587</v>
      </c>
      <c r="E550" s="9">
        <f>IF(OR(sales_data_sample[[#This Row],[STATUS]]="Shipped",sales_data_sample[[#This Row],[STATUS]]="Resolved"),sales_data_sample[[#This Row],[SALES]],0)</f>
        <v>27587</v>
      </c>
      <c r="F550" s="10">
        <v>1</v>
      </c>
      <c r="G550" s="12" t="s">
        <v>835</v>
      </c>
      <c r="H550" s="1" t="s">
        <v>563</v>
      </c>
      <c r="I550">
        <v>1</v>
      </c>
      <c r="J550">
        <v>1</v>
      </c>
      <c r="K550">
        <v>2005</v>
      </c>
      <c r="L550" s="1" t="s">
        <v>239</v>
      </c>
      <c r="M550">
        <v>124</v>
      </c>
      <c r="N550" s="1" t="s">
        <v>830</v>
      </c>
      <c r="O550" s="1" t="s">
        <v>61</v>
      </c>
      <c r="P550" s="1" t="s">
        <v>62</v>
      </c>
      <c r="Q550" s="1" t="s">
        <v>63</v>
      </c>
      <c r="R550" s="1" t="s">
        <v>32</v>
      </c>
      <c r="S550" s="1" t="s">
        <v>64</v>
      </c>
      <c r="T550" s="1" t="s">
        <v>65</v>
      </c>
      <c r="U550" s="1" t="s">
        <v>66</v>
      </c>
      <c r="V550" s="1" t="s">
        <v>36</v>
      </c>
      <c r="W550" s="1" t="s">
        <v>37</v>
      </c>
      <c r="X550" s="1" t="s">
        <v>67</v>
      </c>
      <c r="Y550" s="1" t="s">
        <v>68</v>
      </c>
      <c r="Z550" s="1" t="str">
        <f>TRIM(_xlfn.CONCAT(sales_data_sample[[#This Row],[CONTACTFIRSTNAME]],", ",sales_data_sample[[#This Row],[CONTACTLASTNAME]]))</f>
        <v>Julie, Young</v>
      </c>
      <c r="AA550" s="1" t="s">
        <v>40</v>
      </c>
    </row>
    <row r="551" spans="1:27" x14ac:dyDescent="0.25">
      <c r="A551" s="10">
        <v>10378</v>
      </c>
      <c r="B551" s="9">
        <v>34</v>
      </c>
      <c r="C551" s="9">
        <v>4264</v>
      </c>
      <c r="D551" s="9">
        <f>PRODUCT(sales_data_sample[[#This Row],[QUANTITYORDERED]],sales_data_sample[[#This Row],[PRICEEACH]])</f>
        <v>144976</v>
      </c>
      <c r="E551" s="9">
        <f>IF(OR(sales_data_sample[[#This Row],[STATUS]]="Shipped",sales_data_sample[[#This Row],[STATUS]]="Resolved"),sales_data_sample[[#This Row],[SALES]],0)</f>
        <v>144976</v>
      </c>
      <c r="F551" s="10">
        <v>5</v>
      </c>
      <c r="G551" s="12" t="s">
        <v>836</v>
      </c>
      <c r="H551" s="1" t="s">
        <v>26</v>
      </c>
      <c r="I551">
        <v>1</v>
      </c>
      <c r="J551">
        <v>2</v>
      </c>
      <c r="K551">
        <v>2005</v>
      </c>
      <c r="L551" s="1" t="s">
        <v>239</v>
      </c>
      <c r="M551">
        <v>124</v>
      </c>
      <c r="N551" s="1" t="s">
        <v>830</v>
      </c>
      <c r="O551" s="1" t="s">
        <v>230</v>
      </c>
      <c r="P551" s="1" t="s">
        <v>231</v>
      </c>
      <c r="Q551" s="1" t="s">
        <v>232</v>
      </c>
      <c r="R551" s="1" t="s">
        <v>32</v>
      </c>
      <c r="S551" s="1" t="s">
        <v>233</v>
      </c>
      <c r="T551" s="1" t="s">
        <v>32</v>
      </c>
      <c r="U551" s="1" t="s">
        <v>234</v>
      </c>
      <c r="V551" s="1" t="s">
        <v>235</v>
      </c>
      <c r="W551" s="1" t="s">
        <v>48</v>
      </c>
      <c r="X551" s="1" t="s">
        <v>236</v>
      </c>
      <c r="Y551" s="1" t="s">
        <v>237</v>
      </c>
      <c r="Z551" s="1" t="str">
        <f>TRIM(_xlfn.CONCAT(sales_data_sample[[#This Row],[CONTACTFIRSTNAME]],", ",sales_data_sample[[#This Row],[CONTACTLASTNAME]]))</f>
        <v>Diego, Freyre</v>
      </c>
      <c r="AA551" s="1" t="s">
        <v>40</v>
      </c>
    </row>
    <row r="552" spans="1:27" x14ac:dyDescent="0.25">
      <c r="A552" s="10">
        <v>10407</v>
      </c>
      <c r="B552" s="9">
        <v>59</v>
      </c>
      <c r="C552" s="9">
        <v>100</v>
      </c>
      <c r="D552" s="9">
        <f>PRODUCT(sales_data_sample[[#This Row],[QUANTITYORDERED]],sales_data_sample[[#This Row],[PRICEEACH]])</f>
        <v>5900</v>
      </c>
      <c r="E552" s="9">
        <f>IF(OR(sales_data_sample[[#This Row],[STATUS]]="Shipped",sales_data_sample[[#This Row],[STATUS]]="Resolved"),sales_data_sample[[#This Row],[SALES]],0)</f>
        <v>0</v>
      </c>
      <c r="F552" s="10">
        <v>11</v>
      </c>
      <c r="G552" s="12" t="s">
        <v>837</v>
      </c>
      <c r="H552" s="1" t="s">
        <v>553</v>
      </c>
      <c r="I552">
        <v>2</v>
      </c>
      <c r="J552">
        <v>4</v>
      </c>
      <c r="K552">
        <v>2005</v>
      </c>
      <c r="L552" s="1" t="s">
        <v>239</v>
      </c>
      <c r="M552">
        <v>124</v>
      </c>
      <c r="N552" s="1" t="s">
        <v>830</v>
      </c>
      <c r="O552" s="1" t="s">
        <v>547</v>
      </c>
      <c r="P552" s="1" t="s">
        <v>548</v>
      </c>
      <c r="Q552" s="1" t="s">
        <v>549</v>
      </c>
      <c r="R552" s="1" t="s">
        <v>32</v>
      </c>
      <c r="S552" s="1" t="s">
        <v>550</v>
      </c>
      <c r="T552" s="1" t="s">
        <v>65</v>
      </c>
      <c r="U552" s="1" t="s">
        <v>80</v>
      </c>
      <c r="V552" s="1" t="s">
        <v>36</v>
      </c>
      <c r="W552" s="1" t="s">
        <v>37</v>
      </c>
      <c r="X552" s="1" t="s">
        <v>129</v>
      </c>
      <c r="Y552" s="1" t="s">
        <v>551</v>
      </c>
      <c r="Z552" s="1" t="str">
        <f>TRIM(_xlfn.CONCAT(sales_data_sample[[#This Row],[CONTACTFIRSTNAME]],", ",sales_data_sample[[#This Row],[CONTACTLASTNAME]]))</f>
        <v>Sue, Frick</v>
      </c>
      <c r="AA552" s="1" t="s">
        <v>199</v>
      </c>
    </row>
    <row r="553" spans="1:27" x14ac:dyDescent="0.25">
      <c r="A553" s="10">
        <v>10419</v>
      </c>
      <c r="B553" s="9">
        <v>37</v>
      </c>
      <c r="C553" s="9">
        <v>100</v>
      </c>
      <c r="D553" s="9">
        <f>PRODUCT(sales_data_sample[[#This Row],[QUANTITYORDERED]],sales_data_sample[[#This Row],[PRICEEACH]])</f>
        <v>3700</v>
      </c>
      <c r="E553" s="9">
        <f>IF(OR(sales_data_sample[[#This Row],[STATUS]]="Shipped",sales_data_sample[[#This Row],[STATUS]]="Resolved"),sales_data_sample[[#This Row],[SALES]],0)</f>
        <v>3700</v>
      </c>
      <c r="F553" s="10">
        <v>1</v>
      </c>
      <c r="G553" s="12" t="s">
        <v>663</v>
      </c>
      <c r="H553" s="1" t="s">
        <v>26</v>
      </c>
      <c r="I553">
        <v>2</v>
      </c>
      <c r="J553">
        <v>5</v>
      </c>
      <c r="K553">
        <v>2005</v>
      </c>
      <c r="L553" s="1" t="s">
        <v>239</v>
      </c>
      <c r="M553">
        <v>124</v>
      </c>
      <c r="N553" s="1" t="s">
        <v>830</v>
      </c>
      <c r="O553" s="1" t="s">
        <v>191</v>
      </c>
      <c r="P553" s="1" t="s">
        <v>192</v>
      </c>
      <c r="Q553" s="1" t="s">
        <v>193</v>
      </c>
      <c r="R553" s="1" t="s">
        <v>32</v>
      </c>
      <c r="S553" s="1" t="s">
        <v>194</v>
      </c>
      <c r="T553" s="1" t="s">
        <v>32</v>
      </c>
      <c r="U553" s="1" t="s">
        <v>195</v>
      </c>
      <c r="V553" s="1" t="s">
        <v>196</v>
      </c>
      <c r="W553" s="1" t="s">
        <v>48</v>
      </c>
      <c r="X553" s="1" t="s">
        <v>197</v>
      </c>
      <c r="Y553" s="1" t="s">
        <v>198</v>
      </c>
      <c r="Z553" s="1" t="str">
        <f>TRIM(_xlfn.CONCAT(sales_data_sample[[#This Row],[CONTACTFIRSTNAME]],", ",sales_data_sample[[#This Row],[CONTACTLASTNAME]]))</f>
        <v>Georg, Pipps</v>
      </c>
      <c r="AA553" s="1" t="s">
        <v>59</v>
      </c>
    </row>
    <row r="554" spans="1:27" x14ac:dyDescent="0.25">
      <c r="A554" s="10">
        <v>10106</v>
      </c>
      <c r="B554" s="9">
        <v>36</v>
      </c>
      <c r="C554" s="9">
        <v>100</v>
      </c>
      <c r="D554" s="9">
        <f>PRODUCT(sales_data_sample[[#This Row],[QUANTITYORDERED]],sales_data_sample[[#This Row],[PRICEEACH]])</f>
        <v>3600</v>
      </c>
      <c r="E554" s="9">
        <f>IF(OR(sales_data_sample[[#This Row],[STATUS]]="Shipped",sales_data_sample[[#This Row],[STATUS]]="Resolved"),sales_data_sample[[#This Row],[SALES]],0)</f>
        <v>3600</v>
      </c>
      <c r="F554" s="10">
        <v>12</v>
      </c>
      <c r="G554" s="12" t="s">
        <v>838</v>
      </c>
      <c r="H554" s="1" t="s">
        <v>26</v>
      </c>
      <c r="I554">
        <v>1</v>
      </c>
      <c r="J554">
        <v>2</v>
      </c>
      <c r="K554">
        <v>2003</v>
      </c>
      <c r="L554" s="1" t="s">
        <v>839</v>
      </c>
      <c r="M554">
        <v>157</v>
      </c>
      <c r="N554" s="1" t="s">
        <v>840</v>
      </c>
      <c r="O554" s="1" t="s">
        <v>806</v>
      </c>
      <c r="P554" s="1" t="s">
        <v>807</v>
      </c>
      <c r="Q554" s="1" t="s">
        <v>808</v>
      </c>
      <c r="R554" s="1" t="s">
        <v>32</v>
      </c>
      <c r="S554" s="1" t="s">
        <v>809</v>
      </c>
      <c r="T554" s="1" t="s">
        <v>32</v>
      </c>
      <c r="U554" s="1" t="s">
        <v>810</v>
      </c>
      <c r="V554" s="1" t="s">
        <v>343</v>
      </c>
      <c r="W554" s="1" t="s">
        <v>48</v>
      </c>
      <c r="X554" s="1" t="s">
        <v>811</v>
      </c>
      <c r="Y554" s="1" t="s">
        <v>812</v>
      </c>
      <c r="Z554" s="1" t="str">
        <f>TRIM(_xlfn.CONCAT(sales_data_sample[[#This Row],[CONTACTFIRSTNAME]],", ",sales_data_sample[[#This Row],[CONTACTLASTNAME]]))</f>
        <v>Giovanni, Rovelli</v>
      </c>
      <c r="AA554" s="1" t="s">
        <v>59</v>
      </c>
    </row>
    <row r="555" spans="1:27" x14ac:dyDescent="0.25">
      <c r="A555" s="10">
        <v>10119</v>
      </c>
      <c r="B555" s="9">
        <v>43</v>
      </c>
      <c r="C555" s="9">
        <v>100</v>
      </c>
      <c r="D555" s="9">
        <f>PRODUCT(sales_data_sample[[#This Row],[QUANTITYORDERED]],sales_data_sample[[#This Row],[PRICEEACH]])</f>
        <v>4300</v>
      </c>
      <c r="E555" s="9">
        <f>IF(OR(sales_data_sample[[#This Row],[STATUS]]="Shipped",sales_data_sample[[#This Row],[STATUS]]="Resolved"),sales_data_sample[[#This Row],[SALES]],0)</f>
        <v>4300</v>
      </c>
      <c r="F555" s="10">
        <v>3</v>
      </c>
      <c r="G555" s="12" t="s">
        <v>445</v>
      </c>
      <c r="H555" s="1" t="s">
        <v>26</v>
      </c>
      <c r="I555">
        <v>2</v>
      </c>
      <c r="J555">
        <v>4</v>
      </c>
      <c r="K555">
        <v>2003</v>
      </c>
      <c r="L555" s="1" t="s">
        <v>839</v>
      </c>
      <c r="M555">
        <v>157</v>
      </c>
      <c r="N555" s="1" t="s">
        <v>840</v>
      </c>
      <c r="O555" s="1" t="s">
        <v>191</v>
      </c>
      <c r="P555" s="1" t="s">
        <v>192</v>
      </c>
      <c r="Q555" s="1" t="s">
        <v>193</v>
      </c>
      <c r="R555" s="1" t="s">
        <v>32</v>
      </c>
      <c r="S555" s="1" t="s">
        <v>194</v>
      </c>
      <c r="T555" s="1" t="s">
        <v>32</v>
      </c>
      <c r="U555" s="1" t="s">
        <v>195</v>
      </c>
      <c r="V555" s="1" t="s">
        <v>196</v>
      </c>
      <c r="W555" s="1" t="s">
        <v>48</v>
      </c>
      <c r="X555" s="1" t="s">
        <v>197</v>
      </c>
      <c r="Y555" s="1" t="s">
        <v>198</v>
      </c>
      <c r="Z555" s="1" t="str">
        <f>TRIM(_xlfn.CONCAT(sales_data_sample[[#This Row],[CONTACTFIRSTNAME]],", ",sales_data_sample[[#This Row],[CONTACTLASTNAME]]))</f>
        <v>Georg, Pipps</v>
      </c>
      <c r="AA555" s="1" t="s">
        <v>59</v>
      </c>
    </row>
    <row r="556" spans="1:27" x14ac:dyDescent="0.25">
      <c r="A556" s="10">
        <v>10131</v>
      </c>
      <c r="B556" s="9">
        <v>21</v>
      </c>
      <c r="C556" s="9">
        <v>100</v>
      </c>
      <c r="D556" s="9">
        <f>PRODUCT(sales_data_sample[[#This Row],[QUANTITYORDERED]],sales_data_sample[[#This Row],[PRICEEACH]])</f>
        <v>2100</v>
      </c>
      <c r="E556" s="9">
        <f>IF(OR(sales_data_sample[[#This Row],[STATUS]]="Shipped",sales_data_sample[[#This Row],[STATUS]]="Resolved"),sales_data_sample[[#This Row],[SALES]],0)</f>
        <v>2100</v>
      </c>
      <c r="F556" s="10">
        <v>4</v>
      </c>
      <c r="G556" s="12" t="s">
        <v>841</v>
      </c>
      <c r="H556" s="1" t="s">
        <v>26</v>
      </c>
      <c r="I556">
        <v>2</v>
      </c>
      <c r="J556">
        <v>6</v>
      </c>
      <c r="K556">
        <v>2003</v>
      </c>
      <c r="L556" s="1" t="s">
        <v>839</v>
      </c>
      <c r="M556">
        <v>157</v>
      </c>
      <c r="N556" s="1" t="s">
        <v>840</v>
      </c>
      <c r="O556" s="1" t="s">
        <v>842</v>
      </c>
      <c r="P556" s="1" t="s">
        <v>843</v>
      </c>
      <c r="Q556" s="1" t="s">
        <v>844</v>
      </c>
      <c r="R556" s="1" t="s">
        <v>32</v>
      </c>
      <c r="S556" s="1" t="s">
        <v>734</v>
      </c>
      <c r="T556" s="1" t="s">
        <v>144</v>
      </c>
      <c r="U556" s="1" t="s">
        <v>845</v>
      </c>
      <c r="V556" s="1" t="s">
        <v>36</v>
      </c>
      <c r="W556" s="1" t="s">
        <v>37</v>
      </c>
      <c r="X556" s="1" t="s">
        <v>846</v>
      </c>
      <c r="Y556" s="1" t="s">
        <v>847</v>
      </c>
      <c r="Z556" s="1" t="str">
        <f>TRIM(_xlfn.CONCAT(sales_data_sample[[#This Row],[CONTACTFIRSTNAME]],", ",sales_data_sample[[#This Row],[CONTACTLASTNAME]]))</f>
        <v>Dan, Lewis</v>
      </c>
      <c r="AA556" s="1" t="s">
        <v>40</v>
      </c>
    </row>
    <row r="557" spans="1:27" x14ac:dyDescent="0.25">
      <c r="A557" s="10">
        <v>10143</v>
      </c>
      <c r="B557" s="9">
        <v>32</v>
      </c>
      <c r="C557" s="9">
        <v>100</v>
      </c>
      <c r="D557" s="9">
        <f>PRODUCT(sales_data_sample[[#This Row],[QUANTITYORDERED]],sales_data_sample[[#This Row],[PRICEEACH]])</f>
        <v>3200</v>
      </c>
      <c r="E557" s="9">
        <f>IF(OR(sales_data_sample[[#This Row],[STATUS]]="Shipped",sales_data_sample[[#This Row],[STATUS]]="Resolved"),sales_data_sample[[#This Row],[SALES]],0)</f>
        <v>3200</v>
      </c>
      <c r="F557" s="10">
        <v>7</v>
      </c>
      <c r="G557" s="12" t="s">
        <v>453</v>
      </c>
      <c r="H557" s="1" t="s">
        <v>26</v>
      </c>
      <c r="I557">
        <v>3</v>
      </c>
      <c r="J557">
        <v>8</v>
      </c>
      <c r="K557">
        <v>2003</v>
      </c>
      <c r="L557" s="1" t="s">
        <v>839</v>
      </c>
      <c r="M557">
        <v>157</v>
      </c>
      <c r="N557" s="1" t="s">
        <v>840</v>
      </c>
      <c r="O557" s="1" t="s">
        <v>454</v>
      </c>
      <c r="P557" s="1" t="s">
        <v>455</v>
      </c>
      <c r="Q557" s="1" t="s">
        <v>456</v>
      </c>
      <c r="R557" s="1" t="s">
        <v>32</v>
      </c>
      <c r="S557" s="1" t="s">
        <v>215</v>
      </c>
      <c r="T557" s="1" t="s">
        <v>160</v>
      </c>
      <c r="U557" s="1" t="s">
        <v>216</v>
      </c>
      <c r="V557" s="1" t="s">
        <v>36</v>
      </c>
      <c r="W557" s="1" t="s">
        <v>37</v>
      </c>
      <c r="X557" s="1" t="s">
        <v>457</v>
      </c>
      <c r="Y557" s="1" t="s">
        <v>458</v>
      </c>
      <c r="Z557" s="1" t="str">
        <f>TRIM(_xlfn.CONCAT(sales_data_sample[[#This Row],[CONTACTFIRSTNAME]],", ",sales_data_sample[[#This Row],[CONTACTLASTNAME]]))</f>
        <v>Wing C, Tam</v>
      </c>
      <c r="AA557" s="1" t="s">
        <v>59</v>
      </c>
    </row>
    <row r="558" spans="1:27" x14ac:dyDescent="0.25">
      <c r="A558" s="10">
        <v>10155</v>
      </c>
      <c r="B558" s="9">
        <v>38</v>
      </c>
      <c r="C558" s="9">
        <v>100</v>
      </c>
      <c r="D558" s="9">
        <f>PRODUCT(sales_data_sample[[#This Row],[QUANTITYORDERED]],sales_data_sample[[#This Row],[PRICEEACH]])</f>
        <v>3800</v>
      </c>
      <c r="E558" s="9">
        <f>IF(OR(sales_data_sample[[#This Row],[STATUS]]="Shipped",sales_data_sample[[#This Row],[STATUS]]="Resolved"),sales_data_sample[[#This Row],[SALES]],0)</f>
        <v>3800</v>
      </c>
      <c r="F558" s="10">
        <v>5</v>
      </c>
      <c r="G558" s="12" t="s">
        <v>459</v>
      </c>
      <c r="H558" s="1" t="s">
        <v>26</v>
      </c>
      <c r="I558">
        <v>4</v>
      </c>
      <c r="J558">
        <v>10</v>
      </c>
      <c r="K558">
        <v>2003</v>
      </c>
      <c r="L558" s="1" t="s">
        <v>839</v>
      </c>
      <c r="M558">
        <v>157</v>
      </c>
      <c r="N558" s="1" t="s">
        <v>840</v>
      </c>
      <c r="O558" s="1" t="s">
        <v>165</v>
      </c>
      <c r="P558" s="1" t="s">
        <v>166</v>
      </c>
      <c r="Q558" s="1" t="s">
        <v>167</v>
      </c>
      <c r="R558" s="1" t="s">
        <v>32</v>
      </c>
      <c r="S558" s="1" t="s">
        <v>168</v>
      </c>
      <c r="T558" s="1" t="s">
        <v>32</v>
      </c>
      <c r="U558" s="1" t="s">
        <v>169</v>
      </c>
      <c r="V558" s="1" t="s">
        <v>170</v>
      </c>
      <c r="W558" s="1" t="s">
        <v>48</v>
      </c>
      <c r="X558" s="1" t="s">
        <v>171</v>
      </c>
      <c r="Y558" s="1" t="s">
        <v>172</v>
      </c>
      <c r="Z558" s="1" t="str">
        <f>TRIM(_xlfn.CONCAT(sales_data_sample[[#This Row],[CONTACTFIRSTNAME]],", ",sales_data_sample[[#This Row],[CONTACTLASTNAME]]))</f>
        <v>Matti, Karttunen</v>
      </c>
      <c r="AA558" s="1" t="s">
        <v>59</v>
      </c>
    </row>
    <row r="559" spans="1:27" x14ac:dyDescent="0.25">
      <c r="A559" s="10">
        <v>10167</v>
      </c>
      <c r="B559" s="9">
        <v>43</v>
      </c>
      <c r="C559" s="9">
        <v>100</v>
      </c>
      <c r="D559" s="9">
        <f>PRODUCT(sales_data_sample[[#This Row],[QUANTITYORDERED]],sales_data_sample[[#This Row],[PRICEEACH]])</f>
        <v>4300</v>
      </c>
      <c r="E559" s="9">
        <f>IF(OR(sales_data_sample[[#This Row],[STATUS]]="Shipped",sales_data_sample[[#This Row],[STATUS]]="Resolved"),sales_data_sample[[#This Row],[SALES]],0)</f>
        <v>0</v>
      </c>
      <c r="F559" s="10">
        <v>1</v>
      </c>
      <c r="G559" s="12" t="s">
        <v>460</v>
      </c>
      <c r="H559" s="1" t="s">
        <v>461</v>
      </c>
      <c r="I559">
        <v>4</v>
      </c>
      <c r="J559">
        <v>10</v>
      </c>
      <c r="K559">
        <v>2003</v>
      </c>
      <c r="L559" s="1" t="s">
        <v>839</v>
      </c>
      <c r="M559">
        <v>157</v>
      </c>
      <c r="N559" s="1" t="s">
        <v>840</v>
      </c>
      <c r="O559" s="1" t="s">
        <v>347</v>
      </c>
      <c r="P559" s="1" t="s">
        <v>348</v>
      </c>
      <c r="Q559" s="1" t="s">
        <v>349</v>
      </c>
      <c r="R559" s="1" t="s">
        <v>32</v>
      </c>
      <c r="S559" s="1" t="s">
        <v>350</v>
      </c>
      <c r="T559" s="1" t="s">
        <v>32</v>
      </c>
      <c r="U559" s="1" t="s">
        <v>351</v>
      </c>
      <c r="V559" s="1" t="s">
        <v>247</v>
      </c>
      <c r="W559" s="1" t="s">
        <v>48</v>
      </c>
      <c r="X559" s="1" t="s">
        <v>352</v>
      </c>
      <c r="Y559" s="1" t="s">
        <v>272</v>
      </c>
      <c r="Z559" s="1" t="str">
        <f>TRIM(_xlfn.CONCAT(sales_data_sample[[#This Row],[CONTACTFIRSTNAME]],", ",sales_data_sample[[#This Row],[CONTACTLASTNAME]]))</f>
        <v>Maria, Larsson</v>
      </c>
      <c r="AA559" s="1" t="s">
        <v>59</v>
      </c>
    </row>
    <row r="560" spans="1:27" x14ac:dyDescent="0.25">
      <c r="A560" s="10">
        <v>10178</v>
      </c>
      <c r="B560" s="9">
        <v>42</v>
      </c>
      <c r="C560" s="9">
        <v>100</v>
      </c>
      <c r="D560" s="9">
        <f>PRODUCT(sales_data_sample[[#This Row],[QUANTITYORDERED]],sales_data_sample[[#This Row],[PRICEEACH]])</f>
        <v>4200</v>
      </c>
      <c r="E560" s="9">
        <f>IF(OR(sales_data_sample[[#This Row],[STATUS]]="Shipped",sales_data_sample[[#This Row],[STATUS]]="Resolved"),sales_data_sample[[#This Row],[SALES]],0)</f>
        <v>4200</v>
      </c>
      <c r="F560" s="10">
        <v>4</v>
      </c>
      <c r="G560" s="12" t="s">
        <v>462</v>
      </c>
      <c r="H560" s="1" t="s">
        <v>26</v>
      </c>
      <c r="I560">
        <v>4</v>
      </c>
      <c r="J560">
        <v>11</v>
      </c>
      <c r="K560">
        <v>2003</v>
      </c>
      <c r="L560" s="1" t="s">
        <v>839</v>
      </c>
      <c r="M560">
        <v>157</v>
      </c>
      <c r="N560" s="1" t="s">
        <v>840</v>
      </c>
      <c r="O560" s="1" t="s">
        <v>463</v>
      </c>
      <c r="P560" s="1" t="s">
        <v>464</v>
      </c>
      <c r="Q560" s="1" t="s">
        <v>465</v>
      </c>
      <c r="R560" s="1" t="s">
        <v>32</v>
      </c>
      <c r="S560" s="1" t="s">
        <v>466</v>
      </c>
      <c r="T560" s="1" t="s">
        <v>32</v>
      </c>
      <c r="U560" s="1" t="s">
        <v>467</v>
      </c>
      <c r="V560" s="1" t="s">
        <v>47</v>
      </c>
      <c r="W560" s="1" t="s">
        <v>48</v>
      </c>
      <c r="X560" s="1" t="s">
        <v>468</v>
      </c>
      <c r="Y560" s="1" t="s">
        <v>469</v>
      </c>
      <c r="Z560" s="1" t="str">
        <f>TRIM(_xlfn.CONCAT(sales_data_sample[[#This Row],[CONTACTFIRSTNAME]],", ",sales_data_sample[[#This Row],[CONTACTLASTNAME]]))</f>
        <v>Annette, Roulet</v>
      </c>
      <c r="AA560" s="1" t="s">
        <v>59</v>
      </c>
    </row>
    <row r="561" spans="1:27" x14ac:dyDescent="0.25">
      <c r="A561" s="10">
        <v>10186</v>
      </c>
      <c r="B561" s="9">
        <v>32</v>
      </c>
      <c r="C561" s="9">
        <v>100</v>
      </c>
      <c r="D561" s="9">
        <f>PRODUCT(sales_data_sample[[#This Row],[QUANTITYORDERED]],sales_data_sample[[#This Row],[PRICEEACH]])</f>
        <v>3200</v>
      </c>
      <c r="E561" s="9">
        <f>IF(OR(sales_data_sample[[#This Row],[STATUS]]="Shipped",sales_data_sample[[#This Row],[STATUS]]="Resolved"),sales_data_sample[[#This Row],[SALES]],0)</f>
        <v>3200</v>
      </c>
      <c r="F561" s="10">
        <v>1</v>
      </c>
      <c r="G561" s="12" t="s">
        <v>470</v>
      </c>
      <c r="H561" s="1" t="s">
        <v>26</v>
      </c>
      <c r="I561">
        <v>4</v>
      </c>
      <c r="J561">
        <v>11</v>
      </c>
      <c r="K561">
        <v>2003</v>
      </c>
      <c r="L561" s="1" t="s">
        <v>839</v>
      </c>
      <c r="M561">
        <v>157</v>
      </c>
      <c r="N561" s="1" t="s">
        <v>840</v>
      </c>
      <c r="O561" s="1" t="s">
        <v>471</v>
      </c>
      <c r="P561" s="1" t="s">
        <v>472</v>
      </c>
      <c r="Q561" s="1" t="s">
        <v>473</v>
      </c>
      <c r="R561" s="1" t="s">
        <v>32</v>
      </c>
      <c r="S561" s="1" t="s">
        <v>450</v>
      </c>
      <c r="T561" s="1" t="s">
        <v>32</v>
      </c>
      <c r="U561" s="1" t="s">
        <v>474</v>
      </c>
      <c r="V561" s="1" t="s">
        <v>225</v>
      </c>
      <c r="W561" s="1" t="s">
        <v>48</v>
      </c>
      <c r="X561" s="1" t="s">
        <v>475</v>
      </c>
      <c r="Y561" s="1" t="s">
        <v>476</v>
      </c>
      <c r="Z561" s="1" t="str">
        <f>TRIM(_xlfn.CONCAT(sales_data_sample[[#This Row],[CONTACTFIRSTNAME]],", ",sales_data_sample[[#This Row],[CONTACTLASTNAME]]))</f>
        <v>Thomas, Hardy</v>
      </c>
      <c r="AA561" s="1" t="s">
        <v>59</v>
      </c>
    </row>
    <row r="562" spans="1:27" x14ac:dyDescent="0.25">
      <c r="A562" s="10">
        <v>10198</v>
      </c>
      <c r="B562" s="9">
        <v>42</v>
      </c>
      <c r="C562" s="9">
        <v>100</v>
      </c>
      <c r="D562" s="9">
        <f>PRODUCT(sales_data_sample[[#This Row],[QUANTITYORDERED]],sales_data_sample[[#This Row],[PRICEEACH]])</f>
        <v>4200</v>
      </c>
      <c r="E562" s="9">
        <f>IF(OR(sales_data_sample[[#This Row],[STATUS]]="Shipped",sales_data_sample[[#This Row],[STATUS]]="Resolved"),sales_data_sample[[#This Row],[SALES]],0)</f>
        <v>4200</v>
      </c>
      <c r="F562" s="10">
        <v>4</v>
      </c>
      <c r="G562" s="12" t="s">
        <v>848</v>
      </c>
      <c r="H562" s="1" t="s">
        <v>26</v>
      </c>
      <c r="I562">
        <v>4</v>
      </c>
      <c r="J562">
        <v>11</v>
      </c>
      <c r="K562">
        <v>2003</v>
      </c>
      <c r="L562" s="1" t="s">
        <v>839</v>
      </c>
      <c r="M562">
        <v>157</v>
      </c>
      <c r="N562" s="1" t="s">
        <v>840</v>
      </c>
      <c r="O562" s="1" t="s">
        <v>591</v>
      </c>
      <c r="P562" s="1" t="s">
        <v>592</v>
      </c>
      <c r="Q562" s="1" t="s">
        <v>593</v>
      </c>
      <c r="R562" s="1" t="s">
        <v>32</v>
      </c>
      <c r="S562" s="1" t="s">
        <v>594</v>
      </c>
      <c r="T562" s="1" t="s">
        <v>32</v>
      </c>
      <c r="U562" s="1" t="s">
        <v>595</v>
      </c>
      <c r="V562" s="1" t="s">
        <v>596</v>
      </c>
      <c r="W562" s="1" t="s">
        <v>264</v>
      </c>
      <c r="X562" s="1" t="s">
        <v>597</v>
      </c>
      <c r="Y562" s="1" t="s">
        <v>598</v>
      </c>
      <c r="Z562" s="1" t="str">
        <f>TRIM(_xlfn.CONCAT(sales_data_sample[[#This Row],[CONTACTFIRSTNAME]],", ",sales_data_sample[[#This Row],[CONTACTLASTNAME]]))</f>
        <v>Arnold, Cruz</v>
      </c>
      <c r="AA562" s="1" t="s">
        <v>199</v>
      </c>
    </row>
    <row r="563" spans="1:27" x14ac:dyDescent="0.25">
      <c r="A563" s="10">
        <v>10210</v>
      </c>
      <c r="B563" s="9">
        <v>31</v>
      </c>
      <c r="C563" s="9">
        <v>100</v>
      </c>
      <c r="D563" s="9">
        <f>PRODUCT(sales_data_sample[[#This Row],[QUANTITYORDERED]],sales_data_sample[[#This Row],[PRICEEACH]])</f>
        <v>3100</v>
      </c>
      <c r="E563" s="9">
        <f>IF(OR(sales_data_sample[[#This Row],[STATUS]]="Shipped",sales_data_sample[[#This Row],[STATUS]]="Resolved"),sales_data_sample[[#This Row],[SALES]],0)</f>
        <v>3100</v>
      </c>
      <c r="F563" s="10">
        <v>17</v>
      </c>
      <c r="G563" s="12" t="s">
        <v>406</v>
      </c>
      <c r="H563" s="1" t="s">
        <v>26</v>
      </c>
      <c r="I563">
        <v>1</v>
      </c>
      <c r="J563">
        <v>1</v>
      </c>
      <c r="K563">
        <v>2004</v>
      </c>
      <c r="L563" s="1" t="s">
        <v>839</v>
      </c>
      <c r="M563">
        <v>157</v>
      </c>
      <c r="N563" s="1" t="s">
        <v>840</v>
      </c>
      <c r="O563" s="1" t="s">
        <v>407</v>
      </c>
      <c r="P563" s="1" t="s">
        <v>408</v>
      </c>
      <c r="Q563" s="1" t="s">
        <v>409</v>
      </c>
      <c r="R563" s="1" t="s">
        <v>32</v>
      </c>
      <c r="S563" s="1" t="s">
        <v>410</v>
      </c>
      <c r="T563" s="1" t="s">
        <v>410</v>
      </c>
      <c r="U563" s="1" t="s">
        <v>411</v>
      </c>
      <c r="V563" s="1" t="s">
        <v>264</v>
      </c>
      <c r="W563" s="1" t="s">
        <v>264</v>
      </c>
      <c r="X563" s="1" t="s">
        <v>412</v>
      </c>
      <c r="Y563" s="1" t="s">
        <v>413</v>
      </c>
      <c r="Z563" s="1" t="str">
        <f>TRIM(_xlfn.CONCAT(sales_data_sample[[#This Row],[CONTACTFIRSTNAME]],", ",sales_data_sample[[#This Row],[CONTACTLASTNAME]]))</f>
        <v>Mory, Kentary</v>
      </c>
      <c r="AA563" s="1" t="s">
        <v>59</v>
      </c>
    </row>
    <row r="564" spans="1:27" x14ac:dyDescent="0.25">
      <c r="A564" s="10">
        <v>10222</v>
      </c>
      <c r="B564" s="9">
        <v>49</v>
      </c>
      <c r="C564" s="9">
        <v>100</v>
      </c>
      <c r="D564" s="9">
        <f>PRODUCT(sales_data_sample[[#This Row],[QUANTITYORDERED]],sales_data_sample[[#This Row],[PRICEEACH]])</f>
        <v>4900</v>
      </c>
      <c r="E564" s="9">
        <f>IF(OR(sales_data_sample[[#This Row],[STATUS]]="Shipped",sales_data_sample[[#This Row],[STATUS]]="Resolved"),sales_data_sample[[#This Row],[SALES]],0)</f>
        <v>4900</v>
      </c>
      <c r="F564" s="10">
        <v>4</v>
      </c>
      <c r="G564" s="12" t="s">
        <v>491</v>
      </c>
      <c r="H564" s="1" t="s">
        <v>26</v>
      </c>
      <c r="I564">
        <v>1</v>
      </c>
      <c r="J564">
        <v>2</v>
      </c>
      <c r="K564">
        <v>2004</v>
      </c>
      <c r="L564" s="1" t="s">
        <v>839</v>
      </c>
      <c r="M564">
        <v>157</v>
      </c>
      <c r="N564" s="1" t="s">
        <v>840</v>
      </c>
      <c r="O564" s="1" t="s">
        <v>492</v>
      </c>
      <c r="P564" s="1" t="s">
        <v>493</v>
      </c>
      <c r="Q564" s="1" t="s">
        <v>494</v>
      </c>
      <c r="R564" s="1" t="s">
        <v>32</v>
      </c>
      <c r="S564" s="1" t="s">
        <v>495</v>
      </c>
      <c r="T564" s="1" t="s">
        <v>65</v>
      </c>
      <c r="U564" s="1" t="s">
        <v>496</v>
      </c>
      <c r="V564" s="1" t="s">
        <v>36</v>
      </c>
      <c r="W564" s="1" t="s">
        <v>37</v>
      </c>
      <c r="X564" s="1" t="s">
        <v>313</v>
      </c>
      <c r="Y564" s="1" t="s">
        <v>366</v>
      </c>
      <c r="Z564" s="1" t="str">
        <f>TRIM(_xlfn.CONCAT(sales_data_sample[[#This Row],[CONTACTFIRSTNAME]],", ",sales_data_sample[[#This Row],[CONTACTLASTNAME]]))</f>
        <v>Valarie, Thompson</v>
      </c>
      <c r="AA564" s="1" t="s">
        <v>59</v>
      </c>
    </row>
    <row r="565" spans="1:27" x14ac:dyDescent="0.25">
      <c r="A565" s="10">
        <v>10250</v>
      </c>
      <c r="B565" s="9">
        <v>45</v>
      </c>
      <c r="C565" s="9">
        <v>100</v>
      </c>
      <c r="D565" s="9">
        <f>PRODUCT(sales_data_sample[[#This Row],[QUANTITYORDERED]],sales_data_sample[[#This Row],[PRICEEACH]])</f>
        <v>4500</v>
      </c>
      <c r="E565" s="9">
        <f>IF(OR(sales_data_sample[[#This Row],[STATUS]]="Shipped",sales_data_sample[[#This Row],[STATUS]]="Resolved"),sales_data_sample[[#This Row],[SALES]],0)</f>
        <v>4500</v>
      </c>
      <c r="F565" s="10">
        <v>14</v>
      </c>
      <c r="G565" s="12" t="s">
        <v>849</v>
      </c>
      <c r="H565" s="1" t="s">
        <v>26</v>
      </c>
      <c r="I565">
        <v>2</v>
      </c>
      <c r="J565">
        <v>5</v>
      </c>
      <c r="K565">
        <v>2004</v>
      </c>
      <c r="L565" s="1" t="s">
        <v>839</v>
      </c>
      <c r="M565">
        <v>157</v>
      </c>
      <c r="N565" s="1" t="s">
        <v>840</v>
      </c>
      <c r="O565" s="1" t="s">
        <v>547</v>
      </c>
      <c r="P565" s="1" t="s">
        <v>548</v>
      </c>
      <c r="Q565" s="1" t="s">
        <v>549</v>
      </c>
      <c r="R565" s="1" t="s">
        <v>32</v>
      </c>
      <c r="S565" s="1" t="s">
        <v>550</v>
      </c>
      <c r="T565" s="1" t="s">
        <v>65</v>
      </c>
      <c r="U565" s="1" t="s">
        <v>80</v>
      </c>
      <c r="V565" s="1" t="s">
        <v>36</v>
      </c>
      <c r="W565" s="1" t="s">
        <v>37</v>
      </c>
      <c r="X565" s="1" t="s">
        <v>129</v>
      </c>
      <c r="Y565" s="1" t="s">
        <v>551</v>
      </c>
      <c r="Z565" s="1" t="str">
        <f>TRIM(_xlfn.CONCAT(sales_data_sample[[#This Row],[CONTACTFIRSTNAME]],", ",sales_data_sample[[#This Row],[CONTACTLASTNAME]]))</f>
        <v>Sue, Frick</v>
      </c>
      <c r="AA565" s="1" t="s">
        <v>199</v>
      </c>
    </row>
    <row r="566" spans="1:27" x14ac:dyDescent="0.25">
      <c r="A566" s="10">
        <v>10262</v>
      </c>
      <c r="B566" s="9">
        <v>49</v>
      </c>
      <c r="C566" s="9">
        <v>100</v>
      </c>
      <c r="D566" s="9">
        <f>PRODUCT(sales_data_sample[[#This Row],[QUANTITYORDERED]],sales_data_sample[[#This Row],[PRICEEACH]])</f>
        <v>4900</v>
      </c>
      <c r="E566" s="9">
        <f>IF(OR(sales_data_sample[[#This Row],[STATUS]]="Shipped",sales_data_sample[[#This Row],[STATUS]]="Resolved"),sales_data_sample[[#This Row],[SALES]],0)</f>
        <v>0</v>
      </c>
      <c r="F566" s="10">
        <v>9</v>
      </c>
      <c r="G566" s="12" t="s">
        <v>850</v>
      </c>
      <c r="H566" s="1" t="s">
        <v>461</v>
      </c>
      <c r="I566">
        <v>2</v>
      </c>
      <c r="J566">
        <v>6</v>
      </c>
      <c r="K566">
        <v>2004</v>
      </c>
      <c r="L566" s="1" t="s">
        <v>839</v>
      </c>
      <c r="M566">
        <v>157</v>
      </c>
      <c r="N566" s="1" t="s">
        <v>840</v>
      </c>
      <c r="O566" s="1" t="s">
        <v>230</v>
      </c>
      <c r="P566" s="1" t="s">
        <v>231</v>
      </c>
      <c r="Q566" s="1" t="s">
        <v>232</v>
      </c>
      <c r="R566" s="1" t="s">
        <v>32</v>
      </c>
      <c r="S566" s="1" t="s">
        <v>233</v>
      </c>
      <c r="T566" s="1" t="s">
        <v>32</v>
      </c>
      <c r="U566" s="1" t="s">
        <v>234</v>
      </c>
      <c r="V566" s="1" t="s">
        <v>235</v>
      </c>
      <c r="W566" s="1" t="s">
        <v>48</v>
      </c>
      <c r="X566" s="1" t="s">
        <v>236</v>
      </c>
      <c r="Y566" s="1" t="s">
        <v>237</v>
      </c>
      <c r="Z566" s="1" t="str">
        <f>TRIM(_xlfn.CONCAT(sales_data_sample[[#This Row],[CONTACTFIRSTNAME]],", ",sales_data_sample[[#This Row],[CONTACTLASTNAME]]))</f>
        <v>Diego, Freyre</v>
      </c>
      <c r="AA566" s="1" t="s">
        <v>59</v>
      </c>
    </row>
    <row r="567" spans="1:27" x14ac:dyDescent="0.25">
      <c r="A567" s="10">
        <v>10274</v>
      </c>
      <c r="B567" s="9">
        <v>41</v>
      </c>
      <c r="C567" s="9">
        <v>100</v>
      </c>
      <c r="D567" s="9">
        <f>PRODUCT(sales_data_sample[[#This Row],[QUANTITYORDERED]],sales_data_sample[[#This Row],[PRICEEACH]])</f>
        <v>4100</v>
      </c>
      <c r="E567" s="9">
        <f>IF(OR(sales_data_sample[[#This Row],[STATUS]]="Shipped",sales_data_sample[[#This Row],[STATUS]]="Resolved"),sales_data_sample[[#This Row],[SALES]],0)</f>
        <v>4100</v>
      </c>
      <c r="F567" s="10">
        <v>1</v>
      </c>
      <c r="G567" s="12" t="s">
        <v>499</v>
      </c>
      <c r="H567" s="1" t="s">
        <v>26</v>
      </c>
      <c r="I567">
        <v>3</v>
      </c>
      <c r="J567">
        <v>7</v>
      </c>
      <c r="K567">
        <v>2004</v>
      </c>
      <c r="L567" s="1" t="s">
        <v>839</v>
      </c>
      <c r="M567">
        <v>157</v>
      </c>
      <c r="N567" s="1" t="s">
        <v>840</v>
      </c>
      <c r="O567" s="1" t="s">
        <v>378</v>
      </c>
      <c r="P567" s="1" t="s">
        <v>157</v>
      </c>
      <c r="Q567" s="1" t="s">
        <v>379</v>
      </c>
      <c r="R567" s="1" t="s">
        <v>32</v>
      </c>
      <c r="S567" s="1" t="s">
        <v>380</v>
      </c>
      <c r="T567" s="1" t="s">
        <v>160</v>
      </c>
      <c r="U567" s="1" t="s">
        <v>381</v>
      </c>
      <c r="V567" s="1" t="s">
        <v>36</v>
      </c>
      <c r="W567" s="1" t="s">
        <v>37</v>
      </c>
      <c r="X567" s="1" t="s">
        <v>365</v>
      </c>
      <c r="Y567" s="1" t="s">
        <v>382</v>
      </c>
      <c r="Z567" s="1" t="str">
        <f>TRIM(_xlfn.CONCAT(sales_data_sample[[#This Row],[CONTACTFIRSTNAME]],", ",sales_data_sample[[#This Row],[CONTACTLASTNAME]]))</f>
        <v>Allen, Nelson</v>
      </c>
      <c r="AA567" s="1" t="s">
        <v>59</v>
      </c>
    </row>
    <row r="568" spans="1:27" x14ac:dyDescent="0.25">
      <c r="A568" s="10">
        <v>10284</v>
      </c>
      <c r="B568" s="9">
        <v>45</v>
      </c>
      <c r="C568" s="9">
        <v>100</v>
      </c>
      <c r="D568" s="9">
        <f>PRODUCT(sales_data_sample[[#This Row],[QUANTITYORDERED]],sales_data_sample[[#This Row],[PRICEEACH]])</f>
        <v>4500</v>
      </c>
      <c r="E568" s="9">
        <f>IF(OR(sales_data_sample[[#This Row],[STATUS]]="Shipped",sales_data_sample[[#This Row],[STATUS]]="Resolved"),sales_data_sample[[#This Row],[SALES]],0)</f>
        <v>4500</v>
      </c>
      <c r="F568" s="10">
        <v>11</v>
      </c>
      <c r="G568" s="12" t="s">
        <v>851</v>
      </c>
      <c r="H568" s="1" t="s">
        <v>26</v>
      </c>
      <c r="I568">
        <v>3</v>
      </c>
      <c r="J568">
        <v>8</v>
      </c>
      <c r="K568">
        <v>2004</v>
      </c>
      <c r="L568" s="1" t="s">
        <v>839</v>
      </c>
      <c r="M568">
        <v>157</v>
      </c>
      <c r="N568" s="1" t="s">
        <v>840</v>
      </c>
      <c r="O568" s="1" t="s">
        <v>786</v>
      </c>
      <c r="P568" s="1" t="s">
        <v>787</v>
      </c>
      <c r="Q568" s="1" t="s">
        <v>788</v>
      </c>
      <c r="R568" s="1" t="s">
        <v>32</v>
      </c>
      <c r="S568" s="1" t="s">
        <v>789</v>
      </c>
      <c r="T568" s="1" t="s">
        <v>32</v>
      </c>
      <c r="U568" s="1" t="s">
        <v>790</v>
      </c>
      <c r="V568" s="1" t="s">
        <v>97</v>
      </c>
      <c r="W568" s="1" t="s">
        <v>48</v>
      </c>
      <c r="X568" s="1" t="s">
        <v>791</v>
      </c>
      <c r="Y568" s="1" t="s">
        <v>792</v>
      </c>
      <c r="Z568" s="1" t="str">
        <f>TRIM(_xlfn.CONCAT(sales_data_sample[[#This Row],[CONTACTFIRSTNAME]],", ",sales_data_sample[[#This Row],[CONTACTLASTNAME]]))</f>
        <v>Jan, Klaeboe</v>
      </c>
      <c r="AA568" s="1" t="s">
        <v>59</v>
      </c>
    </row>
    <row r="569" spans="1:27" x14ac:dyDescent="0.25">
      <c r="A569" s="10">
        <v>10296</v>
      </c>
      <c r="B569" s="9">
        <v>36</v>
      </c>
      <c r="C569" s="9">
        <v>100</v>
      </c>
      <c r="D569" s="9">
        <f>PRODUCT(sales_data_sample[[#This Row],[QUANTITYORDERED]],sales_data_sample[[#This Row],[PRICEEACH]])</f>
        <v>3600</v>
      </c>
      <c r="E569" s="9">
        <f>IF(OR(sales_data_sample[[#This Row],[STATUS]]="Shipped",sales_data_sample[[#This Row],[STATUS]]="Resolved"),sales_data_sample[[#This Row],[SALES]],0)</f>
        <v>3600</v>
      </c>
      <c r="F569" s="10">
        <v>7</v>
      </c>
      <c r="G569" s="12" t="s">
        <v>852</v>
      </c>
      <c r="H569" s="1" t="s">
        <v>26</v>
      </c>
      <c r="I569">
        <v>3</v>
      </c>
      <c r="J569">
        <v>9</v>
      </c>
      <c r="K569">
        <v>2004</v>
      </c>
      <c r="L569" s="1" t="s">
        <v>839</v>
      </c>
      <c r="M569">
        <v>157</v>
      </c>
      <c r="N569" s="1" t="s">
        <v>840</v>
      </c>
      <c r="O569" s="1" t="s">
        <v>853</v>
      </c>
      <c r="P569" s="1" t="s">
        <v>854</v>
      </c>
      <c r="Q569" s="1" t="s">
        <v>855</v>
      </c>
      <c r="R569" s="1" t="s">
        <v>32</v>
      </c>
      <c r="S569" s="1" t="s">
        <v>856</v>
      </c>
      <c r="T569" s="1" t="s">
        <v>32</v>
      </c>
      <c r="U569" s="1" t="s">
        <v>857</v>
      </c>
      <c r="V569" s="1" t="s">
        <v>617</v>
      </c>
      <c r="W569" s="1" t="s">
        <v>48</v>
      </c>
      <c r="X569" s="1" t="s">
        <v>858</v>
      </c>
      <c r="Y569" s="1" t="s">
        <v>130</v>
      </c>
      <c r="Z569" s="1" t="str">
        <f>TRIM(_xlfn.CONCAT(sales_data_sample[[#This Row],[CONTACTFIRSTNAME]],", ",sales_data_sample[[#This Row],[CONTACTLASTNAME]]))</f>
        <v>Michael, Donnermeyer</v>
      </c>
      <c r="AA569" s="1" t="s">
        <v>59</v>
      </c>
    </row>
    <row r="570" spans="1:27" x14ac:dyDescent="0.25">
      <c r="A570" s="10">
        <v>10307</v>
      </c>
      <c r="B570" s="9">
        <v>39</v>
      </c>
      <c r="C570" s="9">
        <v>100</v>
      </c>
      <c r="D570" s="9">
        <f>PRODUCT(sales_data_sample[[#This Row],[QUANTITYORDERED]],sales_data_sample[[#This Row],[PRICEEACH]])</f>
        <v>3900</v>
      </c>
      <c r="E570" s="9">
        <f>IF(OR(sales_data_sample[[#This Row],[STATUS]]="Shipped",sales_data_sample[[#This Row],[STATUS]]="Resolved"),sales_data_sample[[#This Row],[SALES]],0)</f>
        <v>3900</v>
      </c>
      <c r="F570" s="10">
        <v>1</v>
      </c>
      <c r="G570" s="12" t="s">
        <v>522</v>
      </c>
      <c r="H570" s="1" t="s">
        <v>26</v>
      </c>
      <c r="I570">
        <v>4</v>
      </c>
      <c r="J570">
        <v>10</v>
      </c>
      <c r="K570">
        <v>2004</v>
      </c>
      <c r="L570" s="1" t="s">
        <v>839</v>
      </c>
      <c r="M570">
        <v>157</v>
      </c>
      <c r="N570" s="1" t="s">
        <v>840</v>
      </c>
      <c r="O570" s="1" t="s">
        <v>283</v>
      </c>
      <c r="P570" s="1" t="s">
        <v>284</v>
      </c>
      <c r="Q570" s="1" t="s">
        <v>285</v>
      </c>
      <c r="R570" s="1" t="s">
        <v>32</v>
      </c>
      <c r="S570" s="1" t="s">
        <v>286</v>
      </c>
      <c r="T570" s="1" t="s">
        <v>186</v>
      </c>
      <c r="U570" s="1" t="s">
        <v>287</v>
      </c>
      <c r="V570" s="1" t="s">
        <v>36</v>
      </c>
      <c r="W570" s="1" t="s">
        <v>37</v>
      </c>
      <c r="X570" s="1" t="s">
        <v>288</v>
      </c>
      <c r="Y570" s="1" t="s">
        <v>289</v>
      </c>
      <c r="Z570" s="1" t="str">
        <f>TRIM(_xlfn.CONCAT(sales_data_sample[[#This Row],[CONTACTFIRSTNAME]],", ",sales_data_sample[[#This Row],[CONTACTLASTNAME]]))</f>
        <v>Francisca, Cervantes</v>
      </c>
      <c r="AA570" s="1" t="s">
        <v>199</v>
      </c>
    </row>
    <row r="571" spans="1:27" x14ac:dyDescent="0.25">
      <c r="A571" s="10">
        <v>10316</v>
      </c>
      <c r="B571" s="9">
        <v>27</v>
      </c>
      <c r="C571" s="9">
        <v>100</v>
      </c>
      <c r="D571" s="9">
        <f>PRODUCT(sales_data_sample[[#This Row],[QUANTITYORDERED]],sales_data_sample[[#This Row],[PRICEEACH]])</f>
        <v>2700</v>
      </c>
      <c r="E571" s="9">
        <f>IF(OR(sales_data_sample[[#This Row],[STATUS]]="Shipped",sales_data_sample[[#This Row],[STATUS]]="Resolved"),sales_data_sample[[#This Row],[SALES]],0)</f>
        <v>2700</v>
      </c>
      <c r="F571" s="10">
        <v>9</v>
      </c>
      <c r="G571" s="12" t="s">
        <v>523</v>
      </c>
      <c r="H571" s="1" t="s">
        <v>26</v>
      </c>
      <c r="I571">
        <v>4</v>
      </c>
      <c r="J571">
        <v>11</v>
      </c>
      <c r="K571">
        <v>2004</v>
      </c>
      <c r="L571" s="1" t="s">
        <v>839</v>
      </c>
      <c r="M571">
        <v>157</v>
      </c>
      <c r="N571" s="1" t="s">
        <v>840</v>
      </c>
      <c r="O571" s="1" t="s">
        <v>524</v>
      </c>
      <c r="P571" s="1" t="s">
        <v>525</v>
      </c>
      <c r="Q571" s="1" t="s">
        <v>526</v>
      </c>
      <c r="R571" s="1" t="s">
        <v>32</v>
      </c>
      <c r="S571" s="1" t="s">
        <v>527</v>
      </c>
      <c r="T571" s="1" t="s">
        <v>528</v>
      </c>
      <c r="U571" s="1" t="s">
        <v>529</v>
      </c>
      <c r="V571" s="1" t="s">
        <v>225</v>
      </c>
      <c r="W571" s="1" t="s">
        <v>48</v>
      </c>
      <c r="X571" s="1" t="s">
        <v>530</v>
      </c>
      <c r="Y571" s="1" t="s">
        <v>531</v>
      </c>
      <c r="Z571" s="1" t="str">
        <f>TRIM(_xlfn.CONCAT(sales_data_sample[[#This Row],[CONTACTFIRSTNAME]],", ",sales_data_sample[[#This Row],[CONTACTLASTNAME]]))</f>
        <v>Helen, Bennett</v>
      </c>
      <c r="AA571" s="1" t="s">
        <v>59</v>
      </c>
    </row>
    <row r="572" spans="1:27" x14ac:dyDescent="0.25">
      <c r="A572" s="10">
        <v>10327</v>
      </c>
      <c r="B572" s="9">
        <v>25</v>
      </c>
      <c r="C572" s="9">
        <v>100</v>
      </c>
      <c r="D572" s="9">
        <f>PRODUCT(sales_data_sample[[#This Row],[QUANTITYORDERED]],sales_data_sample[[#This Row],[PRICEEACH]])</f>
        <v>2500</v>
      </c>
      <c r="E572" s="9">
        <f>IF(OR(sales_data_sample[[#This Row],[STATUS]]="Shipped",sales_data_sample[[#This Row],[STATUS]]="Resolved"),sales_data_sample[[#This Row],[SALES]],0)</f>
        <v>2500</v>
      </c>
      <c r="F572" s="10">
        <v>6</v>
      </c>
      <c r="G572" s="12" t="s">
        <v>859</v>
      </c>
      <c r="H572" s="1" t="s">
        <v>563</v>
      </c>
      <c r="I572">
        <v>4</v>
      </c>
      <c r="J572">
        <v>11</v>
      </c>
      <c r="K572">
        <v>2004</v>
      </c>
      <c r="L572" s="1" t="s">
        <v>839</v>
      </c>
      <c r="M572">
        <v>157</v>
      </c>
      <c r="N572" s="1" t="s">
        <v>840</v>
      </c>
      <c r="O572" s="1" t="s">
        <v>437</v>
      </c>
      <c r="P572" s="1" t="s">
        <v>438</v>
      </c>
      <c r="Q572" s="1" t="s">
        <v>439</v>
      </c>
      <c r="R572" s="1" t="s">
        <v>32</v>
      </c>
      <c r="S572" s="1" t="s">
        <v>440</v>
      </c>
      <c r="T572" s="1" t="s">
        <v>32</v>
      </c>
      <c r="U572" s="1" t="s">
        <v>441</v>
      </c>
      <c r="V572" s="1" t="s">
        <v>442</v>
      </c>
      <c r="W572" s="1" t="s">
        <v>48</v>
      </c>
      <c r="X572" s="1" t="s">
        <v>443</v>
      </c>
      <c r="Y572" s="1" t="s">
        <v>444</v>
      </c>
      <c r="Z572" s="1" t="str">
        <f>TRIM(_xlfn.CONCAT(sales_data_sample[[#This Row],[CONTACTFIRSTNAME]],", ",sales_data_sample[[#This Row],[CONTACTLASTNAME]]))</f>
        <v>Jytte, Petersen</v>
      </c>
      <c r="AA572" s="1" t="s">
        <v>40</v>
      </c>
    </row>
    <row r="573" spans="1:27" x14ac:dyDescent="0.25">
      <c r="A573" s="10">
        <v>10338</v>
      </c>
      <c r="B573" s="9">
        <v>41</v>
      </c>
      <c r="C573" s="9">
        <v>100</v>
      </c>
      <c r="D573" s="9">
        <f>PRODUCT(sales_data_sample[[#This Row],[QUANTITYORDERED]],sales_data_sample[[#This Row],[PRICEEACH]])</f>
        <v>4100</v>
      </c>
      <c r="E573" s="9">
        <f>IF(OR(sales_data_sample[[#This Row],[STATUS]]="Shipped",sales_data_sample[[#This Row],[STATUS]]="Resolved"),sales_data_sample[[#This Row],[SALES]],0)</f>
        <v>4100</v>
      </c>
      <c r="F573" s="10">
        <v>1</v>
      </c>
      <c r="G573" s="12" t="s">
        <v>860</v>
      </c>
      <c r="H573" s="1" t="s">
        <v>26</v>
      </c>
      <c r="I573">
        <v>4</v>
      </c>
      <c r="J573">
        <v>11</v>
      </c>
      <c r="K573">
        <v>2004</v>
      </c>
      <c r="L573" s="1" t="s">
        <v>839</v>
      </c>
      <c r="M573">
        <v>157</v>
      </c>
      <c r="N573" s="1" t="s">
        <v>840</v>
      </c>
      <c r="O573" s="1" t="s">
        <v>861</v>
      </c>
      <c r="P573" s="1" t="s">
        <v>862</v>
      </c>
      <c r="Q573" s="1" t="s">
        <v>863</v>
      </c>
      <c r="R573" s="1" t="s">
        <v>32</v>
      </c>
      <c r="S573" s="1" t="s">
        <v>864</v>
      </c>
      <c r="T573" s="1" t="s">
        <v>32</v>
      </c>
      <c r="U573" s="1" t="s">
        <v>865</v>
      </c>
      <c r="V573" s="1" t="s">
        <v>505</v>
      </c>
      <c r="W573" s="1" t="s">
        <v>48</v>
      </c>
      <c r="X573" s="1" t="s">
        <v>866</v>
      </c>
      <c r="Y573" s="1" t="s">
        <v>867</v>
      </c>
      <c r="Z573" s="1" t="str">
        <f>TRIM(_xlfn.CONCAT(sales_data_sample[[#This Row],[CONTACTFIRSTNAME]],", ",sales_data_sample[[#This Row],[CONTACTLASTNAME]]))</f>
        <v>Pascale, Cartrain</v>
      </c>
      <c r="AA573" s="1" t="s">
        <v>59</v>
      </c>
    </row>
    <row r="574" spans="1:27" x14ac:dyDescent="0.25">
      <c r="A574" s="10">
        <v>10351</v>
      </c>
      <c r="B574" s="9">
        <v>39</v>
      </c>
      <c r="C574" s="9">
        <v>9952</v>
      </c>
      <c r="D574" s="9">
        <f>PRODUCT(sales_data_sample[[#This Row],[QUANTITYORDERED]],sales_data_sample[[#This Row],[PRICEEACH]])</f>
        <v>388128</v>
      </c>
      <c r="E574" s="9">
        <f>IF(OR(sales_data_sample[[#This Row],[STATUS]]="Shipped",sales_data_sample[[#This Row],[STATUS]]="Resolved"),sales_data_sample[[#This Row],[SALES]],0)</f>
        <v>388128</v>
      </c>
      <c r="F574" s="10">
        <v>1</v>
      </c>
      <c r="G574" s="12" t="s">
        <v>868</v>
      </c>
      <c r="H574" s="1" t="s">
        <v>26</v>
      </c>
      <c r="I574">
        <v>4</v>
      </c>
      <c r="J574">
        <v>12</v>
      </c>
      <c r="K574">
        <v>2004</v>
      </c>
      <c r="L574" s="1" t="s">
        <v>839</v>
      </c>
      <c r="M574">
        <v>157</v>
      </c>
      <c r="N574" s="1" t="s">
        <v>840</v>
      </c>
      <c r="O574" s="1" t="s">
        <v>447</v>
      </c>
      <c r="P574" s="1" t="s">
        <v>448</v>
      </c>
      <c r="Q574" s="1" t="s">
        <v>449</v>
      </c>
      <c r="R574" s="1" t="s">
        <v>32</v>
      </c>
      <c r="S574" s="1" t="s">
        <v>450</v>
      </c>
      <c r="T574" s="1" t="s">
        <v>32</v>
      </c>
      <c r="U574" s="1" t="s">
        <v>451</v>
      </c>
      <c r="V574" s="1" t="s">
        <v>225</v>
      </c>
      <c r="W574" s="1" t="s">
        <v>48</v>
      </c>
      <c r="X574" s="1" t="s">
        <v>74</v>
      </c>
      <c r="Y574" s="1" t="s">
        <v>452</v>
      </c>
      <c r="Z574" s="1" t="str">
        <f>TRIM(_xlfn.CONCAT(sales_data_sample[[#This Row],[CONTACTFIRSTNAME]],", ",sales_data_sample[[#This Row],[CONTACTLASTNAME]]))</f>
        <v>Ann, Brown</v>
      </c>
      <c r="AA574" s="1" t="s">
        <v>59</v>
      </c>
    </row>
    <row r="575" spans="1:27" x14ac:dyDescent="0.25">
      <c r="A575" s="10">
        <v>10373</v>
      </c>
      <c r="B575" s="9">
        <v>28</v>
      </c>
      <c r="C575" s="9">
        <v>5755</v>
      </c>
      <c r="D575" s="9">
        <f>PRODUCT(sales_data_sample[[#This Row],[QUANTITYORDERED]],sales_data_sample[[#This Row],[PRICEEACH]])</f>
        <v>161140</v>
      </c>
      <c r="E575" s="9">
        <f>IF(OR(sales_data_sample[[#This Row],[STATUS]]="Shipped",sales_data_sample[[#This Row],[STATUS]]="Resolved"),sales_data_sample[[#This Row],[SALES]],0)</f>
        <v>161140</v>
      </c>
      <c r="F575" s="10">
        <v>4</v>
      </c>
      <c r="G575" s="12" t="s">
        <v>536</v>
      </c>
      <c r="H575" s="1" t="s">
        <v>26</v>
      </c>
      <c r="I575">
        <v>1</v>
      </c>
      <c r="J575">
        <v>1</v>
      </c>
      <c r="K575">
        <v>2005</v>
      </c>
      <c r="L575" s="1" t="s">
        <v>839</v>
      </c>
      <c r="M575">
        <v>157</v>
      </c>
      <c r="N575" s="1" t="s">
        <v>840</v>
      </c>
      <c r="O575" s="1" t="s">
        <v>537</v>
      </c>
      <c r="P575" s="1" t="s">
        <v>538</v>
      </c>
      <c r="Q575" s="1" t="s">
        <v>539</v>
      </c>
      <c r="R575" s="1" t="s">
        <v>32</v>
      </c>
      <c r="S575" s="1" t="s">
        <v>540</v>
      </c>
      <c r="T575" s="1" t="s">
        <v>32</v>
      </c>
      <c r="U575" s="1" t="s">
        <v>541</v>
      </c>
      <c r="V575" s="1" t="s">
        <v>170</v>
      </c>
      <c r="W575" s="1" t="s">
        <v>48</v>
      </c>
      <c r="X575" s="1" t="s">
        <v>542</v>
      </c>
      <c r="Y575" s="1" t="s">
        <v>543</v>
      </c>
      <c r="Z575" s="1" t="str">
        <f>TRIM(_xlfn.CONCAT(sales_data_sample[[#This Row],[CONTACTFIRSTNAME]],", ",sales_data_sample[[#This Row],[CONTACTLASTNAME]]))</f>
        <v>Pirkko, Koskitalo</v>
      </c>
      <c r="AA575" s="1" t="s">
        <v>40</v>
      </c>
    </row>
    <row r="576" spans="1:27" x14ac:dyDescent="0.25">
      <c r="A576" s="10">
        <v>10386</v>
      </c>
      <c r="B576" s="9">
        <v>25</v>
      </c>
      <c r="C576" s="9">
        <v>5457</v>
      </c>
      <c r="D576" s="9">
        <f>PRODUCT(sales_data_sample[[#This Row],[QUANTITYORDERED]],sales_data_sample[[#This Row],[PRICEEACH]])</f>
        <v>136425</v>
      </c>
      <c r="E576" s="9">
        <f>IF(OR(sales_data_sample[[#This Row],[STATUS]]="Shipped",sales_data_sample[[#This Row],[STATUS]]="Resolved"),sales_data_sample[[#This Row],[SALES]],0)</f>
        <v>136425</v>
      </c>
      <c r="F576" s="10">
        <v>7</v>
      </c>
      <c r="G576" s="12" t="s">
        <v>869</v>
      </c>
      <c r="H576" s="1" t="s">
        <v>563</v>
      </c>
      <c r="I576">
        <v>1</v>
      </c>
      <c r="J576">
        <v>3</v>
      </c>
      <c r="K576">
        <v>2005</v>
      </c>
      <c r="L576" s="1" t="s">
        <v>839</v>
      </c>
      <c r="M576">
        <v>157</v>
      </c>
      <c r="N576" s="1" t="s">
        <v>840</v>
      </c>
      <c r="O576" s="1" t="s">
        <v>230</v>
      </c>
      <c r="P576" s="1" t="s">
        <v>231</v>
      </c>
      <c r="Q576" s="1" t="s">
        <v>232</v>
      </c>
      <c r="R576" s="1" t="s">
        <v>32</v>
      </c>
      <c r="S576" s="1" t="s">
        <v>233</v>
      </c>
      <c r="T576" s="1" t="s">
        <v>32</v>
      </c>
      <c r="U576" s="1" t="s">
        <v>234</v>
      </c>
      <c r="V576" s="1" t="s">
        <v>235</v>
      </c>
      <c r="W576" s="1" t="s">
        <v>48</v>
      </c>
      <c r="X576" s="1" t="s">
        <v>236</v>
      </c>
      <c r="Y576" s="1" t="s">
        <v>237</v>
      </c>
      <c r="Z576" s="1" t="str">
        <f>TRIM(_xlfn.CONCAT(sales_data_sample[[#This Row],[CONTACTFIRSTNAME]],", ",sales_data_sample[[#This Row],[CONTACTLASTNAME]]))</f>
        <v>Diego, Freyre</v>
      </c>
      <c r="AA576" s="1" t="s">
        <v>40</v>
      </c>
    </row>
    <row r="577" spans="1:27" x14ac:dyDescent="0.25">
      <c r="A577" s="10">
        <v>10398</v>
      </c>
      <c r="B577" s="9">
        <v>33</v>
      </c>
      <c r="C577" s="9">
        <v>100</v>
      </c>
      <c r="D577" s="9">
        <f>PRODUCT(sales_data_sample[[#This Row],[QUANTITYORDERED]],sales_data_sample[[#This Row],[PRICEEACH]])</f>
        <v>3300</v>
      </c>
      <c r="E577" s="9">
        <f>IF(OR(sales_data_sample[[#This Row],[STATUS]]="Shipped",sales_data_sample[[#This Row],[STATUS]]="Resolved"),sales_data_sample[[#This Row],[SALES]],0)</f>
        <v>3300</v>
      </c>
      <c r="F577" s="10">
        <v>11</v>
      </c>
      <c r="G577" s="12" t="s">
        <v>870</v>
      </c>
      <c r="H577" s="1" t="s">
        <v>26</v>
      </c>
      <c r="I577">
        <v>1</v>
      </c>
      <c r="J577">
        <v>3</v>
      </c>
      <c r="K577">
        <v>2005</v>
      </c>
      <c r="L577" s="1" t="s">
        <v>839</v>
      </c>
      <c r="M577">
        <v>157</v>
      </c>
      <c r="N577" s="1" t="s">
        <v>840</v>
      </c>
      <c r="O577" s="1" t="s">
        <v>42</v>
      </c>
      <c r="P577" s="1" t="s">
        <v>43</v>
      </c>
      <c r="Q577" s="1" t="s">
        <v>44</v>
      </c>
      <c r="R577" s="1" t="s">
        <v>32</v>
      </c>
      <c r="S577" s="1" t="s">
        <v>45</v>
      </c>
      <c r="T577" s="1" t="s">
        <v>32</v>
      </c>
      <c r="U577" s="1" t="s">
        <v>46</v>
      </c>
      <c r="V577" s="1" t="s">
        <v>47</v>
      </c>
      <c r="W577" s="1" t="s">
        <v>48</v>
      </c>
      <c r="X577" s="1" t="s">
        <v>49</v>
      </c>
      <c r="Y577" s="1" t="s">
        <v>50</v>
      </c>
      <c r="Z577" s="1" t="str">
        <f>TRIM(_xlfn.CONCAT(sales_data_sample[[#This Row],[CONTACTFIRSTNAME]],", ",sales_data_sample[[#This Row],[CONTACTLASTNAME]]))</f>
        <v>Paul, Henriot</v>
      </c>
      <c r="AA577" s="1" t="s">
        <v>59</v>
      </c>
    </row>
    <row r="578" spans="1:27" x14ac:dyDescent="0.25">
      <c r="A578" s="10">
        <v>10400</v>
      </c>
      <c r="B578" s="9">
        <v>34</v>
      </c>
      <c r="C578" s="9">
        <v>100</v>
      </c>
      <c r="D578" s="9">
        <f>PRODUCT(sales_data_sample[[#This Row],[QUANTITYORDERED]],sales_data_sample[[#This Row],[PRICEEACH]])</f>
        <v>3400</v>
      </c>
      <c r="E578" s="9">
        <f>IF(OR(sales_data_sample[[#This Row],[STATUS]]="Shipped",sales_data_sample[[#This Row],[STATUS]]="Resolved"),sales_data_sample[[#This Row],[SALES]],0)</f>
        <v>3400</v>
      </c>
      <c r="F578" s="10">
        <v>1</v>
      </c>
      <c r="G578" s="12" t="s">
        <v>546</v>
      </c>
      <c r="H578" s="1" t="s">
        <v>26</v>
      </c>
      <c r="I578">
        <v>2</v>
      </c>
      <c r="J578">
        <v>4</v>
      </c>
      <c r="K578">
        <v>2005</v>
      </c>
      <c r="L578" s="1" t="s">
        <v>839</v>
      </c>
      <c r="M578">
        <v>157</v>
      </c>
      <c r="N578" s="1" t="s">
        <v>840</v>
      </c>
      <c r="O578" s="1" t="s">
        <v>547</v>
      </c>
      <c r="P578" s="1" t="s">
        <v>548</v>
      </c>
      <c r="Q578" s="1" t="s">
        <v>549</v>
      </c>
      <c r="R578" s="1" t="s">
        <v>32</v>
      </c>
      <c r="S578" s="1" t="s">
        <v>550</v>
      </c>
      <c r="T578" s="1" t="s">
        <v>65</v>
      </c>
      <c r="U578" s="1" t="s">
        <v>80</v>
      </c>
      <c r="V578" s="1" t="s">
        <v>36</v>
      </c>
      <c r="W578" s="1" t="s">
        <v>37</v>
      </c>
      <c r="X578" s="1" t="s">
        <v>129</v>
      </c>
      <c r="Y578" s="1" t="s">
        <v>551</v>
      </c>
      <c r="Z578" s="1" t="str">
        <f>TRIM(_xlfn.CONCAT(sales_data_sample[[#This Row],[CONTACTFIRSTNAME]],", ",sales_data_sample[[#This Row],[CONTACTLASTNAME]]))</f>
        <v>Sue, Frick</v>
      </c>
      <c r="AA578" s="1" t="s">
        <v>59</v>
      </c>
    </row>
    <row r="579" spans="1:27" x14ac:dyDescent="0.25">
      <c r="A579" s="10">
        <v>10416</v>
      </c>
      <c r="B579" s="9">
        <v>24</v>
      </c>
      <c r="C579" s="9">
        <v>100</v>
      </c>
      <c r="D579" s="9">
        <f>PRODUCT(sales_data_sample[[#This Row],[QUANTITYORDERED]],sales_data_sample[[#This Row],[PRICEEACH]])</f>
        <v>2400</v>
      </c>
      <c r="E579" s="9">
        <f>IF(OR(sales_data_sample[[#This Row],[STATUS]]="Shipped",sales_data_sample[[#This Row],[STATUS]]="Resolved"),sales_data_sample[[#This Row],[SALES]],0)</f>
        <v>2400</v>
      </c>
      <c r="F579" s="10">
        <v>14</v>
      </c>
      <c r="G579" s="12" t="s">
        <v>871</v>
      </c>
      <c r="H579" s="1" t="s">
        <v>26</v>
      </c>
      <c r="I579">
        <v>2</v>
      </c>
      <c r="J579">
        <v>5</v>
      </c>
      <c r="K579">
        <v>2005</v>
      </c>
      <c r="L579" s="1" t="s">
        <v>839</v>
      </c>
      <c r="M579">
        <v>157</v>
      </c>
      <c r="N579" s="1" t="s">
        <v>840</v>
      </c>
      <c r="O579" s="1" t="s">
        <v>632</v>
      </c>
      <c r="P579" s="1" t="s">
        <v>633</v>
      </c>
      <c r="Q579" s="1" t="s">
        <v>634</v>
      </c>
      <c r="R579" s="1" t="s">
        <v>32</v>
      </c>
      <c r="S579" s="1" t="s">
        <v>635</v>
      </c>
      <c r="T579" s="1" t="s">
        <v>32</v>
      </c>
      <c r="U579" s="1" t="s">
        <v>636</v>
      </c>
      <c r="V579" s="1" t="s">
        <v>343</v>
      </c>
      <c r="W579" s="1" t="s">
        <v>48</v>
      </c>
      <c r="X579" s="1" t="s">
        <v>637</v>
      </c>
      <c r="Y579" s="1" t="s">
        <v>638</v>
      </c>
      <c r="Z579" s="1" t="str">
        <f>TRIM(_xlfn.CONCAT(sales_data_sample[[#This Row],[CONTACTFIRSTNAME]],", ",sales_data_sample[[#This Row],[CONTACTLASTNAME]]))</f>
        <v>Maurizio, Moroni</v>
      </c>
      <c r="AA579" s="1" t="s">
        <v>59</v>
      </c>
    </row>
    <row r="580" spans="1:27" x14ac:dyDescent="0.25">
      <c r="A580" s="10">
        <v>10100</v>
      </c>
      <c r="B580" s="9">
        <v>30</v>
      </c>
      <c r="C580" s="9">
        <v>100</v>
      </c>
      <c r="D580" s="9">
        <f>PRODUCT(sales_data_sample[[#This Row],[QUANTITYORDERED]],sales_data_sample[[#This Row],[PRICEEACH]])</f>
        <v>3000</v>
      </c>
      <c r="E580" s="9">
        <f>IF(OR(sales_data_sample[[#This Row],[STATUS]]="Shipped",sales_data_sample[[#This Row],[STATUS]]="Resolved"),sales_data_sample[[#This Row],[SALES]],0)</f>
        <v>3000</v>
      </c>
      <c r="F580" s="10">
        <v>3</v>
      </c>
      <c r="G580" s="12" t="s">
        <v>872</v>
      </c>
      <c r="H580" s="1" t="s">
        <v>26</v>
      </c>
      <c r="I580">
        <v>1</v>
      </c>
      <c r="J580">
        <v>1</v>
      </c>
      <c r="K580">
        <v>2003</v>
      </c>
      <c r="L580" s="1" t="s">
        <v>799</v>
      </c>
      <c r="M580">
        <v>170</v>
      </c>
      <c r="N580" s="1" t="s">
        <v>873</v>
      </c>
      <c r="O580" s="1" t="s">
        <v>368</v>
      </c>
      <c r="P580" s="1" t="s">
        <v>369</v>
      </c>
      <c r="Q580" s="1" t="s">
        <v>370</v>
      </c>
      <c r="R580" s="1" t="s">
        <v>32</v>
      </c>
      <c r="S580" s="1" t="s">
        <v>371</v>
      </c>
      <c r="T580" s="1" t="s">
        <v>372</v>
      </c>
      <c r="U580" s="1" t="s">
        <v>373</v>
      </c>
      <c r="V580" s="1" t="s">
        <v>36</v>
      </c>
      <c r="W580" s="1" t="s">
        <v>37</v>
      </c>
      <c r="X580" s="1" t="s">
        <v>67</v>
      </c>
      <c r="Y580" s="1" t="s">
        <v>366</v>
      </c>
      <c r="Z580" s="1" t="str">
        <f>TRIM(_xlfn.CONCAT(sales_data_sample[[#This Row],[CONTACTFIRSTNAME]],", ",sales_data_sample[[#This Row],[CONTACTLASTNAME]]))</f>
        <v>Valarie, Young</v>
      </c>
      <c r="AA580" s="1" t="s">
        <v>59</v>
      </c>
    </row>
    <row r="581" spans="1:27" x14ac:dyDescent="0.25">
      <c r="A581" s="10">
        <v>10110</v>
      </c>
      <c r="B581" s="9">
        <v>42</v>
      </c>
      <c r="C581" s="9">
        <v>100</v>
      </c>
      <c r="D581" s="9">
        <f>PRODUCT(sales_data_sample[[#This Row],[QUANTITYORDERED]],sales_data_sample[[#This Row],[PRICEEACH]])</f>
        <v>4200</v>
      </c>
      <c r="E581" s="9">
        <f>IF(OR(sales_data_sample[[#This Row],[STATUS]]="Shipped",sales_data_sample[[#This Row],[STATUS]]="Resolved"),sales_data_sample[[#This Row],[SALES]],0)</f>
        <v>4200</v>
      </c>
      <c r="F581" s="10">
        <v>7</v>
      </c>
      <c r="G581" s="12" t="s">
        <v>829</v>
      </c>
      <c r="H581" s="1" t="s">
        <v>26</v>
      </c>
      <c r="I581">
        <v>1</v>
      </c>
      <c r="J581">
        <v>3</v>
      </c>
      <c r="K581">
        <v>2003</v>
      </c>
      <c r="L581" s="1" t="s">
        <v>799</v>
      </c>
      <c r="M581">
        <v>170</v>
      </c>
      <c r="N581" s="1" t="s">
        <v>873</v>
      </c>
      <c r="O581" s="1" t="s">
        <v>695</v>
      </c>
      <c r="P581" s="1" t="s">
        <v>696</v>
      </c>
      <c r="Q581" s="1" t="s">
        <v>697</v>
      </c>
      <c r="R581" s="1" t="s">
        <v>32</v>
      </c>
      <c r="S581" s="1" t="s">
        <v>698</v>
      </c>
      <c r="T581" s="1" t="s">
        <v>32</v>
      </c>
      <c r="U581" s="1" t="s">
        <v>699</v>
      </c>
      <c r="V581" s="1" t="s">
        <v>225</v>
      </c>
      <c r="W581" s="1" t="s">
        <v>48</v>
      </c>
      <c r="X581" s="1" t="s">
        <v>700</v>
      </c>
      <c r="Y581" s="1" t="s">
        <v>118</v>
      </c>
      <c r="Z581" s="1" t="str">
        <f>TRIM(_xlfn.CONCAT(sales_data_sample[[#This Row],[CONTACTFIRSTNAME]],", ",sales_data_sample[[#This Row],[CONTACTLASTNAME]]))</f>
        <v>Victoria, Ashworth</v>
      </c>
      <c r="AA581" s="1" t="s">
        <v>59</v>
      </c>
    </row>
    <row r="582" spans="1:27" x14ac:dyDescent="0.25">
      <c r="A582" s="10">
        <v>10124</v>
      </c>
      <c r="B582" s="9">
        <v>21</v>
      </c>
      <c r="C582" s="9">
        <v>100</v>
      </c>
      <c r="D582" s="9">
        <f>PRODUCT(sales_data_sample[[#This Row],[QUANTITYORDERED]],sales_data_sample[[#This Row],[PRICEEACH]])</f>
        <v>2100</v>
      </c>
      <c r="E582" s="9">
        <f>IF(OR(sales_data_sample[[#This Row],[STATUS]]="Shipped",sales_data_sample[[#This Row],[STATUS]]="Resolved"),sales_data_sample[[#This Row],[SALES]],0)</f>
        <v>2100</v>
      </c>
      <c r="F582" s="10">
        <v>6</v>
      </c>
      <c r="G582" s="12" t="s">
        <v>802</v>
      </c>
      <c r="H582" s="1" t="s">
        <v>26</v>
      </c>
      <c r="I582">
        <v>2</v>
      </c>
      <c r="J582">
        <v>5</v>
      </c>
      <c r="K582">
        <v>2003</v>
      </c>
      <c r="L582" s="1" t="s">
        <v>799</v>
      </c>
      <c r="M582">
        <v>170</v>
      </c>
      <c r="N582" s="1" t="s">
        <v>873</v>
      </c>
      <c r="O582" s="1" t="s">
        <v>779</v>
      </c>
      <c r="P582" s="1" t="s">
        <v>780</v>
      </c>
      <c r="Q582" s="1" t="s">
        <v>781</v>
      </c>
      <c r="R582" s="1" t="s">
        <v>32</v>
      </c>
      <c r="S582" s="1" t="s">
        <v>782</v>
      </c>
      <c r="T582" s="1" t="s">
        <v>783</v>
      </c>
      <c r="U582" s="1" t="s">
        <v>784</v>
      </c>
      <c r="V582" s="1" t="s">
        <v>36</v>
      </c>
      <c r="W582" s="1" t="s">
        <v>37</v>
      </c>
      <c r="X582" s="1" t="s">
        <v>146</v>
      </c>
      <c r="Y582" s="1" t="s">
        <v>551</v>
      </c>
      <c r="Z582" s="1" t="str">
        <f>TRIM(_xlfn.CONCAT(sales_data_sample[[#This Row],[CONTACTFIRSTNAME]],", ",sales_data_sample[[#This Row],[CONTACTLASTNAME]]))</f>
        <v>Sue, King</v>
      </c>
      <c r="AA582" s="1" t="s">
        <v>40</v>
      </c>
    </row>
    <row r="583" spans="1:27" x14ac:dyDescent="0.25">
      <c r="A583" s="10">
        <v>10149</v>
      </c>
      <c r="B583" s="9">
        <v>34</v>
      </c>
      <c r="C583" s="9">
        <v>100</v>
      </c>
      <c r="D583" s="9">
        <f>PRODUCT(sales_data_sample[[#This Row],[QUANTITYORDERED]],sales_data_sample[[#This Row],[PRICEEACH]])</f>
        <v>3400</v>
      </c>
      <c r="E583" s="9">
        <f>IF(OR(sales_data_sample[[#This Row],[STATUS]]="Shipped",sales_data_sample[[#This Row],[STATUS]]="Resolved"),sales_data_sample[[#This Row],[SALES]],0)</f>
        <v>3400</v>
      </c>
      <c r="F583" s="10">
        <v>11</v>
      </c>
      <c r="G583" s="12" t="s">
        <v>804</v>
      </c>
      <c r="H583" s="1" t="s">
        <v>26</v>
      </c>
      <c r="I583">
        <v>3</v>
      </c>
      <c r="J583">
        <v>9</v>
      </c>
      <c r="K583">
        <v>2003</v>
      </c>
      <c r="L583" s="1" t="s">
        <v>799</v>
      </c>
      <c r="M583">
        <v>170</v>
      </c>
      <c r="N583" s="1" t="s">
        <v>873</v>
      </c>
      <c r="O583" s="1" t="s">
        <v>753</v>
      </c>
      <c r="P583" s="1" t="s">
        <v>754</v>
      </c>
      <c r="Q583" s="1" t="s">
        <v>755</v>
      </c>
      <c r="R583" s="1" t="s">
        <v>32</v>
      </c>
      <c r="S583" s="1" t="s">
        <v>756</v>
      </c>
      <c r="T583" s="1" t="s">
        <v>65</v>
      </c>
      <c r="U583" s="1" t="s">
        <v>80</v>
      </c>
      <c r="V583" s="1" t="s">
        <v>36</v>
      </c>
      <c r="W583" s="1" t="s">
        <v>37</v>
      </c>
      <c r="X583" s="1" t="s">
        <v>757</v>
      </c>
      <c r="Y583" s="1" t="s">
        <v>551</v>
      </c>
      <c r="Z583" s="1" t="str">
        <f>TRIM(_xlfn.CONCAT(sales_data_sample[[#This Row],[CONTACTFIRSTNAME]],", ",sales_data_sample[[#This Row],[CONTACTLASTNAME]]))</f>
        <v>Sue, Taylor</v>
      </c>
      <c r="AA583" s="1" t="s">
        <v>59</v>
      </c>
    </row>
    <row r="584" spans="1:27" x14ac:dyDescent="0.25">
      <c r="A584" s="10">
        <v>10162</v>
      </c>
      <c r="B584" s="9">
        <v>29</v>
      </c>
      <c r="C584" s="9">
        <v>100</v>
      </c>
      <c r="D584" s="9">
        <f>PRODUCT(sales_data_sample[[#This Row],[QUANTITYORDERED]],sales_data_sample[[#This Row],[PRICEEACH]])</f>
        <v>2900</v>
      </c>
      <c r="E584" s="9">
        <f>IF(OR(sales_data_sample[[#This Row],[STATUS]]="Shipped",sales_data_sample[[#This Row],[STATUS]]="Resolved"),sales_data_sample[[#This Row],[SALES]],0)</f>
        <v>2900</v>
      </c>
      <c r="F584" s="10">
        <v>9</v>
      </c>
      <c r="G584" s="12" t="s">
        <v>805</v>
      </c>
      <c r="H584" s="1" t="s">
        <v>26</v>
      </c>
      <c r="I584">
        <v>4</v>
      </c>
      <c r="J584">
        <v>10</v>
      </c>
      <c r="K584">
        <v>2003</v>
      </c>
      <c r="L584" s="1" t="s">
        <v>799</v>
      </c>
      <c r="M584">
        <v>170</v>
      </c>
      <c r="N584" s="1" t="s">
        <v>873</v>
      </c>
      <c r="O584" s="1" t="s">
        <v>70</v>
      </c>
      <c r="P584" s="1" t="s">
        <v>71</v>
      </c>
      <c r="Q584" s="1" t="s">
        <v>72</v>
      </c>
      <c r="R584" s="1" t="s">
        <v>32</v>
      </c>
      <c r="S584" s="1" t="s">
        <v>73</v>
      </c>
      <c r="T584" s="1" t="s">
        <v>65</v>
      </c>
      <c r="U584" s="1" t="s">
        <v>32</v>
      </c>
      <c r="V584" s="1" t="s">
        <v>36</v>
      </c>
      <c r="W584" s="1" t="s">
        <v>37</v>
      </c>
      <c r="X584" s="1" t="s">
        <v>74</v>
      </c>
      <c r="Y584" s="1" t="s">
        <v>68</v>
      </c>
      <c r="Z584" s="1" t="str">
        <f>TRIM(_xlfn.CONCAT(sales_data_sample[[#This Row],[CONTACTFIRSTNAME]],", ",sales_data_sample[[#This Row],[CONTACTLASTNAME]]))</f>
        <v>Julie, Brown</v>
      </c>
      <c r="AA584" s="1" t="s">
        <v>59</v>
      </c>
    </row>
    <row r="585" spans="1:27" x14ac:dyDescent="0.25">
      <c r="A585" s="10">
        <v>10173</v>
      </c>
      <c r="B585" s="9">
        <v>24</v>
      </c>
      <c r="C585" s="9">
        <v>100</v>
      </c>
      <c r="D585" s="9">
        <f>PRODUCT(sales_data_sample[[#This Row],[QUANTITYORDERED]],sales_data_sample[[#This Row],[PRICEEACH]])</f>
        <v>2400</v>
      </c>
      <c r="E585" s="9">
        <f>IF(OR(sales_data_sample[[#This Row],[STATUS]]="Shipped",sales_data_sample[[#This Row],[STATUS]]="Resolved"),sales_data_sample[[#This Row],[SALES]],0)</f>
        <v>2400</v>
      </c>
      <c r="F585" s="10">
        <v>13</v>
      </c>
      <c r="G585" s="12" t="s">
        <v>776</v>
      </c>
      <c r="H585" s="1" t="s">
        <v>26</v>
      </c>
      <c r="I585">
        <v>4</v>
      </c>
      <c r="J585">
        <v>11</v>
      </c>
      <c r="K585">
        <v>2003</v>
      </c>
      <c r="L585" s="1" t="s">
        <v>799</v>
      </c>
      <c r="M585">
        <v>170</v>
      </c>
      <c r="N585" s="1" t="s">
        <v>873</v>
      </c>
      <c r="O585" s="1" t="s">
        <v>806</v>
      </c>
      <c r="P585" s="1" t="s">
        <v>807</v>
      </c>
      <c r="Q585" s="1" t="s">
        <v>808</v>
      </c>
      <c r="R585" s="1" t="s">
        <v>32</v>
      </c>
      <c r="S585" s="1" t="s">
        <v>809</v>
      </c>
      <c r="T585" s="1" t="s">
        <v>32</v>
      </c>
      <c r="U585" s="1" t="s">
        <v>810</v>
      </c>
      <c r="V585" s="1" t="s">
        <v>343</v>
      </c>
      <c r="W585" s="1" t="s">
        <v>48</v>
      </c>
      <c r="X585" s="1" t="s">
        <v>811</v>
      </c>
      <c r="Y585" s="1" t="s">
        <v>812</v>
      </c>
      <c r="Z585" s="1" t="str">
        <f>TRIM(_xlfn.CONCAT(sales_data_sample[[#This Row],[CONTACTFIRSTNAME]],", ",sales_data_sample[[#This Row],[CONTACTLASTNAME]]))</f>
        <v>Giovanni, Rovelli</v>
      </c>
      <c r="AA585" s="1" t="s">
        <v>59</v>
      </c>
    </row>
    <row r="586" spans="1:27" x14ac:dyDescent="0.25">
      <c r="A586" s="10">
        <v>10182</v>
      </c>
      <c r="B586" s="9">
        <v>44</v>
      </c>
      <c r="C586" s="9">
        <v>100</v>
      </c>
      <c r="D586" s="9">
        <f>PRODUCT(sales_data_sample[[#This Row],[QUANTITYORDERED]],sales_data_sample[[#This Row],[PRICEEACH]])</f>
        <v>4400</v>
      </c>
      <c r="E586" s="9">
        <f>IF(OR(sales_data_sample[[#This Row],[STATUS]]="Shipped",sales_data_sample[[#This Row],[STATUS]]="Resolved"),sales_data_sample[[#This Row],[SALES]],0)</f>
        <v>4400</v>
      </c>
      <c r="F586" s="10">
        <v>10</v>
      </c>
      <c r="G586" s="12" t="s">
        <v>610</v>
      </c>
      <c r="H586" s="1" t="s">
        <v>26</v>
      </c>
      <c r="I586">
        <v>4</v>
      </c>
      <c r="J586">
        <v>11</v>
      </c>
      <c r="K586">
        <v>2003</v>
      </c>
      <c r="L586" s="1" t="s">
        <v>799</v>
      </c>
      <c r="M586">
        <v>170</v>
      </c>
      <c r="N586" s="1" t="s">
        <v>873</v>
      </c>
      <c r="O586" s="1" t="s">
        <v>361</v>
      </c>
      <c r="P586" s="1" t="s">
        <v>362</v>
      </c>
      <c r="Q586" s="1" t="s">
        <v>363</v>
      </c>
      <c r="R586" s="1" t="s">
        <v>32</v>
      </c>
      <c r="S586" s="1" t="s">
        <v>364</v>
      </c>
      <c r="T586" s="1" t="s">
        <v>65</v>
      </c>
      <c r="U586" s="1" t="s">
        <v>145</v>
      </c>
      <c r="V586" s="1" t="s">
        <v>36</v>
      </c>
      <c r="W586" s="1" t="s">
        <v>37</v>
      </c>
      <c r="X586" s="1" t="s">
        <v>365</v>
      </c>
      <c r="Y586" s="1" t="s">
        <v>366</v>
      </c>
      <c r="Z586" s="1" t="str">
        <f>TRIM(_xlfn.CONCAT(sales_data_sample[[#This Row],[CONTACTFIRSTNAME]],", ",sales_data_sample[[#This Row],[CONTACTLASTNAME]]))</f>
        <v>Valarie, Nelson</v>
      </c>
      <c r="AA586" s="1" t="s">
        <v>199</v>
      </c>
    </row>
    <row r="587" spans="1:27" x14ac:dyDescent="0.25">
      <c r="A587" s="10">
        <v>10193</v>
      </c>
      <c r="B587" s="9">
        <v>21</v>
      </c>
      <c r="C587" s="9">
        <v>100</v>
      </c>
      <c r="D587" s="9">
        <f>PRODUCT(sales_data_sample[[#This Row],[QUANTITYORDERED]],sales_data_sample[[#This Row],[PRICEEACH]])</f>
        <v>2100</v>
      </c>
      <c r="E587" s="9">
        <f>IF(OR(sales_data_sample[[#This Row],[STATUS]]="Shipped",sales_data_sample[[#This Row],[STATUS]]="Resolved"),sales_data_sample[[#This Row],[SALES]],0)</f>
        <v>2100</v>
      </c>
      <c r="F587" s="10">
        <v>14</v>
      </c>
      <c r="G587" s="12" t="s">
        <v>813</v>
      </c>
      <c r="H587" s="1" t="s">
        <v>26</v>
      </c>
      <c r="I587">
        <v>4</v>
      </c>
      <c r="J587">
        <v>11</v>
      </c>
      <c r="K587">
        <v>2003</v>
      </c>
      <c r="L587" s="1" t="s">
        <v>799</v>
      </c>
      <c r="M587">
        <v>170</v>
      </c>
      <c r="N587" s="1" t="s">
        <v>873</v>
      </c>
      <c r="O587" s="1" t="s">
        <v>814</v>
      </c>
      <c r="P587" s="1" t="s">
        <v>815</v>
      </c>
      <c r="Q587" s="1" t="s">
        <v>816</v>
      </c>
      <c r="R587" s="1" t="s">
        <v>32</v>
      </c>
      <c r="S587" s="1" t="s">
        <v>817</v>
      </c>
      <c r="T587" s="1" t="s">
        <v>118</v>
      </c>
      <c r="U587" s="1" t="s">
        <v>818</v>
      </c>
      <c r="V587" s="1" t="s">
        <v>120</v>
      </c>
      <c r="W587" s="1" t="s">
        <v>121</v>
      </c>
      <c r="X587" s="1" t="s">
        <v>819</v>
      </c>
      <c r="Y587" s="1" t="s">
        <v>820</v>
      </c>
      <c r="Z587" s="1" t="str">
        <f>TRIM(_xlfn.CONCAT(sales_data_sample[[#This Row],[CONTACTFIRSTNAME]],", ",sales_data_sample[[#This Row],[CONTACTLASTNAME]]))</f>
        <v>Sean, Connery</v>
      </c>
      <c r="AA587" s="1" t="s">
        <v>59</v>
      </c>
    </row>
    <row r="588" spans="1:27" x14ac:dyDescent="0.25">
      <c r="A588">
        <v>10204</v>
      </c>
      <c r="B588">
        <v>33</v>
      </c>
      <c r="C588">
        <v>100</v>
      </c>
      <c r="D588">
        <f>PRODUCT(sales_data_sample[[#This Row],[QUANTITYORDERED]],sales_data_sample[[#This Row],[PRICEEACH]])</f>
        <v>3300</v>
      </c>
      <c r="E588" s="9">
        <f>IF(OR(sales_data_sample[[#This Row],[STATUS]]="Shipped",sales_data_sample[[#This Row],[STATUS]]="Resolved"),sales_data_sample[[#This Row],[SALES]],0)</f>
        <v>3300</v>
      </c>
      <c r="F588">
        <v>4</v>
      </c>
      <c r="G588" s="12" t="s">
        <v>620</v>
      </c>
      <c r="H588" s="1" t="s">
        <v>26</v>
      </c>
      <c r="I588">
        <v>4</v>
      </c>
      <c r="J588">
        <v>12</v>
      </c>
      <c r="K588">
        <v>2003</v>
      </c>
      <c r="L588" s="1" t="s">
        <v>799</v>
      </c>
      <c r="M588">
        <v>170</v>
      </c>
      <c r="N588" s="1" t="s">
        <v>873</v>
      </c>
      <c r="O588" s="1" t="s">
        <v>667</v>
      </c>
      <c r="P588" s="1" t="s">
        <v>668</v>
      </c>
      <c r="Q588" s="1" t="s">
        <v>669</v>
      </c>
      <c r="R588" s="1" t="s">
        <v>670</v>
      </c>
      <c r="S588" s="1" t="s">
        <v>33</v>
      </c>
      <c r="T588" s="1" t="s">
        <v>34</v>
      </c>
      <c r="U588" s="1" t="s">
        <v>35</v>
      </c>
      <c r="V588" s="1" t="s">
        <v>36</v>
      </c>
      <c r="W588" s="1" t="s">
        <v>37</v>
      </c>
      <c r="X588" s="1" t="s">
        <v>67</v>
      </c>
      <c r="Y588" s="1" t="s">
        <v>671</v>
      </c>
      <c r="Z588" s="1" t="str">
        <f>TRIM(_xlfn.CONCAT(sales_data_sample[[#This Row],[CONTACTFIRSTNAME]],", ",sales_data_sample[[#This Row],[CONTACTLASTNAME]]))</f>
        <v>Jeff, Young</v>
      </c>
      <c r="AA588" s="1" t="s">
        <v>59</v>
      </c>
    </row>
    <row r="589" spans="1:27" x14ac:dyDescent="0.25">
      <c r="A589" s="10">
        <v>10214</v>
      </c>
      <c r="B589" s="9">
        <v>30</v>
      </c>
      <c r="C589" s="9">
        <v>100</v>
      </c>
      <c r="D589" s="9">
        <f>PRODUCT(sales_data_sample[[#This Row],[QUANTITYORDERED]],sales_data_sample[[#This Row],[PRICEEACH]])</f>
        <v>3000</v>
      </c>
      <c r="E589" s="9">
        <f>IF(OR(sales_data_sample[[#This Row],[STATUS]]="Shipped",sales_data_sample[[#This Row],[STATUS]]="Resolved"),sales_data_sample[[#This Row],[SALES]],0)</f>
        <v>3000</v>
      </c>
      <c r="F589" s="10">
        <v>7</v>
      </c>
      <c r="G589" s="12" t="s">
        <v>874</v>
      </c>
      <c r="H589" s="1" t="s">
        <v>26</v>
      </c>
      <c r="I589">
        <v>1</v>
      </c>
      <c r="J589">
        <v>1</v>
      </c>
      <c r="K589">
        <v>2004</v>
      </c>
      <c r="L589" s="1" t="s">
        <v>799</v>
      </c>
      <c r="M589">
        <v>170</v>
      </c>
      <c r="N589" s="1" t="s">
        <v>873</v>
      </c>
      <c r="O589" s="1" t="s">
        <v>251</v>
      </c>
      <c r="P589" s="1" t="s">
        <v>252</v>
      </c>
      <c r="Q589" s="1" t="s">
        <v>253</v>
      </c>
      <c r="R589" s="1" t="s">
        <v>32</v>
      </c>
      <c r="S589" s="1" t="s">
        <v>233</v>
      </c>
      <c r="T589" s="1" t="s">
        <v>32</v>
      </c>
      <c r="U589" s="1" t="s">
        <v>254</v>
      </c>
      <c r="V589" s="1" t="s">
        <v>235</v>
      </c>
      <c r="W589" s="1" t="s">
        <v>48</v>
      </c>
      <c r="X589" s="1" t="s">
        <v>255</v>
      </c>
      <c r="Y589" s="1" t="s">
        <v>256</v>
      </c>
      <c r="Z589" s="1" t="str">
        <f>TRIM(_xlfn.CONCAT(sales_data_sample[[#This Row],[CONTACTFIRSTNAME]],", ",sales_data_sample[[#This Row],[CONTACTLASTNAME]]))</f>
        <v>Mart¡n, Sommer</v>
      </c>
      <c r="AA589" s="1" t="s">
        <v>59</v>
      </c>
    </row>
    <row r="590" spans="1:27" x14ac:dyDescent="0.25">
      <c r="A590" s="10">
        <v>10227</v>
      </c>
      <c r="B590" s="9">
        <v>26</v>
      </c>
      <c r="C590" s="9">
        <v>100</v>
      </c>
      <c r="D590" s="9">
        <f>PRODUCT(sales_data_sample[[#This Row],[QUANTITYORDERED]],sales_data_sample[[#This Row],[PRICEEACH]])</f>
        <v>2600</v>
      </c>
      <c r="E590" s="9">
        <f>IF(OR(sales_data_sample[[#This Row],[STATUS]]="Shipped",sales_data_sample[[#This Row],[STATUS]]="Resolved"),sales_data_sample[[#This Row],[SALES]],0)</f>
        <v>2600</v>
      </c>
      <c r="F590" s="10">
        <v>10</v>
      </c>
      <c r="G590" s="12" t="s">
        <v>822</v>
      </c>
      <c r="H590" s="1" t="s">
        <v>26</v>
      </c>
      <c r="I590">
        <v>1</v>
      </c>
      <c r="J590">
        <v>3</v>
      </c>
      <c r="K590">
        <v>2004</v>
      </c>
      <c r="L590" s="1" t="s">
        <v>799</v>
      </c>
      <c r="M590">
        <v>170</v>
      </c>
      <c r="N590" s="1" t="s">
        <v>873</v>
      </c>
      <c r="O590" s="1" t="s">
        <v>291</v>
      </c>
      <c r="P590" s="1" t="s">
        <v>292</v>
      </c>
      <c r="Q590" s="1" t="s">
        <v>293</v>
      </c>
      <c r="R590" s="1" t="s">
        <v>32</v>
      </c>
      <c r="S590" s="1" t="s">
        <v>294</v>
      </c>
      <c r="T590" s="1" t="s">
        <v>32</v>
      </c>
      <c r="U590" s="1" t="s">
        <v>295</v>
      </c>
      <c r="V590" s="1" t="s">
        <v>47</v>
      </c>
      <c r="W590" s="1" t="s">
        <v>48</v>
      </c>
      <c r="X590" s="1" t="s">
        <v>296</v>
      </c>
      <c r="Y590" s="1" t="s">
        <v>297</v>
      </c>
      <c r="Z590" s="1" t="str">
        <f>TRIM(_xlfn.CONCAT(sales_data_sample[[#This Row],[CONTACTFIRSTNAME]],", ",sales_data_sample[[#This Row],[CONTACTLASTNAME]]))</f>
        <v>Mary, Saveley</v>
      </c>
      <c r="AA590" s="1" t="s">
        <v>59</v>
      </c>
    </row>
    <row r="591" spans="1:27" x14ac:dyDescent="0.25">
      <c r="A591" s="10">
        <v>10241</v>
      </c>
      <c r="B591" s="9">
        <v>41</v>
      </c>
      <c r="C591" s="9">
        <v>100</v>
      </c>
      <c r="D591" s="9">
        <f>PRODUCT(sales_data_sample[[#This Row],[QUANTITYORDERED]],sales_data_sample[[#This Row],[PRICEEACH]])</f>
        <v>4100</v>
      </c>
      <c r="E591" s="9">
        <f>IF(OR(sales_data_sample[[#This Row],[STATUS]]="Shipped",sales_data_sample[[#This Row],[STATUS]]="Resolved"),sales_data_sample[[#This Row],[SALES]],0)</f>
        <v>4100</v>
      </c>
      <c r="F591" s="10">
        <v>2</v>
      </c>
      <c r="G591" s="12" t="s">
        <v>777</v>
      </c>
      <c r="H591" s="1" t="s">
        <v>26</v>
      </c>
      <c r="I591">
        <v>2</v>
      </c>
      <c r="J591">
        <v>4</v>
      </c>
      <c r="K591">
        <v>2004</v>
      </c>
      <c r="L591" s="1" t="s">
        <v>799</v>
      </c>
      <c r="M591">
        <v>170</v>
      </c>
      <c r="N591" s="1" t="s">
        <v>873</v>
      </c>
      <c r="O591" s="1" t="s">
        <v>763</v>
      </c>
      <c r="P591" s="1" t="s">
        <v>764</v>
      </c>
      <c r="Q591" s="1" t="s">
        <v>765</v>
      </c>
      <c r="R591" s="1" t="s">
        <v>32</v>
      </c>
      <c r="S591" s="1" t="s">
        <v>766</v>
      </c>
      <c r="T591" s="1" t="s">
        <v>32</v>
      </c>
      <c r="U591" s="1" t="s">
        <v>767</v>
      </c>
      <c r="V591" s="1" t="s">
        <v>47</v>
      </c>
      <c r="W591" s="1" t="s">
        <v>48</v>
      </c>
      <c r="X591" s="1" t="s">
        <v>768</v>
      </c>
      <c r="Y591" s="1" t="s">
        <v>769</v>
      </c>
      <c r="Z591" s="1" t="str">
        <f>TRIM(_xlfn.CONCAT(sales_data_sample[[#This Row],[CONTACTFIRSTNAME]],", ",sales_data_sample[[#This Row],[CONTACTLASTNAME]]))</f>
        <v>Frederique, Citeaux</v>
      </c>
      <c r="AA591" s="1" t="s">
        <v>199</v>
      </c>
    </row>
    <row r="592" spans="1:27" x14ac:dyDescent="0.25">
      <c r="A592" s="10">
        <v>10280</v>
      </c>
      <c r="B592" s="9">
        <v>26</v>
      </c>
      <c r="C592" s="9">
        <v>100</v>
      </c>
      <c r="D592" s="9">
        <f>PRODUCT(sales_data_sample[[#This Row],[QUANTITYORDERED]],sales_data_sample[[#This Row],[PRICEEACH]])</f>
        <v>2600</v>
      </c>
      <c r="E592" s="9">
        <f>IF(OR(sales_data_sample[[#This Row],[STATUS]]="Shipped",sales_data_sample[[#This Row],[STATUS]]="Resolved"),sales_data_sample[[#This Row],[SALES]],0)</f>
        <v>2600</v>
      </c>
      <c r="F592" s="10">
        <v>16</v>
      </c>
      <c r="G592" s="12" t="s">
        <v>337</v>
      </c>
      <c r="H592" s="1" t="s">
        <v>26</v>
      </c>
      <c r="I592">
        <v>3</v>
      </c>
      <c r="J592">
        <v>8</v>
      </c>
      <c r="K592">
        <v>2004</v>
      </c>
      <c r="L592" s="1" t="s">
        <v>799</v>
      </c>
      <c r="M592">
        <v>170</v>
      </c>
      <c r="N592" s="1" t="s">
        <v>873</v>
      </c>
      <c r="O592" s="1" t="s">
        <v>338</v>
      </c>
      <c r="P592" s="1" t="s">
        <v>339</v>
      </c>
      <c r="Q592" s="1" t="s">
        <v>340</v>
      </c>
      <c r="R592" s="1" t="s">
        <v>32</v>
      </c>
      <c r="S592" s="1" t="s">
        <v>341</v>
      </c>
      <c r="T592" s="1" t="s">
        <v>32</v>
      </c>
      <c r="U592" s="1" t="s">
        <v>342</v>
      </c>
      <c r="V592" s="1" t="s">
        <v>343</v>
      </c>
      <c r="W592" s="1" t="s">
        <v>48</v>
      </c>
      <c r="X592" s="1" t="s">
        <v>344</v>
      </c>
      <c r="Y592" s="1" t="s">
        <v>345</v>
      </c>
      <c r="Z592" s="1" t="str">
        <f>TRIM(_xlfn.CONCAT(sales_data_sample[[#This Row],[CONTACTFIRSTNAME]],", ",sales_data_sample[[#This Row],[CONTACTLASTNAME]]))</f>
        <v>Paolo, Accorti</v>
      </c>
      <c r="AA592" s="1" t="s">
        <v>59</v>
      </c>
    </row>
    <row r="593" spans="1:27" x14ac:dyDescent="0.25">
      <c r="A593">
        <v>10288</v>
      </c>
      <c r="B593">
        <v>32</v>
      </c>
      <c r="C593">
        <v>100</v>
      </c>
      <c r="D593">
        <f>PRODUCT(sales_data_sample[[#This Row],[QUANTITYORDERED]],sales_data_sample[[#This Row],[PRICEEACH]])</f>
        <v>3200</v>
      </c>
      <c r="E593" s="9">
        <f>IF(OR(sales_data_sample[[#This Row],[STATUS]]="Shipped",sales_data_sample[[#This Row],[STATUS]]="Resolved"),sales_data_sample[[#This Row],[SALES]],0)</f>
        <v>3200</v>
      </c>
      <c r="F593">
        <v>5</v>
      </c>
      <c r="G593" s="12" t="s">
        <v>834</v>
      </c>
      <c r="H593" s="1" t="s">
        <v>26</v>
      </c>
      <c r="I593">
        <v>3</v>
      </c>
      <c r="J593">
        <v>9</v>
      </c>
      <c r="K593">
        <v>2004</v>
      </c>
      <c r="L593" s="1" t="s">
        <v>799</v>
      </c>
      <c r="M593">
        <v>170</v>
      </c>
      <c r="N593" s="1" t="s">
        <v>873</v>
      </c>
      <c r="O593" s="1" t="s">
        <v>577</v>
      </c>
      <c r="P593" s="1" t="s">
        <v>578</v>
      </c>
      <c r="Q593" s="1" t="s">
        <v>579</v>
      </c>
      <c r="R593" s="1" t="s">
        <v>580</v>
      </c>
      <c r="S593" s="1" t="s">
        <v>262</v>
      </c>
      <c r="T593" s="1" t="s">
        <v>32</v>
      </c>
      <c r="U593" s="1" t="s">
        <v>581</v>
      </c>
      <c r="V593" s="1" t="s">
        <v>262</v>
      </c>
      <c r="W593" s="1" t="s">
        <v>121</v>
      </c>
      <c r="X593" s="1" t="s">
        <v>582</v>
      </c>
      <c r="Y593" s="1" t="s">
        <v>583</v>
      </c>
      <c r="Z593" s="1" t="str">
        <f>TRIM(_xlfn.CONCAT(sales_data_sample[[#This Row],[CONTACTFIRSTNAME]],", ",sales_data_sample[[#This Row],[CONTACTLASTNAME]]))</f>
        <v>Wendy, Victorino</v>
      </c>
      <c r="AA593" s="1" t="s">
        <v>59</v>
      </c>
    </row>
    <row r="594" spans="1:27" x14ac:dyDescent="0.25">
      <c r="A594" s="10">
        <v>10302</v>
      </c>
      <c r="B594" s="9">
        <v>43</v>
      </c>
      <c r="C594" s="9">
        <v>100</v>
      </c>
      <c r="D594" s="9">
        <f>PRODUCT(sales_data_sample[[#This Row],[QUANTITYORDERED]],sales_data_sample[[#This Row],[PRICEEACH]])</f>
        <v>4300</v>
      </c>
      <c r="E594" s="9">
        <f>IF(OR(sales_data_sample[[#This Row],[STATUS]]="Shipped",sales_data_sample[[#This Row],[STATUS]]="Resolved"),sales_data_sample[[#This Row],[SALES]],0)</f>
        <v>4300</v>
      </c>
      <c r="F594" s="10">
        <v>1</v>
      </c>
      <c r="G594" s="12" t="s">
        <v>459</v>
      </c>
      <c r="H594" s="1" t="s">
        <v>26</v>
      </c>
      <c r="I594">
        <v>4</v>
      </c>
      <c r="J594">
        <v>10</v>
      </c>
      <c r="K594">
        <v>2003</v>
      </c>
      <c r="L594" s="1" t="s">
        <v>799</v>
      </c>
      <c r="M594">
        <v>170</v>
      </c>
      <c r="N594" s="1" t="s">
        <v>873</v>
      </c>
      <c r="O594" s="1" t="s">
        <v>220</v>
      </c>
      <c r="P594" s="1" t="s">
        <v>221</v>
      </c>
      <c r="Q594" s="1" t="s">
        <v>222</v>
      </c>
      <c r="R594" s="1" t="s">
        <v>32</v>
      </c>
      <c r="S594" s="1" t="s">
        <v>223</v>
      </c>
      <c r="T594" s="1" t="s">
        <v>32</v>
      </c>
      <c r="U594" s="1" t="s">
        <v>224</v>
      </c>
      <c r="V594" s="1" t="s">
        <v>225</v>
      </c>
      <c r="W594" s="1" t="s">
        <v>48</v>
      </c>
      <c r="X594" s="1" t="s">
        <v>226</v>
      </c>
      <c r="Y594" s="1" t="s">
        <v>227</v>
      </c>
      <c r="Z594" s="1" t="str">
        <f>TRIM(_xlfn.CONCAT(sales_data_sample[[#This Row],[CONTACTFIRSTNAME]],", ",sales_data_sample[[#This Row],[CONTACTLASTNAME]]))</f>
        <v>Elizabeth, Devon</v>
      </c>
      <c r="AA594" s="1" t="s">
        <v>199</v>
      </c>
    </row>
    <row r="595" spans="1:27" x14ac:dyDescent="0.25">
      <c r="A595" s="10">
        <v>10312</v>
      </c>
      <c r="B595" s="9">
        <v>48</v>
      </c>
      <c r="C595" s="9">
        <v>100</v>
      </c>
      <c r="D595" s="9">
        <f>PRODUCT(sales_data_sample[[#This Row],[QUANTITYORDERED]],sales_data_sample[[#This Row],[PRICEEACH]])</f>
        <v>4800</v>
      </c>
      <c r="E595" s="9">
        <f>IF(OR(sales_data_sample[[#This Row],[STATUS]]="Shipped",sales_data_sample[[#This Row],[STATUS]]="Resolved"),sales_data_sample[[#This Row],[SALES]],0)</f>
        <v>4800</v>
      </c>
      <c r="F595" s="10">
        <v>17</v>
      </c>
      <c r="G595" s="12" t="s">
        <v>360</v>
      </c>
      <c r="H595" s="1" t="s">
        <v>26</v>
      </c>
      <c r="I595">
        <v>4</v>
      </c>
      <c r="J595">
        <v>10</v>
      </c>
      <c r="K595">
        <v>2004</v>
      </c>
      <c r="L595" s="1" t="s">
        <v>799</v>
      </c>
      <c r="M595">
        <v>170</v>
      </c>
      <c r="N595" s="1" t="s">
        <v>873</v>
      </c>
      <c r="O595" s="1" t="s">
        <v>361</v>
      </c>
      <c r="P595" s="1" t="s">
        <v>362</v>
      </c>
      <c r="Q595" s="1" t="s">
        <v>363</v>
      </c>
      <c r="R595" s="1" t="s">
        <v>32</v>
      </c>
      <c r="S595" s="1" t="s">
        <v>364</v>
      </c>
      <c r="T595" s="1" t="s">
        <v>65</v>
      </c>
      <c r="U595" s="1" t="s">
        <v>145</v>
      </c>
      <c r="V595" s="1" t="s">
        <v>36</v>
      </c>
      <c r="W595" s="1" t="s">
        <v>37</v>
      </c>
      <c r="X595" s="1" t="s">
        <v>365</v>
      </c>
      <c r="Y595" s="1" t="s">
        <v>366</v>
      </c>
      <c r="Z595" s="1" t="str">
        <f>TRIM(_xlfn.CONCAT(sales_data_sample[[#This Row],[CONTACTFIRSTNAME]],", ",sales_data_sample[[#This Row],[CONTACTLASTNAME]]))</f>
        <v>Valarie, Nelson</v>
      </c>
      <c r="AA595" s="1" t="s">
        <v>199</v>
      </c>
    </row>
    <row r="596" spans="1:27" x14ac:dyDescent="0.25">
      <c r="A596" s="10">
        <v>10331</v>
      </c>
      <c r="B596" s="9">
        <v>44</v>
      </c>
      <c r="C596" s="9">
        <v>7404</v>
      </c>
      <c r="D596" s="9">
        <f>PRODUCT(sales_data_sample[[#This Row],[QUANTITYORDERED]],sales_data_sample[[#This Row],[PRICEEACH]])</f>
        <v>325776</v>
      </c>
      <c r="E596" s="9">
        <f>IF(OR(sales_data_sample[[#This Row],[STATUS]]="Shipped",sales_data_sample[[#This Row],[STATUS]]="Resolved"),sales_data_sample[[#This Row],[SALES]],0)</f>
        <v>325776</v>
      </c>
      <c r="F596" s="10">
        <v>7</v>
      </c>
      <c r="G596" s="12" t="s">
        <v>793</v>
      </c>
      <c r="H596" s="1" t="s">
        <v>26</v>
      </c>
      <c r="I596">
        <v>4</v>
      </c>
      <c r="J596">
        <v>11</v>
      </c>
      <c r="K596">
        <v>2004</v>
      </c>
      <c r="L596" s="1" t="s">
        <v>799</v>
      </c>
      <c r="M596">
        <v>170</v>
      </c>
      <c r="N596" s="1" t="s">
        <v>873</v>
      </c>
      <c r="O596" s="1" t="s">
        <v>415</v>
      </c>
      <c r="P596" s="1" t="s">
        <v>416</v>
      </c>
      <c r="Q596" s="1" t="s">
        <v>417</v>
      </c>
      <c r="R596" s="1" t="s">
        <v>32</v>
      </c>
      <c r="S596" s="1" t="s">
        <v>286</v>
      </c>
      <c r="T596" s="1" t="s">
        <v>186</v>
      </c>
      <c r="U596" s="1" t="s">
        <v>287</v>
      </c>
      <c r="V596" s="1" t="s">
        <v>36</v>
      </c>
      <c r="W596" s="1" t="s">
        <v>37</v>
      </c>
      <c r="X596" s="1" t="s">
        <v>162</v>
      </c>
      <c r="Y596" s="1" t="s">
        <v>418</v>
      </c>
      <c r="Z596" s="1" t="str">
        <f>TRIM(_xlfn.CONCAT(sales_data_sample[[#This Row],[CONTACTFIRSTNAME]],", ",sales_data_sample[[#This Row],[CONTACTLASTNAME]]))</f>
        <v>Rosa, Hernandez</v>
      </c>
      <c r="AA596" s="1" t="s">
        <v>59</v>
      </c>
    </row>
    <row r="597" spans="1:27" x14ac:dyDescent="0.25">
      <c r="A597" s="10">
        <v>10344</v>
      </c>
      <c r="B597" s="9">
        <v>45</v>
      </c>
      <c r="C597" s="9">
        <v>100</v>
      </c>
      <c r="D597" s="9">
        <f>PRODUCT(sales_data_sample[[#This Row],[QUANTITYORDERED]],sales_data_sample[[#This Row],[PRICEEACH]])</f>
        <v>4500</v>
      </c>
      <c r="E597" s="9">
        <f>IF(OR(sales_data_sample[[#This Row],[STATUS]]="Shipped",sales_data_sample[[#This Row],[STATUS]]="Resolved"),sales_data_sample[[#This Row],[SALES]],0)</f>
        <v>4500</v>
      </c>
      <c r="F597" s="10">
        <v>1</v>
      </c>
      <c r="G597" s="12" t="s">
        <v>875</v>
      </c>
      <c r="H597" s="1" t="s">
        <v>26</v>
      </c>
      <c r="I597">
        <v>4</v>
      </c>
      <c r="J597">
        <v>11</v>
      </c>
      <c r="K597">
        <v>2004</v>
      </c>
      <c r="L597" s="1" t="s">
        <v>799</v>
      </c>
      <c r="M597">
        <v>170</v>
      </c>
      <c r="N597" s="1" t="s">
        <v>873</v>
      </c>
      <c r="O597" s="1" t="s">
        <v>600</v>
      </c>
      <c r="P597" s="1" t="s">
        <v>601</v>
      </c>
      <c r="Q597" s="1" t="s">
        <v>602</v>
      </c>
      <c r="R597" s="1" t="s">
        <v>32</v>
      </c>
      <c r="S597" s="1" t="s">
        <v>603</v>
      </c>
      <c r="T597" s="1" t="s">
        <v>32</v>
      </c>
      <c r="U597" s="1" t="s">
        <v>604</v>
      </c>
      <c r="V597" s="1" t="s">
        <v>47</v>
      </c>
      <c r="W597" s="1" t="s">
        <v>48</v>
      </c>
      <c r="X597" s="1" t="s">
        <v>605</v>
      </c>
      <c r="Y597" s="1" t="s">
        <v>606</v>
      </c>
      <c r="Z597" s="1" t="str">
        <f>TRIM(_xlfn.CONCAT(sales_data_sample[[#This Row],[CONTACTFIRSTNAME]],", ",sales_data_sample[[#This Row],[CONTACTLASTNAME]]))</f>
        <v>Laurence, Lebihan</v>
      </c>
      <c r="AA597" s="1" t="s">
        <v>199</v>
      </c>
    </row>
    <row r="598" spans="1:27" x14ac:dyDescent="0.25">
      <c r="A598" s="10">
        <v>10367</v>
      </c>
      <c r="B598" s="9">
        <v>37</v>
      </c>
      <c r="C598" s="9">
        <v>100</v>
      </c>
      <c r="D598" s="9">
        <f>PRODUCT(sales_data_sample[[#This Row],[QUANTITYORDERED]],sales_data_sample[[#This Row],[PRICEEACH]])</f>
        <v>3700</v>
      </c>
      <c r="E598" s="9">
        <f>IF(OR(sales_data_sample[[#This Row],[STATUS]]="Shipped",sales_data_sample[[#This Row],[STATUS]]="Resolved"),sales_data_sample[[#This Row],[SALES]],0)</f>
        <v>3700</v>
      </c>
      <c r="F598" s="10">
        <v>3</v>
      </c>
      <c r="G598" s="12" t="s">
        <v>835</v>
      </c>
      <c r="H598" s="1" t="s">
        <v>563</v>
      </c>
      <c r="I598">
        <v>1</v>
      </c>
      <c r="J598">
        <v>1</v>
      </c>
      <c r="K598">
        <v>2005</v>
      </c>
      <c r="L598" s="1" t="s">
        <v>799</v>
      </c>
      <c r="M598">
        <v>170</v>
      </c>
      <c r="N598" s="1" t="s">
        <v>873</v>
      </c>
      <c r="O598" s="1" t="s">
        <v>61</v>
      </c>
      <c r="P598" s="1" t="s">
        <v>62</v>
      </c>
      <c r="Q598" s="1" t="s">
        <v>63</v>
      </c>
      <c r="R598" s="1" t="s">
        <v>32</v>
      </c>
      <c r="S598" s="1" t="s">
        <v>64</v>
      </c>
      <c r="T598" s="1" t="s">
        <v>65</v>
      </c>
      <c r="U598" s="1" t="s">
        <v>66</v>
      </c>
      <c r="V598" s="1" t="s">
        <v>36</v>
      </c>
      <c r="W598" s="1" t="s">
        <v>37</v>
      </c>
      <c r="X598" s="1" t="s">
        <v>67</v>
      </c>
      <c r="Y598" s="1" t="s">
        <v>68</v>
      </c>
      <c r="Z598" s="1" t="str">
        <f>TRIM(_xlfn.CONCAT(sales_data_sample[[#This Row],[CONTACTFIRSTNAME]],", ",sales_data_sample[[#This Row],[CONTACTLASTNAME]]))</f>
        <v>Julie, Young</v>
      </c>
      <c r="AA598" s="1" t="s">
        <v>59</v>
      </c>
    </row>
    <row r="599" spans="1:27" x14ac:dyDescent="0.25">
      <c r="A599" s="10">
        <v>10379</v>
      </c>
      <c r="B599" s="9">
        <v>39</v>
      </c>
      <c r="C599" s="9">
        <v>100</v>
      </c>
      <c r="D599" s="9">
        <f>PRODUCT(sales_data_sample[[#This Row],[QUANTITYORDERED]],sales_data_sample[[#This Row],[PRICEEACH]])</f>
        <v>3900</v>
      </c>
      <c r="E599" s="9">
        <f>IF(OR(sales_data_sample[[#This Row],[STATUS]]="Shipped",sales_data_sample[[#This Row],[STATUS]]="Resolved"),sales_data_sample[[#This Row],[SALES]],0)</f>
        <v>3900</v>
      </c>
      <c r="F599" s="10">
        <v>2</v>
      </c>
      <c r="G599" s="12" t="s">
        <v>836</v>
      </c>
      <c r="H599" s="1" t="s">
        <v>26</v>
      </c>
      <c r="I599">
        <v>1</v>
      </c>
      <c r="J599">
        <v>2</v>
      </c>
      <c r="K599">
        <v>2005</v>
      </c>
      <c r="L599" s="1" t="s">
        <v>799</v>
      </c>
      <c r="M599">
        <v>170</v>
      </c>
      <c r="N599" s="1" t="s">
        <v>873</v>
      </c>
      <c r="O599" s="1" t="s">
        <v>230</v>
      </c>
      <c r="P599" s="1" t="s">
        <v>231</v>
      </c>
      <c r="Q599" s="1" t="s">
        <v>232</v>
      </c>
      <c r="R599" s="1" t="s">
        <v>32</v>
      </c>
      <c r="S599" s="1" t="s">
        <v>233</v>
      </c>
      <c r="T599" s="1" t="s">
        <v>32</v>
      </c>
      <c r="U599" s="1" t="s">
        <v>234</v>
      </c>
      <c r="V599" s="1" t="s">
        <v>235</v>
      </c>
      <c r="W599" s="1" t="s">
        <v>48</v>
      </c>
      <c r="X599" s="1" t="s">
        <v>236</v>
      </c>
      <c r="Y599" s="1" t="s">
        <v>237</v>
      </c>
      <c r="Z599" s="1" t="str">
        <f>TRIM(_xlfn.CONCAT(sales_data_sample[[#This Row],[CONTACTFIRSTNAME]],", ",sales_data_sample[[#This Row],[CONTACTLASTNAME]]))</f>
        <v>Diego, Freyre</v>
      </c>
      <c r="AA599" s="1" t="s">
        <v>59</v>
      </c>
    </row>
    <row r="600" spans="1:27" x14ac:dyDescent="0.25">
      <c r="A600" s="10">
        <v>10407</v>
      </c>
      <c r="B600" s="9">
        <v>76</v>
      </c>
      <c r="C600" s="9">
        <v>100</v>
      </c>
      <c r="D600" s="9">
        <f>PRODUCT(sales_data_sample[[#This Row],[QUANTITYORDERED]],sales_data_sample[[#This Row],[PRICEEACH]])</f>
        <v>7600</v>
      </c>
      <c r="E600" s="9">
        <f>IF(OR(sales_data_sample[[#This Row],[STATUS]]="Shipped",sales_data_sample[[#This Row],[STATUS]]="Resolved"),sales_data_sample[[#This Row],[SALES]],0)</f>
        <v>0</v>
      </c>
      <c r="F600" s="10">
        <v>2</v>
      </c>
      <c r="G600" s="12" t="s">
        <v>837</v>
      </c>
      <c r="H600" s="1" t="s">
        <v>553</v>
      </c>
      <c r="I600">
        <v>2</v>
      </c>
      <c r="J600">
        <v>4</v>
      </c>
      <c r="K600">
        <v>2005</v>
      </c>
      <c r="L600" s="1" t="s">
        <v>799</v>
      </c>
      <c r="M600">
        <v>170</v>
      </c>
      <c r="N600" s="1" t="s">
        <v>873</v>
      </c>
      <c r="O600" s="1" t="s">
        <v>547</v>
      </c>
      <c r="P600" s="1" t="s">
        <v>548</v>
      </c>
      <c r="Q600" s="1" t="s">
        <v>549</v>
      </c>
      <c r="R600" s="1" t="s">
        <v>32</v>
      </c>
      <c r="S600" s="1" t="s">
        <v>550</v>
      </c>
      <c r="T600" s="1" t="s">
        <v>65</v>
      </c>
      <c r="U600" s="1" t="s">
        <v>80</v>
      </c>
      <c r="V600" s="1" t="s">
        <v>36</v>
      </c>
      <c r="W600" s="1" t="s">
        <v>37</v>
      </c>
      <c r="X600" s="1" t="s">
        <v>129</v>
      </c>
      <c r="Y600" s="1" t="s">
        <v>551</v>
      </c>
      <c r="Z600" s="1" t="str">
        <f>TRIM(_xlfn.CONCAT(sales_data_sample[[#This Row],[CONTACTFIRSTNAME]],", ",sales_data_sample[[#This Row],[CONTACTLASTNAME]]))</f>
        <v>Sue, Frick</v>
      </c>
      <c r="AA600" s="1" t="s">
        <v>199</v>
      </c>
    </row>
    <row r="601" spans="1:27" x14ac:dyDescent="0.25">
      <c r="A601">
        <v>10420</v>
      </c>
      <c r="B601">
        <v>37</v>
      </c>
      <c r="C601">
        <v>100</v>
      </c>
      <c r="D601">
        <f>PRODUCT(sales_data_sample[[#This Row],[QUANTITYORDERED]],sales_data_sample[[#This Row],[PRICEEACH]])</f>
        <v>3700</v>
      </c>
      <c r="E601" s="9">
        <f>IF(OR(sales_data_sample[[#This Row],[STATUS]]="Shipped",sales_data_sample[[#This Row],[STATUS]]="Resolved"),sales_data_sample[[#This Row],[SALES]],0)</f>
        <v>0</v>
      </c>
      <c r="F601">
        <v>5</v>
      </c>
      <c r="G601" s="12" t="s">
        <v>876</v>
      </c>
      <c r="H601" s="1" t="s">
        <v>403</v>
      </c>
      <c r="I601">
        <v>2</v>
      </c>
      <c r="J601">
        <v>5</v>
      </c>
      <c r="K601">
        <v>2005</v>
      </c>
      <c r="L601" s="1" t="s">
        <v>799</v>
      </c>
      <c r="M601">
        <v>170</v>
      </c>
      <c r="N601" s="1" t="s">
        <v>873</v>
      </c>
      <c r="O601" s="1" t="s">
        <v>201</v>
      </c>
      <c r="P601" s="1" t="s">
        <v>202</v>
      </c>
      <c r="Q601" s="1" t="s">
        <v>203</v>
      </c>
      <c r="R601" s="1" t="s">
        <v>204</v>
      </c>
      <c r="S601" s="1" t="s">
        <v>205</v>
      </c>
      <c r="T601" s="1" t="s">
        <v>206</v>
      </c>
      <c r="U601" s="1" t="s">
        <v>207</v>
      </c>
      <c r="V601" s="1" t="s">
        <v>120</v>
      </c>
      <c r="W601" s="1" t="s">
        <v>121</v>
      </c>
      <c r="X601" s="1" t="s">
        <v>208</v>
      </c>
      <c r="Y601" s="1" t="s">
        <v>209</v>
      </c>
      <c r="Z601" s="1" t="str">
        <f>TRIM(_xlfn.CONCAT(sales_data_sample[[#This Row],[CONTACTFIRSTNAME]],", ",sales_data_sample[[#This Row],[CONTACTLASTNAME]]))</f>
        <v>Adrian, Huxley</v>
      </c>
      <c r="AA601" s="1" t="s">
        <v>59</v>
      </c>
    </row>
    <row r="602" spans="1:27" x14ac:dyDescent="0.25">
      <c r="A602" s="10">
        <v>10108</v>
      </c>
      <c r="B602" s="9">
        <v>38</v>
      </c>
      <c r="C602" s="9">
        <v>8239</v>
      </c>
      <c r="D602" s="9">
        <f>PRODUCT(sales_data_sample[[#This Row],[QUANTITYORDERED]],sales_data_sample[[#This Row],[PRICEEACH]])</f>
        <v>313082</v>
      </c>
      <c r="E602" s="9">
        <f>IF(OR(sales_data_sample[[#This Row],[STATUS]]="Shipped",sales_data_sample[[#This Row],[STATUS]]="Resolved"),sales_data_sample[[#This Row],[SALES]],0)</f>
        <v>313082</v>
      </c>
      <c r="F602" s="10">
        <v>2</v>
      </c>
      <c r="G602" s="12" t="s">
        <v>589</v>
      </c>
      <c r="H602" s="1" t="s">
        <v>26</v>
      </c>
      <c r="I602">
        <v>1</v>
      </c>
      <c r="J602">
        <v>3</v>
      </c>
      <c r="K602">
        <v>2003</v>
      </c>
      <c r="L602" s="1" t="s">
        <v>239</v>
      </c>
      <c r="M602">
        <v>77</v>
      </c>
      <c r="N602" s="1" t="s">
        <v>877</v>
      </c>
      <c r="O602" s="1" t="s">
        <v>591</v>
      </c>
      <c r="P602" s="1" t="s">
        <v>592</v>
      </c>
      <c r="Q602" s="1" t="s">
        <v>593</v>
      </c>
      <c r="R602" s="1" t="s">
        <v>32</v>
      </c>
      <c r="S602" s="1" t="s">
        <v>594</v>
      </c>
      <c r="T602" s="1" t="s">
        <v>32</v>
      </c>
      <c r="U602" s="1" t="s">
        <v>595</v>
      </c>
      <c r="V602" s="1" t="s">
        <v>596</v>
      </c>
      <c r="W602" s="1" t="s">
        <v>264</v>
      </c>
      <c r="X602" s="1" t="s">
        <v>597</v>
      </c>
      <c r="Y602" s="1" t="s">
        <v>598</v>
      </c>
      <c r="Z602" s="1" t="str">
        <f>TRIM(_xlfn.CONCAT(sales_data_sample[[#This Row],[CONTACTFIRSTNAME]],", ",sales_data_sample[[#This Row],[CONTACTLASTNAME]]))</f>
        <v>Arnold, Cruz</v>
      </c>
      <c r="AA602" s="1" t="s">
        <v>59</v>
      </c>
    </row>
    <row r="603" spans="1:27" x14ac:dyDescent="0.25">
      <c r="A603" s="10">
        <v>10122</v>
      </c>
      <c r="B603" s="9">
        <v>43</v>
      </c>
      <c r="C603" s="9">
        <v>7238</v>
      </c>
      <c r="D603" s="9">
        <f>PRODUCT(sales_data_sample[[#This Row],[QUANTITYORDERED]],sales_data_sample[[#This Row],[PRICEEACH]])</f>
        <v>311234</v>
      </c>
      <c r="E603" s="9">
        <f>IF(OR(sales_data_sample[[#This Row],[STATUS]]="Shipped",sales_data_sample[[#This Row],[STATUS]]="Resolved"),sales_data_sample[[#This Row],[SALES]],0)</f>
        <v>311234</v>
      </c>
      <c r="F603" s="10">
        <v>6</v>
      </c>
      <c r="G603" s="12" t="s">
        <v>599</v>
      </c>
      <c r="H603" s="1" t="s">
        <v>26</v>
      </c>
      <c r="I603">
        <v>2</v>
      </c>
      <c r="J603">
        <v>5</v>
      </c>
      <c r="K603">
        <v>2003</v>
      </c>
      <c r="L603" s="1" t="s">
        <v>239</v>
      </c>
      <c r="M603">
        <v>77</v>
      </c>
      <c r="N603" s="1" t="s">
        <v>877</v>
      </c>
      <c r="O603" s="1" t="s">
        <v>600</v>
      </c>
      <c r="P603" s="1" t="s">
        <v>601</v>
      </c>
      <c r="Q603" s="1" t="s">
        <v>602</v>
      </c>
      <c r="R603" s="1" t="s">
        <v>32</v>
      </c>
      <c r="S603" s="1" t="s">
        <v>603</v>
      </c>
      <c r="T603" s="1" t="s">
        <v>32</v>
      </c>
      <c r="U603" s="1" t="s">
        <v>604</v>
      </c>
      <c r="V603" s="1" t="s">
        <v>47</v>
      </c>
      <c r="W603" s="1" t="s">
        <v>48</v>
      </c>
      <c r="X603" s="1" t="s">
        <v>605</v>
      </c>
      <c r="Y603" s="1" t="s">
        <v>606</v>
      </c>
      <c r="Z603" s="1" t="str">
        <f>TRIM(_xlfn.CONCAT(sales_data_sample[[#This Row],[CONTACTFIRSTNAME]],", ",sales_data_sample[[#This Row],[CONTACTLASTNAME]]))</f>
        <v>Laurence, Lebihan</v>
      </c>
      <c r="AA603" s="1" t="s">
        <v>59</v>
      </c>
    </row>
    <row r="604" spans="1:27" x14ac:dyDescent="0.25">
      <c r="A604" s="10">
        <v>10135</v>
      </c>
      <c r="B604" s="9">
        <v>48</v>
      </c>
      <c r="C604" s="9">
        <v>7931</v>
      </c>
      <c r="D604" s="9">
        <f>PRODUCT(sales_data_sample[[#This Row],[QUANTITYORDERED]],sales_data_sample[[#This Row],[PRICEEACH]])</f>
        <v>380688</v>
      </c>
      <c r="E604" s="9">
        <f>IF(OR(sales_data_sample[[#This Row],[STATUS]]="Shipped",sales_data_sample[[#This Row],[STATUS]]="Resolved"),sales_data_sample[[#This Row],[SALES]],0)</f>
        <v>380688</v>
      </c>
      <c r="F604" s="10">
        <v>3</v>
      </c>
      <c r="G604" s="12" t="s">
        <v>607</v>
      </c>
      <c r="H604" s="1" t="s">
        <v>26</v>
      </c>
      <c r="I604">
        <v>3</v>
      </c>
      <c r="J604">
        <v>7</v>
      </c>
      <c r="K604">
        <v>2003</v>
      </c>
      <c r="L604" s="1" t="s">
        <v>239</v>
      </c>
      <c r="M604">
        <v>77</v>
      </c>
      <c r="N604" s="1" t="s">
        <v>877</v>
      </c>
      <c r="O604" s="1" t="s">
        <v>361</v>
      </c>
      <c r="P604" s="1" t="s">
        <v>362</v>
      </c>
      <c r="Q604" s="1" t="s">
        <v>363</v>
      </c>
      <c r="R604" s="1" t="s">
        <v>32</v>
      </c>
      <c r="S604" s="1" t="s">
        <v>364</v>
      </c>
      <c r="T604" s="1" t="s">
        <v>65</v>
      </c>
      <c r="U604" s="1" t="s">
        <v>145</v>
      </c>
      <c r="V604" s="1" t="s">
        <v>36</v>
      </c>
      <c r="W604" s="1" t="s">
        <v>37</v>
      </c>
      <c r="X604" s="1" t="s">
        <v>365</v>
      </c>
      <c r="Y604" s="1" t="s">
        <v>366</v>
      </c>
      <c r="Z604" s="1" t="str">
        <f>TRIM(_xlfn.CONCAT(sales_data_sample[[#This Row],[CONTACTFIRSTNAME]],", ",sales_data_sample[[#This Row],[CONTACTLASTNAME]]))</f>
        <v>Valarie, Nelson</v>
      </c>
      <c r="AA604" s="1" t="s">
        <v>59</v>
      </c>
    </row>
    <row r="605" spans="1:27" x14ac:dyDescent="0.25">
      <c r="A605" s="10">
        <v>10147</v>
      </c>
      <c r="B605" s="9">
        <v>26</v>
      </c>
      <c r="C605" s="9">
        <v>8239</v>
      </c>
      <c r="D605" s="9">
        <f>PRODUCT(sales_data_sample[[#This Row],[QUANTITYORDERED]],sales_data_sample[[#This Row],[PRICEEACH]])</f>
        <v>214214</v>
      </c>
      <c r="E605" s="9">
        <f>IF(OR(sales_data_sample[[#This Row],[STATUS]]="Shipped",sales_data_sample[[#This Row],[STATUS]]="Resolved"),sales_data_sample[[#This Row],[SALES]],0)</f>
        <v>214214</v>
      </c>
      <c r="F605" s="10">
        <v>3</v>
      </c>
      <c r="G605" s="12" t="s">
        <v>608</v>
      </c>
      <c r="H605" s="1" t="s">
        <v>26</v>
      </c>
      <c r="I605">
        <v>3</v>
      </c>
      <c r="J605">
        <v>9</v>
      </c>
      <c r="K605">
        <v>2003</v>
      </c>
      <c r="L605" s="1" t="s">
        <v>239</v>
      </c>
      <c r="M605">
        <v>77</v>
      </c>
      <c r="N605" s="1" t="s">
        <v>877</v>
      </c>
      <c r="O605" s="1" t="s">
        <v>378</v>
      </c>
      <c r="P605" s="1" t="s">
        <v>157</v>
      </c>
      <c r="Q605" s="1" t="s">
        <v>379</v>
      </c>
      <c r="R605" s="1" t="s">
        <v>32</v>
      </c>
      <c r="S605" s="1" t="s">
        <v>380</v>
      </c>
      <c r="T605" s="1" t="s">
        <v>160</v>
      </c>
      <c r="U605" s="1" t="s">
        <v>381</v>
      </c>
      <c r="V605" s="1" t="s">
        <v>36</v>
      </c>
      <c r="W605" s="1" t="s">
        <v>37</v>
      </c>
      <c r="X605" s="1" t="s">
        <v>365</v>
      </c>
      <c r="Y605" s="1" t="s">
        <v>382</v>
      </c>
      <c r="Z605" s="1" t="str">
        <f>TRIM(_xlfn.CONCAT(sales_data_sample[[#This Row],[CONTACTFIRSTNAME]],", ",sales_data_sample[[#This Row],[CONTACTLASTNAME]]))</f>
        <v>Allen, Nelson</v>
      </c>
      <c r="AA605" s="1" t="s">
        <v>40</v>
      </c>
    </row>
    <row r="606" spans="1:27" x14ac:dyDescent="0.25">
      <c r="A606" s="10">
        <v>10160</v>
      </c>
      <c r="B606" s="9">
        <v>38</v>
      </c>
      <c r="C606" s="9">
        <v>8855</v>
      </c>
      <c r="D606" s="9">
        <f>PRODUCT(sales_data_sample[[#This Row],[QUANTITYORDERED]],sales_data_sample[[#This Row],[PRICEEACH]])</f>
        <v>336490</v>
      </c>
      <c r="E606" s="9">
        <f>IF(OR(sales_data_sample[[#This Row],[STATUS]]="Shipped",sales_data_sample[[#This Row],[STATUS]]="Resolved"),sales_data_sample[[#This Row],[SALES]],0)</f>
        <v>336490</v>
      </c>
      <c r="F606" s="10">
        <v>4</v>
      </c>
      <c r="G606" s="12" t="s">
        <v>728</v>
      </c>
      <c r="H606" s="1" t="s">
        <v>26</v>
      </c>
      <c r="I606">
        <v>4</v>
      </c>
      <c r="J606">
        <v>10</v>
      </c>
      <c r="K606">
        <v>2003</v>
      </c>
      <c r="L606" s="1" t="s">
        <v>239</v>
      </c>
      <c r="M606">
        <v>77</v>
      </c>
      <c r="N606" s="1" t="s">
        <v>877</v>
      </c>
      <c r="O606" s="1" t="s">
        <v>486</v>
      </c>
      <c r="P606" s="1" t="s">
        <v>487</v>
      </c>
      <c r="Q606" s="1" t="s">
        <v>488</v>
      </c>
      <c r="R606" s="1" t="s">
        <v>32</v>
      </c>
      <c r="S606" s="1" t="s">
        <v>489</v>
      </c>
      <c r="T606" s="1" t="s">
        <v>65</v>
      </c>
      <c r="U606" s="1" t="s">
        <v>32</v>
      </c>
      <c r="V606" s="1" t="s">
        <v>36</v>
      </c>
      <c r="W606" s="1" t="s">
        <v>37</v>
      </c>
      <c r="X606" s="1" t="s">
        <v>490</v>
      </c>
      <c r="Y606" s="1" t="s">
        <v>130</v>
      </c>
      <c r="Z606" s="1" t="str">
        <f>TRIM(_xlfn.CONCAT(sales_data_sample[[#This Row],[CONTACTFIRSTNAME]],", ",sales_data_sample[[#This Row],[CONTACTLASTNAME]]))</f>
        <v>Michael, Chandler</v>
      </c>
      <c r="AA606" s="1" t="s">
        <v>59</v>
      </c>
    </row>
    <row r="607" spans="1:27" x14ac:dyDescent="0.25">
      <c r="A607" s="10">
        <v>10170</v>
      </c>
      <c r="B607" s="9">
        <v>20</v>
      </c>
      <c r="C607" s="9">
        <v>6314</v>
      </c>
      <c r="D607" s="9">
        <f>PRODUCT(sales_data_sample[[#This Row],[QUANTITYORDERED]],sales_data_sample[[#This Row],[PRICEEACH]])</f>
        <v>126280</v>
      </c>
      <c r="E607" s="9">
        <f>IF(OR(sales_data_sample[[#This Row],[STATUS]]="Shipped",sales_data_sample[[#This Row],[STATUS]]="Resolved"),sales_data_sample[[#This Row],[SALES]],0)</f>
        <v>126280</v>
      </c>
      <c r="F607" s="10">
        <v>2</v>
      </c>
      <c r="G607" s="12" t="s">
        <v>609</v>
      </c>
      <c r="H607" s="1" t="s">
        <v>26</v>
      </c>
      <c r="I607">
        <v>4</v>
      </c>
      <c r="J607">
        <v>11</v>
      </c>
      <c r="K607">
        <v>2003</v>
      </c>
      <c r="L607" s="1" t="s">
        <v>239</v>
      </c>
      <c r="M607">
        <v>77</v>
      </c>
      <c r="N607" s="1" t="s">
        <v>877</v>
      </c>
      <c r="O607" s="1" t="s">
        <v>564</v>
      </c>
      <c r="P607" s="1" t="s">
        <v>565</v>
      </c>
      <c r="Q607" s="1" t="s">
        <v>566</v>
      </c>
      <c r="R607" s="1" t="s">
        <v>32</v>
      </c>
      <c r="S607" s="1" t="s">
        <v>567</v>
      </c>
      <c r="T607" s="1" t="s">
        <v>32</v>
      </c>
      <c r="U607" s="1" t="s">
        <v>568</v>
      </c>
      <c r="V607" s="1" t="s">
        <v>196</v>
      </c>
      <c r="W607" s="1" t="s">
        <v>48</v>
      </c>
      <c r="X607" s="1" t="s">
        <v>569</v>
      </c>
      <c r="Y607" s="1" t="s">
        <v>570</v>
      </c>
      <c r="Z607" s="1" t="str">
        <f>TRIM(_xlfn.CONCAT(sales_data_sample[[#This Row],[CONTACTFIRSTNAME]],", ",sales_data_sample[[#This Row],[CONTACTLASTNAME]]))</f>
        <v>Roland, Mendel</v>
      </c>
      <c r="AA607" s="1" t="s">
        <v>40</v>
      </c>
    </row>
    <row r="608" spans="1:27" x14ac:dyDescent="0.25">
      <c r="A608" s="10">
        <v>10181</v>
      </c>
      <c r="B608" s="9">
        <v>22</v>
      </c>
      <c r="C608" s="9">
        <v>7392</v>
      </c>
      <c r="D608" s="9">
        <f>PRODUCT(sales_data_sample[[#This Row],[QUANTITYORDERED]],sales_data_sample[[#This Row],[PRICEEACH]])</f>
        <v>162624</v>
      </c>
      <c r="E608" s="9">
        <f>IF(OR(sales_data_sample[[#This Row],[STATUS]]="Shipped",sales_data_sample[[#This Row],[STATUS]]="Resolved"),sales_data_sample[[#This Row],[SALES]],0)</f>
        <v>162624</v>
      </c>
      <c r="F608" s="10">
        <v>10</v>
      </c>
      <c r="G608" s="12" t="s">
        <v>610</v>
      </c>
      <c r="H608" s="1" t="s">
        <v>26</v>
      </c>
      <c r="I608">
        <v>4</v>
      </c>
      <c r="J608">
        <v>11</v>
      </c>
      <c r="K608">
        <v>2003</v>
      </c>
      <c r="L608" s="1" t="s">
        <v>239</v>
      </c>
      <c r="M608">
        <v>77</v>
      </c>
      <c r="N608" s="1" t="s">
        <v>877</v>
      </c>
      <c r="O608" s="1" t="s">
        <v>92</v>
      </c>
      <c r="P608" s="1" t="s">
        <v>93</v>
      </c>
      <c r="Q608" s="1" t="s">
        <v>94</v>
      </c>
      <c r="R608" s="1" t="s">
        <v>32</v>
      </c>
      <c r="S608" s="1" t="s">
        <v>95</v>
      </c>
      <c r="T608" s="1" t="s">
        <v>32</v>
      </c>
      <c r="U608" s="1" t="s">
        <v>96</v>
      </c>
      <c r="V608" s="1" t="s">
        <v>97</v>
      </c>
      <c r="W608" s="1" t="s">
        <v>48</v>
      </c>
      <c r="X608" s="1" t="s">
        <v>98</v>
      </c>
      <c r="Y608" s="1" t="s">
        <v>99</v>
      </c>
      <c r="Z608" s="1" t="str">
        <f>TRIM(_xlfn.CONCAT(sales_data_sample[[#This Row],[CONTACTFIRSTNAME]],", ",sales_data_sample[[#This Row],[CONTACTLASTNAME]]))</f>
        <v>Veysel, Oeztan</v>
      </c>
      <c r="AA608" s="1" t="s">
        <v>40</v>
      </c>
    </row>
    <row r="609" spans="1:27" x14ac:dyDescent="0.25">
      <c r="A609" s="10">
        <v>10192</v>
      </c>
      <c r="B609" s="9">
        <v>45</v>
      </c>
      <c r="C609" s="9">
        <v>9086</v>
      </c>
      <c r="D609" s="9">
        <f>PRODUCT(sales_data_sample[[#This Row],[QUANTITYORDERED]],sales_data_sample[[#This Row],[PRICEEACH]])</f>
        <v>408870</v>
      </c>
      <c r="E609" s="9">
        <f>IF(OR(sales_data_sample[[#This Row],[STATUS]]="Shipped",sales_data_sample[[#This Row],[STATUS]]="Resolved"),sales_data_sample[[#This Row],[SALES]],0)</f>
        <v>408870</v>
      </c>
      <c r="F609" s="10">
        <v>15</v>
      </c>
      <c r="G609" s="12" t="s">
        <v>611</v>
      </c>
      <c r="H609" s="1" t="s">
        <v>26</v>
      </c>
      <c r="I609">
        <v>4</v>
      </c>
      <c r="J609">
        <v>11</v>
      </c>
      <c r="K609">
        <v>2003</v>
      </c>
      <c r="L609" s="1" t="s">
        <v>239</v>
      </c>
      <c r="M609">
        <v>77</v>
      </c>
      <c r="N609" s="1" t="s">
        <v>877</v>
      </c>
      <c r="O609" s="1" t="s">
        <v>368</v>
      </c>
      <c r="P609" s="1" t="s">
        <v>369</v>
      </c>
      <c r="Q609" s="1" t="s">
        <v>370</v>
      </c>
      <c r="R609" s="1" t="s">
        <v>32</v>
      </c>
      <c r="S609" s="1" t="s">
        <v>371</v>
      </c>
      <c r="T609" s="1" t="s">
        <v>372</v>
      </c>
      <c r="U609" s="1" t="s">
        <v>373</v>
      </c>
      <c r="V609" s="1" t="s">
        <v>36</v>
      </c>
      <c r="W609" s="1" t="s">
        <v>37</v>
      </c>
      <c r="X609" s="1" t="s">
        <v>67</v>
      </c>
      <c r="Y609" s="1" t="s">
        <v>366</v>
      </c>
      <c r="Z609" s="1" t="str">
        <f>TRIM(_xlfn.CONCAT(sales_data_sample[[#This Row],[CONTACTFIRSTNAME]],", ",sales_data_sample[[#This Row],[CONTACTLASTNAME]]))</f>
        <v>Valarie, Young</v>
      </c>
      <c r="AA609" s="1" t="s">
        <v>59</v>
      </c>
    </row>
    <row r="610" spans="1:27" x14ac:dyDescent="0.25">
      <c r="A610" s="10">
        <v>10203</v>
      </c>
      <c r="B610" s="9">
        <v>45</v>
      </c>
      <c r="C610" s="9">
        <v>8547</v>
      </c>
      <c r="D610" s="9">
        <f>PRODUCT(sales_data_sample[[#This Row],[QUANTITYORDERED]],sales_data_sample[[#This Row],[PRICEEACH]])</f>
        <v>384615</v>
      </c>
      <c r="E610" s="9">
        <f>IF(OR(sales_data_sample[[#This Row],[STATUS]]="Shipped",sales_data_sample[[#This Row],[STATUS]]="Resolved"),sales_data_sample[[#This Row],[SALES]],0)</f>
        <v>384615</v>
      </c>
      <c r="F610" s="10">
        <v>4</v>
      </c>
      <c r="G610" s="12" t="s">
        <v>620</v>
      </c>
      <c r="H610" s="1" t="s">
        <v>26</v>
      </c>
      <c r="I610">
        <v>4</v>
      </c>
      <c r="J610">
        <v>12</v>
      </c>
      <c r="K610">
        <v>2003</v>
      </c>
      <c r="L610" s="1" t="s">
        <v>239</v>
      </c>
      <c r="M610">
        <v>77</v>
      </c>
      <c r="N610" s="1" t="s">
        <v>877</v>
      </c>
      <c r="O610" s="1" t="s">
        <v>230</v>
      </c>
      <c r="P610" s="1" t="s">
        <v>231</v>
      </c>
      <c r="Q610" s="1" t="s">
        <v>232</v>
      </c>
      <c r="R610" s="1" t="s">
        <v>32</v>
      </c>
      <c r="S610" s="1" t="s">
        <v>233</v>
      </c>
      <c r="T610" s="1" t="s">
        <v>32</v>
      </c>
      <c r="U610" s="1" t="s">
        <v>234</v>
      </c>
      <c r="V610" s="1" t="s">
        <v>235</v>
      </c>
      <c r="W610" s="1" t="s">
        <v>48</v>
      </c>
      <c r="X610" s="1" t="s">
        <v>236</v>
      </c>
      <c r="Y610" s="1" t="s">
        <v>237</v>
      </c>
      <c r="Z610" s="1" t="str">
        <f>TRIM(_xlfn.CONCAT(sales_data_sample[[#This Row],[CONTACTFIRSTNAME]],", ",sales_data_sample[[#This Row],[CONTACTLASTNAME]]))</f>
        <v>Diego, Freyre</v>
      </c>
      <c r="AA610" s="1" t="s">
        <v>59</v>
      </c>
    </row>
    <row r="611" spans="1:27" x14ac:dyDescent="0.25">
      <c r="A611" s="10">
        <v>10212</v>
      </c>
      <c r="B611" s="9">
        <v>20</v>
      </c>
      <c r="C611" s="9">
        <v>6699</v>
      </c>
      <c r="D611" s="9">
        <f>PRODUCT(sales_data_sample[[#This Row],[QUANTITYORDERED]],sales_data_sample[[#This Row],[PRICEEACH]])</f>
        <v>133980</v>
      </c>
      <c r="E611" s="9">
        <f>IF(OR(sales_data_sample[[#This Row],[STATUS]]="Shipped",sales_data_sample[[#This Row],[STATUS]]="Resolved"),sales_data_sample[[#This Row],[SALES]],0)</f>
        <v>133980</v>
      </c>
      <c r="F611" s="10">
        <v>14</v>
      </c>
      <c r="G611" s="12" t="s">
        <v>729</v>
      </c>
      <c r="H611" s="1" t="s">
        <v>26</v>
      </c>
      <c r="I611">
        <v>1</v>
      </c>
      <c r="J611">
        <v>1</v>
      </c>
      <c r="K611">
        <v>2004</v>
      </c>
      <c r="L611" s="1" t="s">
        <v>239</v>
      </c>
      <c r="M611">
        <v>77</v>
      </c>
      <c r="N611" s="1" t="s">
        <v>877</v>
      </c>
      <c r="O611" s="1" t="s">
        <v>230</v>
      </c>
      <c r="P611" s="1" t="s">
        <v>231</v>
      </c>
      <c r="Q611" s="1" t="s">
        <v>232</v>
      </c>
      <c r="R611" s="1" t="s">
        <v>32</v>
      </c>
      <c r="S611" s="1" t="s">
        <v>233</v>
      </c>
      <c r="T611" s="1" t="s">
        <v>32</v>
      </c>
      <c r="U611" s="1" t="s">
        <v>234</v>
      </c>
      <c r="V611" s="1" t="s">
        <v>235</v>
      </c>
      <c r="W611" s="1" t="s">
        <v>48</v>
      </c>
      <c r="X611" s="1" t="s">
        <v>236</v>
      </c>
      <c r="Y611" s="1" t="s">
        <v>237</v>
      </c>
      <c r="Z611" s="1" t="str">
        <f>TRIM(_xlfn.CONCAT(sales_data_sample[[#This Row],[CONTACTFIRSTNAME]],", ",sales_data_sample[[#This Row],[CONTACTLASTNAME]]))</f>
        <v>Diego, Freyre</v>
      </c>
      <c r="AA611" s="1" t="s">
        <v>40</v>
      </c>
    </row>
    <row r="612" spans="1:27" x14ac:dyDescent="0.25">
      <c r="A612" s="10">
        <v>10225</v>
      </c>
      <c r="B612" s="9">
        <v>47</v>
      </c>
      <c r="C612" s="9">
        <v>6468</v>
      </c>
      <c r="D612" s="9">
        <f>PRODUCT(sales_data_sample[[#This Row],[QUANTITYORDERED]],sales_data_sample[[#This Row],[PRICEEACH]])</f>
        <v>303996</v>
      </c>
      <c r="E612" s="9">
        <f>IF(OR(sales_data_sample[[#This Row],[STATUS]]="Shipped",sales_data_sample[[#This Row],[STATUS]]="Resolved"),sales_data_sample[[#This Row],[SALES]],0)</f>
        <v>303996</v>
      </c>
      <c r="F612" s="10">
        <v>5</v>
      </c>
      <c r="G612" s="12" t="s">
        <v>621</v>
      </c>
      <c r="H612" s="1" t="s">
        <v>26</v>
      </c>
      <c r="I612">
        <v>1</v>
      </c>
      <c r="J612">
        <v>2</v>
      </c>
      <c r="K612">
        <v>2004</v>
      </c>
      <c r="L612" s="1" t="s">
        <v>239</v>
      </c>
      <c r="M612">
        <v>77</v>
      </c>
      <c r="N612" s="1" t="s">
        <v>877</v>
      </c>
      <c r="O612" s="1" t="s">
        <v>622</v>
      </c>
      <c r="P612" s="1" t="s">
        <v>623</v>
      </c>
      <c r="Q612" s="1" t="s">
        <v>624</v>
      </c>
      <c r="R612" s="1" t="s">
        <v>32</v>
      </c>
      <c r="S612" s="1" t="s">
        <v>625</v>
      </c>
      <c r="T612" s="1" t="s">
        <v>32</v>
      </c>
      <c r="U612" s="1" t="s">
        <v>626</v>
      </c>
      <c r="V612" s="1" t="s">
        <v>627</v>
      </c>
      <c r="W612" s="1" t="s">
        <v>48</v>
      </c>
      <c r="X612" s="1" t="s">
        <v>628</v>
      </c>
      <c r="Y612" s="1" t="s">
        <v>130</v>
      </c>
      <c r="Z612" s="1" t="str">
        <f>TRIM(_xlfn.CONCAT(sales_data_sample[[#This Row],[CONTACTFIRSTNAME]],", ",sales_data_sample[[#This Row],[CONTACTLASTNAME]]))</f>
        <v>Michael, Holz</v>
      </c>
      <c r="AA612" s="1" t="s">
        <v>59</v>
      </c>
    </row>
    <row r="613" spans="1:27" x14ac:dyDescent="0.25">
      <c r="A613" s="10">
        <v>10239</v>
      </c>
      <c r="B613" s="9">
        <v>46</v>
      </c>
      <c r="C613" s="9">
        <v>7392</v>
      </c>
      <c r="D613" s="9">
        <f>PRODUCT(sales_data_sample[[#This Row],[QUANTITYORDERED]],sales_data_sample[[#This Row],[PRICEEACH]])</f>
        <v>340032</v>
      </c>
      <c r="E613" s="9">
        <f>IF(OR(sales_data_sample[[#This Row],[STATUS]]="Shipped",sales_data_sample[[#This Row],[STATUS]]="Resolved"),sales_data_sample[[#This Row],[SALES]],0)</f>
        <v>340032</v>
      </c>
      <c r="F613" s="10">
        <v>4</v>
      </c>
      <c r="G613" s="12" t="s">
        <v>760</v>
      </c>
      <c r="H613" s="1" t="s">
        <v>26</v>
      </c>
      <c r="I613">
        <v>2</v>
      </c>
      <c r="J613">
        <v>4</v>
      </c>
      <c r="K613">
        <v>2004</v>
      </c>
      <c r="L613" s="1" t="s">
        <v>239</v>
      </c>
      <c r="M613">
        <v>77</v>
      </c>
      <c r="N613" s="1" t="s">
        <v>877</v>
      </c>
      <c r="O613" s="1" t="s">
        <v>537</v>
      </c>
      <c r="P613" s="1" t="s">
        <v>538</v>
      </c>
      <c r="Q613" s="1" t="s">
        <v>539</v>
      </c>
      <c r="R613" s="1" t="s">
        <v>32</v>
      </c>
      <c r="S613" s="1" t="s">
        <v>540</v>
      </c>
      <c r="T613" s="1" t="s">
        <v>32</v>
      </c>
      <c r="U613" s="1" t="s">
        <v>541</v>
      </c>
      <c r="V613" s="1" t="s">
        <v>170</v>
      </c>
      <c r="W613" s="1" t="s">
        <v>48</v>
      </c>
      <c r="X613" s="1" t="s">
        <v>542</v>
      </c>
      <c r="Y613" s="1" t="s">
        <v>543</v>
      </c>
      <c r="Z613" s="1" t="str">
        <f>TRIM(_xlfn.CONCAT(sales_data_sample[[#This Row],[CONTACTFIRSTNAME]],", ",sales_data_sample[[#This Row],[CONTACTLASTNAME]]))</f>
        <v>Pirkko, Koskitalo</v>
      </c>
      <c r="AA613" s="1" t="s">
        <v>59</v>
      </c>
    </row>
    <row r="614" spans="1:27" x14ac:dyDescent="0.25">
      <c r="A614" s="10">
        <v>10253</v>
      </c>
      <c r="B614" s="9">
        <v>23</v>
      </c>
      <c r="C614" s="9">
        <v>8393</v>
      </c>
      <c r="D614" s="9">
        <f>PRODUCT(sales_data_sample[[#This Row],[QUANTITYORDERED]],sales_data_sample[[#This Row],[PRICEEACH]])</f>
        <v>193039</v>
      </c>
      <c r="E614" s="9">
        <f>IF(OR(sales_data_sample[[#This Row],[STATUS]]="Shipped",sales_data_sample[[#This Row],[STATUS]]="Resolved"),sales_data_sample[[#This Row],[SALES]],0)</f>
        <v>0</v>
      </c>
      <c r="F614" s="10">
        <v>9</v>
      </c>
      <c r="G614" s="12" t="s">
        <v>630</v>
      </c>
      <c r="H614" s="1" t="s">
        <v>461</v>
      </c>
      <c r="I614">
        <v>2</v>
      </c>
      <c r="J614">
        <v>6</v>
      </c>
      <c r="K614">
        <v>2004</v>
      </c>
      <c r="L614" s="1" t="s">
        <v>239</v>
      </c>
      <c r="M614">
        <v>77</v>
      </c>
      <c r="N614" s="1" t="s">
        <v>877</v>
      </c>
      <c r="O614" s="1" t="s">
        <v>220</v>
      </c>
      <c r="P614" s="1" t="s">
        <v>221</v>
      </c>
      <c r="Q614" s="1" t="s">
        <v>222</v>
      </c>
      <c r="R614" s="1" t="s">
        <v>32</v>
      </c>
      <c r="S614" s="1" t="s">
        <v>223</v>
      </c>
      <c r="T614" s="1" t="s">
        <v>32</v>
      </c>
      <c r="U614" s="1" t="s">
        <v>224</v>
      </c>
      <c r="V614" s="1" t="s">
        <v>225</v>
      </c>
      <c r="W614" s="1" t="s">
        <v>48</v>
      </c>
      <c r="X614" s="1" t="s">
        <v>226</v>
      </c>
      <c r="Y614" s="1" t="s">
        <v>227</v>
      </c>
      <c r="Z614" s="1" t="str">
        <f>TRIM(_xlfn.CONCAT(sales_data_sample[[#This Row],[CONTACTFIRSTNAME]],", ",sales_data_sample[[#This Row],[CONTACTLASTNAME]]))</f>
        <v>Elizabeth, Devon</v>
      </c>
      <c r="AA614" s="1" t="s">
        <v>40</v>
      </c>
    </row>
    <row r="615" spans="1:27" x14ac:dyDescent="0.25">
      <c r="A615" s="10">
        <v>10266</v>
      </c>
      <c r="B615" s="9">
        <v>33</v>
      </c>
      <c r="C615" s="9">
        <v>7469</v>
      </c>
      <c r="D615" s="9">
        <f>PRODUCT(sales_data_sample[[#This Row],[QUANTITYORDERED]],sales_data_sample[[#This Row],[PRICEEACH]])</f>
        <v>246477</v>
      </c>
      <c r="E615" s="9">
        <f>IF(OR(sales_data_sample[[#This Row],[STATUS]]="Shipped",sales_data_sample[[#This Row],[STATUS]]="Resolved"),sales_data_sample[[#This Row],[SALES]],0)</f>
        <v>246477</v>
      </c>
      <c r="F615" s="10">
        <v>10</v>
      </c>
      <c r="G615" s="12" t="s">
        <v>631</v>
      </c>
      <c r="H615" s="1" t="s">
        <v>26</v>
      </c>
      <c r="I615">
        <v>3</v>
      </c>
      <c r="J615">
        <v>7</v>
      </c>
      <c r="K615">
        <v>2004</v>
      </c>
      <c r="L615" s="1" t="s">
        <v>239</v>
      </c>
      <c r="M615">
        <v>77</v>
      </c>
      <c r="N615" s="1" t="s">
        <v>877</v>
      </c>
      <c r="O615" s="1" t="s">
        <v>632</v>
      </c>
      <c r="P615" s="1" t="s">
        <v>633</v>
      </c>
      <c r="Q615" s="1" t="s">
        <v>634</v>
      </c>
      <c r="R615" s="1" t="s">
        <v>32</v>
      </c>
      <c r="S615" s="1" t="s">
        <v>635</v>
      </c>
      <c r="T615" s="1" t="s">
        <v>32</v>
      </c>
      <c r="U615" s="1" t="s">
        <v>636</v>
      </c>
      <c r="V615" s="1" t="s">
        <v>343</v>
      </c>
      <c r="W615" s="1" t="s">
        <v>48</v>
      </c>
      <c r="X615" s="1" t="s">
        <v>637</v>
      </c>
      <c r="Y615" s="1" t="s">
        <v>638</v>
      </c>
      <c r="Z615" s="1" t="str">
        <f>TRIM(_xlfn.CONCAT(sales_data_sample[[#This Row],[CONTACTFIRSTNAME]],", ",sales_data_sample[[#This Row],[CONTACTLASTNAME]]))</f>
        <v>Maurizio, Moroni</v>
      </c>
      <c r="AA615" s="1" t="s">
        <v>40</v>
      </c>
    </row>
    <row r="616" spans="1:27" x14ac:dyDescent="0.25">
      <c r="A616" s="10">
        <v>10278</v>
      </c>
      <c r="B616" s="9">
        <v>29</v>
      </c>
      <c r="C616" s="9">
        <v>9086</v>
      </c>
      <c r="D616" s="9">
        <f>PRODUCT(sales_data_sample[[#This Row],[QUANTITYORDERED]],sales_data_sample[[#This Row],[PRICEEACH]])</f>
        <v>263494</v>
      </c>
      <c r="E616" s="9">
        <f>IF(OR(sales_data_sample[[#This Row],[STATUS]]="Shipped",sales_data_sample[[#This Row],[STATUS]]="Resolved"),sales_data_sample[[#This Row],[SALES]],0)</f>
        <v>263494</v>
      </c>
      <c r="F616" s="10">
        <v>10</v>
      </c>
      <c r="G616" s="12" t="s">
        <v>778</v>
      </c>
      <c r="H616" s="1" t="s">
        <v>26</v>
      </c>
      <c r="I616">
        <v>3</v>
      </c>
      <c r="J616">
        <v>8</v>
      </c>
      <c r="K616">
        <v>2004</v>
      </c>
      <c r="L616" s="1" t="s">
        <v>239</v>
      </c>
      <c r="M616">
        <v>77</v>
      </c>
      <c r="N616" s="1" t="s">
        <v>877</v>
      </c>
      <c r="O616" s="1" t="s">
        <v>779</v>
      </c>
      <c r="P616" s="1" t="s">
        <v>780</v>
      </c>
      <c r="Q616" s="1" t="s">
        <v>781</v>
      </c>
      <c r="R616" s="1" t="s">
        <v>32</v>
      </c>
      <c r="S616" s="1" t="s">
        <v>782</v>
      </c>
      <c r="T616" s="1" t="s">
        <v>783</v>
      </c>
      <c r="U616" s="1" t="s">
        <v>784</v>
      </c>
      <c r="V616" s="1" t="s">
        <v>36</v>
      </c>
      <c r="W616" s="1" t="s">
        <v>37</v>
      </c>
      <c r="X616" s="1" t="s">
        <v>146</v>
      </c>
      <c r="Y616" s="1" t="s">
        <v>551</v>
      </c>
      <c r="Z616" s="1" t="str">
        <f>TRIM(_xlfn.CONCAT(sales_data_sample[[#This Row],[CONTACTFIRSTNAME]],", ",sales_data_sample[[#This Row],[CONTACTLASTNAME]]))</f>
        <v>Sue, King</v>
      </c>
      <c r="AA616" s="1" t="s">
        <v>40</v>
      </c>
    </row>
    <row r="617" spans="1:27" x14ac:dyDescent="0.25">
      <c r="A617" s="10">
        <v>10287</v>
      </c>
      <c r="B617" s="9">
        <v>44</v>
      </c>
      <c r="C617" s="9">
        <v>8239</v>
      </c>
      <c r="D617" s="9">
        <f>PRODUCT(sales_data_sample[[#This Row],[QUANTITYORDERED]],sales_data_sample[[#This Row],[PRICEEACH]])</f>
        <v>362516</v>
      </c>
      <c r="E617" s="9">
        <f>IF(OR(sales_data_sample[[#This Row],[STATUS]]="Shipped",sales_data_sample[[#This Row],[STATUS]]="Resolved"),sales_data_sample[[#This Row],[SALES]],0)</f>
        <v>362516</v>
      </c>
      <c r="F617" s="10">
        <v>8</v>
      </c>
      <c r="G617" s="12" t="s">
        <v>645</v>
      </c>
      <c r="H617" s="1" t="s">
        <v>26</v>
      </c>
      <c r="I617">
        <v>3</v>
      </c>
      <c r="J617">
        <v>8</v>
      </c>
      <c r="K617">
        <v>2004</v>
      </c>
      <c r="L617" s="1" t="s">
        <v>239</v>
      </c>
      <c r="M617">
        <v>77</v>
      </c>
      <c r="N617" s="1" t="s">
        <v>877</v>
      </c>
      <c r="O617" s="1" t="s">
        <v>622</v>
      </c>
      <c r="P617" s="1" t="s">
        <v>623</v>
      </c>
      <c r="Q617" s="1" t="s">
        <v>624</v>
      </c>
      <c r="R617" s="1" t="s">
        <v>32</v>
      </c>
      <c r="S617" s="1" t="s">
        <v>625</v>
      </c>
      <c r="T617" s="1" t="s">
        <v>32</v>
      </c>
      <c r="U617" s="1" t="s">
        <v>626</v>
      </c>
      <c r="V617" s="1" t="s">
        <v>627</v>
      </c>
      <c r="W617" s="1" t="s">
        <v>48</v>
      </c>
      <c r="X617" s="1" t="s">
        <v>628</v>
      </c>
      <c r="Y617" s="1" t="s">
        <v>130</v>
      </c>
      <c r="Z617" s="1" t="str">
        <f>TRIM(_xlfn.CONCAT(sales_data_sample[[#This Row],[CONTACTFIRSTNAME]],", ",sales_data_sample[[#This Row],[CONTACTLASTNAME]]))</f>
        <v>Michael, Holz</v>
      </c>
      <c r="AA617" s="1" t="s">
        <v>59</v>
      </c>
    </row>
    <row r="618" spans="1:27" x14ac:dyDescent="0.25">
      <c r="A618" s="10">
        <v>10300</v>
      </c>
      <c r="B618" s="9">
        <v>41</v>
      </c>
      <c r="C618" s="9">
        <v>924</v>
      </c>
      <c r="D618" s="9">
        <f>PRODUCT(sales_data_sample[[#This Row],[QUANTITYORDERED]],sales_data_sample[[#This Row],[PRICEEACH]])</f>
        <v>37884</v>
      </c>
      <c r="E618" s="9">
        <f>IF(OR(sales_data_sample[[#This Row],[STATUS]]="Shipped",sales_data_sample[[#This Row],[STATUS]]="Resolved"),sales_data_sample[[#This Row],[SALES]],0)</f>
        <v>37884</v>
      </c>
      <c r="F618" s="10">
        <v>1</v>
      </c>
      <c r="G618" s="12" t="s">
        <v>646</v>
      </c>
      <c r="H618" s="1" t="s">
        <v>26</v>
      </c>
      <c r="I618">
        <v>4</v>
      </c>
      <c r="J618">
        <v>10</v>
      </c>
      <c r="K618">
        <v>2003</v>
      </c>
      <c r="L618" s="1" t="s">
        <v>239</v>
      </c>
      <c r="M618">
        <v>77</v>
      </c>
      <c r="N618" s="1" t="s">
        <v>877</v>
      </c>
      <c r="O618" s="1" t="s">
        <v>647</v>
      </c>
      <c r="P618" s="1" t="s">
        <v>648</v>
      </c>
      <c r="Q618" s="1" t="s">
        <v>649</v>
      </c>
      <c r="R618" s="1" t="s">
        <v>32</v>
      </c>
      <c r="S618" s="1" t="s">
        <v>650</v>
      </c>
      <c r="T618" s="1" t="s">
        <v>32</v>
      </c>
      <c r="U618" s="1" t="s">
        <v>651</v>
      </c>
      <c r="V618" s="1" t="s">
        <v>617</v>
      </c>
      <c r="W618" s="1" t="s">
        <v>48</v>
      </c>
      <c r="X618" s="1" t="s">
        <v>652</v>
      </c>
      <c r="Y618" s="1" t="s">
        <v>570</v>
      </c>
      <c r="Z618" s="1" t="str">
        <f>TRIM(_xlfn.CONCAT(sales_data_sample[[#This Row],[CONTACTFIRSTNAME]],", ",sales_data_sample[[#This Row],[CONTACTLASTNAME]]))</f>
        <v>Roland, Keitel</v>
      </c>
      <c r="AA618" s="1" t="s">
        <v>59</v>
      </c>
    </row>
    <row r="619" spans="1:27" x14ac:dyDescent="0.25">
      <c r="A619" s="10">
        <v>10310</v>
      </c>
      <c r="B619" s="9">
        <v>20</v>
      </c>
      <c r="C619" s="9">
        <v>9163</v>
      </c>
      <c r="D619" s="9">
        <f>PRODUCT(sales_data_sample[[#This Row],[QUANTITYORDERED]],sales_data_sample[[#This Row],[PRICEEACH]])</f>
        <v>183260</v>
      </c>
      <c r="E619" s="9">
        <f>IF(OR(sales_data_sample[[#This Row],[STATUS]]="Shipped",sales_data_sample[[#This Row],[STATUS]]="Resolved"),sales_data_sample[[#This Row],[SALES]],0)</f>
        <v>183260</v>
      </c>
      <c r="F619" s="10">
        <v>6</v>
      </c>
      <c r="G619" s="12" t="s">
        <v>653</v>
      </c>
      <c r="H619" s="1" t="s">
        <v>26</v>
      </c>
      <c r="I619">
        <v>4</v>
      </c>
      <c r="J619">
        <v>10</v>
      </c>
      <c r="K619">
        <v>2004</v>
      </c>
      <c r="L619" s="1" t="s">
        <v>239</v>
      </c>
      <c r="M619">
        <v>77</v>
      </c>
      <c r="N619" s="1" t="s">
        <v>877</v>
      </c>
      <c r="O619" s="1" t="s">
        <v>612</v>
      </c>
      <c r="P619" s="1" t="s">
        <v>613</v>
      </c>
      <c r="Q619" s="1" t="s">
        <v>614</v>
      </c>
      <c r="R619" s="1" t="s">
        <v>32</v>
      </c>
      <c r="S619" s="1" t="s">
        <v>615</v>
      </c>
      <c r="T619" s="1" t="s">
        <v>32</v>
      </c>
      <c r="U619" s="1" t="s">
        <v>616</v>
      </c>
      <c r="V619" s="1" t="s">
        <v>617</v>
      </c>
      <c r="W619" s="1" t="s">
        <v>48</v>
      </c>
      <c r="X619" s="1" t="s">
        <v>618</v>
      </c>
      <c r="Y619" s="1" t="s">
        <v>619</v>
      </c>
      <c r="Z619" s="1" t="str">
        <f>TRIM(_xlfn.CONCAT(sales_data_sample[[#This Row],[CONTACTFIRSTNAME]],", ",sales_data_sample[[#This Row],[CONTACTLASTNAME]]))</f>
        <v>Henriette, Pfalzheim</v>
      </c>
      <c r="AA619" s="1" t="s">
        <v>40</v>
      </c>
    </row>
    <row r="620" spans="1:27" x14ac:dyDescent="0.25">
      <c r="A620" s="10">
        <v>10321</v>
      </c>
      <c r="B620" s="9">
        <v>37</v>
      </c>
      <c r="C620" s="9">
        <v>7854</v>
      </c>
      <c r="D620" s="9">
        <f>PRODUCT(sales_data_sample[[#This Row],[QUANTITYORDERED]],sales_data_sample[[#This Row],[PRICEEACH]])</f>
        <v>290598</v>
      </c>
      <c r="E620" s="9">
        <f>IF(OR(sales_data_sample[[#This Row],[STATUS]]="Shipped",sales_data_sample[[#This Row],[STATUS]]="Resolved"),sales_data_sample[[#This Row],[SALES]],0)</f>
        <v>290598</v>
      </c>
      <c r="F620" s="10">
        <v>14</v>
      </c>
      <c r="G620" s="12" t="s">
        <v>367</v>
      </c>
      <c r="H620" s="1" t="s">
        <v>26</v>
      </c>
      <c r="I620">
        <v>4</v>
      </c>
      <c r="J620">
        <v>11</v>
      </c>
      <c r="K620">
        <v>2004</v>
      </c>
      <c r="L620" s="1" t="s">
        <v>239</v>
      </c>
      <c r="M620">
        <v>77</v>
      </c>
      <c r="N620" s="1" t="s">
        <v>877</v>
      </c>
      <c r="O620" s="1" t="s">
        <v>212</v>
      </c>
      <c r="P620" s="1" t="s">
        <v>213</v>
      </c>
      <c r="Q620" s="1" t="s">
        <v>214</v>
      </c>
      <c r="R620" s="1" t="s">
        <v>32</v>
      </c>
      <c r="S620" s="1" t="s">
        <v>215</v>
      </c>
      <c r="T620" s="1" t="s">
        <v>160</v>
      </c>
      <c r="U620" s="1" t="s">
        <v>216</v>
      </c>
      <c r="V620" s="1" t="s">
        <v>36</v>
      </c>
      <c r="W620" s="1" t="s">
        <v>37</v>
      </c>
      <c r="X620" s="1" t="s">
        <v>217</v>
      </c>
      <c r="Y620" s="1" t="s">
        <v>218</v>
      </c>
      <c r="Z620" s="1" t="str">
        <f>TRIM(_xlfn.CONCAT(sales_data_sample[[#This Row],[CONTACTFIRSTNAME]],", ",sales_data_sample[[#This Row],[CONTACTLASTNAME]]))</f>
        <v>Violeta, Benitez</v>
      </c>
      <c r="AA620" s="1" t="s">
        <v>40</v>
      </c>
    </row>
    <row r="621" spans="1:27" x14ac:dyDescent="0.25">
      <c r="A621" s="10">
        <v>10329</v>
      </c>
      <c r="B621" s="9">
        <v>29</v>
      </c>
      <c r="C621" s="9">
        <v>100</v>
      </c>
      <c r="D621" s="9">
        <f>PRODUCT(sales_data_sample[[#This Row],[QUANTITYORDERED]],sales_data_sample[[#This Row],[PRICEEACH]])</f>
        <v>2900</v>
      </c>
      <c r="E621" s="9">
        <f>IF(OR(sales_data_sample[[#This Row],[STATUS]]="Shipped",sales_data_sample[[#This Row],[STATUS]]="Resolved"),sales_data_sample[[#This Row],[SALES]],0)</f>
        <v>2900</v>
      </c>
      <c r="F621" s="10">
        <v>9</v>
      </c>
      <c r="G621" s="12" t="s">
        <v>189</v>
      </c>
      <c r="H621" s="1" t="s">
        <v>26</v>
      </c>
      <c r="I621">
        <v>4</v>
      </c>
      <c r="J621">
        <v>11</v>
      </c>
      <c r="K621">
        <v>2004</v>
      </c>
      <c r="L621" s="1" t="s">
        <v>239</v>
      </c>
      <c r="M621">
        <v>77</v>
      </c>
      <c r="N621" s="1" t="s">
        <v>877</v>
      </c>
      <c r="O621" s="1" t="s">
        <v>29</v>
      </c>
      <c r="P621" s="1" t="s">
        <v>30</v>
      </c>
      <c r="Q621" s="1" t="s">
        <v>31</v>
      </c>
      <c r="R621" s="1" t="s">
        <v>32</v>
      </c>
      <c r="S621" s="1" t="s">
        <v>33</v>
      </c>
      <c r="T621" s="1" t="s">
        <v>34</v>
      </c>
      <c r="U621" s="1" t="s">
        <v>35</v>
      </c>
      <c r="V621" s="1" t="s">
        <v>36</v>
      </c>
      <c r="W621" s="1" t="s">
        <v>37</v>
      </c>
      <c r="X621" s="1" t="s">
        <v>38</v>
      </c>
      <c r="Y621" s="1" t="s">
        <v>39</v>
      </c>
      <c r="Z621" s="1" t="str">
        <f>TRIM(_xlfn.CONCAT(sales_data_sample[[#This Row],[CONTACTFIRSTNAME]],", ",sales_data_sample[[#This Row],[CONTACTLASTNAME]]))</f>
        <v>Kwai, Yu</v>
      </c>
      <c r="AA621" s="1" t="s">
        <v>40</v>
      </c>
    </row>
    <row r="622" spans="1:27" x14ac:dyDescent="0.25">
      <c r="A622">
        <v>10342</v>
      </c>
      <c r="B622">
        <v>55</v>
      </c>
      <c r="C622">
        <v>6545</v>
      </c>
      <c r="D622">
        <f>PRODUCT(sales_data_sample[[#This Row],[QUANTITYORDERED]],sales_data_sample[[#This Row],[PRICEEACH]])</f>
        <v>359975</v>
      </c>
      <c r="E622" s="9">
        <f>IF(OR(sales_data_sample[[#This Row],[STATUS]]="Shipped",sales_data_sample[[#This Row],[STATUS]]="Resolved"),sales_data_sample[[#This Row],[SALES]],0)</f>
        <v>359975</v>
      </c>
      <c r="F622">
        <v>1</v>
      </c>
      <c r="G622" s="12" t="s">
        <v>190</v>
      </c>
      <c r="H622" s="1" t="s">
        <v>26</v>
      </c>
      <c r="I622">
        <v>4</v>
      </c>
      <c r="J622">
        <v>11</v>
      </c>
      <c r="K622">
        <v>2004</v>
      </c>
      <c r="L622" s="1" t="s">
        <v>239</v>
      </c>
      <c r="M622">
        <v>77</v>
      </c>
      <c r="N622" s="1" t="s">
        <v>877</v>
      </c>
      <c r="O622" s="1" t="s">
        <v>113</v>
      </c>
      <c r="P622" s="1" t="s">
        <v>114</v>
      </c>
      <c r="Q622" s="1" t="s">
        <v>115</v>
      </c>
      <c r="R622" s="1" t="s">
        <v>116</v>
      </c>
      <c r="S622" s="1" t="s">
        <v>117</v>
      </c>
      <c r="T622" s="1" t="s">
        <v>118</v>
      </c>
      <c r="U622" s="1" t="s">
        <v>119</v>
      </c>
      <c r="V622" s="1" t="s">
        <v>120</v>
      </c>
      <c r="W622" s="1" t="s">
        <v>121</v>
      </c>
      <c r="X622" s="1" t="s">
        <v>122</v>
      </c>
      <c r="Y622" s="1" t="s">
        <v>123</v>
      </c>
      <c r="Z622" s="1" t="str">
        <f>TRIM(_xlfn.CONCAT(sales_data_sample[[#This Row],[CONTACTFIRSTNAME]],", ",sales_data_sample[[#This Row],[CONTACTLASTNAME]]))</f>
        <v>Peter, Ferguson</v>
      </c>
      <c r="AA622" s="1" t="s">
        <v>59</v>
      </c>
    </row>
    <row r="623" spans="1:27" x14ac:dyDescent="0.25">
      <c r="A623" s="10">
        <v>10363</v>
      </c>
      <c r="B623" s="9">
        <v>22</v>
      </c>
      <c r="C623" s="9">
        <v>100</v>
      </c>
      <c r="D623" s="9">
        <f>PRODUCT(sales_data_sample[[#This Row],[QUANTITYORDERED]],sales_data_sample[[#This Row],[PRICEEACH]])</f>
        <v>2200</v>
      </c>
      <c r="E623" s="9">
        <f>IF(OR(sales_data_sample[[#This Row],[STATUS]]="Shipped",sales_data_sample[[#This Row],[STATUS]]="Resolved"),sales_data_sample[[#This Row],[SALES]],0)</f>
        <v>2200</v>
      </c>
      <c r="F623" s="10">
        <v>7</v>
      </c>
      <c r="G623" s="12" t="s">
        <v>655</v>
      </c>
      <c r="H623" s="1" t="s">
        <v>26</v>
      </c>
      <c r="I623">
        <v>1</v>
      </c>
      <c r="J623">
        <v>1</v>
      </c>
      <c r="K623">
        <v>2005</v>
      </c>
      <c r="L623" s="1" t="s">
        <v>239</v>
      </c>
      <c r="M623">
        <v>77</v>
      </c>
      <c r="N623" s="1" t="s">
        <v>877</v>
      </c>
      <c r="O623" s="1" t="s">
        <v>656</v>
      </c>
      <c r="P623" s="1" t="s">
        <v>657</v>
      </c>
      <c r="Q623" s="1" t="s">
        <v>658</v>
      </c>
      <c r="R623" s="1" t="s">
        <v>32</v>
      </c>
      <c r="S623" s="1" t="s">
        <v>659</v>
      </c>
      <c r="T623" s="1" t="s">
        <v>32</v>
      </c>
      <c r="U623" s="1" t="s">
        <v>660</v>
      </c>
      <c r="V623" s="1" t="s">
        <v>170</v>
      </c>
      <c r="W623" s="1" t="s">
        <v>48</v>
      </c>
      <c r="X623" s="1" t="s">
        <v>661</v>
      </c>
      <c r="Y623" s="1" t="s">
        <v>662</v>
      </c>
      <c r="Z623" s="1" t="str">
        <f>TRIM(_xlfn.CONCAT(sales_data_sample[[#This Row],[CONTACTFIRSTNAME]],", ",sales_data_sample[[#This Row],[CONTACTLASTNAME]]))</f>
        <v>Kalle, Suominen</v>
      </c>
      <c r="AA623" s="1" t="s">
        <v>59</v>
      </c>
    </row>
    <row r="624" spans="1:27" x14ac:dyDescent="0.25">
      <c r="A624" s="10">
        <v>10377</v>
      </c>
      <c r="B624" s="9">
        <v>31</v>
      </c>
      <c r="C624" s="9">
        <v>6776</v>
      </c>
      <c r="D624" s="9">
        <f>PRODUCT(sales_data_sample[[#This Row],[QUANTITYORDERED]],sales_data_sample[[#This Row],[PRICEEACH]])</f>
        <v>210056</v>
      </c>
      <c r="E624" s="9">
        <f>IF(OR(sales_data_sample[[#This Row],[STATUS]]="Shipped",sales_data_sample[[#This Row],[STATUS]]="Resolved"),sales_data_sample[[#This Row],[SALES]],0)</f>
        <v>210056</v>
      </c>
      <c r="F624" s="10">
        <v>4</v>
      </c>
      <c r="G624" s="12" t="s">
        <v>740</v>
      </c>
      <c r="H624" s="1" t="s">
        <v>26</v>
      </c>
      <c r="I624">
        <v>1</v>
      </c>
      <c r="J624">
        <v>2</v>
      </c>
      <c r="K624">
        <v>2005</v>
      </c>
      <c r="L624" s="1" t="s">
        <v>239</v>
      </c>
      <c r="M624">
        <v>77</v>
      </c>
      <c r="N624" s="1" t="s">
        <v>877</v>
      </c>
      <c r="O624" s="1" t="s">
        <v>165</v>
      </c>
      <c r="P624" s="1" t="s">
        <v>166</v>
      </c>
      <c r="Q624" s="1" t="s">
        <v>167</v>
      </c>
      <c r="R624" s="1" t="s">
        <v>32</v>
      </c>
      <c r="S624" s="1" t="s">
        <v>168</v>
      </c>
      <c r="T624" s="1" t="s">
        <v>32</v>
      </c>
      <c r="U624" s="1" t="s">
        <v>169</v>
      </c>
      <c r="V624" s="1" t="s">
        <v>170</v>
      </c>
      <c r="W624" s="1" t="s">
        <v>48</v>
      </c>
      <c r="X624" s="1" t="s">
        <v>171</v>
      </c>
      <c r="Y624" s="1" t="s">
        <v>172</v>
      </c>
      <c r="Z624" s="1" t="str">
        <f>TRIM(_xlfn.CONCAT(sales_data_sample[[#This Row],[CONTACTFIRSTNAME]],", ",sales_data_sample[[#This Row],[CONTACTLASTNAME]]))</f>
        <v>Matti, Karttunen</v>
      </c>
      <c r="AA624" s="1" t="s">
        <v>40</v>
      </c>
    </row>
    <row r="625" spans="1:27" x14ac:dyDescent="0.25">
      <c r="A625" s="10">
        <v>10389</v>
      </c>
      <c r="B625" s="9">
        <v>49</v>
      </c>
      <c r="C625" s="9">
        <v>7922</v>
      </c>
      <c r="D625" s="9">
        <f>PRODUCT(sales_data_sample[[#This Row],[QUANTITYORDERED]],sales_data_sample[[#This Row],[PRICEEACH]])</f>
        <v>388178</v>
      </c>
      <c r="E625" s="9">
        <f>IF(OR(sales_data_sample[[#This Row],[STATUS]]="Shipped",sales_data_sample[[#This Row],[STATUS]]="Resolved"),sales_data_sample[[#This Row],[SALES]],0)</f>
        <v>388178</v>
      </c>
      <c r="F625" s="10">
        <v>3</v>
      </c>
      <c r="G625" s="12" t="s">
        <v>211</v>
      </c>
      <c r="H625" s="1" t="s">
        <v>26</v>
      </c>
      <c r="I625">
        <v>1</v>
      </c>
      <c r="J625">
        <v>3</v>
      </c>
      <c r="K625">
        <v>2005</v>
      </c>
      <c r="L625" s="1" t="s">
        <v>239</v>
      </c>
      <c r="M625">
        <v>77</v>
      </c>
      <c r="N625" s="1" t="s">
        <v>877</v>
      </c>
      <c r="O625" s="1" t="s">
        <v>347</v>
      </c>
      <c r="P625" s="1" t="s">
        <v>348</v>
      </c>
      <c r="Q625" s="1" t="s">
        <v>349</v>
      </c>
      <c r="R625" s="1" t="s">
        <v>32</v>
      </c>
      <c r="S625" s="1" t="s">
        <v>350</v>
      </c>
      <c r="T625" s="1" t="s">
        <v>32</v>
      </c>
      <c r="U625" s="1" t="s">
        <v>351</v>
      </c>
      <c r="V625" s="1" t="s">
        <v>247</v>
      </c>
      <c r="W625" s="1" t="s">
        <v>48</v>
      </c>
      <c r="X625" s="1" t="s">
        <v>352</v>
      </c>
      <c r="Y625" s="1" t="s">
        <v>272</v>
      </c>
      <c r="Z625" s="1" t="str">
        <f>TRIM(_xlfn.CONCAT(sales_data_sample[[#This Row],[CONTACTFIRSTNAME]],", ",sales_data_sample[[#This Row],[CONTACTLASTNAME]]))</f>
        <v>Maria, Larsson</v>
      </c>
      <c r="AA625" s="1" t="s">
        <v>59</v>
      </c>
    </row>
    <row r="626" spans="1:27" x14ac:dyDescent="0.25">
      <c r="A626" s="10">
        <v>10405</v>
      </c>
      <c r="B626" s="9">
        <v>61</v>
      </c>
      <c r="C626" s="9">
        <v>7392</v>
      </c>
      <c r="D626" s="9">
        <f>PRODUCT(sales_data_sample[[#This Row],[QUANTITYORDERED]],sales_data_sample[[#This Row],[PRICEEACH]])</f>
        <v>450912</v>
      </c>
      <c r="E626" s="9">
        <f>IF(OR(sales_data_sample[[#This Row],[STATUS]]="Shipped",sales_data_sample[[#This Row],[STATUS]]="Resolved"),sales_data_sample[[#This Row],[SALES]],0)</f>
        <v>450912</v>
      </c>
      <c r="F626" s="10">
        <v>4</v>
      </c>
      <c r="G626" s="12" t="s">
        <v>762</v>
      </c>
      <c r="H626" s="1" t="s">
        <v>26</v>
      </c>
      <c r="I626">
        <v>2</v>
      </c>
      <c r="J626">
        <v>4</v>
      </c>
      <c r="K626">
        <v>2005</v>
      </c>
      <c r="L626" s="1" t="s">
        <v>239</v>
      </c>
      <c r="M626">
        <v>77</v>
      </c>
      <c r="N626" s="1" t="s">
        <v>877</v>
      </c>
      <c r="O626" s="1" t="s">
        <v>763</v>
      </c>
      <c r="P626" s="1" t="s">
        <v>764</v>
      </c>
      <c r="Q626" s="1" t="s">
        <v>765</v>
      </c>
      <c r="R626" s="1" t="s">
        <v>32</v>
      </c>
      <c r="S626" s="1" t="s">
        <v>766</v>
      </c>
      <c r="T626" s="1" t="s">
        <v>32</v>
      </c>
      <c r="U626" s="1" t="s">
        <v>767</v>
      </c>
      <c r="V626" s="1" t="s">
        <v>47</v>
      </c>
      <c r="W626" s="1" t="s">
        <v>48</v>
      </c>
      <c r="X626" s="1" t="s">
        <v>768</v>
      </c>
      <c r="Y626" s="1" t="s">
        <v>769</v>
      </c>
      <c r="Z626" s="1" t="str">
        <f>TRIM(_xlfn.CONCAT(sales_data_sample[[#This Row],[CONTACTFIRSTNAME]],", ",sales_data_sample[[#This Row],[CONTACTLASTNAME]]))</f>
        <v>Frederique, Citeaux</v>
      </c>
      <c r="AA626" s="1" t="s">
        <v>59</v>
      </c>
    </row>
    <row r="627" spans="1:27" x14ac:dyDescent="0.25">
      <c r="A627" s="10">
        <v>10419</v>
      </c>
      <c r="B627" s="9">
        <v>39</v>
      </c>
      <c r="C627" s="9">
        <v>8393</v>
      </c>
      <c r="D627" s="9">
        <f>PRODUCT(sales_data_sample[[#This Row],[QUANTITYORDERED]],sales_data_sample[[#This Row],[PRICEEACH]])</f>
        <v>327327</v>
      </c>
      <c r="E627" s="9">
        <f>IF(OR(sales_data_sample[[#This Row],[STATUS]]="Shipped",sales_data_sample[[#This Row],[STATUS]]="Resolved"),sales_data_sample[[#This Row],[SALES]],0)</f>
        <v>327327</v>
      </c>
      <c r="F627" s="10">
        <v>9</v>
      </c>
      <c r="G627" s="12" t="s">
        <v>663</v>
      </c>
      <c r="H627" s="1" t="s">
        <v>26</v>
      </c>
      <c r="I627">
        <v>2</v>
      </c>
      <c r="J627">
        <v>5</v>
      </c>
      <c r="K627">
        <v>2005</v>
      </c>
      <c r="L627" s="1" t="s">
        <v>239</v>
      </c>
      <c r="M627">
        <v>77</v>
      </c>
      <c r="N627" s="1" t="s">
        <v>877</v>
      </c>
      <c r="O627" s="1" t="s">
        <v>191</v>
      </c>
      <c r="P627" s="1" t="s">
        <v>192</v>
      </c>
      <c r="Q627" s="1" t="s">
        <v>193</v>
      </c>
      <c r="R627" s="1" t="s">
        <v>32</v>
      </c>
      <c r="S627" s="1" t="s">
        <v>194</v>
      </c>
      <c r="T627" s="1" t="s">
        <v>32</v>
      </c>
      <c r="U627" s="1" t="s">
        <v>195</v>
      </c>
      <c r="V627" s="1" t="s">
        <v>196</v>
      </c>
      <c r="W627" s="1" t="s">
        <v>48</v>
      </c>
      <c r="X627" s="1" t="s">
        <v>197</v>
      </c>
      <c r="Y627" s="1" t="s">
        <v>198</v>
      </c>
      <c r="Z627" s="1" t="str">
        <f>TRIM(_xlfn.CONCAT(sales_data_sample[[#This Row],[CONTACTFIRSTNAME]],", ",sales_data_sample[[#This Row],[CONTACTLASTNAME]]))</f>
        <v>Georg, Pipps</v>
      </c>
      <c r="AA627" s="1" t="s">
        <v>59</v>
      </c>
    </row>
    <row r="628" spans="1:27" x14ac:dyDescent="0.25">
      <c r="A628" s="10">
        <v>10109</v>
      </c>
      <c r="B628" s="9">
        <v>38</v>
      </c>
      <c r="C628" s="9">
        <v>100</v>
      </c>
      <c r="D628" s="9">
        <f>PRODUCT(sales_data_sample[[#This Row],[QUANTITYORDERED]],sales_data_sample[[#This Row],[PRICEEACH]])</f>
        <v>3800</v>
      </c>
      <c r="E628" s="9">
        <f>IF(OR(sales_data_sample[[#This Row],[STATUS]]="Shipped",sales_data_sample[[#This Row],[STATUS]]="Resolved"),sales_data_sample[[#This Row],[SALES]],0)</f>
        <v>3800</v>
      </c>
      <c r="F628" s="10">
        <v>3</v>
      </c>
      <c r="G628" s="12" t="s">
        <v>771</v>
      </c>
      <c r="H628" s="1" t="s">
        <v>26</v>
      </c>
      <c r="I628">
        <v>1</v>
      </c>
      <c r="J628">
        <v>3</v>
      </c>
      <c r="K628">
        <v>2003</v>
      </c>
      <c r="L628" s="1" t="s">
        <v>239</v>
      </c>
      <c r="M628">
        <v>142</v>
      </c>
      <c r="N628" s="1" t="s">
        <v>878</v>
      </c>
      <c r="O628" s="1" t="s">
        <v>415</v>
      </c>
      <c r="P628" s="1" t="s">
        <v>416</v>
      </c>
      <c r="Q628" s="1" t="s">
        <v>417</v>
      </c>
      <c r="R628" s="1" t="s">
        <v>32</v>
      </c>
      <c r="S628" s="1" t="s">
        <v>286</v>
      </c>
      <c r="T628" s="1" t="s">
        <v>186</v>
      </c>
      <c r="U628" s="1" t="s">
        <v>287</v>
      </c>
      <c r="V628" s="1" t="s">
        <v>36</v>
      </c>
      <c r="W628" s="1" t="s">
        <v>37</v>
      </c>
      <c r="X628" s="1" t="s">
        <v>162</v>
      </c>
      <c r="Y628" s="1" t="s">
        <v>418</v>
      </c>
      <c r="Z628" s="1" t="str">
        <f>TRIM(_xlfn.CONCAT(sales_data_sample[[#This Row],[CONTACTFIRSTNAME]],", ",sales_data_sample[[#This Row],[CONTACTLASTNAME]]))</f>
        <v>Rosa, Hernandez</v>
      </c>
      <c r="AA628" s="1" t="s">
        <v>59</v>
      </c>
    </row>
    <row r="629" spans="1:27" x14ac:dyDescent="0.25">
      <c r="A629" s="10">
        <v>10122</v>
      </c>
      <c r="B629" s="9">
        <v>31</v>
      </c>
      <c r="C629" s="9">
        <v>100</v>
      </c>
      <c r="D629" s="9">
        <f>PRODUCT(sales_data_sample[[#This Row],[QUANTITYORDERED]],sales_data_sample[[#This Row],[PRICEEACH]])</f>
        <v>3100</v>
      </c>
      <c r="E629" s="9">
        <f>IF(OR(sales_data_sample[[#This Row],[STATUS]]="Shipped",sales_data_sample[[#This Row],[STATUS]]="Resolved"),sales_data_sample[[#This Row],[SALES]],0)</f>
        <v>3100</v>
      </c>
      <c r="F629" s="10">
        <v>1</v>
      </c>
      <c r="G629" s="12" t="s">
        <v>599</v>
      </c>
      <c r="H629" s="1" t="s">
        <v>26</v>
      </c>
      <c r="I629">
        <v>2</v>
      </c>
      <c r="J629">
        <v>5</v>
      </c>
      <c r="K629">
        <v>2003</v>
      </c>
      <c r="L629" s="1" t="s">
        <v>239</v>
      </c>
      <c r="M629">
        <v>142</v>
      </c>
      <c r="N629" s="1" t="s">
        <v>878</v>
      </c>
      <c r="O629" s="1" t="s">
        <v>600</v>
      </c>
      <c r="P629" s="1" t="s">
        <v>601</v>
      </c>
      <c r="Q629" s="1" t="s">
        <v>602</v>
      </c>
      <c r="R629" s="1" t="s">
        <v>32</v>
      </c>
      <c r="S629" s="1" t="s">
        <v>603</v>
      </c>
      <c r="T629" s="1" t="s">
        <v>32</v>
      </c>
      <c r="U629" s="1" t="s">
        <v>604</v>
      </c>
      <c r="V629" s="1" t="s">
        <v>47</v>
      </c>
      <c r="W629" s="1" t="s">
        <v>48</v>
      </c>
      <c r="X629" s="1" t="s">
        <v>605</v>
      </c>
      <c r="Y629" s="1" t="s">
        <v>606</v>
      </c>
      <c r="Z629" s="1" t="str">
        <f>TRIM(_xlfn.CONCAT(sales_data_sample[[#This Row],[CONTACTFIRSTNAME]],", ",sales_data_sample[[#This Row],[CONTACTLASTNAME]]))</f>
        <v>Laurence, Lebihan</v>
      </c>
      <c r="AA629" s="1" t="s">
        <v>59</v>
      </c>
    </row>
    <row r="630" spans="1:27" x14ac:dyDescent="0.25">
      <c r="A630" s="10">
        <v>10136</v>
      </c>
      <c r="B630" s="9">
        <v>36</v>
      </c>
      <c r="C630" s="9">
        <v>100</v>
      </c>
      <c r="D630" s="9">
        <f>PRODUCT(sales_data_sample[[#This Row],[QUANTITYORDERED]],sales_data_sample[[#This Row],[PRICEEACH]])</f>
        <v>3600</v>
      </c>
      <c r="E630" s="9">
        <f>IF(OR(sales_data_sample[[#This Row],[STATUS]]="Shipped",sales_data_sample[[#This Row],[STATUS]]="Resolved"),sales_data_sample[[#This Row],[SALES]],0)</f>
        <v>3600</v>
      </c>
      <c r="F630" s="10">
        <v>1</v>
      </c>
      <c r="G630" s="12" t="s">
        <v>773</v>
      </c>
      <c r="H630" s="1" t="s">
        <v>26</v>
      </c>
      <c r="I630">
        <v>3</v>
      </c>
      <c r="J630">
        <v>7</v>
      </c>
      <c r="K630">
        <v>2003</v>
      </c>
      <c r="L630" s="1" t="s">
        <v>239</v>
      </c>
      <c r="M630">
        <v>142</v>
      </c>
      <c r="N630" s="1" t="s">
        <v>878</v>
      </c>
      <c r="O630" s="1" t="s">
        <v>463</v>
      </c>
      <c r="P630" s="1" t="s">
        <v>464</v>
      </c>
      <c r="Q630" s="1" t="s">
        <v>465</v>
      </c>
      <c r="R630" s="1" t="s">
        <v>32</v>
      </c>
      <c r="S630" s="1" t="s">
        <v>466</v>
      </c>
      <c r="T630" s="1" t="s">
        <v>32</v>
      </c>
      <c r="U630" s="1" t="s">
        <v>467</v>
      </c>
      <c r="V630" s="1" t="s">
        <v>47</v>
      </c>
      <c r="W630" s="1" t="s">
        <v>48</v>
      </c>
      <c r="X630" s="1" t="s">
        <v>468</v>
      </c>
      <c r="Y630" s="1" t="s">
        <v>469</v>
      </c>
      <c r="Z630" s="1" t="str">
        <f>TRIM(_xlfn.CONCAT(sales_data_sample[[#This Row],[CONTACTFIRSTNAME]],", ",sales_data_sample[[#This Row],[CONTACTLASTNAME]]))</f>
        <v>Annette, Roulet</v>
      </c>
      <c r="AA630" s="1" t="s">
        <v>59</v>
      </c>
    </row>
    <row r="631" spans="1:27" x14ac:dyDescent="0.25">
      <c r="A631">
        <v>10148</v>
      </c>
      <c r="B631">
        <v>25</v>
      </c>
      <c r="C631">
        <v>100</v>
      </c>
      <c r="D631">
        <f>PRODUCT(sales_data_sample[[#This Row],[QUANTITYORDERED]],sales_data_sample[[#This Row],[PRICEEACH]])</f>
        <v>2500</v>
      </c>
      <c r="E631" s="9">
        <f>IF(OR(sales_data_sample[[#This Row],[STATUS]]="Shipped",sales_data_sample[[#This Row],[STATUS]]="Resolved"),sales_data_sample[[#This Row],[SALES]],0)</f>
        <v>2500</v>
      </c>
      <c r="F631">
        <v>12</v>
      </c>
      <c r="G631" s="12" t="s">
        <v>774</v>
      </c>
      <c r="H631" s="1" t="s">
        <v>26</v>
      </c>
      <c r="I631">
        <v>3</v>
      </c>
      <c r="J631">
        <v>9</v>
      </c>
      <c r="K631">
        <v>2003</v>
      </c>
      <c r="L631" s="1" t="s">
        <v>239</v>
      </c>
      <c r="M631">
        <v>142</v>
      </c>
      <c r="N631" s="1" t="s">
        <v>878</v>
      </c>
      <c r="O631" s="1" t="s">
        <v>385</v>
      </c>
      <c r="P631" s="1" t="s">
        <v>386</v>
      </c>
      <c r="Q631" s="1" t="s">
        <v>387</v>
      </c>
      <c r="R631" s="1" t="s">
        <v>388</v>
      </c>
      <c r="S631" s="1" t="s">
        <v>389</v>
      </c>
      <c r="T631" s="1" t="s">
        <v>206</v>
      </c>
      <c r="U631" s="1" t="s">
        <v>390</v>
      </c>
      <c r="V631" s="1" t="s">
        <v>120</v>
      </c>
      <c r="W631" s="1" t="s">
        <v>121</v>
      </c>
      <c r="X631" s="1" t="s">
        <v>391</v>
      </c>
      <c r="Y631" s="1" t="s">
        <v>392</v>
      </c>
      <c r="Z631" s="1" t="str">
        <f>TRIM(_xlfn.CONCAT(sales_data_sample[[#This Row],[CONTACTFIRSTNAME]],", ",sales_data_sample[[#This Row],[CONTACTLASTNAME]]))</f>
        <v>Anna, O'Hara</v>
      </c>
      <c r="AA631" s="1" t="s">
        <v>59</v>
      </c>
    </row>
    <row r="632" spans="1:27" x14ac:dyDescent="0.25">
      <c r="A632" s="10">
        <v>10161</v>
      </c>
      <c r="B632" s="9">
        <v>48</v>
      </c>
      <c r="C632" s="9">
        <v>100</v>
      </c>
      <c r="D632" s="9">
        <f>PRODUCT(sales_data_sample[[#This Row],[QUANTITYORDERED]],sales_data_sample[[#This Row],[PRICEEACH]])</f>
        <v>4800</v>
      </c>
      <c r="E632" s="9">
        <f>IF(OR(sales_data_sample[[#This Row],[STATUS]]="Shipped",sales_data_sample[[#This Row],[STATUS]]="Resolved"),sales_data_sample[[#This Row],[SALES]],0)</f>
        <v>4800</v>
      </c>
      <c r="F632" s="10">
        <v>11</v>
      </c>
      <c r="G632" s="12" t="s">
        <v>775</v>
      </c>
      <c r="H632" s="1" t="s">
        <v>26</v>
      </c>
      <c r="I632">
        <v>4</v>
      </c>
      <c r="J632">
        <v>10</v>
      </c>
      <c r="K632">
        <v>2003</v>
      </c>
      <c r="L632" s="1" t="s">
        <v>239</v>
      </c>
      <c r="M632">
        <v>142</v>
      </c>
      <c r="N632" s="1" t="s">
        <v>878</v>
      </c>
      <c r="O632" s="1" t="s">
        <v>701</v>
      </c>
      <c r="P632" s="1" t="s">
        <v>702</v>
      </c>
      <c r="Q632" s="1" t="s">
        <v>703</v>
      </c>
      <c r="R632" s="1" t="s">
        <v>32</v>
      </c>
      <c r="S632" s="1" t="s">
        <v>704</v>
      </c>
      <c r="T632" s="1" t="s">
        <v>32</v>
      </c>
      <c r="U632" s="1" t="s">
        <v>705</v>
      </c>
      <c r="V632" s="1" t="s">
        <v>442</v>
      </c>
      <c r="W632" s="1" t="s">
        <v>48</v>
      </c>
      <c r="X632" s="1" t="s">
        <v>706</v>
      </c>
      <c r="Y632" s="1" t="s">
        <v>707</v>
      </c>
      <c r="Z632" s="1" t="str">
        <f>TRIM(_xlfn.CONCAT(sales_data_sample[[#This Row],[CONTACTFIRSTNAME]],", ",sales_data_sample[[#This Row],[CONTACTLASTNAME]]))</f>
        <v>Palle, Ibsen</v>
      </c>
      <c r="AA632" s="1" t="s">
        <v>59</v>
      </c>
    </row>
    <row r="633" spans="1:27" x14ac:dyDescent="0.25">
      <c r="A633" s="10">
        <v>10171</v>
      </c>
      <c r="B633" s="9">
        <v>35</v>
      </c>
      <c r="C633" s="9">
        <v>100</v>
      </c>
      <c r="D633" s="9">
        <f>PRODUCT(sales_data_sample[[#This Row],[QUANTITYORDERED]],sales_data_sample[[#This Row],[PRICEEACH]])</f>
        <v>3500</v>
      </c>
      <c r="E633" s="9">
        <f>IF(OR(sales_data_sample[[#This Row],[STATUS]]="Shipped",sales_data_sample[[#This Row],[STATUS]]="Resolved"),sales_data_sample[[#This Row],[SALES]],0)</f>
        <v>3500</v>
      </c>
      <c r="F633" s="10">
        <v>1</v>
      </c>
      <c r="G633" s="12" t="s">
        <v>776</v>
      </c>
      <c r="H633" s="1" t="s">
        <v>26</v>
      </c>
      <c r="I633">
        <v>4</v>
      </c>
      <c r="J633">
        <v>11</v>
      </c>
      <c r="K633">
        <v>2003</v>
      </c>
      <c r="L633" s="1" t="s">
        <v>239</v>
      </c>
      <c r="M633">
        <v>142</v>
      </c>
      <c r="N633" s="1" t="s">
        <v>878</v>
      </c>
      <c r="O633" s="1" t="s">
        <v>394</v>
      </c>
      <c r="P633" s="1" t="s">
        <v>395</v>
      </c>
      <c r="Q633" s="1" t="s">
        <v>396</v>
      </c>
      <c r="R633" s="1" t="s">
        <v>32</v>
      </c>
      <c r="S633" s="1" t="s">
        <v>397</v>
      </c>
      <c r="T633" s="1" t="s">
        <v>398</v>
      </c>
      <c r="U633" s="1" t="s">
        <v>399</v>
      </c>
      <c r="V633" s="1" t="s">
        <v>305</v>
      </c>
      <c r="W633" s="1" t="s">
        <v>37</v>
      </c>
      <c r="X633" s="1" t="s">
        <v>400</v>
      </c>
      <c r="Y633" s="1" t="s">
        <v>401</v>
      </c>
      <c r="Z633" s="1" t="str">
        <f>TRIM(_xlfn.CONCAT(sales_data_sample[[#This Row],[CONTACTFIRSTNAME]],", ",sales_data_sample[[#This Row],[CONTACTLASTNAME]]))</f>
        <v>Jean, Fresnisre</v>
      </c>
      <c r="AA633" s="1" t="s">
        <v>59</v>
      </c>
    </row>
    <row r="634" spans="1:27" x14ac:dyDescent="0.25">
      <c r="A634" s="10">
        <v>10181</v>
      </c>
      <c r="B634" s="9">
        <v>21</v>
      </c>
      <c r="C634" s="9">
        <v>100</v>
      </c>
      <c r="D634" s="9">
        <f>PRODUCT(sales_data_sample[[#This Row],[QUANTITYORDERED]],sales_data_sample[[#This Row],[PRICEEACH]])</f>
        <v>2100</v>
      </c>
      <c r="E634" s="9">
        <f>IF(OR(sales_data_sample[[#This Row],[STATUS]]="Shipped",sales_data_sample[[#This Row],[STATUS]]="Resolved"),sales_data_sample[[#This Row],[SALES]],0)</f>
        <v>2100</v>
      </c>
      <c r="F634" s="10">
        <v>5</v>
      </c>
      <c r="G634" s="12" t="s">
        <v>610</v>
      </c>
      <c r="H634" s="1" t="s">
        <v>26</v>
      </c>
      <c r="I634">
        <v>4</v>
      </c>
      <c r="J634">
        <v>11</v>
      </c>
      <c r="K634">
        <v>2003</v>
      </c>
      <c r="L634" s="1" t="s">
        <v>239</v>
      </c>
      <c r="M634">
        <v>142</v>
      </c>
      <c r="N634" s="1" t="s">
        <v>878</v>
      </c>
      <c r="O634" s="1" t="s">
        <v>92</v>
      </c>
      <c r="P634" s="1" t="s">
        <v>93</v>
      </c>
      <c r="Q634" s="1" t="s">
        <v>94</v>
      </c>
      <c r="R634" s="1" t="s">
        <v>32</v>
      </c>
      <c r="S634" s="1" t="s">
        <v>95</v>
      </c>
      <c r="T634" s="1" t="s">
        <v>32</v>
      </c>
      <c r="U634" s="1" t="s">
        <v>96</v>
      </c>
      <c r="V634" s="1" t="s">
        <v>97</v>
      </c>
      <c r="W634" s="1" t="s">
        <v>48</v>
      </c>
      <c r="X634" s="1" t="s">
        <v>98</v>
      </c>
      <c r="Y634" s="1" t="s">
        <v>99</v>
      </c>
      <c r="Z634" s="1" t="str">
        <f>TRIM(_xlfn.CONCAT(sales_data_sample[[#This Row],[CONTACTFIRSTNAME]],", ",sales_data_sample[[#This Row],[CONTACTLASTNAME]]))</f>
        <v>Veysel, Oeztan</v>
      </c>
      <c r="AA634" s="1" t="s">
        <v>59</v>
      </c>
    </row>
    <row r="635" spans="1:27" x14ac:dyDescent="0.25">
      <c r="A635" s="10">
        <v>10192</v>
      </c>
      <c r="B635" s="9">
        <v>47</v>
      </c>
      <c r="C635" s="9">
        <v>100</v>
      </c>
      <c r="D635" s="9">
        <f>PRODUCT(sales_data_sample[[#This Row],[QUANTITYORDERED]],sales_data_sample[[#This Row],[PRICEEACH]])</f>
        <v>4700</v>
      </c>
      <c r="E635" s="9">
        <f>IF(OR(sales_data_sample[[#This Row],[STATUS]]="Shipped",sales_data_sample[[#This Row],[STATUS]]="Resolved"),sales_data_sample[[#This Row],[SALES]],0)</f>
        <v>4700</v>
      </c>
      <c r="F635" s="10">
        <v>10</v>
      </c>
      <c r="G635" s="12" t="s">
        <v>611</v>
      </c>
      <c r="H635" s="1" t="s">
        <v>26</v>
      </c>
      <c r="I635">
        <v>4</v>
      </c>
      <c r="J635">
        <v>11</v>
      </c>
      <c r="K635">
        <v>2003</v>
      </c>
      <c r="L635" s="1" t="s">
        <v>239</v>
      </c>
      <c r="M635">
        <v>142</v>
      </c>
      <c r="N635" s="1" t="s">
        <v>878</v>
      </c>
      <c r="O635" s="1" t="s">
        <v>368</v>
      </c>
      <c r="P635" s="1" t="s">
        <v>369</v>
      </c>
      <c r="Q635" s="1" t="s">
        <v>370</v>
      </c>
      <c r="R635" s="1" t="s">
        <v>32</v>
      </c>
      <c r="S635" s="1" t="s">
        <v>371</v>
      </c>
      <c r="T635" s="1" t="s">
        <v>372</v>
      </c>
      <c r="U635" s="1" t="s">
        <v>373</v>
      </c>
      <c r="V635" s="1" t="s">
        <v>36</v>
      </c>
      <c r="W635" s="1" t="s">
        <v>37</v>
      </c>
      <c r="X635" s="1" t="s">
        <v>67</v>
      </c>
      <c r="Y635" s="1" t="s">
        <v>366</v>
      </c>
      <c r="Z635" s="1" t="str">
        <f>TRIM(_xlfn.CONCAT(sales_data_sample[[#This Row],[CONTACTFIRSTNAME]],", ",sales_data_sample[[#This Row],[CONTACTLASTNAME]]))</f>
        <v>Valarie, Young</v>
      </c>
      <c r="AA635" s="1" t="s">
        <v>199</v>
      </c>
    </row>
    <row r="636" spans="1:27" x14ac:dyDescent="0.25">
      <c r="A636">
        <v>10204</v>
      </c>
      <c r="B636">
        <v>38</v>
      </c>
      <c r="C636">
        <v>100</v>
      </c>
      <c r="D636">
        <f>PRODUCT(sales_data_sample[[#This Row],[QUANTITYORDERED]],sales_data_sample[[#This Row],[PRICEEACH]])</f>
        <v>3800</v>
      </c>
      <c r="E636" s="9">
        <f>IF(OR(sales_data_sample[[#This Row],[STATUS]]="Shipped",sales_data_sample[[#This Row],[STATUS]]="Resolved"),sales_data_sample[[#This Row],[SALES]],0)</f>
        <v>3800</v>
      </c>
      <c r="F636">
        <v>16</v>
      </c>
      <c r="G636" s="12" t="s">
        <v>620</v>
      </c>
      <c r="H636" s="1" t="s">
        <v>26</v>
      </c>
      <c r="I636">
        <v>4</v>
      </c>
      <c r="J636">
        <v>12</v>
      </c>
      <c r="K636">
        <v>2003</v>
      </c>
      <c r="L636" s="1" t="s">
        <v>239</v>
      </c>
      <c r="M636">
        <v>142</v>
      </c>
      <c r="N636" s="1" t="s">
        <v>878</v>
      </c>
      <c r="O636" s="1" t="s">
        <v>667</v>
      </c>
      <c r="P636" s="1" t="s">
        <v>668</v>
      </c>
      <c r="Q636" s="1" t="s">
        <v>669</v>
      </c>
      <c r="R636" s="1" t="s">
        <v>670</v>
      </c>
      <c r="S636" s="1" t="s">
        <v>33</v>
      </c>
      <c r="T636" s="1" t="s">
        <v>34</v>
      </c>
      <c r="U636" s="1" t="s">
        <v>35</v>
      </c>
      <c r="V636" s="1" t="s">
        <v>36</v>
      </c>
      <c r="W636" s="1" t="s">
        <v>37</v>
      </c>
      <c r="X636" s="1" t="s">
        <v>67</v>
      </c>
      <c r="Y636" s="1" t="s">
        <v>671</v>
      </c>
      <c r="Z636" s="1" t="str">
        <f>TRIM(_xlfn.CONCAT(sales_data_sample[[#This Row],[CONTACTFIRSTNAME]],", ",sales_data_sample[[#This Row],[CONTACTLASTNAME]]))</f>
        <v>Jeff, Young</v>
      </c>
      <c r="AA636" s="1" t="s">
        <v>59</v>
      </c>
    </row>
    <row r="637" spans="1:27" x14ac:dyDescent="0.25">
      <c r="A637" s="10">
        <v>10212</v>
      </c>
      <c r="B637" s="9">
        <v>41</v>
      </c>
      <c r="C637" s="9">
        <v>100</v>
      </c>
      <c r="D637" s="9">
        <f>PRODUCT(sales_data_sample[[#This Row],[QUANTITYORDERED]],sales_data_sample[[#This Row],[PRICEEACH]])</f>
        <v>4100</v>
      </c>
      <c r="E637" s="9">
        <f>IF(OR(sales_data_sample[[#This Row],[STATUS]]="Shipped",sales_data_sample[[#This Row],[STATUS]]="Resolved"),sales_data_sample[[#This Row],[SALES]],0)</f>
        <v>4100</v>
      </c>
      <c r="F637" s="10">
        <v>9</v>
      </c>
      <c r="G637" s="12" t="s">
        <v>729</v>
      </c>
      <c r="H637" s="1" t="s">
        <v>26</v>
      </c>
      <c r="I637">
        <v>1</v>
      </c>
      <c r="J637">
        <v>1</v>
      </c>
      <c r="K637">
        <v>2004</v>
      </c>
      <c r="L637" s="1" t="s">
        <v>239</v>
      </c>
      <c r="M637">
        <v>142</v>
      </c>
      <c r="N637" s="1" t="s">
        <v>878</v>
      </c>
      <c r="O637" s="1" t="s">
        <v>230</v>
      </c>
      <c r="P637" s="1" t="s">
        <v>231</v>
      </c>
      <c r="Q637" s="1" t="s">
        <v>232</v>
      </c>
      <c r="R637" s="1" t="s">
        <v>32</v>
      </c>
      <c r="S637" s="1" t="s">
        <v>233</v>
      </c>
      <c r="T637" s="1" t="s">
        <v>32</v>
      </c>
      <c r="U637" s="1" t="s">
        <v>234</v>
      </c>
      <c r="V637" s="1" t="s">
        <v>235</v>
      </c>
      <c r="W637" s="1" t="s">
        <v>48</v>
      </c>
      <c r="X637" s="1" t="s">
        <v>236</v>
      </c>
      <c r="Y637" s="1" t="s">
        <v>237</v>
      </c>
      <c r="Z637" s="1" t="str">
        <f>TRIM(_xlfn.CONCAT(sales_data_sample[[#This Row],[CONTACTFIRSTNAME]],", ",sales_data_sample[[#This Row],[CONTACTLASTNAME]]))</f>
        <v>Diego, Freyre</v>
      </c>
      <c r="AA637" s="1" t="s">
        <v>59</v>
      </c>
    </row>
    <row r="638" spans="1:27" x14ac:dyDescent="0.25">
      <c r="A638" s="10">
        <v>10226</v>
      </c>
      <c r="B638" s="9">
        <v>24</v>
      </c>
      <c r="C638" s="9">
        <v>100</v>
      </c>
      <c r="D638" s="9">
        <f>PRODUCT(sales_data_sample[[#This Row],[QUANTITYORDERED]],sales_data_sample[[#This Row],[PRICEEACH]])</f>
        <v>2400</v>
      </c>
      <c r="E638" s="9">
        <f>IF(OR(sales_data_sample[[#This Row],[STATUS]]="Shipped",sales_data_sample[[#This Row],[STATUS]]="Resolved"),sales_data_sample[[#This Row],[SALES]],0)</f>
        <v>2400</v>
      </c>
      <c r="F638" s="10">
        <v>7</v>
      </c>
      <c r="G638" s="12" t="s">
        <v>833</v>
      </c>
      <c r="H638" s="1" t="s">
        <v>26</v>
      </c>
      <c r="I638">
        <v>1</v>
      </c>
      <c r="J638">
        <v>2</v>
      </c>
      <c r="K638">
        <v>2004</v>
      </c>
      <c r="L638" s="1" t="s">
        <v>239</v>
      </c>
      <c r="M638">
        <v>142</v>
      </c>
      <c r="N638" s="1" t="s">
        <v>878</v>
      </c>
      <c r="O638" s="1" t="s">
        <v>492</v>
      </c>
      <c r="P638" s="1" t="s">
        <v>493</v>
      </c>
      <c r="Q638" s="1" t="s">
        <v>494</v>
      </c>
      <c r="R638" s="1" t="s">
        <v>32</v>
      </c>
      <c r="S638" s="1" t="s">
        <v>495</v>
      </c>
      <c r="T638" s="1" t="s">
        <v>65</v>
      </c>
      <c r="U638" s="1" t="s">
        <v>496</v>
      </c>
      <c r="V638" s="1" t="s">
        <v>36</v>
      </c>
      <c r="W638" s="1" t="s">
        <v>37</v>
      </c>
      <c r="X638" s="1" t="s">
        <v>313</v>
      </c>
      <c r="Y638" s="1" t="s">
        <v>366</v>
      </c>
      <c r="Z638" s="1" t="str">
        <f>TRIM(_xlfn.CONCAT(sales_data_sample[[#This Row],[CONTACTFIRSTNAME]],", ",sales_data_sample[[#This Row],[CONTACTLASTNAME]]))</f>
        <v>Valarie, Thompson</v>
      </c>
      <c r="AA638" s="1" t="s">
        <v>59</v>
      </c>
    </row>
    <row r="639" spans="1:27" x14ac:dyDescent="0.25">
      <c r="A639" s="10">
        <v>10240</v>
      </c>
      <c r="B639" s="9">
        <v>37</v>
      </c>
      <c r="C639" s="9">
        <v>100</v>
      </c>
      <c r="D639" s="9">
        <f>PRODUCT(sales_data_sample[[#This Row],[QUANTITYORDERED]],sales_data_sample[[#This Row],[PRICEEACH]])</f>
        <v>3700</v>
      </c>
      <c r="E639" s="9">
        <f>IF(OR(sales_data_sample[[#This Row],[STATUS]]="Shipped",sales_data_sample[[#This Row],[STATUS]]="Resolved"),sales_data_sample[[#This Row],[SALES]],0)</f>
        <v>3700</v>
      </c>
      <c r="F639" s="10">
        <v>2</v>
      </c>
      <c r="G639" s="12" t="s">
        <v>777</v>
      </c>
      <c r="H639" s="1" t="s">
        <v>26</v>
      </c>
      <c r="I639">
        <v>2</v>
      </c>
      <c r="J639">
        <v>4</v>
      </c>
      <c r="K639">
        <v>2004</v>
      </c>
      <c r="L639" s="1" t="s">
        <v>239</v>
      </c>
      <c r="M639">
        <v>142</v>
      </c>
      <c r="N639" s="1" t="s">
        <v>878</v>
      </c>
      <c r="O639" s="1" t="s">
        <v>407</v>
      </c>
      <c r="P639" s="1" t="s">
        <v>408</v>
      </c>
      <c r="Q639" s="1" t="s">
        <v>409</v>
      </c>
      <c r="R639" s="1" t="s">
        <v>32</v>
      </c>
      <c r="S639" s="1" t="s">
        <v>410</v>
      </c>
      <c r="T639" s="1" t="s">
        <v>410</v>
      </c>
      <c r="U639" s="1" t="s">
        <v>411</v>
      </c>
      <c r="V639" s="1" t="s">
        <v>264</v>
      </c>
      <c r="W639" s="1" t="s">
        <v>264</v>
      </c>
      <c r="X639" s="1" t="s">
        <v>412</v>
      </c>
      <c r="Y639" s="1" t="s">
        <v>413</v>
      </c>
      <c r="Z639" s="1" t="str">
        <f>TRIM(_xlfn.CONCAT(sales_data_sample[[#This Row],[CONTACTFIRSTNAME]],", ",sales_data_sample[[#This Row],[CONTACTLASTNAME]]))</f>
        <v>Mory, Kentary</v>
      </c>
      <c r="AA639" s="1" t="s">
        <v>59</v>
      </c>
    </row>
    <row r="640" spans="1:27" x14ac:dyDescent="0.25">
      <c r="A640" s="10">
        <v>10253</v>
      </c>
      <c r="B640" s="9">
        <v>33</v>
      </c>
      <c r="C640" s="9">
        <v>100</v>
      </c>
      <c r="D640" s="9">
        <f>PRODUCT(sales_data_sample[[#This Row],[QUANTITYORDERED]],sales_data_sample[[#This Row],[PRICEEACH]])</f>
        <v>3300</v>
      </c>
      <c r="E640" s="9">
        <f>IF(OR(sales_data_sample[[#This Row],[STATUS]]="Shipped",sales_data_sample[[#This Row],[STATUS]]="Resolved"),sales_data_sample[[#This Row],[SALES]],0)</f>
        <v>0</v>
      </c>
      <c r="F640" s="10">
        <v>4</v>
      </c>
      <c r="G640" s="12" t="s">
        <v>630</v>
      </c>
      <c r="H640" s="1" t="s">
        <v>461</v>
      </c>
      <c r="I640">
        <v>2</v>
      </c>
      <c r="J640">
        <v>6</v>
      </c>
      <c r="K640">
        <v>2004</v>
      </c>
      <c r="L640" s="1" t="s">
        <v>239</v>
      </c>
      <c r="M640">
        <v>142</v>
      </c>
      <c r="N640" s="1" t="s">
        <v>878</v>
      </c>
      <c r="O640" s="1" t="s">
        <v>220</v>
      </c>
      <c r="P640" s="1" t="s">
        <v>221</v>
      </c>
      <c r="Q640" s="1" t="s">
        <v>222</v>
      </c>
      <c r="R640" s="1" t="s">
        <v>32</v>
      </c>
      <c r="S640" s="1" t="s">
        <v>223</v>
      </c>
      <c r="T640" s="1" t="s">
        <v>32</v>
      </c>
      <c r="U640" s="1" t="s">
        <v>224</v>
      </c>
      <c r="V640" s="1" t="s">
        <v>225</v>
      </c>
      <c r="W640" s="1" t="s">
        <v>48</v>
      </c>
      <c r="X640" s="1" t="s">
        <v>226</v>
      </c>
      <c r="Y640" s="1" t="s">
        <v>227</v>
      </c>
      <c r="Z640" s="1" t="str">
        <f>TRIM(_xlfn.CONCAT(sales_data_sample[[#This Row],[CONTACTFIRSTNAME]],", ",sales_data_sample[[#This Row],[CONTACTLASTNAME]]))</f>
        <v>Elizabeth, Devon</v>
      </c>
      <c r="AA640" s="1" t="s">
        <v>59</v>
      </c>
    </row>
    <row r="641" spans="1:27" x14ac:dyDescent="0.25">
      <c r="A641" s="10">
        <v>10266</v>
      </c>
      <c r="B641" s="9">
        <v>49</v>
      </c>
      <c r="C641" s="9">
        <v>100</v>
      </c>
      <c r="D641" s="9">
        <f>PRODUCT(sales_data_sample[[#This Row],[QUANTITYORDERED]],sales_data_sample[[#This Row],[PRICEEACH]])</f>
        <v>4900</v>
      </c>
      <c r="E641" s="9">
        <f>IF(OR(sales_data_sample[[#This Row],[STATUS]]="Shipped",sales_data_sample[[#This Row],[STATUS]]="Resolved"),sales_data_sample[[#This Row],[SALES]],0)</f>
        <v>4900</v>
      </c>
      <c r="F641" s="10">
        <v>5</v>
      </c>
      <c r="G641" s="12" t="s">
        <v>631</v>
      </c>
      <c r="H641" s="1" t="s">
        <v>26</v>
      </c>
      <c r="I641">
        <v>3</v>
      </c>
      <c r="J641">
        <v>7</v>
      </c>
      <c r="K641">
        <v>2004</v>
      </c>
      <c r="L641" s="1" t="s">
        <v>239</v>
      </c>
      <c r="M641">
        <v>142</v>
      </c>
      <c r="N641" s="1" t="s">
        <v>878</v>
      </c>
      <c r="O641" s="1" t="s">
        <v>632</v>
      </c>
      <c r="P641" s="1" t="s">
        <v>633</v>
      </c>
      <c r="Q641" s="1" t="s">
        <v>634</v>
      </c>
      <c r="R641" s="1" t="s">
        <v>32</v>
      </c>
      <c r="S641" s="1" t="s">
        <v>635</v>
      </c>
      <c r="T641" s="1" t="s">
        <v>32</v>
      </c>
      <c r="U641" s="1" t="s">
        <v>636</v>
      </c>
      <c r="V641" s="1" t="s">
        <v>343</v>
      </c>
      <c r="W641" s="1" t="s">
        <v>48</v>
      </c>
      <c r="X641" s="1" t="s">
        <v>637</v>
      </c>
      <c r="Y641" s="1" t="s">
        <v>638</v>
      </c>
      <c r="Z641" s="1" t="str">
        <f>TRIM(_xlfn.CONCAT(sales_data_sample[[#This Row],[CONTACTFIRSTNAME]],", ",sales_data_sample[[#This Row],[CONTACTLASTNAME]]))</f>
        <v>Maurizio, Moroni</v>
      </c>
      <c r="AA641" s="1" t="s">
        <v>59</v>
      </c>
    </row>
    <row r="642" spans="1:27" x14ac:dyDescent="0.25">
      <c r="A642" s="10">
        <v>10278</v>
      </c>
      <c r="B642" s="9">
        <v>29</v>
      </c>
      <c r="C642" s="9">
        <v>100</v>
      </c>
      <c r="D642" s="9">
        <f>PRODUCT(sales_data_sample[[#This Row],[QUANTITYORDERED]],sales_data_sample[[#This Row],[PRICEEACH]])</f>
        <v>2900</v>
      </c>
      <c r="E642" s="9">
        <f>IF(OR(sales_data_sample[[#This Row],[STATUS]]="Shipped",sales_data_sample[[#This Row],[STATUS]]="Resolved"),sales_data_sample[[#This Row],[SALES]],0)</f>
        <v>2900</v>
      </c>
      <c r="F642" s="10">
        <v>5</v>
      </c>
      <c r="G642" s="12" t="s">
        <v>778</v>
      </c>
      <c r="H642" s="1" t="s">
        <v>26</v>
      </c>
      <c r="I642">
        <v>3</v>
      </c>
      <c r="J642">
        <v>8</v>
      </c>
      <c r="K642">
        <v>2004</v>
      </c>
      <c r="L642" s="1" t="s">
        <v>239</v>
      </c>
      <c r="M642">
        <v>142</v>
      </c>
      <c r="N642" s="1" t="s">
        <v>878</v>
      </c>
      <c r="O642" s="1" t="s">
        <v>779</v>
      </c>
      <c r="P642" s="1" t="s">
        <v>780</v>
      </c>
      <c r="Q642" s="1" t="s">
        <v>781</v>
      </c>
      <c r="R642" s="1" t="s">
        <v>32</v>
      </c>
      <c r="S642" s="1" t="s">
        <v>782</v>
      </c>
      <c r="T642" s="1" t="s">
        <v>783</v>
      </c>
      <c r="U642" s="1" t="s">
        <v>784</v>
      </c>
      <c r="V642" s="1" t="s">
        <v>36</v>
      </c>
      <c r="W642" s="1" t="s">
        <v>37</v>
      </c>
      <c r="X642" s="1" t="s">
        <v>146</v>
      </c>
      <c r="Y642" s="1" t="s">
        <v>551</v>
      </c>
      <c r="Z642" s="1" t="str">
        <f>TRIM(_xlfn.CONCAT(sales_data_sample[[#This Row],[CONTACTFIRSTNAME]],", ",sales_data_sample[[#This Row],[CONTACTLASTNAME]]))</f>
        <v>Sue, King</v>
      </c>
      <c r="AA642" s="1" t="s">
        <v>59</v>
      </c>
    </row>
    <row r="643" spans="1:27" x14ac:dyDescent="0.25">
      <c r="A643" s="10">
        <v>10287</v>
      </c>
      <c r="B643" s="9">
        <v>24</v>
      </c>
      <c r="C643" s="9">
        <v>100</v>
      </c>
      <c r="D643" s="9">
        <f>PRODUCT(sales_data_sample[[#This Row],[QUANTITYORDERED]],sales_data_sample[[#This Row],[PRICEEACH]])</f>
        <v>2400</v>
      </c>
      <c r="E643" s="9">
        <f>IF(OR(sales_data_sample[[#This Row],[STATUS]]="Shipped",sales_data_sample[[#This Row],[STATUS]]="Resolved"),sales_data_sample[[#This Row],[SALES]],0)</f>
        <v>2400</v>
      </c>
      <c r="F643" s="10">
        <v>3</v>
      </c>
      <c r="G643" s="12" t="s">
        <v>645</v>
      </c>
      <c r="H643" s="1" t="s">
        <v>26</v>
      </c>
      <c r="I643">
        <v>3</v>
      </c>
      <c r="J643">
        <v>8</v>
      </c>
      <c r="K643">
        <v>2004</v>
      </c>
      <c r="L643" s="1" t="s">
        <v>239</v>
      </c>
      <c r="M643">
        <v>142</v>
      </c>
      <c r="N643" s="1" t="s">
        <v>878</v>
      </c>
      <c r="O643" s="1" t="s">
        <v>622</v>
      </c>
      <c r="P643" s="1" t="s">
        <v>623</v>
      </c>
      <c r="Q643" s="1" t="s">
        <v>624</v>
      </c>
      <c r="R643" s="1" t="s">
        <v>32</v>
      </c>
      <c r="S643" s="1" t="s">
        <v>625</v>
      </c>
      <c r="T643" s="1" t="s">
        <v>32</v>
      </c>
      <c r="U643" s="1" t="s">
        <v>626</v>
      </c>
      <c r="V643" s="1" t="s">
        <v>627</v>
      </c>
      <c r="W643" s="1" t="s">
        <v>48</v>
      </c>
      <c r="X643" s="1" t="s">
        <v>628</v>
      </c>
      <c r="Y643" s="1" t="s">
        <v>130</v>
      </c>
      <c r="Z643" s="1" t="str">
        <f>TRIM(_xlfn.CONCAT(sales_data_sample[[#This Row],[CONTACTFIRSTNAME]],", ",sales_data_sample[[#This Row],[CONTACTLASTNAME]]))</f>
        <v>Michael, Holz</v>
      </c>
      <c r="AA643" s="1" t="s">
        <v>59</v>
      </c>
    </row>
    <row r="644" spans="1:27" x14ac:dyDescent="0.25">
      <c r="A644" s="10">
        <v>10301</v>
      </c>
      <c r="B644" s="9">
        <v>47</v>
      </c>
      <c r="C644" s="9">
        <v>100</v>
      </c>
      <c r="D644" s="9">
        <f>PRODUCT(sales_data_sample[[#This Row],[QUANTITYORDERED]],sales_data_sample[[#This Row],[PRICEEACH]])</f>
        <v>4700</v>
      </c>
      <c r="E644" s="9">
        <f>IF(OR(sales_data_sample[[#This Row],[STATUS]]="Shipped",sales_data_sample[[#This Row],[STATUS]]="Resolved"),sales_data_sample[[#This Row],[SALES]],0)</f>
        <v>4700</v>
      </c>
      <c r="F644" s="10">
        <v>7</v>
      </c>
      <c r="G644" s="12" t="s">
        <v>785</v>
      </c>
      <c r="H644" s="1" t="s">
        <v>26</v>
      </c>
      <c r="I644">
        <v>4</v>
      </c>
      <c r="J644">
        <v>10</v>
      </c>
      <c r="K644">
        <v>2003</v>
      </c>
      <c r="L644" s="1" t="s">
        <v>239</v>
      </c>
      <c r="M644">
        <v>142</v>
      </c>
      <c r="N644" s="1" t="s">
        <v>878</v>
      </c>
      <c r="O644" s="1" t="s">
        <v>786</v>
      </c>
      <c r="P644" s="1" t="s">
        <v>787</v>
      </c>
      <c r="Q644" s="1" t="s">
        <v>788</v>
      </c>
      <c r="R644" s="1" t="s">
        <v>32</v>
      </c>
      <c r="S644" s="1" t="s">
        <v>789</v>
      </c>
      <c r="T644" s="1" t="s">
        <v>32</v>
      </c>
      <c r="U644" s="1" t="s">
        <v>790</v>
      </c>
      <c r="V644" s="1" t="s">
        <v>97</v>
      </c>
      <c r="W644" s="1" t="s">
        <v>48</v>
      </c>
      <c r="X644" s="1" t="s">
        <v>791</v>
      </c>
      <c r="Y644" s="1" t="s">
        <v>792</v>
      </c>
      <c r="Z644" s="1" t="str">
        <f>TRIM(_xlfn.CONCAT(sales_data_sample[[#This Row],[CONTACTFIRSTNAME]],", ",sales_data_sample[[#This Row],[CONTACTLASTNAME]]))</f>
        <v>Jan, Klaeboe</v>
      </c>
      <c r="AA644" s="1" t="s">
        <v>199</v>
      </c>
    </row>
    <row r="645" spans="1:27" x14ac:dyDescent="0.25">
      <c r="A645" s="10">
        <v>10310</v>
      </c>
      <c r="B645" s="9">
        <v>24</v>
      </c>
      <c r="C645" s="9">
        <v>100</v>
      </c>
      <c r="D645" s="9">
        <f>PRODUCT(sales_data_sample[[#This Row],[QUANTITYORDERED]],sales_data_sample[[#This Row],[PRICEEACH]])</f>
        <v>2400</v>
      </c>
      <c r="E645" s="9">
        <f>IF(OR(sales_data_sample[[#This Row],[STATUS]]="Shipped",sales_data_sample[[#This Row],[STATUS]]="Resolved"),sales_data_sample[[#This Row],[SALES]],0)</f>
        <v>2400</v>
      </c>
      <c r="F645" s="10">
        <v>1</v>
      </c>
      <c r="G645" s="12" t="s">
        <v>653</v>
      </c>
      <c r="H645" s="1" t="s">
        <v>26</v>
      </c>
      <c r="I645">
        <v>4</v>
      </c>
      <c r="J645">
        <v>10</v>
      </c>
      <c r="K645">
        <v>2004</v>
      </c>
      <c r="L645" s="1" t="s">
        <v>239</v>
      </c>
      <c r="M645">
        <v>142</v>
      </c>
      <c r="N645" s="1" t="s">
        <v>878</v>
      </c>
      <c r="O645" s="1" t="s">
        <v>612</v>
      </c>
      <c r="P645" s="1" t="s">
        <v>613</v>
      </c>
      <c r="Q645" s="1" t="s">
        <v>614</v>
      </c>
      <c r="R645" s="1" t="s">
        <v>32</v>
      </c>
      <c r="S645" s="1" t="s">
        <v>615</v>
      </c>
      <c r="T645" s="1" t="s">
        <v>32</v>
      </c>
      <c r="U645" s="1" t="s">
        <v>616</v>
      </c>
      <c r="V645" s="1" t="s">
        <v>617</v>
      </c>
      <c r="W645" s="1" t="s">
        <v>48</v>
      </c>
      <c r="X645" s="1" t="s">
        <v>618</v>
      </c>
      <c r="Y645" s="1" t="s">
        <v>619</v>
      </c>
      <c r="Z645" s="1" t="str">
        <f>TRIM(_xlfn.CONCAT(sales_data_sample[[#This Row],[CONTACTFIRSTNAME]],", ",sales_data_sample[[#This Row],[CONTACTLASTNAME]]))</f>
        <v>Henriette, Pfalzheim</v>
      </c>
      <c r="AA645" s="1" t="s">
        <v>59</v>
      </c>
    </row>
    <row r="646" spans="1:27" x14ac:dyDescent="0.25">
      <c r="A646" s="10">
        <v>10321</v>
      </c>
      <c r="B646" s="9">
        <v>25</v>
      </c>
      <c r="C646" s="9">
        <v>100</v>
      </c>
      <c r="D646" s="9">
        <f>PRODUCT(sales_data_sample[[#This Row],[QUANTITYORDERED]],sales_data_sample[[#This Row],[PRICEEACH]])</f>
        <v>2500</v>
      </c>
      <c r="E646" s="9">
        <f>IF(OR(sales_data_sample[[#This Row],[STATUS]]="Shipped",sales_data_sample[[#This Row],[STATUS]]="Resolved"),sales_data_sample[[#This Row],[SALES]],0)</f>
        <v>2500</v>
      </c>
      <c r="F646" s="10">
        <v>9</v>
      </c>
      <c r="G646" s="12" t="s">
        <v>367</v>
      </c>
      <c r="H646" s="1" t="s">
        <v>26</v>
      </c>
      <c r="I646">
        <v>4</v>
      </c>
      <c r="J646">
        <v>11</v>
      </c>
      <c r="K646">
        <v>2004</v>
      </c>
      <c r="L646" s="1" t="s">
        <v>239</v>
      </c>
      <c r="M646">
        <v>142</v>
      </c>
      <c r="N646" s="1" t="s">
        <v>878</v>
      </c>
      <c r="O646" s="1" t="s">
        <v>212</v>
      </c>
      <c r="P646" s="1" t="s">
        <v>213</v>
      </c>
      <c r="Q646" s="1" t="s">
        <v>214</v>
      </c>
      <c r="R646" s="1" t="s">
        <v>32</v>
      </c>
      <c r="S646" s="1" t="s">
        <v>215</v>
      </c>
      <c r="T646" s="1" t="s">
        <v>160</v>
      </c>
      <c r="U646" s="1" t="s">
        <v>216</v>
      </c>
      <c r="V646" s="1" t="s">
        <v>36</v>
      </c>
      <c r="W646" s="1" t="s">
        <v>37</v>
      </c>
      <c r="X646" s="1" t="s">
        <v>217</v>
      </c>
      <c r="Y646" s="1" t="s">
        <v>218</v>
      </c>
      <c r="Z646" s="1" t="str">
        <f>TRIM(_xlfn.CONCAT(sales_data_sample[[#This Row],[CONTACTFIRSTNAME]],", ",sales_data_sample[[#This Row],[CONTACTLASTNAME]]))</f>
        <v>Violeta, Benitez</v>
      </c>
      <c r="AA646" s="1" t="s">
        <v>59</v>
      </c>
    </row>
    <row r="647" spans="1:27" x14ac:dyDescent="0.25">
      <c r="A647" s="10">
        <v>10331</v>
      </c>
      <c r="B647" s="9">
        <v>30</v>
      </c>
      <c r="C647" s="9">
        <v>3247</v>
      </c>
      <c r="D647" s="9">
        <f>PRODUCT(sales_data_sample[[#This Row],[QUANTITYORDERED]],sales_data_sample[[#This Row],[PRICEEACH]])</f>
        <v>97410</v>
      </c>
      <c r="E647" s="9">
        <f>IF(OR(sales_data_sample[[#This Row],[STATUS]]="Shipped",sales_data_sample[[#This Row],[STATUS]]="Resolved"),sales_data_sample[[#This Row],[SALES]],0)</f>
        <v>97410</v>
      </c>
      <c r="F647" s="10">
        <v>8</v>
      </c>
      <c r="G647" s="12" t="s">
        <v>793</v>
      </c>
      <c r="H647" s="1" t="s">
        <v>26</v>
      </c>
      <c r="I647">
        <v>4</v>
      </c>
      <c r="J647">
        <v>11</v>
      </c>
      <c r="K647">
        <v>2004</v>
      </c>
      <c r="L647" s="1" t="s">
        <v>239</v>
      </c>
      <c r="M647">
        <v>142</v>
      </c>
      <c r="N647" s="1" t="s">
        <v>878</v>
      </c>
      <c r="O647" s="1" t="s">
        <v>415</v>
      </c>
      <c r="P647" s="1" t="s">
        <v>416</v>
      </c>
      <c r="Q647" s="1" t="s">
        <v>417</v>
      </c>
      <c r="R647" s="1" t="s">
        <v>32</v>
      </c>
      <c r="S647" s="1" t="s">
        <v>286</v>
      </c>
      <c r="T647" s="1" t="s">
        <v>186</v>
      </c>
      <c r="U647" s="1" t="s">
        <v>287</v>
      </c>
      <c r="V647" s="1" t="s">
        <v>36</v>
      </c>
      <c r="W647" s="1" t="s">
        <v>37</v>
      </c>
      <c r="X647" s="1" t="s">
        <v>162</v>
      </c>
      <c r="Y647" s="1" t="s">
        <v>418</v>
      </c>
      <c r="Z647" s="1" t="str">
        <f>TRIM(_xlfn.CONCAT(sales_data_sample[[#This Row],[CONTACTFIRSTNAME]],", ",sales_data_sample[[#This Row],[CONTACTLASTNAME]]))</f>
        <v>Rosa, Hernandez</v>
      </c>
      <c r="AA647" s="1" t="s">
        <v>40</v>
      </c>
    </row>
    <row r="648" spans="1:27" x14ac:dyDescent="0.25">
      <c r="A648">
        <v>10342</v>
      </c>
      <c r="B648">
        <v>22</v>
      </c>
      <c r="C648">
        <v>100</v>
      </c>
      <c r="D648">
        <f>PRODUCT(sales_data_sample[[#This Row],[QUANTITYORDERED]],sales_data_sample[[#This Row],[PRICEEACH]])</f>
        <v>2200</v>
      </c>
      <c r="E648" s="9">
        <f>IF(OR(sales_data_sample[[#This Row],[STATUS]]="Shipped",sales_data_sample[[#This Row],[STATUS]]="Resolved"),sales_data_sample[[#This Row],[SALES]],0)</f>
        <v>2200</v>
      </c>
      <c r="F648">
        <v>3</v>
      </c>
      <c r="G648" s="12" t="s">
        <v>190</v>
      </c>
      <c r="H648" s="1" t="s">
        <v>26</v>
      </c>
      <c r="I648">
        <v>4</v>
      </c>
      <c r="J648">
        <v>11</v>
      </c>
      <c r="K648">
        <v>2004</v>
      </c>
      <c r="L648" s="1" t="s">
        <v>239</v>
      </c>
      <c r="M648">
        <v>142</v>
      </c>
      <c r="N648" s="1" t="s">
        <v>878</v>
      </c>
      <c r="O648" s="1" t="s">
        <v>113</v>
      </c>
      <c r="P648" s="1" t="s">
        <v>114</v>
      </c>
      <c r="Q648" s="1" t="s">
        <v>115</v>
      </c>
      <c r="R648" s="1" t="s">
        <v>116</v>
      </c>
      <c r="S648" s="1" t="s">
        <v>117</v>
      </c>
      <c r="T648" s="1" t="s">
        <v>118</v>
      </c>
      <c r="U648" s="1" t="s">
        <v>119</v>
      </c>
      <c r="V648" s="1" t="s">
        <v>120</v>
      </c>
      <c r="W648" s="1" t="s">
        <v>121</v>
      </c>
      <c r="X648" s="1" t="s">
        <v>122</v>
      </c>
      <c r="Y648" s="1" t="s">
        <v>123</v>
      </c>
      <c r="Z648" s="1" t="str">
        <f>TRIM(_xlfn.CONCAT(sales_data_sample[[#This Row],[CONTACTFIRSTNAME]],", ",sales_data_sample[[#This Row],[CONTACTLASTNAME]]))</f>
        <v>Peter, Ferguson</v>
      </c>
      <c r="AA648" s="1" t="s">
        <v>59</v>
      </c>
    </row>
    <row r="649" spans="1:27" x14ac:dyDescent="0.25">
      <c r="A649" s="10">
        <v>10356</v>
      </c>
      <c r="B649" s="9">
        <v>27</v>
      </c>
      <c r="C649" s="9">
        <v>6469</v>
      </c>
      <c r="D649" s="9">
        <f>PRODUCT(sales_data_sample[[#This Row],[QUANTITYORDERED]],sales_data_sample[[#This Row],[PRICEEACH]])</f>
        <v>174663</v>
      </c>
      <c r="E649" s="9">
        <f>IF(OR(sales_data_sample[[#This Row],[STATUS]]="Shipped",sales_data_sample[[#This Row],[STATUS]]="Resolved"),sales_data_sample[[#This Row],[SALES]],0)</f>
        <v>174663</v>
      </c>
      <c r="F649" s="10">
        <v>2</v>
      </c>
      <c r="G649" s="12" t="s">
        <v>794</v>
      </c>
      <c r="H649" s="1" t="s">
        <v>26</v>
      </c>
      <c r="I649">
        <v>4</v>
      </c>
      <c r="J649">
        <v>12</v>
      </c>
      <c r="K649">
        <v>2004</v>
      </c>
      <c r="L649" s="1" t="s">
        <v>239</v>
      </c>
      <c r="M649">
        <v>142</v>
      </c>
      <c r="N649" s="1" t="s">
        <v>878</v>
      </c>
      <c r="O649" s="1" t="s">
        <v>52</v>
      </c>
      <c r="P649" s="1" t="s">
        <v>53</v>
      </c>
      <c r="Q649" s="1" t="s">
        <v>54</v>
      </c>
      <c r="R649" s="1" t="s">
        <v>32</v>
      </c>
      <c r="S649" s="1" t="s">
        <v>55</v>
      </c>
      <c r="T649" s="1" t="s">
        <v>32</v>
      </c>
      <c r="U649" s="1" t="s">
        <v>56</v>
      </c>
      <c r="V649" s="1" t="s">
        <v>47</v>
      </c>
      <c r="W649" s="1" t="s">
        <v>48</v>
      </c>
      <c r="X649" s="1" t="s">
        <v>57</v>
      </c>
      <c r="Y649" s="1" t="s">
        <v>58</v>
      </c>
      <c r="Z649" s="1" t="str">
        <f>TRIM(_xlfn.CONCAT(sales_data_sample[[#This Row],[CONTACTFIRSTNAME]],", ",sales_data_sample[[#This Row],[CONTACTLASTNAME]]))</f>
        <v>Daniel, Da Cunha</v>
      </c>
      <c r="AA649" s="1" t="s">
        <v>40</v>
      </c>
    </row>
    <row r="650" spans="1:27" x14ac:dyDescent="0.25">
      <c r="A650" s="10">
        <v>10366</v>
      </c>
      <c r="B650" s="9">
        <v>34</v>
      </c>
      <c r="C650" s="9">
        <v>100</v>
      </c>
      <c r="D650" s="9">
        <f>PRODUCT(sales_data_sample[[#This Row],[QUANTITYORDERED]],sales_data_sample[[#This Row],[PRICEEACH]])</f>
        <v>3400</v>
      </c>
      <c r="E650" s="9">
        <f>IF(OR(sales_data_sample[[#This Row],[STATUS]]="Shipped",sales_data_sample[[#This Row],[STATUS]]="Resolved"),sales_data_sample[[#This Row],[SALES]],0)</f>
        <v>3400</v>
      </c>
      <c r="F650" s="10">
        <v>3</v>
      </c>
      <c r="G650" s="12" t="s">
        <v>879</v>
      </c>
      <c r="H650" s="1" t="s">
        <v>26</v>
      </c>
      <c r="I650">
        <v>1</v>
      </c>
      <c r="J650">
        <v>1</v>
      </c>
      <c r="K650">
        <v>2005</v>
      </c>
      <c r="L650" s="1" t="s">
        <v>239</v>
      </c>
      <c r="M650">
        <v>142</v>
      </c>
      <c r="N650" s="1" t="s">
        <v>878</v>
      </c>
      <c r="O650" s="1" t="s">
        <v>861</v>
      </c>
      <c r="P650" s="1" t="s">
        <v>862</v>
      </c>
      <c r="Q650" s="1" t="s">
        <v>863</v>
      </c>
      <c r="R650" s="1" t="s">
        <v>32</v>
      </c>
      <c r="S650" s="1" t="s">
        <v>864</v>
      </c>
      <c r="T650" s="1" t="s">
        <v>32</v>
      </c>
      <c r="U650" s="1" t="s">
        <v>865</v>
      </c>
      <c r="V650" s="1" t="s">
        <v>505</v>
      </c>
      <c r="W650" s="1" t="s">
        <v>48</v>
      </c>
      <c r="X650" s="1" t="s">
        <v>866</v>
      </c>
      <c r="Y650" s="1" t="s">
        <v>867</v>
      </c>
      <c r="Z650" s="1" t="str">
        <f>TRIM(_xlfn.CONCAT(sales_data_sample[[#This Row],[CONTACTFIRSTNAME]],", ",sales_data_sample[[#This Row],[CONTACTLASTNAME]]))</f>
        <v>Pascale, Cartrain</v>
      </c>
      <c r="AA650" s="1" t="s">
        <v>59</v>
      </c>
    </row>
    <row r="651" spans="1:27" x14ac:dyDescent="0.25">
      <c r="A651" s="10">
        <v>10377</v>
      </c>
      <c r="B651" s="9">
        <v>36</v>
      </c>
      <c r="C651" s="9">
        <v>100</v>
      </c>
      <c r="D651" s="9">
        <f>PRODUCT(sales_data_sample[[#This Row],[QUANTITYORDERED]],sales_data_sample[[#This Row],[PRICEEACH]])</f>
        <v>3600</v>
      </c>
      <c r="E651" s="9">
        <f>IF(OR(sales_data_sample[[#This Row],[STATUS]]="Shipped",sales_data_sample[[#This Row],[STATUS]]="Resolved"),sales_data_sample[[#This Row],[SALES]],0)</f>
        <v>3600</v>
      </c>
      <c r="F651" s="10">
        <v>6</v>
      </c>
      <c r="G651" s="12" t="s">
        <v>740</v>
      </c>
      <c r="H651" s="1" t="s">
        <v>26</v>
      </c>
      <c r="I651">
        <v>1</v>
      </c>
      <c r="J651">
        <v>2</v>
      </c>
      <c r="K651">
        <v>2005</v>
      </c>
      <c r="L651" s="1" t="s">
        <v>239</v>
      </c>
      <c r="M651">
        <v>142</v>
      </c>
      <c r="N651" s="1" t="s">
        <v>878</v>
      </c>
      <c r="O651" s="1" t="s">
        <v>165</v>
      </c>
      <c r="P651" s="1" t="s">
        <v>166</v>
      </c>
      <c r="Q651" s="1" t="s">
        <v>167</v>
      </c>
      <c r="R651" s="1" t="s">
        <v>32</v>
      </c>
      <c r="S651" s="1" t="s">
        <v>168</v>
      </c>
      <c r="T651" s="1" t="s">
        <v>32</v>
      </c>
      <c r="U651" s="1" t="s">
        <v>169</v>
      </c>
      <c r="V651" s="1" t="s">
        <v>170</v>
      </c>
      <c r="W651" s="1" t="s">
        <v>48</v>
      </c>
      <c r="X651" s="1" t="s">
        <v>171</v>
      </c>
      <c r="Y651" s="1" t="s">
        <v>172</v>
      </c>
      <c r="Z651" s="1" t="str">
        <f>TRIM(_xlfn.CONCAT(sales_data_sample[[#This Row],[CONTACTFIRSTNAME]],", ",sales_data_sample[[#This Row],[CONTACTLASTNAME]]))</f>
        <v>Matti, Karttunen</v>
      </c>
      <c r="AA651" s="1" t="s">
        <v>59</v>
      </c>
    </row>
    <row r="652" spans="1:27" x14ac:dyDescent="0.25">
      <c r="A652" s="10">
        <v>10390</v>
      </c>
      <c r="B652" s="9">
        <v>34</v>
      </c>
      <c r="C652" s="9">
        <v>4305</v>
      </c>
      <c r="D652" s="9">
        <f>PRODUCT(sales_data_sample[[#This Row],[QUANTITYORDERED]],sales_data_sample[[#This Row],[PRICEEACH]])</f>
        <v>146370</v>
      </c>
      <c r="E652" s="9">
        <f>IF(OR(sales_data_sample[[#This Row],[STATUS]]="Shipped",sales_data_sample[[#This Row],[STATUS]]="Resolved"),sales_data_sample[[#This Row],[SALES]],0)</f>
        <v>146370</v>
      </c>
      <c r="F652" s="10">
        <v>15</v>
      </c>
      <c r="G652" s="12" t="s">
        <v>796</v>
      </c>
      <c r="H652" s="1" t="s">
        <v>26</v>
      </c>
      <c r="I652">
        <v>1</v>
      </c>
      <c r="J652">
        <v>3</v>
      </c>
      <c r="K652">
        <v>2005</v>
      </c>
      <c r="L652" s="1" t="s">
        <v>239</v>
      </c>
      <c r="M652">
        <v>142</v>
      </c>
      <c r="N652" s="1" t="s">
        <v>878</v>
      </c>
      <c r="O652" s="1" t="s">
        <v>361</v>
      </c>
      <c r="P652" s="1" t="s">
        <v>362</v>
      </c>
      <c r="Q652" s="1" t="s">
        <v>363</v>
      </c>
      <c r="R652" s="1" t="s">
        <v>32</v>
      </c>
      <c r="S652" s="1" t="s">
        <v>364</v>
      </c>
      <c r="T652" s="1" t="s">
        <v>65</v>
      </c>
      <c r="U652" s="1" t="s">
        <v>145</v>
      </c>
      <c r="V652" s="1" t="s">
        <v>36</v>
      </c>
      <c r="W652" s="1" t="s">
        <v>37</v>
      </c>
      <c r="X652" s="1" t="s">
        <v>365</v>
      </c>
      <c r="Y652" s="1" t="s">
        <v>366</v>
      </c>
      <c r="Z652" s="1" t="str">
        <f>TRIM(_xlfn.CONCAT(sales_data_sample[[#This Row],[CONTACTFIRSTNAME]],", ",sales_data_sample[[#This Row],[CONTACTLASTNAME]]))</f>
        <v>Valarie, Nelson</v>
      </c>
      <c r="AA652" s="1" t="s">
        <v>40</v>
      </c>
    </row>
    <row r="653" spans="1:27" x14ac:dyDescent="0.25">
      <c r="A653" s="10">
        <v>10406</v>
      </c>
      <c r="B653" s="9">
        <v>48</v>
      </c>
      <c r="C653" s="9">
        <v>100</v>
      </c>
      <c r="D653" s="9">
        <f>PRODUCT(sales_data_sample[[#This Row],[QUANTITYORDERED]],sales_data_sample[[#This Row],[PRICEEACH]])</f>
        <v>4800</v>
      </c>
      <c r="E653" s="9">
        <f>IF(OR(sales_data_sample[[#This Row],[STATUS]]="Shipped",sales_data_sample[[#This Row],[STATUS]]="Resolved"),sales_data_sample[[#This Row],[SALES]],0)</f>
        <v>0</v>
      </c>
      <c r="F653" s="10">
        <v>2</v>
      </c>
      <c r="G653" s="12" t="s">
        <v>797</v>
      </c>
      <c r="H653" s="1" t="s">
        <v>229</v>
      </c>
      <c r="I653">
        <v>2</v>
      </c>
      <c r="J653">
        <v>4</v>
      </c>
      <c r="K653">
        <v>2005</v>
      </c>
      <c r="L653" s="1" t="s">
        <v>239</v>
      </c>
      <c r="M653">
        <v>142</v>
      </c>
      <c r="N653" s="1" t="s">
        <v>878</v>
      </c>
      <c r="O653" s="1" t="s">
        <v>437</v>
      </c>
      <c r="P653" s="1" t="s">
        <v>438</v>
      </c>
      <c r="Q653" s="1" t="s">
        <v>439</v>
      </c>
      <c r="R653" s="1" t="s">
        <v>32</v>
      </c>
      <c r="S653" s="1" t="s">
        <v>440</v>
      </c>
      <c r="T653" s="1" t="s">
        <v>32</v>
      </c>
      <c r="U653" s="1" t="s">
        <v>441</v>
      </c>
      <c r="V653" s="1" t="s">
        <v>442</v>
      </c>
      <c r="W653" s="1" t="s">
        <v>48</v>
      </c>
      <c r="X653" s="1" t="s">
        <v>443</v>
      </c>
      <c r="Y653" s="1" t="s">
        <v>444</v>
      </c>
      <c r="Z653" s="1" t="str">
        <f>TRIM(_xlfn.CONCAT(sales_data_sample[[#This Row],[CONTACTFIRSTNAME]],", ",sales_data_sample[[#This Row],[CONTACTLASTNAME]]))</f>
        <v>Jytte, Petersen</v>
      </c>
      <c r="AA653" s="1" t="s">
        <v>199</v>
      </c>
    </row>
    <row r="654" spans="1:27" x14ac:dyDescent="0.25">
      <c r="A654" s="10">
        <v>10419</v>
      </c>
      <c r="B654" s="9">
        <v>34</v>
      </c>
      <c r="C654" s="9">
        <v>100</v>
      </c>
      <c r="D654" s="9">
        <f>PRODUCT(sales_data_sample[[#This Row],[QUANTITYORDERED]],sales_data_sample[[#This Row],[PRICEEACH]])</f>
        <v>3400</v>
      </c>
      <c r="E654" s="9">
        <f>IF(OR(sales_data_sample[[#This Row],[STATUS]]="Shipped",sales_data_sample[[#This Row],[STATUS]]="Resolved"),sales_data_sample[[#This Row],[SALES]],0)</f>
        <v>3400</v>
      </c>
      <c r="F654" s="10">
        <v>4</v>
      </c>
      <c r="G654" s="12" t="s">
        <v>663</v>
      </c>
      <c r="H654" s="1" t="s">
        <v>26</v>
      </c>
      <c r="I654">
        <v>2</v>
      </c>
      <c r="J654">
        <v>5</v>
      </c>
      <c r="K654">
        <v>2005</v>
      </c>
      <c r="L654" s="1" t="s">
        <v>239</v>
      </c>
      <c r="M654">
        <v>142</v>
      </c>
      <c r="N654" s="1" t="s">
        <v>878</v>
      </c>
      <c r="O654" s="1" t="s">
        <v>191</v>
      </c>
      <c r="P654" s="1" t="s">
        <v>192</v>
      </c>
      <c r="Q654" s="1" t="s">
        <v>193</v>
      </c>
      <c r="R654" s="1" t="s">
        <v>32</v>
      </c>
      <c r="S654" s="1" t="s">
        <v>194</v>
      </c>
      <c r="T654" s="1" t="s">
        <v>32</v>
      </c>
      <c r="U654" s="1" t="s">
        <v>195</v>
      </c>
      <c r="V654" s="1" t="s">
        <v>196</v>
      </c>
      <c r="W654" s="1" t="s">
        <v>48</v>
      </c>
      <c r="X654" s="1" t="s">
        <v>197</v>
      </c>
      <c r="Y654" s="1" t="s">
        <v>198</v>
      </c>
      <c r="Z654" s="1" t="str">
        <f>TRIM(_xlfn.CONCAT(sales_data_sample[[#This Row],[CONTACTFIRSTNAME]],", ",sales_data_sample[[#This Row],[CONTACTLASTNAME]]))</f>
        <v>Georg, Pipps</v>
      </c>
      <c r="AA654" s="1" t="s">
        <v>59</v>
      </c>
    </row>
    <row r="655" spans="1:27" x14ac:dyDescent="0.25">
      <c r="A655" s="10">
        <v>10104</v>
      </c>
      <c r="B655" s="9">
        <v>24</v>
      </c>
      <c r="C655" s="9">
        <v>100</v>
      </c>
      <c r="D655" s="9">
        <f>PRODUCT(sales_data_sample[[#This Row],[QUANTITYORDERED]],sales_data_sample[[#This Row],[PRICEEACH]])</f>
        <v>2400</v>
      </c>
      <c r="E655" s="9">
        <f>IF(OR(sales_data_sample[[#This Row],[STATUS]]="Shipped",sales_data_sample[[#This Row],[STATUS]]="Resolved"),sales_data_sample[[#This Row],[SALES]],0)</f>
        <v>2400</v>
      </c>
      <c r="F655" s="10">
        <v>8</v>
      </c>
      <c r="G655" s="12" t="s">
        <v>723</v>
      </c>
      <c r="H655" s="1" t="s">
        <v>26</v>
      </c>
      <c r="I655">
        <v>1</v>
      </c>
      <c r="J655">
        <v>1</v>
      </c>
      <c r="K655">
        <v>2003</v>
      </c>
      <c r="L655" s="1" t="s">
        <v>239</v>
      </c>
      <c r="M655">
        <v>163</v>
      </c>
      <c r="N655" s="1" t="s">
        <v>880</v>
      </c>
      <c r="O655" s="1" t="s">
        <v>230</v>
      </c>
      <c r="P655" s="1" t="s">
        <v>231</v>
      </c>
      <c r="Q655" s="1" t="s">
        <v>232</v>
      </c>
      <c r="R655" s="1" t="s">
        <v>32</v>
      </c>
      <c r="S655" s="1" t="s">
        <v>233</v>
      </c>
      <c r="T655" s="1" t="s">
        <v>32</v>
      </c>
      <c r="U655" s="1" t="s">
        <v>234</v>
      </c>
      <c r="V655" s="1" t="s">
        <v>235</v>
      </c>
      <c r="W655" s="1" t="s">
        <v>48</v>
      </c>
      <c r="X655" s="1" t="s">
        <v>236</v>
      </c>
      <c r="Y655" s="1" t="s">
        <v>237</v>
      </c>
      <c r="Z655" s="1" t="str">
        <f>TRIM(_xlfn.CONCAT(sales_data_sample[[#This Row],[CONTACTFIRSTNAME]],", ",sales_data_sample[[#This Row],[CONTACTLASTNAME]]))</f>
        <v>Diego, Freyre</v>
      </c>
      <c r="AA655" s="1" t="s">
        <v>59</v>
      </c>
    </row>
    <row r="656" spans="1:27" x14ac:dyDescent="0.25">
      <c r="A656">
        <v>10115</v>
      </c>
      <c r="B656">
        <v>46</v>
      </c>
      <c r="C656">
        <v>100</v>
      </c>
      <c r="D656">
        <f>PRODUCT(sales_data_sample[[#This Row],[QUANTITYORDERED]],sales_data_sample[[#This Row],[PRICEEACH]])</f>
        <v>4600</v>
      </c>
      <c r="E656" s="9">
        <f>IF(OR(sales_data_sample[[#This Row],[STATUS]]="Shipped",sales_data_sample[[#This Row],[STATUS]]="Resolved"),sales_data_sample[[#This Row],[SALES]],0)</f>
        <v>4600</v>
      </c>
      <c r="F656">
        <v>4</v>
      </c>
      <c r="G656" s="12" t="s">
        <v>742</v>
      </c>
      <c r="H656" s="1" t="s">
        <v>26</v>
      </c>
      <c r="I656">
        <v>2</v>
      </c>
      <c r="J656">
        <v>4</v>
      </c>
      <c r="K656">
        <v>2003</v>
      </c>
      <c r="L656" s="1" t="s">
        <v>239</v>
      </c>
      <c r="M656">
        <v>163</v>
      </c>
      <c r="N656" s="1" t="s">
        <v>880</v>
      </c>
      <c r="O656" s="1" t="s">
        <v>268</v>
      </c>
      <c r="P656" s="1" t="s">
        <v>269</v>
      </c>
      <c r="Q656" s="1" t="s">
        <v>270</v>
      </c>
      <c r="R656" s="1" t="s">
        <v>271</v>
      </c>
      <c r="S656" s="1" t="s">
        <v>33</v>
      </c>
      <c r="T656" s="1" t="s">
        <v>34</v>
      </c>
      <c r="U656" s="1" t="s">
        <v>35</v>
      </c>
      <c r="V656" s="1" t="s">
        <v>36</v>
      </c>
      <c r="W656" s="1" t="s">
        <v>37</v>
      </c>
      <c r="X656" s="1" t="s">
        <v>162</v>
      </c>
      <c r="Y656" s="1" t="s">
        <v>272</v>
      </c>
      <c r="Z656" s="1" t="str">
        <f>TRIM(_xlfn.CONCAT(sales_data_sample[[#This Row],[CONTACTFIRSTNAME]],", ",sales_data_sample[[#This Row],[CONTACTLASTNAME]]))</f>
        <v>Maria, Hernandez</v>
      </c>
      <c r="AA656" s="1" t="s">
        <v>199</v>
      </c>
    </row>
    <row r="657" spans="1:27" x14ac:dyDescent="0.25">
      <c r="A657">
        <v>10127</v>
      </c>
      <c r="B657">
        <v>45</v>
      </c>
      <c r="C657">
        <v>100</v>
      </c>
      <c r="D657">
        <f>PRODUCT(sales_data_sample[[#This Row],[QUANTITYORDERED]],sales_data_sample[[#This Row],[PRICEEACH]])</f>
        <v>4500</v>
      </c>
      <c r="E657" s="9">
        <f>IF(OR(sales_data_sample[[#This Row],[STATUS]]="Shipped",sales_data_sample[[#This Row],[STATUS]]="Resolved"),sales_data_sample[[#This Row],[SALES]],0)</f>
        <v>4500</v>
      </c>
      <c r="F657">
        <v>10</v>
      </c>
      <c r="G657" s="12" t="s">
        <v>666</v>
      </c>
      <c r="H657" s="1" t="s">
        <v>26</v>
      </c>
      <c r="I657">
        <v>2</v>
      </c>
      <c r="J657">
        <v>6</v>
      </c>
      <c r="K657">
        <v>2003</v>
      </c>
      <c r="L657" s="1" t="s">
        <v>239</v>
      </c>
      <c r="M657">
        <v>163</v>
      </c>
      <c r="N657" s="1" t="s">
        <v>880</v>
      </c>
      <c r="O657" s="1" t="s">
        <v>667</v>
      </c>
      <c r="P657" s="1" t="s">
        <v>668</v>
      </c>
      <c r="Q657" s="1" t="s">
        <v>669</v>
      </c>
      <c r="R657" s="1" t="s">
        <v>670</v>
      </c>
      <c r="S657" s="1" t="s">
        <v>33</v>
      </c>
      <c r="T657" s="1" t="s">
        <v>34</v>
      </c>
      <c r="U657" s="1" t="s">
        <v>35</v>
      </c>
      <c r="V657" s="1" t="s">
        <v>36</v>
      </c>
      <c r="W657" s="1" t="s">
        <v>37</v>
      </c>
      <c r="X657" s="1" t="s">
        <v>67</v>
      </c>
      <c r="Y657" s="1" t="s">
        <v>671</v>
      </c>
      <c r="Z657" s="1" t="str">
        <f>TRIM(_xlfn.CONCAT(sales_data_sample[[#This Row],[CONTACTFIRSTNAME]],", ",sales_data_sample[[#This Row],[CONTACTLASTNAME]]))</f>
        <v>Jeff, Young</v>
      </c>
      <c r="AA657" s="1" t="s">
        <v>199</v>
      </c>
    </row>
    <row r="658" spans="1:27" x14ac:dyDescent="0.25">
      <c r="A658" s="10">
        <v>10141</v>
      </c>
      <c r="B658" s="9">
        <v>39</v>
      </c>
      <c r="C658" s="9">
        <v>100</v>
      </c>
      <c r="D658" s="9">
        <f>PRODUCT(sales_data_sample[[#This Row],[QUANTITYORDERED]],sales_data_sample[[#This Row],[PRICEEACH]])</f>
        <v>3900</v>
      </c>
      <c r="E658" s="9">
        <f>IF(OR(sales_data_sample[[#This Row],[STATUS]]="Shipped",sales_data_sample[[#This Row],[STATUS]]="Resolved"),sales_data_sample[[#This Row],[SALES]],0)</f>
        <v>3900</v>
      </c>
      <c r="F658" s="10">
        <v>4</v>
      </c>
      <c r="G658" s="12" t="s">
        <v>743</v>
      </c>
      <c r="H658" s="1" t="s">
        <v>26</v>
      </c>
      <c r="I658">
        <v>3</v>
      </c>
      <c r="J658">
        <v>8</v>
      </c>
      <c r="K658">
        <v>2003</v>
      </c>
      <c r="L658" s="1" t="s">
        <v>239</v>
      </c>
      <c r="M658">
        <v>163</v>
      </c>
      <c r="N658" s="1" t="s">
        <v>880</v>
      </c>
      <c r="O658" s="1" t="s">
        <v>656</v>
      </c>
      <c r="P658" s="1" t="s">
        <v>657</v>
      </c>
      <c r="Q658" s="1" t="s">
        <v>658</v>
      </c>
      <c r="R658" s="1" t="s">
        <v>32</v>
      </c>
      <c r="S658" s="1" t="s">
        <v>659</v>
      </c>
      <c r="T658" s="1" t="s">
        <v>32</v>
      </c>
      <c r="U658" s="1" t="s">
        <v>660</v>
      </c>
      <c r="V658" s="1" t="s">
        <v>170</v>
      </c>
      <c r="W658" s="1" t="s">
        <v>48</v>
      </c>
      <c r="X658" s="1" t="s">
        <v>661</v>
      </c>
      <c r="Y658" s="1" t="s">
        <v>662</v>
      </c>
      <c r="Z658" s="1" t="str">
        <f>TRIM(_xlfn.CONCAT(sales_data_sample[[#This Row],[CONTACTFIRSTNAME]],", ",sales_data_sample[[#This Row],[CONTACTLASTNAME]]))</f>
        <v>Kalle, Suominen</v>
      </c>
      <c r="AA658" s="1" t="s">
        <v>59</v>
      </c>
    </row>
    <row r="659" spans="1:27" x14ac:dyDescent="0.25">
      <c r="A659" s="10">
        <v>10151</v>
      </c>
      <c r="B659" s="9">
        <v>43</v>
      </c>
      <c r="C659" s="9">
        <v>100</v>
      </c>
      <c r="D659" s="9">
        <f>PRODUCT(sales_data_sample[[#This Row],[QUANTITYORDERED]],sales_data_sample[[#This Row],[PRICEEACH]])</f>
        <v>4300</v>
      </c>
      <c r="E659" s="9">
        <f>IF(OR(sales_data_sample[[#This Row],[STATUS]]="Shipped",sales_data_sample[[#This Row],[STATUS]]="Resolved"),sales_data_sample[[#This Row],[SALES]],0)</f>
        <v>4300</v>
      </c>
      <c r="F659" s="10">
        <v>2</v>
      </c>
      <c r="G659" s="12" t="s">
        <v>744</v>
      </c>
      <c r="H659" s="1" t="s">
        <v>26</v>
      </c>
      <c r="I659">
        <v>3</v>
      </c>
      <c r="J659">
        <v>9</v>
      </c>
      <c r="K659">
        <v>2003</v>
      </c>
      <c r="L659" s="1" t="s">
        <v>239</v>
      </c>
      <c r="M659">
        <v>163</v>
      </c>
      <c r="N659" s="1" t="s">
        <v>880</v>
      </c>
      <c r="O659" s="1" t="s">
        <v>537</v>
      </c>
      <c r="P659" s="1" t="s">
        <v>538</v>
      </c>
      <c r="Q659" s="1" t="s">
        <v>539</v>
      </c>
      <c r="R659" s="1" t="s">
        <v>32</v>
      </c>
      <c r="S659" s="1" t="s">
        <v>540</v>
      </c>
      <c r="T659" s="1" t="s">
        <v>32</v>
      </c>
      <c r="U659" s="1" t="s">
        <v>541</v>
      </c>
      <c r="V659" s="1" t="s">
        <v>170</v>
      </c>
      <c r="W659" s="1" t="s">
        <v>48</v>
      </c>
      <c r="X659" s="1" t="s">
        <v>542</v>
      </c>
      <c r="Y659" s="1" t="s">
        <v>543</v>
      </c>
      <c r="Z659" s="1" t="str">
        <f>TRIM(_xlfn.CONCAT(sales_data_sample[[#This Row],[CONTACTFIRSTNAME]],", ",sales_data_sample[[#This Row],[CONTACTLASTNAME]]))</f>
        <v>Pirkko, Koskitalo</v>
      </c>
      <c r="AA659" s="1" t="s">
        <v>199</v>
      </c>
    </row>
    <row r="660" spans="1:27" x14ac:dyDescent="0.25">
      <c r="A660" s="10">
        <v>10165</v>
      </c>
      <c r="B660" s="9">
        <v>29</v>
      </c>
      <c r="C660" s="9">
        <v>100</v>
      </c>
      <c r="D660" s="9">
        <f>PRODUCT(sales_data_sample[[#This Row],[QUANTITYORDERED]],sales_data_sample[[#This Row],[PRICEEACH]])</f>
        <v>2900</v>
      </c>
      <c r="E660" s="9">
        <f>IF(OR(sales_data_sample[[#This Row],[STATUS]]="Shipped",sales_data_sample[[#This Row],[STATUS]]="Resolved"),sales_data_sample[[#This Row],[SALES]],0)</f>
        <v>2900</v>
      </c>
      <c r="F660" s="10">
        <v>11</v>
      </c>
      <c r="G660" s="12" t="s">
        <v>674</v>
      </c>
      <c r="H660" s="1" t="s">
        <v>26</v>
      </c>
      <c r="I660">
        <v>4</v>
      </c>
      <c r="J660">
        <v>10</v>
      </c>
      <c r="K660">
        <v>2003</v>
      </c>
      <c r="L660" s="1" t="s">
        <v>239</v>
      </c>
      <c r="M660">
        <v>163</v>
      </c>
      <c r="N660" s="1" t="s">
        <v>880</v>
      </c>
      <c r="O660" s="1" t="s">
        <v>259</v>
      </c>
      <c r="P660" s="1" t="s">
        <v>260</v>
      </c>
      <c r="Q660" s="1" t="s">
        <v>261</v>
      </c>
      <c r="R660" s="1" t="s">
        <v>32</v>
      </c>
      <c r="S660" s="1" t="s">
        <v>262</v>
      </c>
      <c r="T660" s="1" t="s">
        <v>32</v>
      </c>
      <c r="U660" s="1" t="s">
        <v>263</v>
      </c>
      <c r="V660" s="1" t="s">
        <v>262</v>
      </c>
      <c r="W660" s="1" t="s">
        <v>264</v>
      </c>
      <c r="X660" s="1" t="s">
        <v>265</v>
      </c>
      <c r="Y660" s="1" t="s">
        <v>266</v>
      </c>
      <c r="Z660" s="1" t="str">
        <f>TRIM(_xlfn.CONCAT(sales_data_sample[[#This Row],[CONTACTFIRSTNAME]],", ",sales_data_sample[[#This Row],[CONTACTLASTNAME]]))</f>
        <v>Eric, Natividad</v>
      </c>
      <c r="AA660" s="1" t="s">
        <v>59</v>
      </c>
    </row>
    <row r="661" spans="1:27" x14ac:dyDescent="0.25">
      <c r="A661" s="10">
        <v>10176</v>
      </c>
      <c r="B661" s="9">
        <v>20</v>
      </c>
      <c r="C661" s="9">
        <v>100</v>
      </c>
      <c r="D661" s="9">
        <f>PRODUCT(sales_data_sample[[#This Row],[QUANTITYORDERED]],sales_data_sample[[#This Row],[PRICEEACH]])</f>
        <v>2000</v>
      </c>
      <c r="E661" s="9">
        <f>IF(OR(sales_data_sample[[#This Row],[STATUS]]="Shipped",sales_data_sample[[#This Row],[STATUS]]="Resolved"),sales_data_sample[[#This Row],[SALES]],0)</f>
        <v>2000</v>
      </c>
      <c r="F661" s="10">
        <v>10</v>
      </c>
      <c r="G661" s="12" t="s">
        <v>273</v>
      </c>
      <c r="H661" s="1" t="s">
        <v>26</v>
      </c>
      <c r="I661">
        <v>4</v>
      </c>
      <c r="J661">
        <v>11</v>
      </c>
      <c r="K661">
        <v>2003</v>
      </c>
      <c r="L661" s="1" t="s">
        <v>239</v>
      </c>
      <c r="M661">
        <v>163</v>
      </c>
      <c r="N661" s="1" t="s">
        <v>880</v>
      </c>
      <c r="O661" s="1" t="s">
        <v>632</v>
      </c>
      <c r="P661" s="1" t="s">
        <v>633</v>
      </c>
      <c r="Q661" s="1" t="s">
        <v>634</v>
      </c>
      <c r="R661" s="1" t="s">
        <v>32</v>
      </c>
      <c r="S661" s="1" t="s">
        <v>635</v>
      </c>
      <c r="T661" s="1" t="s">
        <v>32</v>
      </c>
      <c r="U661" s="1" t="s">
        <v>636</v>
      </c>
      <c r="V661" s="1" t="s">
        <v>343</v>
      </c>
      <c r="W661" s="1" t="s">
        <v>48</v>
      </c>
      <c r="X661" s="1" t="s">
        <v>637</v>
      </c>
      <c r="Y661" s="1" t="s">
        <v>638</v>
      </c>
      <c r="Z661" s="1" t="str">
        <f>TRIM(_xlfn.CONCAT(sales_data_sample[[#This Row],[CONTACTFIRSTNAME]],", ",sales_data_sample[[#This Row],[CONTACTLASTNAME]]))</f>
        <v>Maurizio, Moroni</v>
      </c>
      <c r="AA661" s="1" t="s">
        <v>59</v>
      </c>
    </row>
    <row r="662" spans="1:27" x14ac:dyDescent="0.25">
      <c r="A662" s="10">
        <v>10184</v>
      </c>
      <c r="B662" s="9">
        <v>46</v>
      </c>
      <c r="C662" s="9">
        <v>100</v>
      </c>
      <c r="D662" s="9">
        <f>PRODUCT(sales_data_sample[[#This Row],[QUANTITYORDERED]],sales_data_sample[[#This Row],[PRICEEACH]])</f>
        <v>4600</v>
      </c>
      <c r="E662" s="9">
        <f>IF(OR(sales_data_sample[[#This Row],[STATUS]]="Shipped",sales_data_sample[[#This Row],[STATUS]]="Resolved"),sales_data_sample[[#This Row],[SALES]],0)</f>
        <v>4600</v>
      </c>
      <c r="F662" s="10">
        <v>5</v>
      </c>
      <c r="G662" s="12" t="s">
        <v>470</v>
      </c>
      <c r="H662" s="1" t="s">
        <v>26</v>
      </c>
      <c r="I662">
        <v>4</v>
      </c>
      <c r="J662">
        <v>11</v>
      </c>
      <c r="K662">
        <v>2003</v>
      </c>
      <c r="L662" s="1" t="s">
        <v>239</v>
      </c>
      <c r="M662">
        <v>163</v>
      </c>
      <c r="N662" s="1" t="s">
        <v>880</v>
      </c>
      <c r="O662" s="1" t="s">
        <v>745</v>
      </c>
      <c r="P662" s="1" t="s">
        <v>746</v>
      </c>
      <c r="Q662" s="1" t="s">
        <v>747</v>
      </c>
      <c r="R662" s="1" t="s">
        <v>32</v>
      </c>
      <c r="S662" s="1" t="s">
        <v>748</v>
      </c>
      <c r="T662" s="1" t="s">
        <v>32</v>
      </c>
      <c r="U662" s="1" t="s">
        <v>749</v>
      </c>
      <c r="V662" s="1" t="s">
        <v>235</v>
      </c>
      <c r="W662" s="1" t="s">
        <v>48</v>
      </c>
      <c r="X662" s="1" t="s">
        <v>750</v>
      </c>
      <c r="Y662" s="1" t="s">
        <v>751</v>
      </c>
      <c r="Z662" s="1" t="str">
        <f>TRIM(_xlfn.CONCAT(sales_data_sample[[#This Row],[CONTACTFIRSTNAME]],", ",sales_data_sample[[#This Row],[CONTACTLASTNAME]]))</f>
        <v>Jose Pedro, Roel</v>
      </c>
      <c r="AA662" s="1" t="s">
        <v>199</v>
      </c>
    </row>
    <row r="663" spans="1:27" x14ac:dyDescent="0.25">
      <c r="A663" s="10">
        <v>10195</v>
      </c>
      <c r="B663" s="9">
        <v>27</v>
      </c>
      <c r="C663" s="9">
        <v>100</v>
      </c>
      <c r="D663" s="9">
        <f>PRODUCT(sales_data_sample[[#This Row],[QUANTITYORDERED]],sales_data_sample[[#This Row],[PRICEEACH]])</f>
        <v>2700</v>
      </c>
      <c r="E663" s="9">
        <f>IF(OR(sales_data_sample[[#This Row],[STATUS]]="Shipped",sales_data_sample[[#This Row],[STATUS]]="Resolved"),sales_data_sample[[#This Row],[SALES]],0)</f>
        <v>2700</v>
      </c>
      <c r="F663" s="10">
        <v>5</v>
      </c>
      <c r="G663" s="12" t="s">
        <v>290</v>
      </c>
      <c r="H663" s="1" t="s">
        <v>26</v>
      </c>
      <c r="I663">
        <v>4</v>
      </c>
      <c r="J663">
        <v>11</v>
      </c>
      <c r="K663">
        <v>2003</v>
      </c>
      <c r="L663" s="1" t="s">
        <v>239</v>
      </c>
      <c r="M663">
        <v>163</v>
      </c>
      <c r="N663" s="1" t="s">
        <v>880</v>
      </c>
      <c r="O663" s="1" t="s">
        <v>425</v>
      </c>
      <c r="P663" s="1" t="s">
        <v>426</v>
      </c>
      <c r="Q663" s="1" t="s">
        <v>427</v>
      </c>
      <c r="R663" s="1" t="s">
        <v>32</v>
      </c>
      <c r="S663" s="1" t="s">
        <v>428</v>
      </c>
      <c r="T663" s="1" t="s">
        <v>34</v>
      </c>
      <c r="U663" s="1" t="s">
        <v>429</v>
      </c>
      <c r="V663" s="1" t="s">
        <v>36</v>
      </c>
      <c r="W663" s="1" t="s">
        <v>37</v>
      </c>
      <c r="X663" s="1" t="s">
        <v>129</v>
      </c>
      <c r="Y663" s="1" t="s">
        <v>314</v>
      </c>
      <c r="Z663" s="1" t="str">
        <f>TRIM(_xlfn.CONCAT(sales_data_sample[[#This Row],[CONTACTFIRSTNAME]],", ",sales_data_sample[[#This Row],[CONTACTLASTNAME]]))</f>
        <v>Steve, Frick</v>
      </c>
      <c r="AA663" s="1" t="s">
        <v>59</v>
      </c>
    </row>
    <row r="664" spans="1:27" x14ac:dyDescent="0.25">
      <c r="A664" s="10">
        <v>10207</v>
      </c>
      <c r="B664" s="9">
        <v>44</v>
      </c>
      <c r="C664" s="9">
        <v>100</v>
      </c>
      <c r="D664" s="9">
        <f>PRODUCT(sales_data_sample[[#This Row],[QUANTITYORDERED]],sales_data_sample[[#This Row],[PRICEEACH]])</f>
        <v>4400</v>
      </c>
      <c r="E664" s="9">
        <f>IF(OR(sales_data_sample[[#This Row],[STATUS]]="Shipped",sales_data_sample[[#This Row],[STATUS]]="Resolved"),sales_data_sample[[#This Row],[SALES]],0)</f>
        <v>4400</v>
      </c>
      <c r="F664" s="10">
        <v>6</v>
      </c>
      <c r="G664" s="12" t="s">
        <v>571</v>
      </c>
      <c r="H664" s="1" t="s">
        <v>26</v>
      </c>
      <c r="I664">
        <v>4</v>
      </c>
      <c r="J664">
        <v>12</v>
      </c>
      <c r="K664">
        <v>2003</v>
      </c>
      <c r="L664" s="1" t="s">
        <v>239</v>
      </c>
      <c r="M664">
        <v>163</v>
      </c>
      <c r="N664" s="1" t="s">
        <v>880</v>
      </c>
      <c r="O664" s="1" t="s">
        <v>572</v>
      </c>
      <c r="P664" s="1" t="s">
        <v>573</v>
      </c>
      <c r="Q664" s="1" t="s">
        <v>574</v>
      </c>
      <c r="R664" s="1" t="s">
        <v>32</v>
      </c>
      <c r="S664" s="1" t="s">
        <v>519</v>
      </c>
      <c r="T664" s="1" t="s">
        <v>160</v>
      </c>
      <c r="U664" s="1" t="s">
        <v>520</v>
      </c>
      <c r="V664" s="1" t="s">
        <v>36</v>
      </c>
      <c r="W664" s="1" t="s">
        <v>37</v>
      </c>
      <c r="X664" s="1" t="s">
        <v>575</v>
      </c>
      <c r="Y664" s="1" t="s">
        <v>366</v>
      </c>
      <c r="Z664" s="1" t="str">
        <f>TRIM(_xlfn.CONCAT(sales_data_sample[[#This Row],[CONTACTFIRSTNAME]],", ",sales_data_sample[[#This Row],[CONTACTLASTNAME]]))</f>
        <v>Valarie, Franco</v>
      </c>
      <c r="AA664" s="1" t="s">
        <v>199</v>
      </c>
    </row>
    <row r="665" spans="1:27" x14ac:dyDescent="0.25">
      <c r="A665" s="10">
        <v>10219</v>
      </c>
      <c r="B665" s="9">
        <v>43</v>
      </c>
      <c r="C665" s="9">
        <v>100</v>
      </c>
      <c r="D665" s="9">
        <f>PRODUCT(sales_data_sample[[#This Row],[QUANTITYORDERED]],sales_data_sample[[#This Row],[PRICEEACH]])</f>
        <v>4300</v>
      </c>
      <c r="E665" s="9">
        <f>IF(OR(sales_data_sample[[#This Row],[STATUS]]="Shipped",sales_data_sample[[#This Row],[STATUS]]="Resolved"),sales_data_sample[[#This Row],[SALES]],0)</f>
        <v>4300</v>
      </c>
      <c r="F665" s="10">
        <v>1</v>
      </c>
      <c r="G665" s="12" t="s">
        <v>752</v>
      </c>
      <c r="H665" s="1" t="s">
        <v>26</v>
      </c>
      <c r="I665">
        <v>1</v>
      </c>
      <c r="J665">
        <v>2</v>
      </c>
      <c r="K665">
        <v>2004</v>
      </c>
      <c r="L665" s="1" t="s">
        <v>239</v>
      </c>
      <c r="M665">
        <v>163</v>
      </c>
      <c r="N665" s="1" t="s">
        <v>880</v>
      </c>
      <c r="O665" s="1" t="s">
        <v>753</v>
      </c>
      <c r="P665" s="1" t="s">
        <v>754</v>
      </c>
      <c r="Q665" s="1" t="s">
        <v>755</v>
      </c>
      <c r="R665" s="1" t="s">
        <v>32</v>
      </c>
      <c r="S665" s="1" t="s">
        <v>756</v>
      </c>
      <c r="T665" s="1" t="s">
        <v>65</v>
      </c>
      <c r="U665" s="1" t="s">
        <v>80</v>
      </c>
      <c r="V665" s="1" t="s">
        <v>36</v>
      </c>
      <c r="W665" s="1" t="s">
        <v>37</v>
      </c>
      <c r="X665" s="1" t="s">
        <v>757</v>
      </c>
      <c r="Y665" s="1" t="s">
        <v>551</v>
      </c>
      <c r="Z665" s="1" t="str">
        <f>TRIM(_xlfn.CONCAT(sales_data_sample[[#This Row],[CONTACTFIRSTNAME]],", ",sales_data_sample[[#This Row],[CONTACTLASTNAME]]))</f>
        <v>Sue, Taylor</v>
      </c>
      <c r="AA665" s="1" t="s">
        <v>199</v>
      </c>
    </row>
    <row r="666" spans="1:27" x14ac:dyDescent="0.25">
      <c r="A666" s="10">
        <v>10230</v>
      </c>
      <c r="B666" s="9">
        <v>49</v>
      </c>
      <c r="C666" s="9">
        <v>100</v>
      </c>
      <c r="D666" s="9">
        <f>PRODUCT(sales_data_sample[[#This Row],[QUANTITYORDERED]],sales_data_sample[[#This Row],[PRICEEACH]])</f>
        <v>4900</v>
      </c>
      <c r="E666" s="9">
        <f>IF(OR(sales_data_sample[[#This Row],[STATUS]]="Shipped",sales_data_sample[[#This Row],[STATUS]]="Resolved"),sales_data_sample[[#This Row],[SALES]],0)</f>
        <v>4900</v>
      </c>
      <c r="F666" s="10">
        <v>8</v>
      </c>
      <c r="G666" s="12" t="s">
        <v>725</v>
      </c>
      <c r="H666" s="1" t="s">
        <v>26</v>
      </c>
      <c r="I666">
        <v>1</v>
      </c>
      <c r="J666">
        <v>3</v>
      </c>
      <c r="K666">
        <v>2004</v>
      </c>
      <c r="L666" s="1" t="s">
        <v>239</v>
      </c>
      <c r="M666">
        <v>163</v>
      </c>
      <c r="N666" s="1" t="s">
        <v>880</v>
      </c>
      <c r="O666" s="1" t="s">
        <v>647</v>
      </c>
      <c r="P666" s="1" t="s">
        <v>648</v>
      </c>
      <c r="Q666" s="1" t="s">
        <v>649</v>
      </c>
      <c r="R666" s="1" t="s">
        <v>32</v>
      </c>
      <c r="S666" s="1" t="s">
        <v>650</v>
      </c>
      <c r="T666" s="1" t="s">
        <v>32</v>
      </c>
      <c r="U666" s="1" t="s">
        <v>651</v>
      </c>
      <c r="V666" s="1" t="s">
        <v>617</v>
      </c>
      <c r="W666" s="1" t="s">
        <v>48</v>
      </c>
      <c r="X666" s="1" t="s">
        <v>652</v>
      </c>
      <c r="Y666" s="1" t="s">
        <v>570</v>
      </c>
      <c r="Z666" s="1" t="str">
        <f>TRIM(_xlfn.CONCAT(sales_data_sample[[#This Row],[CONTACTFIRSTNAME]],", ",sales_data_sample[[#This Row],[CONTACTLASTNAME]]))</f>
        <v>Roland, Keitel</v>
      </c>
      <c r="AA666" s="1" t="s">
        <v>199</v>
      </c>
    </row>
    <row r="667" spans="1:27" x14ac:dyDescent="0.25">
      <c r="A667" s="10">
        <v>10246</v>
      </c>
      <c r="B667" s="9">
        <v>40</v>
      </c>
      <c r="C667" s="9">
        <v>100</v>
      </c>
      <c r="D667" s="9">
        <f>PRODUCT(sales_data_sample[[#This Row],[QUANTITYORDERED]],sales_data_sample[[#This Row],[PRICEEACH]])</f>
        <v>4000</v>
      </c>
      <c r="E667" s="9">
        <f>IF(OR(sales_data_sample[[#This Row],[STATUS]]="Shipped",sales_data_sample[[#This Row],[STATUS]]="Resolved"),sales_data_sample[[#This Row],[SALES]],0)</f>
        <v>4000</v>
      </c>
      <c r="F667" s="10">
        <v>4</v>
      </c>
      <c r="G667" s="12" t="s">
        <v>692</v>
      </c>
      <c r="H667" s="1" t="s">
        <v>26</v>
      </c>
      <c r="I667">
        <v>2</v>
      </c>
      <c r="J667">
        <v>5</v>
      </c>
      <c r="K667">
        <v>2004</v>
      </c>
      <c r="L667" s="1" t="s">
        <v>239</v>
      </c>
      <c r="M667">
        <v>163</v>
      </c>
      <c r="N667" s="1" t="s">
        <v>880</v>
      </c>
      <c r="O667" s="1" t="s">
        <v>230</v>
      </c>
      <c r="P667" s="1" t="s">
        <v>231</v>
      </c>
      <c r="Q667" s="1" t="s">
        <v>232</v>
      </c>
      <c r="R667" s="1" t="s">
        <v>32</v>
      </c>
      <c r="S667" s="1" t="s">
        <v>233</v>
      </c>
      <c r="T667" s="1" t="s">
        <v>32</v>
      </c>
      <c r="U667" s="1" t="s">
        <v>234</v>
      </c>
      <c r="V667" s="1" t="s">
        <v>235</v>
      </c>
      <c r="W667" s="1" t="s">
        <v>48</v>
      </c>
      <c r="X667" s="1" t="s">
        <v>236</v>
      </c>
      <c r="Y667" s="1" t="s">
        <v>237</v>
      </c>
      <c r="Z667" s="1" t="str">
        <f>TRIM(_xlfn.CONCAT(sales_data_sample[[#This Row],[CONTACTFIRSTNAME]],", ",sales_data_sample[[#This Row],[CONTACTLASTNAME]]))</f>
        <v>Diego, Freyre</v>
      </c>
      <c r="AA667" s="1" t="s">
        <v>59</v>
      </c>
    </row>
    <row r="668" spans="1:27" x14ac:dyDescent="0.25">
      <c r="A668">
        <v>10259</v>
      </c>
      <c r="B668">
        <v>30</v>
      </c>
      <c r="C668">
        <v>100</v>
      </c>
      <c r="D668">
        <f>PRODUCT(sales_data_sample[[#This Row],[QUANTITYORDERED]],sales_data_sample[[#This Row],[PRICEEACH]])</f>
        <v>3000</v>
      </c>
      <c r="E668" s="9">
        <f>IF(OR(sales_data_sample[[#This Row],[STATUS]]="Shipped",sales_data_sample[[#This Row],[STATUS]]="Resolved"),sales_data_sample[[#This Row],[SALES]],0)</f>
        <v>3000</v>
      </c>
      <c r="F668">
        <v>3</v>
      </c>
      <c r="G668" s="12" t="s">
        <v>327</v>
      </c>
      <c r="H668" s="1" t="s">
        <v>26</v>
      </c>
      <c r="I668">
        <v>2</v>
      </c>
      <c r="J668">
        <v>6</v>
      </c>
      <c r="K668">
        <v>2004</v>
      </c>
      <c r="L668" s="1" t="s">
        <v>239</v>
      </c>
      <c r="M668">
        <v>163</v>
      </c>
      <c r="N668" s="1" t="s">
        <v>880</v>
      </c>
      <c r="O668" s="1" t="s">
        <v>577</v>
      </c>
      <c r="P668" s="1" t="s">
        <v>578</v>
      </c>
      <c r="Q668" s="1" t="s">
        <v>579</v>
      </c>
      <c r="R668" s="1" t="s">
        <v>580</v>
      </c>
      <c r="S668" s="1" t="s">
        <v>262</v>
      </c>
      <c r="T668" s="1" t="s">
        <v>32</v>
      </c>
      <c r="U668" s="1" t="s">
        <v>581</v>
      </c>
      <c r="V668" s="1" t="s">
        <v>262</v>
      </c>
      <c r="W668" s="1" t="s">
        <v>121</v>
      </c>
      <c r="X668" s="1" t="s">
        <v>582</v>
      </c>
      <c r="Y668" s="1" t="s">
        <v>583</v>
      </c>
      <c r="Z668" s="1" t="str">
        <f>TRIM(_xlfn.CONCAT(sales_data_sample[[#This Row],[CONTACTFIRSTNAME]],", ",sales_data_sample[[#This Row],[CONTACTLASTNAME]]))</f>
        <v>Wendy, Victorino</v>
      </c>
      <c r="AA668" s="1" t="s">
        <v>59</v>
      </c>
    </row>
    <row r="669" spans="1:27" x14ac:dyDescent="0.25">
      <c r="A669" s="10">
        <v>10271</v>
      </c>
      <c r="B669" s="9">
        <v>50</v>
      </c>
      <c r="C669" s="9">
        <v>100</v>
      </c>
      <c r="D669" s="9">
        <f>PRODUCT(sales_data_sample[[#This Row],[QUANTITYORDERED]],sales_data_sample[[#This Row],[PRICEEACH]])</f>
        <v>5000</v>
      </c>
      <c r="E669" s="9">
        <f>IF(OR(sales_data_sample[[#This Row],[STATUS]]="Shipped",sales_data_sample[[#This Row],[STATUS]]="Resolved"),sales_data_sample[[#This Row],[SALES]],0)</f>
        <v>5000</v>
      </c>
      <c r="F669" s="10">
        <v>4</v>
      </c>
      <c r="G669" s="12" t="s">
        <v>693</v>
      </c>
      <c r="H669" s="1" t="s">
        <v>26</v>
      </c>
      <c r="I669">
        <v>3</v>
      </c>
      <c r="J669">
        <v>7</v>
      </c>
      <c r="K669">
        <v>2004</v>
      </c>
      <c r="L669" s="1" t="s">
        <v>239</v>
      </c>
      <c r="M669">
        <v>163</v>
      </c>
      <c r="N669" s="1" t="s">
        <v>880</v>
      </c>
      <c r="O669" s="1" t="s">
        <v>361</v>
      </c>
      <c r="P669" s="1" t="s">
        <v>362</v>
      </c>
      <c r="Q669" s="1" t="s">
        <v>363</v>
      </c>
      <c r="R669" s="1" t="s">
        <v>32</v>
      </c>
      <c r="S669" s="1" t="s">
        <v>364</v>
      </c>
      <c r="T669" s="1" t="s">
        <v>65</v>
      </c>
      <c r="U669" s="1" t="s">
        <v>145</v>
      </c>
      <c r="V669" s="1" t="s">
        <v>36</v>
      </c>
      <c r="W669" s="1" t="s">
        <v>37</v>
      </c>
      <c r="X669" s="1" t="s">
        <v>365</v>
      </c>
      <c r="Y669" s="1" t="s">
        <v>366</v>
      </c>
      <c r="Z669" s="1" t="str">
        <f>TRIM(_xlfn.CONCAT(sales_data_sample[[#This Row],[CONTACTFIRSTNAME]],", ",sales_data_sample[[#This Row],[CONTACTLASTNAME]]))</f>
        <v>Valarie, Nelson</v>
      </c>
      <c r="AA669" s="1" t="s">
        <v>199</v>
      </c>
    </row>
    <row r="670" spans="1:27" x14ac:dyDescent="0.25">
      <c r="A670" s="10">
        <v>10282</v>
      </c>
      <c r="B670" s="9">
        <v>23</v>
      </c>
      <c r="C670" s="9">
        <v>100</v>
      </c>
      <c r="D670" s="9">
        <f>PRODUCT(sales_data_sample[[#This Row],[QUANTITYORDERED]],sales_data_sample[[#This Row],[PRICEEACH]])</f>
        <v>2300</v>
      </c>
      <c r="E670" s="9">
        <f>IF(OR(sales_data_sample[[#This Row],[STATUS]]="Shipped",sales_data_sample[[#This Row],[STATUS]]="Resolved"),sales_data_sample[[#This Row],[SALES]],0)</f>
        <v>2300</v>
      </c>
      <c r="F670" s="10">
        <v>13</v>
      </c>
      <c r="G670" s="12" t="s">
        <v>508</v>
      </c>
      <c r="H670" s="1" t="s">
        <v>26</v>
      </c>
      <c r="I670">
        <v>3</v>
      </c>
      <c r="J670">
        <v>8</v>
      </c>
      <c r="K670">
        <v>2004</v>
      </c>
      <c r="L670" s="1" t="s">
        <v>239</v>
      </c>
      <c r="M670">
        <v>163</v>
      </c>
      <c r="N670" s="1" t="s">
        <v>880</v>
      </c>
      <c r="O670" s="1" t="s">
        <v>361</v>
      </c>
      <c r="P670" s="1" t="s">
        <v>362</v>
      </c>
      <c r="Q670" s="1" t="s">
        <v>363</v>
      </c>
      <c r="R670" s="1" t="s">
        <v>32</v>
      </c>
      <c r="S670" s="1" t="s">
        <v>364</v>
      </c>
      <c r="T670" s="1" t="s">
        <v>65</v>
      </c>
      <c r="U670" s="1" t="s">
        <v>145</v>
      </c>
      <c r="V670" s="1" t="s">
        <v>36</v>
      </c>
      <c r="W670" s="1" t="s">
        <v>37</v>
      </c>
      <c r="X670" s="1" t="s">
        <v>365</v>
      </c>
      <c r="Y670" s="1" t="s">
        <v>366</v>
      </c>
      <c r="Z670" s="1" t="str">
        <f>TRIM(_xlfn.CONCAT(sales_data_sample[[#This Row],[CONTACTFIRSTNAME]],", ",sales_data_sample[[#This Row],[CONTACTLASTNAME]]))</f>
        <v>Valarie, Nelson</v>
      </c>
      <c r="AA670" s="1" t="s">
        <v>59</v>
      </c>
    </row>
    <row r="671" spans="1:27" x14ac:dyDescent="0.25">
      <c r="A671" s="10">
        <v>10292</v>
      </c>
      <c r="B671" s="9">
        <v>26</v>
      </c>
      <c r="C671" s="9">
        <v>100</v>
      </c>
      <c r="D671" s="9">
        <f>PRODUCT(sales_data_sample[[#This Row],[QUANTITYORDERED]],sales_data_sample[[#This Row],[PRICEEACH]])</f>
        <v>2600</v>
      </c>
      <c r="E671" s="9">
        <f>IF(OR(sales_data_sample[[#This Row],[STATUS]]="Shipped",sales_data_sample[[#This Row],[STATUS]]="Resolved"),sales_data_sample[[#This Row],[SALES]],0)</f>
        <v>2600</v>
      </c>
      <c r="F671" s="10">
        <v>7</v>
      </c>
      <c r="G671" s="12" t="s">
        <v>346</v>
      </c>
      <c r="H671" s="1" t="s">
        <v>26</v>
      </c>
      <c r="I671">
        <v>3</v>
      </c>
      <c r="J671">
        <v>9</v>
      </c>
      <c r="K671">
        <v>2004</v>
      </c>
      <c r="L671" s="1" t="s">
        <v>239</v>
      </c>
      <c r="M671">
        <v>163</v>
      </c>
      <c r="N671" s="1" t="s">
        <v>880</v>
      </c>
      <c r="O671" s="1" t="s">
        <v>29</v>
      </c>
      <c r="P671" s="1" t="s">
        <v>30</v>
      </c>
      <c r="Q671" s="1" t="s">
        <v>31</v>
      </c>
      <c r="R671" s="1" t="s">
        <v>32</v>
      </c>
      <c r="S671" s="1" t="s">
        <v>33</v>
      </c>
      <c r="T671" s="1" t="s">
        <v>34</v>
      </c>
      <c r="U671" s="1" t="s">
        <v>35</v>
      </c>
      <c r="V671" s="1" t="s">
        <v>36</v>
      </c>
      <c r="W671" s="1" t="s">
        <v>37</v>
      </c>
      <c r="X671" s="1" t="s">
        <v>38</v>
      </c>
      <c r="Y671" s="1" t="s">
        <v>39</v>
      </c>
      <c r="Z671" s="1" t="str">
        <f>TRIM(_xlfn.CONCAT(sales_data_sample[[#This Row],[CONTACTFIRSTNAME]],", ",sales_data_sample[[#This Row],[CONTACTLASTNAME]]))</f>
        <v>Kwai, Yu</v>
      </c>
      <c r="AA671" s="1" t="s">
        <v>59</v>
      </c>
    </row>
    <row r="672" spans="1:27" x14ac:dyDescent="0.25">
      <c r="A672" s="10">
        <v>10305</v>
      </c>
      <c r="B672" s="9">
        <v>27</v>
      </c>
      <c r="C672" s="9">
        <v>100</v>
      </c>
      <c r="D672" s="9">
        <f>PRODUCT(sales_data_sample[[#This Row],[QUANTITYORDERED]],sales_data_sample[[#This Row],[PRICEEACH]])</f>
        <v>2700</v>
      </c>
      <c r="E672" s="9">
        <f>IF(OR(sales_data_sample[[#This Row],[STATUS]]="Shipped",sales_data_sample[[#This Row],[STATUS]]="Resolved"),sales_data_sample[[#This Row],[SALES]],0)</f>
        <v>2700</v>
      </c>
      <c r="F672" s="10">
        <v>4</v>
      </c>
      <c r="G672" s="12" t="s">
        <v>586</v>
      </c>
      <c r="H672" s="1" t="s">
        <v>26</v>
      </c>
      <c r="I672">
        <v>4</v>
      </c>
      <c r="J672">
        <v>10</v>
      </c>
      <c r="K672">
        <v>2004</v>
      </c>
      <c r="L672" s="1" t="s">
        <v>239</v>
      </c>
      <c r="M672">
        <v>163</v>
      </c>
      <c r="N672" s="1" t="s">
        <v>880</v>
      </c>
      <c r="O672" s="1" t="s">
        <v>156</v>
      </c>
      <c r="P672" s="1" t="s">
        <v>157</v>
      </c>
      <c r="Q672" s="1" t="s">
        <v>158</v>
      </c>
      <c r="R672" s="1" t="s">
        <v>32</v>
      </c>
      <c r="S672" s="1" t="s">
        <v>159</v>
      </c>
      <c r="T672" s="1" t="s">
        <v>160</v>
      </c>
      <c r="U672" s="1" t="s">
        <v>161</v>
      </c>
      <c r="V672" s="1" t="s">
        <v>36</v>
      </c>
      <c r="W672" s="1" t="s">
        <v>37</v>
      </c>
      <c r="X672" s="1" t="s">
        <v>162</v>
      </c>
      <c r="Y672" s="1" t="s">
        <v>163</v>
      </c>
      <c r="Z672" s="1" t="str">
        <f>TRIM(_xlfn.CONCAT(sales_data_sample[[#This Row],[CONTACTFIRSTNAME]],", ",sales_data_sample[[#This Row],[CONTACTLASTNAME]]))</f>
        <v>Marta, Hernandez</v>
      </c>
      <c r="AA672" s="1" t="s">
        <v>59</v>
      </c>
    </row>
    <row r="673" spans="1:27" x14ac:dyDescent="0.25">
      <c r="A673" s="10">
        <v>10314</v>
      </c>
      <c r="B673" s="9">
        <v>42</v>
      </c>
      <c r="C673" s="9">
        <v>100</v>
      </c>
      <c r="D673" s="9">
        <f>PRODUCT(sales_data_sample[[#This Row],[QUANTITYORDERED]],sales_data_sample[[#This Row],[PRICEEACH]])</f>
        <v>4200</v>
      </c>
      <c r="E673" s="9">
        <f>IF(OR(sales_data_sample[[#This Row],[STATUS]]="Shipped",sales_data_sample[[#This Row],[STATUS]]="Resolved"),sales_data_sample[[#This Row],[SALES]],0)</f>
        <v>4200</v>
      </c>
      <c r="F673" s="10">
        <v>13</v>
      </c>
      <c r="G673" s="12" t="s">
        <v>587</v>
      </c>
      <c r="H673" s="1" t="s">
        <v>26</v>
      </c>
      <c r="I673">
        <v>4</v>
      </c>
      <c r="J673">
        <v>10</v>
      </c>
      <c r="K673">
        <v>2004</v>
      </c>
      <c r="L673" s="1" t="s">
        <v>239</v>
      </c>
      <c r="M673">
        <v>163</v>
      </c>
      <c r="N673" s="1" t="s">
        <v>880</v>
      </c>
      <c r="O673" s="1" t="s">
        <v>701</v>
      </c>
      <c r="P673" s="1" t="s">
        <v>702</v>
      </c>
      <c r="Q673" s="1" t="s">
        <v>703</v>
      </c>
      <c r="R673" s="1" t="s">
        <v>32</v>
      </c>
      <c r="S673" s="1" t="s">
        <v>704</v>
      </c>
      <c r="T673" s="1" t="s">
        <v>32</v>
      </c>
      <c r="U673" s="1" t="s">
        <v>705</v>
      </c>
      <c r="V673" s="1" t="s">
        <v>442</v>
      </c>
      <c r="W673" s="1" t="s">
        <v>48</v>
      </c>
      <c r="X673" s="1" t="s">
        <v>706</v>
      </c>
      <c r="Y673" s="1" t="s">
        <v>707</v>
      </c>
      <c r="Z673" s="1" t="str">
        <f>TRIM(_xlfn.CONCAT(sales_data_sample[[#This Row],[CONTACTFIRSTNAME]],", ",sales_data_sample[[#This Row],[CONTACTLASTNAME]]))</f>
        <v>Palle, Ibsen</v>
      </c>
      <c r="AA673" s="1" t="s">
        <v>59</v>
      </c>
    </row>
    <row r="674" spans="1:27" x14ac:dyDescent="0.25">
      <c r="A674">
        <v>10324</v>
      </c>
      <c r="B674">
        <v>47</v>
      </c>
      <c r="C674">
        <v>100</v>
      </c>
      <c r="D674">
        <f>PRODUCT(sales_data_sample[[#This Row],[QUANTITYORDERED]],sales_data_sample[[#This Row],[PRICEEACH]])</f>
        <v>4700</v>
      </c>
      <c r="E674" s="9">
        <f>IF(OR(sales_data_sample[[#This Row],[STATUS]]="Shipped",sales_data_sample[[#This Row],[STATUS]]="Resolved"),sales_data_sample[[#This Row],[SALES]],0)</f>
        <v>4700</v>
      </c>
      <c r="F674">
        <v>8</v>
      </c>
      <c r="G674" s="12" t="s">
        <v>532</v>
      </c>
      <c r="H674" s="1" t="s">
        <v>26</v>
      </c>
      <c r="I674">
        <v>4</v>
      </c>
      <c r="J674">
        <v>11</v>
      </c>
      <c r="K674">
        <v>2004</v>
      </c>
      <c r="L674" s="1" t="s">
        <v>239</v>
      </c>
      <c r="M674">
        <v>163</v>
      </c>
      <c r="N674" s="1" t="s">
        <v>880</v>
      </c>
      <c r="O674" s="1" t="s">
        <v>125</v>
      </c>
      <c r="P674" s="1" t="s">
        <v>126</v>
      </c>
      <c r="Q674" s="1" t="s">
        <v>127</v>
      </c>
      <c r="R674" s="1" t="s">
        <v>128</v>
      </c>
      <c r="S674" s="1" t="s">
        <v>33</v>
      </c>
      <c r="T674" s="1" t="s">
        <v>34</v>
      </c>
      <c r="U674" s="1" t="s">
        <v>35</v>
      </c>
      <c r="V674" s="1" t="s">
        <v>36</v>
      </c>
      <c r="W674" s="1" t="s">
        <v>37</v>
      </c>
      <c r="X674" s="1" t="s">
        <v>129</v>
      </c>
      <c r="Y674" s="1" t="s">
        <v>130</v>
      </c>
      <c r="Z674" s="1" t="str">
        <f>TRIM(_xlfn.CONCAT(sales_data_sample[[#This Row],[CONTACTFIRSTNAME]],", ",sales_data_sample[[#This Row],[CONTACTLASTNAME]]))</f>
        <v>Michael, Frick</v>
      </c>
      <c r="AA674" s="1" t="s">
        <v>199</v>
      </c>
    </row>
    <row r="675" spans="1:27" x14ac:dyDescent="0.25">
      <c r="A675" s="10">
        <v>10336</v>
      </c>
      <c r="B675" s="9">
        <v>49</v>
      </c>
      <c r="C675" s="9">
        <v>100</v>
      </c>
      <c r="D675" s="9">
        <f>PRODUCT(sales_data_sample[[#This Row],[QUANTITYORDERED]],sales_data_sample[[#This Row],[PRICEEACH]])</f>
        <v>4900</v>
      </c>
      <c r="E675" s="9">
        <f>IF(OR(sales_data_sample[[#This Row],[STATUS]]="Shipped",sales_data_sample[[#This Row],[STATUS]]="Resolved"),sales_data_sample[[#This Row],[SALES]],0)</f>
        <v>4900</v>
      </c>
      <c r="F675" s="10">
        <v>6</v>
      </c>
      <c r="G675" s="12" t="s">
        <v>708</v>
      </c>
      <c r="H675" s="1" t="s">
        <v>26</v>
      </c>
      <c r="I675">
        <v>4</v>
      </c>
      <c r="J675">
        <v>11</v>
      </c>
      <c r="K675">
        <v>2004</v>
      </c>
      <c r="L675" s="1" t="s">
        <v>239</v>
      </c>
      <c r="M675">
        <v>163</v>
      </c>
      <c r="N675" s="1" t="s">
        <v>880</v>
      </c>
      <c r="O675" s="1" t="s">
        <v>556</v>
      </c>
      <c r="P675" s="1" t="s">
        <v>557</v>
      </c>
      <c r="Q675" s="1" t="s">
        <v>558</v>
      </c>
      <c r="R675" s="1" t="s">
        <v>32</v>
      </c>
      <c r="S675" s="1" t="s">
        <v>55</v>
      </c>
      <c r="T675" s="1" t="s">
        <v>32</v>
      </c>
      <c r="U675" s="1" t="s">
        <v>559</v>
      </c>
      <c r="V675" s="1" t="s">
        <v>47</v>
      </c>
      <c r="W675" s="1" t="s">
        <v>48</v>
      </c>
      <c r="X675" s="1" t="s">
        <v>560</v>
      </c>
      <c r="Y675" s="1" t="s">
        <v>561</v>
      </c>
      <c r="Z675" s="1" t="str">
        <f>TRIM(_xlfn.CONCAT(sales_data_sample[[#This Row],[CONTACTFIRSTNAME]],", ",sales_data_sample[[#This Row],[CONTACTLASTNAME]]))</f>
        <v>Marie, Bertrand</v>
      </c>
      <c r="AA675" s="1" t="s">
        <v>199</v>
      </c>
    </row>
    <row r="676" spans="1:27" x14ac:dyDescent="0.25">
      <c r="A676">
        <v>10349</v>
      </c>
      <c r="B676">
        <v>38</v>
      </c>
      <c r="C676">
        <v>100</v>
      </c>
      <c r="D676">
        <f>PRODUCT(sales_data_sample[[#This Row],[QUANTITYORDERED]],sales_data_sample[[#This Row],[PRICEEACH]])</f>
        <v>3800</v>
      </c>
      <c r="E676" s="9">
        <f>IF(OR(sales_data_sample[[#This Row],[STATUS]]="Shipped",sales_data_sample[[#This Row],[STATUS]]="Resolved"),sales_data_sample[[#This Row],[SALES]],0)</f>
        <v>3800</v>
      </c>
      <c r="F676">
        <v>8</v>
      </c>
      <c r="G676" s="12" t="s">
        <v>737</v>
      </c>
      <c r="H676" s="1" t="s">
        <v>26</v>
      </c>
      <c r="I676">
        <v>4</v>
      </c>
      <c r="J676">
        <v>12</v>
      </c>
      <c r="K676">
        <v>2004</v>
      </c>
      <c r="L676" s="1" t="s">
        <v>239</v>
      </c>
      <c r="M676">
        <v>163</v>
      </c>
      <c r="N676" s="1" t="s">
        <v>880</v>
      </c>
      <c r="O676" s="1" t="s">
        <v>667</v>
      </c>
      <c r="P676" s="1" t="s">
        <v>668</v>
      </c>
      <c r="Q676" s="1" t="s">
        <v>669</v>
      </c>
      <c r="R676" s="1" t="s">
        <v>670</v>
      </c>
      <c r="S676" s="1" t="s">
        <v>33</v>
      </c>
      <c r="T676" s="1" t="s">
        <v>34</v>
      </c>
      <c r="U676" s="1" t="s">
        <v>35</v>
      </c>
      <c r="V676" s="1" t="s">
        <v>36</v>
      </c>
      <c r="W676" s="1" t="s">
        <v>37</v>
      </c>
      <c r="X676" s="1" t="s">
        <v>67</v>
      </c>
      <c r="Y676" s="1" t="s">
        <v>671</v>
      </c>
      <c r="Z676" s="1" t="str">
        <f>TRIM(_xlfn.CONCAT(sales_data_sample[[#This Row],[CONTACTFIRSTNAME]],", ",sales_data_sample[[#This Row],[CONTACTLASTNAME]]))</f>
        <v>Jeff, Young</v>
      </c>
      <c r="AA676" s="1" t="s">
        <v>59</v>
      </c>
    </row>
    <row r="677" spans="1:27" x14ac:dyDescent="0.25">
      <c r="A677" s="10">
        <v>10358</v>
      </c>
      <c r="B677" s="9">
        <v>20</v>
      </c>
      <c r="C677" s="9">
        <v>100</v>
      </c>
      <c r="D677" s="9">
        <f>PRODUCT(sales_data_sample[[#This Row],[QUANTITYORDERED]],sales_data_sample[[#This Row],[PRICEEACH]])</f>
        <v>2000</v>
      </c>
      <c r="E677" s="9">
        <f>IF(OR(sales_data_sample[[#This Row],[STATUS]]="Shipped",sales_data_sample[[#This Row],[STATUS]]="Resolved"),sales_data_sample[[#This Row],[SALES]],0)</f>
        <v>2000</v>
      </c>
      <c r="F677" s="10">
        <v>10</v>
      </c>
      <c r="G677" s="12" t="s">
        <v>376</v>
      </c>
      <c r="H677" s="1" t="s">
        <v>26</v>
      </c>
      <c r="I677">
        <v>4</v>
      </c>
      <c r="J677">
        <v>12</v>
      </c>
      <c r="K677">
        <v>2004</v>
      </c>
      <c r="L677" s="1" t="s">
        <v>239</v>
      </c>
      <c r="M677">
        <v>163</v>
      </c>
      <c r="N677" s="1" t="s">
        <v>880</v>
      </c>
      <c r="O677" s="1" t="s">
        <v>230</v>
      </c>
      <c r="P677" s="1" t="s">
        <v>231</v>
      </c>
      <c r="Q677" s="1" t="s">
        <v>232</v>
      </c>
      <c r="R677" s="1" t="s">
        <v>32</v>
      </c>
      <c r="S677" s="1" t="s">
        <v>233</v>
      </c>
      <c r="T677" s="1" t="s">
        <v>32</v>
      </c>
      <c r="U677" s="1" t="s">
        <v>234</v>
      </c>
      <c r="V677" s="1" t="s">
        <v>235</v>
      </c>
      <c r="W677" s="1" t="s">
        <v>48</v>
      </c>
      <c r="X677" s="1" t="s">
        <v>236</v>
      </c>
      <c r="Y677" s="1" t="s">
        <v>237</v>
      </c>
      <c r="Z677" s="1" t="str">
        <f>TRIM(_xlfn.CONCAT(sales_data_sample[[#This Row],[CONTACTFIRSTNAME]],", ",sales_data_sample[[#This Row],[CONTACTLASTNAME]]))</f>
        <v>Diego, Freyre</v>
      </c>
      <c r="AA677" s="1" t="s">
        <v>40</v>
      </c>
    </row>
    <row r="678" spans="1:27" x14ac:dyDescent="0.25">
      <c r="A678" s="10">
        <v>10371</v>
      </c>
      <c r="B678" s="9">
        <v>25</v>
      </c>
      <c r="C678" s="9">
        <v>100</v>
      </c>
      <c r="D678" s="9">
        <f>PRODUCT(sales_data_sample[[#This Row],[QUANTITYORDERED]],sales_data_sample[[#This Row],[PRICEEACH]])</f>
        <v>2500</v>
      </c>
      <c r="E678" s="9">
        <f>IF(OR(sales_data_sample[[#This Row],[STATUS]]="Shipped",sales_data_sample[[#This Row],[STATUS]]="Resolved"),sales_data_sample[[#This Row],[SALES]],0)</f>
        <v>2500</v>
      </c>
      <c r="F678" s="10">
        <v>7</v>
      </c>
      <c r="G678" s="12" t="s">
        <v>709</v>
      </c>
      <c r="H678" s="1" t="s">
        <v>26</v>
      </c>
      <c r="I678">
        <v>1</v>
      </c>
      <c r="J678">
        <v>1</v>
      </c>
      <c r="K678">
        <v>2005</v>
      </c>
      <c r="L678" s="1" t="s">
        <v>239</v>
      </c>
      <c r="M678">
        <v>163</v>
      </c>
      <c r="N678" s="1" t="s">
        <v>880</v>
      </c>
      <c r="O678" s="1" t="s">
        <v>361</v>
      </c>
      <c r="P678" s="1" t="s">
        <v>362</v>
      </c>
      <c r="Q678" s="1" t="s">
        <v>363</v>
      </c>
      <c r="R678" s="1" t="s">
        <v>32</v>
      </c>
      <c r="S678" s="1" t="s">
        <v>364</v>
      </c>
      <c r="T678" s="1" t="s">
        <v>65</v>
      </c>
      <c r="U678" s="1" t="s">
        <v>145</v>
      </c>
      <c r="V678" s="1" t="s">
        <v>36</v>
      </c>
      <c r="W678" s="1" t="s">
        <v>37</v>
      </c>
      <c r="X678" s="1" t="s">
        <v>365</v>
      </c>
      <c r="Y678" s="1" t="s">
        <v>366</v>
      </c>
      <c r="Z678" s="1" t="str">
        <f>TRIM(_xlfn.CONCAT(sales_data_sample[[#This Row],[CONTACTFIRSTNAME]],", ",sales_data_sample[[#This Row],[CONTACTLASTNAME]]))</f>
        <v>Valarie, Nelson</v>
      </c>
      <c r="AA678" s="1" t="s">
        <v>40</v>
      </c>
    </row>
    <row r="679" spans="1:27" x14ac:dyDescent="0.25">
      <c r="A679" s="10">
        <v>10382</v>
      </c>
      <c r="B679" s="9">
        <v>25</v>
      </c>
      <c r="C679" s="9">
        <v>88</v>
      </c>
      <c r="D679" s="9">
        <f>PRODUCT(sales_data_sample[[#This Row],[QUANTITYORDERED]],sales_data_sample[[#This Row],[PRICEEACH]])</f>
        <v>2200</v>
      </c>
      <c r="E679" s="9">
        <f>IF(OR(sales_data_sample[[#This Row],[STATUS]]="Shipped",sales_data_sample[[#This Row],[STATUS]]="Resolved"),sales_data_sample[[#This Row],[SALES]],0)</f>
        <v>2200</v>
      </c>
      <c r="F679" s="10">
        <v>5</v>
      </c>
      <c r="G679" s="12" t="s">
        <v>383</v>
      </c>
      <c r="H679" s="1" t="s">
        <v>26</v>
      </c>
      <c r="I679">
        <v>1</v>
      </c>
      <c r="J679">
        <v>2</v>
      </c>
      <c r="K679">
        <v>2005</v>
      </c>
      <c r="L679" s="1" t="s">
        <v>239</v>
      </c>
      <c r="M679">
        <v>163</v>
      </c>
      <c r="N679" s="1" t="s">
        <v>880</v>
      </c>
      <c r="O679" s="1" t="s">
        <v>361</v>
      </c>
      <c r="P679" s="1" t="s">
        <v>362</v>
      </c>
      <c r="Q679" s="1" t="s">
        <v>363</v>
      </c>
      <c r="R679" s="1" t="s">
        <v>32</v>
      </c>
      <c r="S679" s="1" t="s">
        <v>364</v>
      </c>
      <c r="T679" s="1" t="s">
        <v>65</v>
      </c>
      <c r="U679" s="1" t="s">
        <v>145</v>
      </c>
      <c r="V679" s="1" t="s">
        <v>36</v>
      </c>
      <c r="W679" s="1" t="s">
        <v>37</v>
      </c>
      <c r="X679" s="1" t="s">
        <v>365</v>
      </c>
      <c r="Y679" s="1" t="s">
        <v>366</v>
      </c>
      <c r="Z679" s="1" t="str">
        <f>TRIM(_xlfn.CONCAT(sales_data_sample[[#This Row],[CONTACTFIRSTNAME]],", ",sales_data_sample[[#This Row],[CONTACTLASTNAME]]))</f>
        <v>Valarie, Nelson</v>
      </c>
      <c r="AA679" s="1" t="s">
        <v>40</v>
      </c>
    </row>
    <row r="680" spans="1:27" x14ac:dyDescent="0.25">
      <c r="A680" s="10">
        <v>10412</v>
      </c>
      <c r="B680" s="9">
        <v>41</v>
      </c>
      <c r="C680" s="9">
        <v>100</v>
      </c>
      <c r="D680" s="9">
        <f>PRODUCT(sales_data_sample[[#This Row],[QUANTITYORDERED]],sales_data_sample[[#This Row],[PRICEEACH]])</f>
        <v>4100</v>
      </c>
      <c r="E680" s="9">
        <f>IF(OR(sales_data_sample[[#This Row],[STATUS]]="Shipped",sales_data_sample[[#This Row],[STATUS]]="Resolved"),sales_data_sample[[#This Row],[SALES]],0)</f>
        <v>4100</v>
      </c>
      <c r="F680" s="10">
        <v>4</v>
      </c>
      <c r="G680" s="12" t="s">
        <v>758</v>
      </c>
      <c r="H680" s="1" t="s">
        <v>26</v>
      </c>
      <c r="I680">
        <v>2</v>
      </c>
      <c r="J680">
        <v>5</v>
      </c>
      <c r="K680">
        <v>2005</v>
      </c>
      <c r="L680" s="1" t="s">
        <v>239</v>
      </c>
      <c r="M680">
        <v>163</v>
      </c>
      <c r="N680" s="1" t="s">
        <v>880</v>
      </c>
      <c r="O680" s="1" t="s">
        <v>230</v>
      </c>
      <c r="P680" s="1" t="s">
        <v>231</v>
      </c>
      <c r="Q680" s="1" t="s">
        <v>232</v>
      </c>
      <c r="R680" s="1" t="s">
        <v>32</v>
      </c>
      <c r="S680" s="1" t="s">
        <v>233</v>
      </c>
      <c r="T680" s="1" t="s">
        <v>32</v>
      </c>
      <c r="U680" s="1" t="s">
        <v>234</v>
      </c>
      <c r="V680" s="1" t="s">
        <v>235</v>
      </c>
      <c r="W680" s="1" t="s">
        <v>48</v>
      </c>
      <c r="X680" s="1" t="s">
        <v>236</v>
      </c>
      <c r="Y680" s="1" t="s">
        <v>237</v>
      </c>
      <c r="Z680" s="1" t="str">
        <f>TRIM(_xlfn.CONCAT(sales_data_sample[[#This Row],[CONTACTFIRSTNAME]],", ",sales_data_sample[[#This Row],[CONTACTLASTNAME]]))</f>
        <v>Diego, Freyre</v>
      </c>
      <c r="AA680" s="1" t="s">
        <v>59</v>
      </c>
    </row>
    <row r="681" spans="1:27" x14ac:dyDescent="0.25">
      <c r="A681" s="10">
        <v>10425</v>
      </c>
      <c r="B681" s="9">
        <v>28</v>
      </c>
      <c r="C681" s="9">
        <v>100</v>
      </c>
      <c r="D681" s="9">
        <f>PRODUCT(sales_data_sample[[#This Row],[QUANTITYORDERED]],sales_data_sample[[#This Row],[PRICEEACH]])</f>
        <v>2800</v>
      </c>
      <c r="E681" s="9">
        <f>IF(OR(sales_data_sample[[#This Row],[STATUS]]="Shipped",sales_data_sample[[#This Row],[STATUS]]="Resolved"),sales_data_sample[[#This Row],[SALES]],0)</f>
        <v>0</v>
      </c>
      <c r="F681" s="10">
        <v>3</v>
      </c>
      <c r="G681" s="12" t="s">
        <v>402</v>
      </c>
      <c r="H681" s="1" t="s">
        <v>403</v>
      </c>
      <c r="I681">
        <v>2</v>
      </c>
      <c r="J681">
        <v>5</v>
      </c>
      <c r="K681">
        <v>2005</v>
      </c>
      <c r="L681" s="1" t="s">
        <v>239</v>
      </c>
      <c r="M681">
        <v>163</v>
      </c>
      <c r="N681" s="1" t="s">
        <v>880</v>
      </c>
      <c r="O681" s="1" t="s">
        <v>148</v>
      </c>
      <c r="P681" s="1" t="s">
        <v>149</v>
      </c>
      <c r="Q681" s="1" t="s">
        <v>150</v>
      </c>
      <c r="R681" s="1" t="s">
        <v>32</v>
      </c>
      <c r="S681" s="1" t="s">
        <v>151</v>
      </c>
      <c r="T681" s="1" t="s">
        <v>32</v>
      </c>
      <c r="U681" s="1" t="s">
        <v>152</v>
      </c>
      <c r="V681" s="1" t="s">
        <v>47</v>
      </c>
      <c r="W681" s="1" t="s">
        <v>48</v>
      </c>
      <c r="X681" s="1" t="s">
        <v>153</v>
      </c>
      <c r="Y681" s="1" t="s">
        <v>154</v>
      </c>
      <c r="Z681" s="1" t="str">
        <f>TRIM(_xlfn.CONCAT(sales_data_sample[[#This Row],[CONTACTFIRSTNAME]],", ",sales_data_sample[[#This Row],[CONTACTLASTNAME]]))</f>
        <v>Janine, Labrune</v>
      </c>
      <c r="AA681" s="1" t="s">
        <v>59</v>
      </c>
    </row>
    <row r="682" spans="1:27" x14ac:dyDescent="0.25">
      <c r="A682" s="10">
        <v>10100</v>
      </c>
      <c r="B682" s="9">
        <v>50</v>
      </c>
      <c r="C682" s="9">
        <v>678</v>
      </c>
      <c r="D682" s="9">
        <f>PRODUCT(sales_data_sample[[#This Row],[QUANTITYORDERED]],sales_data_sample[[#This Row],[PRICEEACH]])</f>
        <v>33900</v>
      </c>
      <c r="E682" s="9">
        <f>IF(OR(sales_data_sample[[#This Row],[STATUS]]="Shipped",sales_data_sample[[#This Row],[STATUS]]="Resolved"),sales_data_sample[[#This Row],[SALES]],0)</f>
        <v>33900</v>
      </c>
      <c r="F682" s="10">
        <v>2</v>
      </c>
      <c r="G682" s="12" t="s">
        <v>872</v>
      </c>
      <c r="H682" s="1" t="s">
        <v>26</v>
      </c>
      <c r="I682">
        <v>1</v>
      </c>
      <c r="J682">
        <v>1</v>
      </c>
      <c r="K682">
        <v>2003</v>
      </c>
      <c r="L682" s="1" t="s">
        <v>799</v>
      </c>
      <c r="M682">
        <v>60</v>
      </c>
      <c r="N682" s="1" t="s">
        <v>881</v>
      </c>
      <c r="O682" s="1" t="s">
        <v>368</v>
      </c>
      <c r="P682" s="1" t="s">
        <v>369</v>
      </c>
      <c r="Q682" s="1" t="s">
        <v>370</v>
      </c>
      <c r="R682" s="1" t="s">
        <v>32</v>
      </c>
      <c r="S682" s="1" t="s">
        <v>371</v>
      </c>
      <c r="T682" s="1" t="s">
        <v>372</v>
      </c>
      <c r="U682" s="1" t="s">
        <v>373</v>
      </c>
      <c r="V682" s="1" t="s">
        <v>36</v>
      </c>
      <c r="W682" s="1" t="s">
        <v>37</v>
      </c>
      <c r="X682" s="1" t="s">
        <v>67</v>
      </c>
      <c r="Y682" s="1" t="s">
        <v>366</v>
      </c>
      <c r="Z682" s="1" t="str">
        <f>TRIM(_xlfn.CONCAT(sales_data_sample[[#This Row],[CONTACTFIRSTNAME]],", ",sales_data_sample[[#This Row],[CONTACTLASTNAME]]))</f>
        <v>Valarie, Young</v>
      </c>
      <c r="AA682" s="1" t="s">
        <v>59</v>
      </c>
    </row>
    <row r="683" spans="1:27" x14ac:dyDescent="0.25">
      <c r="A683" s="10">
        <v>10110</v>
      </c>
      <c r="B683" s="9">
        <v>32</v>
      </c>
      <c r="C683" s="9">
        <v>5025</v>
      </c>
      <c r="D683" s="9">
        <f>PRODUCT(sales_data_sample[[#This Row],[QUANTITYORDERED]],sales_data_sample[[#This Row],[PRICEEACH]])</f>
        <v>160800</v>
      </c>
      <c r="E683" s="9">
        <f>IF(OR(sales_data_sample[[#This Row],[STATUS]]="Shipped",sales_data_sample[[#This Row],[STATUS]]="Resolved"),sales_data_sample[[#This Row],[SALES]],0)</f>
        <v>160800</v>
      </c>
      <c r="F683" s="10">
        <v>6</v>
      </c>
      <c r="G683" s="12" t="s">
        <v>829</v>
      </c>
      <c r="H683" s="1" t="s">
        <v>26</v>
      </c>
      <c r="I683">
        <v>1</v>
      </c>
      <c r="J683">
        <v>3</v>
      </c>
      <c r="K683">
        <v>2003</v>
      </c>
      <c r="L683" s="1" t="s">
        <v>799</v>
      </c>
      <c r="M683">
        <v>60</v>
      </c>
      <c r="N683" s="1" t="s">
        <v>881</v>
      </c>
      <c r="O683" s="1" t="s">
        <v>695</v>
      </c>
      <c r="P683" s="1" t="s">
        <v>696</v>
      </c>
      <c r="Q683" s="1" t="s">
        <v>697</v>
      </c>
      <c r="R683" s="1" t="s">
        <v>32</v>
      </c>
      <c r="S683" s="1" t="s">
        <v>698</v>
      </c>
      <c r="T683" s="1" t="s">
        <v>32</v>
      </c>
      <c r="U683" s="1" t="s">
        <v>699</v>
      </c>
      <c r="V683" s="1" t="s">
        <v>225</v>
      </c>
      <c r="W683" s="1" t="s">
        <v>48</v>
      </c>
      <c r="X683" s="1" t="s">
        <v>700</v>
      </c>
      <c r="Y683" s="1" t="s">
        <v>118</v>
      </c>
      <c r="Z683" s="1" t="str">
        <f>TRIM(_xlfn.CONCAT(sales_data_sample[[#This Row],[CONTACTFIRSTNAME]],", ",sales_data_sample[[#This Row],[CONTACTLASTNAME]]))</f>
        <v>Victoria, Ashworth</v>
      </c>
      <c r="AA683" s="1" t="s">
        <v>40</v>
      </c>
    </row>
    <row r="684" spans="1:27" x14ac:dyDescent="0.25">
      <c r="A684" s="10">
        <v>10124</v>
      </c>
      <c r="B684" s="9">
        <v>42</v>
      </c>
      <c r="C684" s="9">
        <v>5388</v>
      </c>
      <c r="D684" s="9">
        <f>PRODUCT(sales_data_sample[[#This Row],[QUANTITYORDERED]],sales_data_sample[[#This Row],[PRICEEACH]])</f>
        <v>226296</v>
      </c>
      <c r="E684" s="9">
        <f>IF(OR(sales_data_sample[[#This Row],[STATUS]]="Shipped",sales_data_sample[[#This Row],[STATUS]]="Resolved"),sales_data_sample[[#This Row],[SALES]],0)</f>
        <v>226296</v>
      </c>
      <c r="F684" s="10">
        <v>5</v>
      </c>
      <c r="G684" s="12" t="s">
        <v>802</v>
      </c>
      <c r="H684" s="1" t="s">
        <v>26</v>
      </c>
      <c r="I684">
        <v>2</v>
      </c>
      <c r="J684">
        <v>5</v>
      </c>
      <c r="K684">
        <v>2003</v>
      </c>
      <c r="L684" s="1" t="s">
        <v>799</v>
      </c>
      <c r="M684">
        <v>60</v>
      </c>
      <c r="N684" s="1" t="s">
        <v>881</v>
      </c>
      <c r="O684" s="1" t="s">
        <v>779</v>
      </c>
      <c r="P684" s="1" t="s">
        <v>780</v>
      </c>
      <c r="Q684" s="1" t="s">
        <v>781</v>
      </c>
      <c r="R684" s="1" t="s">
        <v>32</v>
      </c>
      <c r="S684" s="1" t="s">
        <v>782</v>
      </c>
      <c r="T684" s="1" t="s">
        <v>783</v>
      </c>
      <c r="U684" s="1" t="s">
        <v>784</v>
      </c>
      <c r="V684" s="1" t="s">
        <v>36</v>
      </c>
      <c r="W684" s="1" t="s">
        <v>37</v>
      </c>
      <c r="X684" s="1" t="s">
        <v>146</v>
      </c>
      <c r="Y684" s="1" t="s">
        <v>551</v>
      </c>
      <c r="Z684" s="1" t="str">
        <f>TRIM(_xlfn.CONCAT(sales_data_sample[[#This Row],[CONTACTFIRSTNAME]],", ",sales_data_sample[[#This Row],[CONTACTLASTNAME]]))</f>
        <v>Sue, King</v>
      </c>
      <c r="AA684" s="1" t="s">
        <v>40</v>
      </c>
    </row>
    <row r="685" spans="1:27" x14ac:dyDescent="0.25">
      <c r="A685" s="10">
        <v>10149</v>
      </c>
      <c r="B685" s="9">
        <v>24</v>
      </c>
      <c r="C685" s="9">
        <v>6236</v>
      </c>
      <c r="D685" s="9">
        <f>PRODUCT(sales_data_sample[[#This Row],[QUANTITYORDERED]],sales_data_sample[[#This Row],[PRICEEACH]])</f>
        <v>149664</v>
      </c>
      <c r="E685" s="9">
        <f>IF(OR(sales_data_sample[[#This Row],[STATUS]]="Shipped",sales_data_sample[[#This Row],[STATUS]]="Resolved"),sales_data_sample[[#This Row],[SALES]],0)</f>
        <v>149664</v>
      </c>
      <c r="F685" s="10">
        <v>10</v>
      </c>
      <c r="G685" s="12" t="s">
        <v>804</v>
      </c>
      <c r="H685" s="1" t="s">
        <v>26</v>
      </c>
      <c r="I685">
        <v>3</v>
      </c>
      <c r="J685">
        <v>9</v>
      </c>
      <c r="K685">
        <v>2003</v>
      </c>
      <c r="L685" s="1" t="s">
        <v>799</v>
      </c>
      <c r="M685">
        <v>60</v>
      </c>
      <c r="N685" s="1" t="s">
        <v>881</v>
      </c>
      <c r="O685" s="1" t="s">
        <v>753</v>
      </c>
      <c r="P685" s="1" t="s">
        <v>754</v>
      </c>
      <c r="Q685" s="1" t="s">
        <v>755</v>
      </c>
      <c r="R685" s="1" t="s">
        <v>32</v>
      </c>
      <c r="S685" s="1" t="s">
        <v>756</v>
      </c>
      <c r="T685" s="1" t="s">
        <v>65</v>
      </c>
      <c r="U685" s="1" t="s">
        <v>80</v>
      </c>
      <c r="V685" s="1" t="s">
        <v>36</v>
      </c>
      <c r="W685" s="1" t="s">
        <v>37</v>
      </c>
      <c r="X685" s="1" t="s">
        <v>757</v>
      </c>
      <c r="Y685" s="1" t="s">
        <v>551</v>
      </c>
      <c r="Z685" s="1" t="str">
        <f>TRIM(_xlfn.CONCAT(sales_data_sample[[#This Row],[CONTACTFIRSTNAME]],", ",sales_data_sample[[#This Row],[CONTACTLASTNAME]]))</f>
        <v>Sue, Taylor</v>
      </c>
      <c r="AA685" s="1" t="s">
        <v>40</v>
      </c>
    </row>
    <row r="686" spans="1:27" x14ac:dyDescent="0.25">
      <c r="A686" s="10">
        <v>10162</v>
      </c>
      <c r="B686" s="9">
        <v>27</v>
      </c>
      <c r="C686" s="9">
        <v>6962</v>
      </c>
      <c r="D686" s="9">
        <f>PRODUCT(sales_data_sample[[#This Row],[QUANTITYORDERED]],sales_data_sample[[#This Row],[PRICEEACH]])</f>
        <v>187974</v>
      </c>
      <c r="E686" s="9">
        <f>IF(OR(sales_data_sample[[#This Row],[STATUS]]="Shipped",sales_data_sample[[#This Row],[STATUS]]="Resolved"),sales_data_sample[[#This Row],[SALES]],0)</f>
        <v>187974</v>
      </c>
      <c r="F686" s="10">
        <v>8</v>
      </c>
      <c r="G686" s="12" t="s">
        <v>805</v>
      </c>
      <c r="H686" s="1" t="s">
        <v>26</v>
      </c>
      <c r="I686">
        <v>4</v>
      </c>
      <c r="J686">
        <v>10</v>
      </c>
      <c r="K686">
        <v>2003</v>
      </c>
      <c r="L686" s="1" t="s">
        <v>799</v>
      </c>
      <c r="M686">
        <v>60</v>
      </c>
      <c r="N686" s="1" t="s">
        <v>881</v>
      </c>
      <c r="O686" s="1" t="s">
        <v>70</v>
      </c>
      <c r="P686" s="1" t="s">
        <v>71</v>
      </c>
      <c r="Q686" s="1" t="s">
        <v>72</v>
      </c>
      <c r="R686" s="1" t="s">
        <v>32</v>
      </c>
      <c r="S686" s="1" t="s">
        <v>73</v>
      </c>
      <c r="T686" s="1" t="s">
        <v>65</v>
      </c>
      <c r="U686" s="1" t="s">
        <v>32</v>
      </c>
      <c r="V686" s="1" t="s">
        <v>36</v>
      </c>
      <c r="W686" s="1" t="s">
        <v>37</v>
      </c>
      <c r="X686" s="1" t="s">
        <v>74</v>
      </c>
      <c r="Y686" s="1" t="s">
        <v>68</v>
      </c>
      <c r="Z686" s="1" t="str">
        <f>TRIM(_xlfn.CONCAT(sales_data_sample[[#This Row],[CONTACTFIRSTNAME]],", ",sales_data_sample[[#This Row],[CONTACTLASTNAME]]))</f>
        <v>Julie, Brown</v>
      </c>
      <c r="AA686" s="1" t="s">
        <v>40</v>
      </c>
    </row>
    <row r="687" spans="1:27" x14ac:dyDescent="0.25">
      <c r="A687" s="10">
        <v>10173</v>
      </c>
      <c r="B687" s="9">
        <v>26</v>
      </c>
      <c r="C687" s="9">
        <v>5751</v>
      </c>
      <c r="D687" s="9">
        <f>PRODUCT(sales_data_sample[[#This Row],[QUANTITYORDERED]],sales_data_sample[[#This Row],[PRICEEACH]])</f>
        <v>149526</v>
      </c>
      <c r="E687" s="9">
        <f>IF(OR(sales_data_sample[[#This Row],[STATUS]]="Shipped",sales_data_sample[[#This Row],[STATUS]]="Resolved"),sales_data_sample[[#This Row],[SALES]],0)</f>
        <v>149526</v>
      </c>
      <c r="F687" s="10">
        <v>12</v>
      </c>
      <c r="G687" s="12" t="s">
        <v>776</v>
      </c>
      <c r="H687" s="1" t="s">
        <v>26</v>
      </c>
      <c r="I687">
        <v>4</v>
      </c>
      <c r="J687">
        <v>11</v>
      </c>
      <c r="K687">
        <v>2003</v>
      </c>
      <c r="L687" s="1" t="s">
        <v>799</v>
      </c>
      <c r="M687">
        <v>60</v>
      </c>
      <c r="N687" s="1" t="s">
        <v>881</v>
      </c>
      <c r="O687" s="1" t="s">
        <v>806</v>
      </c>
      <c r="P687" s="1" t="s">
        <v>807</v>
      </c>
      <c r="Q687" s="1" t="s">
        <v>808</v>
      </c>
      <c r="R687" s="1" t="s">
        <v>32</v>
      </c>
      <c r="S687" s="1" t="s">
        <v>809</v>
      </c>
      <c r="T687" s="1" t="s">
        <v>32</v>
      </c>
      <c r="U687" s="1" t="s">
        <v>810</v>
      </c>
      <c r="V687" s="1" t="s">
        <v>343</v>
      </c>
      <c r="W687" s="1" t="s">
        <v>48</v>
      </c>
      <c r="X687" s="1" t="s">
        <v>811</v>
      </c>
      <c r="Y687" s="1" t="s">
        <v>812</v>
      </c>
      <c r="Z687" s="1" t="str">
        <f>TRIM(_xlfn.CONCAT(sales_data_sample[[#This Row],[CONTACTFIRSTNAME]],", ",sales_data_sample[[#This Row],[CONTACTLASTNAME]]))</f>
        <v>Giovanni, Rovelli</v>
      </c>
      <c r="AA687" s="1" t="s">
        <v>40</v>
      </c>
    </row>
    <row r="688" spans="1:27" x14ac:dyDescent="0.25">
      <c r="A688" s="10">
        <v>10182</v>
      </c>
      <c r="B688" s="9">
        <v>38</v>
      </c>
      <c r="C688" s="9">
        <v>6115</v>
      </c>
      <c r="D688" s="9">
        <f>PRODUCT(sales_data_sample[[#This Row],[QUANTITYORDERED]],sales_data_sample[[#This Row],[PRICEEACH]])</f>
        <v>232370</v>
      </c>
      <c r="E688" s="9">
        <f>IF(OR(sales_data_sample[[#This Row],[STATUS]]="Shipped",sales_data_sample[[#This Row],[STATUS]]="Resolved"),sales_data_sample[[#This Row],[SALES]],0)</f>
        <v>232370</v>
      </c>
      <c r="F688" s="10">
        <v>9</v>
      </c>
      <c r="G688" s="12" t="s">
        <v>610</v>
      </c>
      <c r="H688" s="1" t="s">
        <v>26</v>
      </c>
      <c r="I688">
        <v>4</v>
      </c>
      <c r="J688">
        <v>11</v>
      </c>
      <c r="K688">
        <v>2003</v>
      </c>
      <c r="L688" s="1" t="s">
        <v>799</v>
      </c>
      <c r="M688">
        <v>60</v>
      </c>
      <c r="N688" s="1" t="s">
        <v>881</v>
      </c>
      <c r="O688" s="1" t="s">
        <v>361</v>
      </c>
      <c r="P688" s="1" t="s">
        <v>362</v>
      </c>
      <c r="Q688" s="1" t="s">
        <v>363</v>
      </c>
      <c r="R688" s="1" t="s">
        <v>32</v>
      </c>
      <c r="S688" s="1" t="s">
        <v>364</v>
      </c>
      <c r="T688" s="1" t="s">
        <v>65</v>
      </c>
      <c r="U688" s="1" t="s">
        <v>145</v>
      </c>
      <c r="V688" s="1" t="s">
        <v>36</v>
      </c>
      <c r="W688" s="1" t="s">
        <v>37</v>
      </c>
      <c r="X688" s="1" t="s">
        <v>365</v>
      </c>
      <c r="Y688" s="1" t="s">
        <v>366</v>
      </c>
      <c r="Z688" s="1" t="str">
        <f>TRIM(_xlfn.CONCAT(sales_data_sample[[#This Row],[CONTACTFIRSTNAME]],", ",sales_data_sample[[#This Row],[CONTACTLASTNAME]]))</f>
        <v>Valarie, Nelson</v>
      </c>
      <c r="AA688" s="1" t="s">
        <v>40</v>
      </c>
    </row>
    <row r="689" spans="1:27" x14ac:dyDescent="0.25">
      <c r="A689" s="10">
        <v>10193</v>
      </c>
      <c r="B689" s="9">
        <v>42</v>
      </c>
      <c r="C689" s="9">
        <v>5933</v>
      </c>
      <c r="D689" s="9">
        <f>PRODUCT(sales_data_sample[[#This Row],[QUANTITYORDERED]],sales_data_sample[[#This Row],[PRICEEACH]])</f>
        <v>249186</v>
      </c>
      <c r="E689" s="9">
        <f>IF(OR(sales_data_sample[[#This Row],[STATUS]]="Shipped",sales_data_sample[[#This Row],[STATUS]]="Resolved"),sales_data_sample[[#This Row],[SALES]],0)</f>
        <v>249186</v>
      </c>
      <c r="F689" s="10">
        <v>13</v>
      </c>
      <c r="G689" s="12" t="s">
        <v>813</v>
      </c>
      <c r="H689" s="1" t="s">
        <v>26</v>
      </c>
      <c r="I689">
        <v>4</v>
      </c>
      <c r="J689">
        <v>11</v>
      </c>
      <c r="K689">
        <v>2003</v>
      </c>
      <c r="L689" s="1" t="s">
        <v>799</v>
      </c>
      <c r="M689">
        <v>60</v>
      </c>
      <c r="N689" s="1" t="s">
        <v>881</v>
      </c>
      <c r="O689" s="1" t="s">
        <v>814</v>
      </c>
      <c r="P689" s="1" t="s">
        <v>815</v>
      </c>
      <c r="Q689" s="1" t="s">
        <v>816</v>
      </c>
      <c r="R689" s="1" t="s">
        <v>32</v>
      </c>
      <c r="S689" s="1" t="s">
        <v>817</v>
      </c>
      <c r="T689" s="1" t="s">
        <v>118</v>
      </c>
      <c r="U689" s="1" t="s">
        <v>818</v>
      </c>
      <c r="V689" s="1" t="s">
        <v>120</v>
      </c>
      <c r="W689" s="1" t="s">
        <v>121</v>
      </c>
      <c r="X689" s="1" t="s">
        <v>819</v>
      </c>
      <c r="Y689" s="1" t="s">
        <v>820</v>
      </c>
      <c r="Z689" s="1" t="str">
        <f>TRIM(_xlfn.CONCAT(sales_data_sample[[#This Row],[CONTACTFIRSTNAME]],", ",sales_data_sample[[#This Row],[CONTACTLASTNAME]]))</f>
        <v>Sean, Connery</v>
      </c>
      <c r="AA689" s="1" t="s">
        <v>40</v>
      </c>
    </row>
    <row r="690" spans="1:27" x14ac:dyDescent="0.25">
      <c r="A690">
        <v>10204</v>
      </c>
      <c r="B690">
        <v>23</v>
      </c>
      <c r="C690">
        <v>7144</v>
      </c>
      <c r="D690">
        <f>PRODUCT(sales_data_sample[[#This Row],[QUANTITYORDERED]],sales_data_sample[[#This Row],[PRICEEACH]])</f>
        <v>164312</v>
      </c>
      <c r="E690" s="9">
        <f>IF(OR(sales_data_sample[[#This Row],[STATUS]]="Shipped",sales_data_sample[[#This Row],[STATUS]]="Resolved"),sales_data_sample[[#This Row],[SALES]],0)</f>
        <v>164312</v>
      </c>
      <c r="F690">
        <v>3</v>
      </c>
      <c r="G690" s="12" t="s">
        <v>620</v>
      </c>
      <c r="H690" s="1" t="s">
        <v>26</v>
      </c>
      <c r="I690">
        <v>4</v>
      </c>
      <c r="J690">
        <v>12</v>
      </c>
      <c r="K690">
        <v>2003</v>
      </c>
      <c r="L690" s="1" t="s">
        <v>799</v>
      </c>
      <c r="M690">
        <v>60</v>
      </c>
      <c r="N690" s="1" t="s">
        <v>881</v>
      </c>
      <c r="O690" s="1" t="s">
        <v>667</v>
      </c>
      <c r="P690" s="1" t="s">
        <v>668</v>
      </c>
      <c r="Q690" s="1" t="s">
        <v>669</v>
      </c>
      <c r="R690" s="1" t="s">
        <v>670</v>
      </c>
      <c r="S690" s="1" t="s">
        <v>33</v>
      </c>
      <c r="T690" s="1" t="s">
        <v>34</v>
      </c>
      <c r="U690" s="1" t="s">
        <v>35</v>
      </c>
      <c r="V690" s="1" t="s">
        <v>36</v>
      </c>
      <c r="W690" s="1" t="s">
        <v>37</v>
      </c>
      <c r="X690" s="1" t="s">
        <v>67</v>
      </c>
      <c r="Y690" s="1" t="s">
        <v>671</v>
      </c>
      <c r="Z690" s="1" t="str">
        <f>TRIM(_xlfn.CONCAT(sales_data_sample[[#This Row],[CONTACTFIRSTNAME]],", ",sales_data_sample[[#This Row],[CONTACTLASTNAME]]))</f>
        <v>Jeff, Young</v>
      </c>
      <c r="AA690" s="1" t="s">
        <v>40</v>
      </c>
    </row>
    <row r="691" spans="1:27" x14ac:dyDescent="0.25">
      <c r="A691" s="10">
        <v>10214</v>
      </c>
      <c r="B691" s="9">
        <v>21</v>
      </c>
      <c r="C691" s="9">
        <v>6296</v>
      </c>
      <c r="D691" s="9">
        <f>PRODUCT(sales_data_sample[[#This Row],[QUANTITYORDERED]],sales_data_sample[[#This Row],[PRICEEACH]])</f>
        <v>132216</v>
      </c>
      <c r="E691" s="9">
        <f>IF(OR(sales_data_sample[[#This Row],[STATUS]]="Shipped",sales_data_sample[[#This Row],[STATUS]]="Resolved"),sales_data_sample[[#This Row],[SALES]],0)</f>
        <v>132216</v>
      </c>
      <c r="F691" s="10">
        <v>6</v>
      </c>
      <c r="G691" s="12" t="s">
        <v>874</v>
      </c>
      <c r="H691" s="1" t="s">
        <v>26</v>
      </c>
      <c r="I691">
        <v>1</v>
      </c>
      <c r="J691">
        <v>1</v>
      </c>
      <c r="K691">
        <v>2004</v>
      </c>
      <c r="L691" s="1" t="s">
        <v>799</v>
      </c>
      <c r="M691">
        <v>60</v>
      </c>
      <c r="N691" s="1" t="s">
        <v>881</v>
      </c>
      <c r="O691" s="1" t="s">
        <v>251</v>
      </c>
      <c r="P691" s="1" t="s">
        <v>252</v>
      </c>
      <c r="Q691" s="1" t="s">
        <v>253</v>
      </c>
      <c r="R691" s="1" t="s">
        <v>32</v>
      </c>
      <c r="S691" s="1" t="s">
        <v>233</v>
      </c>
      <c r="T691" s="1" t="s">
        <v>32</v>
      </c>
      <c r="U691" s="1" t="s">
        <v>254</v>
      </c>
      <c r="V691" s="1" t="s">
        <v>235</v>
      </c>
      <c r="W691" s="1" t="s">
        <v>48</v>
      </c>
      <c r="X691" s="1" t="s">
        <v>255</v>
      </c>
      <c r="Y691" s="1" t="s">
        <v>256</v>
      </c>
      <c r="Z691" s="1" t="str">
        <f>TRIM(_xlfn.CONCAT(sales_data_sample[[#This Row],[CONTACTFIRSTNAME]],", ",sales_data_sample[[#This Row],[CONTACTLASTNAME]]))</f>
        <v>Mart¡n, Sommer</v>
      </c>
      <c r="AA691" s="1" t="s">
        <v>40</v>
      </c>
    </row>
    <row r="692" spans="1:27" x14ac:dyDescent="0.25">
      <c r="A692" s="10">
        <v>10227</v>
      </c>
      <c r="B692" s="9">
        <v>28</v>
      </c>
      <c r="C692" s="9">
        <v>5085</v>
      </c>
      <c r="D692" s="9">
        <f>PRODUCT(sales_data_sample[[#This Row],[QUANTITYORDERED]],sales_data_sample[[#This Row],[PRICEEACH]])</f>
        <v>142380</v>
      </c>
      <c r="E692" s="9">
        <f>IF(OR(sales_data_sample[[#This Row],[STATUS]]="Shipped",sales_data_sample[[#This Row],[STATUS]]="Resolved"),sales_data_sample[[#This Row],[SALES]],0)</f>
        <v>142380</v>
      </c>
      <c r="F692" s="10">
        <v>9</v>
      </c>
      <c r="G692" s="12" t="s">
        <v>822</v>
      </c>
      <c r="H692" s="1" t="s">
        <v>26</v>
      </c>
      <c r="I692">
        <v>1</v>
      </c>
      <c r="J692">
        <v>3</v>
      </c>
      <c r="K692">
        <v>2004</v>
      </c>
      <c r="L692" s="1" t="s">
        <v>799</v>
      </c>
      <c r="M692">
        <v>60</v>
      </c>
      <c r="N692" s="1" t="s">
        <v>881</v>
      </c>
      <c r="O692" s="1" t="s">
        <v>291</v>
      </c>
      <c r="P692" s="1" t="s">
        <v>292</v>
      </c>
      <c r="Q692" s="1" t="s">
        <v>293</v>
      </c>
      <c r="R692" s="1" t="s">
        <v>32</v>
      </c>
      <c r="S692" s="1" t="s">
        <v>294</v>
      </c>
      <c r="T692" s="1" t="s">
        <v>32</v>
      </c>
      <c r="U692" s="1" t="s">
        <v>295</v>
      </c>
      <c r="V692" s="1" t="s">
        <v>47</v>
      </c>
      <c r="W692" s="1" t="s">
        <v>48</v>
      </c>
      <c r="X692" s="1" t="s">
        <v>296</v>
      </c>
      <c r="Y692" s="1" t="s">
        <v>297</v>
      </c>
      <c r="Z692" s="1" t="str">
        <f>TRIM(_xlfn.CONCAT(sales_data_sample[[#This Row],[CONTACTFIRSTNAME]],", ",sales_data_sample[[#This Row],[CONTACTLASTNAME]]))</f>
        <v>Mary, Saveley</v>
      </c>
      <c r="AA692" s="1" t="s">
        <v>40</v>
      </c>
    </row>
    <row r="693" spans="1:27" x14ac:dyDescent="0.25">
      <c r="A693" s="10">
        <v>10241</v>
      </c>
      <c r="B693" s="9">
        <v>33</v>
      </c>
      <c r="C693" s="9">
        <v>7265</v>
      </c>
      <c r="D693" s="9">
        <f>PRODUCT(sales_data_sample[[#This Row],[QUANTITYORDERED]],sales_data_sample[[#This Row],[PRICEEACH]])</f>
        <v>239745</v>
      </c>
      <c r="E693" s="9">
        <f>IF(OR(sales_data_sample[[#This Row],[STATUS]]="Shipped",sales_data_sample[[#This Row],[STATUS]]="Resolved"),sales_data_sample[[#This Row],[SALES]],0)</f>
        <v>239745</v>
      </c>
      <c r="F693" s="10">
        <v>1</v>
      </c>
      <c r="G693" s="12" t="s">
        <v>777</v>
      </c>
      <c r="H693" s="1" t="s">
        <v>26</v>
      </c>
      <c r="I693">
        <v>2</v>
      </c>
      <c r="J693">
        <v>4</v>
      </c>
      <c r="K693">
        <v>2004</v>
      </c>
      <c r="L693" s="1" t="s">
        <v>799</v>
      </c>
      <c r="M693">
        <v>60</v>
      </c>
      <c r="N693" s="1" t="s">
        <v>881</v>
      </c>
      <c r="O693" s="1" t="s">
        <v>763</v>
      </c>
      <c r="P693" s="1" t="s">
        <v>764</v>
      </c>
      <c r="Q693" s="1" t="s">
        <v>765</v>
      </c>
      <c r="R693" s="1" t="s">
        <v>32</v>
      </c>
      <c r="S693" s="1" t="s">
        <v>766</v>
      </c>
      <c r="T693" s="1" t="s">
        <v>32</v>
      </c>
      <c r="U693" s="1" t="s">
        <v>767</v>
      </c>
      <c r="V693" s="1" t="s">
        <v>47</v>
      </c>
      <c r="W693" s="1" t="s">
        <v>48</v>
      </c>
      <c r="X693" s="1" t="s">
        <v>768</v>
      </c>
      <c r="Y693" s="1" t="s">
        <v>769</v>
      </c>
      <c r="Z693" s="1" t="str">
        <f>TRIM(_xlfn.CONCAT(sales_data_sample[[#This Row],[CONTACTFIRSTNAME]],", ",sales_data_sample[[#This Row],[CONTACTLASTNAME]]))</f>
        <v>Frederique, Citeaux</v>
      </c>
      <c r="AA693" s="1" t="s">
        <v>40</v>
      </c>
    </row>
    <row r="694" spans="1:27" x14ac:dyDescent="0.25">
      <c r="A694" s="10">
        <v>10280</v>
      </c>
      <c r="B694" s="9">
        <v>25</v>
      </c>
      <c r="C694" s="9">
        <v>6296</v>
      </c>
      <c r="D694" s="9">
        <f>PRODUCT(sales_data_sample[[#This Row],[QUANTITYORDERED]],sales_data_sample[[#This Row],[PRICEEACH]])</f>
        <v>157400</v>
      </c>
      <c r="E694" s="9">
        <f>IF(OR(sales_data_sample[[#This Row],[STATUS]]="Shipped",sales_data_sample[[#This Row],[STATUS]]="Resolved"),sales_data_sample[[#This Row],[SALES]],0)</f>
        <v>157400</v>
      </c>
      <c r="F694" s="10">
        <v>15</v>
      </c>
      <c r="G694" s="12" t="s">
        <v>337</v>
      </c>
      <c r="H694" s="1" t="s">
        <v>26</v>
      </c>
      <c r="I694">
        <v>3</v>
      </c>
      <c r="J694">
        <v>8</v>
      </c>
      <c r="K694">
        <v>2004</v>
      </c>
      <c r="L694" s="1" t="s">
        <v>799</v>
      </c>
      <c r="M694">
        <v>60</v>
      </c>
      <c r="N694" s="1" t="s">
        <v>881</v>
      </c>
      <c r="O694" s="1" t="s">
        <v>338</v>
      </c>
      <c r="P694" s="1" t="s">
        <v>339</v>
      </c>
      <c r="Q694" s="1" t="s">
        <v>340</v>
      </c>
      <c r="R694" s="1" t="s">
        <v>32</v>
      </c>
      <c r="S694" s="1" t="s">
        <v>341</v>
      </c>
      <c r="T694" s="1" t="s">
        <v>32</v>
      </c>
      <c r="U694" s="1" t="s">
        <v>342</v>
      </c>
      <c r="V694" s="1" t="s">
        <v>343</v>
      </c>
      <c r="W694" s="1" t="s">
        <v>48</v>
      </c>
      <c r="X694" s="1" t="s">
        <v>344</v>
      </c>
      <c r="Y694" s="1" t="s">
        <v>345</v>
      </c>
      <c r="Z694" s="1" t="str">
        <f>TRIM(_xlfn.CONCAT(sales_data_sample[[#This Row],[CONTACTFIRSTNAME]],", ",sales_data_sample[[#This Row],[CONTACTLASTNAME]]))</f>
        <v>Paolo, Accorti</v>
      </c>
      <c r="AA694" s="1" t="s">
        <v>40</v>
      </c>
    </row>
    <row r="695" spans="1:27" x14ac:dyDescent="0.25">
      <c r="A695">
        <v>10288</v>
      </c>
      <c r="B695">
        <v>28</v>
      </c>
      <c r="C695">
        <v>6175</v>
      </c>
      <c r="D695">
        <f>PRODUCT(sales_data_sample[[#This Row],[QUANTITYORDERED]],sales_data_sample[[#This Row],[PRICEEACH]])</f>
        <v>172900</v>
      </c>
      <c r="E695" s="9">
        <f>IF(OR(sales_data_sample[[#This Row],[STATUS]]="Shipped",sales_data_sample[[#This Row],[STATUS]]="Resolved"),sales_data_sample[[#This Row],[SALES]],0)</f>
        <v>172900</v>
      </c>
      <c r="F695">
        <v>4</v>
      </c>
      <c r="G695" s="12" t="s">
        <v>834</v>
      </c>
      <c r="H695" s="1" t="s">
        <v>26</v>
      </c>
      <c r="I695">
        <v>3</v>
      </c>
      <c r="J695">
        <v>9</v>
      </c>
      <c r="K695">
        <v>2004</v>
      </c>
      <c r="L695" s="1" t="s">
        <v>799</v>
      </c>
      <c r="M695">
        <v>60</v>
      </c>
      <c r="N695" s="1" t="s">
        <v>881</v>
      </c>
      <c r="O695" s="1" t="s">
        <v>577</v>
      </c>
      <c r="P695" s="1" t="s">
        <v>578</v>
      </c>
      <c r="Q695" s="1" t="s">
        <v>579</v>
      </c>
      <c r="R695" s="1" t="s">
        <v>580</v>
      </c>
      <c r="S695" s="1" t="s">
        <v>262</v>
      </c>
      <c r="T695" s="1" t="s">
        <v>32</v>
      </c>
      <c r="U695" s="1" t="s">
        <v>581</v>
      </c>
      <c r="V695" s="1" t="s">
        <v>262</v>
      </c>
      <c r="W695" s="1" t="s">
        <v>121</v>
      </c>
      <c r="X695" s="1" t="s">
        <v>582</v>
      </c>
      <c r="Y695" s="1" t="s">
        <v>583</v>
      </c>
      <c r="Z695" s="1" t="str">
        <f>TRIM(_xlfn.CONCAT(sales_data_sample[[#This Row],[CONTACTFIRSTNAME]],", ",sales_data_sample[[#This Row],[CONTACTLASTNAME]]))</f>
        <v>Wendy, Victorino</v>
      </c>
      <c r="AA695" s="1" t="s">
        <v>40</v>
      </c>
    </row>
    <row r="696" spans="1:27" x14ac:dyDescent="0.25">
      <c r="A696" s="10">
        <v>10303</v>
      </c>
      <c r="B696" s="9">
        <v>46</v>
      </c>
      <c r="C696" s="9">
        <v>4904</v>
      </c>
      <c r="D696" s="9">
        <f>PRODUCT(sales_data_sample[[#This Row],[QUANTITYORDERED]],sales_data_sample[[#This Row],[PRICEEACH]])</f>
        <v>225584</v>
      </c>
      <c r="E696" s="9">
        <f>IF(OR(sales_data_sample[[#This Row],[STATUS]]="Shipped",sales_data_sample[[#This Row],[STATUS]]="Resolved"),sales_data_sample[[#This Row],[SALES]],0)</f>
        <v>225584</v>
      </c>
      <c r="F696" s="10">
        <v>2</v>
      </c>
      <c r="G696" s="12" t="s">
        <v>882</v>
      </c>
      <c r="H696" s="1" t="s">
        <v>26</v>
      </c>
      <c r="I696">
        <v>4</v>
      </c>
      <c r="J696">
        <v>10</v>
      </c>
      <c r="K696">
        <v>2004</v>
      </c>
      <c r="L696" s="1" t="s">
        <v>799</v>
      </c>
      <c r="M696">
        <v>60</v>
      </c>
      <c r="N696" s="1" t="s">
        <v>881</v>
      </c>
      <c r="O696" s="1" t="s">
        <v>745</v>
      </c>
      <c r="P696" s="1" t="s">
        <v>746</v>
      </c>
      <c r="Q696" s="1" t="s">
        <v>747</v>
      </c>
      <c r="R696" s="1" t="s">
        <v>32</v>
      </c>
      <c r="S696" s="1" t="s">
        <v>748</v>
      </c>
      <c r="T696" s="1" t="s">
        <v>32</v>
      </c>
      <c r="U696" s="1" t="s">
        <v>749</v>
      </c>
      <c r="V696" s="1" t="s">
        <v>235</v>
      </c>
      <c r="W696" s="1" t="s">
        <v>48</v>
      </c>
      <c r="X696" s="1" t="s">
        <v>750</v>
      </c>
      <c r="Y696" s="1" t="s">
        <v>751</v>
      </c>
      <c r="Z696" s="1" t="str">
        <f>TRIM(_xlfn.CONCAT(sales_data_sample[[#This Row],[CONTACTFIRSTNAME]],", ",sales_data_sample[[#This Row],[CONTACTLASTNAME]]))</f>
        <v>Jose Pedro, Roel</v>
      </c>
      <c r="AA696" s="1" t="s">
        <v>40</v>
      </c>
    </row>
    <row r="697" spans="1:27" x14ac:dyDescent="0.25">
      <c r="A697" s="10">
        <v>10312</v>
      </c>
      <c r="B697" s="9">
        <v>30</v>
      </c>
      <c r="C697" s="9">
        <v>6115</v>
      </c>
      <c r="D697" s="9">
        <f>PRODUCT(sales_data_sample[[#This Row],[QUANTITYORDERED]],sales_data_sample[[#This Row],[PRICEEACH]])</f>
        <v>183450</v>
      </c>
      <c r="E697" s="9">
        <f>IF(OR(sales_data_sample[[#This Row],[STATUS]]="Shipped",sales_data_sample[[#This Row],[STATUS]]="Resolved"),sales_data_sample[[#This Row],[SALES]],0)</f>
        <v>183450</v>
      </c>
      <c r="F697" s="10">
        <v>16</v>
      </c>
      <c r="G697" s="12" t="s">
        <v>360</v>
      </c>
      <c r="H697" s="1" t="s">
        <v>26</v>
      </c>
      <c r="I697">
        <v>4</v>
      </c>
      <c r="J697">
        <v>10</v>
      </c>
      <c r="K697">
        <v>2004</v>
      </c>
      <c r="L697" s="1" t="s">
        <v>799</v>
      </c>
      <c r="M697">
        <v>60</v>
      </c>
      <c r="N697" s="1" t="s">
        <v>881</v>
      </c>
      <c r="O697" s="1" t="s">
        <v>361</v>
      </c>
      <c r="P697" s="1" t="s">
        <v>362</v>
      </c>
      <c r="Q697" s="1" t="s">
        <v>363</v>
      </c>
      <c r="R697" s="1" t="s">
        <v>32</v>
      </c>
      <c r="S697" s="1" t="s">
        <v>364</v>
      </c>
      <c r="T697" s="1" t="s">
        <v>65</v>
      </c>
      <c r="U697" s="1" t="s">
        <v>145</v>
      </c>
      <c r="V697" s="1" t="s">
        <v>36</v>
      </c>
      <c r="W697" s="1" t="s">
        <v>37</v>
      </c>
      <c r="X697" s="1" t="s">
        <v>365</v>
      </c>
      <c r="Y697" s="1" t="s">
        <v>366</v>
      </c>
      <c r="Z697" s="1" t="str">
        <f>TRIM(_xlfn.CONCAT(sales_data_sample[[#This Row],[CONTACTFIRSTNAME]],", ",sales_data_sample[[#This Row],[CONTACTLASTNAME]]))</f>
        <v>Valarie, Nelson</v>
      </c>
      <c r="AA697" s="1" t="s">
        <v>40</v>
      </c>
    </row>
    <row r="698" spans="1:27" x14ac:dyDescent="0.25">
      <c r="A698" s="10">
        <v>10332</v>
      </c>
      <c r="B698" s="9">
        <v>38</v>
      </c>
      <c r="C698" s="9">
        <v>8425</v>
      </c>
      <c r="D698" s="9">
        <f>PRODUCT(sales_data_sample[[#This Row],[QUANTITYORDERED]],sales_data_sample[[#This Row],[PRICEEACH]])</f>
        <v>320150</v>
      </c>
      <c r="E698" s="9">
        <f>IF(OR(sales_data_sample[[#This Row],[STATUS]]="Shipped",sales_data_sample[[#This Row],[STATUS]]="Resolved"),sales_data_sample[[#This Row],[SALES]],0)</f>
        <v>320150</v>
      </c>
      <c r="F698" s="10">
        <v>9</v>
      </c>
      <c r="G698" s="12" t="s">
        <v>793</v>
      </c>
      <c r="H698" s="1" t="s">
        <v>26</v>
      </c>
      <c r="I698">
        <v>4</v>
      </c>
      <c r="J698">
        <v>11</v>
      </c>
      <c r="K698">
        <v>2004</v>
      </c>
      <c r="L698" s="1" t="s">
        <v>799</v>
      </c>
      <c r="M698">
        <v>60</v>
      </c>
      <c r="N698" s="1" t="s">
        <v>881</v>
      </c>
      <c r="O698" s="1" t="s">
        <v>695</v>
      </c>
      <c r="P698" s="1" t="s">
        <v>696</v>
      </c>
      <c r="Q698" s="1" t="s">
        <v>697</v>
      </c>
      <c r="R698" s="1" t="s">
        <v>32</v>
      </c>
      <c r="S698" s="1" t="s">
        <v>698</v>
      </c>
      <c r="T698" s="1" t="s">
        <v>32</v>
      </c>
      <c r="U698" s="1" t="s">
        <v>699</v>
      </c>
      <c r="V698" s="1" t="s">
        <v>225</v>
      </c>
      <c r="W698" s="1" t="s">
        <v>48</v>
      </c>
      <c r="X698" s="1" t="s">
        <v>700</v>
      </c>
      <c r="Y698" s="1" t="s">
        <v>118</v>
      </c>
      <c r="Z698" s="1" t="str">
        <f>TRIM(_xlfn.CONCAT(sales_data_sample[[#This Row],[CONTACTFIRSTNAME]],", ",sales_data_sample[[#This Row],[CONTACTLASTNAME]]))</f>
        <v>Victoria, Ashworth</v>
      </c>
      <c r="AA698" s="1" t="s">
        <v>59</v>
      </c>
    </row>
    <row r="699" spans="1:27" x14ac:dyDescent="0.25">
      <c r="A699" s="10">
        <v>10344</v>
      </c>
      <c r="B699" s="9">
        <v>40</v>
      </c>
      <c r="C699" s="9">
        <v>5691</v>
      </c>
      <c r="D699" s="9">
        <f>PRODUCT(sales_data_sample[[#This Row],[QUANTITYORDERED]],sales_data_sample[[#This Row],[PRICEEACH]])</f>
        <v>227640</v>
      </c>
      <c r="E699" s="9">
        <f>IF(OR(sales_data_sample[[#This Row],[STATUS]]="Shipped",sales_data_sample[[#This Row],[STATUS]]="Resolved"),sales_data_sample[[#This Row],[SALES]],0)</f>
        <v>227640</v>
      </c>
      <c r="F699" s="10">
        <v>2</v>
      </c>
      <c r="G699" s="12" t="s">
        <v>875</v>
      </c>
      <c r="H699" s="1" t="s">
        <v>26</v>
      </c>
      <c r="I699">
        <v>4</v>
      </c>
      <c r="J699">
        <v>11</v>
      </c>
      <c r="K699">
        <v>2004</v>
      </c>
      <c r="L699" s="1" t="s">
        <v>799</v>
      </c>
      <c r="M699">
        <v>60</v>
      </c>
      <c r="N699" s="1" t="s">
        <v>881</v>
      </c>
      <c r="O699" s="1" t="s">
        <v>600</v>
      </c>
      <c r="P699" s="1" t="s">
        <v>601</v>
      </c>
      <c r="Q699" s="1" t="s">
        <v>602</v>
      </c>
      <c r="R699" s="1" t="s">
        <v>32</v>
      </c>
      <c r="S699" s="1" t="s">
        <v>603</v>
      </c>
      <c r="T699" s="1" t="s">
        <v>32</v>
      </c>
      <c r="U699" s="1" t="s">
        <v>604</v>
      </c>
      <c r="V699" s="1" t="s">
        <v>47</v>
      </c>
      <c r="W699" s="1" t="s">
        <v>48</v>
      </c>
      <c r="X699" s="1" t="s">
        <v>605</v>
      </c>
      <c r="Y699" s="1" t="s">
        <v>606</v>
      </c>
      <c r="Z699" s="1" t="str">
        <f>TRIM(_xlfn.CONCAT(sales_data_sample[[#This Row],[CONTACTFIRSTNAME]],", ",sales_data_sample[[#This Row],[CONTACTLASTNAME]]))</f>
        <v>Laurence, Lebihan</v>
      </c>
      <c r="AA699" s="1" t="s">
        <v>40</v>
      </c>
    </row>
    <row r="700" spans="1:27" x14ac:dyDescent="0.25">
      <c r="A700" s="10">
        <v>10367</v>
      </c>
      <c r="B700" s="9">
        <v>45</v>
      </c>
      <c r="C700" s="9">
        <v>100</v>
      </c>
      <c r="D700" s="9">
        <f>PRODUCT(sales_data_sample[[#This Row],[QUANTITYORDERED]],sales_data_sample[[#This Row],[PRICEEACH]])</f>
        <v>4500</v>
      </c>
      <c r="E700" s="9">
        <f>IF(OR(sales_data_sample[[#This Row],[STATUS]]="Shipped",sales_data_sample[[#This Row],[STATUS]]="Resolved"),sales_data_sample[[#This Row],[SALES]],0)</f>
        <v>4500</v>
      </c>
      <c r="F700" s="10">
        <v>4</v>
      </c>
      <c r="G700" s="12" t="s">
        <v>835</v>
      </c>
      <c r="H700" s="1" t="s">
        <v>563</v>
      </c>
      <c r="I700">
        <v>1</v>
      </c>
      <c r="J700">
        <v>1</v>
      </c>
      <c r="K700">
        <v>2005</v>
      </c>
      <c r="L700" s="1" t="s">
        <v>799</v>
      </c>
      <c r="M700">
        <v>60</v>
      </c>
      <c r="N700" s="1" t="s">
        <v>881</v>
      </c>
      <c r="O700" s="1" t="s">
        <v>61</v>
      </c>
      <c r="P700" s="1" t="s">
        <v>62</v>
      </c>
      <c r="Q700" s="1" t="s">
        <v>63</v>
      </c>
      <c r="R700" s="1" t="s">
        <v>32</v>
      </c>
      <c r="S700" s="1" t="s">
        <v>64</v>
      </c>
      <c r="T700" s="1" t="s">
        <v>65</v>
      </c>
      <c r="U700" s="1" t="s">
        <v>66</v>
      </c>
      <c r="V700" s="1" t="s">
        <v>36</v>
      </c>
      <c r="W700" s="1" t="s">
        <v>37</v>
      </c>
      <c r="X700" s="1" t="s">
        <v>67</v>
      </c>
      <c r="Y700" s="1" t="s">
        <v>68</v>
      </c>
      <c r="Z700" s="1" t="str">
        <f>TRIM(_xlfn.CONCAT(sales_data_sample[[#This Row],[CONTACTFIRSTNAME]],", ",sales_data_sample[[#This Row],[CONTACTLASTNAME]]))</f>
        <v>Julie, Young</v>
      </c>
      <c r="AA700" s="1" t="s">
        <v>199</v>
      </c>
    </row>
    <row r="701" spans="1:27" x14ac:dyDescent="0.25">
      <c r="A701" s="10">
        <v>10379</v>
      </c>
      <c r="B701" s="9">
        <v>27</v>
      </c>
      <c r="C701" s="9">
        <v>493</v>
      </c>
      <c r="D701" s="9">
        <f>PRODUCT(sales_data_sample[[#This Row],[QUANTITYORDERED]],sales_data_sample[[#This Row],[PRICEEACH]])</f>
        <v>13311</v>
      </c>
      <c r="E701" s="9">
        <f>IF(OR(sales_data_sample[[#This Row],[STATUS]]="Shipped",sales_data_sample[[#This Row],[STATUS]]="Resolved"),sales_data_sample[[#This Row],[SALES]],0)</f>
        <v>13311</v>
      </c>
      <c r="F701" s="10">
        <v>1</v>
      </c>
      <c r="G701" s="12" t="s">
        <v>836</v>
      </c>
      <c r="H701" s="1" t="s">
        <v>26</v>
      </c>
      <c r="I701">
        <v>1</v>
      </c>
      <c r="J701">
        <v>2</v>
      </c>
      <c r="K701">
        <v>2005</v>
      </c>
      <c r="L701" s="1" t="s">
        <v>799</v>
      </c>
      <c r="M701">
        <v>60</v>
      </c>
      <c r="N701" s="1" t="s">
        <v>881</v>
      </c>
      <c r="O701" s="1" t="s">
        <v>230</v>
      </c>
      <c r="P701" s="1" t="s">
        <v>231</v>
      </c>
      <c r="Q701" s="1" t="s">
        <v>232</v>
      </c>
      <c r="R701" s="1" t="s">
        <v>32</v>
      </c>
      <c r="S701" s="1" t="s">
        <v>233</v>
      </c>
      <c r="T701" s="1" t="s">
        <v>32</v>
      </c>
      <c r="U701" s="1" t="s">
        <v>234</v>
      </c>
      <c r="V701" s="1" t="s">
        <v>235</v>
      </c>
      <c r="W701" s="1" t="s">
        <v>48</v>
      </c>
      <c r="X701" s="1" t="s">
        <v>236</v>
      </c>
      <c r="Y701" s="1" t="s">
        <v>237</v>
      </c>
      <c r="Z701" s="1" t="str">
        <f>TRIM(_xlfn.CONCAT(sales_data_sample[[#This Row],[CONTACTFIRSTNAME]],", ",sales_data_sample[[#This Row],[CONTACTLASTNAME]]))</f>
        <v>Diego, Freyre</v>
      </c>
      <c r="AA701" s="1" t="s">
        <v>40</v>
      </c>
    </row>
    <row r="702" spans="1:27" x14ac:dyDescent="0.25">
      <c r="A702" s="10">
        <v>10407</v>
      </c>
      <c r="B702" s="9">
        <v>42</v>
      </c>
      <c r="C702" s="9">
        <v>7265</v>
      </c>
      <c r="D702" s="9">
        <f>PRODUCT(sales_data_sample[[#This Row],[QUANTITYORDERED]],sales_data_sample[[#This Row],[PRICEEACH]])</f>
        <v>305130</v>
      </c>
      <c r="E702" s="9">
        <f>IF(OR(sales_data_sample[[#This Row],[STATUS]]="Shipped",sales_data_sample[[#This Row],[STATUS]]="Resolved"),sales_data_sample[[#This Row],[SALES]],0)</f>
        <v>0</v>
      </c>
      <c r="F702" s="10">
        <v>1</v>
      </c>
      <c r="G702" s="12" t="s">
        <v>837</v>
      </c>
      <c r="H702" s="1" t="s">
        <v>553</v>
      </c>
      <c r="I702">
        <v>2</v>
      </c>
      <c r="J702">
        <v>4</v>
      </c>
      <c r="K702">
        <v>2005</v>
      </c>
      <c r="L702" s="1" t="s">
        <v>799</v>
      </c>
      <c r="M702">
        <v>60</v>
      </c>
      <c r="N702" s="1" t="s">
        <v>881</v>
      </c>
      <c r="O702" s="1" t="s">
        <v>547</v>
      </c>
      <c r="P702" s="1" t="s">
        <v>548</v>
      </c>
      <c r="Q702" s="1" t="s">
        <v>549</v>
      </c>
      <c r="R702" s="1" t="s">
        <v>32</v>
      </c>
      <c r="S702" s="1" t="s">
        <v>550</v>
      </c>
      <c r="T702" s="1" t="s">
        <v>65</v>
      </c>
      <c r="U702" s="1" t="s">
        <v>80</v>
      </c>
      <c r="V702" s="1" t="s">
        <v>36</v>
      </c>
      <c r="W702" s="1" t="s">
        <v>37</v>
      </c>
      <c r="X702" s="1" t="s">
        <v>129</v>
      </c>
      <c r="Y702" s="1" t="s">
        <v>551</v>
      </c>
      <c r="Z702" s="1" t="str">
        <f>TRIM(_xlfn.CONCAT(sales_data_sample[[#This Row],[CONTACTFIRSTNAME]],", ",sales_data_sample[[#This Row],[CONTACTLASTNAME]]))</f>
        <v>Sue, Frick</v>
      </c>
      <c r="AA702" s="1" t="s">
        <v>59</v>
      </c>
    </row>
    <row r="703" spans="1:27" x14ac:dyDescent="0.25">
      <c r="A703">
        <v>10420</v>
      </c>
      <c r="B703">
        <v>36</v>
      </c>
      <c r="C703">
        <v>6357</v>
      </c>
      <c r="D703">
        <f>PRODUCT(sales_data_sample[[#This Row],[QUANTITYORDERED]],sales_data_sample[[#This Row],[PRICEEACH]])</f>
        <v>228852</v>
      </c>
      <c r="E703" s="9">
        <f>IF(OR(sales_data_sample[[#This Row],[STATUS]]="Shipped",sales_data_sample[[#This Row],[STATUS]]="Resolved"),sales_data_sample[[#This Row],[SALES]],0)</f>
        <v>0</v>
      </c>
      <c r="F703">
        <v>4</v>
      </c>
      <c r="G703" s="12" t="s">
        <v>876</v>
      </c>
      <c r="H703" s="1" t="s">
        <v>403</v>
      </c>
      <c r="I703">
        <v>2</v>
      </c>
      <c r="J703">
        <v>5</v>
      </c>
      <c r="K703">
        <v>2005</v>
      </c>
      <c r="L703" s="1" t="s">
        <v>799</v>
      </c>
      <c r="M703">
        <v>60</v>
      </c>
      <c r="N703" s="1" t="s">
        <v>881</v>
      </c>
      <c r="O703" s="1" t="s">
        <v>201</v>
      </c>
      <c r="P703" s="1" t="s">
        <v>202</v>
      </c>
      <c r="Q703" s="1" t="s">
        <v>203</v>
      </c>
      <c r="R703" s="1" t="s">
        <v>204</v>
      </c>
      <c r="S703" s="1" t="s">
        <v>205</v>
      </c>
      <c r="T703" s="1" t="s">
        <v>206</v>
      </c>
      <c r="U703" s="1" t="s">
        <v>207</v>
      </c>
      <c r="V703" s="1" t="s">
        <v>120</v>
      </c>
      <c r="W703" s="1" t="s">
        <v>121</v>
      </c>
      <c r="X703" s="1" t="s">
        <v>208</v>
      </c>
      <c r="Y703" s="1" t="s">
        <v>209</v>
      </c>
      <c r="Z703" s="1" t="str">
        <f>TRIM(_xlfn.CONCAT(sales_data_sample[[#This Row],[CONTACTFIRSTNAME]],", ",sales_data_sample[[#This Row],[CONTACTLASTNAME]]))</f>
        <v>Adrian, Huxley</v>
      </c>
      <c r="AA703" s="1" t="s">
        <v>40</v>
      </c>
    </row>
    <row r="704" spans="1:27" x14ac:dyDescent="0.25">
      <c r="A704" s="10">
        <v>10104</v>
      </c>
      <c r="B704" s="9">
        <v>29</v>
      </c>
      <c r="C704" s="9">
        <v>100</v>
      </c>
      <c r="D704" s="9">
        <f>PRODUCT(sales_data_sample[[#This Row],[QUANTITYORDERED]],sales_data_sample[[#This Row],[PRICEEACH]])</f>
        <v>2900</v>
      </c>
      <c r="E704" s="9">
        <f>IF(OR(sales_data_sample[[#This Row],[STATUS]]="Shipped",sales_data_sample[[#This Row],[STATUS]]="Resolved"),sales_data_sample[[#This Row],[SALES]],0)</f>
        <v>2900</v>
      </c>
      <c r="F704" s="10">
        <v>12</v>
      </c>
      <c r="G704" s="12" t="s">
        <v>723</v>
      </c>
      <c r="H704" s="1" t="s">
        <v>26</v>
      </c>
      <c r="I704">
        <v>1</v>
      </c>
      <c r="J704">
        <v>1</v>
      </c>
      <c r="K704">
        <v>2003</v>
      </c>
      <c r="L704" s="1" t="s">
        <v>711</v>
      </c>
      <c r="M704">
        <v>122</v>
      </c>
      <c r="N704" s="1" t="s">
        <v>883</v>
      </c>
      <c r="O704" s="1" t="s">
        <v>230</v>
      </c>
      <c r="P704" s="1" t="s">
        <v>231</v>
      </c>
      <c r="Q704" s="1" t="s">
        <v>232</v>
      </c>
      <c r="R704" s="1" t="s">
        <v>32</v>
      </c>
      <c r="S704" s="1" t="s">
        <v>233</v>
      </c>
      <c r="T704" s="1" t="s">
        <v>32</v>
      </c>
      <c r="U704" s="1" t="s">
        <v>234</v>
      </c>
      <c r="V704" s="1" t="s">
        <v>235</v>
      </c>
      <c r="W704" s="1" t="s">
        <v>48</v>
      </c>
      <c r="X704" s="1" t="s">
        <v>236</v>
      </c>
      <c r="Y704" s="1" t="s">
        <v>237</v>
      </c>
      <c r="Z704" s="1" t="str">
        <f>TRIM(_xlfn.CONCAT(sales_data_sample[[#This Row],[CONTACTFIRSTNAME]],", ",sales_data_sample[[#This Row],[CONTACTLASTNAME]]))</f>
        <v>Diego, Freyre</v>
      </c>
      <c r="AA704" s="1" t="s">
        <v>59</v>
      </c>
    </row>
    <row r="705" spans="1:27" x14ac:dyDescent="0.25">
      <c r="A705" s="10">
        <v>10114</v>
      </c>
      <c r="B705" s="9">
        <v>39</v>
      </c>
      <c r="C705" s="9">
        <v>100</v>
      </c>
      <c r="D705" s="9">
        <f>PRODUCT(sales_data_sample[[#This Row],[QUANTITYORDERED]],sales_data_sample[[#This Row],[PRICEEACH]])</f>
        <v>3900</v>
      </c>
      <c r="E705" s="9">
        <f>IF(OR(sales_data_sample[[#This Row],[STATUS]]="Shipped",sales_data_sample[[#This Row],[STATUS]]="Resolved"),sales_data_sample[[#This Row],[SALES]],0)</f>
        <v>3900</v>
      </c>
      <c r="F705" s="10">
        <v>3</v>
      </c>
      <c r="G705" s="12" t="s">
        <v>555</v>
      </c>
      <c r="H705" s="1" t="s">
        <v>26</v>
      </c>
      <c r="I705">
        <v>2</v>
      </c>
      <c r="J705">
        <v>4</v>
      </c>
      <c r="K705">
        <v>2003</v>
      </c>
      <c r="L705" s="1" t="s">
        <v>711</v>
      </c>
      <c r="M705">
        <v>122</v>
      </c>
      <c r="N705" s="1" t="s">
        <v>883</v>
      </c>
      <c r="O705" s="1" t="s">
        <v>556</v>
      </c>
      <c r="P705" s="1" t="s">
        <v>557</v>
      </c>
      <c r="Q705" s="1" t="s">
        <v>558</v>
      </c>
      <c r="R705" s="1" t="s">
        <v>32</v>
      </c>
      <c r="S705" s="1" t="s">
        <v>55</v>
      </c>
      <c r="T705" s="1" t="s">
        <v>32</v>
      </c>
      <c r="U705" s="1" t="s">
        <v>559</v>
      </c>
      <c r="V705" s="1" t="s">
        <v>47</v>
      </c>
      <c r="W705" s="1" t="s">
        <v>48</v>
      </c>
      <c r="X705" s="1" t="s">
        <v>560</v>
      </c>
      <c r="Y705" s="1" t="s">
        <v>561</v>
      </c>
      <c r="Z705" s="1" t="str">
        <f>TRIM(_xlfn.CONCAT(sales_data_sample[[#This Row],[CONTACTFIRSTNAME]],", ",sales_data_sample[[#This Row],[CONTACTLASTNAME]]))</f>
        <v>Marie, Bertrand</v>
      </c>
      <c r="AA705" s="1" t="s">
        <v>59</v>
      </c>
    </row>
    <row r="706" spans="1:27" x14ac:dyDescent="0.25">
      <c r="A706">
        <v>10127</v>
      </c>
      <c r="B706">
        <v>45</v>
      </c>
      <c r="C706">
        <v>100</v>
      </c>
      <c r="D706">
        <f>PRODUCT(sales_data_sample[[#This Row],[QUANTITYORDERED]],sales_data_sample[[#This Row],[PRICEEACH]])</f>
        <v>4500</v>
      </c>
      <c r="E706" s="9">
        <f>IF(OR(sales_data_sample[[#This Row],[STATUS]]="Shipped",sales_data_sample[[#This Row],[STATUS]]="Resolved"),sales_data_sample[[#This Row],[SALES]],0)</f>
        <v>4500</v>
      </c>
      <c r="F706">
        <v>14</v>
      </c>
      <c r="G706" s="12" t="s">
        <v>666</v>
      </c>
      <c r="H706" s="1" t="s">
        <v>26</v>
      </c>
      <c r="I706">
        <v>2</v>
      </c>
      <c r="J706">
        <v>6</v>
      </c>
      <c r="K706">
        <v>2003</v>
      </c>
      <c r="L706" s="1" t="s">
        <v>711</v>
      </c>
      <c r="M706">
        <v>122</v>
      </c>
      <c r="N706" s="1" t="s">
        <v>883</v>
      </c>
      <c r="O706" s="1" t="s">
        <v>667</v>
      </c>
      <c r="P706" s="1" t="s">
        <v>668</v>
      </c>
      <c r="Q706" s="1" t="s">
        <v>669</v>
      </c>
      <c r="R706" s="1" t="s">
        <v>670</v>
      </c>
      <c r="S706" s="1" t="s">
        <v>33</v>
      </c>
      <c r="T706" s="1" t="s">
        <v>34</v>
      </c>
      <c r="U706" s="1" t="s">
        <v>35</v>
      </c>
      <c r="V706" s="1" t="s">
        <v>36</v>
      </c>
      <c r="W706" s="1" t="s">
        <v>37</v>
      </c>
      <c r="X706" s="1" t="s">
        <v>67</v>
      </c>
      <c r="Y706" s="1" t="s">
        <v>671</v>
      </c>
      <c r="Z706" s="1" t="str">
        <f>TRIM(_xlfn.CONCAT(sales_data_sample[[#This Row],[CONTACTFIRSTNAME]],", ",sales_data_sample[[#This Row],[CONTACTLASTNAME]]))</f>
        <v>Jeff, Young</v>
      </c>
      <c r="AA706" s="1" t="s">
        <v>59</v>
      </c>
    </row>
    <row r="707" spans="1:27" x14ac:dyDescent="0.25">
      <c r="A707" s="10">
        <v>10141</v>
      </c>
      <c r="B707" s="9">
        <v>47</v>
      </c>
      <c r="C707" s="9">
        <v>100</v>
      </c>
      <c r="D707" s="9">
        <f>PRODUCT(sales_data_sample[[#This Row],[QUANTITYORDERED]],sales_data_sample[[#This Row],[PRICEEACH]])</f>
        <v>4700</v>
      </c>
      <c r="E707" s="9">
        <f>IF(OR(sales_data_sample[[#This Row],[STATUS]]="Shipped",sales_data_sample[[#This Row],[STATUS]]="Resolved"),sales_data_sample[[#This Row],[SALES]],0)</f>
        <v>4700</v>
      </c>
      <c r="F707" s="10">
        <v>8</v>
      </c>
      <c r="G707" s="12" t="s">
        <v>743</v>
      </c>
      <c r="H707" s="1" t="s">
        <v>26</v>
      </c>
      <c r="I707">
        <v>3</v>
      </c>
      <c r="J707">
        <v>8</v>
      </c>
      <c r="K707">
        <v>2003</v>
      </c>
      <c r="L707" s="1" t="s">
        <v>711</v>
      </c>
      <c r="M707">
        <v>122</v>
      </c>
      <c r="N707" s="1" t="s">
        <v>883</v>
      </c>
      <c r="O707" s="1" t="s">
        <v>656</v>
      </c>
      <c r="P707" s="1" t="s">
        <v>657</v>
      </c>
      <c r="Q707" s="1" t="s">
        <v>658</v>
      </c>
      <c r="R707" s="1" t="s">
        <v>32</v>
      </c>
      <c r="S707" s="1" t="s">
        <v>659</v>
      </c>
      <c r="T707" s="1" t="s">
        <v>32</v>
      </c>
      <c r="U707" s="1" t="s">
        <v>660</v>
      </c>
      <c r="V707" s="1" t="s">
        <v>170</v>
      </c>
      <c r="W707" s="1" t="s">
        <v>48</v>
      </c>
      <c r="X707" s="1" t="s">
        <v>661</v>
      </c>
      <c r="Y707" s="1" t="s">
        <v>662</v>
      </c>
      <c r="Z707" s="1" t="str">
        <f>TRIM(_xlfn.CONCAT(sales_data_sample[[#This Row],[CONTACTFIRSTNAME]],", ",sales_data_sample[[#This Row],[CONTACTLASTNAME]]))</f>
        <v>Kalle, Suominen</v>
      </c>
      <c r="AA707" s="1" t="s">
        <v>59</v>
      </c>
    </row>
    <row r="708" spans="1:27" x14ac:dyDescent="0.25">
      <c r="A708" s="10">
        <v>10151</v>
      </c>
      <c r="B708" s="9">
        <v>49</v>
      </c>
      <c r="C708" s="9">
        <v>100</v>
      </c>
      <c r="D708" s="9">
        <f>PRODUCT(sales_data_sample[[#This Row],[QUANTITYORDERED]],sales_data_sample[[#This Row],[PRICEEACH]])</f>
        <v>4900</v>
      </c>
      <c r="E708" s="9">
        <f>IF(OR(sales_data_sample[[#This Row],[STATUS]]="Shipped",sales_data_sample[[#This Row],[STATUS]]="Resolved"),sales_data_sample[[#This Row],[SALES]],0)</f>
        <v>4900</v>
      </c>
      <c r="F708" s="10">
        <v>6</v>
      </c>
      <c r="G708" s="12" t="s">
        <v>744</v>
      </c>
      <c r="H708" s="1" t="s">
        <v>26</v>
      </c>
      <c r="I708">
        <v>3</v>
      </c>
      <c r="J708">
        <v>9</v>
      </c>
      <c r="K708">
        <v>2003</v>
      </c>
      <c r="L708" s="1" t="s">
        <v>711</v>
      </c>
      <c r="M708">
        <v>122</v>
      </c>
      <c r="N708" s="1" t="s">
        <v>883</v>
      </c>
      <c r="O708" s="1" t="s">
        <v>537</v>
      </c>
      <c r="P708" s="1" t="s">
        <v>538</v>
      </c>
      <c r="Q708" s="1" t="s">
        <v>539</v>
      </c>
      <c r="R708" s="1" t="s">
        <v>32</v>
      </c>
      <c r="S708" s="1" t="s">
        <v>540</v>
      </c>
      <c r="T708" s="1" t="s">
        <v>32</v>
      </c>
      <c r="U708" s="1" t="s">
        <v>541</v>
      </c>
      <c r="V708" s="1" t="s">
        <v>170</v>
      </c>
      <c r="W708" s="1" t="s">
        <v>48</v>
      </c>
      <c r="X708" s="1" t="s">
        <v>542</v>
      </c>
      <c r="Y708" s="1" t="s">
        <v>543</v>
      </c>
      <c r="Z708" s="1" t="str">
        <f>TRIM(_xlfn.CONCAT(sales_data_sample[[#This Row],[CONTACTFIRSTNAME]],", ",sales_data_sample[[#This Row],[CONTACTLASTNAME]]))</f>
        <v>Pirkko, Koskitalo</v>
      </c>
      <c r="AA708" s="1" t="s">
        <v>59</v>
      </c>
    </row>
    <row r="709" spans="1:27" x14ac:dyDescent="0.25">
      <c r="A709" s="10">
        <v>10165</v>
      </c>
      <c r="B709" s="9">
        <v>46</v>
      </c>
      <c r="C709" s="9">
        <v>100</v>
      </c>
      <c r="D709" s="9">
        <f>PRODUCT(sales_data_sample[[#This Row],[QUANTITYORDERED]],sales_data_sample[[#This Row],[PRICEEACH]])</f>
        <v>4600</v>
      </c>
      <c r="E709" s="9">
        <f>IF(OR(sales_data_sample[[#This Row],[STATUS]]="Shipped",sales_data_sample[[#This Row],[STATUS]]="Resolved"),sales_data_sample[[#This Row],[SALES]],0)</f>
        <v>4600</v>
      </c>
      <c r="F709" s="10">
        <v>15</v>
      </c>
      <c r="G709" s="12" t="s">
        <v>674</v>
      </c>
      <c r="H709" s="1" t="s">
        <v>26</v>
      </c>
      <c r="I709">
        <v>4</v>
      </c>
      <c r="J709">
        <v>10</v>
      </c>
      <c r="K709">
        <v>2003</v>
      </c>
      <c r="L709" s="1" t="s">
        <v>711</v>
      </c>
      <c r="M709">
        <v>122</v>
      </c>
      <c r="N709" s="1" t="s">
        <v>883</v>
      </c>
      <c r="O709" s="1" t="s">
        <v>259</v>
      </c>
      <c r="P709" s="1" t="s">
        <v>260</v>
      </c>
      <c r="Q709" s="1" t="s">
        <v>261</v>
      </c>
      <c r="R709" s="1" t="s">
        <v>32</v>
      </c>
      <c r="S709" s="1" t="s">
        <v>262</v>
      </c>
      <c r="T709" s="1" t="s">
        <v>32</v>
      </c>
      <c r="U709" s="1" t="s">
        <v>263</v>
      </c>
      <c r="V709" s="1" t="s">
        <v>262</v>
      </c>
      <c r="W709" s="1" t="s">
        <v>264</v>
      </c>
      <c r="X709" s="1" t="s">
        <v>265</v>
      </c>
      <c r="Y709" s="1" t="s">
        <v>266</v>
      </c>
      <c r="Z709" s="1" t="str">
        <f>TRIM(_xlfn.CONCAT(sales_data_sample[[#This Row],[CONTACTFIRSTNAME]],", ",sales_data_sample[[#This Row],[CONTACTLASTNAME]]))</f>
        <v>Eric, Natividad</v>
      </c>
      <c r="AA709" s="1" t="s">
        <v>59</v>
      </c>
    </row>
    <row r="710" spans="1:27" x14ac:dyDescent="0.25">
      <c r="A710" s="10">
        <v>10175</v>
      </c>
      <c r="B710" s="9">
        <v>48</v>
      </c>
      <c r="C710" s="9">
        <v>100</v>
      </c>
      <c r="D710" s="9">
        <f>PRODUCT(sales_data_sample[[#This Row],[QUANTITYORDERED]],sales_data_sample[[#This Row],[PRICEEACH]])</f>
        <v>4800</v>
      </c>
      <c r="E710" s="9">
        <f>IF(OR(sales_data_sample[[#This Row],[STATUS]]="Shipped",sales_data_sample[[#This Row],[STATUS]]="Resolved"),sales_data_sample[[#This Row],[SALES]],0)</f>
        <v>4800</v>
      </c>
      <c r="F710" s="10">
        <v>4</v>
      </c>
      <c r="G710" s="12" t="s">
        <v>273</v>
      </c>
      <c r="H710" s="1" t="s">
        <v>26</v>
      </c>
      <c r="I710">
        <v>4</v>
      </c>
      <c r="J710">
        <v>11</v>
      </c>
      <c r="K710">
        <v>2003</v>
      </c>
      <c r="L710" s="1" t="s">
        <v>711</v>
      </c>
      <c r="M710">
        <v>122</v>
      </c>
      <c r="N710" s="1" t="s">
        <v>883</v>
      </c>
      <c r="O710" s="1" t="s">
        <v>447</v>
      </c>
      <c r="P710" s="1" t="s">
        <v>448</v>
      </c>
      <c r="Q710" s="1" t="s">
        <v>449</v>
      </c>
      <c r="R710" s="1" t="s">
        <v>32</v>
      </c>
      <c r="S710" s="1" t="s">
        <v>450</v>
      </c>
      <c r="T710" s="1" t="s">
        <v>32</v>
      </c>
      <c r="U710" s="1" t="s">
        <v>451</v>
      </c>
      <c r="V710" s="1" t="s">
        <v>225</v>
      </c>
      <c r="W710" s="1" t="s">
        <v>48</v>
      </c>
      <c r="X710" s="1" t="s">
        <v>74</v>
      </c>
      <c r="Y710" s="1" t="s">
        <v>452</v>
      </c>
      <c r="Z710" s="1" t="str">
        <f>TRIM(_xlfn.CONCAT(sales_data_sample[[#This Row],[CONTACTFIRSTNAME]],", ",sales_data_sample[[#This Row],[CONTACTLASTNAME]]))</f>
        <v>Ann, Brown</v>
      </c>
      <c r="AA710" s="1" t="s">
        <v>59</v>
      </c>
    </row>
    <row r="711" spans="1:27" x14ac:dyDescent="0.25">
      <c r="A711" s="10">
        <v>10184</v>
      </c>
      <c r="B711" s="9">
        <v>46</v>
      </c>
      <c r="C711" s="9">
        <v>100</v>
      </c>
      <c r="D711" s="9">
        <f>PRODUCT(sales_data_sample[[#This Row],[QUANTITYORDERED]],sales_data_sample[[#This Row],[PRICEEACH]])</f>
        <v>4600</v>
      </c>
      <c r="E711" s="9">
        <f>IF(OR(sales_data_sample[[#This Row],[STATUS]]="Shipped",sales_data_sample[[#This Row],[STATUS]]="Resolved"),sales_data_sample[[#This Row],[SALES]],0)</f>
        <v>4600</v>
      </c>
      <c r="F711" s="10">
        <v>9</v>
      </c>
      <c r="G711" s="12" t="s">
        <v>470</v>
      </c>
      <c r="H711" s="1" t="s">
        <v>26</v>
      </c>
      <c r="I711">
        <v>4</v>
      </c>
      <c r="J711">
        <v>11</v>
      </c>
      <c r="K711">
        <v>2003</v>
      </c>
      <c r="L711" s="1" t="s">
        <v>711</v>
      </c>
      <c r="M711">
        <v>122</v>
      </c>
      <c r="N711" s="1" t="s">
        <v>883</v>
      </c>
      <c r="O711" s="1" t="s">
        <v>745</v>
      </c>
      <c r="P711" s="1" t="s">
        <v>746</v>
      </c>
      <c r="Q711" s="1" t="s">
        <v>747</v>
      </c>
      <c r="R711" s="1" t="s">
        <v>32</v>
      </c>
      <c r="S711" s="1" t="s">
        <v>748</v>
      </c>
      <c r="T711" s="1" t="s">
        <v>32</v>
      </c>
      <c r="U711" s="1" t="s">
        <v>749</v>
      </c>
      <c r="V711" s="1" t="s">
        <v>235</v>
      </c>
      <c r="W711" s="1" t="s">
        <v>48</v>
      </c>
      <c r="X711" s="1" t="s">
        <v>750</v>
      </c>
      <c r="Y711" s="1" t="s">
        <v>751</v>
      </c>
      <c r="Z711" s="1" t="str">
        <f>TRIM(_xlfn.CONCAT(sales_data_sample[[#This Row],[CONTACTFIRSTNAME]],", ",sales_data_sample[[#This Row],[CONTACTLASTNAME]]))</f>
        <v>Jose Pedro, Roel</v>
      </c>
      <c r="AA711" s="1" t="s">
        <v>59</v>
      </c>
    </row>
    <row r="712" spans="1:27" x14ac:dyDescent="0.25">
      <c r="A712" s="10">
        <v>10195</v>
      </c>
      <c r="B712" s="9">
        <v>35</v>
      </c>
      <c r="C712" s="9">
        <v>100</v>
      </c>
      <c r="D712" s="9">
        <f>PRODUCT(sales_data_sample[[#This Row],[QUANTITYORDERED]],sales_data_sample[[#This Row],[PRICEEACH]])</f>
        <v>3500</v>
      </c>
      <c r="E712" s="9">
        <f>IF(OR(sales_data_sample[[#This Row],[STATUS]]="Shipped",sales_data_sample[[#This Row],[STATUS]]="Resolved"),sales_data_sample[[#This Row],[SALES]],0)</f>
        <v>3500</v>
      </c>
      <c r="F712" s="10">
        <v>9</v>
      </c>
      <c r="G712" s="12" t="s">
        <v>290</v>
      </c>
      <c r="H712" s="1" t="s">
        <v>26</v>
      </c>
      <c r="I712">
        <v>4</v>
      </c>
      <c r="J712">
        <v>11</v>
      </c>
      <c r="K712">
        <v>2003</v>
      </c>
      <c r="L712" s="1" t="s">
        <v>711</v>
      </c>
      <c r="M712">
        <v>122</v>
      </c>
      <c r="N712" s="1" t="s">
        <v>883</v>
      </c>
      <c r="O712" s="1" t="s">
        <v>425</v>
      </c>
      <c r="P712" s="1" t="s">
        <v>426</v>
      </c>
      <c r="Q712" s="1" t="s">
        <v>427</v>
      </c>
      <c r="R712" s="1" t="s">
        <v>32</v>
      </c>
      <c r="S712" s="1" t="s">
        <v>428</v>
      </c>
      <c r="T712" s="1" t="s">
        <v>34</v>
      </c>
      <c r="U712" s="1" t="s">
        <v>429</v>
      </c>
      <c r="V712" s="1" t="s">
        <v>36</v>
      </c>
      <c r="W712" s="1" t="s">
        <v>37</v>
      </c>
      <c r="X712" s="1" t="s">
        <v>129</v>
      </c>
      <c r="Y712" s="1" t="s">
        <v>314</v>
      </c>
      <c r="Z712" s="1" t="str">
        <f>TRIM(_xlfn.CONCAT(sales_data_sample[[#This Row],[CONTACTFIRSTNAME]],", ",sales_data_sample[[#This Row],[CONTACTLASTNAME]]))</f>
        <v>Steve, Frick</v>
      </c>
      <c r="AA712" s="1" t="s">
        <v>59</v>
      </c>
    </row>
    <row r="713" spans="1:27" x14ac:dyDescent="0.25">
      <c r="A713" s="10">
        <v>10207</v>
      </c>
      <c r="B713" s="9">
        <v>43</v>
      </c>
      <c r="C713" s="9">
        <v>100</v>
      </c>
      <c r="D713" s="9">
        <f>PRODUCT(sales_data_sample[[#This Row],[QUANTITYORDERED]],sales_data_sample[[#This Row],[PRICEEACH]])</f>
        <v>4300</v>
      </c>
      <c r="E713" s="9">
        <f>IF(OR(sales_data_sample[[#This Row],[STATUS]]="Shipped",sales_data_sample[[#This Row],[STATUS]]="Resolved"),sales_data_sample[[#This Row],[SALES]],0)</f>
        <v>4300</v>
      </c>
      <c r="F713" s="10">
        <v>10</v>
      </c>
      <c r="G713" s="12" t="s">
        <v>571</v>
      </c>
      <c r="H713" s="1" t="s">
        <v>26</v>
      </c>
      <c r="I713">
        <v>4</v>
      </c>
      <c r="J713">
        <v>12</v>
      </c>
      <c r="K713">
        <v>2003</v>
      </c>
      <c r="L713" s="1" t="s">
        <v>711</v>
      </c>
      <c r="M713">
        <v>122</v>
      </c>
      <c r="N713" s="1" t="s">
        <v>883</v>
      </c>
      <c r="O713" s="1" t="s">
        <v>572</v>
      </c>
      <c r="P713" s="1" t="s">
        <v>573</v>
      </c>
      <c r="Q713" s="1" t="s">
        <v>574</v>
      </c>
      <c r="R713" s="1" t="s">
        <v>32</v>
      </c>
      <c r="S713" s="1" t="s">
        <v>519</v>
      </c>
      <c r="T713" s="1" t="s">
        <v>160</v>
      </c>
      <c r="U713" s="1" t="s">
        <v>520</v>
      </c>
      <c r="V713" s="1" t="s">
        <v>36</v>
      </c>
      <c r="W713" s="1" t="s">
        <v>37</v>
      </c>
      <c r="X713" s="1" t="s">
        <v>575</v>
      </c>
      <c r="Y713" s="1" t="s">
        <v>366</v>
      </c>
      <c r="Z713" s="1" t="str">
        <f>TRIM(_xlfn.CONCAT(sales_data_sample[[#This Row],[CONTACTFIRSTNAME]],", ",sales_data_sample[[#This Row],[CONTACTLASTNAME]]))</f>
        <v>Valarie, Franco</v>
      </c>
      <c r="AA713" s="1" t="s">
        <v>59</v>
      </c>
    </row>
    <row r="714" spans="1:27" x14ac:dyDescent="0.25">
      <c r="A714" s="10">
        <v>10229</v>
      </c>
      <c r="B714" s="9">
        <v>26</v>
      </c>
      <c r="C714" s="9">
        <v>100</v>
      </c>
      <c r="D714" s="9">
        <f>PRODUCT(sales_data_sample[[#This Row],[QUANTITYORDERED]],sales_data_sample[[#This Row],[PRICEEACH]])</f>
        <v>2600</v>
      </c>
      <c r="E714" s="9">
        <f>IF(OR(sales_data_sample[[#This Row],[STATUS]]="Shipped",sales_data_sample[[#This Row],[STATUS]]="Resolved"),sales_data_sample[[#This Row],[SALES]],0)</f>
        <v>2600</v>
      </c>
      <c r="F714" s="10">
        <v>4</v>
      </c>
      <c r="G714" s="12" t="s">
        <v>584</v>
      </c>
      <c r="H714" s="1" t="s">
        <v>26</v>
      </c>
      <c r="I714">
        <v>1</v>
      </c>
      <c r="J714">
        <v>3</v>
      </c>
      <c r="K714">
        <v>2004</v>
      </c>
      <c r="L714" s="1" t="s">
        <v>711</v>
      </c>
      <c r="M714">
        <v>122</v>
      </c>
      <c r="N714" s="1" t="s">
        <v>883</v>
      </c>
      <c r="O714" s="1" t="s">
        <v>361</v>
      </c>
      <c r="P714" s="1" t="s">
        <v>362</v>
      </c>
      <c r="Q714" s="1" t="s">
        <v>363</v>
      </c>
      <c r="R714" s="1" t="s">
        <v>32</v>
      </c>
      <c r="S714" s="1" t="s">
        <v>364</v>
      </c>
      <c r="T714" s="1" t="s">
        <v>65</v>
      </c>
      <c r="U714" s="1" t="s">
        <v>145</v>
      </c>
      <c r="V714" s="1" t="s">
        <v>36</v>
      </c>
      <c r="W714" s="1" t="s">
        <v>37</v>
      </c>
      <c r="X714" s="1" t="s">
        <v>365</v>
      </c>
      <c r="Y714" s="1" t="s">
        <v>366</v>
      </c>
      <c r="Z714" s="1" t="str">
        <f>TRIM(_xlfn.CONCAT(sales_data_sample[[#This Row],[CONTACTFIRSTNAME]],", ",sales_data_sample[[#This Row],[CONTACTLASTNAME]]))</f>
        <v>Valarie, Nelson</v>
      </c>
      <c r="AA714" s="1" t="s">
        <v>59</v>
      </c>
    </row>
    <row r="715" spans="1:27" x14ac:dyDescent="0.25">
      <c r="A715" s="10">
        <v>10246</v>
      </c>
      <c r="B715" s="9">
        <v>22</v>
      </c>
      <c r="C715" s="9">
        <v>9818</v>
      </c>
      <c r="D715" s="9">
        <f>PRODUCT(sales_data_sample[[#This Row],[QUANTITYORDERED]],sales_data_sample[[#This Row],[PRICEEACH]])</f>
        <v>215996</v>
      </c>
      <c r="E715" s="9">
        <f>IF(OR(sales_data_sample[[#This Row],[STATUS]]="Shipped",sales_data_sample[[#This Row],[STATUS]]="Resolved"),sales_data_sample[[#This Row],[SALES]],0)</f>
        <v>215996</v>
      </c>
      <c r="F715" s="10">
        <v>8</v>
      </c>
      <c r="G715" s="12" t="s">
        <v>692</v>
      </c>
      <c r="H715" s="1" t="s">
        <v>26</v>
      </c>
      <c r="I715">
        <v>2</v>
      </c>
      <c r="J715">
        <v>5</v>
      </c>
      <c r="K715">
        <v>2004</v>
      </c>
      <c r="L715" s="1" t="s">
        <v>711</v>
      </c>
      <c r="M715">
        <v>122</v>
      </c>
      <c r="N715" s="1" t="s">
        <v>883</v>
      </c>
      <c r="O715" s="1" t="s">
        <v>230</v>
      </c>
      <c r="P715" s="1" t="s">
        <v>231</v>
      </c>
      <c r="Q715" s="1" t="s">
        <v>232</v>
      </c>
      <c r="R715" s="1" t="s">
        <v>32</v>
      </c>
      <c r="S715" s="1" t="s">
        <v>233</v>
      </c>
      <c r="T715" s="1" t="s">
        <v>32</v>
      </c>
      <c r="U715" s="1" t="s">
        <v>234</v>
      </c>
      <c r="V715" s="1" t="s">
        <v>235</v>
      </c>
      <c r="W715" s="1" t="s">
        <v>48</v>
      </c>
      <c r="X715" s="1" t="s">
        <v>236</v>
      </c>
      <c r="Y715" s="1" t="s">
        <v>237</v>
      </c>
      <c r="Z715" s="1" t="str">
        <f>TRIM(_xlfn.CONCAT(sales_data_sample[[#This Row],[CONTACTFIRSTNAME]],", ",sales_data_sample[[#This Row],[CONTACTLASTNAME]]))</f>
        <v>Diego, Freyre</v>
      </c>
      <c r="AA715" s="1" t="s">
        <v>40</v>
      </c>
    </row>
    <row r="716" spans="1:27" x14ac:dyDescent="0.25">
      <c r="A716">
        <v>10259</v>
      </c>
      <c r="B716">
        <v>34</v>
      </c>
      <c r="C716">
        <v>9941</v>
      </c>
      <c r="D716">
        <f>PRODUCT(sales_data_sample[[#This Row],[QUANTITYORDERED]],sales_data_sample[[#This Row],[PRICEEACH]])</f>
        <v>337994</v>
      </c>
      <c r="E716" s="9">
        <f>IF(OR(sales_data_sample[[#This Row],[STATUS]]="Shipped",sales_data_sample[[#This Row],[STATUS]]="Resolved"),sales_data_sample[[#This Row],[SALES]],0)</f>
        <v>337994</v>
      </c>
      <c r="F716">
        <v>7</v>
      </c>
      <c r="G716" s="12" t="s">
        <v>327</v>
      </c>
      <c r="H716" s="1" t="s">
        <v>26</v>
      </c>
      <c r="I716">
        <v>2</v>
      </c>
      <c r="J716">
        <v>6</v>
      </c>
      <c r="K716">
        <v>2004</v>
      </c>
      <c r="L716" s="1" t="s">
        <v>711</v>
      </c>
      <c r="M716">
        <v>122</v>
      </c>
      <c r="N716" s="1" t="s">
        <v>883</v>
      </c>
      <c r="O716" s="1" t="s">
        <v>577</v>
      </c>
      <c r="P716" s="1" t="s">
        <v>578</v>
      </c>
      <c r="Q716" s="1" t="s">
        <v>579</v>
      </c>
      <c r="R716" s="1" t="s">
        <v>580</v>
      </c>
      <c r="S716" s="1" t="s">
        <v>262</v>
      </c>
      <c r="T716" s="1" t="s">
        <v>32</v>
      </c>
      <c r="U716" s="1" t="s">
        <v>581</v>
      </c>
      <c r="V716" s="1" t="s">
        <v>262</v>
      </c>
      <c r="W716" s="1" t="s">
        <v>121</v>
      </c>
      <c r="X716" s="1" t="s">
        <v>582</v>
      </c>
      <c r="Y716" s="1" t="s">
        <v>583</v>
      </c>
      <c r="Z716" s="1" t="str">
        <f>TRIM(_xlfn.CONCAT(sales_data_sample[[#This Row],[CONTACTFIRSTNAME]],", ",sales_data_sample[[#This Row],[CONTACTLASTNAME]]))</f>
        <v>Wendy, Victorino</v>
      </c>
      <c r="AA716" s="1" t="s">
        <v>59</v>
      </c>
    </row>
    <row r="717" spans="1:27" x14ac:dyDescent="0.25">
      <c r="A717" s="10">
        <v>10271</v>
      </c>
      <c r="B717" s="9">
        <v>50</v>
      </c>
      <c r="C717" s="9">
        <v>100</v>
      </c>
      <c r="D717" s="9">
        <f>PRODUCT(sales_data_sample[[#This Row],[QUANTITYORDERED]],sales_data_sample[[#This Row],[PRICEEACH]])</f>
        <v>5000</v>
      </c>
      <c r="E717" s="9">
        <f>IF(OR(sales_data_sample[[#This Row],[STATUS]]="Shipped",sales_data_sample[[#This Row],[STATUS]]="Resolved"),sales_data_sample[[#This Row],[SALES]],0)</f>
        <v>5000</v>
      </c>
      <c r="F717" s="10">
        <v>8</v>
      </c>
      <c r="G717" s="12" t="s">
        <v>693</v>
      </c>
      <c r="H717" s="1" t="s">
        <v>26</v>
      </c>
      <c r="I717">
        <v>3</v>
      </c>
      <c r="J717">
        <v>7</v>
      </c>
      <c r="K717">
        <v>2004</v>
      </c>
      <c r="L717" s="1" t="s">
        <v>711</v>
      </c>
      <c r="M717">
        <v>122</v>
      </c>
      <c r="N717" s="1" t="s">
        <v>883</v>
      </c>
      <c r="O717" s="1" t="s">
        <v>361</v>
      </c>
      <c r="P717" s="1" t="s">
        <v>362</v>
      </c>
      <c r="Q717" s="1" t="s">
        <v>363</v>
      </c>
      <c r="R717" s="1" t="s">
        <v>32</v>
      </c>
      <c r="S717" s="1" t="s">
        <v>364</v>
      </c>
      <c r="T717" s="1" t="s">
        <v>65</v>
      </c>
      <c r="U717" s="1" t="s">
        <v>145</v>
      </c>
      <c r="V717" s="1" t="s">
        <v>36</v>
      </c>
      <c r="W717" s="1" t="s">
        <v>37</v>
      </c>
      <c r="X717" s="1" t="s">
        <v>365</v>
      </c>
      <c r="Y717" s="1" t="s">
        <v>366</v>
      </c>
      <c r="Z717" s="1" t="str">
        <f>TRIM(_xlfn.CONCAT(sales_data_sample[[#This Row],[CONTACTFIRSTNAME]],", ",sales_data_sample[[#This Row],[CONTACTLASTNAME]]))</f>
        <v>Valarie, Nelson</v>
      </c>
      <c r="AA717" s="1" t="s">
        <v>59</v>
      </c>
    </row>
    <row r="718" spans="1:27" x14ac:dyDescent="0.25">
      <c r="A718" s="10">
        <v>10281</v>
      </c>
      <c r="B718" s="9">
        <v>48</v>
      </c>
      <c r="C718" s="9">
        <v>100</v>
      </c>
      <c r="D718" s="9">
        <f>PRODUCT(sales_data_sample[[#This Row],[QUANTITYORDERED]],sales_data_sample[[#This Row],[PRICEEACH]])</f>
        <v>4800</v>
      </c>
      <c r="E718" s="9">
        <f>IF(OR(sales_data_sample[[#This Row],[STATUS]]="Shipped",sales_data_sample[[#This Row],[STATUS]]="Resolved"),sales_data_sample[[#This Row],[SALES]],0)</f>
        <v>4800</v>
      </c>
      <c r="F718" s="10">
        <v>4</v>
      </c>
      <c r="G718" s="12" t="s">
        <v>585</v>
      </c>
      <c r="H718" s="1" t="s">
        <v>26</v>
      </c>
      <c r="I718">
        <v>3</v>
      </c>
      <c r="J718">
        <v>8</v>
      </c>
      <c r="K718">
        <v>2004</v>
      </c>
      <c r="L718" s="1" t="s">
        <v>711</v>
      </c>
      <c r="M718">
        <v>122</v>
      </c>
      <c r="N718" s="1" t="s">
        <v>883</v>
      </c>
      <c r="O718" s="1" t="s">
        <v>182</v>
      </c>
      <c r="P718" s="1" t="s">
        <v>183</v>
      </c>
      <c r="Q718" s="1" t="s">
        <v>184</v>
      </c>
      <c r="R718" s="1" t="s">
        <v>32</v>
      </c>
      <c r="S718" s="1" t="s">
        <v>185</v>
      </c>
      <c r="T718" s="1" t="s">
        <v>186</v>
      </c>
      <c r="U718" s="1" t="s">
        <v>187</v>
      </c>
      <c r="V718" s="1" t="s">
        <v>36</v>
      </c>
      <c r="W718" s="1" t="s">
        <v>37</v>
      </c>
      <c r="X718" s="1" t="s">
        <v>38</v>
      </c>
      <c r="Y718" s="1" t="s">
        <v>188</v>
      </c>
      <c r="Z718" s="1" t="str">
        <f>TRIM(_xlfn.CONCAT(sales_data_sample[[#This Row],[CONTACTFIRSTNAME]],", ",sales_data_sample[[#This Row],[CONTACTLASTNAME]]))</f>
        <v>Kyung, Yu</v>
      </c>
      <c r="AA718" s="1" t="s">
        <v>59</v>
      </c>
    </row>
    <row r="719" spans="1:27" x14ac:dyDescent="0.25">
      <c r="A719" s="10">
        <v>10292</v>
      </c>
      <c r="B719" s="9">
        <v>41</v>
      </c>
      <c r="C719" s="9">
        <v>100</v>
      </c>
      <c r="D719" s="9">
        <f>PRODUCT(sales_data_sample[[#This Row],[QUANTITYORDERED]],sales_data_sample[[#This Row],[PRICEEACH]])</f>
        <v>4100</v>
      </c>
      <c r="E719" s="9">
        <f>IF(OR(sales_data_sample[[#This Row],[STATUS]]="Shipped",sales_data_sample[[#This Row],[STATUS]]="Resolved"),sales_data_sample[[#This Row],[SALES]],0)</f>
        <v>4100</v>
      </c>
      <c r="F719" s="10">
        <v>11</v>
      </c>
      <c r="G719" s="12" t="s">
        <v>346</v>
      </c>
      <c r="H719" s="1" t="s">
        <v>26</v>
      </c>
      <c r="I719">
        <v>3</v>
      </c>
      <c r="J719">
        <v>9</v>
      </c>
      <c r="K719">
        <v>2004</v>
      </c>
      <c r="L719" s="1" t="s">
        <v>711</v>
      </c>
      <c r="M719">
        <v>122</v>
      </c>
      <c r="N719" s="1" t="s">
        <v>883</v>
      </c>
      <c r="O719" s="1" t="s">
        <v>29</v>
      </c>
      <c r="P719" s="1" t="s">
        <v>30</v>
      </c>
      <c r="Q719" s="1" t="s">
        <v>31</v>
      </c>
      <c r="R719" s="1" t="s">
        <v>32</v>
      </c>
      <c r="S719" s="1" t="s">
        <v>33</v>
      </c>
      <c r="T719" s="1" t="s">
        <v>34</v>
      </c>
      <c r="U719" s="1" t="s">
        <v>35</v>
      </c>
      <c r="V719" s="1" t="s">
        <v>36</v>
      </c>
      <c r="W719" s="1" t="s">
        <v>37</v>
      </c>
      <c r="X719" s="1" t="s">
        <v>38</v>
      </c>
      <c r="Y719" s="1" t="s">
        <v>39</v>
      </c>
      <c r="Z719" s="1" t="str">
        <f>TRIM(_xlfn.CONCAT(sales_data_sample[[#This Row],[CONTACTFIRSTNAME]],", ",sales_data_sample[[#This Row],[CONTACTLASTNAME]]))</f>
        <v>Kwai, Yu</v>
      </c>
      <c r="AA719" s="1" t="s">
        <v>59</v>
      </c>
    </row>
    <row r="720" spans="1:27" x14ac:dyDescent="0.25">
      <c r="A720" s="10">
        <v>10305</v>
      </c>
      <c r="B720" s="9">
        <v>36</v>
      </c>
      <c r="C720" s="9">
        <v>100</v>
      </c>
      <c r="D720" s="9">
        <f>PRODUCT(sales_data_sample[[#This Row],[QUANTITYORDERED]],sales_data_sample[[#This Row],[PRICEEACH]])</f>
        <v>3600</v>
      </c>
      <c r="E720" s="9">
        <f>IF(OR(sales_data_sample[[#This Row],[STATUS]]="Shipped",sales_data_sample[[#This Row],[STATUS]]="Resolved"),sales_data_sample[[#This Row],[SALES]],0)</f>
        <v>3600</v>
      </c>
      <c r="F720" s="10">
        <v>8</v>
      </c>
      <c r="G720" s="12" t="s">
        <v>586</v>
      </c>
      <c r="H720" s="1" t="s">
        <v>26</v>
      </c>
      <c r="I720">
        <v>4</v>
      </c>
      <c r="J720">
        <v>10</v>
      </c>
      <c r="K720">
        <v>2004</v>
      </c>
      <c r="L720" s="1" t="s">
        <v>711</v>
      </c>
      <c r="M720">
        <v>122</v>
      </c>
      <c r="N720" s="1" t="s">
        <v>883</v>
      </c>
      <c r="O720" s="1" t="s">
        <v>156</v>
      </c>
      <c r="P720" s="1" t="s">
        <v>157</v>
      </c>
      <c r="Q720" s="1" t="s">
        <v>158</v>
      </c>
      <c r="R720" s="1" t="s">
        <v>32</v>
      </c>
      <c r="S720" s="1" t="s">
        <v>159</v>
      </c>
      <c r="T720" s="1" t="s">
        <v>160</v>
      </c>
      <c r="U720" s="1" t="s">
        <v>161</v>
      </c>
      <c r="V720" s="1" t="s">
        <v>36</v>
      </c>
      <c r="W720" s="1" t="s">
        <v>37</v>
      </c>
      <c r="X720" s="1" t="s">
        <v>162</v>
      </c>
      <c r="Y720" s="1" t="s">
        <v>163</v>
      </c>
      <c r="Z720" s="1" t="str">
        <f>TRIM(_xlfn.CONCAT(sales_data_sample[[#This Row],[CONTACTFIRSTNAME]],", ",sales_data_sample[[#This Row],[CONTACTLASTNAME]]))</f>
        <v>Marta, Hernandez</v>
      </c>
      <c r="AA720" s="1" t="s">
        <v>59</v>
      </c>
    </row>
    <row r="721" spans="1:27" x14ac:dyDescent="0.25">
      <c r="A721" s="10">
        <v>10313</v>
      </c>
      <c r="B721" s="9">
        <v>29</v>
      </c>
      <c r="C721" s="9">
        <v>100</v>
      </c>
      <c r="D721" s="9">
        <f>PRODUCT(sales_data_sample[[#This Row],[QUANTITYORDERED]],sales_data_sample[[#This Row],[PRICEEACH]])</f>
        <v>2900</v>
      </c>
      <c r="E721" s="9">
        <f>IF(OR(sales_data_sample[[#This Row],[STATUS]]="Shipped",sales_data_sample[[#This Row],[STATUS]]="Resolved"),sales_data_sample[[#This Row],[SALES]],0)</f>
        <v>2900</v>
      </c>
      <c r="F721" s="10">
        <v>2</v>
      </c>
      <c r="G721" s="12" t="s">
        <v>587</v>
      </c>
      <c r="H721" s="1" t="s">
        <v>26</v>
      </c>
      <c r="I721">
        <v>4</v>
      </c>
      <c r="J721">
        <v>10</v>
      </c>
      <c r="K721">
        <v>2004</v>
      </c>
      <c r="L721" s="1" t="s">
        <v>711</v>
      </c>
      <c r="M721">
        <v>122</v>
      </c>
      <c r="N721" s="1" t="s">
        <v>883</v>
      </c>
      <c r="O721" s="1" t="s">
        <v>299</v>
      </c>
      <c r="P721" s="1" t="s">
        <v>300</v>
      </c>
      <c r="Q721" s="1" t="s">
        <v>301</v>
      </c>
      <c r="R721" s="1" t="s">
        <v>32</v>
      </c>
      <c r="S721" s="1" t="s">
        <v>302</v>
      </c>
      <c r="T721" s="1" t="s">
        <v>303</v>
      </c>
      <c r="U721" s="1" t="s">
        <v>304</v>
      </c>
      <c r="V721" s="1" t="s">
        <v>305</v>
      </c>
      <c r="W721" s="1" t="s">
        <v>37</v>
      </c>
      <c r="X721" s="1" t="s">
        <v>306</v>
      </c>
      <c r="Y721" s="1" t="s">
        <v>307</v>
      </c>
      <c r="Z721" s="1" t="str">
        <f>TRIM(_xlfn.CONCAT(sales_data_sample[[#This Row],[CONTACTFIRSTNAME]],", ",sales_data_sample[[#This Row],[CONTACTLASTNAME]]))</f>
        <v>Yoshi, Tannamuri</v>
      </c>
      <c r="AA721" s="1" t="s">
        <v>59</v>
      </c>
    </row>
    <row r="722" spans="1:27" x14ac:dyDescent="0.25">
      <c r="A722">
        <v>10324</v>
      </c>
      <c r="B722">
        <v>33</v>
      </c>
      <c r="C722">
        <v>3748</v>
      </c>
      <c r="D722">
        <f>PRODUCT(sales_data_sample[[#This Row],[QUANTITYORDERED]],sales_data_sample[[#This Row],[PRICEEACH]])</f>
        <v>123684</v>
      </c>
      <c r="E722" s="9">
        <f>IF(OR(sales_data_sample[[#This Row],[STATUS]]="Shipped",sales_data_sample[[#This Row],[STATUS]]="Resolved"),sales_data_sample[[#This Row],[SALES]],0)</f>
        <v>123684</v>
      </c>
      <c r="F722">
        <v>10</v>
      </c>
      <c r="G722" s="12" t="s">
        <v>532</v>
      </c>
      <c r="H722" s="1" t="s">
        <v>26</v>
      </c>
      <c r="I722">
        <v>4</v>
      </c>
      <c r="J722">
        <v>11</v>
      </c>
      <c r="K722">
        <v>2004</v>
      </c>
      <c r="L722" s="1" t="s">
        <v>711</v>
      </c>
      <c r="M722">
        <v>122</v>
      </c>
      <c r="N722" s="1" t="s">
        <v>883</v>
      </c>
      <c r="O722" s="1" t="s">
        <v>125</v>
      </c>
      <c r="P722" s="1" t="s">
        <v>126</v>
      </c>
      <c r="Q722" s="1" t="s">
        <v>127</v>
      </c>
      <c r="R722" s="1" t="s">
        <v>128</v>
      </c>
      <c r="S722" s="1" t="s">
        <v>33</v>
      </c>
      <c r="T722" s="1" t="s">
        <v>34</v>
      </c>
      <c r="U722" s="1" t="s">
        <v>35</v>
      </c>
      <c r="V722" s="1" t="s">
        <v>36</v>
      </c>
      <c r="W722" s="1" t="s">
        <v>37</v>
      </c>
      <c r="X722" s="1" t="s">
        <v>129</v>
      </c>
      <c r="Y722" s="1" t="s">
        <v>130</v>
      </c>
      <c r="Z722" s="1" t="str">
        <f>TRIM(_xlfn.CONCAT(sales_data_sample[[#This Row],[CONTACTFIRSTNAME]],", ",sales_data_sample[[#This Row],[CONTACTLASTNAME]]))</f>
        <v>Michael, Frick</v>
      </c>
      <c r="AA722" s="1" t="s">
        <v>40</v>
      </c>
    </row>
    <row r="723" spans="1:27" x14ac:dyDescent="0.25">
      <c r="A723" s="10">
        <v>10334</v>
      </c>
      <c r="B723" s="9">
        <v>46</v>
      </c>
      <c r="C723" s="9">
        <v>100</v>
      </c>
      <c r="D723" s="9">
        <f>PRODUCT(sales_data_sample[[#This Row],[QUANTITYORDERED]],sales_data_sample[[#This Row],[PRICEEACH]])</f>
        <v>4600</v>
      </c>
      <c r="E723" s="9">
        <f>IF(OR(sales_data_sample[[#This Row],[STATUS]]="Shipped",sales_data_sample[[#This Row],[STATUS]]="Resolved"),sales_data_sample[[#This Row],[SALES]],0)</f>
        <v>0</v>
      </c>
      <c r="F723" s="10">
        <v>6</v>
      </c>
      <c r="G723" s="12" t="s">
        <v>588</v>
      </c>
      <c r="H723" s="1" t="s">
        <v>553</v>
      </c>
      <c r="I723">
        <v>4</v>
      </c>
      <c r="J723">
        <v>11</v>
      </c>
      <c r="K723">
        <v>2004</v>
      </c>
      <c r="L723" s="1" t="s">
        <v>711</v>
      </c>
      <c r="M723">
        <v>122</v>
      </c>
      <c r="N723" s="1" t="s">
        <v>883</v>
      </c>
      <c r="O723" s="1" t="s">
        <v>242</v>
      </c>
      <c r="P723" s="1" t="s">
        <v>243</v>
      </c>
      <c r="Q723" s="1" t="s">
        <v>244</v>
      </c>
      <c r="R723" s="1" t="s">
        <v>32</v>
      </c>
      <c r="S723" s="1" t="s">
        <v>245</v>
      </c>
      <c r="T723" s="1" t="s">
        <v>32</v>
      </c>
      <c r="U723" s="1" t="s">
        <v>246</v>
      </c>
      <c r="V723" s="1" t="s">
        <v>247</v>
      </c>
      <c r="W723" s="1" t="s">
        <v>48</v>
      </c>
      <c r="X723" s="1" t="s">
        <v>248</v>
      </c>
      <c r="Y723" s="1" t="s">
        <v>249</v>
      </c>
      <c r="Z723" s="1" t="str">
        <f>TRIM(_xlfn.CONCAT(sales_data_sample[[#This Row],[CONTACTFIRSTNAME]],", ",sales_data_sample[[#This Row],[CONTACTLASTNAME]]))</f>
        <v>Christina, Berglund</v>
      </c>
      <c r="AA723" s="1" t="s">
        <v>59</v>
      </c>
    </row>
    <row r="724" spans="1:27" x14ac:dyDescent="0.25">
      <c r="A724">
        <v>10349</v>
      </c>
      <c r="B724">
        <v>38</v>
      </c>
      <c r="C724">
        <v>100</v>
      </c>
      <c r="D724">
        <f>PRODUCT(sales_data_sample[[#This Row],[QUANTITYORDERED]],sales_data_sample[[#This Row],[PRICEEACH]])</f>
        <v>3800</v>
      </c>
      <c r="E724" s="9">
        <f>IF(OR(sales_data_sample[[#This Row],[STATUS]]="Shipped",sales_data_sample[[#This Row],[STATUS]]="Resolved"),sales_data_sample[[#This Row],[SALES]],0)</f>
        <v>3800</v>
      </c>
      <c r="F724">
        <v>7</v>
      </c>
      <c r="G724" s="12" t="s">
        <v>737</v>
      </c>
      <c r="H724" s="1" t="s">
        <v>26</v>
      </c>
      <c r="I724">
        <v>4</v>
      </c>
      <c r="J724">
        <v>12</v>
      </c>
      <c r="K724">
        <v>2004</v>
      </c>
      <c r="L724" s="1" t="s">
        <v>711</v>
      </c>
      <c r="M724">
        <v>122</v>
      </c>
      <c r="N724" s="1" t="s">
        <v>883</v>
      </c>
      <c r="O724" s="1" t="s">
        <v>667</v>
      </c>
      <c r="P724" s="1" t="s">
        <v>668</v>
      </c>
      <c r="Q724" s="1" t="s">
        <v>669</v>
      </c>
      <c r="R724" s="1" t="s">
        <v>670</v>
      </c>
      <c r="S724" s="1" t="s">
        <v>33</v>
      </c>
      <c r="T724" s="1" t="s">
        <v>34</v>
      </c>
      <c r="U724" s="1" t="s">
        <v>35</v>
      </c>
      <c r="V724" s="1" t="s">
        <v>36</v>
      </c>
      <c r="W724" s="1" t="s">
        <v>37</v>
      </c>
      <c r="X724" s="1" t="s">
        <v>67</v>
      </c>
      <c r="Y724" s="1" t="s">
        <v>671</v>
      </c>
      <c r="Z724" s="1" t="str">
        <f>TRIM(_xlfn.CONCAT(sales_data_sample[[#This Row],[CONTACTFIRSTNAME]],", ",sales_data_sample[[#This Row],[CONTACTLASTNAME]]))</f>
        <v>Jeff, Young</v>
      </c>
      <c r="AA724" s="1" t="s">
        <v>59</v>
      </c>
    </row>
    <row r="725" spans="1:27" x14ac:dyDescent="0.25">
      <c r="A725" s="10">
        <v>10358</v>
      </c>
      <c r="B725" s="9">
        <v>20</v>
      </c>
      <c r="C725" s="9">
        <v>3642</v>
      </c>
      <c r="D725" s="9">
        <f>PRODUCT(sales_data_sample[[#This Row],[QUANTITYORDERED]],sales_data_sample[[#This Row],[PRICEEACH]])</f>
        <v>72840</v>
      </c>
      <c r="E725" s="9">
        <f>IF(OR(sales_data_sample[[#This Row],[STATUS]]="Shipped",sales_data_sample[[#This Row],[STATUS]]="Resolved"),sales_data_sample[[#This Row],[SALES]],0)</f>
        <v>72840</v>
      </c>
      <c r="F725" s="10">
        <v>11</v>
      </c>
      <c r="G725" s="12" t="s">
        <v>376</v>
      </c>
      <c r="H725" s="1" t="s">
        <v>26</v>
      </c>
      <c r="I725">
        <v>4</v>
      </c>
      <c r="J725">
        <v>12</v>
      </c>
      <c r="K725">
        <v>2004</v>
      </c>
      <c r="L725" s="1" t="s">
        <v>711</v>
      </c>
      <c r="M725">
        <v>122</v>
      </c>
      <c r="N725" s="1" t="s">
        <v>883</v>
      </c>
      <c r="O725" s="1" t="s">
        <v>230</v>
      </c>
      <c r="P725" s="1" t="s">
        <v>231</v>
      </c>
      <c r="Q725" s="1" t="s">
        <v>232</v>
      </c>
      <c r="R725" s="1" t="s">
        <v>32</v>
      </c>
      <c r="S725" s="1" t="s">
        <v>233</v>
      </c>
      <c r="T725" s="1" t="s">
        <v>32</v>
      </c>
      <c r="U725" s="1" t="s">
        <v>234</v>
      </c>
      <c r="V725" s="1" t="s">
        <v>235</v>
      </c>
      <c r="W725" s="1" t="s">
        <v>48</v>
      </c>
      <c r="X725" s="1" t="s">
        <v>236</v>
      </c>
      <c r="Y725" s="1" t="s">
        <v>237</v>
      </c>
      <c r="Z725" s="1" t="str">
        <f>TRIM(_xlfn.CONCAT(sales_data_sample[[#This Row],[CONTACTFIRSTNAME]],", ",sales_data_sample[[#This Row],[CONTACTLASTNAME]]))</f>
        <v>Diego, Freyre</v>
      </c>
      <c r="AA725" s="1" t="s">
        <v>40</v>
      </c>
    </row>
    <row r="726" spans="1:27" x14ac:dyDescent="0.25">
      <c r="A726">
        <v>10370</v>
      </c>
      <c r="B726">
        <v>22</v>
      </c>
      <c r="C726">
        <v>100</v>
      </c>
      <c r="D726">
        <f>PRODUCT(sales_data_sample[[#This Row],[QUANTITYORDERED]],sales_data_sample[[#This Row],[PRICEEACH]])</f>
        <v>2200</v>
      </c>
      <c r="E726" s="9">
        <f>IF(OR(sales_data_sample[[#This Row],[STATUS]]="Shipped",sales_data_sample[[#This Row],[STATUS]]="Resolved"),sales_data_sample[[#This Row],[SALES]],0)</f>
        <v>2200</v>
      </c>
      <c r="F726">
        <v>5</v>
      </c>
      <c r="G726" s="12" t="s">
        <v>377</v>
      </c>
      <c r="H726" s="1" t="s">
        <v>26</v>
      </c>
      <c r="I726">
        <v>1</v>
      </c>
      <c r="J726">
        <v>1</v>
      </c>
      <c r="K726">
        <v>2005</v>
      </c>
      <c r="L726" s="1" t="s">
        <v>711</v>
      </c>
      <c r="M726">
        <v>122</v>
      </c>
      <c r="N726" s="1" t="s">
        <v>883</v>
      </c>
      <c r="O726" s="1" t="s">
        <v>385</v>
      </c>
      <c r="P726" s="1" t="s">
        <v>386</v>
      </c>
      <c r="Q726" s="1" t="s">
        <v>387</v>
      </c>
      <c r="R726" s="1" t="s">
        <v>388</v>
      </c>
      <c r="S726" s="1" t="s">
        <v>389</v>
      </c>
      <c r="T726" s="1" t="s">
        <v>206</v>
      </c>
      <c r="U726" s="1" t="s">
        <v>390</v>
      </c>
      <c r="V726" s="1" t="s">
        <v>120</v>
      </c>
      <c r="W726" s="1" t="s">
        <v>121</v>
      </c>
      <c r="X726" s="1" t="s">
        <v>391</v>
      </c>
      <c r="Y726" s="1" t="s">
        <v>392</v>
      </c>
      <c r="Z726" s="1" t="str">
        <f>TRIM(_xlfn.CONCAT(sales_data_sample[[#This Row],[CONTACTFIRSTNAME]],", ",sales_data_sample[[#This Row],[CONTACTLASTNAME]]))</f>
        <v>Anna, O'Hara</v>
      </c>
      <c r="AA726" s="1" t="s">
        <v>59</v>
      </c>
    </row>
    <row r="727" spans="1:27" x14ac:dyDescent="0.25">
      <c r="A727" s="10">
        <v>10383</v>
      </c>
      <c r="B727" s="9">
        <v>27</v>
      </c>
      <c r="C727" s="9">
        <v>100</v>
      </c>
      <c r="D727" s="9">
        <f>PRODUCT(sales_data_sample[[#This Row],[QUANTITYORDERED]],sales_data_sample[[#This Row],[PRICEEACH]])</f>
        <v>2700</v>
      </c>
      <c r="E727" s="9">
        <f>IF(OR(sales_data_sample[[#This Row],[STATUS]]="Shipped",sales_data_sample[[#This Row],[STATUS]]="Resolved"),sales_data_sample[[#This Row],[SALES]],0)</f>
        <v>2700</v>
      </c>
      <c r="F727" s="10">
        <v>11</v>
      </c>
      <c r="G727" s="12" t="s">
        <v>884</v>
      </c>
      <c r="H727" s="1" t="s">
        <v>26</v>
      </c>
      <c r="I727">
        <v>1</v>
      </c>
      <c r="J727">
        <v>2</v>
      </c>
      <c r="K727">
        <v>2005</v>
      </c>
      <c r="L727" s="1" t="s">
        <v>711</v>
      </c>
      <c r="M727">
        <v>122</v>
      </c>
      <c r="N727" s="1" t="s">
        <v>883</v>
      </c>
      <c r="O727" s="1" t="s">
        <v>230</v>
      </c>
      <c r="P727" s="1" t="s">
        <v>231</v>
      </c>
      <c r="Q727" s="1" t="s">
        <v>232</v>
      </c>
      <c r="R727" s="1" t="s">
        <v>32</v>
      </c>
      <c r="S727" s="1" t="s">
        <v>233</v>
      </c>
      <c r="T727" s="1" t="s">
        <v>32</v>
      </c>
      <c r="U727" s="1" t="s">
        <v>234</v>
      </c>
      <c r="V727" s="1" t="s">
        <v>235</v>
      </c>
      <c r="W727" s="1" t="s">
        <v>48</v>
      </c>
      <c r="X727" s="1" t="s">
        <v>236</v>
      </c>
      <c r="Y727" s="1" t="s">
        <v>237</v>
      </c>
      <c r="Z727" s="1" t="str">
        <f>TRIM(_xlfn.CONCAT(sales_data_sample[[#This Row],[CONTACTFIRSTNAME]],", ",sales_data_sample[[#This Row],[CONTACTLASTNAME]]))</f>
        <v>Diego, Freyre</v>
      </c>
      <c r="AA727" s="1" t="s">
        <v>59</v>
      </c>
    </row>
    <row r="728" spans="1:27" x14ac:dyDescent="0.25">
      <c r="A728" s="10">
        <v>10412</v>
      </c>
      <c r="B728" s="9">
        <v>56</v>
      </c>
      <c r="C728" s="9">
        <v>9818</v>
      </c>
      <c r="D728" s="9">
        <f>PRODUCT(sales_data_sample[[#This Row],[QUANTITYORDERED]],sales_data_sample[[#This Row],[PRICEEACH]])</f>
        <v>549808</v>
      </c>
      <c r="E728" s="9">
        <f>IF(OR(sales_data_sample[[#This Row],[STATUS]]="Shipped",sales_data_sample[[#This Row],[STATUS]]="Resolved"),sales_data_sample[[#This Row],[SALES]],0)</f>
        <v>549808</v>
      </c>
      <c r="F728" s="10">
        <v>8</v>
      </c>
      <c r="G728" s="12" t="s">
        <v>758</v>
      </c>
      <c r="H728" s="1" t="s">
        <v>26</v>
      </c>
      <c r="I728">
        <v>2</v>
      </c>
      <c r="J728">
        <v>5</v>
      </c>
      <c r="K728">
        <v>2005</v>
      </c>
      <c r="L728" s="1" t="s">
        <v>711</v>
      </c>
      <c r="M728">
        <v>122</v>
      </c>
      <c r="N728" s="1" t="s">
        <v>883</v>
      </c>
      <c r="O728" s="1" t="s">
        <v>230</v>
      </c>
      <c r="P728" s="1" t="s">
        <v>231</v>
      </c>
      <c r="Q728" s="1" t="s">
        <v>232</v>
      </c>
      <c r="R728" s="1" t="s">
        <v>32</v>
      </c>
      <c r="S728" s="1" t="s">
        <v>233</v>
      </c>
      <c r="T728" s="1" t="s">
        <v>32</v>
      </c>
      <c r="U728" s="1" t="s">
        <v>234</v>
      </c>
      <c r="V728" s="1" t="s">
        <v>235</v>
      </c>
      <c r="W728" s="1" t="s">
        <v>48</v>
      </c>
      <c r="X728" s="1" t="s">
        <v>236</v>
      </c>
      <c r="Y728" s="1" t="s">
        <v>237</v>
      </c>
      <c r="Z728" s="1" t="str">
        <f>TRIM(_xlfn.CONCAT(sales_data_sample[[#This Row],[CONTACTFIRSTNAME]],", ",sales_data_sample[[#This Row],[CONTACTLASTNAME]]))</f>
        <v>Diego, Freyre</v>
      </c>
      <c r="AA728" s="1" t="s">
        <v>59</v>
      </c>
    </row>
    <row r="729" spans="1:27" x14ac:dyDescent="0.25">
      <c r="A729" s="10">
        <v>10425</v>
      </c>
      <c r="B729" s="9">
        <v>38</v>
      </c>
      <c r="C729" s="9">
        <v>9941</v>
      </c>
      <c r="D729" s="9">
        <f>PRODUCT(sales_data_sample[[#This Row],[QUANTITYORDERED]],sales_data_sample[[#This Row],[PRICEEACH]])</f>
        <v>377758</v>
      </c>
      <c r="E729" s="9">
        <f>IF(OR(sales_data_sample[[#This Row],[STATUS]]="Shipped",sales_data_sample[[#This Row],[STATUS]]="Resolved"),sales_data_sample[[#This Row],[SALES]],0)</f>
        <v>0</v>
      </c>
      <c r="F729" s="10">
        <v>7</v>
      </c>
      <c r="G729" s="12" t="s">
        <v>402</v>
      </c>
      <c r="H729" s="1" t="s">
        <v>403</v>
      </c>
      <c r="I729">
        <v>2</v>
      </c>
      <c r="J729">
        <v>5</v>
      </c>
      <c r="K729">
        <v>2005</v>
      </c>
      <c r="L729" s="1" t="s">
        <v>711</v>
      </c>
      <c r="M729">
        <v>122</v>
      </c>
      <c r="N729" s="1" t="s">
        <v>883</v>
      </c>
      <c r="O729" s="1" t="s">
        <v>148</v>
      </c>
      <c r="P729" s="1" t="s">
        <v>149</v>
      </c>
      <c r="Q729" s="1" t="s">
        <v>150</v>
      </c>
      <c r="R729" s="1" t="s">
        <v>32</v>
      </c>
      <c r="S729" s="1" t="s">
        <v>151</v>
      </c>
      <c r="T729" s="1" t="s">
        <v>32</v>
      </c>
      <c r="U729" s="1" t="s">
        <v>152</v>
      </c>
      <c r="V729" s="1" t="s">
        <v>47</v>
      </c>
      <c r="W729" s="1" t="s">
        <v>48</v>
      </c>
      <c r="X729" s="1" t="s">
        <v>153</v>
      </c>
      <c r="Y729" s="1" t="s">
        <v>154</v>
      </c>
      <c r="Z729" s="1" t="str">
        <f>TRIM(_xlfn.CONCAT(sales_data_sample[[#This Row],[CONTACTFIRSTNAME]],", ",sales_data_sample[[#This Row],[CONTACTLASTNAME]]))</f>
        <v>Janine, Labrune</v>
      </c>
      <c r="AA729" s="1" t="s">
        <v>59</v>
      </c>
    </row>
    <row r="730" spans="1:27" x14ac:dyDescent="0.25">
      <c r="A730" s="10">
        <v>10101</v>
      </c>
      <c r="B730" s="9">
        <v>25</v>
      </c>
      <c r="C730" s="9">
        <v>100</v>
      </c>
      <c r="D730" s="9">
        <f>PRODUCT(sales_data_sample[[#This Row],[QUANTITYORDERED]],sales_data_sample[[#This Row],[PRICEEACH]])</f>
        <v>2500</v>
      </c>
      <c r="E730" s="9">
        <f>IF(OR(sales_data_sample[[#This Row],[STATUS]]="Shipped",sales_data_sample[[#This Row],[STATUS]]="Resolved"),sales_data_sample[[#This Row],[SALES]],0)</f>
        <v>2500</v>
      </c>
      <c r="F730" s="10">
        <v>4</v>
      </c>
      <c r="G730" s="12" t="s">
        <v>885</v>
      </c>
      <c r="H730" s="1" t="s">
        <v>26</v>
      </c>
      <c r="I730">
        <v>1</v>
      </c>
      <c r="J730">
        <v>1</v>
      </c>
      <c r="K730">
        <v>2003</v>
      </c>
      <c r="L730" s="1" t="s">
        <v>799</v>
      </c>
      <c r="M730">
        <v>127</v>
      </c>
      <c r="N730" s="1" t="s">
        <v>886</v>
      </c>
      <c r="O730" s="1" t="s">
        <v>647</v>
      </c>
      <c r="P730" s="1" t="s">
        <v>648</v>
      </c>
      <c r="Q730" s="1" t="s">
        <v>649</v>
      </c>
      <c r="R730" s="1" t="s">
        <v>32</v>
      </c>
      <c r="S730" s="1" t="s">
        <v>650</v>
      </c>
      <c r="T730" s="1" t="s">
        <v>32</v>
      </c>
      <c r="U730" s="1" t="s">
        <v>651</v>
      </c>
      <c r="V730" s="1" t="s">
        <v>617</v>
      </c>
      <c r="W730" s="1" t="s">
        <v>48</v>
      </c>
      <c r="X730" s="1" t="s">
        <v>652</v>
      </c>
      <c r="Y730" s="1" t="s">
        <v>570</v>
      </c>
      <c r="Z730" s="1" t="str">
        <f>TRIM(_xlfn.CONCAT(sales_data_sample[[#This Row],[CONTACTFIRSTNAME]],", ",sales_data_sample[[#This Row],[CONTACTLASTNAME]]))</f>
        <v>Roland, Keitel</v>
      </c>
      <c r="AA730" s="1" t="s">
        <v>59</v>
      </c>
    </row>
    <row r="731" spans="1:27" x14ac:dyDescent="0.25">
      <c r="A731" s="10">
        <v>10110</v>
      </c>
      <c r="B731" s="9">
        <v>33</v>
      </c>
      <c r="C731" s="9">
        <v>100</v>
      </c>
      <c r="D731" s="9">
        <f>PRODUCT(sales_data_sample[[#This Row],[QUANTITYORDERED]],sales_data_sample[[#This Row],[PRICEEACH]])</f>
        <v>3300</v>
      </c>
      <c r="E731" s="9">
        <f>IF(OR(sales_data_sample[[#This Row],[STATUS]]="Shipped",sales_data_sample[[#This Row],[STATUS]]="Resolved"),sales_data_sample[[#This Row],[SALES]],0)</f>
        <v>3300</v>
      </c>
      <c r="F731" s="10">
        <v>4</v>
      </c>
      <c r="G731" s="12" t="s">
        <v>829</v>
      </c>
      <c r="H731" s="1" t="s">
        <v>26</v>
      </c>
      <c r="I731">
        <v>1</v>
      </c>
      <c r="J731">
        <v>3</v>
      </c>
      <c r="K731">
        <v>2003</v>
      </c>
      <c r="L731" s="1" t="s">
        <v>799</v>
      </c>
      <c r="M731">
        <v>127</v>
      </c>
      <c r="N731" s="1" t="s">
        <v>886</v>
      </c>
      <c r="O731" s="1" t="s">
        <v>695</v>
      </c>
      <c r="P731" s="1" t="s">
        <v>696</v>
      </c>
      <c r="Q731" s="1" t="s">
        <v>697</v>
      </c>
      <c r="R731" s="1" t="s">
        <v>32</v>
      </c>
      <c r="S731" s="1" t="s">
        <v>698</v>
      </c>
      <c r="T731" s="1" t="s">
        <v>32</v>
      </c>
      <c r="U731" s="1" t="s">
        <v>699</v>
      </c>
      <c r="V731" s="1" t="s">
        <v>225</v>
      </c>
      <c r="W731" s="1" t="s">
        <v>48</v>
      </c>
      <c r="X731" s="1" t="s">
        <v>700</v>
      </c>
      <c r="Y731" s="1" t="s">
        <v>118</v>
      </c>
      <c r="Z731" s="1" t="str">
        <f>TRIM(_xlfn.CONCAT(sales_data_sample[[#This Row],[CONTACTFIRSTNAME]],", ",sales_data_sample[[#This Row],[CONTACTLASTNAME]]))</f>
        <v>Victoria, Ashworth</v>
      </c>
      <c r="AA731" s="1" t="s">
        <v>59</v>
      </c>
    </row>
    <row r="732" spans="1:27" x14ac:dyDescent="0.25">
      <c r="A732" s="10">
        <v>10124</v>
      </c>
      <c r="B732" s="9">
        <v>42</v>
      </c>
      <c r="C732" s="9">
        <v>100</v>
      </c>
      <c r="D732" s="9">
        <f>PRODUCT(sales_data_sample[[#This Row],[QUANTITYORDERED]],sales_data_sample[[#This Row],[PRICEEACH]])</f>
        <v>4200</v>
      </c>
      <c r="E732" s="9">
        <f>IF(OR(sales_data_sample[[#This Row],[STATUS]]="Shipped",sales_data_sample[[#This Row],[STATUS]]="Resolved"),sales_data_sample[[#This Row],[SALES]],0)</f>
        <v>4200</v>
      </c>
      <c r="F732" s="10">
        <v>3</v>
      </c>
      <c r="G732" s="12" t="s">
        <v>802</v>
      </c>
      <c r="H732" s="1" t="s">
        <v>26</v>
      </c>
      <c r="I732">
        <v>2</v>
      </c>
      <c r="J732">
        <v>5</v>
      </c>
      <c r="K732">
        <v>2003</v>
      </c>
      <c r="L732" s="1" t="s">
        <v>799</v>
      </c>
      <c r="M732">
        <v>127</v>
      </c>
      <c r="N732" s="1" t="s">
        <v>886</v>
      </c>
      <c r="O732" s="1" t="s">
        <v>779</v>
      </c>
      <c r="P732" s="1" t="s">
        <v>780</v>
      </c>
      <c r="Q732" s="1" t="s">
        <v>781</v>
      </c>
      <c r="R732" s="1" t="s">
        <v>32</v>
      </c>
      <c r="S732" s="1" t="s">
        <v>782</v>
      </c>
      <c r="T732" s="1" t="s">
        <v>783</v>
      </c>
      <c r="U732" s="1" t="s">
        <v>784</v>
      </c>
      <c r="V732" s="1" t="s">
        <v>36</v>
      </c>
      <c r="W732" s="1" t="s">
        <v>37</v>
      </c>
      <c r="X732" s="1" t="s">
        <v>146</v>
      </c>
      <c r="Y732" s="1" t="s">
        <v>551</v>
      </c>
      <c r="Z732" s="1" t="str">
        <f>TRIM(_xlfn.CONCAT(sales_data_sample[[#This Row],[CONTACTFIRSTNAME]],", ",sales_data_sample[[#This Row],[CONTACTLASTNAME]]))</f>
        <v>Sue, King</v>
      </c>
      <c r="AA732" s="1" t="s">
        <v>59</v>
      </c>
    </row>
    <row r="733" spans="1:27" x14ac:dyDescent="0.25">
      <c r="A733" s="10">
        <v>10149</v>
      </c>
      <c r="B733" s="9">
        <v>33</v>
      </c>
      <c r="C733" s="9">
        <v>100</v>
      </c>
      <c r="D733" s="9">
        <f>PRODUCT(sales_data_sample[[#This Row],[QUANTITYORDERED]],sales_data_sample[[#This Row],[PRICEEACH]])</f>
        <v>3300</v>
      </c>
      <c r="E733" s="9">
        <f>IF(OR(sales_data_sample[[#This Row],[STATUS]]="Shipped",sales_data_sample[[#This Row],[STATUS]]="Resolved"),sales_data_sample[[#This Row],[SALES]],0)</f>
        <v>3300</v>
      </c>
      <c r="F733" s="10">
        <v>8</v>
      </c>
      <c r="G733" s="12" t="s">
        <v>804</v>
      </c>
      <c r="H733" s="1" t="s">
        <v>26</v>
      </c>
      <c r="I733">
        <v>3</v>
      </c>
      <c r="J733">
        <v>9</v>
      </c>
      <c r="K733">
        <v>2003</v>
      </c>
      <c r="L733" s="1" t="s">
        <v>799</v>
      </c>
      <c r="M733">
        <v>127</v>
      </c>
      <c r="N733" s="1" t="s">
        <v>886</v>
      </c>
      <c r="O733" s="1" t="s">
        <v>753</v>
      </c>
      <c r="P733" s="1" t="s">
        <v>754</v>
      </c>
      <c r="Q733" s="1" t="s">
        <v>755</v>
      </c>
      <c r="R733" s="1" t="s">
        <v>32</v>
      </c>
      <c r="S733" s="1" t="s">
        <v>756</v>
      </c>
      <c r="T733" s="1" t="s">
        <v>65</v>
      </c>
      <c r="U733" s="1" t="s">
        <v>80</v>
      </c>
      <c r="V733" s="1" t="s">
        <v>36</v>
      </c>
      <c r="W733" s="1" t="s">
        <v>37</v>
      </c>
      <c r="X733" s="1" t="s">
        <v>757</v>
      </c>
      <c r="Y733" s="1" t="s">
        <v>551</v>
      </c>
      <c r="Z733" s="1" t="str">
        <f>TRIM(_xlfn.CONCAT(sales_data_sample[[#This Row],[CONTACTFIRSTNAME]],", ",sales_data_sample[[#This Row],[CONTACTLASTNAME]]))</f>
        <v>Sue, Taylor</v>
      </c>
      <c r="AA733" s="1" t="s">
        <v>59</v>
      </c>
    </row>
    <row r="734" spans="1:27" x14ac:dyDescent="0.25">
      <c r="A734" s="10">
        <v>10162</v>
      </c>
      <c r="B734" s="9">
        <v>38</v>
      </c>
      <c r="C734" s="9">
        <v>100</v>
      </c>
      <c r="D734" s="9">
        <f>PRODUCT(sales_data_sample[[#This Row],[QUANTITYORDERED]],sales_data_sample[[#This Row],[PRICEEACH]])</f>
        <v>3800</v>
      </c>
      <c r="E734" s="9">
        <f>IF(OR(sales_data_sample[[#This Row],[STATUS]]="Shipped",sales_data_sample[[#This Row],[STATUS]]="Resolved"),sales_data_sample[[#This Row],[SALES]],0)</f>
        <v>3800</v>
      </c>
      <c r="F734" s="10">
        <v>6</v>
      </c>
      <c r="G734" s="12" t="s">
        <v>805</v>
      </c>
      <c r="H734" s="1" t="s">
        <v>26</v>
      </c>
      <c r="I734">
        <v>4</v>
      </c>
      <c r="J734">
        <v>10</v>
      </c>
      <c r="K734">
        <v>2003</v>
      </c>
      <c r="L734" s="1" t="s">
        <v>799</v>
      </c>
      <c r="M734">
        <v>127</v>
      </c>
      <c r="N734" s="1" t="s">
        <v>886</v>
      </c>
      <c r="O734" s="1" t="s">
        <v>70</v>
      </c>
      <c r="P734" s="1" t="s">
        <v>71</v>
      </c>
      <c r="Q734" s="1" t="s">
        <v>72</v>
      </c>
      <c r="R734" s="1" t="s">
        <v>32</v>
      </c>
      <c r="S734" s="1" t="s">
        <v>73</v>
      </c>
      <c r="T734" s="1" t="s">
        <v>65</v>
      </c>
      <c r="U734" s="1" t="s">
        <v>32</v>
      </c>
      <c r="V734" s="1" t="s">
        <v>36</v>
      </c>
      <c r="W734" s="1" t="s">
        <v>37</v>
      </c>
      <c r="X734" s="1" t="s">
        <v>74</v>
      </c>
      <c r="Y734" s="1" t="s">
        <v>68</v>
      </c>
      <c r="Z734" s="1" t="str">
        <f>TRIM(_xlfn.CONCAT(sales_data_sample[[#This Row],[CONTACTFIRSTNAME]],", ",sales_data_sample[[#This Row],[CONTACTLASTNAME]]))</f>
        <v>Julie, Brown</v>
      </c>
      <c r="AA734" s="1" t="s">
        <v>59</v>
      </c>
    </row>
    <row r="735" spans="1:27" x14ac:dyDescent="0.25">
      <c r="A735" s="10">
        <v>10173</v>
      </c>
      <c r="B735" s="9">
        <v>31</v>
      </c>
      <c r="C735" s="9">
        <v>100</v>
      </c>
      <c r="D735" s="9">
        <f>PRODUCT(sales_data_sample[[#This Row],[QUANTITYORDERED]],sales_data_sample[[#This Row],[PRICEEACH]])</f>
        <v>3100</v>
      </c>
      <c r="E735" s="9">
        <f>IF(OR(sales_data_sample[[#This Row],[STATUS]]="Shipped",sales_data_sample[[#This Row],[STATUS]]="Resolved"),sales_data_sample[[#This Row],[SALES]],0)</f>
        <v>3100</v>
      </c>
      <c r="F735" s="10">
        <v>10</v>
      </c>
      <c r="G735" s="12" t="s">
        <v>776</v>
      </c>
      <c r="H735" s="1" t="s">
        <v>26</v>
      </c>
      <c r="I735">
        <v>4</v>
      </c>
      <c r="J735">
        <v>11</v>
      </c>
      <c r="K735">
        <v>2003</v>
      </c>
      <c r="L735" s="1" t="s">
        <v>799</v>
      </c>
      <c r="M735">
        <v>127</v>
      </c>
      <c r="N735" s="1" t="s">
        <v>886</v>
      </c>
      <c r="O735" s="1" t="s">
        <v>806</v>
      </c>
      <c r="P735" s="1" t="s">
        <v>807</v>
      </c>
      <c r="Q735" s="1" t="s">
        <v>808</v>
      </c>
      <c r="R735" s="1" t="s">
        <v>32</v>
      </c>
      <c r="S735" s="1" t="s">
        <v>809</v>
      </c>
      <c r="T735" s="1" t="s">
        <v>32</v>
      </c>
      <c r="U735" s="1" t="s">
        <v>810</v>
      </c>
      <c r="V735" s="1" t="s">
        <v>343</v>
      </c>
      <c r="W735" s="1" t="s">
        <v>48</v>
      </c>
      <c r="X735" s="1" t="s">
        <v>811</v>
      </c>
      <c r="Y735" s="1" t="s">
        <v>812</v>
      </c>
      <c r="Z735" s="1" t="str">
        <f>TRIM(_xlfn.CONCAT(sales_data_sample[[#This Row],[CONTACTFIRSTNAME]],", ",sales_data_sample[[#This Row],[CONTACTLASTNAME]]))</f>
        <v>Giovanni, Rovelli</v>
      </c>
      <c r="AA735" s="1" t="s">
        <v>59</v>
      </c>
    </row>
    <row r="736" spans="1:27" x14ac:dyDescent="0.25">
      <c r="A736" s="10">
        <v>10182</v>
      </c>
      <c r="B736" s="9">
        <v>20</v>
      </c>
      <c r="C736" s="9">
        <v>100</v>
      </c>
      <c r="D736" s="9">
        <f>PRODUCT(sales_data_sample[[#This Row],[QUANTITYORDERED]],sales_data_sample[[#This Row],[PRICEEACH]])</f>
        <v>2000</v>
      </c>
      <c r="E736" s="9">
        <f>IF(OR(sales_data_sample[[#This Row],[STATUS]]="Shipped",sales_data_sample[[#This Row],[STATUS]]="Resolved"),sales_data_sample[[#This Row],[SALES]],0)</f>
        <v>2000</v>
      </c>
      <c r="F736" s="10">
        <v>7</v>
      </c>
      <c r="G736" s="12" t="s">
        <v>610</v>
      </c>
      <c r="H736" s="1" t="s">
        <v>26</v>
      </c>
      <c r="I736">
        <v>4</v>
      </c>
      <c r="J736">
        <v>11</v>
      </c>
      <c r="K736">
        <v>2003</v>
      </c>
      <c r="L736" s="1" t="s">
        <v>799</v>
      </c>
      <c r="M736">
        <v>127</v>
      </c>
      <c r="N736" s="1" t="s">
        <v>886</v>
      </c>
      <c r="O736" s="1" t="s">
        <v>361</v>
      </c>
      <c r="P736" s="1" t="s">
        <v>362</v>
      </c>
      <c r="Q736" s="1" t="s">
        <v>363</v>
      </c>
      <c r="R736" s="1" t="s">
        <v>32</v>
      </c>
      <c r="S736" s="1" t="s">
        <v>364</v>
      </c>
      <c r="T736" s="1" t="s">
        <v>65</v>
      </c>
      <c r="U736" s="1" t="s">
        <v>145</v>
      </c>
      <c r="V736" s="1" t="s">
        <v>36</v>
      </c>
      <c r="W736" s="1" t="s">
        <v>37</v>
      </c>
      <c r="X736" s="1" t="s">
        <v>365</v>
      </c>
      <c r="Y736" s="1" t="s">
        <v>366</v>
      </c>
      <c r="Z736" s="1" t="str">
        <f>TRIM(_xlfn.CONCAT(sales_data_sample[[#This Row],[CONTACTFIRSTNAME]],", ",sales_data_sample[[#This Row],[CONTACTLASTNAME]]))</f>
        <v>Valarie, Nelson</v>
      </c>
      <c r="AA736" s="1" t="s">
        <v>40</v>
      </c>
    </row>
    <row r="737" spans="1:27" x14ac:dyDescent="0.25">
      <c r="A737" s="10">
        <v>10193</v>
      </c>
      <c r="B737" s="9">
        <v>44</v>
      </c>
      <c r="C737" s="9">
        <v>100</v>
      </c>
      <c r="D737" s="9">
        <f>PRODUCT(sales_data_sample[[#This Row],[QUANTITYORDERED]],sales_data_sample[[#This Row],[PRICEEACH]])</f>
        <v>4400</v>
      </c>
      <c r="E737" s="9">
        <f>IF(OR(sales_data_sample[[#This Row],[STATUS]]="Shipped",sales_data_sample[[#This Row],[STATUS]]="Resolved"),sales_data_sample[[#This Row],[SALES]],0)</f>
        <v>4400</v>
      </c>
      <c r="F737" s="10">
        <v>11</v>
      </c>
      <c r="G737" s="12" t="s">
        <v>813</v>
      </c>
      <c r="H737" s="1" t="s">
        <v>26</v>
      </c>
      <c r="I737">
        <v>4</v>
      </c>
      <c r="J737">
        <v>11</v>
      </c>
      <c r="K737">
        <v>2003</v>
      </c>
      <c r="L737" s="1" t="s">
        <v>799</v>
      </c>
      <c r="M737">
        <v>127</v>
      </c>
      <c r="N737" s="1" t="s">
        <v>886</v>
      </c>
      <c r="O737" s="1" t="s">
        <v>814</v>
      </c>
      <c r="P737" s="1" t="s">
        <v>815</v>
      </c>
      <c r="Q737" s="1" t="s">
        <v>816</v>
      </c>
      <c r="R737" s="1" t="s">
        <v>32</v>
      </c>
      <c r="S737" s="1" t="s">
        <v>817</v>
      </c>
      <c r="T737" s="1" t="s">
        <v>118</v>
      </c>
      <c r="U737" s="1" t="s">
        <v>818</v>
      </c>
      <c r="V737" s="1" t="s">
        <v>120</v>
      </c>
      <c r="W737" s="1" t="s">
        <v>121</v>
      </c>
      <c r="X737" s="1" t="s">
        <v>819</v>
      </c>
      <c r="Y737" s="1" t="s">
        <v>820</v>
      </c>
      <c r="Z737" s="1" t="str">
        <f>TRIM(_xlfn.CONCAT(sales_data_sample[[#This Row],[CONTACTFIRSTNAME]],", ",sales_data_sample[[#This Row],[CONTACTLASTNAME]]))</f>
        <v>Sean, Connery</v>
      </c>
      <c r="AA737" s="1" t="s">
        <v>59</v>
      </c>
    </row>
    <row r="738" spans="1:27" x14ac:dyDescent="0.25">
      <c r="A738">
        <v>10204</v>
      </c>
      <c r="B738">
        <v>26</v>
      </c>
      <c r="C738">
        <v>100</v>
      </c>
      <c r="D738">
        <f>PRODUCT(sales_data_sample[[#This Row],[QUANTITYORDERED]],sales_data_sample[[#This Row],[PRICEEACH]])</f>
        <v>2600</v>
      </c>
      <c r="E738" s="9">
        <f>IF(OR(sales_data_sample[[#This Row],[STATUS]]="Shipped",sales_data_sample[[#This Row],[STATUS]]="Resolved"),sales_data_sample[[#This Row],[SALES]],0)</f>
        <v>2600</v>
      </c>
      <c r="F738">
        <v>1</v>
      </c>
      <c r="G738" s="12" t="s">
        <v>620</v>
      </c>
      <c r="H738" s="1" t="s">
        <v>26</v>
      </c>
      <c r="I738">
        <v>4</v>
      </c>
      <c r="J738">
        <v>12</v>
      </c>
      <c r="K738">
        <v>2003</v>
      </c>
      <c r="L738" s="1" t="s">
        <v>799</v>
      </c>
      <c r="M738">
        <v>127</v>
      </c>
      <c r="N738" s="1" t="s">
        <v>886</v>
      </c>
      <c r="O738" s="1" t="s">
        <v>667</v>
      </c>
      <c r="P738" s="1" t="s">
        <v>668</v>
      </c>
      <c r="Q738" s="1" t="s">
        <v>669</v>
      </c>
      <c r="R738" s="1" t="s">
        <v>670</v>
      </c>
      <c r="S738" s="1" t="s">
        <v>33</v>
      </c>
      <c r="T738" s="1" t="s">
        <v>34</v>
      </c>
      <c r="U738" s="1" t="s">
        <v>35</v>
      </c>
      <c r="V738" s="1" t="s">
        <v>36</v>
      </c>
      <c r="W738" s="1" t="s">
        <v>37</v>
      </c>
      <c r="X738" s="1" t="s">
        <v>67</v>
      </c>
      <c r="Y738" s="1" t="s">
        <v>671</v>
      </c>
      <c r="Z738" s="1" t="str">
        <f>TRIM(_xlfn.CONCAT(sales_data_sample[[#This Row],[CONTACTFIRSTNAME]],", ",sales_data_sample[[#This Row],[CONTACTLASTNAME]]))</f>
        <v>Jeff, Young</v>
      </c>
      <c r="AA738" s="1" t="s">
        <v>59</v>
      </c>
    </row>
    <row r="739" spans="1:27" x14ac:dyDescent="0.25">
      <c r="A739" s="10">
        <v>10214</v>
      </c>
      <c r="B739" s="9">
        <v>27</v>
      </c>
      <c r="C739" s="9">
        <v>100</v>
      </c>
      <c r="D739" s="9">
        <f>PRODUCT(sales_data_sample[[#This Row],[QUANTITYORDERED]],sales_data_sample[[#This Row],[PRICEEACH]])</f>
        <v>2700</v>
      </c>
      <c r="E739" s="9">
        <f>IF(OR(sales_data_sample[[#This Row],[STATUS]]="Shipped",sales_data_sample[[#This Row],[STATUS]]="Resolved"),sales_data_sample[[#This Row],[SALES]],0)</f>
        <v>2700</v>
      </c>
      <c r="F739" s="10">
        <v>4</v>
      </c>
      <c r="G739" s="12" t="s">
        <v>874</v>
      </c>
      <c r="H739" s="1" t="s">
        <v>26</v>
      </c>
      <c r="I739">
        <v>1</v>
      </c>
      <c r="J739">
        <v>1</v>
      </c>
      <c r="K739">
        <v>2004</v>
      </c>
      <c r="L739" s="1" t="s">
        <v>799</v>
      </c>
      <c r="M739">
        <v>127</v>
      </c>
      <c r="N739" s="1" t="s">
        <v>886</v>
      </c>
      <c r="O739" s="1" t="s">
        <v>251</v>
      </c>
      <c r="P739" s="1" t="s">
        <v>252</v>
      </c>
      <c r="Q739" s="1" t="s">
        <v>253</v>
      </c>
      <c r="R739" s="1" t="s">
        <v>32</v>
      </c>
      <c r="S739" s="1" t="s">
        <v>233</v>
      </c>
      <c r="T739" s="1" t="s">
        <v>32</v>
      </c>
      <c r="U739" s="1" t="s">
        <v>254</v>
      </c>
      <c r="V739" s="1" t="s">
        <v>235</v>
      </c>
      <c r="W739" s="1" t="s">
        <v>48</v>
      </c>
      <c r="X739" s="1" t="s">
        <v>255</v>
      </c>
      <c r="Y739" s="1" t="s">
        <v>256</v>
      </c>
      <c r="Z739" s="1" t="str">
        <f>TRIM(_xlfn.CONCAT(sales_data_sample[[#This Row],[CONTACTFIRSTNAME]],", ",sales_data_sample[[#This Row],[CONTACTLASTNAME]]))</f>
        <v>Mart¡n, Sommer</v>
      </c>
      <c r="AA739" s="1" t="s">
        <v>59</v>
      </c>
    </row>
    <row r="740" spans="1:27" x14ac:dyDescent="0.25">
      <c r="A740" s="10">
        <v>10227</v>
      </c>
      <c r="B740" s="9">
        <v>46</v>
      </c>
      <c r="C740" s="9">
        <v>100</v>
      </c>
      <c r="D740" s="9">
        <f>PRODUCT(sales_data_sample[[#This Row],[QUANTITYORDERED]],sales_data_sample[[#This Row],[PRICEEACH]])</f>
        <v>4600</v>
      </c>
      <c r="E740" s="9">
        <f>IF(OR(sales_data_sample[[#This Row],[STATUS]]="Shipped",sales_data_sample[[#This Row],[STATUS]]="Resolved"),sales_data_sample[[#This Row],[SALES]],0)</f>
        <v>4600</v>
      </c>
      <c r="F740" s="10">
        <v>7</v>
      </c>
      <c r="G740" s="12" t="s">
        <v>822</v>
      </c>
      <c r="H740" s="1" t="s">
        <v>26</v>
      </c>
      <c r="I740">
        <v>1</v>
      </c>
      <c r="J740">
        <v>3</v>
      </c>
      <c r="K740">
        <v>2004</v>
      </c>
      <c r="L740" s="1" t="s">
        <v>799</v>
      </c>
      <c r="M740">
        <v>127</v>
      </c>
      <c r="N740" s="1" t="s">
        <v>886</v>
      </c>
      <c r="O740" s="1" t="s">
        <v>291</v>
      </c>
      <c r="P740" s="1" t="s">
        <v>292</v>
      </c>
      <c r="Q740" s="1" t="s">
        <v>293</v>
      </c>
      <c r="R740" s="1" t="s">
        <v>32</v>
      </c>
      <c r="S740" s="1" t="s">
        <v>294</v>
      </c>
      <c r="T740" s="1" t="s">
        <v>32</v>
      </c>
      <c r="U740" s="1" t="s">
        <v>295</v>
      </c>
      <c r="V740" s="1" t="s">
        <v>47</v>
      </c>
      <c r="W740" s="1" t="s">
        <v>48</v>
      </c>
      <c r="X740" s="1" t="s">
        <v>296</v>
      </c>
      <c r="Y740" s="1" t="s">
        <v>297</v>
      </c>
      <c r="Z740" s="1" t="str">
        <f>TRIM(_xlfn.CONCAT(sales_data_sample[[#This Row],[CONTACTFIRSTNAME]],", ",sales_data_sample[[#This Row],[CONTACTLASTNAME]]))</f>
        <v>Mary, Saveley</v>
      </c>
      <c r="AA740" s="1" t="s">
        <v>199</v>
      </c>
    </row>
    <row r="741" spans="1:27" x14ac:dyDescent="0.25">
      <c r="A741" s="10">
        <v>10243</v>
      </c>
      <c r="B741" s="9">
        <v>47</v>
      </c>
      <c r="C741" s="9">
        <v>100</v>
      </c>
      <c r="D741" s="9">
        <f>PRODUCT(sales_data_sample[[#This Row],[QUANTITYORDERED]],sales_data_sample[[#This Row],[PRICEEACH]])</f>
        <v>4700</v>
      </c>
      <c r="E741" s="9">
        <f>IF(OR(sales_data_sample[[#This Row],[STATUS]]="Shipped",sales_data_sample[[#This Row],[STATUS]]="Resolved"),sales_data_sample[[#This Row],[SALES]],0)</f>
        <v>4700</v>
      </c>
      <c r="F741" s="10">
        <v>2</v>
      </c>
      <c r="G741" s="12" t="s">
        <v>887</v>
      </c>
      <c r="H741" s="1" t="s">
        <v>26</v>
      </c>
      <c r="I741">
        <v>2</v>
      </c>
      <c r="J741">
        <v>4</v>
      </c>
      <c r="K741">
        <v>2004</v>
      </c>
      <c r="L741" s="1" t="s">
        <v>799</v>
      </c>
      <c r="M741">
        <v>127</v>
      </c>
      <c r="N741" s="1" t="s">
        <v>886</v>
      </c>
      <c r="O741" s="1" t="s">
        <v>572</v>
      </c>
      <c r="P741" s="1" t="s">
        <v>573</v>
      </c>
      <c r="Q741" s="1" t="s">
        <v>574</v>
      </c>
      <c r="R741" s="1" t="s">
        <v>32</v>
      </c>
      <c r="S741" s="1" t="s">
        <v>519</v>
      </c>
      <c r="T741" s="1" t="s">
        <v>160</v>
      </c>
      <c r="U741" s="1" t="s">
        <v>520</v>
      </c>
      <c r="V741" s="1" t="s">
        <v>36</v>
      </c>
      <c r="W741" s="1" t="s">
        <v>37</v>
      </c>
      <c r="X741" s="1" t="s">
        <v>575</v>
      </c>
      <c r="Y741" s="1" t="s">
        <v>366</v>
      </c>
      <c r="Z741" s="1" t="str">
        <f>TRIM(_xlfn.CONCAT(sales_data_sample[[#This Row],[CONTACTFIRSTNAME]],", ",sales_data_sample[[#This Row],[CONTACTLASTNAME]]))</f>
        <v>Valarie, Franco</v>
      </c>
      <c r="AA741" s="1" t="s">
        <v>59</v>
      </c>
    </row>
    <row r="742" spans="1:27" x14ac:dyDescent="0.25">
      <c r="A742" s="10">
        <v>10280</v>
      </c>
      <c r="B742" s="9">
        <v>37</v>
      </c>
      <c r="C742" s="9">
        <v>100</v>
      </c>
      <c r="D742" s="9">
        <f>PRODUCT(sales_data_sample[[#This Row],[QUANTITYORDERED]],sales_data_sample[[#This Row],[PRICEEACH]])</f>
        <v>3700</v>
      </c>
      <c r="E742" s="9">
        <f>IF(OR(sales_data_sample[[#This Row],[STATUS]]="Shipped",sales_data_sample[[#This Row],[STATUS]]="Resolved"),sales_data_sample[[#This Row],[SALES]],0)</f>
        <v>3700</v>
      </c>
      <c r="F742" s="10">
        <v>13</v>
      </c>
      <c r="G742" s="12" t="s">
        <v>337</v>
      </c>
      <c r="H742" s="1" t="s">
        <v>26</v>
      </c>
      <c r="I742">
        <v>3</v>
      </c>
      <c r="J742">
        <v>8</v>
      </c>
      <c r="K742">
        <v>2004</v>
      </c>
      <c r="L742" s="1" t="s">
        <v>799</v>
      </c>
      <c r="M742">
        <v>127</v>
      </c>
      <c r="N742" s="1" t="s">
        <v>886</v>
      </c>
      <c r="O742" s="1" t="s">
        <v>338</v>
      </c>
      <c r="P742" s="1" t="s">
        <v>339</v>
      </c>
      <c r="Q742" s="1" t="s">
        <v>340</v>
      </c>
      <c r="R742" s="1" t="s">
        <v>32</v>
      </c>
      <c r="S742" s="1" t="s">
        <v>341</v>
      </c>
      <c r="T742" s="1" t="s">
        <v>32</v>
      </c>
      <c r="U742" s="1" t="s">
        <v>342</v>
      </c>
      <c r="V742" s="1" t="s">
        <v>343</v>
      </c>
      <c r="W742" s="1" t="s">
        <v>48</v>
      </c>
      <c r="X742" s="1" t="s">
        <v>344</v>
      </c>
      <c r="Y742" s="1" t="s">
        <v>345</v>
      </c>
      <c r="Z742" s="1" t="str">
        <f>TRIM(_xlfn.CONCAT(sales_data_sample[[#This Row],[CONTACTFIRSTNAME]],", ",sales_data_sample[[#This Row],[CONTACTLASTNAME]]))</f>
        <v>Paolo, Accorti</v>
      </c>
      <c r="AA742" s="1" t="s">
        <v>59</v>
      </c>
    </row>
    <row r="743" spans="1:27" x14ac:dyDescent="0.25">
      <c r="A743">
        <v>10288</v>
      </c>
      <c r="B743">
        <v>31</v>
      </c>
      <c r="C743">
        <v>100</v>
      </c>
      <c r="D743">
        <f>PRODUCT(sales_data_sample[[#This Row],[QUANTITYORDERED]],sales_data_sample[[#This Row],[PRICEEACH]])</f>
        <v>3100</v>
      </c>
      <c r="E743" s="9">
        <f>IF(OR(sales_data_sample[[#This Row],[STATUS]]="Shipped",sales_data_sample[[#This Row],[STATUS]]="Resolved"),sales_data_sample[[#This Row],[SALES]],0)</f>
        <v>3100</v>
      </c>
      <c r="F743">
        <v>2</v>
      </c>
      <c r="G743" s="12" t="s">
        <v>834</v>
      </c>
      <c r="H743" s="1" t="s">
        <v>26</v>
      </c>
      <c r="I743">
        <v>3</v>
      </c>
      <c r="J743">
        <v>9</v>
      </c>
      <c r="K743">
        <v>2004</v>
      </c>
      <c r="L743" s="1" t="s">
        <v>799</v>
      </c>
      <c r="M743">
        <v>127</v>
      </c>
      <c r="N743" s="1" t="s">
        <v>886</v>
      </c>
      <c r="O743" s="1" t="s">
        <v>577</v>
      </c>
      <c r="P743" s="1" t="s">
        <v>578</v>
      </c>
      <c r="Q743" s="1" t="s">
        <v>579</v>
      </c>
      <c r="R743" s="1" t="s">
        <v>580</v>
      </c>
      <c r="S743" s="1" t="s">
        <v>262</v>
      </c>
      <c r="T743" s="1" t="s">
        <v>32</v>
      </c>
      <c r="U743" s="1" t="s">
        <v>581</v>
      </c>
      <c r="V743" s="1" t="s">
        <v>262</v>
      </c>
      <c r="W743" s="1" t="s">
        <v>121</v>
      </c>
      <c r="X743" s="1" t="s">
        <v>582</v>
      </c>
      <c r="Y743" s="1" t="s">
        <v>583</v>
      </c>
      <c r="Z743" s="1" t="str">
        <f>TRIM(_xlfn.CONCAT(sales_data_sample[[#This Row],[CONTACTFIRSTNAME]],", ",sales_data_sample[[#This Row],[CONTACTLASTNAME]]))</f>
        <v>Wendy, Victorino</v>
      </c>
      <c r="AA743" s="1" t="s">
        <v>59</v>
      </c>
    </row>
    <row r="744" spans="1:27" x14ac:dyDescent="0.25">
      <c r="A744" s="10">
        <v>10304</v>
      </c>
      <c r="B744" s="9">
        <v>24</v>
      </c>
      <c r="C744" s="9">
        <v>100</v>
      </c>
      <c r="D744" s="9">
        <f>PRODUCT(sales_data_sample[[#This Row],[QUANTITYORDERED]],sales_data_sample[[#This Row],[PRICEEACH]])</f>
        <v>2400</v>
      </c>
      <c r="E744" s="9">
        <f>IF(OR(sales_data_sample[[#This Row],[STATUS]]="Shipped",sales_data_sample[[#This Row],[STATUS]]="Resolved"),sales_data_sample[[#This Row],[SALES]],0)</f>
        <v>2400</v>
      </c>
      <c r="F744" s="10">
        <v>17</v>
      </c>
      <c r="G744" s="12" t="s">
        <v>353</v>
      </c>
      <c r="H744" s="1" t="s">
        <v>26</v>
      </c>
      <c r="I744">
        <v>4</v>
      </c>
      <c r="J744">
        <v>10</v>
      </c>
      <c r="K744">
        <v>2004</v>
      </c>
      <c r="L744" s="1" t="s">
        <v>799</v>
      </c>
      <c r="M744">
        <v>127</v>
      </c>
      <c r="N744" s="1" t="s">
        <v>886</v>
      </c>
      <c r="O744" s="1" t="s">
        <v>354</v>
      </c>
      <c r="P744" s="1" t="s">
        <v>355</v>
      </c>
      <c r="Q744" s="1" t="s">
        <v>356</v>
      </c>
      <c r="R744" s="1" t="s">
        <v>32</v>
      </c>
      <c r="S744" s="1" t="s">
        <v>357</v>
      </c>
      <c r="T744" s="1" t="s">
        <v>32</v>
      </c>
      <c r="U744" s="1" t="s">
        <v>358</v>
      </c>
      <c r="V744" s="1" t="s">
        <v>47</v>
      </c>
      <c r="W744" s="1" t="s">
        <v>48</v>
      </c>
      <c r="X744" s="1" t="s">
        <v>359</v>
      </c>
      <c r="Y744" s="1" t="s">
        <v>58</v>
      </c>
      <c r="Z744" s="1" t="str">
        <f>TRIM(_xlfn.CONCAT(sales_data_sample[[#This Row],[CONTACTFIRSTNAME]],", ",sales_data_sample[[#This Row],[CONTACTLASTNAME]]))</f>
        <v>Daniel, Tonini</v>
      </c>
      <c r="AA744" s="1" t="s">
        <v>40</v>
      </c>
    </row>
    <row r="745" spans="1:27" x14ac:dyDescent="0.25">
      <c r="A745" s="10">
        <v>10312</v>
      </c>
      <c r="B745" s="9">
        <v>31</v>
      </c>
      <c r="C745" s="9">
        <v>100</v>
      </c>
      <c r="D745" s="9">
        <f>PRODUCT(sales_data_sample[[#This Row],[QUANTITYORDERED]],sales_data_sample[[#This Row],[PRICEEACH]])</f>
        <v>3100</v>
      </c>
      <c r="E745" s="9">
        <f>IF(OR(sales_data_sample[[#This Row],[STATUS]]="Shipped",sales_data_sample[[#This Row],[STATUS]]="Resolved"),sales_data_sample[[#This Row],[SALES]],0)</f>
        <v>3100</v>
      </c>
      <c r="F745" s="10">
        <v>14</v>
      </c>
      <c r="G745" s="12" t="s">
        <v>360</v>
      </c>
      <c r="H745" s="1" t="s">
        <v>26</v>
      </c>
      <c r="I745">
        <v>4</v>
      </c>
      <c r="J745">
        <v>10</v>
      </c>
      <c r="K745">
        <v>2004</v>
      </c>
      <c r="L745" s="1" t="s">
        <v>799</v>
      </c>
      <c r="M745">
        <v>127</v>
      </c>
      <c r="N745" s="1" t="s">
        <v>886</v>
      </c>
      <c r="O745" s="1" t="s">
        <v>361</v>
      </c>
      <c r="P745" s="1" t="s">
        <v>362</v>
      </c>
      <c r="Q745" s="1" t="s">
        <v>363</v>
      </c>
      <c r="R745" s="1" t="s">
        <v>32</v>
      </c>
      <c r="S745" s="1" t="s">
        <v>364</v>
      </c>
      <c r="T745" s="1" t="s">
        <v>65</v>
      </c>
      <c r="U745" s="1" t="s">
        <v>145</v>
      </c>
      <c r="V745" s="1" t="s">
        <v>36</v>
      </c>
      <c r="W745" s="1" t="s">
        <v>37</v>
      </c>
      <c r="X745" s="1" t="s">
        <v>365</v>
      </c>
      <c r="Y745" s="1" t="s">
        <v>366</v>
      </c>
      <c r="Z745" s="1" t="str">
        <f>TRIM(_xlfn.CONCAT(sales_data_sample[[#This Row],[CONTACTFIRSTNAME]],", ",sales_data_sample[[#This Row],[CONTACTLASTNAME]]))</f>
        <v>Valarie, Nelson</v>
      </c>
      <c r="AA745" s="1" t="s">
        <v>59</v>
      </c>
    </row>
    <row r="746" spans="1:27" x14ac:dyDescent="0.25">
      <c r="A746" s="10">
        <v>10322</v>
      </c>
      <c r="B746" s="9">
        <v>50</v>
      </c>
      <c r="C746" s="9">
        <v>100</v>
      </c>
      <c r="D746" s="9">
        <f>PRODUCT(sales_data_sample[[#This Row],[QUANTITYORDERED]],sales_data_sample[[#This Row],[PRICEEACH]])</f>
        <v>5000</v>
      </c>
      <c r="E746" s="9">
        <f>IF(OR(sales_data_sample[[#This Row],[STATUS]]="Shipped",sales_data_sample[[#This Row],[STATUS]]="Resolved"),sales_data_sample[[#This Row],[SALES]],0)</f>
        <v>5000</v>
      </c>
      <c r="F746" s="10">
        <v>6</v>
      </c>
      <c r="G746" s="12" t="s">
        <v>367</v>
      </c>
      <c r="H746" s="1" t="s">
        <v>26</v>
      </c>
      <c r="I746">
        <v>4</v>
      </c>
      <c r="J746">
        <v>11</v>
      </c>
      <c r="K746">
        <v>2004</v>
      </c>
      <c r="L746" s="1" t="s">
        <v>799</v>
      </c>
      <c r="M746">
        <v>127</v>
      </c>
      <c r="N746" s="1" t="s">
        <v>886</v>
      </c>
      <c r="O746" s="1" t="s">
        <v>368</v>
      </c>
      <c r="P746" s="1" t="s">
        <v>369</v>
      </c>
      <c r="Q746" s="1" t="s">
        <v>370</v>
      </c>
      <c r="R746" s="1" t="s">
        <v>32</v>
      </c>
      <c r="S746" s="1" t="s">
        <v>371</v>
      </c>
      <c r="T746" s="1" t="s">
        <v>372</v>
      </c>
      <c r="U746" s="1" t="s">
        <v>373</v>
      </c>
      <c r="V746" s="1" t="s">
        <v>36</v>
      </c>
      <c r="W746" s="1" t="s">
        <v>37</v>
      </c>
      <c r="X746" s="1" t="s">
        <v>67</v>
      </c>
      <c r="Y746" s="1" t="s">
        <v>366</v>
      </c>
      <c r="Z746" s="1" t="str">
        <f>TRIM(_xlfn.CONCAT(sales_data_sample[[#This Row],[CONTACTFIRSTNAME]],", ",sales_data_sample[[#This Row],[CONTACTLASTNAME]]))</f>
        <v>Valarie, Young</v>
      </c>
      <c r="AA746" s="1" t="s">
        <v>199</v>
      </c>
    </row>
    <row r="747" spans="1:27" x14ac:dyDescent="0.25">
      <c r="A747" s="10">
        <v>10332</v>
      </c>
      <c r="B747" s="9">
        <v>35</v>
      </c>
      <c r="C747" s="9">
        <v>6469</v>
      </c>
      <c r="D747" s="9">
        <f>PRODUCT(sales_data_sample[[#This Row],[QUANTITYORDERED]],sales_data_sample[[#This Row],[PRICEEACH]])</f>
        <v>226415</v>
      </c>
      <c r="E747" s="9">
        <f>IF(OR(sales_data_sample[[#This Row],[STATUS]]="Shipped",sales_data_sample[[#This Row],[STATUS]]="Resolved"),sales_data_sample[[#This Row],[SALES]],0)</f>
        <v>226415</v>
      </c>
      <c r="F747" s="10">
        <v>8</v>
      </c>
      <c r="G747" s="12" t="s">
        <v>793</v>
      </c>
      <c r="H747" s="1" t="s">
        <v>26</v>
      </c>
      <c r="I747">
        <v>4</v>
      </c>
      <c r="J747">
        <v>11</v>
      </c>
      <c r="K747">
        <v>2004</v>
      </c>
      <c r="L747" s="1" t="s">
        <v>799</v>
      </c>
      <c r="M747">
        <v>127</v>
      </c>
      <c r="N747" s="1" t="s">
        <v>886</v>
      </c>
      <c r="O747" s="1" t="s">
        <v>695</v>
      </c>
      <c r="P747" s="1" t="s">
        <v>696</v>
      </c>
      <c r="Q747" s="1" t="s">
        <v>697</v>
      </c>
      <c r="R747" s="1" t="s">
        <v>32</v>
      </c>
      <c r="S747" s="1" t="s">
        <v>698</v>
      </c>
      <c r="T747" s="1" t="s">
        <v>32</v>
      </c>
      <c r="U747" s="1" t="s">
        <v>699</v>
      </c>
      <c r="V747" s="1" t="s">
        <v>225</v>
      </c>
      <c r="W747" s="1" t="s">
        <v>48</v>
      </c>
      <c r="X747" s="1" t="s">
        <v>700</v>
      </c>
      <c r="Y747" s="1" t="s">
        <v>118</v>
      </c>
      <c r="Z747" s="1" t="str">
        <f>TRIM(_xlfn.CONCAT(sales_data_sample[[#This Row],[CONTACTFIRSTNAME]],", ",sales_data_sample[[#This Row],[CONTACTLASTNAME]]))</f>
        <v>Victoria, Ashworth</v>
      </c>
      <c r="AA747" s="1" t="s">
        <v>40</v>
      </c>
    </row>
    <row r="748" spans="1:27" x14ac:dyDescent="0.25">
      <c r="A748" s="10">
        <v>10344</v>
      </c>
      <c r="B748" s="9">
        <v>30</v>
      </c>
      <c r="C748" s="9">
        <v>100</v>
      </c>
      <c r="D748" s="9">
        <f>PRODUCT(sales_data_sample[[#This Row],[QUANTITYORDERED]],sales_data_sample[[#This Row],[PRICEEACH]])</f>
        <v>3000</v>
      </c>
      <c r="E748" s="9">
        <f>IF(OR(sales_data_sample[[#This Row],[STATUS]]="Shipped",sales_data_sample[[#This Row],[STATUS]]="Resolved"),sales_data_sample[[#This Row],[SALES]],0)</f>
        <v>3000</v>
      </c>
      <c r="F748" s="10">
        <v>3</v>
      </c>
      <c r="G748" s="12" t="s">
        <v>875</v>
      </c>
      <c r="H748" s="1" t="s">
        <v>26</v>
      </c>
      <c r="I748">
        <v>4</v>
      </c>
      <c r="J748">
        <v>11</v>
      </c>
      <c r="K748">
        <v>2004</v>
      </c>
      <c r="L748" s="1" t="s">
        <v>799</v>
      </c>
      <c r="M748">
        <v>127</v>
      </c>
      <c r="N748" s="1" t="s">
        <v>886</v>
      </c>
      <c r="O748" s="1" t="s">
        <v>600</v>
      </c>
      <c r="P748" s="1" t="s">
        <v>601</v>
      </c>
      <c r="Q748" s="1" t="s">
        <v>602</v>
      </c>
      <c r="R748" s="1" t="s">
        <v>32</v>
      </c>
      <c r="S748" s="1" t="s">
        <v>603</v>
      </c>
      <c r="T748" s="1" t="s">
        <v>32</v>
      </c>
      <c r="U748" s="1" t="s">
        <v>604</v>
      </c>
      <c r="V748" s="1" t="s">
        <v>47</v>
      </c>
      <c r="W748" s="1" t="s">
        <v>48</v>
      </c>
      <c r="X748" s="1" t="s">
        <v>605</v>
      </c>
      <c r="Y748" s="1" t="s">
        <v>606</v>
      </c>
      <c r="Z748" s="1" t="str">
        <f>TRIM(_xlfn.CONCAT(sales_data_sample[[#This Row],[CONTACTFIRSTNAME]],", ",sales_data_sample[[#This Row],[CONTACTLASTNAME]]))</f>
        <v>Laurence, Lebihan</v>
      </c>
      <c r="AA748" s="1" t="s">
        <v>59</v>
      </c>
    </row>
    <row r="749" spans="1:27" x14ac:dyDescent="0.25">
      <c r="A749" s="10">
        <v>10356</v>
      </c>
      <c r="B749" s="9">
        <v>29</v>
      </c>
      <c r="C749" s="9">
        <v>100</v>
      </c>
      <c r="D749" s="9">
        <f>PRODUCT(sales_data_sample[[#This Row],[QUANTITYORDERED]],sales_data_sample[[#This Row],[PRICEEACH]])</f>
        <v>2900</v>
      </c>
      <c r="E749" s="9">
        <f>IF(OR(sales_data_sample[[#This Row],[STATUS]]="Shipped",sales_data_sample[[#This Row],[STATUS]]="Resolved"),sales_data_sample[[#This Row],[SALES]],0)</f>
        <v>2900</v>
      </c>
      <c r="F749" s="10">
        <v>3</v>
      </c>
      <c r="G749" s="12" t="s">
        <v>794</v>
      </c>
      <c r="H749" s="1" t="s">
        <v>26</v>
      </c>
      <c r="I749">
        <v>4</v>
      </c>
      <c r="J749">
        <v>12</v>
      </c>
      <c r="K749">
        <v>2004</v>
      </c>
      <c r="L749" s="1" t="s">
        <v>799</v>
      </c>
      <c r="M749">
        <v>127</v>
      </c>
      <c r="N749" s="1" t="s">
        <v>886</v>
      </c>
      <c r="O749" s="1" t="s">
        <v>52</v>
      </c>
      <c r="P749" s="1" t="s">
        <v>53</v>
      </c>
      <c r="Q749" s="1" t="s">
        <v>54</v>
      </c>
      <c r="R749" s="1" t="s">
        <v>32</v>
      </c>
      <c r="S749" s="1" t="s">
        <v>55</v>
      </c>
      <c r="T749" s="1" t="s">
        <v>32</v>
      </c>
      <c r="U749" s="1" t="s">
        <v>56</v>
      </c>
      <c r="V749" s="1" t="s">
        <v>47</v>
      </c>
      <c r="W749" s="1" t="s">
        <v>48</v>
      </c>
      <c r="X749" s="1" t="s">
        <v>57</v>
      </c>
      <c r="Y749" s="1" t="s">
        <v>58</v>
      </c>
      <c r="Z749" s="1" t="str">
        <f>TRIM(_xlfn.CONCAT(sales_data_sample[[#This Row],[CONTACTFIRSTNAME]],", ",sales_data_sample[[#This Row],[CONTACTLASTNAME]]))</f>
        <v>Daniel, Da Cunha</v>
      </c>
      <c r="AA749" s="1" t="s">
        <v>59</v>
      </c>
    </row>
    <row r="750" spans="1:27" x14ac:dyDescent="0.25">
      <c r="A750" s="10">
        <v>10367</v>
      </c>
      <c r="B750" s="9">
        <v>27</v>
      </c>
      <c r="C750" s="9">
        <v>100</v>
      </c>
      <c r="D750" s="9">
        <f>PRODUCT(sales_data_sample[[#This Row],[QUANTITYORDERED]],sales_data_sample[[#This Row],[PRICEEACH]])</f>
        <v>2700</v>
      </c>
      <c r="E750" s="9">
        <f>IF(OR(sales_data_sample[[#This Row],[STATUS]]="Shipped",sales_data_sample[[#This Row],[STATUS]]="Resolved"),sales_data_sample[[#This Row],[SALES]],0)</f>
        <v>2700</v>
      </c>
      <c r="F750" s="10">
        <v>5</v>
      </c>
      <c r="G750" s="12" t="s">
        <v>835</v>
      </c>
      <c r="H750" s="1" t="s">
        <v>563</v>
      </c>
      <c r="I750">
        <v>1</v>
      </c>
      <c r="J750">
        <v>1</v>
      </c>
      <c r="K750">
        <v>2005</v>
      </c>
      <c r="L750" s="1" t="s">
        <v>799</v>
      </c>
      <c r="M750">
        <v>127</v>
      </c>
      <c r="N750" s="1" t="s">
        <v>886</v>
      </c>
      <c r="O750" s="1" t="s">
        <v>61</v>
      </c>
      <c r="P750" s="1" t="s">
        <v>62</v>
      </c>
      <c r="Q750" s="1" t="s">
        <v>63</v>
      </c>
      <c r="R750" s="1" t="s">
        <v>32</v>
      </c>
      <c r="S750" s="1" t="s">
        <v>64</v>
      </c>
      <c r="T750" s="1" t="s">
        <v>65</v>
      </c>
      <c r="U750" s="1" t="s">
        <v>66</v>
      </c>
      <c r="V750" s="1" t="s">
        <v>36</v>
      </c>
      <c r="W750" s="1" t="s">
        <v>37</v>
      </c>
      <c r="X750" s="1" t="s">
        <v>67</v>
      </c>
      <c r="Y750" s="1" t="s">
        <v>68</v>
      </c>
      <c r="Z750" s="1" t="str">
        <f>TRIM(_xlfn.CONCAT(sales_data_sample[[#This Row],[CONTACTFIRSTNAME]],", ",sales_data_sample[[#This Row],[CONTACTLASTNAME]]))</f>
        <v>Julie, Young</v>
      </c>
      <c r="AA750" s="1" t="s">
        <v>59</v>
      </c>
    </row>
    <row r="751" spans="1:27" x14ac:dyDescent="0.25">
      <c r="A751" s="10">
        <v>10380</v>
      </c>
      <c r="B751" s="9">
        <v>40</v>
      </c>
      <c r="C751" s="9">
        <v>100</v>
      </c>
      <c r="D751" s="9">
        <f>PRODUCT(sales_data_sample[[#This Row],[QUANTITYORDERED]],sales_data_sample[[#This Row],[PRICEEACH]])</f>
        <v>4000</v>
      </c>
      <c r="E751" s="9">
        <f>IF(OR(sales_data_sample[[#This Row],[STATUS]]="Shipped",sales_data_sample[[#This Row],[STATUS]]="Resolved"),sales_data_sample[[#This Row],[SALES]],0)</f>
        <v>4000</v>
      </c>
      <c r="F751" s="10">
        <v>10</v>
      </c>
      <c r="G751" s="12" t="s">
        <v>826</v>
      </c>
      <c r="H751" s="1" t="s">
        <v>26</v>
      </c>
      <c r="I751">
        <v>1</v>
      </c>
      <c r="J751">
        <v>2</v>
      </c>
      <c r="K751">
        <v>2005</v>
      </c>
      <c r="L751" s="1" t="s">
        <v>799</v>
      </c>
      <c r="M751">
        <v>127</v>
      </c>
      <c r="N751" s="1" t="s">
        <v>886</v>
      </c>
      <c r="O751" s="1" t="s">
        <v>230</v>
      </c>
      <c r="P751" s="1" t="s">
        <v>231</v>
      </c>
      <c r="Q751" s="1" t="s">
        <v>232</v>
      </c>
      <c r="R751" s="1" t="s">
        <v>32</v>
      </c>
      <c r="S751" s="1" t="s">
        <v>233</v>
      </c>
      <c r="T751" s="1" t="s">
        <v>32</v>
      </c>
      <c r="U751" s="1" t="s">
        <v>234</v>
      </c>
      <c r="V751" s="1" t="s">
        <v>235</v>
      </c>
      <c r="W751" s="1" t="s">
        <v>48</v>
      </c>
      <c r="X751" s="1" t="s">
        <v>236</v>
      </c>
      <c r="Y751" s="1" t="s">
        <v>237</v>
      </c>
      <c r="Z751" s="1" t="str">
        <f>TRIM(_xlfn.CONCAT(sales_data_sample[[#This Row],[CONTACTFIRSTNAME]],", ",sales_data_sample[[#This Row],[CONTACTLASTNAME]]))</f>
        <v>Diego, Freyre</v>
      </c>
      <c r="AA751" s="1" t="s">
        <v>59</v>
      </c>
    </row>
    <row r="752" spans="1:27" x14ac:dyDescent="0.25">
      <c r="A752" s="10">
        <v>10390</v>
      </c>
      <c r="B752" s="9">
        <v>31</v>
      </c>
      <c r="C752" s="9">
        <v>9899</v>
      </c>
      <c r="D752" s="9">
        <f>PRODUCT(sales_data_sample[[#This Row],[QUANTITYORDERED]],sales_data_sample[[#This Row],[PRICEEACH]])</f>
        <v>306869</v>
      </c>
      <c r="E752" s="9">
        <f>IF(OR(sales_data_sample[[#This Row],[STATUS]]="Shipped",sales_data_sample[[#This Row],[STATUS]]="Resolved"),sales_data_sample[[#This Row],[SALES]],0)</f>
        <v>306869</v>
      </c>
      <c r="F752" s="10">
        <v>16</v>
      </c>
      <c r="G752" s="12" t="s">
        <v>796</v>
      </c>
      <c r="H752" s="1" t="s">
        <v>26</v>
      </c>
      <c r="I752">
        <v>1</v>
      </c>
      <c r="J752">
        <v>3</v>
      </c>
      <c r="K752">
        <v>2005</v>
      </c>
      <c r="L752" s="1" t="s">
        <v>799</v>
      </c>
      <c r="M752">
        <v>127</v>
      </c>
      <c r="N752" s="1" t="s">
        <v>886</v>
      </c>
      <c r="O752" s="1" t="s">
        <v>361</v>
      </c>
      <c r="P752" s="1" t="s">
        <v>362</v>
      </c>
      <c r="Q752" s="1" t="s">
        <v>363</v>
      </c>
      <c r="R752" s="1" t="s">
        <v>32</v>
      </c>
      <c r="S752" s="1" t="s">
        <v>364</v>
      </c>
      <c r="T752" s="1" t="s">
        <v>65</v>
      </c>
      <c r="U752" s="1" t="s">
        <v>145</v>
      </c>
      <c r="V752" s="1" t="s">
        <v>36</v>
      </c>
      <c r="W752" s="1" t="s">
        <v>37</v>
      </c>
      <c r="X752" s="1" t="s">
        <v>365</v>
      </c>
      <c r="Y752" s="1" t="s">
        <v>366</v>
      </c>
      <c r="Z752" s="1" t="str">
        <f>TRIM(_xlfn.CONCAT(sales_data_sample[[#This Row],[CONTACTFIRSTNAME]],", ",sales_data_sample[[#This Row],[CONTACTLASTNAME]]))</f>
        <v>Valarie, Nelson</v>
      </c>
      <c r="AA752" s="1" t="s">
        <v>59</v>
      </c>
    </row>
    <row r="753" spans="1:27" x14ac:dyDescent="0.25">
      <c r="A753">
        <v>10409</v>
      </c>
      <c r="B753">
        <v>6</v>
      </c>
      <c r="C753">
        <v>100</v>
      </c>
      <c r="D753">
        <f>PRODUCT(sales_data_sample[[#This Row],[QUANTITYORDERED]],sales_data_sample[[#This Row],[PRICEEACH]])</f>
        <v>600</v>
      </c>
      <c r="E753" s="9">
        <f>IF(OR(sales_data_sample[[#This Row],[STATUS]]="Shipped",sales_data_sample[[#This Row],[STATUS]]="Resolved"),sales_data_sample[[#This Row],[SALES]],0)</f>
        <v>600</v>
      </c>
      <c r="F753">
        <v>2</v>
      </c>
      <c r="G753" s="12" t="s">
        <v>888</v>
      </c>
      <c r="H753" s="1" t="s">
        <v>26</v>
      </c>
      <c r="I753">
        <v>2</v>
      </c>
      <c r="J753">
        <v>4</v>
      </c>
      <c r="K753">
        <v>2005</v>
      </c>
      <c r="L753" s="1" t="s">
        <v>799</v>
      </c>
      <c r="M753">
        <v>127</v>
      </c>
      <c r="N753" s="1" t="s">
        <v>886</v>
      </c>
      <c r="O753" s="1" t="s">
        <v>577</v>
      </c>
      <c r="P753" s="1" t="s">
        <v>578</v>
      </c>
      <c r="Q753" s="1" t="s">
        <v>579</v>
      </c>
      <c r="R753" s="1" t="s">
        <v>580</v>
      </c>
      <c r="S753" s="1" t="s">
        <v>262</v>
      </c>
      <c r="T753" s="1" t="s">
        <v>32</v>
      </c>
      <c r="U753" s="1" t="s">
        <v>581</v>
      </c>
      <c r="V753" s="1" t="s">
        <v>262</v>
      </c>
      <c r="W753" s="1" t="s">
        <v>121</v>
      </c>
      <c r="X753" s="1" t="s">
        <v>582</v>
      </c>
      <c r="Y753" s="1" t="s">
        <v>583</v>
      </c>
      <c r="Z753" s="1" t="str">
        <f>TRIM(_xlfn.CONCAT(sales_data_sample[[#This Row],[CONTACTFIRSTNAME]],", ",sales_data_sample[[#This Row],[CONTACTLASTNAME]]))</f>
        <v>Wendy, Victorino</v>
      </c>
      <c r="AA753" s="1" t="s">
        <v>40</v>
      </c>
    </row>
    <row r="754" spans="1:27" x14ac:dyDescent="0.25">
      <c r="A754">
        <v>10420</v>
      </c>
      <c r="B754">
        <v>45</v>
      </c>
      <c r="C754">
        <v>100</v>
      </c>
      <c r="D754">
        <f>PRODUCT(sales_data_sample[[#This Row],[QUANTITYORDERED]],sales_data_sample[[#This Row],[PRICEEACH]])</f>
        <v>4500</v>
      </c>
      <c r="E754" s="9">
        <f>IF(OR(sales_data_sample[[#This Row],[STATUS]]="Shipped",sales_data_sample[[#This Row],[STATUS]]="Resolved"),sales_data_sample[[#This Row],[SALES]],0)</f>
        <v>0</v>
      </c>
      <c r="F754">
        <v>2</v>
      </c>
      <c r="G754" s="12" t="s">
        <v>876</v>
      </c>
      <c r="H754" s="1" t="s">
        <v>403</v>
      </c>
      <c r="I754">
        <v>2</v>
      </c>
      <c r="J754">
        <v>5</v>
      </c>
      <c r="K754">
        <v>2005</v>
      </c>
      <c r="L754" s="1" t="s">
        <v>799</v>
      </c>
      <c r="M754">
        <v>127</v>
      </c>
      <c r="N754" s="1" t="s">
        <v>886</v>
      </c>
      <c r="O754" s="1" t="s">
        <v>201</v>
      </c>
      <c r="P754" s="1" t="s">
        <v>202</v>
      </c>
      <c r="Q754" s="1" t="s">
        <v>203</v>
      </c>
      <c r="R754" s="1" t="s">
        <v>204</v>
      </c>
      <c r="S754" s="1" t="s">
        <v>205</v>
      </c>
      <c r="T754" s="1" t="s">
        <v>206</v>
      </c>
      <c r="U754" s="1" t="s">
        <v>207</v>
      </c>
      <c r="V754" s="1" t="s">
        <v>120</v>
      </c>
      <c r="W754" s="1" t="s">
        <v>121</v>
      </c>
      <c r="X754" s="1" t="s">
        <v>208</v>
      </c>
      <c r="Y754" s="1" t="s">
        <v>209</v>
      </c>
      <c r="Z754" s="1" t="str">
        <f>TRIM(_xlfn.CONCAT(sales_data_sample[[#This Row],[CONTACTFIRSTNAME]],", ",sales_data_sample[[#This Row],[CONTACTLASTNAME]]))</f>
        <v>Adrian, Huxley</v>
      </c>
      <c r="AA754" s="1" t="s">
        <v>59</v>
      </c>
    </row>
    <row r="755" spans="1:27" x14ac:dyDescent="0.25">
      <c r="A755" s="10">
        <v>10103</v>
      </c>
      <c r="B755" s="9">
        <v>22</v>
      </c>
      <c r="C755" s="9">
        <v>5409</v>
      </c>
      <c r="D755" s="9">
        <f>PRODUCT(sales_data_sample[[#This Row],[QUANTITYORDERED]],sales_data_sample[[#This Row],[PRICEEACH]])</f>
        <v>118998</v>
      </c>
      <c r="E755" s="9">
        <f>IF(OR(sales_data_sample[[#This Row],[STATUS]]="Shipped",sales_data_sample[[#This Row],[STATUS]]="Resolved"),sales_data_sample[[#This Row],[SALES]],0)</f>
        <v>118998</v>
      </c>
      <c r="F755" s="10">
        <v>2</v>
      </c>
      <c r="G755" s="12" t="s">
        <v>238</v>
      </c>
      <c r="H755" s="1" t="s">
        <v>26</v>
      </c>
      <c r="I755">
        <v>1</v>
      </c>
      <c r="J755">
        <v>1</v>
      </c>
      <c r="K755">
        <v>2003</v>
      </c>
      <c r="L755" s="1" t="s">
        <v>711</v>
      </c>
      <c r="M755">
        <v>60</v>
      </c>
      <c r="N755" s="1" t="s">
        <v>889</v>
      </c>
      <c r="O755" s="1" t="s">
        <v>174</v>
      </c>
      <c r="P755" s="1" t="s">
        <v>175</v>
      </c>
      <c r="Q755" s="1" t="s">
        <v>176</v>
      </c>
      <c r="R755" s="1" t="s">
        <v>32</v>
      </c>
      <c r="S755" s="1" t="s">
        <v>177</v>
      </c>
      <c r="T755" s="1" t="s">
        <v>32</v>
      </c>
      <c r="U755" s="1" t="s">
        <v>178</v>
      </c>
      <c r="V755" s="1" t="s">
        <v>97</v>
      </c>
      <c r="W755" s="1" t="s">
        <v>48</v>
      </c>
      <c r="X755" s="1" t="s">
        <v>179</v>
      </c>
      <c r="Y755" s="1" t="s">
        <v>180</v>
      </c>
      <c r="Z755" s="1" t="str">
        <f>TRIM(_xlfn.CONCAT(sales_data_sample[[#This Row],[CONTACTFIRSTNAME]],", ",sales_data_sample[[#This Row],[CONTACTLASTNAME]]))</f>
        <v>Jonas, Bergulfsen</v>
      </c>
      <c r="AA755" s="1" t="s">
        <v>40</v>
      </c>
    </row>
    <row r="756" spans="1:27" x14ac:dyDescent="0.25">
      <c r="A756" s="10">
        <v>10114</v>
      </c>
      <c r="B756" s="9">
        <v>45</v>
      </c>
      <c r="C756" s="9">
        <v>6867</v>
      </c>
      <c r="D756" s="9">
        <f>PRODUCT(sales_data_sample[[#This Row],[QUANTITYORDERED]],sales_data_sample[[#This Row],[PRICEEACH]])</f>
        <v>309015</v>
      </c>
      <c r="E756" s="9">
        <f>IF(OR(sales_data_sample[[#This Row],[STATUS]]="Shipped",sales_data_sample[[#This Row],[STATUS]]="Resolved"),sales_data_sample[[#This Row],[SALES]],0)</f>
        <v>309015</v>
      </c>
      <c r="F756" s="10">
        <v>6</v>
      </c>
      <c r="G756" s="12" t="s">
        <v>555</v>
      </c>
      <c r="H756" s="1" t="s">
        <v>26</v>
      </c>
      <c r="I756">
        <v>2</v>
      </c>
      <c r="J756">
        <v>4</v>
      </c>
      <c r="K756">
        <v>2003</v>
      </c>
      <c r="L756" s="1" t="s">
        <v>711</v>
      </c>
      <c r="M756">
        <v>60</v>
      </c>
      <c r="N756" s="1" t="s">
        <v>889</v>
      </c>
      <c r="O756" s="1" t="s">
        <v>556</v>
      </c>
      <c r="P756" s="1" t="s">
        <v>557</v>
      </c>
      <c r="Q756" s="1" t="s">
        <v>558</v>
      </c>
      <c r="R756" s="1" t="s">
        <v>32</v>
      </c>
      <c r="S756" s="1" t="s">
        <v>55</v>
      </c>
      <c r="T756" s="1" t="s">
        <v>32</v>
      </c>
      <c r="U756" s="1" t="s">
        <v>559</v>
      </c>
      <c r="V756" s="1" t="s">
        <v>47</v>
      </c>
      <c r="W756" s="1" t="s">
        <v>48</v>
      </c>
      <c r="X756" s="1" t="s">
        <v>560</v>
      </c>
      <c r="Y756" s="1" t="s">
        <v>561</v>
      </c>
      <c r="Z756" s="1" t="str">
        <f>TRIM(_xlfn.CONCAT(sales_data_sample[[#This Row],[CONTACTFIRSTNAME]],", ",sales_data_sample[[#This Row],[CONTACTLASTNAME]]))</f>
        <v>Marie, Bertrand</v>
      </c>
      <c r="AA756" s="1" t="s">
        <v>59</v>
      </c>
    </row>
    <row r="757" spans="1:27" x14ac:dyDescent="0.25">
      <c r="A757" s="10">
        <v>10126</v>
      </c>
      <c r="B757" s="9">
        <v>43</v>
      </c>
      <c r="C757" s="9">
        <v>6502</v>
      </c>
      <c r="D757" s="9">
        <f>PRODUCT(sales_data_sample[[#This Row],[QUANTITYORDERED]],sales_data_sample[[#This Row],[PRICEEACH]])</f>
        <v>279586</v>
      </c>
      <c r="E757" s="9">
        <f>IF(OR(sales_data_sample[[#This Row],[STATUS]]="Shipped",sales_data_sample[[#This Row],[STATUS]]="Resolved"),sales_data_sample[[#This Row],[SALES]],0)</f>
        <v>279586</v>
      </c>
      <c r="F757" s="10">
        <v>2</v>
      </c>
      <c r="G757" s="12" t="s">
        <v>250</v>
      </c>
      <c r="H757" s="1" t="s">
        <v>26</v>
      </c>
      <c r="I757">
        <v>2</v>
      </c>
      <c r="J757">
        <v>5</v>
      </c>
      <c r="K757">
        <v>2003</v>
      </c>
      <c r="L757" s="1" t="s">
        <v>711</v>
      </c>
      <c r="M757">
        <v>60</v>
      </c>
      <c r="N757" s="1" t="s">
        <v>889</v>
      </c>
      <c r="O757" s="1" t="s">
        <v>251</v>
      </c>
      <c r="P757" s="1" t="s">
        <v>252</v>
      </c>
      <c r="Q757" s="1" t="s">
        <v>253</v>
      </c>
      <c r="R757" s="1" t="s">
        <v>32</v>
      </c>
      <c r="S757" s="1" t="s">
        <v>233</v>
      </c>
      <c r="T757" s="1" t="s">
        <v>32</v>
      </c>
      <c r="U757" s="1" t="s">
        <v>254</v>
      </c>
      <c r="V757" s="1" t="s">
        <v>235</v>
      </c>
      <c r="W757" s="1" t="s">
        <v>48</v>
      </c>
      <c r="X757" s="1" t="s">
        <v>255</v>
      </c>
      <c r="Y757" s="1" t="s">
        <v>256</v>
      </c>
      <c r="Z757" s="1" t="str">
        <f>TRIM(_xlfn.CONCAT(sales_data_sample[[#This Row],[CONTACTFIRSTNAME]],", ",sales_data_sample[[#This Row],[CONTACTLASTNAME]]))</f>
        <v>Mart¡n, Sommer</v>
      </c>
      <c r="AA757" s="1" t="s">
        <v>40</v>
      </c>
    </row>
    <row r="758" spans="1:27" x14ac:dyDescent="0.25">
      <c r="A758" s="10">
        <v>10140</v>
      </c>
      <c r="B758" s="9">
        <v>46</v>
      </c>
      <c r="C758" s="9">
        <v>6199</v>
      </c>
      <c r="D758" s="9">
        <f>PRODUCT(sales_data_sample[[#This Row],[QUANTITYORDERED]],sales_data_sample[[#This Row],[PRICEEACH]])</f>
        <v>285154</v>
      </c>
      <c r="E758" s="9">
        <f>IF(OR(sales_data_sample[[#This Row],[STATUS]]="Shipped",sales_data_sample[[#This Row],[STATUS]]="Resolved"),sales_data_sample[[#This Row],[SALES]],0)</f>
        <v>285154</v>
      </c>
      <c r="F758" s="10">
        <v>2</v>
      </c>
      <c r="G758" s="12" t="s">
        <v>257</v>
      </c>
      <c r="H758" s="1" t="s">
        <v>26</v>
      </c>
      <c r="I758">
        <v>3</v>
      </c>
      <c r="J758">
        <v>7</v>
      </c>
      <c r="K758">
        <v>2003</v>
      </c>
      <c r="L758" s="1" t="s">
        <v>711</v>
      </c>
      <c r="M758">
        <v>60</v>
      </c>
      <c r="N758" s="1" t="s">
        <v>889</v>
      </c>
      <c r="O758" s="1" t="s">
        <v>76</v>
      </c>
      <c r="P758" s="1" t="s">
        <v>77</v>
      </c>
      <c r="Q758" s="1" t="s">
        <v>78</v>
      </c>
      <c r="R758" s="1" t="s">
        <v>32</v>
      </c>
      <c r="S758" s="1" t="s">
        <v>79</v>
      </c>
      <c r="T758" s="1" t="s">
        <v>65</v>
      </c>
      <c r="U758" s="1" t="s">
        <v>80</v>
      </c>
      <c r="V758" s="1" t="s">
        <v>36</v>
      </c>
      <c r="W758" s="1" t="s">
        <v>37</v>
      </c>
      <c r="X758" s="1" t="s">
        <v>81</v>
      </c>
      <c r="Y758" s="1" t="s">
        <v>82</v>
      </c>
      <c r="Z758" s="1" t="str">
        <f>TRIM(_xlfn.CONCAT(sales_data_sample[[#This Row],[CONTACTFIRSTNAME]],", ",sales_data_sample[[#This Row],[CONTACTLASTNAME]]))</f>
        <v>Juri, Hirano</v>
      </c>
      <c r="AA758" s="1" t="s">
        <v>40</v>
      </c>
    </row>
    <row r="759" spans="1:27" x14ac:dyDescent="0.25">
      <c r="A759" s="10">
        <v>10151</v>
      </c>
      <c r="B759" s="9">
        <v>39</v>
      </c>
      <c r="C759" s="9">
        <v>6928</v>
      </c>
      <c r="D759" s="9">
        <f>PRODUCT(sales_data_sample[[#This Row],[QUANTITYORDERED]],sales_data_sample[[#This Row],[PRICEEACH]])</f>
        <v>270192</v>
      </c>
      <c r="E759" s="9">
        <f>IF(OR(sales_data_sample[[#This Row],[STATUS]]="Shipped",sales_data_sample[[#This Row],[STATUS]]="Resolved"),sales_data_sample[[#This Row],[SALES]],0)</f>
        <v>270192</v>
      </c>
      <c r="F759" s="10">
        <v>9</v>
      </c>
      <c r="G759" s="12" t="s">
        <v>744</v>
      </c>
      <c r="H759" s="1" t="s">
        <v>26</v>
      </c>
      <c r="I759">
        <v>3</v>
      </c>
      <c r="J759">
        <v>9</v>
      </c>
      <c r="K759">
        <v>2003</v>
      </c>
      <c r="L759" s="1" t="s">
        <v>711</v>
      </c>
      <c r="M759">
        <v>60</v>
      </c>
      <c r="N759" s="1" t="s">
        <v>889</v>
      </c>
      <c r="O759" s="1" t="s">
        <v>537</v>
      </c>
      <c r="P759" s="1" t="s">
        <v>538</v>
      </c>
      <c r="Q759" s="1" t="s">
        <v>539</v>
      </c>
      <c r="R759" s="1" t="s">
        <v>32</v>
      </c>
      <c r="S759" s="1" t="s">
        <v>540</v>
      </c>
      <c r="T759" s="1" t="s">
        <v>32</v>
      </c>
      <c r="U759" s="1" t="s">
        <v>541</v>
      </c>
      <c r="V759" s="1" t="s">
        <v>170</v>
      </c>
      <c r="W759" s="1" t="s">
        <v>48</v>
      </c>
      <c r="X759" s="1" t="s">
        <v>542</v>
      </c>
      <c r="Y759" s="1" t="s">
        <v>543</v>
      </c>
      <c r="Z759" s="1" t="str">
        <f>TRIM(_xlfn.CONCAT(sales_data_sample[[#This Row],[CONTACTFIRSTNAME]],", ",sales_data_sample[[#This Row],[CONTACTLASTNAME]]))</f>
        <v>Pirkko, Koskitalo</v>
      </c>
      <c r="AA759" s="1" t="s">
        <v>40</v>
      </c>
    </row>
    <row r="760" spans="1:27" x14ac:dyDescent="0.25">
      <c r="A760" s="10">
        <v>10165</v>
      </c>
      <c r="B760" s="9">
        <v>31</v>
      </c>
      <c r="C760" s="9">
        <v>711</v>
      </c>
      <c r="D760" s="9">
        <f>PRODUCT(sales_data_sample[[#This Row],[QUANTITYORDERED]],sales_data_sample[[#This Row],[PRICEEACH]])</f>
        <v>22041</v>
      </c>
      <c r="E760" s="9">
        <f>IF(OR(sales_data_sample[[#This Row],[STATUS]]="Shipped",sales_data_sample[[#This Row],[STATUS]]="Resolved"),sales_data_sample[[#This Row],[SALES]],0)</f>
        <v>22041</v>
      </c>
      <c r="F760" s="10">
        <v>18</v>
      </c>
      <c r="G760" s="12" t="s">
        <v>674</v>
      </c>
      <c r="H760" s="1" t="s">
        <v>26</v>
      </c>
      <c r="I760">
        <v>4</v>
      </c>
      <c r="J760">
        <v>10</v>
      </c>
      <c r="K760">
        <v>2003</v>
      </c>
      <c r="L760" s="1" t="s">
        <v>711</v>
      </c>
      <c r="M760">
        <v>60</v>
      </c>
      <c r="N760" s="1" t="s">
        <v>889</v>
      </c>
      <c r="O760" s="1" t="s">
        <v>259</v>
      </c>
      <c r="P760" s="1" t="s">
        <v>260</v>
      </c>
      <c r="Q760" s="1" t="s">
        <v>261</v>
      </c>
      <c r="R760" s="1" t="s">
        <v>32</v>
      </c>
      <c r="S760" s="1" t="s">
        <v>262</v>
      </c>
      <c r="T760" s="1" t="s">
        <v>32</v>
      </c>
      <c r="U760" s="1" t="s">
        <v>263</v>
      </c>
      <c r="V760" s="1" t="s">
        <v>262</v>
      </c>
      <c r="W760" s="1" t="s">
        <v>264</v>
      </c>
      <c r="X760" s="1" t="s">
        <v>265</v>
      </c>
      <c r="Y760" s="1" t="s">
        <v>266</v>
      </c>
      <c r="Z760" s="1" t="str">
        <f>TRIM(_xlfn.CONCAT(sales_data_sample[[#This Row],[CONTACTFIRSTNAME]],", ",sales_data_sample[[#This Row],[CONTACTLASTNAME]]))</f>
        <v>Eric, Natividad</v>
      </c>
      <c r="AA760" s="1" t="s">
        <v>40</v>
      </c>
    </row>
    <row r="761" spans="1:27" x14ac:dyDescent="0.25">
      <c r="A761" s="10">
        <v>10175</v>
      </c>
      <c r="B761" s="9">
        <v>41</v>
      </c>
      <c r="C761" s="9">
        <v>6928</v>
      </c>
      <c r="D761" s="9">
        <f>PRODUCT(sales_data_sample[[#This Row],[QUANTITYORDERED]],sales_data_sample[[#This Row],[PRICEEACH]])</f>
        <v>284048</v>
      </c>
      <c r="E761" s="9">
        <f>IF(OR(sales_data_sample[[#This Row],[STATUS]]="Shipped",sales_data_sample[[#This Row],[STATUS]]="Resolved"),sales_data_sample[[#This Row],[SALES]],0)</f>
        <v>284048</v>
      </c>
      <c r="F761" s="10">
        <v>7</v>
      </c>
      <c r="G761" s="12" t="s">
        <v>273</v>
      </c>
      <c r="H761" s="1" t="s">
        <v>26</v>
      </c>
      <c r="I761">
        <v>4</v>
      </c>
      <c r="J761">
        <v>11</v>
      </c>
      <c r="K761">
        <v>2003</v>
      </c>
      <c r="L761" s="1" t="s">
        <v>711</v>
      </c>
      <c r="M761">
        <v>60</v>
      </c>
      <c r="N761" s="1" t="s">
        <v>889</v>
      </c>
      <c r="O761" s="1" t="s">
        <v>447</v>
      </c>
      <c r="P761" s="1" t="s">
        <v>448</v>
      </c>
      <c r="Q761" s="1" t="s">
        <v>449</v>
      </c>
      <c r="R761" s="1" t="s">
        <v>32</v>
      </c>
      <c r="S761" s="1" t="s">
        <v>450</v>
      </c>
      <c r="T761" s="1" t="s">
        <v>32</v>
      </c>
      <c r="U761" s="1" t="s">
        <v>451</v>
      </c>
      <c r="V761" s="1" t="s">
        <v>225</v>
      </c>
      <c r="W761" s="1" t="s">
        <v>48</v>
      </c>
      <c r="X761" s="1" t="s">
        <v>74</v>
      </c>
      <c r="Y761" s="1" t="s">
        <v>452</v>
      </c>
      <c r="Z761" s="1" t="str">
        <f>TRIM(_xlfn.CONCAT(sales_data_sample[[#This Row],[CONTACTFIRSTNAME]],", ",sales_data_sample[[#This Row],[CONTACTLASTNAME]]))</f>
        <v>Ann, Brown</v>
      </c>
      <c r="AA761" s="1" t="s">
        <v>40</v>
      </c>
    </row>
    <row r="762" spans="1:27" x14ac:dyDescent="0.25">
      <c r="A762" s="10">
        <v>10184</v>
      </c>
      <c r="B762" s="9">
        <v>44</v>
      </c>
      <c r="C762" s="9">
        <v>6016</v>
      </c>
      <c r="D762" s="9">
        <f>PRODUCT(sales_data_sample[[#This Row],[QUANTITYORDERED]],sales_data_sample[[#This Row],[PRICEEACH]])</f>
        <v>264704</v>
      </c>
      <c r="E762" s="9">
        <f>IF(OR(sales_data_sample[[#This Row],[STATUS]]="Shipped",sales_data_sample[[#This Row],[STATUS]]="Resolved"),sales_data_sample[[#This Row],[SALES]],0)</f>
        <v>264704</v>
      </c>
      <c r="F762" s="10">
        <v>12</v>
      </c>
      <c r="G762" s="12" t="s">
        <v>470</v>
      </c>
      <c r="H762" s="1" t="s">
        <v>26</v>
      </c>
      <c r="I762">
        <v>4</v>
      </c>
      <c r="J762">
        <v>11</v>
      </c>
      <c r="K762">
        <v>2003</v>
      </c>
      <c r="L762" s="1" t="s">
        <v>711</v>
      </c>
      <c r="M762">
        <v>60</v>
      </c>
      <c r="N762" s="1" t="s">
        <v>889</v>
      </c>
      <c r="O762" s="1" t="s">
        <v>745</v>
      </c>
      <c r="P762" s="1" t="s">
        <v>746</v>
      </c>
      <c r="Q762" s="1" t="s">
        <v>747</v>
      </c>
      <c r="R762" s="1" t="s">
        <v>32</v>
      </c>
      <c r="S762" s="1" t="s">
        <v>748</v>
      </c>
      <c r="T762" s="1" t="s">
        <v>32</v>
      </c>
      <c r="U762" s="1" t="s">
        <v>749</v>
      </c>
      <c r="V762" s="1" t="s">
        <v>235</v>
      </c>
      <c r="W762" s="1" t="s">
        <v>48</v>
      </c>
      <c r="X762" s="1" t="s">
        <v>750</v>
      </c>
      <c r="Y762" s="1" t="s">
        <v>751</v>
      </c>
      <c r="Z762" s="1" t="str">
        <f>TRIM(_xlfn.CONCAT(sales_data_sample[[#This Row],[CONTACTFIRSTNAME]],", ",sales_data_sample[[#This Row],[CONTACTLASTNAME]]))</f>
        <v>Jose Pedro, Roel</v>
      </c>
      <c r="AA762" s="1" t="s">
        <v>40</v>
      </c>
    </row>
    <row r="763" spans="1:27" x14ac:dyDescent="0.25">
      <c r="A763" s="10">
        <v>10194</v>
      </c>
      <c r="B763" s="9">
        <v>45</v>
      </c>
      <c r="C763" s="9">
        <v>7049</v>
      </c>
      <c r="D763" s="9">
        <f>PRODUCT(sales_data_sample[[#This Row],[QUANTITYORDERED]],sales_data_sample[[#This Row],[PRICEEACH]])</f>
        <v>317205</v>
      </c>
      <c r="E763" s="9">
        <f>IF(OR(sales_data_sample[[#This Row],[STATUS]]="Shipped",sales_data_sample[[#This Row],[STATUS]]="Resolved"),sales_data_sample[[#This Row],[SALES]],0)</f>
        <v>317205</v>
      </c>
      <c r="F763" s="10">
        <v>2</v>
      </c>
      <c r="G763" s="12" t="s">
        <v>290</v>
      </c>
      <c r="H763" s="1" t="s">
        <v>26</v>
      </c>
      <c r="I763">
        <v>4</v>
      </c>
      <c r="J763">
        <v>11</v>
      </c>
      <c r="K763">
        <v>2003</v>
      </c>
      <c r="L763" s="1" t="s">
        <v>711</v>
      </c>
      <c r="M763">
        <v>60</v>
      </c>
      <c r="N763" s="1" t="s">
        <v>889</v>
      </c>
      <c r="O763" s="1" t="s">
        <v>291</v>
      </c>
      <c r="P763" s="1" t="s">
        <v>292</v>
      </c>
      <c r="Q763" s="1" t="s">
        <v>293</v>
      </c>
      <c r="R763" s="1" t="s">
        <v>32</v>
      </c>
      <c r="S763" s="1" t="s">
        <v>294</v>
      </c>
      <c r="T763" s="1" t="s">
        <v>32</v>
      </c>
      <c r="U763" s="1" t="s">
        <v>295</v>
      </c>
      <c r="V763" s="1" t="s">
        <v>47</v>
      </c>
      <c r="W763" s="1" t="s">
        <v>48</v>
      </c>
      <c r="X763" s="1" t="s">
        <v>296</v>
      </c>
      <c r="Y763" s="1" t="s">
        <v>297</v>
      </c>
      <c r="Z763" s="1" t="str">
        <f>TRIM(_xlfn.CONCAT(sales_data_sample[[#This Row],[CONTACTFIRSTNAME]],", ",sales_data_sample[[#This Row],[CONTACTLASTNAME]]))</f>
        <v>Mary, Saveley</v>
      </c>
      <c r="AA763" s="1" t="s">
        <v>59</v>
      </c>
    </row>
    <row r="764" spans="1:27" x14ac:dyDescent="0.25">
      <c r="A764" s="10">
        <v>10207</v>
      </c>
      <c r="B764" s="9">
        <v>37</v>
      </c>
      <c r="C764" s="9">
        <v>6989</v>
      </c>
      <c r="D764" s="9">
        <f>PRODUCT(sales_data_sample[[#This Row],[QUANTITYORDERED]],sales_data_sample[[#This Row],[PRICEEACH]])</f>
        <v>258593</v>
      </c>
      <c r="E764" s="9">
        <f>IF(OR(sales_data_sample[[#This Row],[STATUS]]="Shipped",sales_data_sample[[#This Row],[STATUS]]="Resolved"),sales_data_sample[[#This Row],[SALES]],0)</f>
        <v>258593</v>
      </c>
      <c r="F764" s="10">
        <v>13</v>
      </c>
      <c r="G764" s="12" t="s">
        <v>571</v>
      </c>
      <c r="H764" s="1" t="s">
        <v>26</v>
      </c>
      <c r="I764">
        <v>4</v>
      </c>
      <c r="J764">
        <v>12</v>
      </c>
      <c r="K764">
        <v>2003</v>
      </c>
      <c r="L764" s="1" t="s">
        <v>711</v>
      </c>
      <c r="M764">
        <v>60</v>
      </c>
      <c r="N764" s="1" t="s">
        <v>889</v>
      </c>
      <c r="O764" s="1" t="s">
        <v>572</v>
      </c>
      <c r="P764" s="1" t="s">
        <v>573</v>
      </c>
      <c r="Q764" s="1" t="s">
        <v>574</v>
      </c>
      <c r="R764" s="1" t="s">
        <v>32</v>
      </c>
      <c r="S764" s="1" t="s">
        <v>519</v>
      </c>
      <c r="T764" s="1" t="s">
        <v>160</v>
      </c>
      <c r="U764" s="1" t="s">
        <v>520</v>
      </c>
      <c r="V764" s="1" t="s">
        <v>36</v>
      </c>
      <c r="W764" s="1" t="s">
        <v>37</v>
      </c>
      <c r="X764" s="1" t="s">
        <v>575</v>
      </c>
      <c r="Y764" s="1" t="s">
        <v>366</v>
      </c>
      <c r="Z764" s="1" t="str">
        <f>TRIM(_xlfn.CONCAT(sales_data_sample[[#This Row],[CONTACTFIRSTNAME]],", ",sales_data_sample[[#This Row],[CONTACTLASTNAME]]))</f>
        <v>Valarie, Franco</v>
      </c>
      <c r="AA764" s="1" t="s">
        <v>40</v>
      </c>
    </row>
    <row r="765" spans="1:27" x14ac:dyDescent="0.25">
      <c r="A765">
        <v>10217</v>
      </c>
      <c r="B765">
        <v>35</v>
      </c>
      <c r="C765">
        <v>6138</v>
      </c>
      <c r="D765">
        <f>PRODUCT(sales_data_sample[[#This Row],[QUANTITYORDERED]],sales_data_sample[[#This Row],[PRICEEACH]])</f>
        <v>214830</v>
      </c>
      <c r="E765" s="9">
        <f>IF(OR(sales_data_sample[[#This Row],[STATUS]]="Shipped",sales_data_sample[[#This Row],[STATUS]]="Resolved"),sales_data_sample[[#This Row],[SALES]],0)</f>
        <v>214830</v>
      </c>
      <c r="F765">
        <v>2</v>
      </c>
      <c r="G765" s="12" t="s">
        <v>576</v>
      </c>
      <c r="H765" s="1" t="s">
        <v>26</v>
      </c>
      <c r="I765">
        <v>1</v>
      </c>
      <c r="J765">
        <v>2</v>
      </c>
      <c r="K765">
        <v>2004</v>
      </c>
      <c r="L765" s="1" t="s">
        <v>711</v>
      </c>
      <c r="M765">
        <v>60</v>
      </c>
      <c r="N765" s="1" t="s">
        <v>889</v>
      </c>
      <c r="O765" s="1" t="s">
        <v>577</v>
      </c>
      <c r="P765" s="1" t="s">
        <v>578</v>
      </c>
      <c r="Q765" s="1" t="s">
        <v>579</v>
      </c>
      <c r="R765" s="1" t="s">
        <v>580</v>
      </c>
      <c r="S765" s="1" t="s">
        <v>262</v>
      </c>
      <c r="T765" s="1" t="s">
        <v>32</v>
      </c>
      <c r="U765" s="1" t="s">
        <v>581</v>
      </c>
      <c r="V765" s="1" t="s">
        <v>262</v>
      </c>
      <c r="W765" s="1" t="s">
        <v>121</v>
      </c>
      <c r="X765" s="1" t="s">
        <v>582</v>
      </c>
      <c r="Y765" s="1" t="s">
        <v>583</v>
      </c>
      <c r="Z765" s="1" t="str">
        <f>TRIM(_xlfn.CONCAT(sales_data_sample[[#This Row],[CONTACTFIRSTNAME]],", ",sales_data_sample[[#This Row],[CONTACTLASTNAME]]))</f>
        <v>Wendy, Victorino</v>
      </c>
      <c r="AA765" s="1" t="s">
        <v>40</v>
      </c>
    </row>
    <row r="766" spans="1:27" x14ac:dyDescent="0.25">
      <c r="A766" s="10">
        <v>10229</v>
      </c>
      <c r="B766" s="9">
        <v>28</v>
      </c>
      <c r="C766" s="9">
        <v>5955</v>
      </c>
      <c r="D766" s="9">
        <f>PRODUCT(sales_data_sample[[#This Row],[QUANTITYORDERED]],sales_data_sample[[#This Row],[PRICEEACH]])</f>
        <v>166740</v>
      </c>
      <c r="E766" s="9">
        <f>IF(OR(sales_data_sample[[#This Row],[STATUS]]="Shipped",sales_data_sample[[#This Row],[STATUS]]="Resolved"),sales_data_sample[[#This Row],[SALES]],0)</f>
        <v>166740</v>
      </c>
      <c r="F766" s="10">
        <v>7</v>
      </c>
      <c r="G766" s="12" t="s">
        <v>584</v>
      </c>
      <c r="H766" s="1" t="s">
        <v>26</v>
      </c>
      <c r="I766">
        <v>1</v>
      </c>
      <c r="J766">
        <v>3</v>
      </c>
      <c r="K766">
        <v>2004</v>
      </c>
      <c r="L766" s="1" t="s">
        <v>711</v>
      </c>
      <c r="M766">
        <v>60</v>
      </c>
      <c r="N766" s="1" t="s">
        <v>889</v>
      </c>
      <c r="O766" s="1" t="s">
        <v>361</v>
      </c>
      <c r="P766" s="1" t="s">
        <v>362</v>
      </c>
      <c r="Q766" s="1" t="s">
        <v>363</v>
      </c>
      <c r="R766" s="1" t="s">
        <v>32</v>
      </c>
      <c r="S766" s="1" t="s">
        <v>364</v>
      </c>
      <c r="T766" s="1" t="s">
        <v>65</v>
      </c>
      <c r="U766" s="1" t="s">
        <v>145</v>
      </c>
      <c r="V766" s="1" t="s">
        <v>36</v>
      </c>
      <c r="W766" s="1" t="s">
        <v>37</v>
      </c>
      <c r="X766" s="1" t="s">
        <v>365</v>
      </c>
      <c r="Y766" s="1" t="s">
        <v>366</v>
      </c>
      <c r="Z766" s="1" t="str">
        <f>TRIM(_xlfn.CONCAT(sales_data_sample[[#This Row],[CONTACTFIRSTNAME]],", ",sales_data_sample[[#This Row],[CONTACTLASTNAME]]))</f>
        <v>Valarie, Nelson</v>
      </c>
      <c r="AA766" s="1" t="s">
        <v>40</v>
      </c>
    </row>
    <row r="767" spans="1:27" x14ac:dyDescent="0.25">
      <c r="A767" s="10">
        <v>10246</v>
      </c>
      <c r="B767" s="9">
        <v>30</v>
      </c>
      <c r="C767" s="9">
        <v>6199</v>
      </c>
      <c r="D767" s="9">
        <f>PRODUCT(sales_data_sample[[#This Row],[QUANTITYORDERED]],sales_data_sample[[#This Row],[PRICEEACH]])</f>
        <v>185970</v>
      </c>
      <c r="E767" s="9">
        <f>IF(OR(sales_data_sample[[#This Row],[STATUS]]="Shipped",sales_data_sample[[#This Row],[STATUS]]="Resolved"),sales_data_sample[[#This Row],[SALES]],0)</f>
        <v>185970</v>
      </c>
      <c r="F767" s="10">
        <v>11</v>
      </c>
      <c r="G767" s="12" t="s">
        <v>692</v>
      </c>
      <c r="H767" s="1" t="s">
        <v>26</v>
      </c>
      <c r="I767">
        <v>2</v>
      </c>
      <c r="J767">
        <v>5</v>
      </c>
      <c r="K767">
        <v>2004</v>
      </c>
      <c r="L767" s="1" t="s">
        <v>711</v>
      </c>
      <c r="M767">
        <v>60</v>
      </c>
      <c r="N767" s="1" t="s">
        <v>889</v>
      </c>
      <c r="O767" s="1" t="s">
        <v>230</v>
      </c>
      <c r="P767" s="1" t="s">
        <v>231</v>
      </c>
      <c r="Q767" s="1" t="s">
        <v>232</v>
      </c>
      <c r="R767" s="1" t="s">
        <v>32</v>
      </c>
      <c r="S767" s="1" t="s">
        <v>233</v>
      </c>
      <c r="T767" s="1" t="s">
        <v>32</v>
      </c>
      <c r="U767" s="1" t="s">
        <v>234</v>
      </c>
      <c r="V767" s="1" t="s">
        <v>235</v>
      </c>
      <c r="W767" s="1" t="s">
        <v>48</v>
      </c>
      <c r="X767" s="1" t="s">
        <v>236</v>
      </c>
      <c r="Y767" s="1" t="s">
        <v>237</v>
      </c>
      <c r="Z767" s="1" t="str">
        <f>TRIM(_xlfn.CONCAT(sales_data_sample[[#This Row],[CONTACTFIRSTNAME]],", ",sales_data_sample[[#This Row],[CONTACTLASTNAME]]))</f>
        <v>Diego, Freyre</v>
      </c>
      <c r="AA767" s="1" t="s">
        <v>40</v>
      </c>
    </row>
    <row r="768" spans="1:27" x14ac:dyDescent="0.25">
      <c r="A768">
        <v>10259</v>
      </c>
      <c r="B768">
        <v>30</v>
      </c>
      <c r="C768">
        <v>4922</v>
      </c>
      <c r="D768">
        <f>PRODUCT(sales_data_sample[[#This Row],[QUANTITYORDERED]],sales_data_sample[[#This Row],[PRICEEACH]])</f>
        <v>147660</v>
      </c>
      <c r="E768" s="9">
        <f>IF(OR(sales_data_sample[[#This Row],[STATUS]]="Shipped",sales_data_sample[[#This Row],[STATUS]]="Resolved"),sales_data_sample[[#This Row],[SALES]],0)</f>
        <v>147660</v>
      </c>
      <c r="F768">
        <v>10</v>
      </c>
      <c r="G768" s="12" t="s">
        <v>327</v>
      </c>
      <c r="H768" s="1" t="s">
        <v>26</v>
      </c>
      <c r="I768">
        <v>2</v>
      </c>
      <c r="J768">
        <v>6</v>
      </c>
      <c r="K768">
        <v>2004</v>
      </c>
      <c r="L768" s="1" t="s">
        <v>711</v>
      </c>
      <c r="M768">
        <v>60</v>
      </c>
      <c r="N768" s="1" t="s">
        <v>889</v>
      </c>
      <c r="O768" s="1" t="s">
        <v>577</v>
      </c>
      <c r="P768" s="1" t="s">
        <v>578</v>
      </c>
      <c r="Q768" s="1" t="s">
        <v>579</v>
      </c>
      <c r="R768" s="1" t="s">
        <v>580</v>
      </c>
      <c r="S768" s="1" t="s">
        <v>262</v>
      </c>
      <c r="T768" s="1" t="s">
        <v>32</v>
      </c>
      <c r="U768" s="1" t="s">
        <v>581</v>
      </c>
      <c r="V768" s="1" t="s">
        <v>262</v>
      </c>
      <c r="W768" s="1" t="s">
        <v>121</v>
      </c>
      <c r="X768" s="1" t="s">
        <v>582</v>
      </c>
      <c r="Y768" s="1" t="s">
        <v>583</v>
      </c>
      <c r="Z768" s="1" t="str">
        <f>TRIM(_xlfn.CONCAT(sales_data_sample[[#This Row],[CONTACTFIRSTNAME]],", ",sales_data_sample[[#This Row],[CONTACTLASTNAME]]))</f>
        <v>Wendy, Victorino</v>
      </c>
      <c r="AA768" s="1" t="s">
        <v>40</v>
      </c>
    </row>
    <row r="769" spans="1:27" x14ac:dyDescent="0.25">
      <c r="A769" s="10">
        <v>10271</v>
      </c>
      <c r="B769" s="9">
        <v>25</v>
      </c>
      <c r="C769" s="9">
        <v>6928</v>
      </c>
      <c r="D769" s="9">
        <f>PRODUCT(sales_data_sample[[#This Row],[QUANTITYORDERED]],sales_data_sample[[#This Row],[PRICEEACH]])</f>
        <v>173200</v>
      </c>
      <c r="E769" s="9">
        <f>IF(OR(sales_data_sample[[#This Row],[STATUS]]="Shipped",sales_data_sample[[#This Row],[STATUS]]="Resolved"),sales_data_sample[[#This Row],[SALES]],0)</f>
        <v>173200</v>
      </c>
      <c r="F769" s="10">
        <v>11</v>
      </c>
      <c r="G769" s="12" t="s">
        <v>693</v>
      </c>
      <c r="H769" s="1" t="s">
        <v>26</v>
      </c>
      <c r="I769">
        <v>3</v>
      </c>
      <c r="J769">
        <v>7</v>
      </c>
      <c r="K769">
        <v>2004</v>
      </c>
      <c r="L769" s="1" t="s">
        <v>711</v>
      </c>
      <c r="M769">
        <v>60</v>
      </c>
      <c r="N769" s="1" t="s">
        <v>889</v>
      </c>
      <c r="O769" s="1" t="s">
        <v>361</v>
      </c>
      <c r="P769" s="1" t="s">
        <v>362</v>
      </c>
      <c r="Q769" s="1" t="s">
        <v>363</v>
      </c>
      <c r="R769" s="1" t="s">
        <v>32</v>
      </c>
      <c r="S769" s="1" t="s">
        <v>364</v>
      </c>
      <c r="T769" s="1" t="s">
        <v>65</v>
      </c>
      <c r="U769" s="1" t="s">
        <v>145</v>
      </c>
      <c r="V769" s="1" t="s">
        <v>36</v>
      </c>
      <c r="W769" s="1" t="s">
        <v>37</v>
      </c>
      <c r="X769" s="1" t="s">
        <v>365</v>
      </c>
      <c r="Y769" s="1" t="s">
        <v>366</v>
      </c>
      <c r="Z769" s="1" t="str">
        <f>TRIM(_xlfn.CONCAT(sales_data_sample[[#This Row],[CONTACTFIRSTNAME]],", ",sales_data_sample[[#This Row],[CONTACTLASTNAME]]))</f>
        <v>Valarie, Nelson</v>
      </c>
      <c r="AA769" s="1" t="s">
        <v>40</v>
      </c>
    </row>
    <row r="770" spans="1:27" x14ac:dyDescent="0.25">
      <c r="A770" s="10">
        <v>10281</v>
      </c>
      <c r="B770" s="9">
        <v>29</v>
      </c>
      <c r="C770" s="9">
        <v>5773</v>
      </c>
      <c r="D770" s="9">
        <f>PRODUCT(sales_data_sample[[#This Row],[QUANTITYORDERED]],sales_data_sample[[#This Row],[PRICEEACH]])</f>
        <v>167417</v>
      </c>
      <c r="E770" s="9">
        <f>IF(OR(sales_data_sample[[#This Row],[STATUS]]="Shipped",sales_data_sample[[#This Row],[STATUS]]="Resolved"),sales_data_sample[[#This Row],[SALES]],0)</f>
        <v>167417</v>
      </c>
      <c r="F770" s="10">
        <v>7</v>
      </c>
      <c r="G770" s="12" t="s">
        <v>585</v>
      </c>
      <c r="H770" s="1" t="s">
        <v>26</v>
      </c>
      <c r="I770">
        <v>3</v>
      </c>
      <c r="J770">
        <v>8</v>
      </c>
      <c r="K770">
        <v>2004</v>
      </c>
      <c r="L770" s="1" t="s">
        <v>711</v>
      </c>
      <c r="M770">
        <v>60</v>
      </c>
      <c r="N770" s="1" t="s">
        <v>889</v>
      </c>
      <c r="O770" s="1" t="s">
        <v>182</v>
      </c>
      <c r="P770" s="1" t="s">
        <v>183</v>
      </c>
      <c r="Q770" s="1" t="s">
        <v>184</v>
      </c>
      <c r="R770" s="1" t="s">
        <v>32</v>
      </c>
      <c r="S770" s="1" t="s">
        <v>185</v>
      </c>
      <c r="T770" s="1" t="s">
        <v>186</v>
      </c>
      <c r="U770" s="1" t="s">
        <v>187</v>
      </c>
      <c r="V770" s="1" t="s">
        <v>36</v>
      </c>
      <c r="W770" s="1" t="s">
        <v>37</v>
      </c>
      <c r="X770" s="1" t="s">
        <v>38</v>
      </c>
      <c r="Y770" s="1" t="s">
        <v>188</v>
      </c>
      <c r="Z770" s="1" t="str">
        <f>TRIM(_xlfn.CONCAT(sales_data_sample[[#This Row],[CONTACTFIRSTNAME]],", ",sales_data_sample[[#This Row],[CONTACTLASTNAME]]))</f>
        <v>Kyung, Yu</v>
      </c>
      <c r="AA770" s="1" t="s">
        <v>40</v>
      </c>
    </row>
    <row r="771" spans="1:27" x14ac:dyDescent="0.25">
      <c r="A771" s="10">
        <v>10291</v>
      </c>
      <c r="B771" s="9">
        <v>26</v>
      </c>
      <c r="C771" s="9">
        <v>5773</v>
      </c>
      <c r="D771" s="9">
        <f>PRODUCT(sales_data_sample[[#This Row],[QUANTITYORDERED]],sales_data_sample[[#This Row],[PRICEEACH]])</f>
        <v>150098</v>
      </c>
      <c r="E771" s="9">
        <f>IF(OR(sales_data_sample[[#This Row],[STATUS]]="Shipped",sales_data_sample[[#This Row],[STATUS]]="Resolved"),sales_data_sample[[#This Row],[SALES]],0)</f>
        <v>150098</v>
      </c>
      <c r="F771" s="10">
        <v>2</v>
      </c>
      <c r="G771" s="12" t="s">
        <v>346</v>
      </c>
      <c r="H771" s="1" t="s">
        <v>26</v>
      </c>
      <c r="I771">
        <v>3</v>
      </c>
      <c r="J771">
        <v>9</v>
      </c>
      <c r="K771">
        <v>2004</v>
      </c>
      <c r="L771" s="1" t="s">
        <v>711</v>
      </c>
      <c r="M771">
        <v>60</v>
      </c>
      <c r="N771" s="1" t="s">
        <v>889</v>
      </c>
      <c r="O771" s="1" t="s">
        <v>347</v>
      </c>
      <c r="P771" s="1" t="s">
        <v>348</v>
      </c>
      <c r="Q771" s="1" t="s">
        <v>349</v>
      </c>
      <c r="R771" s="1" t="s">
        <v>32</v>
      </c>
      <c r="S771" s="1" t="s">
        <v>350</v>
      </c>
      <c r="T771" s="1" t="s">
        <v>32</v>
      </c>
      <c r="U771" s="1" t="s">
        <v>351</v>
      </c>
      <c r="V771" s="1" t="s">
        <v>247</v>
      </c>
      <c r="W771" s="1" t="s">
        <v>48</v>
      </c>
      <c r="X771" s="1" t="s">
        <v>352</v>
      </c>
      <c r="Y771" s="1" t="s">
        <v>272</v>
      </c>
      <c r="Z771" s="1" t="str">
        <f>TRIM(_xlfn.CONCAT(sales_data_sample[[#This Row],[CONTACTFIRSTNAME]],", ",sales_data_sample[[#This Row],[CONTACTLASTNAME]]))</f>
        <v>Maria, Larsson</v>
      </c>
      <c r="AA771" s="1" t="s">
        <v>40</v>
      </c>
    </row>
    <row r="772" spans="1:27" x14ac:dyDescent="0.25">
      <c r="A772" s="10">
        <v>10305</v>
      </c>
      <c r="B772" s="9">
        <v>41</v>
      </c>
      <c r="C772" s="9">
        <v>5348</v>
      </c>
      <c r="D772" s="9">
        <f>PRODUCT(sales_data_sample[[#This Row],[QUANTITYORDERED]],sales_data_sample[[#This Row],[PRICEEACH]])</f>
        <v>219268</v>
      </c>
      <c r="E772" s="9">
        <f>IF(OR(sales_data_sample[[#This Row],[STATUS]]="Shipped",sales_data_sample[[#This Row],[STATUS]]="Resolved"),sales_data_sample[[#This Row],[SALES]],0)</f>
        <v>219268</v>
      </c>
      <c r="F772" s="10">
        <v>11</v>
      </c>
      <c r="G772" s="12" t="s">
        <v>586</v>
      </c>
      <c r="H772" s="1" t="s">
        <v>26</v>
      </c>
      <c r="I772">
        <v>4</v>
      </c>
      <c r="J772">
        <v>10</v>
      </c>
      <c r="K772">
        <v>2004</v>
      </c>
      <c r="L772" s="1" t="s">
        <v>711</v>
      </c>
      <c r="M772">
        <v>60</v>
      </c>
      <c r="N772" s="1" t="s">
        <v>889</v>
      </c>
      <c r="O772" s="1" t="s">
        <v>156</v>
      </c>
      <c r="P772" s="1" t="s">
        <v>157</v>
      </c>
      <c r="Q772" s="1" t="s">
        <v>158</v>
      </c>
      <c r="R772" s="1" t="s">
        <v>32</v>
      </c>
      <c r="S772" s="1" t="s">
        <v>159</v>
      </c>
      <c r="T772" s="1" t="s">
        <v>160</v>
      </c>
      <c r="U772" s="1" t="s">
        <v>161</v>
      </c>
      <c r="V772" s="1" t="s">
        <v>36</v>
      </c>
      <c r="W772" s="1" t="s">
        <v>37</v>
      </c>
      <c r="X772" s="1" t="s">
        <v>162</v>
      </c>
      <c r="Y772" s="1" t="s">
        <v>163</v>
      </c>
      <c r="Z772" s="1" t="str">
        <f>TRIM(_xlfn.CONCAT(sales_data_sample[[#This Row],[CONTACTFIRSTNAME]],", ",sales_data_sample[[#This Row],[CONTACTLASTNAME]]))</f>
        <v>Marta, Hernandez</v>
      </c>
      <c r="AA772" s="1" t="s">
        <v>40</v>
      </c>
    </row>
    <row r="773" spans="1:27" x14ac:dyDescent="0.25">
      <c r="A773" s="10">
        <v>10313</v>
      </c>
      <c r="B773" s="9">
        <v>34</v>
      </c>
      <c r="C773" s="9">
        <v>5287</v>
      </c>
      <c r="D773" s="9">
        <f>PRODUCT(sales_data_sample[[#This Row],[QUANTITYORDERED]],sales_data_sample[[#This Row],[PRICEEACH]])</f>
        <v>179758</v>
      </c>
      <c r="E773" s="9">
        <f>IF(OR(sales_data_sample[[#This Row],[STATUS]]="Shipped",sales_data_sample[[#This Row],[STATUS]]="Resolved"),sales_data_sample[[#This Row],[SALES]],0)</f>
        <v>179758</v>
      </c>
      <c r="F773" s="10">
        <v>5</v>
      </c>
      <c r="G773" s="12" t="s">
        <v>587</v>
      </c>
      <c r="H773" s="1" t="s">
        <v>26</v>
      </c>
      <c r="I773">
        <v>4</v>
      </c>
      <c r="J773">
        <v>10</v>
      </c>
      <c r="K773">
        <v>2004</v>
      </c>
      <c r="L773" s="1" t="s">
        <v>711</v>
      </c>
      <c r="M773">
        <v>60</v>
      </c>
      <c r="N773" s="1" t="s">
        <v>889</v>
      </c>
      <c r="O773" s="1" t="s">
        <v>299</v>
      </c>
      <c r="P773" s="1" t="s">
        <v>300</v>
      </c>
      <c r="Q773" s="1" t="s">
        <v>301</v>
      </c>
      <c r="R773" s="1" t="s">
        <v>32</v>
      </c>
      <c r="S773" s="1" t="s">
        <v>302</v>
      </c>
      <c r="T773" s="1" t="s">
        <v>303</v>
      </c>
      <c r="U773" s="1" t="s">
        <v>304</v>
      </c>
      <c r="V773" s="1" t="s">
        <v>305</v>
      </c>
      <c r="W773" s="1" t="s">
        <v>37</v>
      </c>
      <c r="X773" s="1" t="s">
        <v>306</v>
      </c>
      <c r="Y773" s="1" t="s">
        <v>307</v>
      </c>
      <c r="Z773" s="1" t="str">
        <f>TRIM(_xlfn.CONCAT(sales_data_sample[[#This Row],[CONTACTFIRSTNAME]],", ",sales_data_sample[[#This Row],[CONTACTLASTNAME]]))</f>
        <v>Yoshi, Tannamuri</v>
      </c>
      <c r="AA773" s="1" t="s">
        <v>40</v>
      </c>
    </row>
    <row r="774" spans="1:27" x14ac:dyDescent="0.25">
      <c r="A774" s="10">
        <v>10322</v>
      </c>
      <c r="B774" s="9">
        <v>35</v>
      </c>
      <c r="C774" s="9">
        <v>6121</v>
      </c>
      <c r="D774" s="9">
        <f>PRODUCT(sales_data_sample[[#This Row],[QUANTITYORDERED]],sales_data_sample[[#This Row],[PRICEEACH]])</f>
        <v>214235</v>
      </c>
      <c r="E774" s="9">
        <f>IF(OR(sales_data_sample[[#This Row],[STATUS]]="Shipped",sales_data_sample[[#This Row],[STATUS]]="Resolved"),sales_data_sample[[#This Row],[SALES]],0)</f>
        <v>214235</v>
      </c>
      <c r="F774" s="10">
        <v>11</v>
      </c>
      <c r="G774" s="12" t="s">
        <v>367</v>
      </c>
      <c r="H774" s="1" t="s">
        <v>26</v>
      </c>
      <c r="I774">
        <v>4</v>
      </c>
      <c r="J774">
        <v>11</v>
      </c>
      <c r="K774">
        <v>2004</v>
      </c>
      <c r="L774" s="1" t="s">
        <v>711</v>
      </c>
      <c r="M774">
        <v>60</v>
      </c>
      <c r="N774" s="1" t="s">
        <v>889</v>
      </c>
      <c r="O774" s="1" t="s">
        <v>368</v>
      </c>
      <c r="P774" s="1" t="s">
        <v>369</v>
      </c>
      <c r="Q774" s="1" t="s">
        <v>370</v>
      </c>
      <c r="R774" s="1" t="s">
        <v>32</v>
      </c>
      <c r="S774" s="1" t="s">
        <v>371</v>
      </c>
      <c r="T774" s="1" t="s">
        <v>372</v>
      </c>
      <c r="U774" s="1" t="s">
        <v>373</v>
      </c>
      <c r="V774" s="1" t="s">
        <v>36</v>
      </c>
      <c r="W774" s="1" t="s">
        <v>37</v>
      </c>
      <c r="X774" s="1" t="s">
        <v>67</v>
      </c>
      <c r="Y774" s="1" t="s">
        <v>366</v>
      </c>
      <c r="Z774" s="1" t="str">
        <f>TRIM(_xlfn.CONCAT(sales_data_sample[[#This Row],[CONTACTFIRSTNAME]],", ",sales_data_sample[[#This Row],[CONTACTLASTNAME]]))</f>
        <v>Valarie, Young</v>
      </c>
      <c r="AA774" s="1" t="s">
        <v>40</v>
      </c>
    </row>
    <row r="775" spans="1:27" x14ac:dyDescent="0.25">
      <c r="A775" s="10">
        <v>10334</v>
      </c>
      <c r="B775" s="9">
        <v>34</v>
      </c>
      <c r="C775" s="9">
        <v>6138</v>
      </c>
      <c r="D775" s="9">
        <f>PRODUCT(sales_data_sample[[#This Row],[QUANTITYORDERED]],sales_data_sample[[#This Row],[PRICEEACH]])</f>
        <v>208692</v>
      </c>
      <c r="E775" s="9">
        <f>IF(OR(sales_data_sample[[#This Row],[STATUS]]="Shipped",sales_data_sample[[#This Row],[STATUS]]="Resolved"),sales_data_sample[[#This Row],[SALES]],0)</f>
        <v>0</v>
      </c>
      <c r="F775" s="10">
        <v>1</v>
      </c>
      <c r="G775" s="12" t="s">
        <v>588</v>
      </c>
      <c r="H775" s="1" t="s">
        <v>553</v>
      </c>
      <c r="I775">
        <v>4</v>
      </c>
      <c r="J775">
        <v>11</v>
      </c>
      <c r="K775">
        <v>2004</v>
      </c>
      <c r="L775" s="1" t="s">
        <v>711</v>
      </c>
      <c r="M775">
        <v>60</v>
      </c>
      <c r="N775" s="1" t="s">
        <v>889</v>
      </c>
      <c r="O775" s="1" t="s">
        <v>242</v>
      </c>
      <c r="P775" s="1" t="s">
        <v>243</v>
      </c>
      <c r="Q775" s="1" t="s">
        <v>244</v>
      </c>
      <c r="R775" s="1" t="s">
        <v>32</v>
      </c>
      <c r="S775" s="1" t="s">
        <v>245</v>
      </c>
      <c r="T775" s="1" t="s">
        <v>32</v>
      </c>
      <c r="U775" s="1" t="s">
        <v>246</v>
      </c>
      <c r="V775" s="1" t="s">
        <v>247</v>
      </c>
      <c r="W775" s="1" t="s">
        <v>48</v>
      </c>
      <c r="X775" s="1" t="s">
        <v>248</v>
      </c>
      <c r="Y775" s="1" t="s">
        <v>249</v>
      </c>
      <c r="Z775" s="1" t="str">
        <f>TRIM(_xlfn.CONCAT(sales_data_sample[[#This Row],[CONTACTFIRSTNAME]],", ",sales_data_sample[[#This Row],[CONTACTLASTNAME]]))</f>
        <v>Christina, Berglund</v>
      </c>
      <c r="AA775" s="1" t="s">
        <v>40</v>
      </c>
    </row>
    <row r="776" spans="1:27" x14ac:dyDescent="0.25">
      <c r="A776">
        <v>10347</v>
      </c>
      <c r="B776">
        <v>50</v>
      </c>
      <c r="C776">
        <v>100</v>
      </c>
      <c r="D776">
        <f>PRODUCT(sales_data_sample[[#This Row],[QUANTITYORDERED]],sales_data_sample[[#This Row],[PRICEEACH]])</f>
        <v>5000</v>
      </c>
      <c r="E776" s="9">
        <f>IF(OR(sales_data_sample[[#This Row],[STATUS]]="Shipped",sales_data_sample[[#This Row],[STATUS]]="Resolved"),sales_data_sample[[#This Row],[SALES]],0)</f>
        <v>5000</v>
      </c>
      <c r="F776">
        <v>8</v>
      </c>
      <c r="G776" s="12" t="s">
        <v>375</v>
      </c>
      <c r="H776" s="1" t="s">
        <v>26</v>
      </c>
      <c r="I776">
        <v>4</v>
      </c>
      <c r="J776">
        <v>11</v>
      </c>
      <c r="K776">
        <v>2004</v>
      </c>
      <c r="L776" s="1" t="s">
        <v>711</v>
      </c>
      <c r="M776">
        <v>60</v>
      </c>
      <c r="N776" s="1" t="s">
        <v>889</v>
      </c>
      <c r="O776" s="1" t="s">
        <v>113</v>
      </c>
      <c r="P776" s="1" t="s">
        <v>114</v>
      </c>
      <c r="Q776" s="1" t="s">
        <v>115</v>
      </c>
      <c r="R776" s="1" t="s">
        <v>116</v>
      </c>
      <c r="S776" s="1" t="s">
        <v>117</v>
      </c>
      <c r="T776" s="1" t="s">
        <v>118</v>
      </c>
      <c r="U776" s="1" t="s">
        <v>119</v>
      </c>
      <c r="V776" s="1" t="s">
        <v>120</v>
      </c>
      <c r="W776" s="1" t="s">
        <v>121</v>
      </c>
      <c r="X776" s="1" t="s">
        <v>122</v>
      </c>
      <c r="Y776" s="1" t="s">
        <v>123</v>
      </c>
      <c r="Z776" s="1" t="str">
        <f>TRIM(_xlfn.CONCAT(sales_data_sample[[#This Row],[CONTACTFIRSTNAME]],", ",sales_data_sample[[#This Row],[CONTACTLASTNAME]]))</f>
        <v>Peter, Ferguson</v>
      </c>
      <c r="AA776" s="1" t="s">
        <v>59</v>
      </c>
    </row>
    <row r="777" spans="1:27" x14ac:dyDescent="0.25">
      <c r="A777" s="10">
        <v>10357</v>
      </c>
      <c r="B777" s="9">
        <v>41</v>
      </c>
      <c r="C777" s="9">
        <v>6199</v>
      </c>
      <c r="D777" s="9">
        <f>PRODUCT(sales_data_sample[[#This Row],[QUANTITYORDERED]],sales_data_sample[[#This Row],[PRICEEACH]])</f>
        <v>254159</v>
      </c>
      <c r="E777" s="9">
        <f>IF(OR(sales_data_sample[[#This Row],[STATUS]]="Shipped",sales_data_sample[[#This Row],[STATUS]]="Resolved"),sales_data_sample[[#This Row],[SALES]],0)</f>
        <v>254159</v>
      </c>
      <c r="F777" s="10">
        <v>7</v>
      </c>
      <c r="G777" s="12" t="s">
        <v>376</v>
      </c>
      <c r="H777" s="1" t="s">
        <v>26</v>
      </c>
      <c r="I777">
        <v>4</v>
      </c>
      <c r="J777">
        <v>12</v>
      </c>
      <c r="K777">
        <v>2004</v>
      </c>
      <c r="L777" s="1" t="s">
        <v>711</v>
      </c>
      <c r="M777">
        <v>60</v>
      </c>
      <c r="N777" s="1" t="s">
        <v>889</v>
      </c>
      <c r="O777" s="1" t="s">
        <v>361</v>
      </c>
      <c r="P777" s="1" t="s">
        <v>362</v>
      </c>
      <c r="Q777" s="1" t="s">
        <v>363</v>
      </c>
      <c r="R777" s="1" t="s">
        <v>32</v>
      </c>
      <c r="S777" s="1" t="s">
        <v>364</v>
      </c>
      <c r="T777" s="1" t="s">
        <v>65</v>
      </c>
      <c r="U777" s="1" t="s">
        <v>145</v>
      </c>
      <c r="V777" s="1" t="s">
        <v>36</v>
      </c>
      <c r="W777" s="1" t="s">
        <v>37</v>
      </c>
      <c r="X777" s="1" t="s">
        <v>365</v>
      </c>
      <c r="Y777" s="1" t="s">
        <v>366</v>
      </c>
      <c r="Z777" s="1" t="str">
        <f>TRIM(_xlfn.CONCAT(sales_data_sample[[#This Row],[CONTACTFIRSTNAME]],", ",sales_data_sample[[#This Row],[CONTACTLASTNAME]]))</f>
        <v>Valarie, Nelson</v>
      </c>
      <c r="AA777" s="1" t="s">
        <v>40</v>
      </c>
    </row>
    <row r="778" spans="1:27" x14ac:dyDescent="0.25">
      <c r="A778">
        <v>10370</v>
      </c>
      <c r="B778">
        <v>22</v>
      </c>
      <c r="C778">
        <v>9686</v>
      </c>
      <c r="D778">
        <f>PRODUCT(sales_data_sample[[#This Row],[QUANTITYORDERED]],sales_data_sample[[#This Row],[PRICEEACH]])</f>
        <v>213092</v>
      </c>
      <c r="E778" s="9">
        <f>IF(OR(sales_data_sample[[#This Row],[STATUS]]="Shipped",sales_data_sample[[#This Row],[STATUS]]="Resolved"),sales_data_sample[[#This Row],[SALES]],0)</f>
        <v>213092</v>
      </c>
      <c r="F778">
        <v>7</v>
      </c>
      <c r="G778" s="12" t="s">
        <v>377</v>
      </c>
      <c r="H778" s="1" t="s">
        <v>26</v>
      </c>
      <c r="I778">
        <v>1</v>
      </c>
      <c r="J778">
        <v>1</v>
      </c>
      <c r="K778">
        <v>2005</v>
      </c>
      <c r="L778" s="1" t="s">
        <v>711</v>
      </c>
      <c r="M778">
        <v>60</v>
      </c>
      <c r="N778" s="1" t="s">
        <v>889</v>
      </c>
      <c r="O778" s="1" t="s">
        <v>385</v>
      </c>
      <c r="P778" s="1" t="s">
        <v>386</v>
      </c>
      <c r="Q778" s="1" t="s">
        <v>387</v>
      </c>
      <c r="R778" s="1" t="s">
        <v>388</v>
      </c>
      <c r="S778" s="1" t="s">
        <v>389</v>
      </c>
      <c r="T778" s="1" t="s">
        <v>206</v>
      </c>
      <c r="U778" s="1" t="s">
        <v>390</v>
      </c>
      <c r="V778" s="1" t="s">
        <v>120</v>
      </c>
      <c r="W778" s="1" t="s">
        <v>121</v>
      </c>
      <c r="X778" s="1" t="s">
        <v>391</v>
      </c>
      <c r="Y778" s="1" t="s">
        <v>392</v>
      </c>
      <c r="Z778" s="1" t="str">
        <f>TRIM(_xlfn.CONCAT(sales_data_sample[[#This Row],[CONTACTFIRSTNAME]],", ",sales_data_sample[[#This Row],[CONTACTLASTNAME]]))</f>
        <v>Anna, O'Hara</v>
      </c>
      <c r="AA778" s="1" t="s">
        <v>40</v>
      </c>
    </row>
    <row r="779" spans="1:27" x14ac:dyDescent="0.25">
      <c r="A779" s="10">
        <v>10381</v>
      </c>
      <c r="B779" s="9">
        <v>35</v>
      </c>
      <c r="C779" s="9">
        <v>4862</v>
      </c>
      <c r="D779" s="9">
        <f>PRODUCT(sales_data_sample[[#This Row],[QUANTITYORDERED]],sales_data_sample[[#This Row],[PRICEEACH]])</f>
        <v>170170</v>
      </c>
      <c r="E779" s="9">
        <f>IF(OR(sales_data_sample[[#This Row],[STATUS]]="Shipped",sales_data_sample[[#This Row],[STATUS]]="Resolved"),sales_data_sample[[#This Row],[SALES]],0)</f>
        <v>170170</v>
      </c>
      <c r="F779" s="10">
        <v>7</v>
      </c>
      <c r="G779" s="12" t="s">
        <v>383</v>
      </c>
      <c r="H779" s="1" t="s">
        <v>26</v>
      </c>
      <c r="I779">
        <v>1</v>
      </c>
      <c r="J779">
        <v>2</v>
      </c>
      <c r="K779">
        <v>2005</v>
      </c>
      <c r="L779" s="1" t="s">
        <v>711</v>
      </c>
      <c r="M779">
        <v>60</v>
      </c>
      <c r="N779" s="1" t="s">
        <v>889</v>
      </c>
      <c r="O779" s="1" t="s">
        <v>70</v>
      </c>
      <c r="P779" s="1" t="s">
        <v>71</v>
      </c>
      <c r="Q779" s="1" t="s">
        <v>72</v>
      </c>
      <c r="R779" s="1" t="s">
        <v>32</v>
      </c>
      <c r="S779" s="1" t="s">
        <v>73</v>
      </c>
      <c r="T779" s="1" t="s">
        <v>65</v>
      </c>
      <c r="U779" s="1" t="s">
        <v>32</v>
      </c>
      <c r="V779" s="1" t="s">
        <v>36</v>
      </c>
      <c r="W779" s="1" t="s">
        <v>37</v>
      </c>
      <c r="X779" s="1" t="s">
        <v>74</v>
      </c>
      <c r="Y779" s="1" t="s">
        <v>68</v>
      </c>
      <c r="Z779" s="1" t="str">
        <f>TRIM(_xlfn.CONCAT(sales_data_sample[[#This Row],[CONTACTFIRSTNAME]],", ",sales_data_sample[[#This Row],[CONTACTLASTNAME]]))</f>
        <v>Julie, Brown</v>
      </c>
      <c r="AA779" s="1" t="s">
        <v>40</v>
      </c>
    </row>
    <row r="780" spans="1:27" x14ac:dyDescent="0.25">
      <c r="A780">
        <v>10391</v>
      </c>
      <c r="B780">
        <v>44</v>
      </c>
      <c r="C780">
        <v>385</v>
      </c>
      <c r="D780">
        <f>PRODUCT(sales_data_sample[[#This Row],[QUANTITYORDERED]],sales_data_sample[[#This Row],[PRICEEACH]])</f>
        <v>16940</v>
      </c>
      <c r="E780" s="9">
        <f>IF(OR(sales_data_sample[[#This Row],[STATUS]]="Shipped",sales_data_sample[[#This Row],[STATUS]]="Resolved"),sales_data_sample[[#This Row],[SALES]],0)</f>
        <v>16940</v>
      </c>
      <c r="F780">
        <v>5</v>
      </c>
      <c r="G780" s="12" t="s">
        <v>384</v>
      </c>
      <c r="H780" s="1" t="s">
        <v>26</v>
      </c>
      <c r="I780">
        <v>1</v>
      </c>
      <c r="J780">
        <v>3</v>
      </c>
      <c r="K780">
        <v>2005</v>
      </c>
      <c r="L780" s="1" t="s">
        <v>711</v>
      </c>
      <c r="M780">
        <v>60</v>
      </c>
      <c r="N780" s="1" t="s">
        <v>889</v>
      </c>
      <c r="O780" s="1" t="s">
        <v>385</v>
      </c>
      <c r="P780" s="1" t="s">
        <v>386</v>
      </c>
      <c r="Q780" s="1" t="s">
        <v>387</v>
      </c>
      <c r="R780" s="1" t="s">
        <v>388</v>
      </c>
      <c r="S780" s="1" t="s">
        <v>389</v>
      </c>
      <c r="T780" s="1" t="s">
        <v>206</v>
      </c>
      <c r="U780" s="1" t="s">
        <v>390</v>
      </c>
      <c r="V780" s="1" t="s">
        <v>120</v>
      </c>
      <c r="W780" s="1" t="s">
        <v>121</v>
      </c>
      <c r="X780" s="1" t="s">
        <v>391</v>
      </c>
      <c r="Y780" s="1" t="s">
        <v>392</v>
      </c>
      <c r="Z780" s="1" t="str">
        <f>TRIM(_xlfn.CONCAT(sales_data_sample[[#This Row],[CONTACTFIRSTNAME]],", ",sales_data_sample[[#This Row],[CONTACTLASTNAME]]))</f>
        <v>Anna, O'Hara</v>
      </c>
      <c r="AA780" s="1" t="s">
        <v>40</v>
      </c>
    </row>
    <row r="781" spans="1:27" x14ac:dyDescent="0.25">
      <c r="A781" s="10">
        <v>10412</v>
      </c>
      <c r="B781" s="9">
        <v>47</v>
      </c>
      <c r="C781" s="9">
        <v>6199</v>
      </c>
      <c r="D781" s="9">
        <f>PRODUCT(sales_data_sample[[#This Row],[QUANTITYORDERED]],sales_data_sample[[#This Row],[PRICEEACH]])</f>
        <v>291353</v>
      </c>
      <c r="E781" s="9">
        <f>IF(OR(sales_data_sample[[#This Row],[STATUS]]="Shipped",sales_data_sample[[#This Row],[STATUS]]="Resolved"),sales_data_sample[[#This Row],[SALES]],0)</f>
        <v>291353</v>
      </c>
      <c r="F781" s="10">
        <v>11</v>
      </c>
      <c r="G781" s="12" t="s">
        <v>758</v>
      </c>
      <c r="H781" s="1" t="s">
        <v>26</v>
      </c>
      <c r="I781">
        <v>2</v>
      </c>
      <c r="J781">
        <v>5</v>
      </c>
      <c r="K781">
        <v>2005</v>
      </c>
      <c r="L781" s="1" t="s">
        <v>711</v>
      </c>
      <c r="M781">
        <v>60</v>
      </c>
      <c r="N781" s="1" t="s">
        <v>889</v>
      </c>
      <c r="O781" s="1" t="s">
        <v>230</v>
      </c>
      <c r="P781" s="1" t="s">
        <v>231</v>
      </c>
      <c r="Q781" s="1" t="s">
        <v>232</v>
      </c>
      <c r="R781" s="1" t="s">
        <v>32</v>
      </c>
      <c r="S781" s="1" t="s">
        <v>233</v>
      </c>
      <c r="T781" s="1" t="s">
        <v>32</v>
      </c>
      <c r="U781" s="1" t="s">
        <v>234</v>
      </c>
      <c r="V781" s="1" t="s">
        <v>235</v>
      </c>
      <c r="W781" s="1" t="s">
        <v>48</v>
      </c>
      <c r="X781" s="1" t="s">
        <v>236</v>
      </c>
      <c r="Y781" s="1" t="s">
        <v>237</v>
      </c>
      <c r="Z781" s="1" t="str">
        <f>TRIM(_xlfn.CONCAT(sales_data_sample[[#This Row],[CONTACTFIRSTNAME]],", ",sales_data_sample[[#This Row],[CONTACTLASTNAME]]))</f>
        <v>Diego, Freyre</v>
      </c>
      <c r="AA781" s="1" t="s">
        <v>40</v>
      </c>
    </row>
    <row r="782" spans="1:27" x14ac:dyDescent="0.25">
      <c r="A782" s="10">
        <v>10425</v>
      </c>
      <c r="B782" s="9">
        <v>19</v>
      </c>
      <c r="C782" s="9">
        <v>4922</v>
      </c>
      <c r="D782" s="9">
        <f>PRODUCT(sales_data_sample[[#This Row],[QUANTITYORDERED]],sales_data_sample[[#This Row],[PRICEEACH]])</f>
        <v>93518</v>
      </c>
      <c r="E782" s="9">
        <f>IF(OR(sales_data_sample[[#This Row],[STATUS]]="Shipped",sales_data_sample[[#This Row],[STATUS]]="Resolved"),sales_data_sample[[#This Row],[SALES]],0)</f>
        <v>0</v>
      </c>
      <c r="F782" s="10">
        <v>10</v>
      </c>
      <c r="G782" s="12" t="s">
        <v>402</v>
      </c>
      <c r="H782" s="1" t="s">
        <v>403</v>
      </c>
      <c r="I782">
        <v>2</v>
      </c>
      <c r="J782">
        <v>5</v>
      </c>
      <c r="K782">
        <v>2005</v>
      </c>
      <c r="L782" s="1" t="s">
        <v>711</v>
      </c>
      <c r="M782">
        <v>60</v>
      </c>
      <c r="N782" s="1" t="s">
        <v>889</v>
      </c>
      <c r="O782" s="1" t="s">
        <v>148</v>
      </c>
      <c r="P782" s="1" t="s">
        <v>149</v>
      </c>
      <c r="Q782" s="1" t="s">
        <v>150</v>
      </c>
      <c r="R782" s="1" t="s">
        <v>32</v>
      </c>
      <c r="S782" s="1" t="s">
        <v>151</v>
      </c>
      <c r="T782" s="1" t="s">
        <v>32</v>
      </c>
      <c r="U782" s="1" t="s">
        <v>152</v>
      </c>
      <c r="V782" s="1" t="s">
        <v>47</v>
      </c>
      <c r="W782" s="1" t="s">
        <v>48</v>
      </c>
      <c r="X782" s="1" t="s">
        <v>153</v>
      </c>
      <c r="Y782" s="1" t="s">
        <v>154</v>
      </c>
      <c r="Z782" s="1" t="str">
        <f>TRIM(_xlfn.CONCAT(sales_data_sample[[#This Row],[CONTACTFIRSTNAME]],", ",sales_data_sample[[#This Row],[CONTACTLASTNAME]]))</f>
        <v>Janine, Labrune</v>
      </c>
      <c r="AA782" s="1" t="s">
        <v>40</v>
      </c>
    </row>
    <row r="783" spans="1:27" x14ac:dyDescent="0.25">
      <c r="A783" s="10">
        <v>10106</v>
      </c>
      <c r="B783" s="9">
        <v>34</v>
      </c>
      <c r="C783" s="9">
        <v>9039</v>
      </c>
      <c r="D783" s="9">
        <f>PRODUCT(sales_data_sample[[#This Row],[QUANTITYORDERED]],sales_data_sample[[#This Row],[PRICEEACH]])</f>
        <v>307326</v>
      </c>
      <c r="E783" s="9">
        <f>IF(OR(sales_data_sample[[#This Row],[STATUS]]="Shipped",sales_data_sample[[#This Row],[STATUS]]="Resolved"),sales_data_sample[[#This Row],[SALES]],0)</f>
        <v>307326</v>
      </c>
      <c r="F783" s="10">
        <v>2</v>
      </c>
      <c r="G783" s="12" t="s">
        <v>838</v>
      </c>
      <c r="H783" s="1" t="s">
        <v>26</v>
      </c>
      <c r="I783">
        <v>1</v>
      </c>
      <c r="J783">
        <v>2</v>
      </c>
      <c r="K783">
        <v>2003</v>
      </c>
      <c r="L783" s="1" t="s">
        <v>839</v>
      </c>
      <c r="M783">
        <v>84</v>
      </c>
      <c r="N783" s="1" t="s">
        <v>890</v>
      </c>
      <c r="O783" s="1" t="s">
        <v>806</v>
      </c>
      <c r="P783" s="1" t="s">
        <v>807</v>
      </c>
      <c r="Q783" s="1" t="s">
        <v>808</v>
      </c>
      <c r="R783" s="1" t="s">
        <v>32</v>
      </c>
      <c r="S783" s="1" t="s">
        <v>809</v>
      </c>
      <c r="T783" s="1" t="s">
        <v>32</v>
      </c>
      <c r="U783" s="1" t="s">
        <v>810</v>
      </c>
      <c r="V783" s="1" t="s">
        <v>343</v>
      </c>
      <c r="W783" s="1" t="s">
        <v>48</v>
      </c>
      <c r="X783" s="1" t="s">
        <v>811</v>
      </c>
      <c r="Y783" s="1" t="s">
        <v>812</v>
      </c>
      <c r="Z783" s="1" t="str">
        <f>TRIM(_xlfn.CONCAT(sales_data_sample[[#This Row],[CONTACTFIRSTNAME]],", ",sales_data_sample[[#This Row],[CONTACTLASTNAME]]))</f>
        <v>Giovanni, Rovelli</v>
      </c>
      <c r="AA783" s="1" t="s">
        <v>59</v>
      </c>
    </row>
    <row r="784" spans="1:27" x14ac:dyDescent="0.25">
      <c r="A784">
        <v>10120</v>
      </c>
      <c r="B784">
        <v>29</v>
      </c>
      <c r="C784">
        <v>7181</v>
      </c>
      <c r="D784">
        <f>PRODUCT(sales_data_sample[[#This Row],[QUANTITYORDERED]],sales_data_sample[[#This Row],[PRICEEACH]])</f>
        <v>208249</v>
      </c>
      <c r="E784" s="9">
        <f>IF(OR(sales_data_sample[[#This Row],[STATUS]]="Shipped",sales_data_sample[[#This Row],[STATUS]]="Resolved"),sales_data_sample[[#This Row],[SALES]],0)</f>
        <v>208249</v>
      </c>
      <c r="F784">
        <v>8</v>
      </c>
      <c r="G784" s="12" t="s">
        <v>405</v>
      </c>
      <c r="H784" s="1" t="s">
        <v>26</v>
      </c>
      <c r="I784">
        <v>2</v>
      </c>
      <c r="J784">
        <v>4</v>
      </c>
      <c r="K784">
        <v>2003</v>
      </c>
      <c r="L784" s="1" t="s">
        <v>839</v>
      </c>
      <c r="M784">
        <v>84</v>
      </c>
      <c r="N784" s="1" t="s">
        <v>890</v>
      </c>
      <c r="O784" s="1" t="s">
        <v>113</v>
      </c>
      <c r="P784" s="1" t="s">
        <v>114</v>
      </c>
      <c r="Q784" s="1" t="s">
        <v>115</v>
      </c>
      <c r="R784" s="1" t="s">
        <v>116</v>
      </c>
      <c r="S784" s="1" t="s">
        <v>117</v>
      </c>
      <c r="T784" s="1" t="s">
        <v>118</v>
      </c>
      <c r="U784" s="1" t="s">
        <v>119</v>
      </c>
      <c r="V784" s="1" t="s">
        <v>120</v>
      </c>
      <c r="W784" s="1" t="s">
        <v>121</v>
      </c>
      <c r="X784" s="1" t="s">
        <v>122</v>
      </c>
      <c r="Y784" s="1" t="s">
        <v>123</v>
      </c>
      <c r="Z784" s="1" t="str">
        <f>TRIM(_xlfn.CONCAT(sales_data_sample[[#This Row],[CONTACTFIRSTNAME]],", ",sales_data_sample[[#This Row],[CONTACTLASTNAME]]))</f>
        <v>Peter, Ferguson</v>
      </c>
      <c r="AA784" s="1" t="s">
        <v>40</v>
      </c>
    </row>
    <row r="785" spans="1:27" x14ac:dyDescent="0.25">
      <c r="A785" s="10">
        <v>10133</v>
      </c>
      <c r="B785" s="9">
        <v>49</v>
      </c>
      <c r="C785" s="9">
        <v>6927</v>
      </c>
      <c r="D785" s="9">
        <f>PRODUCT(sales_data_sample[[#This Row],[QUANTITYORDERED]],sales_data_sample[[#This Row],[PRICEEACH]])</f>
        <v>339423</v>
      </c>
      <c r="E785" s="9">
        <f>IF(OR(sales_data_sample[[#This Row],[STATUS]]="Shipped",sales_data_sample[[#This Row],[STATUS]]="Resolved"),sales_data_sample[[#This Row],[SALES]],0)</f>
        <v>339423</v>
      </c>
      <c r="F785" s="10">
        <v>3</v>
      </c>
      <c r="G785" s="12" t="s">
        <v>891</v>
      </c>
      <c r="H785" s="1" t="s">
        <v>26</v>
      </c>
      <c r="I785">
        <v>2</v>
      </c>
      <c r="J785">
        <v>6</v>
      </c>
      <c r="K785">
        <v>2003</v>
      </c>
      <c r="L785" s="1" t="s">
        <v>839</v>
      </c>
      <c r="M785">
        <v>84</v>
      </c>
      <c r="N785" s="1" t="s">
        <v>890</v>
      </c>
      <c r="O785" s="1" t="s">
        <v>230</v>
      </c>
      <c r="P785" s="1" t="s">
        <v>231</v>
      </c>
      <c r="Q785" s="1" t="s">
        <v>232</v>
      </c>
      <c r="R785" s="1" t="s">
        <v>32</v>
      </c>
      <c r="S785" s="1" t="s">
        <v>233</v>
      </c>
      <c r="T785" s="1" t="s">
        <v>32</v>
      </c>
      <c r="U785" s="1" t="s">
        <v>234</v>
      </c>
      <c r="V785" s="1" t="s">
        <v>235</v>
      </c>
      <c r="W785" s="1" t="s">
        <v>48</v>
      </c>
      <c r="X785" s="1" t="s">
        <v>236</v>
      </c>
      <c r="Y785" s="1" t="s">
        <v>237</v>
      </c>
      <c r="Z785" s="1" t="str">
        <f>TRIM(_xlfn.CONCAT(sales_data_sample[[#This Row],[CONTACTFIRSTNAME]],", ",sales_data_sample[[#This Row],[CONTACTLASTNAME]]))</f>
        <v>Diego, Freyre</v>
      </c>
      <c r="AA785" s="1" t="s">
        <v>59</v>
      </c>
    </row>
    <row r="786" spans="1:27" x14ac:dyDescent="0.25">
      <c r="A786" s="10">
        <v>10145</v>
      </c>
      <c r="B786" s="9">
        <v>30</v>
      </c>
      <c r="C786" s="9">
        <v>8532</v>
      </c>
      <c r="D786" s="9">
        <f>PRODUCT(sales_data_sample[[#This Row],[QUANTITYORDERED]],sales_data_sample[[#This Row],[PRICEEACH]])</f>
        <v>255960</v>
      </c>
      <c r="E786" s="9">
        <f>IF(OR(sales_data_sample[[#This Row],[STATUS]]="Shipped",sales_data_sample[[#This Row],[STATUS]]="Resolved"),sales_data_sample[[#This Row],[SALES]],0)</f>
        <v>255960</v>
      </c>
      <c r="F786" s="10">
        <v>14</v>
      </c>
      <c r="G786" s="12" t="s">
        <v>60</v>
      </c>
      <c r="H786" s="1" t="s">
        <v>26</v>
      </c>
      <c r="I786">
        <v>3</v>
      </c>
      <c r="J786">
        <v>8</v>
      </c>
      <c r="K786">
        <v>2003</v>
      </c>
      <c r="L786" s="1" t="s">
        <v>839</v>
      </c>
      <c r="M786">
        <v>84</v>
      </c>
      <c r="N786" s="1" t="s">
        <v>890</v>
      </c>
      <c r="O786" s="1" t="s">
        <v>61</v>
      </c>
      <c r="P786" s="1" t="s">
        <v>62</v>
      </c>
      <c r="Q786" s="1" t="s">
        <v>63</v>
      </c>
      <c r="R786" s="1" t="s">
        <v>32</v>
      </c>
      <c r="S786" s="1" t="s">
        <v>64</v>
      </c>
      <c r="T786" s="1" t="s">
        <v>65</v>
      </c>
      <c r="U786" s="1" t="s">
        <v>66</v>
      </c>
      <c r="V786" s="1" t="s">
        <v>36</v>
      </c>
      <c r="W786" s="1" t="s">
        <v>37</v>
      </c>
      <c r="X786" s="1" t="s">
        <v>67</v>
      </c>
      <c r="Y786" s="1" t="s">
        <v>68</v>
      </c>
      <c r="Z786" s="1" t="str">
        <f>TRIM(_xlfn.CONCAT(sales_data_sample[[#This Row],[CONTACTFIRSTNAME]],", ",sales_data_sample[[#This Row],[CONTACTLASTNAME]]))</f>
        <v>Julie, Young</v>
      </c>
      <c r="AA786" s="1" t="s">
        <v>40</v>
      </c>
    </row>
    <row r="787" spans="1:27" x14ac:dyDescent="0.25">
      <c r="A787" s="10">
        <v>10168</v>
      </c>
      <c r="B787" s="9">
        <v>21</v>
      </c>
      <c r="C787" s="9">
        <v>7096</v>
      </c>
      <c r="D787" s="9">
        <f>PRODUCT(sales_data_sample[[#This Row],[QUANTITYORDERED]],sales_data_sample[[#This Row],[PRICEEACH]])</f>
        <v>149016</v>
      </c>
      <c r="E787" s="9">
        <f>IF(OR(sales_data_sample[[#This Row],[STATUS]]="Shipped",sales_data_sample[[#This Row],[STATUS]]="Resolved"),sales_data_sample[[#This Row],[SALES]],0)</f>
        <v>149016</v>
      </c>
      <c r="F787" s="10">
        <v>9</v>
      </c>
      <c r="G787" s="12" t="s">
        <v>75</v>
      </c>
      <c r="H787" s="1" t="s">
        <v>26</v>
      </c>
      <c r="I787">
        <v>4</v>
      </c>
      <c r="J787">
        <v>10</v>
      </c>
      <c r="K787">
        <v>2003</v>
      </c>
      <c r="L787" s="1" t="s">
        <v>839</v>
      </c>
      <c r="M787">
        <v>84</v>
      </c>
      <c r="N787" s="1" t="s">
        <v>890</v>
      </c>
      <c r="O787" s="1" t="s">
        <v>76</v>
      </c>
      <c r="P787" s="1" t="s">
        <v>77</v>
      </c>
      <c r="Q787" s="1" t="s">
        <v>78</v>
      </c>
      <c r="R787" s="1" t="s">
        <v>32</v>
      </c>
      <c r="S787" s="1" t="s">
        <v>79</v>
      </c>
      <c r="T787" s="1" t="s">
        <v>65</v>
      </c>
      <c r="U787" s="1" t="s">
        <v>80</v>
      </c>
      <c r="V787" s="1" t="s">
        <v>36</v>
      </c>
      <c r="W787" s="1" t="s">
        <v>37</v>
      </c>
      <c r="X787" s="1" t="s">
        <v>81</v>
      </c>
      <c r="Y787" s="1" t="s">
        <v>82</v>
      </c>
      <c r="Z787" s="1" t="str">
        <f>TRIM(_xlfn.CONCAT(sales_data_sample[[#This Row],[CONTACTFIRSTNAME]],", ",sales_data_sample[[#This Row],[CONTACTLASTNAME]]))</f>
        <v>Juri, Hirano</v>
      </c>
      <c r="AA787" s="1" t="s">
        <v>40</v>
      </c>
    </row>
    <row r="788" spans="1:27" x14ac:dyDescent="0.25">
      <c r="A788" s="10">
        <v>10210</v>
      </c>
      <c r="B788" s="9">
        <v>50</v>
      </c>
      <c r="C788" s="9">
        <v>7688</v>
      </c>
      <c r="D788" s="9">
        <f>PRODUCT(sales_data_sample[[#This Row],[QUANTITYORDERED]],sales_data_sample[[#This Row],[PRICEEACH]])</f>
        <v>384400</v>
      </c>
      <c r="E788" s="9">
        <f>IF(OR(sales_data_sample[[#This Row],[STATUS]]="Shipped",sales_data_sample[[#This Row],[STATUS]]="Resolved"),sales_data_sample[[#This Row],[SALES]],0)</f>
        <v>384400</v>
      </c>
      <c r="F788" s="10">
        <v>7</v>
      </c>
      <c r="G788" s="12" t="s">
        <v>406</v>
      </c>
      <c r="H788" s="1" t="s">
        <v>26</v>
      </c>
      <c r="I788">
        <v>1</v>
      </c>
      <c r="J788">
        <v>1</v>
      </c>
      <c r="K788">
        <v>2004</v>
      </c>
      <c r="L788" s="1" t="s">
        <v>839</v>
      </c>
      <c r="M788">
        <v>84</v>
      </c>
      <c r="N788" s="1" t="s">
        <v>890</v>
      </c>
      <c r="O788" s="1" t="s">
        <v>407</v>
      </c>
      <c r="P788" s="1" t="s">
        <v>408</v>
      </c>
      <c r="Q788" s="1" t="s">
        <v>409</v>
      </c>
      <c r="R788" s="1" t="s">
        <v>32</v>
      </c>
      <c r="S788" s="1" t="s">
        <v>410</v>
      </c>
      <c r="T788" s="1" t="s">
        <v>410</v>
      </c>
      <c r="U788" s="1" t="s">
        <v>411</v>
      </c>
      <c r="V788" s="1" t="s">
        <v>264</v>
      </c>
      <c r="W788" s="1" t="s">
        <v>264</v>
      </c>
      <c r="X788" s="1" t="s">
        <v>412</v>
      </c>
      <c r="Y788" s="1" t="s">
        <v>413</v>
      </c>
      <c r="Z788" s="1" t="str">
        <f>TRIM(_xlfn.CONCAT(sales_data_sample[[#This Row],[CONTACTFIRSTNAME]],", ",sales_data_sample[[#This Row],[CONTACTLASTNAME]]))</f>
        <v>Mory, Kentary</v>
      </c>
      <c r="AA788" s="1" t="s">
        <v>59</v>
      </c>
    </row>
    <row r="789" spans="1:27" x14ac:dyDescent="0.25">
      <c r="A789">
        <v>10223</v>
      </c>
      <c r="B789">
        <v>47</v>
      </c>
      <c r="C789">
        <v>100</v>
      </c>
      <c r="D789">
        <f>PRODUCT(sales_data_sample[[#This Row],[QUANTITYORDERED]],sales_data_sample[[#This Row],[PRICEEACH]])</f>
        <v>4700</v>
      </c>
      <c r="E789" s="9">
        <f>IF(OR(sales_data_sample[[#This Row],[STATUS]]="Shipped",sales_data_sample[[#This Row],[STATUS]]="Resolved"),sales_data_sample[[#This Row],[SALES]],0)</f>
        <v>4700</v>
      </c>
      <c r="F789">
        <v>9</v>
      </c>
      <c r="G789" s="12" t="s">
        <v>112</v>
      </c>
      <c r="H789" s="1" t="s">
        <v>26</v>
      </c>
      <c r="I789">
        <v>1</v>
      </c>
      <c r="J789">
        <v>2</v>
      </c>
      <c r="K789">
        <v>2004</v>
      </c>
      <c r="L789" s="1" t="s">
        <v>839</v>
      </c>
      <c r="M789">
        <v>84</v>
      </c>
      <c r="N789" s="1" t="s">
        <v>890</v>
      </c>
      <c r="O789" s="1" t="s">
        <v>113</v>
      </c>
      <c r="P789" s="1" t="s">
        <v>114</v>
      </c>
      <c r="Q789" s="1" t="s">
        <v>115</v>
      </c>
      <c r="R789" s="1" t="s">
        <v>116</v>
      </c>
      <c r="S789" s="1" t="s">
        <v>117</v>
      </c>
      <c r="T789" s="1" t="s">
        <v>118</v>
      </c>
      <c r="U789" s="1" t="s">
        <v>119</v>
      </c>
      <c r="V789" s="1" t="s">
        <v>120</v>
      </c>
      <c r="W789" s="1" t="s">
        <v>121</v>
      </c>
      <c r="X789" s="1" t="s">
        <v>122</v>
      </c>
      <c r="Y789" s="1" t="s">
        <v>123</v>
      </c>
      <c r="Z789" s="1" t="str">
        <f>TRIM(_xlfn.CONCAT(sales_data_sample[[#This Row],[CONTACTFIRSTNAME]],", ",sales_data_sample[[#This Row],[CONTACTLASTNAME]]))</f>
        <v>Peter, Ferguson</v>
      </c>
      <c r="AA789" s="1" t="s">
        <v>59</v>
      </c>
    </row>
    <row r="790" spans="1:27" x14ac:dyDescent="0.25">
      <c r="A790" s="10">
        <v>10235</v>
      </c>
      <c r="B790" s="9">
        <v>24</v>
      </c>
      <c r="C790" s="9">
        <v>7603</v>
      </c>
      <c r="D790" s="9">
        <f>PRODUCT(sales_data_sample[[#This Row],[QUANTITYORDERED]],sales_data_sample[[#This Row],[PRICEEACH]])</f>
        <v>182472</v>
      </c>
      <c r="E790" s="9">
        <f>IF(OR(sales_data_sample[[#This Row],[STATUS]]="Shipped",sales_data_sample[[#This Row],[STATUS]]="Resolved"),sales_data_sample[[#This Row],[SALES]],0)</f>
        <v>182472</v>
      </c>
      <c r="F790" s="10">
        <v>3</v>
      </c>
      <c r="G790" s="12" t="s">
        <v>892</v>
      </c>
      <c r="H790" s="1" t="s">
        <v>26</v>
      </c>
      <c r="I790">
        <v>2</v>
      </c>
      <c r="J790">
        <v>4</v>
      </c>
      <c r="K790">
        <v>2004</v>
      </c>
      <c r="L790" s="1" t="s">
        <v>839</v>
      </c>
      <c r="M790">
        <v>84</v>
      </c>
      <c r="N790" s="1" t="s">
        <v>890</v>
      </c>
      <c r="O790" s="1" t="s">
        <v>509</v>
      </c>
      <c r="P790" s="1" t="s">
        <v>510</v>
      </c>
      <c r="Q790" s="1" t="s">
        <v>511</v>
      </c>
      <c r="R790" s="1" t="s">
        <v>32</v>
      </c>
      <c r="S790" s="1" t="s">
        <v>512</v>
      </c>
      <c r="T790" s="1" t="s">
        <v>303</v>
      </c>
      <c r="U790" s="1" t="s">
        <v>513</v>
      </c>
      <c r="V790" s="1" t="s">
        <v>305</v>
      </c>
      <c r="W790" s="1" t="s">
        <v>37</v>
      </c>
      <c r="X790" s="1" t="s">
        <v>514</v>
      </c>
      <c r="Y790" s="1" t="s">
        <v>227</v>
      </c>
      <c r="Z790" s="1" t="str">
        <f>TRIM(_xlfn.CONCAT(sales_data_sample[[#This Row],[CONTACTFIRSTNAME]],", ",sales_data_sample[[#This Row],[CONTACTLASTNAME]]))</f>
        <v>Elizabeth, Lincoln</v>
      </c>
      <c r="AA790" s="1" t="s">
        <v>40</v>
      </c>
    </row>
    <row r="791" spans="1:27" x14ac:dyDescent="0.25">
      <c r="A791" s="10">
        <v>10250</v>
      </c>
      <c r="B791" s="9">
        <v>27</v>
      </c>
      <c r="C791" s="9">
        <v>9884</v>
      </c>
      <c r="D791" s="9">
        <f>PRODUCT(sales_data_sample[[#This Row],[QUANTITYORDERED]],sales_data_sample[[#This Row],[PRICEEACH]])</f>
        <v>266868</v>
      </c>
      <c r="E791" s="9">
        <f>IF(OR(sales_data_sample[[#This Row],[STATUS]]="Shipped",sales_data_sample[[#This Row],[STATUS]]="Resolved"),sales_data_sample[[#This Row],[SALES]],0)</f>
        <v>266868</v>
      </c>
      <c r="F791" s="10">
        <v>4</v>
      </c>
      <c r="G791" s="12" t="s">
        <v>849</v>
      </c>
      <c r="H791" s="1" t="s">
        <v>26</v>
      </c>
      <c r="I791">
        <v>2</v>
      </c>
      <c r="J791">
        <v>5</v>
      </c>
      <c r="K791">
        <v>2004</v>
      </c>
      <c r="L791" s="1" t="s">
        <v>839</v>
      </c>
      <c r="M791">
        <v>84</v>
      </c>
      <c r="N791" s="1" t="s">
        <v>890</v>
      </c>
      <c r="O791" s="1" t="s">
        <v>547</v>
      </c>
      <c r="P791" s="1" t="s">
        <v>548</v>
      </c>
      <c r="Q791" s="1" t="s">
        <v>549</v>
      </c>
      <c r="R791" s="1" t="s">
        <v>32</v>
      </c>
      <c r="S791" s="1" t="s">
        <v>550</v>
      </c>
      <c r="T791" s="1" t="s">
        <v>65</v>
      </c>
      <c r="U791" s="1" t="s">
        <v>80</v>
      </c>
      <c r="V791" s="1" t="s">
        <v>36</v>
      </c>
      <c r="W791" s="1" t="s">
        <v>37</v>
      </c>
      <c r="X791" s="1" t="s">
        <v>129</v>
      </c>
      <c r="Y791" s="1" t="s">
        <v>551</v>
      </c>
      <c r="Z791" s="1" t="str">
        <f>TRIM(_xlfn.CONCAT(sales_data_sample[[#This Row],[CONTACTFIRSTNAME]],", ",sales_data_sample[[#This Row],[CONTACTLASTNAME]]))</f>
        <v>Sue, Frick</v>
      </c>
      <c r="AA791" s="1" t="s">
        <v>40</v>
      </c>
    </row>
    <row r="792" spans="1:27" x14ac:dyDescent="0.25">
      <c r="A792" s="10">
        <v>10263</v>
      </c>
      <c r="B792" s="9">
        <v>33</v>
      </c>
      <c r="C792" s="9">
        <v>8617</v>
      </c>
      <c r="D792" s="9">
        <f>PRODUCT(sales_data_sample[[#This Row],[QUANTITYORDERED]],sales_data_sample[[#This Row],[PRICEEACH]])</f>
        <v>284361</v>
      </c>
      <c r="E792" s="9">
        <f>IF(OR(sales_data_sample[[#This Row],[STATUS]]="Shipped",sales_data_sample[[#This Row],[STATUS]]="Resolved"),sales_data_sample[[#This Row],[SALES]],0)</f>
        <v>284361</v>
      </c>
      <c r="F792" s="10">
        <v>10</v>
      </c>
      <c r="G792" s="12" t="s">
        <v>139</v>
      </c>
      <c r="H792" s="1" t="s">
        <v>26</v>
      </c>
      <c r="I792">
        <v>2</v>
      </c>
      <c r="J792">
        <v>6</v>
      </c>
      <c r="K792">
        <v>2004</v>
      </c>
      <c r="L792" s="1" t="s">
        <v>839</v>
      </c>
      <c r="M792">
        <v>84</v>
      </c>
      <c r="N792" s="1" t="s">
        <v>890</v>
      </c>
      <c r="O792" s="1" t="s">
        <v>140</v>
      </c>
      <c r="P792" s="1" t="s">
        <v>141</v>
      </c>
      <c r="Q792" s="1" t="s">
        <v>142</v>
      </c>
      <c r="R792" s="1" t="s">
        <v>32</v>
      </c>
      <c r="S792" s="1" t="s">
        <v>143</v>
      </c>
      <c r="T792" s="1" t="s">
        <v>144</v>
      </c>
      <c r="U792" s="1" t="s">
        <v>145</v>
      </c>
      <c r="V792" s="1" t="s">
        <v>36</v>
      </c>
      <c r="W792" s="1" t="s">
        <v>37</v>
      </c>
      <c r="X792" s="1" t="s">
        <v>146</v>
      </c>
      <c r="Y792" s="1" t="s">
        <v>68</v>
      </c>
      <c r="Z792" s="1" t="str">
        <f>TRIM(_xlfn.CONCAT(sales_data_sample[[#This Row],[CONTACTFIRSTNAME]],", ",sales_data_sample[[#This Row],[CONTACTLASTNAME]]))</f>
        <v>Julie, King</v>
      </c>
      <c r="AA792" s="1" t="s">
        <v>40</v>
      </c>
    </row>
    <row r="793" spans="1:27" x14ac:dyDescent="0.25">
      <c r="A793" s="10">
        <v>10275</v>
      </c>
      <c r="B793" s="9">
        <v>35</v>
      </c>
      <c r="C793" s="9">
        <v>9039</v>
      </c>
      <c r="D793" s="9">
        <f>PRODUCT(sales_data_sample[[#This Row],[QUANTITYORDERED]],sales_data_sample[[#This Row],[PRICEEACH]])</f>
        <v>316365</v>
      </c>
      <c r="E793" s="9">
        <f>IF(OR(sales_data_sample[[#This Row],[STATUS]]="Shipped",sales_data_sample[[#This Row],[STATUS]]="Resolved"),sales_data_sample[[#This Row],[SALES]],0)</f>
        <v>316365</v>
      </c>
      <c r="F793" s="10">
        <v>9</v>
      </c>
      <c r="G793" s="12" t="s">
        <v>147</v>
      </c>
      <c r="H793" s="1" t="s">
        <v>26</v>
      </c>
      <c r="I793">
        <v>3</v>
      </c>
      <c r="J793">
        <v>7</v>
      </c>
      <c r="K793">
        <v>2004</v>
      </c>
      <c r="L793" s="1" t="s">
        <v>839</v>
      </c>
      <c r="M793">
        <v>84</v>
      </c>
      <c r="N793" s="1" t="s">
        <v>890</v>
      </c>
      <c r="O793" s="1" t="s">
        <v>148</v>
      </c>
      <c r="P793" s="1" t="s">
        <v>149</v>
      </c>
      <c r="Q793" s="1" t="s">
        <v>150</v>
      </c>
      <c r="R793" s="1" t="s">
        <v>32</v>
      </c>
      <c r="S793" s="1" t="s">
        <v>151</v>
      </c>
      <c r="T793" s="1" t="s">
        <v>32</v>
      </c>
      <c r="U793" s="1" t="s">
        <v>152</v>
      </c>
      <c r="V793" s="1" t="s">
        <v>47</v>
      </c>
      <c r="W793" s="1" t="s">
        <v>48</v>
      </c>
      <c r="X793" s="1" t="s">
        <v>153</v>
      </c>
      <c r="Y793" s="1" t="s">
        <v>154</v>
      </c>
      <c r="Z793" s="1" t="str">
        <f>TRIM(_xlfn.CONCAT(sales_data_sample[[#This Row],[CONTACTFIRSTNAME]],", ",sales_data_sample[[#This Row],[CONTACTLASTNAME]]))</f>
        <v>Janine, Labrune</v>
      </c>
      <c r="AA793" s="1" t="s">
        <v>59</v>
      </c>
    </row>
    <row r="794" spans="1:27" x14ac:dyDescent="0.25">
      <c r="A794" s="10">
        <v>10284</v>
      </c>
      <c r="B794" s="9">
        <v>31</v>
      </c>
      <c r="C794" s="9">
        <v>7181</v>
      </c>
      <c r="D794" s="9">
        <f>PRODUCT(sales_data_sample[[#This Row],[QUANTITYORDERED]],sales_data_sample[[#This Row],[PRICEEACH]])</f>
        <v>222611</v>
      </c>
      <c r="E794" s="9">
        <f>IF(OR(sales_data_sample[[#This Row],[STATUS]]="Shipped",sales_data_sample[[#This Row],[STATUS]]="Resolved"),sales_data_sample[[#This Row],[SALES]],0)</f>
        <v>222611</v>
      </c>
      <c r="F794" s="10">
        <v>1</v>
      </c>
      <c r="G794" s="12" t="s">
        <v>851</v>
      </c>
      <c r="H794" s="1" t="s">
        <v>26</v>
      </c>
      <c r="I794">
        <v>3</v>
      </c>
      <c r="J794">
        <v>8</v>
      </c>
      <c r="K794">
        <v>2004</v>
      </c>
      <c r="L794" s="1" t="s">
        <v>839</v>
      </c>
      <c r="M794">
        <v>84</v>
      </c>
      <c r="N794" s="1" t="s">
        <v>890</v>
      </c>
      <c r="O794" s="1" t="s">
        <v>786</v>
      </c>
      <c r="P794" s="1" t="s">
        <v>787</v>
      </c>
      <c r="Q794" s="1" t="s">
        <v>788</v>
      </c>
      <c r="R794" s="1" t="s">
        <v>32</v>
      </c>
      <c r="S794" s="1" t="s">
        <v>789</v>
      </c>
      <c r="T794" s="1" t="s">
        <v>32</v>
      </c>
      <c r="U794" s="1" t="s">
        <v>790</v>
      </c>
      <c r="V794" s="1" t="s">
        <v>97</v>
      </c>
      <c r="W794" s="1" t="s">
        <v>48</v>
      </c>
      <c r="X794" s="1" t="s">
        <v>791</v>
      </c>
      <c r="Y794" s="1" t="s">
        <v>792</v>
      </c>
      <c r="Z794" s="1" t="str">
        <f>TRIM(_xlfn.CONCAT(sales_data_sample[[#This Row],[CONTACTFIRSTNAME]],", ",sales_data_sample[[#This Row],[CONTACTLASTNAME]]))</f>
        <v>Jan, Klaeboe</v>
      </c>
      <c r="AA794" s="1" t="s">
        <v>40</v>
      </c>
    </row>
    <row r="795" spans="1:27" x14ac:dyDescent="0.25">
      <c r="A795">
        <v>10297</v>
      </c>
      <c r="B795">
        <v>25</v>
      </c>
      <c r="C795">
        <v>8279</v>
      </c>
      <c r="D795">
        <f>PRODUCT(sales_data_sample[[#This Row],[QUANTITYORDERED]],sales_data_sample[[#This Row],[PRICEEACH]])</f>
        <v>206975</v>
      </c>
      <c r="E795" s="9">
        <f>IF(OR(sales_data_sample[[#This Row],[STATUS]]="Shipped",sales_data_sample[[#This Row],[STATUS]]="Resolved"),sales_data_sample[[#This Row],[SALES]],0)</f>
        <v>206975</v>
      </c>
      <c r="F795">
        <v>4</v>
      </c>
      <c r="G795" s="12" t="s">
        <v>893</v>
      </c>
      <c r="H795" s="1" t="s">
        <v>26</v>
      </c>
      <c r="I795">
        <v>3</v>
      </c>
      <c r="J795">
        <v>9</v>
      </c>
      <c r="K795">
        <v>2004</v>
      </c>
      <c r="L795" s="1" t="s">
        <v>839</v>
      </c>
      <c r="M795">
        <v>84</v>
      </c>
      <c r="N795" s="1" t="s">
        <v>890</v>
      </c>
      <c r="O795" s="1" t="s">
        <v>677</v>
      </c>
      <c r="P795" s="1" t="s">
        <v>678</v>
      </c>
      <c r="Q795" s="1" t="s">
        <v>679</v>
      </c>
      <c r="R795" s="1" t="s">
        <v>680</v>
      </c>
      <c r="S795" s="1" t="s">
        <v>681</v>
      </c>
      <c r="T795" s="1" t="s">
        <v>32</v>
      </c>
      <c r="U795" s="1" t="s">
        <v>682</v>
      </c>
      <c r="V795" s="1" t="s">
        <v>683</v>
      </c>
      <c r="W795" s="1" t="s">
        <v>48</v>
      </c>
      <c r="X795" s="1" t="s">
        <v>684</v>
      </c>
      <c r="Y795" s="1" t="s">
        <v>685</v>
      </c>
      <c r="Z795" s="1" t="str">
        <f>TRIM(_xlfn.CONCAT(sales_data_sample[[#This Row],[CONTACTFIRSTNAME]],", ",sales_data_sample[[#This Row],[CONTACTLASTNAME]]))</f>
        <v>Dean, Cassidy</v>
      </c>
      <c r="AA795" s="1" t="s">
        <v>40</v>
      </c>
    </row>
    <row r="796" spans="1:27" x14ac:dyDescent="0.25">
      <c r="A796" s="10">
        <v>10308</v>
      </c>
      <c r="B796" s="9">
        <v>27</v>
      </c>
      <c r="C796" s="9">
        <v>8279</v>
      </c>
      <c r="D796" s="9">
        <f>PRODUCT(sales_data_sample[[#This Row],[QUANTITYORDERED]],sales_data_sample[[#This Row],[PRICEEACH]])</f>
        <v>223533</v>
      </c>
      <c r="E796" s="9">
        <f>IF(OR(sales_data_sample[[#This Row],[STATUS]]="Shipped",sales_data_sample[[#This Row],[STATUS]]="Resolved"),sales_data_sample[[#This Row],[SALES]],0)</f>
        <v>223533</v>
      </c>
      <c r="F796" s="10">
        <v>7</v>
      </c>
      <c r="G796" s="12" t="s">
        <v>173</v>
      </c>
      <c r="H796" s="1" t="s">
        <v>26</v>
      </c>
      <c r="I796">
        <v>4</v>
      </c>
      <c r="J796">
        <v>10</v>
      </c>
      <c r="K796">
        <v>2004</v>
      </c>
      <c r="L796" s="1" t="s">
        <v>839</v>
      </c>
      <c r="M796">
        <v>84</v>
      </c>
      <c r="N796" s="1" t="s">
        <v>890</v>
      </c>
      <c r="O796" s="1" t="s">
        <v>425</v>
      </c>
      <c r="P796" s="1" t="s">
        <v>426</v>
      </c>
      <c r="Q796" s="1" t="s">
        <v>427</v>
      </c>
      <c r="R796" s="1" t="s">
        <v>32</v>
      </c>
      <c r="S796" s="1" t="s">
        <v>428</v>
      </c>
      <c r="T796" s="1" t="s">
        <v>34</v>
      </c>
      <c r="U796" s="1" t="s">
        <v>429</v>
      </c>
      <c r="V796" s="1" t="s">
        <v>36</v>
      </c>
      <c r="W796" s="1" t="s">
        <v>37</v>
      </c>
      <c r="X796" s="1" t="s">
        <v>129</v>
      </c>
      <c r="Y796" s="1" t="s">
        <v>314</v>
      </c>
      <c r="Z796" s="1" t="str">
        <f>TRIM(_xlfn.CONCAT(sales_data_sample[[#This Row],[CONTACTFIRSTNAME]],", ",sales_data_sample[[#This Row],[CONTACTLASTNAME]]))</f>
        <v>Steve, Frick</v>
      </c>
      <c r="AA796" s="1" t="s">
        <v>40</v>
      </c>
    </row>
    <row r="797" spans="1:27" x14ac:dyDescent="0.25">
      <c r="A797" s="10">
        <v>10318</v>
      </c>
      <c r="B797" s="9">
        <v>31</v>
      </c>
      <c r="C797" s="9">
        <v>100</v>
      </c>
      <c r="D797" s="9">
        <f>PRODUCT(sales_data_sample[[#This Row],[QUANTITYORDERED]],sales_data_sample[[#This Row],[PRICEEACH]])</f>
        <v>3100</v>
      </c>
      <c r="E797" s="9">
        <f>IF(OR(sales_data_sample[[#This Row],[STATUS]]="Shipped",sales_data_sample[[#This Row],[STATUS]]="Resolved"),sales_data_sample[[#This Row],[SALES]],0)</f>
        <v>3100</v>
      </c>
      <c r="F797" s="10">
        <v>9</v>
      </c>
      <c r="G797" s="12" t="s">
        <v>181</v>
      </c>
      <c r="H797" s="1" t="s">
        <v>26</v>
      </c>
      <c r="I797">
        <v>4</v>
      </c>
      <c r="J797">
        <v>11</v>
      </c>
      <c r="K797">
        <v>2004</v>
      </c>
      <c r="L797" s="1" t="s">
        <v>839</v>
      </c>
      <c r="M797">
        <v>84</v>
      </c>
      <c r="N797" s="1" t="s">
        <v>890</v>
      </c>
      <c r="O797" s="1" t="s">
        <v>182</v>
      </c>
      <c r="P797" s="1" t="s">
        <v>183</v>
      </c>
      <c r="Q797" s="1" t="s">
        <v>184</v>
      </c>
      <c r="R797" s="1" t="s">
        <v>32</v>
      </c>
      <c r="S797" s="1" t="s">
        <v>185</v>
      </c>
      <c r="T797" s="1" t="s">
        <v>186</v>
      </c>
      <c r="U797" s="1" t="s">
        <v>187</v>
      </c>
      <c r="V797" s="1" t="s">
        <v>36</v>
      </c>
      <c r="W797" s="1" t="s">
        <v>37</v>
      </c>
      <c r="X797" s="1" t="s">
        <v>38</v>
      </c>
      <c r="Y797" s="1" t="s">
        <v>188</v>
      </c>
      <c r="Z797" s="1" t="str">
        <f>TRIM(_xlfn.CONCAT(sales_data_sample[[#This Row],[CONTACTFIRSTNAME]],", ",sales_data_sample[[#This Row],[CONTACTLASTNAME]]))</f>
        <v>Kyung, Yu</v>
      </c>
      <c r="AA797" s="1" t="s">
        <v>59</v>
      </c>
    </row>
    <row r="798" spans="1:27" x14ac:dyDescent="0.25">
      <c r="A798" s="10">
        <v>10327</v>
      </c>
      <c r="B798" s="9">
        <v>45</v>
      </c>
      <c r="C798" s="9">
        <v>100</v>
      </c>
      <c r="D798" s="9">
        <f>PRODUCT(sales_data_sample[[#This Row],[QUANTITYORDERED]],sales_data_sample[[#This Row],[PRICEEACH]])</f>
        <v>4500</v>
      </c>
      <c r="E798" s="9">
        <f>IF(OR(sales_data_sample[[#This Row],[STATUS]]="Shipped",sales_data_sample[[#This Row],[STATUS]]="Resolved"),sales_data_sample[[#This Row],[SALES]],0)</f>
        <v>4500</v>
      </c>
      <c r="F798" s="10">
        <v>8</v>
      </c>
      <c r="G798" s="12" t="s">
        <v>859</v>
      </c>
      <c r="H798" s="1" t="s">
        <v>563</v>
      </c>
      <c r="I798">
        <v>4</v>
      </c>
      <c r="J798">
        <v>11</v>
      </c>
      <c r="K798">
        <v>2004</v>
      </c>
      <c r="L798" s="1" t="s">
        <v>839</v>
      </c>
      <c r="M798">
        <v>84</v>
      </c>
      <c r="N798" s="1" t="s">
        <v>890</v>
      </c>
      <c r="O798" s="1" t="s">
        <v>437</v>
      </c>
      <c r="P798" s="1" t="s">
        <v>438</v>
      </c>
      <c r="Q798" s="1" t="s">
        <v>439</v>
      </c>
      <c r="R798" s="1" t="s">
        <v>32</v>
      </c>
      <c r="S798" s="1" t="s">
        <v>440</v>
      </c>
      <c r="T798" s="1" t="s">
        <v>32</v>
      </c>
      <c r="U798" s="1" t="s">
        <v>441</v>
      </c>
      <c r="V798" s="1" t="s">
        <v>442</v>
      </c>
      <c r="W798" s="1" t="s">
        <v>48</v>
      </c>
      <c r="X798" s="1" t="s">
        <v>443</v>
      </c>
      <c r="Y798" s="1" t="s">
        <v>444</v>
      </c>
      <c r="Z798" s="1" t="str">
        <f>TRIM(_xlfn.CONCAT(sales_data_sample[[#This Row],[CONTACTFIRSTNAME]],", ",sales_data_sample[[#This Row],[CONTACTLASTNAME]]))</f>
        <v>Jytte, Petersen</v>
      </c>
      <c r="AA798" s="1" t="s">
        <v>59</v>
      </c>
    </row>
    <row r="799" spans="1:27" x14ac:dyDescent="0.25">
      <c r="A799" s="10">
        <v>10339</v>
      </c>
      <c r="B799" s="9">
        <v>27</v>
      </c>
      <c r="C799" s="9">
        <v>100</v>
      </c>
      <c r="D799" s="9">
        <f>PRODUCT(sales_data_sample[[#This Row],[QUANTITYORDERED]],sales_data_sample[[#This Row],[PRICEEACH]])</f>
        <v>2700</v>
      </c>
      <c r="E799" s="9">
        <f>IF(OR(sales_data_sample[[#This Row],[STATUS]]="Shipped",sales_data_sample[[#This Row],[STATUS]]="Resolved"),sales_data_sample[[#This Row],[SALES]],0)</f>
        <v>2700</v>
      </c>
      <c r="F799" s="10">
        <v>2</v>
      </c>
      <c r="G799" s="12" t="s">
        <v>430</v>
      </c>
      <c r="H799" s="1" t="s">
        <v>26</v>
      </c>
      <c r="I799">
        <v>4</v>
      </c>
      <c r="J799">
        <v>11</v>
      </c>
      <c r="K799">
        <v>2004</v>
      </c>
      <c r="L799" s="1" t="s">
        <v>839</v>
      </c>
      <c r="M799">
        <v>84</v>
      </c>
      <c r="N799" s="1" t="s">
        <v>890</v>
      </c>
      <c r="O799" s="1" t="s">
        <v>328</v>
      </c>
      <c r="P799" s="1" t="s">
        <v>329</v>
      </c>
      <c r="Q799" s="1" t="s">
        <v>330</v>
      </c>
      <c r="R799" s="1" t="s">
        <v>32</v>
      </c>
      <c r="S799" s="1" t="s">
        <v>331</v>
      </c>
      <c r="T799" s="1" t="s">
        <v>332</v>
      </c>
      <c r="U799" s="1" t="s">
        <v>333</v>
      </c>
      <c r="V799" s="1" t="s">
        <v>264</v>
      </c>
      <c r="W799" s="1" t="s">
        <v>264</v>
      </c>
      <c r="X799" s="1" t="s">
        <v>334</v>
      </c>
      <c r="Y799" s="1" t="s">
        <v>335</v>
      </c>
      <c r="Z799" s="1" t="str">
        <f>TRIM(_xlfn.CONCAT(sales_data_sample[[#This Row],[CONTACTFIRSTNAME]],", ",sales_data_sample[[#This Row],[CONTACTLASTNAME]]))</f>
        <v>Akiko, Shimamura</v>
      </c>
      <c r="AA799" s="1" t="s">
        <v>40</v>
      </c>
    </row>
    <row r="800" spans="1:27" x14ac:dyDescent="0.25">
      <c r="A800" s="10">
        <v>10353</v>
      </c>
      <c r="B800" s="9">
        <v>27</v>
      </c>
      <c r="C800" s="9">
        <v>100</v>
      </c>
      <c r="D800" s="9">
        <f>PRODUCT(sales_data_sample[[#This Row],[QUANTITYORDERED]],sales_data_sample[[#This Row],[PRICEEACH]])</f>
        <v>2700</v>
      </c>
      <c r="E800" s="9">
        <f>IF(OR(sales_data_sample[[#This Row],[STATUS]]="Shipped",sales_data_sample[[#This Row],[STATUS]]="Resolved"),sales_data_sample[[#This Row],[SALES]],0)</f>
        <v>2700</v>
      </c>
      <c r="F800" s="10">
        <v>1</v>
      </c>
      <c r="G800" s="12" t="s">
        <v>894</v>
      </c>
      <c r="H800" s="1" t="s">
        <v>26</v>
      </c>
      <c r="I800">
        <v>4</v>
      </c>
      <c r="J800">
        <v>12</v>
      </c>
      <c r="K800">
        <v>2004</v>
      </c>
      <c r="L800" s="1" t="s">
        <v>839</v>
      </c>
      <c r="M800">
        <v>84</v>
      </c>
      <c r="N800" s="1" t="s">
        <v>890</v>
      </c>
      <c r="O800" s="1" t="s">
        <v>842</v>
      </c>
      <c r="P800" s="1" t="s">
        <v>843</v>
      </c>
      <c r="Q800" s="1" t="s">
        <v>844</v>
      </c>
      <c r="R800" s="1" t="s">
        <v>32</v>
      </c>
      <c r="S800" s="1" t="s">
        <v>734</v>
      </c>
      <c r="T800" s="1" t="s">
        <v>144</v>
      </c>
      <c r="U800" s="1" t="s">
        <v>845</v>
      </c>
      <c r="V800" s="1" t="s">
        <v>36</v>
      </c>
      <c r="W800" s="1" t="s">
        <v>37</v>
      </c>
      <c r="X800" s="1" t="s">
        <v>846</v>
      </c>
      <c r="Y800" s="1" t="s">
        <v>847</v>
      </c>
      <c r="Z800" s="1" t="str">
        <f>TRIM(_xlfn.CONCAT(sales_data_sample[[#This Row],[CONTACTFIRSTNAME]],", ",sales_data_sample[[#This Row],[CONTACTLASTNAME]]))</f>
        <v>Dan, Lewis</v>
      </c>
      <c r="AA800" s="1" t="s">
        <v>59</v>
      </c>
    </row>
    <row r="801" spans="1:27" x14ac:dyDescent="0.25">
      <c r="A801" s="10">
        <v>10374</v>
      </c>
      <c r="B801" s="9">
        <v>42</v>
      </c>
      <c r="C801" s="9">
        <v>6927</v>
      </c>
      <c r="D801" s="9">
        <f>PRODUCT(sales_data_sample[[#This Row],[QUANTITYORDERED]],sales_data_sample[[#This Row],[PRICEEACH]])</f>
        <v>290934</v>
      </c>
      <c r="E801" s="9">
        <f>IF(OR(sales_data_sample[[#This Row],[STATUS]]="Shipped",sales_data_sample[[#This Row],[STATUS]]="Resolved"),sales_data_sample[[#This Row],[SALES]],0)</f>
        <v>290934</v>
      </c>
      <c r="F801" s="10">
        <v>2</v>
      </c>
      <c r="G801" s="12" t="s">
        <v>431</v>
      </c>
      <c r="H801" s="1" t="s">
        <v>26</v>
      </c>
      <c r="I801">
        <v>1</v>
      </c>
      <c r="J801">
        <v>2</v>
      </c>
      <c r="K801">
        <v>2005</v>
      </c>
      <c r="L801" s="1" t="s">
        <v>839</v>
      </c>
      <c r="M801">
        <v>84</v>
      </c>
      <c r="N801" s="1" t="s">
        <v>890</v>
      </c>
      <c r="O801" s="1" t="s">
        <v>274</v>
      </c>
      <c r="P801" s="1" t="s">
        <v>275</v>
      </c>
      <c r="Q801" s="1" t="s">
        <v>276</v>
      </c>
      <c r="R801" s="1" t="s">
        <v>32</v>
      </c>
      <c r="S801" s="1" t="s">
        <v>277</v>
      </c>
      <c r="T801" s="1" t="s">
        <v>278</v>
      </c>
      <c r="U801" s="1" t="s">
        <v>279</v>
      </c>
      <c r="V801" s="1" t="s">
        <v>120</v>
      </c>
      <c r="W801" s="1" t="s">
        <v>121</v>
      </c>
      <c r="X801" s="1" t="s">
        <v>280</v>
      </c>
      <c r="Y801" s="1" t="s">
        <v>281</v>
      </c>
      <c r="Z801" s="1" t="str">
        <f>TRIM(_xlfn.CONCAT(sales_data_sample[[#This Row],[CONTACTFIRSTNAME]],", ",sales_data_sample[[#This Row],[CONTACTLASTNAME]]))</f>
        <v>Tony, Calaghan</v>
      </c>
      <c r="AA801" s="1" t="s">
        <v>40</v>
      </c>
    </row>
    <row r="802" spans="1:27" x14ac:dyDescent="0.25">
      <c r="A802" s="10">
        <v>10386</v>
      </c>
      <c r="B802" s="9">
        <v>21</v>
      </c>
      <c r="C802" s="9">
        <v>7477</v>
      </c>
      <c r="D802" s="9">
        <f>PRODUCT(sales_data_sample[[#This Row],[QUANTITYORDERED]],sales_data_sample[[#This Row],[PRICEEACH]])</f>
        <v>157017</v>
      </c>
      <c r="E802" s="9">
        <f>IF(OR(sales_data_sample[[#This Row],[STATUS]]="Shipped",sales_data_sample[[#This Row],[STATUS]]="Resolved"),sales_data_sample[[#This Row],[SALES]],0)</f>
        <v>157017</v>
      </c>
      <c r="F802" s="10">
        <v>18</v>
      </c>
      <c r="G802" s="12" t="s">
        <v>869</v>
      </c>
      <c r="H802" s="1" t="s">
        <v>563</v>
      </c>
      <c r="I802">
        <v>1</v>
      </c>
      <c r="J802">
        <v>3</v>
      </c>
      <c r="K802">
        <v>2005</v>
      </c>
      <c r="L802" s="1" t="s">
        <v>839</v>
      </c>
      <c r="M802">
        <v>84</v>
      </c>
      <c r="N802" s="1" t="s">
        <v>890</v>
      </c>
      <c r="O802" s="1" t="s">
        <v>230</v>
      </c>
      <c r="P802" s="1" t="s">
        <v>231</v>
      </c>
      <c r="Q802" s="1" t="s">
        <v>232</v>
      </c>
      <c r="R802" s="1" t="s">
        <v>32</v>
      </c>
      <c r="S802" s="1" t="s">
        <v>233</v>
      </c>
      <c r="T802" s="1" t="s">
        <v>32</v>
      </c>
      <c r="U802" s="1" t="s">
        <v>234</v>
      </c>
      <c r="V802" s="1" t="s">
        <v>235</v>
      </c>
      <c r="W802" s="1" t="s">
        <v>48</v>
      </c>
      <c r="X802" s="1" t="s">
        <v>236</v>
      </c>
      <c r="Y802" s="1" t="s">
        <v>237</v>
      </c>
      <c r="Z802" s="1" t="str">
        <f>TRIM(_xlfn.CONCAT(sales_data_sample[[#This Row],[CONTACTFIRSTNAME]],", ",sales_data_sample[[#This Row],[CONTACTLASTNAME]]))</f>
        <v>Diego, Freyre</v>
      </c>
      <c r="AA802" s="1" t="s">
        <v>40</v>
      </c>
    </row>
    <row r="803" spans="1:27" x14ac:dyDescent="0.25">
      <c r="A803" s="10">
        <v>10398</v>
      </c>
      <c r="B803" s="9">
        <v>34</v>
      </c>
      <c r="C803" s="9">
        <v>7688</v>
      </c>
      <c r="D803" s="9">
        <f>PRODUCT(sales_data_sample[[#This Row],[QUANTITYORDERED]],sales_data_sample[[#This Row],[PRICEEACH]])</f>
        <v>261392</v>
      </c>
      <c r="E803" s="9">
        <f>IF(OR(sales_data_sample[[#This Row],[STATUS]]="Shipped",sales_data_sample[[#This Row],[STATUS]]="Resolved"),sales_data_sample[[#This Row],[SALES]],0)</f>
        <v>261392</v>
      </c>
      <c r="F803" s="10">
        <v>15</v>
      </c>
      <c r="G803" s="12" t="s">
        <v>870</v>
      </c>
      <c r="H803" s="1" t="s">
        <v>26</v>
      </c>
      <c r="I803">
        <v>1</v>
      </c>
      <c r="J803">
        <v>3</v>
      </c>
      <c r="K803">
        <v>2005</v>
      </c>
      <c r="L803" s="1" t="s">
        <v>839</v>
      </c>
      <c r="M803">
        <v>84</v>
      </c>
      <c r="N803" s="1" t="s">
        <v>890</v>
      </c>
      <c r="O803" s="1" t="s">
        <v>42</v>
      </c>
      <c r="P803" s="1" t="s">
        <v>43</v>
      </c>
      <c r="Q803" s="1" t="s">
        <v>44</v>
      </c>
      <c r="R803" s="1" t="s">
        <v>32</v>
      </c>
      <c r="S803" s="1" t="s">
        <v>45</v>
      </c>
      <c r="T803" s="1" t="s">
        <v>32</v>
      </c>
      <c r="U803" s="1" t="s">
        <v>46</v>
      </c>
      <c r="V803" s="1" t="s">
        <v>47</v>
      </c>
      <c r="W803" s="1" t="s">
        <v>48</v>
      </c>
      <c r="X803" s="1" t="s">
        <v>49</v>
      </c>
      <c r="Y803" s="1" t="s">
        <v>50</v>
      </c>
      <c r="Z803" s="1" t="str">
        <f>TRIM(_xlfn.CONCAT(sales_data_sample[[#This Row],[CONTACTFIRSTNAME]],", ",sales_data_sample[[#This Row],[CONTACTLASTNAME]]))</f>
        <v>Paul, Henriot</v>
      </c>
      <c r="AA803" s="1" t="s">
        <v>40</v>
      </c>
    </row>
    <row r="804" spans="1:27" x14ac:dyDescent="0.25">
      <c r="A804" s="10">
        <v>10401</v>
      </c>
      <c r="B804" s="9">
        <v>42</v>
      </c>
      <c r="C804" s="9">
        <v>7603</v>
      </c>
      <c r="D804" s="9">
        <f>PRODUCT(sales_data_sample[[#This Row],[QUANTITYORDERED]],sales_data_sample[[#This Row],[PRICEEACH]])</f>
        <v>319326</v>
      </c>
      <c r="E804" s="9">
        <f>IF(OR(sales_data_sample[[#This Row],[STATUS]]="Shipped",sales_data_sample[[#This Row],[STATUS]]="Resolved"),sales_data_sample[[#This Row],[SALES]],0)</f>
        <v>0</v>
      </c>
      <c r="F804" s="10">
        <v>3</v>
      </c>
      <c r="G804" s="12" t="s">
        <v>895</v>
      </c>
      <c r="H804" s="1" t="s">
        <v>553</v>
      </c>
      <c r="I804">
        <v>2</v>
      </c>
      <c r="J804">
        <v>4</v>
      </c>
      <c r="K804">
        <v>2005</v>
      </c>
      <c r="L804" s="1" t="s">
        <v>839</v>
      </c>
      <c r="M804">
        <v>84</v>
      </c>
      <c r="N804" s="1" t="s">
        <v>890</v>
      </c>
      <c r="O804" s="1" t="s">
        <v>132</v>
      </c>
      <c r="P804" s="1" t="s">
        <v>133</v>
      </c>
      <c r="Q804" s="1" t="s">
        <v>134</v>
      </c>
      <c r="R804" s="1" t="s">
        <v>32</v>
      </c>
      <c r="S804" s="1" t="s">
        <v>135</v>
      </c>
      <c r="T804" s="1" t="s">
        <v>136</v>
      </c>
      <c r="U804" s="1" t="s">
        <v>137</v>
      </c>
      <c r="V804" s="1" t="s">
        <v>36</v>
      </c>
      <c r="W804" s="1" t="s">
        <v>37</v>
      </c>
      <c r="X804" s="1" t="s">
        <v>74</v>
      </c>
      <c r="Y804" s="1" t="s">
        <v>138</v>
      </c>
      <c r="Z804" s="1" t="str">
        <f>TRIM(_xlfn.CONCAT(sales_data_sample[[#This Row],[CONTACTFIRSTNAME]],", ",sales_data_sample[[#This Row],[CONTACTLASTNAME]]))</f>
        <v>William, Brown</v>
      </c>
      <c r="AA804" s="1" t="s">
        <v>59</v>
      </c>
    </row>
    <row r="805" spans="1:27" x14ac:dyDescent="0.25">
      <c r="A805" s="10">
        <v>10416</v>
      </c>
      <c r="B805" s="9">
        <v>15</v>
      </c>
      <c r="C805" s="9">
        <v>9884</v>
      </c>
      <c r="D805" s="9">
        <f>PRODUCT(sales_data_sample[[#This Row],[QUANTITYORDERED]],sales_data_sample[[#This Row],[PRICEEACH]])</f>
        <v>148260</v>
      </c>
      <c r="E805" s="9">
        <f>IF(OR(sales_data_sample[[#This Row],[STATUS]]="Shipped",sales_data_sample[[#This Row],[STATUS]]="Resolved"),sales_data_sample[[#This Row],[SALES]],0)</f>
        <v>148260</v>
      </c>
      <c r="F805" s="10">
        <v>4</v>
      </c>
      <c r="G805" s="12" t="s">
        <v>871</v>
      </c>
      <c r="H805" s="1" t="s">
        <v>26</v>
      </c>
      <c r="I805">
        <v>2</v>
      </c>
      <c r="J805">
        <v>5</v>
      </c>
      <c r="K805">
        <v>2005</v>
      </c>
      <c r="L805" s="1" t="s">
        <v>839</v>
      </c>
      <c r="M805">
        <v>84</v>
      </c>
      <c r="N805" s="1" t="s">
        <v>890</v>
      </c>
      <c r="O805" s="1" t="s">
        <v>632</v>
      </c>
      <c r="P805" s="1" t="s">
        <v>633</v>
      </c>
      <c r="Q805" s="1" t="s">
        <v>634</v>
      </c>
      <c r="R805" s="1" t="s">
        <v>32</v>
      </c>
      <c r="S805" s="1" t="s">
        <v>635</v>
      </c>
      <c r="T805" s="1" t="s">
        <v>32</v>
      </c>
      <c r="U805" s="1" t="s">
        <v>636</v>
      </c>
      <c r="V805" s="1" t="s">
        <v>343</v>
      </c>
      <c r="W805" s="1" t="s">
        <v>48</v>
      </c>
      <c r="X805" s="1" t="s">
        <v>637</v>
      </c>
      <c r="Y805" s="1" t="s">
        <v>638</v>
      </c>
      <c r="Z805" s="1" t="str">
        <f>TRIM(_xlfn.CONCAT(sales_data_sample[[#This Row],[CONTACTFIRSTNAME]],", ",sales_data_sample[[#This Row],[CONTACTLASTNAME]]))</f>
        <v>Maurizio, Moroni</v>
      </c>
      <c r="AA805" s="1" t="s">
        <v>40</v>
      </c>
    </row>
    <row r="806" spans="1:27" x14ac:dyDescent="0.25">
      <c r="A806" s="10">
        <v>10107</v>
      </c>
      <c r="B806" s="9">
        <v>29</v>
      </c>
      <c r="C806" s="9">
        <v>7087</v>
      </c>
      <c r="D806" s="9">
        <f>PRODUCT(sales_data_sample[[#This Row],[QUANTITYORDERED]],sales_data_sample[[#This Row],[PRICEEACH]])</f>
        <v>205523</v>
      </c>
      <c r="E806" s="9">
        <f>IF(OR(sales_data_sample[[#This Row],[STATUS]]="Shipped",sales_data_sample[[#This Row],[STATUS]]="Resolved"),sales_data_sample[[#This Row],[SALES]],0)</f>
        <v>205523</v>
      </c>
      <c r="F806" s="10">
        <v>6</v>
      </c>
      <c r="G806" s="12" t="s">
        <v>25</v>
      </c>
      <c r="H806" s="1" t="s">
        <v>26</v>
      </c>
      <c r="I806">
        <v>1</v>
      </c>
      <c r="J806">
        <v>2</v>
      </c>
      <c r="K806">
        <v>2003</v>
      </c>
      <c r="L806" s="1" t="s">
        <v>27</v>
      </c>
      <c r="M806">
        <v>60</v>
      </c>
      <c r="N806" s="1" t="s">
        <v>896</v>
      </c>
      <c r="O806" s="1" t="s">
        <v>29</v>
      </c>
      <c r="P806" s="1" t="s">
        <v>30</v>
      </c>
      <c r="Q806" s="1" t="s">
        <v>31</v>
      </c>
      <c r="R806" s="1" t="s">
        <v>32</v>
      </c>
      <c r="S806" s="1" t="s">
        <v>33</v>
      </c>
      <c r="T806" s="1" t="s">
        <v>34</v>
      </c>
      <c r="U806" s="1" t="s">
        <v>35</v>
      </c>
      <c r="V806" s="1" t="s">
        <v>36</v>
      </c>
      <c r="W806" s="1" t="s">
        <v>37</v>
      </c>
      <c r="X806" s="1" t="s">
        <v>38</v>
      </c>
      <c r="Y806" s="1" t="s">
        <v>39</v>
      </c>
      <c r="Z806" s="1" t="str">
        <f>TRIM(_xlfn.CONCAT(sales_data_sample[[#This Row],[CONTACTFIRSTNAME]],", ",sales_data_sample[[#This Row],[CONTACTLASTNAME]]))</f>
        <v>Kwai, Yu</v>
      </c>
      <c r="AA806" s="1" t="s">
        <v>40</v>
      </c>
    </row>
    <row r="807" spans="1:27" x14ac:dyDescent="0.25">
      <c r="A807">
        <v>10120</v>
      </c>
      <c r="B807">
        <v>46</v>
      </c>
      <c r="C807">
        <v>5815</v>
      </c>
      <c r="D807">
        <f>PRODUCT(sales_data_sample[[#This Row],[QUANTITYORDERED]],sales_data_sample[[#This Row],[PRICEEACH]])</f>
        <v>267490</v>
      </c>
      <c r="E807" s="9">
        <f>IF(OR(sales_data_sample[[#This Row],[STATUS]]="Shipped",sales_data_sample[[#This Row],[STATUS]]="Resolved"),sales_data_sample[[#This Row],[SALES]],0)</f>
        <v>267490</v>
      </c>
      <c r="F807">
        <v>4</v>
      </c>
      <c r="G807" s="12" t="s">
        <v>405</v>
      </c>
      <c r="H807" s="1" t="s">
        <v>26</v>
      </c>
      <c r="I807">
        <v>2</v>
      </c>
      <c r="J807">
        <v>4</v>
      </c>
      <c r="K807">
        <v>2003</v>
      </c>
      <c r="L807" s="1" t="s">
        <v>27</v>
      </c>
      <c r="M807">
        <v>60</v>
      </c>
      <c r="N807" s="1" t="s">
        <v>896</v>
      </c>
      <c r="O807" s="1" t="s">
        <v>113</v>
      </c>
      <c r="P807" s="1" t="s">
        <v>114</v>
      </c>
      <c r="Q807" s="1" t="s">
        <v>115</v>
      </c>
      <c r="R807" s="1" t="s">
        <v>116</v>
      </c>
      <c r="S807" s="1" t="s">
        <v>117</v>
      </c>
      <c r="T807" s="1" t="s">
        <v>118</v>
      </c>
      <c r="U807" s="1" t="s">
        <v>119</v>
      </c>
      <c r="V807" s="1" t="s">
        <v>120</v>
      </c>
      <c r="W807" s="1" t="s">
        <v>121</v>
      </c>
      <c r="X807" s="1" t="s">
        <v>122</v>
      </c>
      <c r="Y807" s="1" t="s">
        <v>123</v>
      </c>
      <c r="Z807" s="1" t="str">
        <f>TRIM(_xlfn.CONCAT(sales_data_sample[[#This Row],[CONTACTFIRSTNAME]],", ",sales_data_sample[[#This Row],[CONTACTLASTNAME]]))</f>
        <v>Peter, Ferguson</v>
      </c>
      <c r="AA807" s="1" t="s">
        <v>40</v>
      </c>
    </row>
    <row r="808" spans="1:27" x14ac:dyDescent="0.25">
      <c r="A808" s="10">
        <v>10134</v>
      </c>
      <c r="B808" s="9">
        <v>30</v>
      </c>
      <c r="C808" s="9">
        <v>6178</v>
      </c>
      <c r="D808" s="9">
        <f>PRODUCT(sales_data_sample[[#This Row],[QUANTITYORDERED]],sales_data_sample[[#This Row],[PRICEEACH]])</f>
        <v>185340</v>
      </c>
      <c r="E808" s="9">
        <f>IF(OR(sales_data_sample[[#This Row],[STATUS]]="Shipped",sales_data_sample[[#This Row],[STATUS]]="Resolved"),sales_data_sample[[#This Row],[SALES]],0)</f>
        <v>185340</v>
      </c>
      <c r="F808" s="10">
        <v>6</v>
      </c>
      <c r="G808" s="12" t="s">
        <v>51</v>
      </c>
      <c r="H808" s="1" t="s">
        <v>26</v>
      </c>
      <c r="I808">
        <v>3</v>
      </c>
      <c r="J808">
        <v>7</v>
      </c>
      <c r="K808">
        <v>2003</v>
      </c>
      <c r="L808" s="1" t="s">
        <v>27</v>
      </c>
      <c r="M808">
        <v>60</v>
      </c>
      <c r="N808" s="1" t="s">
        <v>896</v>
      </c>
      <c r="O808" s="1" t="s">
        <v>52</v>
      </c>
      <c r="P808" s="1" t="s">
        <v>53</v>
      </c>
      <c r="Q808" s="1" t="s">
        <v>54</v>
      </c>
      <c r="R808" s="1" t="s">
        <v>32</v>
      </c>
      <c r="S808" s="1" t="s">
        <v>55</v>
      </c>
      <c r="T808" s="1" t="s">
        <v>32</v>
      </c>
      <c r="U808" s="1" t="s">
        <v>56</v>
      </c>
      <c r="V808" s="1" t="s">
        <v>47</v>
      </c>
      <c r="W808" s="1" t="s">
        <v>48</v>
      </c>
      <c r="X808" s="1" t="s">
        <v>57</v>
      </c>
      <c r="Y808" s="1" t="s">
        <v>58</v>
      </c>
      <c r="Z808" s="1" t="str">
        <f>TRIM(_xlfn.CONCAT(sales_data_sample[[#This Row],[CONTACTFIRSTNAME]],", ",sales_data_sample[[#This Row],[CONTACTLASTNAME]]))</f>
        <v>Daniel, Da Cunha</v>
      </c>
      <c r="AA808" s="1" t="s">
        <v>40</v>
      </c>
    </row>
    <row r="809" spans="1:27" x14ac:dyDescent="0.25">
      <c r="A809" s="10">
        <v>10145</v>
      </c>
      <c r="B809" s="9">
        <v>30</v>
      </c>
      <c r="C809" s="9">
        <v>4967</v>
      </c>
      <c r="D809" s="9">
        <f>PRODUCT(sales_data_sample[[#This Row],[QUANTITYORDERED]],sales_data_sample[[#This Row],[PRICEEACH]])</f>
        <v>149010</v>
      </c>
      <c r="E809" s="9">
        <f>IF(OR(sales_data_sample[[#This Row],[STATUS]]="Shipped",sales_data_sample[[#This Row],[STATUS]]="Resolved"),sales_data_sample[[#This Row],[SALES]],0)</f>
        <v>149010</v>
      </c>
      <c r="F809" s="10">
        <v>10</v>
      </c>
      <c r="G809" s="12" t="s">
        <v>60</v>
      </c>
      <c r="H809" s="1" t="s">
        <v>26</v>
      </c>
      <c r="I809">
        <v>3</v>
      </c>
      <c r="J809">
        <v>8</v>
      </c>
      <c r="K809">
        <v>2003</v>
      </c>
      <c r="L809" s="1" t="s">
        <v>27</v>
      </c>
      <c r="M809">
        <v>60</v>
      </c>
      <c r="N809" s="1" t="s">
        <v>896</v>
      </c>
      <c r="O809" s="1" t="s">
        <v>61</v>
      </c>
      <c r="P809" s="1" t="s">
        <v>62</v>
      </c>
      <c r="Q809" s="1" t="s">
        <v>63</v>
      </c>
      <c r="R809" s="1" t="s">
        <v>32</v>
      </c>
      <c r="S809" s="1" t="s">
        <v>64</v>
      </c>
      <c r="T809" s="1" t="s">
        <v>65</v>
      </c>
      <c r="U809" s="1" t="s">
        <v>66</v>
      </c>
      <c r="V809" s="1" t="s">
        <v>36</v>
      </c>
      <c r="W809" s="1" t="s">
        <v>37</v>
      </c>
      <c r="X809" s="1" t="s">
        <v>67</v>
      </c>
      <c r="Y809" s="1" t="s">
        <v>68</v>
      </c>
      <c r="Z809" s="1" t="str">
        <f>TRIM(_xlfn.CONCAT(sales_data_sample[[#This Row],[CONTACTFIRSTNAME]],", ",sales_data_sample[[#This Row],[CONTACTLASTNAME]]))</f>
        <v>Julie, Young</v>
      </c>
      <c r="AA809" s="1" t="s">
        <v>40</v>
      </c>
    </row>
    <row r="810" spans="1:27" x14ac:dyDescent="0.25">
      <c r="A810" s="10">
        <v>10159</v>
      </c>
      <c r="B810" s="9">
        <v>42</v>
      </c>
      <c r="C810" s="9">
        <v>5148</v>
      </c>
      <c r="D810" s="9">
        <f>PRODUCT(sales_data_sample[[#This Row],[QUANTITYORDERED]],sales_data_sample[[#This Row],[PRICEEACH]])</f>
        <v>216216</v>
      </c>
      <c r="E810" s="9">
        <f>IF(OR(sales_data_sample[[#This Row],[STATUS]]="Shipped",sales_data_sample[[#This Row],[STATUS]]="Resolved"),sales_data_sample[[#This Row],[SALES]],0)</f>
        <v>216216</v>
      </c>
      <c r="F810" s="10">
        <v>18</v>
      </c>
      <c r="G810" s="12" t="s">
        <v>69</v>
      </c>
      <c r="H810" s="1" t="s">
        <v>26</v>
      </c>
      <c r="I810">
        <v>4</v>
      </c>
      <c r="J810">
        <v>10</v>
      </c>
      <c r="K810">
        <v>2003</v>
      </c>
      <c r="L810" s="1" t="s">
        <v>27</v>
      </c>
      <c r="M810">
        <v>60</v>
      </c>
      <c r="N810" s="1" t="s">
        <v>896</v>
      </c>
      <c r="O810" s="1" t="s">
        <v>70</v>
      </c>
      <c r="P810" s="1" t="s">
        <v>71</v>
      </c>
      <c r="Q810" s="1" t="s">
        <v>72</v>
      </c>
      <c r="R810" s="1" t="s">
        <v>32</v>
      </c>
      <c r="S810" s="1" t="s">
        <v>73</v>
      </c>
      <c r="T810" s="1" t="s">
        <v>65</v>
      </c>
      <c r="U810" s="1" t="s">
        <v>32</v>
      </c>
      <c r="V810" s="1" t="s">
        <v>36</v>
      </c>
      <c r="W810" s="1" t="s">
        <v>37</v>
      </c>
      <c r="X810" s="1" t="s">
        <v>74</v>
      </c>
      <c r="Y810" s="1" t="s">
        <v>68</v>
      </c>
      <c r="Z810" s="1" t="str">
        <f>TRIM(_xlfn.CONCAT(sales_data_sample[[#This Row],[CONTACTFIRSTNAME]],", ",sales_data_sample[[#This Row],[CONTACTLASTNAME]]))</f>
        <v>Julie, Brown</v>
      </c>
      <c r="AA810" s="1" t="s">
        <v>40</v>
      </c>
    </row>
    <row r="811" spans="1:27" x14ac:dyDescent="0.25">
      <c r="A811" s="10">
        <v>10168</v>
      </c>
      <c r="B811" s="9">
        <v>46</v>
      </c>
      <c r="C811" s="9">
        <v>6118</v>
      </c>
      <c r="D811" s="9">
        <f>PRODUCT(sales_data_sample[[#This Row],[QUANTITYORDERED]],sales_data_sample[[#This Row],[PRICEEACH]])</f>
        <v>281428</v>
      </c>
      <c r="E811" s="9">
        <f>IF(OR(sales_data_sample[[#This Row],[STATUS]]="Shipped",sales_data_sample[[#This Row],[STATUS]]="Resolved"),sales_data_sample[[#This Row],[SALES]],0)</f>
        <v>281428</v>
      </c>
      <c r="F811" s="10">
        <v>5</v>
      </c>
      <c r="G811" s="12" t="s">
        <v>75</v>
      </c>
      <c r="H811" s="1" t="s">
        <v>26</v>
      </c>
      <c r="I811">
        <v>4</v>
      </c>
      <c r="J811">
        <v>10</v>
      </c>
      <c r="K811">
        <v>2003</v>
      </c>
      <c r="L811" s="1" t="s">
        <v>27</v>
      </c>
      <c r="M811">
        <v>60</v>
      </c>
      <c r="N811" s="1" t="s">
        <v>896</v>
      </c>
      <c r="O811" s="1" t="s">
        <v>76</v>
      </c>
      <c r="P811" s="1" t="s">
        <v>77</v>
      </c>
      <c r="Q811" s="1" t="s">
        <v>78</v>
      </c>
      <c r="R811" s="1" t="s">
        <v>32</v>
      </c>
      <c r="S811" s="1" t="s">
        <v>79</v>
      </c>
      <c r="T811" s="1" t="s">
        <v>65</v>
      </c>
      <c r="U811" s="1" t="s">
        <v>80</v>
      </c>
      <c r="V811" s="1" t="s">
        <v>36</v>
      </c>
      <c r="W811" s="1" t="s">
        <v>37</v>
      </c>
      <c r="X811" s="1" t="s">
        <v>81</v>
      </c>
      <c r="Y811" s="1" t="s">
        <v>82</v>
      </c>
      <c r="Z811" s="1" t="str">
        <f>TRIM(_xlfn.CONCAT(sales_data_sample[[#This Row],[CONTACTFIRSTNAME]],", ",sales_data_sample[[#This Row],[CONTACTLASTNAME]]))</f>
        <v>Juri, Hirano</v>
      </c>
      <c r="AA811" s="1" t="s">
        <v>40</v>
      </c>
    </row>
    <row r="812" spans="1:27" x14ac:dyDescent="0.25">
      <c r="A812" s="10">
        <v>10180</v>
      </c>
      <c r="B812" s="9">
        <v>25</v>
      </c>
      <c r="C812" s="9">
        <v>642</v>
      </c>
      <c r="D812" s="9">
        <f>PRODUCT(sales_data_sample[[#This Row],[QUANTITYORDERED]],sales_data_sample[[#This Row],[PRICEEACH]])</f>
        <v>16050</v>
      </c>
      <c r="E812" s="9">
        <f>IF(OR(sales_data_sample[[#This Row],[STATUS]]="Shipped",sales_data_sample[[#This Row],[STATUS]]="Resolved"),sales_data_sample[[#This Row],[SALES]],0)</f>
        <v>16050</v>
      </c>
      <c r="F812" s="10">
        <v>13</v>
      </c>
      <c r="G812" s="12" t="s">
        <v>83</v>
      </c>
      <c r="H812" s="1" t="s">
        <v>26</v>
      </c>
      <c r="I812">
        <v>4</v>
      </c>
      <c r="J812">
        <v>11</v>
      </c>
      <c r="K812">
        <v>2003</v>
      </c>
      <c r="L812" s="1" t="s">
        <v>27</v>
      </c>
      <c r="M812">
        <v>60</v>
      </c>
      <c r="N812" s="1" t="s">
        <v>896</v>
      </c>
      <c r="O812" s="1" t="s">
        <v>84</v>
      </c>
      <c r="P812" s="1" t="s">
        <v>85</v>
      </c>
      <c r="Q812" s="1" t="s">
        <v>86</v>
      </c>
      <c r="R812" s="1" t="s">
        <v>32</v>
      </c>
      <c r="S812" s="1" t="s">
        <v>87</v>
      </c>
      <c r="T812" s="1" t="s">
        <v>32</v>
      </c>
      <c r="U812" s="1" t="s">
        <v>88</v>
      </c>
      <c r="V812" s="1" t="s">
        <v>47</v>
      </c>
      <c r="W812" s="1" t="s">
        <v>48</v>
      </c>
      <c r="X812" s="1" t="s">
        <v>89</v>
      </c>
      <c r="Y812" s="1" t="s">
        <v>90</v>
      </c>
      <c r="Z812" s="1" t="str">
        <f>TRIM(_xlfn.CONCAT(sales_data_sample[[#This Row],[CONTACTFIRSTNAME]],", ",sales_data_sample[[#This Row],[CONTACTLASTNAME]]))</f>
        <v>Martine, Rance</v>
      </c>
      <c r="AA812" s="1" t="s">
        <v>40</v>
      </c>
    </row>
    <row r="813" spans="1:27" x14ac:dyDescent="0.25">
      <c r="A813" s="10">
        <v>10188</v>
      </c>
      <c r="B813" s="9">
        <v>32</v>
      </c>
      <c r="C813" s="9">
        <v>6542</v>
      </c>
      <c r="D813" s="9">
        <f>PRODUCT(sales_data_sample[[#This Row],[QUANTITYORDERED]],sales_data_sample[[#This Row],[PRICEEACH]])</f>
        <v>209344</v>
      </c>
      <c r="E813" s="9">
        <f>IF(OR(sales_data_sample[[#This Row],[STATUS]]="Shipped",sales_data_sample[[#This Row],[STATUS]]="Resolved"),sales_data_sample[[#This Row],[SALES]],0)</f>
        <v>209344</v>
      </c>
      <c r="F813" s="10">
        <v>5</v>
      </c>
      <c r="G813" s="12" t="s">
        <v>91</v>
      </c>
      <c r="H813" s="1" t="s">
        <v>26</v>
      </c>
      <c r="I813">
        <v>4</v>
      </c>
      <c r="J813">
        <v>11</v>
      </c>
      <c r="K813">
        <v>2003</v>
      </c>
      <c r="L813" s="1" t="s">
        <v>27</v>
      </c>
      <c r="M813">
        <v>60</v>
      </c>
      <c r="N813" s="1" t="s">
        <v>896</v>
      </c>
      <c r="O813" s="1" t="s">
        <v>92</v>
      </c>
      <c r="P813" s="1" t="s">
        <v>93</v>
      </c>
      <c r="Q813" s="1" t="s">
        <v>94</v>
      </c>
      <c r="R813" s="1" t="s">
        <v>32</v>
      </c>
      <c r="S813" s="1" t="s">
        <v>95</v>
      </c>
      <c r="T813" s="1" t="s">
        <v>32</v>
      </c>
      <c r="U813" s="1" t="s">
        <v>96</v>
      </c>
      <c r="V813" s="1" t="s">
        <v>97</v>
      </c>
      <c r="W813" s="1" t="s">
        <v>48</v>
      </c>
      <c r="X813" s="1" t="s">
        <v>98</v>
      </c>
      <c r="Y813" s="1" t="s">
        <v>99</v>
      </c>
      <c r="Z813" s="1" t="str">
        <f>TRIM(_xlfn.CONCAT(sales_data_sample[[#This Row],[CONTACTFIRSTNAME]],", ",sales_data_sample[[#This Row],[CONTACTLASTNAME]]))</f>
        <v>Veysel, Oeztan</v>
      </c>
      <c r="AA813" s="1" t="s">
        <v>40</v>
      </c>
    </row>
    <row r="814" spans="1:27" x14ac:dyDescent="0.25">
      <c r="A814" s="10">
        <v>10201</v>
      </c>
      <c r="B814" s="9">
        <v>30</v>
      </c>
      <c r="C814" s="9">
        <v>6481</v>
      </c>
      <c r="D814" s="9">
        <f>PRODUCT(sales_data_sample[[#This Row],[QUANTITYORDERED]],sales_data_sample[[#This Row],[PRICEEACH]])</f>
        <v>194430</v>
      </c>
      <c r="E814" s="9">
        <f>IF(OR(sales_data_sample[[#This Row],[STATUS]]="Shipped",sales_data_sample[[#This Row],[STATUS]]="Resolved"),sales_data_sample[[#This Row],[SALES]],0)</f>
        <v>194430</v>
      </c>
      <c r="F814" s="10">
        <v>6</v>
      </c>
      <c r="G814" s="12" t="s">
        <v>100</v>
      </c>
      <c r="H814" s="1" t="s">
        <v>26</v>
      </c>
      <c r="I814">
        <v>4</v>
      </c>
      <c r="J814">
        <v>12</v>
      </c>
      <c r="K814">
        <v>2003</v>
      </c>
      <c r="L814" s="1" t="s">
        <v>27</v>
      </c>
      <c r="M814">
        <v>60</v>
      </c>
      <c r="N814" s="1" t="s">
        <v>896</v>
      </c>
      <c r="O814" s="1" t="s">
        <v>101</v>
      </c>
      <c r="P814" s="1" t="s">
        <v>102</v>
      </c>
      <c r="Q814" s="1" t="s">
        <v>103</v>
      </c>
      <c r="R814" s="1" t="s">
        <v>32</v>
      </c>
      <c r="S814" s="1" t="s">
        <v>73</v>
      </c>
      <c r="T814" s="1" t="s">
        <v>65</v>
      </c>
      <c r="U814" s="1" t="s">
        <v>32</v>
      </c>
      <c r="V814" s="1" t="s">
        <v>36</v>
      </c>
      <c r="W814" s="1" t="s">
        <v>37</v>
      </c>
      <c r="X814" s="1" t="s">
        <v>104</v>
      </c>
      <c r="Y814" s="1" t="s">
        <v>68</v>
      </c>
      <c r="Z814" s="1" t="str">
        <f>TRIM(_xlfn.CONCAT(sales_data_sample[[#This Row],[CONTACTFIRSTNAME]],", ",sales_data_sample[[#This Row],[CONTACTLASTNAME]]))</f>
        <v>Julie, Murphy</v>
      </c>
      <c r="AA814" s="1" t="s">
        <v>40</v>
      </c>
    </row>
    <row r="815" spans="1:27" x14ac:dyDescent="0.25">
      <c r="A815" s="10">
        <v>10210</v>
      </c>
      <c r="B815" s="9">
        <v>40</v>
      </c>
      <c r="C815" s="9">
        <v>4967</v>
      </c>
      <c r="D815" s="9">
        <f>PRODUCT(sales_data_sample[[#This Row],[QUANTITYORDERED]],sales_data_sample[[#This Row],[PRICEEACH]])</f>
        <v>198680</v>
      </c>
      <c r="E815" s="9">
        <f>IF(OR(sales_data_sample[[#This Row],[STATUS]]="Shipped",sales_data_sample[[#This Row],[STATUS]]="Resolved"),sales_data_sample[[#This Row],[SALES]],0)</f>
        <v>198680</v>
      </c>
      <c r="F815" s="10">
        <v>3</v>
      </c>
      <c r="G815" s="12" t="s">
        <v>406</v>
      </c>
      <c r="H815" s="1" t="s">
        <v>26</v>
      </c>
      <c r="I815">
        <v>1</v>
      </c>
      <c r="J815">
        <v>1</v>
      </c>
      <c r="K815">
        <v>2004</v>
      </c>
      <c r="L815" s="1" t="s">
        <v>27</v>
      </c>
      <c r="M815">
        <v>60</v>
      </c>
      <c r="N815" s="1" t="s">
        <v>896</v>
      </c>
      <c r="O815" s="1" t="s">
        <v>407</v>
      </c>
      <c r="P815" s="1" t="s">
        <v>408</v>
      </c>
      <c r="Q815" s="1" t="s">
        <v>409</v>
      </c>
      <c r="R815" s="1" t="s">
        <v>32</v>
      </c>
      <c r="S815" s="1" t="s">
        <v>410</v>
      </c>
      <c r="T815" s="1" t="s">
        <v>410</v>
      </c>
      <c r="U815" s="1" t="s">
        <v>411</v>
      </c>
      <c r="V815" s="1" t="s">
        <v>264</v>
      </c>
      <c r="W815" s="1" t="s">
        <v>264</v>
      </c>
      <c r="X815" s="1" t="s">
        <v>412</v>
      </c>
      <c r="Y815" s="1" t="s">
        <v>413</v>
      </c>
      <c r="Z815" s="1" t="str">
        <f>TRIM(_xlfn.CONCAT(sales_data_sample[[#This Row],[CONTACTFIRSTNAME]],", ",sales_data_sample[[#This Row],[CONTACTLASTNAME]]))</f>
        <v>Mory, Kentary</v>
      </c>
      <c r="AA815" s="1" t="s">
        <v>40</v>
      </c>
    </row>
    <row r="816" spans="1:27" x14ac:dyDescent="0.25">
      <c r="A816">
        <v>10223</v>
      </c>
      <c r="B816">
        <v>28</v>
      </c>
      <c r="C816">
        <v>6057</v>
      </c>
      <c r="D816">
        <f>PRODUCT(sales_data_sample[[#This Row],[QUANTITYORDERED]],sales_data_sample[[#This Row],[PRICEEACH]])</f>
        <v>169596</v>
      </c>
      <c r="E816" s="9">
        <f>IF(OR(sales_data_sample[[#This Row],[STATUS]]="Shipped",sales_data_sample[[#This Row],[STATUS]]="Resolved"),sales_data_sample[[#This Row],[SALES]],0)</f>
        <v>169596</v>
      </c>
      <c r="F816">
        <v>5</v>
      </c>
      <c r="G816" s="12" t="s">
        <v>112</v>
      </c>
      <c r="H816" s="1" t="s">
        <v>26</v>
      </c>
      <c r="I816">
        <v>1</v>
      </c>
      <c r="J816">
        <v>2</v>
      </c>
      <c r="K816">
        <v>2004</v>
      </c>
      <c r="L816" s="1" t="s">
        <v>27</v>
      </c>
      <c r="M816">
        <v>60</v>
      </c>
      <c r="N816" s="1" t="s">
        <v>896</v>
      </c>
      <c r="O816" s="1" t="s">
        <v>113</v>
      </c>
      <c r="P816" s="1" t="s">
        <v>114</v>
      </c>
      <c r="Q816" s="1" t="s">
        <v>115</v>
      </c>
      <c r="R816" s="1" t="s">
        <v>116</v>
      </c>
      <c r="S816" s="1" t="s">
        <v>117</v>
      </c>
      <c r="T816" s="1" t="s">
        <v>118</v>
      </c>
      <c r="U816" s="1" t="s">
        <v>119</v>
      </c>
      <c r="V816" s="1" t="s">
        <v>120</v>
      </c>
      <c r="W816" s="1" t="s">
        <v>121</v>
      </c>
      <c r="X816" s="1" t="s">
        <v>122</v>
      </c>
      <c r="Y816" s="1" t="s">
        <v>123</v>
      </c>
      <c r="Z816" s="1" t="str">
        <f>TRIM(_xlfn.CONCAT(sales_data_sample[[#This Row],[CONTACTFIRSTNAME]],", ",sales_data_sample[[#This Row],[CONTACTLASTNAME]]))</f>
        <v>Peter, Ferguson</v>
      </c>
      <c r="AA816" s="1" t="s">
        <v>40</v>
      </c>
    </row>
    <row r="817" spans="1:27" x14ac:dyDescent="0.25">
      <c r="A817" s="10">
        <v>10236</v>
      </c>
      <c r="B817" s="9">
        <v>23</v>
      </c>
      <c r="C817" s="9">
        <v>5572</v>
      </c>
      <c r="D817" s="9">
        <f>PRODUCT(sales_data_sample[[#This Row],[QUANTITYORDERED]],sales_data_sample[[#This Row],[PRICEEACH]])</f>
        <v>128156</v>
      </c>
      <c r="E817" s="9">
        <f>IF(OR(sales_data_sample[[#This Row],[STATUS]]="Shipped",sales_data_sample[[#This Row],[STATUS]]="Resolved"),sales_data_sample[[#This Row],[SALES]],0)</f>
        <v>128156</v>
      </c>
      <c r="F817" s="10">
        <v>2</v>
      </c>
      <c r="G817" s="12" t="s">
        <v>414</v>
      </c>
      <c r="H817" s="1" t="s">
        <v>26</v>
      </c>
      <c r="I817">
        <v>2</v>
      </c>
      <c r="J817">
        <v>4</v>
      </c>
      <c r="K817">
        <v>2004</v>
      </c>
      <c r="L817" s="1" t="s">
        <v>27</v>
      </c>
      <c r="M817">
        <v>60</v>
      </c>
      <c r="N817" s="1" t="s">
        <v>896</v>
      </c>
      <c r="O817" s="1" t="s">
        <v>415</v>
      </c>
      <c r="P817" s="1" t="s">
        <v>416</v>
      </c>
      <c r="Q817" s="1" t="s">
        <v>417</v>
      </c>
      <c r="R817" s="1" t="s">
        <v>32</v>
      </c>
      <c r="S817" s="1" t="s">
        <v>286</v>
      </c>
      <c r="T817" s="1" t="s">
        <v>186</v>
      </c>
      <c r="U817" s="1" t="s">
        <v>287</v>
      </c>
      <c r="V817" s="1" t="s">
        <v>36</v>
      </c>
      <c r="W817" s="1" t="s">
        <v>37</v>
      </c>
      <c r="X817" s="1" t="s">
        <v>162</v>
      </c>
      <c r="Y817" s="1" t="s">
        <v>418</v>
      </c>
      <c r="Z817" s="1" t="str">
        <f>TRIM(_xlfn.CONCAT(sales_data_sample[[#This Row],[CONTACTFIRSTNAME]],", ",sales_data_sample[[#This Row],[CONTACTLASTNAME]]))</f>
        <v>Rosa, Hernandez</v>
      </c>
      <c r="AA817" s="1" t="s">
        <v>40</v>
      </c>
    </row>
    <row r="818" spans="1:27" x14ac:dyDescent="0.25">
      <c r="A818" s="10">
        <v>10251</v>
      </c>
      <c r="B818" s="9">
        <v>29</v>
      </c>
      <c r="C818" s="9">
        <v>6118</v>
      </c>
      <c r="D818" s="9">
        <f>PRODUCT(sales_data_sample[[#This Row],[QUANTITYORDERED]],sales_data_sample[[#This Row],[PRICEEACH]])</f>
        <v>177422</v>
      </c>
      <c r="E818" s="9">
        <f>IF(OR(sales_data_sample[[#This Row],[STATUS]]="Shipped",sales_data_sample[[#This Row],[STATUS]]="Resolved"),sales_data_sample[[#This Row],[SALES]],0)</f>
        <v>177422</v>
      </c>
      <c r="F818" s="10">
        <v>6</v>
      </c>
      <c r="G818" s="12" t="s">
        <v>131</v>
      </c>
      <c r="H818" s="1" t="s">
        <v>26</v>
      </c>
      <c r="I818">
        <v>2</v>
      </c>
      <c r="J818">
        <v>5</v>
      </c>
      <c r="K818">
        <v>2004</v>
      </c>
      <c r="L818" s="1" t="s">
        <v>27</v>
      </c>
      <c r="M818">
        <v>60</v>
      </c>
      <c r="N818" s="1" t="s">
        <v>896</v>
      </c>
      <c r="O818" s="1" t="s">
        <v>132</v>
      </c>
      <c r="P818" s="1" t="s">
        <v>133</v>
      </c>
      <c r="Q818" s="1" t="s">
        <v>134</v>
      </c>
      <c r="R818" s="1" t="s">
        <v>32</v>
      </c>
      <c r="S818" s="1" t="s">
        <v>135</v>
      </c>
      <c r="T818" s="1" t="s">
        <v>136</v>
      </c>
      <c r="U818" s="1" t="s">
        <v>137</v>
      </c>
      <c r="V818" s="1" t="s">
        <v>36</v>
      </c>
      <c r="W818" s="1" t="s">
        <v>37</v>
      </c>
      <c r="X818" s="1" t="s">
        <v>74</v>
      </c>
      <c r="Y818" s="1" t="s">
        <v>138</v>
      </c>
      <c r="Z818" s="1" t="str">
        <f>TRIM(_xlfn.CONCAT(sales_data_sample[[#This Row],[CONTACTFIRSTNAME]],", ",sales_data_sample[[#This Row],[CONTACTLASTNAME]]))</f>
        <v>William, Brown</v>
      </c>
      <c r="AA818" s="1" t="s">
        <v>40</v>
      </c>
    </row>
    <row r="819" spans="1:27" x14ac:dyDescent="0.25">
      <c r="A819" s="10">
        <v>10263</v>
      </c>
      <c r="B819" s="9">
        <v>34</v>
      </c>
      <c r="C819" s="9">
        <v>5875</v>
      </c>
      <c r="D819" s="9">
        <f>PRODUCT(sales_data_sample[[#This Row],[QUANTITYORDERED]],sales_data_sample[[#This Row],[PRICEEACH]])</f>
        <v>199750</v>
      </c>
      <c r="E819" s="9">
        <f>IF(OR(sales_data_sample[[#This Row],[STATUS]]="Shipped",sales_data_sample[[#This Row],[STATUS]]="Resolved"),sales_data_sample[[#This Row],[SALES]],0)</f>
        <v>199750</v>
      </c>
      <c r="F819" s="10">
        <v>6</v>
      </c>
      <c r="G819" s="12" t="s">
        <v>139</v>
      </c>
      <c r="H819" s="1" t="s">
        <v>26</v>
      </c>
      <c r="I819">
        <v>2</v>
      </c>
      <c r="J819">
        <v>6</v>
      </c>
      <c r="K819">
        <v>2004</v>
      </c>
      <c r="L819" s="1" t="s">
        <v>27</v>
      </c>
      <c r="M819">
        <v>60</v>
      </c>
      <c r="N819" s="1" t="s">
        <v>896</v>
      </c>
      <c r="O819" s="1" t="s">
        <v>140</v>
      </c>
      <c r="P819" s="1" t="s">
        <v>141</v>
      </c>
      <c r="Q819" s="1" t="s">
        <v>142</v>
      </c>
      <c r="R819" s="1" t="s">
        <v>32</v>
      </c>
      <c r="S819" s="1" t="s">
        <v>143</v>
      </c>
      <c r="T819" s="1" t="s">
        <v>144</v>
      </c>
      <c r="U819" s="1" t="s">
        <v>145</v>
      </c>
      <c r="V819" s="1" t="s">
        <v>36</v>
      </c>
      <c r="W819" s="1" t="s">
        <v>37</v>
      </c>
      <c r="X819" s="1" t="s">
        <v>146</v>
      </c>
      <c r="Y819" s="1" t="s">
        <v>68</v>
      </c>
      <c r="Z819" s="1" t="str">
        <f>TRIM(_xlfn.CONCAT(sales_data_sample[[#This Row],[CONTACTFIRSTNAME]],", ",sales_data_sample[[#This Row],[CONTACTLASTNAME]]))</f>
        <v>Julie, King</v>
      </c>
      <c r="AA819" s="1" t="s">
        <v>40</v>
      </c>
    </row>
    <row r="820" spans="1:27" x14ac:dyDescent="0.25">
      <c r="A820" s="10">
        <v>10275</v>
      </c>
      <c r="B820" s="9">
        <v>37</v>
      </c>
      <c r="C820" s="9">
        <v>636</v>
      </c>
      <c r="D820" s="9">
        <f>PRODUCT(sales_data_sample[[#This Row],[QUANTITYORDERED]],sales_data_sample[[#This Row],[PRICEEACH]])</f>
        <v>23532</v>
      </c>
      <c r="E820" s="9">
        <f>IF(OR(sales_data_sample[[#This Row],[STATUS]]="Shipped",sales_data_sample[[#This Row],[STATUS]]="Resolved"),sales_data_sample[[#This Row],[SALES]],0)</f>
        <v>23532</v>
      </c>
      <c r="F820" s="10">
        <v>5</v>
      </c>
      <c r="G820" s="12" t="s">
        <v>147</v>
      </c>
      <c r="H820" s="1" t="s">
        <v>26</v>
      </c>
      <c r="I820">
        <v>3</v>
      </c>
      <c r="J820">
        <v>7</v>
      </c>
      <c r="K820">
        <v>2004</v>
      </c>
      <c r="L820" s="1" t="s">
        <v>27</v>
      </c>
      <c r="M820">
        <v>60</v>
      </c>
      <c r="N820" s="1" t="s">
        <v>896</v>
      </c>
      <c r="O820" s="1" t="s">
        <v>148</v>
      </c>
      <c r="P820" s="1" t="s">
        <v>149</v>
      </c>
      <c r="Q820" s="1" t="s">
        <v>150</v>
      </c>
      <c r="R820" s="1" t="s">
        <v>32</v>
      </c>
      <c r="S820" s="1" t="s">
        <v>151</v>
      </c>
      <c r="T820" s="1" t="s">
        <v>32</v>
      </c>
      <c r="U820" s="1" t="s">
        <v>152</v>
      </c>
      <c r="V820" s="1" t="s">
        <v>47</v>
      </c>
      <c r="W820" s="1" t="s">
        <v>48</v>
      </c>
      <c r="X820" s="1" t="s">
        <v>153</v>
      </c>
      <c r="Y820" s="1" t="s">
        <v>154</v>
      </c>
      <c r="Z820" s="1" t="str">
        <f>TRIM(_xlfn.CONCAT(sales_data_sample[[#This Row],[CONTACTFIRSTNAME]],", ",sales_data_sample[[#This Row],[CONTACTLASTNAME]]))</f>
        <v>Janine, Labrune</v>
      </c>
      <c r="AA820" s="1" t="s">
        <v>40</v>
      </c>
    </row>
    <row r="821" spans="1:27" x14ac:dyDescent="0.25">
      <c r="A821" s="10">
        <v>10285</v>
      </c>
      <c r="B821" s="9">
        <v>20</v>
      </c>
      <c r="C821" s="9">
        <v>4906</v>
      </c>
      <c r="D821" s="9">
        <f>PRODUCT(sales_data_sample[[#This Row],[QUANTITYORDERED]],sales_data_sample[[#This Row],[PRICEEACH]])</f>
        <v>98120</v>
      </c>
      <c r="E821" s="9">
        <f>IF(OR(sales_data_sample[[#This Row],[STATUS]]="Shipped",sales_data_sample[[#This Row],[STATUS]]="Resolved"),sales_data_sample[[#This Row],[SALES]],0)</f>
        <v>98120</v>
      </c>
      <c r="F821" s="10">
        <v>10</v>
      </c>
      <c r="G821" s="12" t="s">
        <v>155</v>
      </c>
      <c r="H821" s="1" t="s">
        <v>26</v>
      </c>
      <c r="I821">
        <v>3</v>
      </c>
      <c r="J821">
        <v>8</v>
      </c>
      <c r="K821">
        <v>2004</v>
      </c>
      <c r="L821" s="1" t="s">
        <v>27</v>
      </c>
      <c r="M821">
        <v>60</v>
      </c>
      <c r="N821" s="1" t="s">
        <v>896</v>
      </c>
      <c r="O821" s="1" t="s">
        <v>156</v>
      </c>
      <c r="P821" s="1" t="s">
        <v>157</v>
      </c>
      <c r="Q821" s="1" t="s">
        <v>158</v>
      </c>
      <c r="R821" s="1" t="s">
        <v>32</v>
      </c>
      <c r="S821" s="1" t="s">
        <v>159</v>
      </c>
      <c r="T821" s="1" t="s">
        <v>160</v>
      </c>
      <c r="U821" s="1" t="s">
        <v>161</v>
      </c>
      <c r="V821" s="1" t="s">
        <v>36</v>
      </c>
      <c r="W821" s="1" t="s">
        <v>37</v>
      </c>
      <c r="X821" s="1" t="s">
        <v>162</v>
      </c>
      <c r="Y821" s="1" t="s">
        <v>163</v>
      </c>
      <c r="Z821" s="1" t="str">
        <f>TRIM(_xlfn.CONCAT(sales_data_sample[[#This Row],[CONTACTFIRSTNAME]],", ",sales_data_sample[[#This Row],[CONTACTLASTNAME]]))</f>
        <v>Marta, Hernandez</v>
      </c>
      <c r="AA821" s="1" t="s">
        <v>40</v>
      </c>
    </row>
    <row r="822" spans="1:27" x14ac:dyDescent="0.25">
      <c r="A822" s="10">
        <v>10298</v>
      </c>
      <c r="B822" s="9">
        <v>32</v>
      </c>
      <c r="C822" s="9">
        <v>4846</v>
      </c>
      <c r="D822" s="9">
        <f>PRODUCT(sales_data_sample[[#This Row],[QUANTITYORDERED]],sales_data_sample[[#This Row],[PRICEEACH]])</f>
        <v>155072</v>
      </c>
      <c r="E822" s="9">
        <f>IF(OR(sales_data_sample[[#This Row],[STATUS]]="Shipped",sales_data_sample[[#This Row],[STATUS]]="Resolved"),sales_data_sample[[#This Row],[SALES]],0)</f>
        <v>155072</v>
      </c>
      <c r="F822" s="10">
        <v>2</v>
      </c>
      <c r="G822" s="12" t="s">
        <v>419</v>
      </c>
      <c r="H822" s="1" t="s">
        <v>26</v>
      </c>
      <c r="I822">
        <v>3</v>
      </c>
      <c r="J822">
        <v>9</v>
      </c>
      <c r="K822">
        <v>2004</v>
      </c>
      <c r="L822" s="1" t="s">
        <v>27</v>
      </c>
      <c r="M822">
        <v>60</v>
      </c>
      <c r="N822" s="1" t="s">
        <v>896</v>
      </c>
      <c r="O822" s="1" t="s">
        <v>420</v>
      </c>
      <c r="P822" s="1" t="s">
        <v>421</v>
      </c>
      <c r="Q822" s="1" t="s">
        <v>422</v>
      </c>
      <c r="R822" s="1" t="s">
        <v>32</v>
      </c>
      <c r="S822" s="1" t="s">
        <v>151</v>
      </c>
      <c r="T822" s="1" t="s">
        <v>32</v>
      </c>
      <c r="U822" s="1" t="s">
        <v>152</v>
      </c>
      <c r="V822" s="1" t="s">
        <v>47</v>
      </c>
      <c r="W822" s="1" t="s">
        <v>48</v>
      </c>
      <c r="X822" s="1" t="s">
        <v>423</v>
      </c>
      <c r="Y822" s="1" t="s">
        <v>424</v>
      </c>
      <c r="Z822" s="1" t="str">
        <f>TRIM(_xlfn.CONCAT(sales_data_sample[[#This Row],[CONTACTFIRSTNAME]],", ",sales_data_sample[[#This Row],[CONTACTLASTNAME]]))</f>
        <v>Carine, Schmitt</v>
      </c>
      <c r="AA822" s="1" t="s">
        <v>40</v>
      </c>
    </row>
    <row r="823" spans="1:27" x14ac:dyDescent="0.25">
      <c r="A823" s="10">
        <v>10308</v>
      </c>
      <c r="B823" s="9">
        <v>34</v>
      </c>
      <c r="C823" s="9">
        <v>5209</v>
      </c>
      <c r="D823" s="9">
        <f>PRODUCT(sales_data_sample[[#This Row],[QUANTITYORDERED]],sales_data_sample[[#This Row],[PRICEEACH]])</f>
        <v>177106</v>
      </c>
      <c r="E823" s="9">
        <f>IF(OR(sales_data_sample[[#This Row],[STATUS]]="Shipped",sales_data_sample[[#This Row],[STATUS]]="Resolved"),sales_data_sample[[#This Row],[SALES]],0)</f>
        <v>177106</v>
      </c>
      <c r="F823" s="10">
        <v>3</v>
      </c>
      <c r="G823" s="12" t="s">
        <v>173</v>
      </c>
      <c r="H823" s="1" t="s">
        <v>26</v>
      </c>
      <c r="I823">
        <v>4</v>
      </c>
      <c r="J823">
        <v>10</v>
      </c>
      <c r="K823">
        <v>2004</v>
      </c>
      <c r="L823" s="1" t="s">
        <v>27</v>
      </c>
      <c r="M823">
        <v>60</v>
      </c>
      <c r="N823" s="1" t="s">
        <v>896</v>
      </c>
      <c r="O823" s="1" t="s">
        <v>425</v>
      </c>
      <c r="P823" s="1" t="s">
        <v>426</v>
      </c>
      <c r="Q823" s="1" t="s">
        <v>427</v>
      </c>
      <c r="R823" s="1" t="s">
        <v>32</v>
      </c>
      <c r="S823" s="1" t="s">
        <v>428</v>
      </c>
      <c r="T823" s="1" t="s">
        <v>34</v>
      </c>
      <c r="U823" s="1" t="s">
        <v>429</v>
      </c>
      <c r="V823" s="1" t="s">
        <v>36</v>
      </c>
      <c r="W823" s="1" t="s">
        <v>37</v>
      </c>
      <c r="X823" s="1" t="s">
        <v>129</v>
      </c>
      <c r="Y823" s="1" t="s">
        <v>314</v>
      </c>
      <c r="Z823" s="1" t="str">
        <f>TRIM(_xlfn.CONCAT(sales_data_sample[[#This Row],[CONTACTFIRSTNAME]],", ",sales_data_sample[[#This Row],[CONTACTLASTNAME]]))</f>
        <v>Steve, Frick</v>
      </c>
      <c r="AA823" s="1" t="s">
        <v>40</v>
      </c>
    </row>
    <row r="824" spans="1:27" x14ac:dyDescent="0.25">
      <c r="A824" s="10">
        <v>10318</v>
      </c>
      <c r="B824" s="9">
        <v>42</v>
      </c>
      <c r="C824" s="9">
        <v>527</v>
      </c>
      <c r="D824" s="9">
        <f>PRODUCT(sales_data_sample[[#This Row],[QUANTITYORDERED]],sales_data_sample[[#This Row],[PRICEEACH]])</f>
        <v>22134</v>
      </c>
      <c r="E824" s="9">
        <f>IF(OR(sales_data_sample[[#This Row],[STATUS]]="Shipped",sales_data_sample[[#This Row],[STATUS]]="Resolved"),sales_data_sample[[#This Row],[SALES]],0)</f>
        <v>22134</v>
      </c>
      <c r="F824" s="10">
        <v>5</v>
      </c>
      <c r="G824" s="12" t="s">
        <v>181</v>
      </c>
      <c r="H824" s="1" t="s">
        <v>26</v>
      </c>
      <c r="I824">
        <v>4</v>
      </c>
      <c r="J824">
        <v>11</v>
      </c>
      <c r="K824">
        <v>2004</v>
      </c>
      <c r="L824" s="1" t="s">
        <v>27</v>
      </c>
      <c r="M824">
        <v>60</v>
      </c>
      <c r="N824" s="1" t="s">
        <v>896</v>
      </c>
      <c r="O824" s="1" t="s">
        <v>182</v>
      </c>
      <c r="P824" s="1" t="s">
        <v>183</v>
      </c>
      <c r="Q824" s="1" t="s">
        <v>184</v>
      </c>
      <c r="R824" s="1" t="s">
        <v>32</v>
      </c>
      <c r="S824" s="1" t="s">
        <v>185</v>
      </c>
      <c r="T824" s="1" t="s">
        <v>186</v>
      </c>
      <c r="U824" s="1" t="s">
        <v>187</v>
      </c>
      <c r="V824" s="1" t="s">
        <v>36</v>
      </c>
      <c r="W824" s="1" t="s">
        <v>37</v>
      </c>
      <c r="X824" s="1" t="s">
        <v>38</v>
      </c>
      <c r="Y824" s="1" t="s">
        <v>188</v>
      </c>
      <c r="Z824" s="1" t="str">
        <f>TRIM(_xlfn.CONCAT(sales_data_sample[[#This Row],[CONTACTFIRSTNAME]],", ",sales_data_sample[[#This Row],[CONTACTLASTNAME]]))</f>
        <v>Kyung, Yu</v>
      </c>
      <c r="AA824" s="1" t="s">
        <v>40</v>
      </c>
    </row>
    <row r="825" spans="1:27" x14ac:dyDescent="0.25">
      <c r="A825" s="10">
        <v>10329</v>
      </c>
      <c r="B825" s="9">
        <v>38</v>
      </c>
      <c r="C825" s="9">
        <v>100</v>
      </c>
      <c r="D825" s="9">
        <f>PRODUCT(sales_data_sample[[#This Row],[QUANTITYORDERED]],sales_data_sample[[#This Row],[PRICEEACH]])</f>
        <v>3800</v>
      </c>
      <c r="E825" s="9">
        <f>IF(OR(sales_data_sample[[#This Row],[STATUS]]="Shipped",sales_data_sample[[#This Row],[STATUS]]="Resolved"),sales_data_sample[[#This Row],[SALES]],0)</f>
        <v>3800</v>
      </c>
      <c r="F825" s="10">
        <v>12</v>
      </c>
      <c r="G825" s="12" t="s">
        <v>189</v>
      </c>
      <c r="H825" s="1" t="s">
        <v>26</v>
      </c>
      <c r="I825">
        <v>4</v>
      </c>
      <c r="J825">
        <v>11</v>
      </c>
      <c r="K825">
        <v>2004</v>
      </c>
      <c r="L825" s="1" t="s">
        <v>27</v>
      </c>
      <c r="M825">
        <v>60</v>
      </c>
      <c r="N825" s="1" t="s">
        <v>896</v>
      </c>
      <c r="O825" s="1" t="s">
        <v>29</v>
      </c>
      <c r="P825" s="1" t="s">
        <v>30</v>
      </c>
      <c r="Q825" s="1" t="s">
        <v>31</v>
      </c>
      <c r="R825" s="1" t="s">
        <v>32</v>
      </c>
      <c r="S825" s="1" t="s">
        <v>33</v>
      </c>
      <c r="T825" s="1" t="s">
        <v>34</v>
      </c>
      <c r="U825" s="1" t="s">
        <v>35</v>
      </c>
      <c r="V825" s="1" t="s">
        <v>36</v>
      </c>
      <c r="W825" s="1" t="s">
        <v>37</v>
      </c>
      <c r="X825" s="1" t="s">
        <v>38</v>
      </c>
      <c r="Y825" s="1" t="s">
        <v>39</v>
      </c>
      <c r="Z825" s="1" t="str">
        <f>TRIM(_xlfn.CONCAT(sales_data_sample[[#This Row],[CONTACTFIRSTNAME]],", ",sales_data_sample[[#This Row],[CONTACTLASTNAME]]))</f>
        <v>Kwai, Yu</v>
      </c>
      <c r="AA825" s="1" t="s">
        <v>59</v>
      </c>
    </row>
    <row r="826" spans="1:27" x14ac:dyDescent="0.25">
      <c r="A826" s="10">
        <v>10339</v>
      </c>
      <c r="B826" s="9">
        <v>30</v>
      </c>
      <c r="C826" s="9">
        <v>6216</v>
      </c>
      <c r="D826" s="9">
        <f>PRODUCT(sales_data_sample[[#This Row],[QUANTITYORDERED]],sales_data_sample[[#This Row],[PRICEEACH]])</f>
        <v>186480</v>
      </c>
      <c r="E826" s="9">
        <f>IF(OR(sales_data_sample[[#This Row],[STATUS]]="Shipped",sales_data_sample[[#This Row],[STATUS]]="Resolved"),sales_data_sample[[#This Row],[SALES]],0)</f>
        <v>186480</v>
      </c>
      <c r="F826" s="10">
        <v>1</v>
      </c>
      <c r="G826" s="12" t="s">
        <v>430</v>
      </c>
      <c r="H826" s="1" t="s">
        <v>26</v>
      </c>
      <c r="I826">
        <v>4</v>
      </c>
      <c r="J826">
        <v>11</v>
      </c>
      <c r="K826">
        <v>2004</v>
      </c>
      <c r="L826" s="1" t="s">
        <v>27</v>
      </c>
      <c r="M826">
        <v>60</v>
      </c>
      <c r="N826" s="1" t="s">
        <v>896</v>
      </c>
      <c r="O826" s="1" t="s">
        <v>328</v>
      </c>
      <c r="P826" s="1" t="s">
        <v>329</v>
      </c>
      <c r="Q826" s="1" t="s">
        <v>330</v>
      </c>
      <c r="R826" s="1" t="s">
        <v>32</v>
      </c>
      <c r="S826" s="1" t="s">
        <v>331</v>
      </c>
      <c r="T826" s="1" t="s">
        <v>332</v>
      </c>
      <c r="U826" s="1" t="s">
        <v>333</v>
      </c>
      <c r="V826" s="1" t="s">
        <v>264</v>
      </c>
      <c r="W826" s="1" t="s">
        <v>264</v>
      </c>
      <c r="X826" s="1" t="s">
        <v>334</v>
      </c>
      <c r="Y826" s="1" t="s">
        <v>335</v>
      </c>
      <c r="Z826" s="1" t="str">
        <f>TRIM(_xlfn.CONCAT(sales_data_sample[[#This Row],[CONTACTFIRSTNAME]],", ",sales_data_sample[[#This Row],[CONTACTLASTNAME]]))</f>
        <v>Akiko, Shimamura</v>
      </c>
      <c r="AA826" s="1" t="s">
        <v>40</v>
      </c>
    </row>
    <row r="827" spans="1:27" x14ac:dyDescent="0.25">
      <c r="A827" s="10">
        <v>10362</v>
      </c>
      <c r="B827" s="9">
        <v>23</v>
      </c>
      <c r="C827" s="9">
        <v>4967</v>
      </c>
      <c r="D827" s="9">
        <f>PRODUCT(sales_data_sample[[#This Row],[QUANTITYORDERED]],sales_data_sample[[#This Row],[PRICEEACH]])</f>
        <v>114241</v>
      </c>
      <c r="E827" s="9">
        <f>IF(OR(sales_data_sample[[#This Row],[STATUS]]="Shipped",sales_data_sample[[#This Row],[STATUS]]="Resolved"),sales_data_sample[[#This Row],[SALES]],0)</f>
        <v>114241</v>
      </c>
      <c r="F827" s="10">
        <v>3</v>
      </c>
      <c r="G827" s="12" t="s">
        <v>434</v>
      </c>
      <c r="H827" s="1" t="s">
        <v>26</v>
      </c>
      <c r="I827">
        <v>1</v>
      </c>
      <c r="J827">
        <v>1</v>
      </c>
      <c r="K827">
        <v>2005</v>
      </c>
      <c r="L827" s="1" t="s">
        <v>27</v>
      </c>
      <c r="M827">
        <v>60</v>
      </c>
      <c r="N827" s="1" t="s">
        <v>896</v>
      </c>
      <c r="O827" s="1" t="s">
        <v>76</v>
      </c>
      <c r="P827" s="1" t="s">
        <v>77</v>
      </c>
      <c r="Q827" s="1" t="s">
        <v>78</v>
      </c>
      <c r="R827" s="1" t="s">
        <v>32</v>
      </c>
      <c r="S827" s="1" t="s">
        <v>79</v>
      </c>
      <c r="T827" s="1" t="s">
        <v>65</v>
      </c>
      <c r="U827" s="1" t="s">
        <v>80</v>
      </c>
      <c r="V827" s="1" t="s">
        <v>36</v>
      </c>
      <c r="W827" s="1" t="s">
        <v>37</v>
      </c>
      <c r="X827" s="1" t="s">
        <v>81</v>
      </c>
      <c r="Y827" s="1" t="s">
        <v>82</v>
      </c>
      <c r="Z827" s="1" t="str">
        <f>TRIM(_xlfn.CONCAT(sales_data_sample[[#This Row],[CONTACTFIRSTNAME]],", ",sales_data_sample[[#This Row],[CONTACTLASTNAME]]))</f>
        <v>Juri, Hirano</v>
      </c>
      <c r="AA827" s="1" t="s">
        <v>40</v>
      </c>
    </row>
    <row r="828" spans="1:27" x14ac:dyDescent="0.25">
      <c r="A828" s="10">
        <v>10374</v>
      </c>
      <c r="B828" s="9">
        <v>22</v>
      </c>
      <c r="C828" s="9">
        <v>533</v>
      </c>
      <c r="D828" s="9">
        <f>PRODUCT(sales_data_sample[[#This Row],[QUANTITYORDERED]],sales_data_sample[[#This Row],[PRICEEACH]])</f>
        <v>11726</v>
      </c>
      <c r="E828" s="9">
        <f>IF(OR(sales_data_sample[[#This Row],[STATUS]]="Shipped",sales_data_sample[[#This Row],[STATUS]]="Resolved"),sales_data_sample[[#This Row],[SALES]],0)</f>
        <v>11726</v>
      </c>
      <c r="F828" s="10">
        <v>4</v>
      </c>
      <c r="G828" s="12" t="s">
        <v>431</v>
      </c>
      <c r="H828" s="1" t="s">
        <v>26</v>
      </c>
      <c r="I828">
        <v>1</v>
      </c>
      <c r="J828">
        <v>2</v>
      </c>
      <c r="K828">
        <v>2005</v>
      </c>
      <c r="L828" s="1" t="s">
        <v>27</v>
      </c>
      <c r="M828">
        <v>60</v>
      </c>
      <c r="N828" s="1" t="s">
        <v>896</v>
      </c>
      <c r="O828" s="1" t="s">
        <v>274</v>
      </c>
      <c r="P828" s="1" t="s">
        <v>275</v>
      </c>
      <c r="Q828" s="1" t="s">
        <v>276</v>
      </c>
      <c r="R828" s="1" t="s">
        <v>32</v>
      </c>
      <c r="S828" s="1" t="s">
        <v>277</v>
      </c>
      <c r="T828" s="1" t="s">
        <v>278</v>
      </c>
      <c r="U828" s="1" t="s">
        <v>279</v>
      </c>
      <c r="V828" s="1" t="s">
        <v>120</v>
      </c>
      <c r="W828" s="1" t="s">
        <v>121</v>
      </c>
      <c r="X828" s="1" t="s">
        <v>280</v>
      </c>
      <c r="Y828" s="1" t="s">
        <v>281</v>
      </c>
      <c r="Z828" s="1" t="str">
        <f>TRIM(_xlfn.CONCAT(sales_data_sample[[#This Row],[CONTACTFIRSTNAME]],", ",sales_data_sample[[#This Row],[CONTACTLASTNAME]]))</f>
        <v>Tony, Calaghan</v>
      </c>
      <c r="AA828" s="1" t="s">
        <v>40</v>
      </c>
    </row>
    <row r="829" spans="1:27" x14ac:dyDescent="0.25">
      <c r="A829" s="10">
        <v>10389</v>
      </c>
      <c r="B829" s="9">
        <v>39</v>
      </c>
      <c r="C829" s="9">
        <v>100</v>
      </c>
      <c r="D829" s="9">
        <f>PRODUCT(sales_data_sample[[#This Row],[QUANTITYORDERED]],sales_data_sample[[#This Row],[PRICEEACH]])</f>
        <v>3900</v>
      </c>
      <c r="E829" s="9">
        <f>IF(OR(sales_data_sample[[#This Row],[STATUS]]="Shipped",sales_data_sample[[#This Row],[STATUS]]="Resolved"),sales_data_sample[[#This Row],[SALES]],0)</f>
        <v>3900</v>
      </c>
      <c r="F829" s="10">
        <v>5</v>
      </c>
      <c r="G829" s="12" t="s">
        <v>211</v>
      </c>
      <c r="H829" s="1" t="s">
        <v>26</v>
      </c>
      <c r="I829">
        <v>1</v>
      </c>
      <c r="J829">
        <v>3</v>
      </c>
      <c r="K829">
        <v>2005</v>
      </c>
      <c r="L829" s="1" t="s">
        <v>27</v>
      </c>
      <c r="M829">
        <v>60</v>
      </c>
      <c r="N829" s="1" t="s">
        <v>896</v>
      </c>
      <c r="O829" s="1" t="s">
        <v>347</v>
      </c>
      <c r="P829" s="1" t="s">
        <v>348</v>
      </c>
      <c r="Q829" s="1" t="s">
        <v>349</v>
      </c>
      <c r="R829" s="1" t="s">
        <v>32</v>
      </c>
      <c r="S829" s="1" t="s">
        <v>350</v>
      </c>
      <c r="T829" s="1" t="s">
        <v>32</v>
      </c>
      <c r="U829" s="1" t="s">
        <v>351</v>
      </c>
      <c r="V829" s="1" t="s">
        <v>247</v>
      </c>
      <c r="W829" s="1" t="s">
        <v>48</v>
      </c>
      <c r="X829" s="1" t="s">
        <v>352</v>
      </c>
      <c r="Y829" s="1" t="s">
        <v>272</v>
      </c>
      <c r="Z829" s="1" t="str">
        <f>TRIM(_xlfn.CONCAT(sales_data_sample[[#This Row],[CONTACTFIRSTNAME]],", ",sales_data_sample[[#This Row],[CONTACTLASTNAME]]))</f>
        <v>Maria, Larsson</v>
      </c>
      <c r="AA829" s="1" t="s">
        <v>59</v>
      </c>
    </row>
    <row r="830" spans="1:27" x14ac:dyDescent="0.25">
      <c r="A830" s="10">
        <v>10402</v>
      </c>
      <c r="B830" s="9">
        <v>55</v>
      </c>
      <c r="C830" s="9">
        <v>5572</v>
      </c>
      <c r="D830" s="9">
        <f>PRODUCT(sales_data_sample[[#This Row],[QUANTITYORDERED]],sales_data_sample[[#This Row],[PRICEEACH]])</f>
        <v>306460</v>
      </c>
      <c r="E830" s="9">
        <f>IF(OR(sales_data_sample[[#This Row],[STATUS]]="Shipped",sales_data_sample[[#This Row],[STATUS]]="Resolved"),sales_data_sample[[#This Row],[SALES]],0)</f>
        <v>306460</v>
      </c>
      <c r="F830" s="10">
        <v>2</v>
      </c>
      <c r="G830" s="12" t="s">
        <v>432</v>
      </c>
      <c r="H830" s="1" t="s">
        <v>26</v>
      </c>
      <c r="I830">
        <v>2</v>
      </c>
      <c r="J830">
        <v>4</v>
      </c>
      <c r="K830">
        <v>2005</v>
      </c>
      <c r="L830" s="1" t="s">
        <v>27</v>
      </c>
      <c r="M830">
        <v>60</v>
      </c>
      <c r="N830" s="1" t="s">
        <v>896</v>
      </c>
      <c r="O830" s="1" t="s">
        <v>106</v>
      </c>
      <c r="P830" s="1" t="s">
        <v>107</v>
      </c>
      <c r="Q830" s="1" t="s">
        <v>108</v>
      </c>
      <c r="R830" s="1" t="s">
        <v>32</v>
      </c>
      <c r="S830" s="1" t="s">
        <v>55</v>
      </c>
      <c r="T830" s="1" t="s">
        <v>32</v>
      </c>
      <c r="U830" s="1" t="s">
        <v>109</v>
      </c>
      <c r="V830" s="1" t="s">
        <v>47</v>
      </c>
      <c r="W830" s="1" t="s">
        <v>48</v>
      </c>
      <c r="X830" s="1" t="s">
        <v>110</v>
      </c>
      <c r="Y830" s="1" t="s">
        <v>111</v>
      </c>
      <c r="Z830" s="1" t="str">
        <f>TRIM(_xlfn.CONCAT(sales_data_sample[[#This Row],[CONTACTFIRSTNAME]],", ",sales_data_sample[[#This Row],[CONTACTLASTNAME]]))</f>
        <v>Dominique, Perrier</v>
      </c>
      <c r="AA830" s="1" t="s">
        <v>59</v>
      </c>
    </row>
    <row r="831" spans="1:27" x14ac:dyDescent="0.25">
      <c r="A831" s="10">
        <v>10417</v>
      </c>
      <c r="B831" s="9">
        <v>36</v>
      </c>
      <c r="C831" s="9">
        <v>6118</v>
      </c>
      <c r="D831" s="9">
        <f>PRODUCT(sales_data_sample[[#This Row],[QUANTITYORDERED]],sales_data_sample[[#This Row],[PRICEEACH]])</f>
        <v>220248</v>
      </c>
      <c r="E831" s="9">
        <f>IF(OR(sales_data_sample[[#This Row],[STATUS]]="Shipped",sales_data_sample[[#This Row],[STATUS]]="Resolved"),sales_data_sample[[#This Row],[SALES]],0)</f>
        <v>0</v>
      </c>
      <c r="F831" s="10">
        <v>6</v>
      </c>
      <c r="G831" s="12" t="s">
        <v>228</v>
      </c>
      <c r="H831" s="1" t="s">
        <v>229</v>
      </c>
      <c r="I831">
        <v>2</v>
      </c>
      <c r="J831">
        <v>5</v>
      </c>
      <c r="K831">
        <v>2005</v>
      </c>
      <c r="L831" s="1" t="s">
        <v>27</v>
      </c>
      <c r="M831">
        <v>60</v>
      </c>
      <c r="N831" s="1" t="s">
        <v>896</v>
      </c>
      <c r="O831" s="1" t="s">
        <v>230</v>
      </c>
      <c r="P831" s="1" t="s">
        <v>231</v>
      </c>
      <c r="Q831" s="1" t="s">
        <v>232</v>
      </c>
      <c r="R831" s="1" t="s">
        <v>32</v>
      </c>
      <c r="S831" s="1" t="s">
        <v>233</v>
      </c>
      <c r="T831" s="1" t="s">
        <v>32</v>
      </c>
      <c r="U831" s="1" t="s">
        <v>234</v>
      </c>
      <c r="V831" s="1" t="s">
        <v>235</v>
      </c>
      <c r="W831" s="1" t="s">
        <v>48</v>
      </c>
      <c r="X831" s="1" t="s">
        <v>236</v>
      </c>
      <c r="Y831" s="1" t="s">
        <v>237</v>
      </c>
      <c r="Z831" s="1" t="str">
        <f>TRIM(_xlfn.CONCAT(sales_data_sample[[#This Row],[CONTACTFIRSTNAME]],", ",sales_data_sample[[#This Row],[CONTACTLASTNAME]]))</f>
        <v>Diego, Freyre</v>
      </c>
      <c r="AA831" s="1" t="s">
        <v>40</v>
      </c>
    </row>
    <row r="832" spans="1:27" x14ac:dyDescent="0.25">
      <c r="A832" s="10">
        <v>10101</v>
      </c>
      <c r="B832" s="9">
        <v>26</v>
      </c>
      <c r="C832" s="9">
        <v>100</v>
      </c>
      <c r="D832" s="9">
        <f>PRODUCT(sales_data_sample[[#This Row],[QUANTITYORDERED]],sales_data_sample[[#This Row],[PRICEEACH]])</f>
        <v>2600</v>
      </c>
      <c r="E832" s="9">
        <f>IF(OR(sales_data_sample[[#This Row],[STATUS]]="Shipped",sales_data_sample[[#This Row],[STATUS]]="Resolved"),sales_data_sample[[#This Row],[SALES]],0)</f>
        <v>2600</v>
      </c>
      <c r="F832" s="10">
        <v>1</v>
      </c>
      <c r="G832" s="12" t="s">
        <v>885</v>
      </c>
      <c r="H832" s="1" t="s">
        <v>26</v>
      </c>
      <c r="I832">
        <v>1</v>
      </c>
      <c r="J832">
        <v>1</v>
      </c>
      <c r="K832">
        <v>2003</v>
      </c>
      <c r="L832" s="1" t="s">
        <v>799</v>
      </c>
      <c r="M832">
        <v>168</v>
      </c>
      <c r="N832" s="1" t="s">
        <v>897</v>
      </c>
      <c r="O832" s="1" t="s">
        <v>647</v>
      </c>
      <c r="P832" s="1" t="s">
        <v>648</v>
      </c>
      <c r="Q832" s="1" t="s">
        <v>649</v>
      </c>
      <c r="R832" s="1" t="s">
        <v>32</v>
      </c>
      <c r="S832" s="1" t="s">
        <v>650</v>
      </c>
      <c r="T832" s="1" t="s">
        <v>32</v>
      </c>
      <c r="U832" s="1" t="s">
        <v>651</v>
      </c>
      <c r="V832" s="1" t="s">
        <v>617</v>
      </c>
      <c r="W832" s="1" t="s">
        <v>48</v>
      </c>
      <c r="X832" s="1" t="s">
        <v>652</v>
      </c>
      <c r="Y832" s="1" t="s">
        <v>570</v>
      </c>
      <c r="Z832" s="1" t="str">
        <f>TRIM(_xlfn.CONCAT(sales_data_sample[[#This Row],[CONTACTFIRSTNAME]],", ",sales_data_sample[[#This Row],[CONTACTLASTNAME]]))</f>
        <v>Roland, Keitel</v>
      </c>
      <c r="AA832" s="1" t="s">
        <v>59</v>
      </c>
    </row>
    <row r="833" spans="1:27" x14ac:dyDescent="0.25">
      <c r="A833" s="10">
        <v>10110</v>
      </c>
      <c r="B833" s="9">
        <v>31</v>
      </c>
      <c r="C833" s="9">
        <v>100</v>
      </c>
      <c r="D833" s="9">
        <f>PRODUCT(sales_data_sample[[#This Row],[QUANTITYORDERED]],sales_data_sample[[#This Row],[PRICEEACH]])</f>
        <v>3100</v>
      </c>
      <c r="E833" s="9">
        <f>IF(OR(sales_data_sample[[#This Row],[STATUS]]="Shipped",sales_data_sample[[#This Row],[STATUS]]="Resolved"),sales_data_sample[[#This Row],[SALES]],0)</f>
        <v>3100</v>
      </c>
      <c r="F833" s="10">
        <v>1</v>
      </c>
      <c r="G833" s="12" t="s">
        <v>829</v>
      </c>
      <c r="H833" s="1" t="s">
        <v>26</v>
      </c>
      <c r="I833">
        <v>1</v>
      </c>
      <c r="J833">
        <v>3</v>
      </c>
      <c r="K833">
        <v>2003</v>
      </c>
      <c r="L833" s="1" t="s">
        <v>799</v>
      </c>
      <c r="M833">
        <v>168</v>
      </c>
      <c r="N833" s="1" t="s">
        <v>897</v>
      </c>
      <c r="O833" s="1" t="s">
        <v>695</v>
      </c>
      <c r="P833" s="1" t="s">
        <v>696</v>
      </c>
      <c r="Q833" s="1" t="s">
        <v>697</v>
      </c>
      <c r="R833" s="1" t="s">
        <v>32</v>
      </c>
      <c r="S833" s="1" t="s">
        <v>698</v>
      </c>
      <c r="T833" s="1" t="s">
        <v>32</v>
      </c>
      <c r="U833" s="1" t="s">
        <v>699</v>
      </c>
      <c r="V833" s="1" t="s">
        <v>225</v>
      </c>
      <c r="W833" s="1" t="s">
        <v>48</v>
      </c>
      <c r="X833" s="1" t="s">
        <v>700</v>
      </c>
      <c r="Y833" s="1" t="s">
        <v>118</v>
      </c>
      <c r="Z833" s="1" t="str">
        <f>TRIM(_xlfn.CONCAT(sales_data_sample[[#This Row],[CONTACTFIRSTNAME]],", ",sales_data_sample[[#This Row],[CONTACTLASTNAME]]))</f>
        <v>Victoria, Ashworth</v>
      </c>
      <c r="AA833" s="1" t="s">
        <v>59</v>
      </c>
    </row>
    <row r="834" spans="1:27" x14ac:dyDescent="0.25">
      <c r="A834">
        <v>10125</v>
      </c>
      <c r="B834">
        <v>34</v>
      </c>
      <c r="C834">
        <v>100</v>
      </c>
      <c r="D834">
        <f>PRODUCT(sales_data_sample[[#This Row],[QUANTITYORDERED]],sales_data_sample[[#This Row],[PRICEEACH]])</f>
        <v>3400</v>
      </c>
      <c r="E834" s="9">
        <f>IF(OR(sales_data_sample[[#This Row],[STATUS]]="Shipped",sales_data_sample[[#This Row],[STATUS]]="Resolved"),sales_data_sample[[#This Row],[SALES]],0)</f>
        <v>3400</v>
      </c>
      <c r="F834">
        <v>2</v>
      </c>
      <c r="G834" s="12" t="s">
        <v>802</v>
      </c>
      <c r="H834" s="1" t="s">
        <v>26</v>
      </c>
      <c r="I834">
        <v>2</v>
      </c>
      <c r="J834">
        <v>5</v>
      </c>
      <c r="K834">
        <v>2003</v>
      </c>
      <c r="L834" s="1" t="s">
        <v>799</v>
      </c>
      <c r="M834">
        <v>168</v>
      </c>
      <c r="N834" s="1" t="s">
        <v>897</v>
      </c>
      <c r="O834" s="1" t="s">
        <v>113</v>
      </c>
      <c r="P834" s="1" t="s">
        <v>114</v>
      </c>
      <c r="Q834" s="1" t="s">
        <v>115</v>
      </c>
      <c r="R834" s="1" t="s">
        <v>116</v>
      </c>
      <c r="S834" s="1" t="s">
        <v>117</v>
      </c>
      <c r="T834" s="1" t="s">
        <v>118</v>
      </c>
      <c r="U834" s="1" t="s">
        <v>119</v>
      </c>
      <c r="V834" s="1" t="s">
        <v>120</v>
      </c>
      <c r="W834" s="1" t="s">
        <v>121</v>
      </c>
      <c r="X834" s="1" t="s">
        <v>122</v>
      </c>
      <c r="Y834" s="1" t="s">
        <v>123</v>
      </c>
      <c r="Z834" s="1" t="str">
        <f>TRIM(_xlfn.CONCAT(sales_data_sample[[#This Row],[CONTACTFIRSTNAME]],", ",sales_data_sample[[#This Row],[CONTACTLASTNAME]]))</f>
        <v>Peter, Ferguson</v>
      </c>
      <c r="AA834" s="1" t="s">
        <v>59</v>
      </c>
    </row>
    <row r="835" spans="1:27" x14ac:dyDescent="0.25">
      <c r="A835">
        <v>10139</v>
      </c>
      <c r="B835">
        <v>41</v>
      </c>
      <c r="C835">
        <v>100</v>
      </c>
      <c r="D835">
        <f>PRODUCT(sales_data_sample[[#This Row],[QUANTITYORDERED]],sales_data_sample[[#This Row],[PRICEEACH]])</f>
        <v>4100</v>
      </c>
      <c r="E835" s="9">
        <f>IF(OR(sales_data_sample[[#This Row],[STATUS]]="Shipped",sales_data_sample[[#This Row],[STATUS]]="Resolved"),sales_data_sample[[#This Row],[SALES]],0)</f>
        <v>4100</v>
      </c>
      <c r="F835">
        <v>8</v>
      </c>
      <c r="G835" s="12" t="s">
        <v>803</v>
      </c>
      <c r="H835" s="1" t="s">
        <v>26</v>
      </c>
      <c r="I835">
        <v>3</v>
      </c>
      <c r="J835">
        <v>7</v>
      </c>
      <c r="K835">
        <v>2003</v>
      </c>
      <c r="L835" s="1" t="s">
        <v>799</v>
      </c>
      <c r="M835">
        <v>168</v>
      </c>
      <c r="N835" s="1" t="s">
        <v>897</v>
      </c>
      <c r="O835" s="1" t="s">
        <v>201</v>
      </c>
      <c r="P835" s="1" t="s">
        <v>202</v>
      </c>
      <c r="Q835" s="1" t="s">
        <v>203</v>
      </c>
      <c r="R835" s="1" t="s">
        <v>204</v>
      </c>
      <c r="S835" s="1" t="s">
        <v>205</v>
      </c>
      <c r="T835" s="1" t="s">
        <v>206</v>
      </c>
      <c r="U835" s="1" t="s">
        <v>207</v>
      </c>
      <c r="V835" s="1" t="s">
        <v>120</v>
      </c>
      <c r="W835" s="1" t="s">
        <v>121</v>
      </c>
      <c r="X835" s="1" t="s">
        <v>208</v>
      </c>
      <c r="Y835" s="1" t="s">
        <v>209</v>
      </c>
      <c r="Z835" s="1" t="str">
        <f>TRIM(_xlfn.CONCAT(sales_data_sample[[#This Row],[CONTACTFIRSTNAME]],", ",sales_data_sample[[#This Row],[CONTACTLASTNAME]]))</f>
        <v>Adrian, Huxley</v>
      </c>
      <c r="AA835" s="1" t="s">
        <v>199</v>
      </c>
    </row>
    <row r="836" spans="1:27" x14ac:dyDescent="0.25">
      <c r="A836" s="10">
        <v>10149</v>
      </c>
      <c r="B836" s="9">
        <v>23</v>
      </c>
      <c r="C836" s="9">
        <v>100</v>
      </c>
      <c r="D836" s="9">
        <f>PRODUCT(sales_data_sample[[#This Row],[QUANTITYORDERED]],sales_data_sample[[#This Row],[PRICEEACH]])</f>
        <v>2300</v>
      </c>
      <c r="E836" s="9">
        <f>IF(OR(sales_data_sample[[#This Row],[STATUS]]="Shipped",sales_data_sample[[#This Row],[STATUS]]="Resolved"),sales_data_sample[[#This Row],[SALES]],0)</f>
        <v>2300</v>
      </c>
      <c r="F836" s="10">
        <v>5</v>
      </c>
      <c r="G836" s="12" t="s">
        <v>804</v>
      </c>
      <c r="H836" s="1" t="s">
        <v>26</v>
      </c>
      <c r="I836">
        <v>3</v>
      </c>
      <c r="J836">
        <v>9</v>
      </c>
      <c r="K836">
        <v>2003</v>
      </c>
      <c r="L836" s="1" t="s">
        <v>799</v>
      </c>
      <c r="M836">
        <v>168</v>
      </c>
      <c r="N836" s="1" t="s">
        <v>897</v>
      </c>
      <c r="O836" s="1" t="s">
        <v>753</v>
      </c>
      <c r="P836" s="1" t="s">
        <v>754</v>
      </c>
      <c r="Q836" s="1" t="s">
        <v>755</v>
      </c>
      <c r="R836" s="1" t="s">
        <v>32</v>
      </c>
      <c r="S836" s="1" t="s">
        <v>756</v>
      </c>
      <c r="T836" s="1" t="s">
        <v>65</v>
      </c>
      <c r="U836" s="1" t="s">
        <v>80</v>
      </c>
      <c r="V836" s="1" t="s">
        <v>36</v>
      </c>
      <c r="W836" s="1" t="s">
        <v>37</v>
      </c>
      <c r="X836" s="1" t="s">
        <v>757</v>
      </c>
      <c r="Y836" s="1" t="s">
        <v>551</v>
      </c>
      <c r="Z836" s="1" t="str">
        <f>TRIM(_xlfn.CONCAT(sales_data_sample[[#This Row],[CONTACTFIRSTNAME]],", ",sales_data_sample[[#This Row],[CONTACTLASTNAME]]))</f>
        <v>Sue, Taylor</v>
      </c>
      <c r="AA836" s="1" t="s">
        <v>59</v>
      </c>
    </row>
    <row r="837" spans="1:27" x14ac:dyDescent="0.25">
      <c r="A837" s="10">
        <v>10162</v>
      </c>
      <c r="B837" s="9">
        <v>48</v>
      </c>
      <c r="C837" s="9">
        <v>100</v>
      </c>
      <c r="D837" s="9">
        <f>PRODUCT(sales_data_sample[[#This Row],[QUANTITYORDERED]],sales_data_sample[[#This Row],[PRICEEACH]])</f>
        <v>4800</v>
      </c>
      <c r="E837" s="9">
        <f>IF(OR(sales_data_sample[[#This Row],[STATUS]]="Shipped",sales_data_sample[[#This Row],[STATUS]]="Resolved"),sales_data_sample[[#This Row],[SALES]],0)</f>
        <v>4800</v>
      </c>
      <c r="F837" s="10">
        <v>3</v>
      </c>
      <c r="G837" s="12" t="s">
        <v>805</v>
      </c>
      <c r="H837" s="1" t="s">
        <v>26</v>
      </c>
      <c r="I837">
        <v>4</v>
      </c>
      <c r="J837">
        <v>10</v>
      </c>
      <c r="K837">
        <v>2003</v>
      </c>
      <c r="L837" s="1" t="s">
        <v>799</v>
      </c>
      <c r="M837">
        <v>168</v>
      </c>
      <c r="N837" s="1" t="s">
        <v>897</v>
      </c>
      <c r="O837" s="1" t="s">
        <v>70</v>
      </c>
      <c r="P837" s="1" t="s">
        <v>71</v>
      </c>
      <c r="Q837" s="1" t="s">
        <v>72</v>
      </c>
      <c r="R837" s="1" t="s">
        <v>32</v>
      </c>
      <c r="S837" s="1" t="s">
        <v>73</v>
      </c>
      <c r="T837" s="1" t="s">
        <v>65</v>
      </c>
      <c r="U837" s="1" t="s">
        <v>32</v>
      </c>
      <c r="V837" s="1" t="s">
        <v>36</v>
      </c>
      <c r="W837" s="1" t="s">
        <v>37</v>
      </c>
      <c r="X837" s="1" t="s">
        <v>74</v>
      </c>
      <c r="Y837" s="1" t="s">
        <v>68</v>
      </c>
      <c r="Z837" s="1" t="str">
        <f>TRIM(_xlfn.CONCAT(sales_data_sample[[#This Row],[CONTACTFIRSTNAME]],", ",sales_data_sample[[#This Row],[CONTACTLASTNAME]]))</f>
        <v>Julie, Brown</v>
      </c>
      <c r="AA837" s="1" t="s">
        <v>199</v>
      </c>
    </row>
    <row r="838" spans="1:27" x14ac:dyDescent="0.25">
      <c r="A838" s="10">
        <v>10173</v>
      </c>
      <c r="B838" s="9">
        <v>22</v>
      </c>
      <c r="C838" s="9">
        <v>100</v>
      </c>
      <c r="D838" s="9">
        <f>PRODUCT(sales_data_sample[[#This Row],[QUANTITYORDERED]],sales_data_sample[[#This Row],[PRICEEACH]])</f>
        <v>2200</v>
      </c>
      <c r="E838" s="9">
        <f>IF(OR(sales_data_sample[[#This Row],[STATUS]]="Shipped",sales_data_sample[[#This Row],[STATUS]]="Resolved"),sales_data_sample[[#This Row],[SALES]],0)</f>
        <v>2200</v>
      </c>
      <c r="F838" s="10">
        <v>7</v>
      </c>
      <c r="G838" s="12" t="s">
        <v>776</v>
      </c>
      <c r="H838" s="1" t="s">
        <v>26</v>
      </c>
      <c r="I838">
        <v>4</v>
      </c>
      <c r="J838">
        <v>11</v>
      </c>
      <c r="K838">
        <v>2003</v>
      </c>
      <c r="L838" s="1" t="s">
        <v>799</v>
      </c>
      <c r="M838">
        <v>168</v>
      </c>
      <c r="N838" s="1" t="s">
        <v>897</v>
      </c>
      <c r="O838" s="1" t="s">
        <v>806</v>
      </c>
      <c r="P838" s="1" t="s">
        <v>807</v>
      </c>
      <c r="Q838" s="1" t="s">
        <v>808</v>
      </c>
      <c r="R838" s="1" t="s">
        <v>32</v>
      </c>
      <c r="S838" s="1" t="s">
        <v>809</v>
      </c>
      <c r="T838" s="1" t="s">
        <v>32</v>
      </c>
      <c r="U838" s="1" t="s">
        <v>810</v>
      </c>
      <c r="V838" s="1" t="s">
        <v>343</v>
      </c>
      <c r="W838" s="1" t="s">
        <v>48</v>
      </c>
      <c r="X838" s="1" t="s">
        <v>811</v>
      </c>
      <c r="Y838" s="1" t="s">
        <v>812</v>
      </c>
      <c r="Z838" s="1" t="str">
        <f>TRIM(_xlfn.CONCAT(sales_data_sample[[#This Row],[CONTACTFIRSTNAME]],", ",sales_data_sample[[#This Row],[CONTACTLASTNAME]]))</f>
        <v>Giovanni, Rovelli</v>
      </c>
      <c r="AA838" s="1" t="s">
        <v>59</v>
      </c>
    </row>
    <row r="839" spans="1:27" x14ac:dyDescent="0.25">
      <c r="A839" s="10">
        <v>10182</v>
      </c>
      <c r="B839" s="9">
        <v>21</v>
      </c>
      <c r="C839" s="9">
        <v>100</v>
      </c>
      <c r="D839" s="9">
        <f>PRODUCT(sales_data_sample[[#This Row],[QUANTITYORDERED]],sales_data_sample[[#This Row],[PRICEEACH]])</f>
        <v>2100</v>
      </c>
      <c r="E839" s="9">
        <f>IF(OR(sales_data_sample[[#This Row],[STATUS]]="Shipped",sales_data_sample[[#This Row],[STATUS]]="Resolved"),sales_data_sample[[#This Row],[SALES]],0)</f>
        <v>2100</v>
      </c>
      <c r="F839" s="10">
        <v>4</v>
      </c>
      <c r="G839" s="12" t="s">
        <v>610</v>
      </c>
      <c r="H839" s="1" t="s">
        <v>26</v>
      </c>
      <c r="I839">
        <v>4</v>
      </c>
      <c r="J839">
        <v>11</v>
      </c>
      <c r="K839">
        <v>2003</v>
      </c>
      <c r="L839" s="1" t="s">
        <v>799</v>
      </c>
      <c r="M839">
        <v>168</v>
      </c>
      <c r="N839" s="1" t="s">
        <v>897</v>
      </c>
      <c r="O839" s="1" t="s">
        <v>361</v>
      </c>
      <c r="P839" s="1" t="s">
        <v>362</v>
      </c>
      <c r="Q839" s="1" t="s">
        <v>363</v>
      </c>
      <c r="R839" s="1" t="s">
        <v>32</v>
      </c>
      <c r="S839" s="1" t="s">
        <v>364</v>
      </c>
      <c r="T839" s="1" t="s">
        <v>65</v>
      </c>
      <c r="U839" s="1" t="s">
        <v>145</v>
      </c>
      <c r="V839" s="1" t="s">
        <v>36</v>
      </c>
      <c r="W839" s="1" t="s">
        <v>37</v>
      </c>
      <c r="X839" s="1" t="s">
        <v>365</v>
      </c>
      <c r="Y839" s="1" t="s">
        <v>366</v>
      </c>
      <c r="Z839" s="1" t="str">
        <f>TRIM(_xlfn.CONCAT(sales_data_sample[[#This Row],[CONTACTFIRSTNAME]],", ",sales_data_sample[[#This Row],[CONTACTLASTNAME]]))</f>
        <v>Valarie, Nelson</v>
      </c>
      <c r="AA839" s="1" t="s">
        <v>59</v>
      </c>
    </row>
    <row r="840" spans="1:27" x14ac:dyDescent="0.25">
      <c r="A840" s="10">
        <v>10193</v>
      </c>
      <c r="B840" s="9">
        <v>22</v>
      </c>
      <c r="C840" s="9">
        <v>100</v>
      </c>
      <c r="D840" s="9">
        <f>PRODUCT(sales_data_sample[[#This Row],[QUANTITYORDERED]],sales_data_sample[[#This Row],[PRICEEACH]])</f>
        <v>2200</v>
      </c>
      <c r="E840" s="9">
        <f>IF(OR(sales_data_sample[[#This Row],[STATUS]]="Shipped",sales_data_sample[[#This Row],[STATUS]]="Resolved"),sales_data_sample[[#This Row],[SALES]],0)</f>
        <v>2200</v>
      </c>
      <c r="F840" s="10">
        <v>8</v>
      </c>
      <c r="G840" s="12" t="s">
        <v>813</v>
      </c>
      <c r="H840" s="1" t="s">
        <v>26</v>
      </c>
      <c r="I840">
        <v>4</v>
      </c>
      <c r="J840">
        <v>11</v>
      </c>
      <c r="K840">
        <v>2003</v>
      </c>
      <c r="L840" s="1" t="s">
        <v>799</v>
      </c>
      <c r="M840">
        <v>168</v>
      </c>
      <c r="N840" s="1" t="s">
        <v>897</v>
      </c>
      <c r="O840" s="1" t="s">
        <v>814</v>
      </c>
      <c r="P840" s="1" t="s">
        <v>815</v>
      </c>
      <c r="Q840" s="1" t="s">
        <v>816</v>
      </c>
      <c r="R840" s="1" t="s">
        <v>32</v>
      </c>
      <c r="S840" s="1" t="s">
        <v>817</v>
      </c>
      <c r="T840" s="1" t="s">
        <v>118</v>
      </c>
      <c r="U840" s="1" t="s">
        <v>818</v>
      </c>
      <c r="V840" s="1" t="s">
        <v>120</v>
      </c>
      <c r="W840" s="1" t="s">
        <v>121</v>
      </c>
      <c r="X840" s="1" t="s">
        <v>819</v>
      </c>
      <c r="Y840" s="1" t="s">
        <v>820</v>
      </c>
      <c r="Z840" s="1" t="str">
        <f>TRIM(_xlfn.CONCAT(sales_data_sample[[#This Row],[CONTACTFIRSTNAME]],", ",sales_data_sample[[#This Row],[CONTACTLASTNAME]]))</f>
        <v>Sean, Connery</v>
      </c>
      <c r="AA840" s="1" t="s">
        <v>59</v>
      </c>
    </row>
    <row r="841" spans="1:27" x14ac:dyDescent="0.25">
      <c r="A841" s="10">
        <v>10205</v>
      </c>
      <c r="B841" s="9">
        <v>40</v>
      </c>
      <c r="C841" s="9">
        <v>100</v>
      </c>
      <c r="D841" s="9">
        <f>PRODUCT(sales_data_sample[[#This Row],[QUANTITYORDERED]],sales_data_sample[[#This Row],[PRICEEACH]])</f>
        <v>4000</v>
      </c>
      <c r="E841" s="9">
        <f>IF(OR(sales_data_sample[[#This Row],[STATUS]]="Shipped",sales_data_sample[[#This Row],[STATUS]]="Resolved"),sales_data_sample[[#This Row],[SALES]],0)</f>
        <v>4000</v>
      </c>
      <c r="F841" s="10">
        <v>3</v>
      </c>
      <c r="G841" s="12" t="s">
        <v>821</v>
      </c>
      <c r="H841" s="1" t="s">
        <v>26</v>
      </c>
      <c r="I841">
        <v>4</v>
      </c>
      <c r="J841">
        <v>12</v>
      </c>
      <c r="K841">
        <v>2003</v>
      </c>
      <c r="L841" s="1" t="s">
        <v>799</v>
      </c>
      <c r="M841">
        <v>168</v>
      </c>
      <c r="N841" s="1" t="s">
        <v>897</v>
      </c>
      <c r="O841" s="1" t="s">
        <v>230</v>
      </c>
      <c r="P841" s="1" t="s">
        <v>231</v>
      </c>
      <c r="Q841" s="1" t="s">
        <v>232</v>
      </c>
      <c r="R841" s="1" t="s">
        <v>32</v>
      </c>
      <c r="S841" s="1" t="s">
        <v>233</v>
      </c>
      <c r="T841" s="1" t="s">
        <v>32</v>
      </c>
      <c r="U841" s="1" t="s">
        <v>234</v>
      </c>
      <c r="V841" s="1" t="s">
        <v>235</v>
      </c>
      <c r="W841" s="1" t="s">
        <v>48</v>
      </c>
      <c r="X841" s="1" t="s">
        <v>236</v>
      </c>
      <c r="Y841" s="1" t="s">
        <v>237</v>
      </c>
      <c r="Z841" s="1" t="str">
        <f>TRIM(_xlfn.CONCAT(sales_data_sample[[#This Row],[CONTACTFIRSTNAME]],", ",sales_data_sample[[#This Row],[CONTACTLASTNAME]]))</f>
        <v>Diego, Freyre</v>
      </c>
      <c r="AA841" s="1" t="s">
        <v>199</v>
      </c>
    </row>
    <row r="842" spans="1:27" x14ac:dyDescent="0.25">
      <c r="A842" s="10">
        <v>10214</v>
      </c>
      <c r="B842" s="9">
        <v>50</v>
      </c>
      <c r="C842" s="9">
        <v>100</v>
      </c>
      <c r="D842" s="9">
        <f>PRODUCT(sales_data_sample[[#This Row],[QUANTITYORDERED]],sales_data_sample[[#This Row],[PRICEEACH]])</f>
        <v>5000</v>
      </c>
      <c r="E842" s="9">
        <f>IF(OR(sales_data_sample[[#This Row],[STATUS]]="Shipped",sales_data_sample[[#This Row],[STATUS]]="Resolved"),sales_data_sample[[#This Row],[SALES]],0)</f>
        <v>5000</v>
      </c>
      <c r="F842" s="10">
        <v>1</v>
      </c>
      <c r="G842" s="12" t="s">
        <v>874</v>
      </c>
      <c r="H842" s="1" t="s">
        <v>26</v>
      </c>
      <c r="I842">
        <v>1</v>
      </c>
      <c r="J842">
        <v>1</v>
      </c>
      <c r="K842">
        <v>2004</v>
      </c>
      <c r="L842" s="1" t="s">
        <v>799</v>
      </c>
      <c r="M842">
        <v>168</v>
      </c>
      <c r="N842" s="1" t="s">
        <v>897</v>
      </c>
      <c r="O842" s="1" t="s">
        <v>251</v>
      </c>
      <c r="P842" s="1" t="s">
        <v>252</v>
      </c>
      <c r="Q842" s="1" t="s">
        <v>253</v>
      </c>
      <c r="R842" s="1" t="s">
        <v>32</v>
      </c>
      <c r="S842" s="1" t="s">
        <v>233</v>
      </c>
      <c r="T842" s="1" t="s">
        <v>32</v>
      </c>
      <c r="U842" s="1" t="s">
        <v>254</v>
      </c>
      <c r="V842" s="1" t="s">
        <v>235</v>
      </c>
      <c r="W842" s="1" t="s">
        <v>48</v>
      </c>
      <c r="X842" s="1" t="s">
        <v>255</v>
      </c>
      <c r="Y842" s="1" t="s">
        <v>256</v>
      </c>
      <c r="Z842" s="1" t="str">
        <f>TRIM(_xlfn.CONCAT(sales_data_sample[[#This Row],[CONTACTFIRSTNAME]],", ",sales_data_sample[[#This Row],[CONTACTLASTNAME]]))</f>
        <v>Mart¡n, Sommer</v>
      </c>
      <c r="AA842" s="1" t="s">
        <v>199</v>
      </c>
    </row>
    <row r="843" spans="1:27" x14ac:dyDescent="0.25">
      <c r="A843" s="10">
        <v>10227</v>
      </c>
      <c r="B843" s="9">
        <v>29</v>
      </c>
      <c r="C843" s="9">
        <v>100</v>
      </c>
      <c r="D843" s="9">
        <f>PRODUCT(sales_data_sample[[#This Row],[QUANTITYORDERED]],sales_data_sample[[#This Row],[PRICEEACH]])</f>
        <v>2900</v>
      </c>
      <c r="E843" s="9">
        <f>IF(OR(sales_data_sample[[#This Row],[STATUS]]="Shipped",sales_data_sample[[#This Row],[STATUS]]="Resolved"),sales_data_sample[[#This Row],[SALES]],0)</f>
        <v>2900</v>
      </c>
      <c r="F843" s="10">
        <v>4</v>
      </c>
      <c r="G843" s="12" t="s">
        <v>822</v>
      </c>
      <c r="H843" s="1" t="s">
        <v>26</v>
      </c>
      <c r="I843">
        <v>1</v>
      </c>
      <c r="J843">
        <v>3</v>
      </c>
      <c r="K843">
        <v>2004</v>
      </c>
      <c r="L843" s="1" t="s">
        <v>799</v>
      </c>
      <c r="M843">
        <v>168</v>
      </c>
      <c r="N843" s="1" t="s">
        <v>897</v>
      </c>
      <c r="O843" s="1" t="s">
        <v>291</v>
      </c>
      <c r="P843" s="1" t="s">
        <v>292</v>
      </c>
      <c r="Q843" s="1" t="s">
        <v>293</v>
      </c>
      <c r="R843" s="1" t="s">
        <v>32</v>
      </c>
      <c r="S843" s="1" t="s">
        <v>294</v>
      </c>
      <c r="T843" s="1" t="s">
        <v>32</v>
      </c>
      <c r="U843" s="1" t="s">
        <v>295</v>
      </c>
      <c r="V843" s="1" t="s">
        <v>47</v>
      </c>
      <c r="W843" s="1" t="s">
        <v>48</v>
      </c>
      <c r="X843" s="1" t="s">
        <v>296</v>
      </c>
      <c r="Y843" s="1" t="s">
        <v>297</v>
      </c>
      <c r="Z843" s="1" t="str">
        <f>TRIM(_xlfn.CONCAT(sales_data_sample[[#This Row],[CONTACTFIRSTNAME]],", ",sales_data_sample[[#This Row],[CONTACTLASTNAME]]))</f>
        <v>Mary, Saveley</v>
      </c>
      <c r="AA843" s="1" t="s">
        <v>59</v>
      </c>
    </row>
    <row r="844" spans="1:27" x14ac:dyDescent="0.25">
      <c r="A844" s="10">
        <v>10244</v>
      </c>
      <c r="B844" s="9">
        <v>43</v>
      </c>
      <c r="C844" s="9">
        <v>100</v>
      </c>
      <c r="D844" s="9">
        <f>PRODUCT(sales_data_sample[[#This Row],[QUANTITYORDERED]],sales_data_sample[[#This Row],[PRICEEACH]])</f>
        <v>4300</v>
      </c>
      <c r="E844" s="9">
        <f>IF(OR(sales_data_sample[[#This Row],[STATUS]]="Shipped",sales_data_sample[[#This Row],[STATUS]]="Resolved"),sales_data_sample[[#This Row],[SALES]],0)</f>
        <v>4300</v>
      </c>
      <c r="F844" s="10">
        <v>8</v>
      </c>
      <c r="G844" s="12" t="s">
        <v>823</v>
      </c>
      <c r="H844" s="1" t="s">
        <v>26</v>
      </c>
      <c r="I844">
        <v>2</v>
      </c>
      <c r="J844">
        <v>4</v>
      </c>
      <c r="K844">
        <v>2004</v>
      </c>
      <c r="L844" s="1" t="s">
        <v>799</v>
      </c>
      <c r="M844">
        <v>168</v>
      </c>
      <c r="N844" s="1" t="s">
        <v>897</v>
      </c>
      <c r="O844" s="1" t="s">
        <v>230</v>
      </c>
      <c r="P844" s="1" t="s">
        <v>231</v>
      </c>
      <c r="Q844" s="1" t="s">
        <v>232</v>
      </c>
      <c r="R844" s="1" t="s">
        <v>32</v>
      </c>
      <c r="S844" s="1" t="s">
        <v>233</v>
      </c>
      <c r="T844" s="1" t="s">
        <v>32</v>
      </c>
      <c r="U844" s="1" t="s">
        <v>234</v>
      </c>
      <c r="V844" s="1" t="s">
        <v>235</v>
      </c>
      <c r="W844" s="1" t="s">
        <v>48</v>
      </c>
      <c r="X844" s="1" t="s">
        <v>236</v>
      </c>
      <c r="Y844" s="1" t="s">
        <v>237</v>
      </c>
      <c r="Z844" s="1" t="str">
        <f>TRIM(_xlfn.CONCAT(sales_data_sample[[#This Row],[CONTACTFIRSTNAME]],", ",sales_data_sample[[#This Row],[CONTACTLASTNAME]]))</f>
        <v>Diego, Freyre</v>
      </c>
      <c r="AA844" s="1" t="s">
        <v>59</v>
      </c>
    </row>
    <row r="845" spans="1:27" x14ac:dyDescent="0.25">
      <c r="A845" s="10">
        <v>10255</v>
      </c>
      <c r="B845" s="9">
        <v>24</v>
      </c>
      <c r="C845" s="9">
        <v>100</v>
      </c>
      <c r="D845" s="9">
        <f>PRODUCT(sales_data_sample[[#This Row],[QUANTITYORDERED]],sales_data_sample[[#This Row],[PRICEEACH]])</f>
        <v>2400</v>
      </c>
      <c r="E845" s="9">
        <f>IF(OR(sales_data_sample[[#This Row],[STATUS]]="Shipped",sales_data_sample[[#This Row],[STATUS]]="Resolved"),sales_data_sample[[#This Row],[SALES]],0)</f>
        <v>2400</v>
      </c>
      <c r="F845" s="10">
        <v>1</v>
      </c>
      <c r="G845" s="12" t="s">
        <v>898</v>
      </c>
      <c r="H845" s="1" t="s">
        <v>26</v>
      </c>
      <c r="I845">
        <v>2</v>
      </c>
      <c r="J845">
        <v>6</v>
      </c>
      <c r="K845">
        <v>2004</v>
      </c>
      <c r="L845" s="1" t="s">
        <v>799</v>
      </c>
      <c r="M845">
        <v>168</v>
      </c>
      <c r="N845" s="1" t="s">
        <v>897</v>
      </c>
      <c r="O845" s="1" t="s">
        <v>763</v>
      </c>
      <c r="P845" s="1" t="s">
        <v>764</v>
      </c>
      <c r="Q845" s="1" t="s">
        <v>765</v>
      </c>
      <c r="R845" s="1" t="s">
        <v>32</v>
      </c>
      <c r="S845" s="1" t="s">
        <v>766</v>
      </c>
      <c r="T845" s="1" t="s">
        <v>32</v>
      </c>
      <c r="U845" s="1" t="s">
        <v>767</v>
      </c>
      <c r="V845" s="1" t="s">
        <v>47</v>
      </c>
      <c r="W845" s="1" t="s">
        <v>48</v>
      </c>
      <c r="X845" s="1" t="s">
        <v>768</v>
      </c>
      <c r="Y845" s="1" t="s">
        <v>769</v>
      </c>
      <c r="Z845" s="1" t="str">
        <f>TRIM(_xlfn.CONCAT(sales_data_sample[[#This Row],[CONTACTFIRSTNAME]],", ",sales_data_sample[[#This Row],[CONTACTLASTNAME]]))</f>
        <v>Frederique, Citeaux</v>
      </c>
      <c r="AA845" s="1" t="s">
        <v>59</v>
      </c>
    </row>
    <row r="846" spans="1:27" x14ac:dyDescent="0.25">
      <c r="A846" s="10">
        <v>10280</v>
      </c>
      <c r="B846" s="9">
        <v>22</v>
      </c>
      <c r="C846" s="9">
        <v>100</v>
      </c>
      <c r="D846" s="9">
        <f>PRODUCT(sales_data_sample[[#This Row],[QUANTITYORDERED]],sales_data_sample[[#This Row],[PRICEEACH]])</f>
        <v>2200</v>
      </c>
      <c r="E846" s="9">
        <f>IF(OR(sales_data_sample[[#This Row],[STATUS]]="Shipped",sales_data_sample[[#This Row],[STATUS]]="Resolved"),sales_data_sample[[#This Row],[SALES]],0)</f>
        <v>2200</v>
      </c>
      <c r="F846" s="10">
        <v>10</v>
      </c>
      <c r="G846" s="12" t="s">
        <v>337</v>
      </c>
      <c r="H846" s="1" t="s">
        <v>26</v>
      </c>
      <c r="I846">
        <v>3</v>
      </c>
      <c r="J846">
        <v>8</v>
      </c>
      <c r="K846">
        <v>2004</v>
      </c>
      <c r="L846" s="1" t="s">
        <v>799</v>
      </c>
      <c r="M846">
        <v>168</v>
      </c>
      <c r="N846" s="1" t="s">
        <v>897</v>
      </c>
      <c r="O846" s="1" t="s">
        <v>338</v>
      </c>
      <c r="P846" s="1" t="s">
        <v>339</v>
      </c>
      <c r="Q846" s="1" t="s">
        <v>340</v>
      </c>
      <c r="R846" s="1" t="s">
        <v>32</v>
      </c>
      <c r="S846" s="1" t="s">
        <v>341</v>
      </c>
      <c r="T846" s="1" t="s">
        <v>32</v>
      </c>
      <c r="U846" s="1" t="s">
        <v>342</v>
      </c>
      <c r="V846" s="1" t="s">
        <v>343</v>
      </c>
      <c r="W846" s="1" t="s">
        <v>48</v>
      </c>
      <c r="X846" s="1" t="s">
        <v>344</v>
      </c>
      <c r="Y846" s="1" t="s">
        <v>345</v>
      </c>
      <c r="Z846" s="1" t="str">
        <f>TRIM(_xlfn.CONCAT(sales_data_sample[[#This Row],[CONTACTFIRSTNAME]],", ",sales_data_sample[[#This Row],[CONTACTLASTNAME]]))</f>
        <v>Paolo, Accorti</v>
      </c>
      <c r="AA846" s="1" t="s">
        <v>59</v>
      </c>
    </row>
    <row r="847" spans="1:27" x14ac:dyDescent="0.25">
      <c r="A847" s="10">
        <v>10289</v>
      </c>
      <c r="B847" s="9">
        <v>43</v>
      </c>
      <c r="C847" s="9">
        <v>100</v>
      </c>
      <c r="D847" s="9">
        <f>PRODUCT(sales_data_sample[[#This Row],[QUANTITYORDERED]],sales_data_sample[[#This Row],[PRICEEACH]])</f>
        <v>4300</v>
      </c>
      <c r="E847" s="9">
        <f>IF(OR(sales_data_sample[[#This Row],[STATUS]]="Shipped",sales_data_sample[[#This Row],[STATUS]]="Resolved"),sales_data_sample[[#This Row],[SALES]],0)</f>
        <v>4300</v>
      </c>
      <c r="F847" s="10">
        <v>3</v>
      </c>
      <c r="G847" s="12" t="s">
        <v>825</v>
      </c>
      <c r="H847" s="1" t="s">
        <v>26</v>
      </c>
      <c r="I847">
        <v>3</v>
      </c>
      <c r="J847">
        <v>9</v>
      </c>
      <c r="K847">
        <v>2004</v>
      </c>
      <c r="L847" s="1" t="s">
        <v>799</v>
      </c>
      <c r="M847">
        <v>168</v>
      </c>
      <c r="N847" s="1" t="s">
        <v>897</v>
      </c>
      <c r="O847" s="1" t="s">
        <v>92</v>
      </c>
      <c r="P847" s="1" t="s">
        <v>93</v>
      </c>
      <c r="Q847" s="1" t="s">
        <v>94</v>
      </c>
      <c r="R847" s="1" t="s">
        <v>32</v>
      </c>
      <c r="S847" s="1" t="s">
        <v>95</v>
      </c>
      <c r="T847" s="1" t="s">
        <v>32</v>
      </c>
      <c r="U847" s="1" t="s">
        <v>96</v>
      </c>
      <c r="V847" s="1" t="s">
        <v>97</v>
      </c>
      <c r="W847" s="1" t="s">
        <v>48</v>
      </c>
      <c r="X847" s="1" t="s">
        <v>98</v>
      </c>
      <c r="Y847" s="1" t="s">
        <v>99</v>
      </c>
      <c r="Z847" s="1" t="str">
        <f>TRIM(_xlfn.CONCAT(sales_data_sample[[#This Row],[CONTACTFIRSTNAME]],", ",sales_data_sample[[#This Row],[CONTACTLASTNAME]]))</f>
        <v>Veysel, Oeztan</v>
      </c>
      <c r="AA847" s="1" t="s">
        <v>199</v>
      </c>
    </row>
    <row r="848" spans="1:27" x14ac:dyDescent="0.25">
      <c r="A848" s="10">
        <v>10304</v>
      </c>
      <c r="B848" s="9">
        <v>20</v>
      </c>
      <c r="C848" s="9">
        <v>100</v>
      </c>
      <c r="D848" s="9">
        <f>PRODUCT(sales_data_sample[[#This Row],[QUANTITYORDERED]],sales_data_sample[[#This Row],[PRICEEACH]])</f>
        <v>2000</v>
      </c>
      <c r="E848" s="9">
        <f>IF(OR(sales_data_sample[[#This Row],[STATUS]]="Shipped",sales_data_sample[[#This Row],[STATUS]]="Resolved"),sales_data_sample[[#This Row],[SALES]],0)</f>
        <v>2000</v>
      </c>
      <c r="F848" s="10">
        <v>14</v>
      </c>
      <c r="G848" s="12" t="s">
        <v>353</v>
      </c>
      <c r="H848" s="1" t="s">
        <v>26</v>
      </c>
      <c r="I848">
        <v>4</v>
      </c>
      <c r="J848">
        <v>10</v>
      </c>
      <c r="K848">
        <v>2004</v>
      </c>
      <c r="L848" s="1" t="s">
        <v>799</v>
      </c>
      <c r="M848">
        <v>168</v>
      </c>
      <c r="N848" s="1" t="s">
        <v>897</v>
      </c>
      <c r="O848" s="1" t="s">
        <v>354</v>
      </c>
      <c r="P848" s="1" t="s">
        <v>355</v>
      </c>
      <c r="Q848" s="1" t="s">
        <v>356</v>
      </c>
      <c r="R848" s="1" t="s">
        <v>32</v>
      </c>
      <c r="S848" s="1" t="s">
        <v>357</v>
      </c>
      <c r="T848" s="1" t="s">
        <v>32</v>
      </c>
      <c r="U848" s="1" t="s">
        <v>358</v>
      </c>
      <c r="V848" s="1" t="s">
        <v>47</v>
      </c>
      <c r="W848" s="1" t="s">
        <v>48</v>
      </c>
      <c r="X848" s="1" t="s">
        <v>359</v>
      </c>
      <c r="Y848" s="1" t="s">
        <v>58</v>
      </c>
      <c r="Z848" s="1" t="str">
        <f>TRIM(_xlfn.CONCAT(sales_data_sample[[#This Row],[CONTACTFIRSTNAME]],", ",sales_data_sample[[#This Row],[CONTACTLASTNAME]]))</f>
        <v>Daniel, Tonini</v>
      </c>
      <c r="AA848" s="1" t="s">
        <v>59</v>
      </c>
    </row>
    <row r="849" spans="1:27" x14ac:dyDescent="0.25">
      <c r="A849" s="10">
        <v>10312</v>
      </c>
      <c r="B849" s="9">
        <v>25</v>
      </c>
      <c r="C849" s="9">
        <v>100</v>
      </c>
      <c r="D849" s="9">
        <f>PRODUCT(sales_data_sample[[#This Row],[QUANTITYORDERED]],sales_data_sample[[#This Row],[PRICEEACH]])</f>
        <v>2500</v>
      </c>
      <c r="E849" s="9">
        <f>IF(OR(sales_data_sample[[#This Row],[STATUS]]="Shipped",sales_data_sample[[#This Row],[STATUS]]="Resolved"),sales_data_sample[[#This Row],[SALES]],0)</f>
        <v>2500</v>
      </c>
      <c r="F849" s="10">
        <v>11</v>
      </c>
      <c r="G849" s="12" t="s">
        <v>360</v>
      </c>
      <c r="H849" s="1" t="s">
        <v>26</v>
      </c>
      <c r="I849">
        <v>4</v>
      </c>
      <c r="J849">
        <v>10</v>
      </c>
      <c r="K849">
        <v>2004</v>
      </c>
      <c r="L849" s="1" t="s">
        <v>799</v>
      </c>
      <c r="M849">
        <v>168</v>
      </c>
      <c r="N849" s="1" t="s">
        <v>897</v>
      </c>
      <c r="O849" s="1" t="s">
        <v>361</v>
      </c>
      <c r="P849" s="1" t="s">
        <v>362</v>
      </c>
      <c r="Q849" s="1" t="s">
        <v>363</v>
      </c>
      <c r="R849" s="1" t="s">
        <v>32</v>
      </c>
      <c r="S849" s="1" t="s">
        <v>364</v>
      </c>
      <c r="T849" s="1" t="s">
        <v>65</v>
      </c>
      <c r="U849" s="1" t="s">
        <v>145</v>
      </c>
      <c r="V849" s="1" t="s">
        <v>36</v>
      </c>
      <c r="W849" s="1" t="s">
        <v>37</v>
      </c>
      <c r="X849" s="1" t="s">
        <v>365</v>
      </c>
      <c r="Y849" s="1" t="s">
        <v>366</v>
      </c>
      <c r="Z849" s="1" t="str">
        <f>TRIM(_xlfn.CONCAT(sales_data_sample[[#This Row],[CONTACTFIRSTNAME]],", ",sales_data_sample[[#This Row],[CONTACTLASTNAME]]))</f>
        <v>Valarie, Nelson</v>
      </c>
      <c r="AA849" s="1" t="s">
        <v>59</v>
      </c>
    </row>
    <row r="850" spans="1:27" x14ac:dyDescent="0.25">
      <c r="A850" s="10">
        <v>10322</v>
      </c>
      <c r="B850" s="9">
        <v>36</v>
      </c>
      <c r="C850" s="9">
        <v>100</v>
      </c>
      <c r="D850" s="9">
        <f>PRODUCT(sales_data_sample[[#This Row],[QUANTITYORDERED]],sales_data_sample[[#This Row],[PRICEEACH]])</f>
        <v>3600</v>
      </c>
      <c r="E850" s="9">
        <f>IF(OR(sales_data_sample[[#This Row],[STATUS]]="Shipped",sales_data_sample[[#This Row],[STATUS]]="Resolved"),sales_data_sample[[#This Row],[SALES]],0)</f>
        <v>3600</v>
      </c>
      <c r="F850" s="10">
        <v>2</v>
      </c>
      <c r="G850" s="12" t="s">
        <v>367</v>
      </c>
      <c r="H850" s="1" t="s">
        <v>26</v>
      </c>
      <c r="I850">
        <v>4</v>
      </c>
      <c r="J850">
        <v>11</v>
      </c>
      <c r="K850">
        <v>2004</v>
      </c>
      <c r="L850" s="1" t="s">
        <v>799</v>
      </c>
      <c r="M850">
        <v>168</v>
      </c>
      <c r="N850" s="1" t="s">
        <v>897</v>
      </c>
      <c r="O850" s="1" t="s">
        <v>368</v>
      </c>
      <c r="P850" s="1" t="s">
        <v>369</v>
      </c>
      <c r="Q850" s="1" t="s">
        <v>370</v>
      </c>
      <c r="R850" s="1" t="s">
        <v>32</v>
      </c>
      <c r="S850" s="1" t="s">
        <v>371</v>
      </c>
      <c r="T850" s="1" t="s">
        <v>372</v>
      </c>
      <c r="U850" s="1" t="s">
        <v>373</v>
      </c>
      <c r="V850" s="1" t="s">
        <v>36</v>
      </c>
      <c r="W850" s="1" t="s">
        <v>37</v>
      </c>
      <c r="X850" s="1" t="s">
        <v>67</v>
      </c>
      <c r="Y850" s="1" t="s">
        <v>366</v>
      </c>
      <c r="Z850" s="1" t="str">
        <f>TRIM(_xlfn.CONCAT(sales_data_sample[[#This Row],[CONTACTFIRSTNAME]],", ",sales_data_sample[[#This Row],[CONTACTLASTNAME]]))</f>
        <v>Valarie, Young</v>
      </c>
      <c r="AA850" s="1" t="s">
        <v>59</v>
      </c>
    </row>
    <row r="851" spans="1:27" x14ac:dyDescent="0.25">
      <c r="A851" s="10">
        <v>10332</v>
      </c>
      <c r="B851" s="9">
        <v>24</v>
      </c>
      <c r="C851" s="9">
        <v>5267</v>
      </c>
      <c r="D851" s="9">
        <f>PRODUCT(sales_data_sample[[#This Row],[QUANTITYORDERED]],sales_data_sample[[#This Row],[PRICEEACH]])</f>
        <v>126408</v>
      </c>
      <c r="E851" s="9">
        <f>IF(OR(sales_data_sample[[#This Row],[STATUS]]="Shipped",sales_data_sample[[#This Row],[STATUS]]="Resolved"),sales_data_sample[[#This Row],[SALES]],0)</f>
        <v>126408</v>
      </c>
      <c r="F851" s="10">
        <v>1</v>
      </c>
      <c r="G851" s="12" t="s">
        <v>793</v>
      </c>
      <c r="H851" s="1" t="s">
        <v>26</v>
      </c>
      <c r="I851">
        <v>4</v>
      </c>
      <c r="J851">
        <v>11</v>
      </c>
      <c r="K851">
        <v>2004</v>
      </c>
      <c r="L851" s="1" t="s">
        <v>799</v>
      </c>
      <c r="M851">
        <v>168</v>
      </c>
      <c r="N851" s="1" t="s">
        <v>897</v>
      </c>
      <c r="O851" s="1" t="s">
        <v>695</v>
      </c>
      <c r="P851" s="1" t="s">
        <v>696</v>
      </c>
      <c r="Q851" s="1" t="s">
        <v>697</v>
      </c>
      <c r="R851" s="1" t="s">
        <v>32</v>
      </c>
      <c r="S851" s="1" t="s">
        <v>698</v>
      </c>
      <c r="T851" s="1" t="s">
        <v>32</v>
      </c>
      <c r="U851" s="1" t="s">
        <v>699</v>
      </c>
      <c r="V851" s="1" t="s">
        <v>225</v>
      </c>
      <c r="W851" s="1" t="s">
        <v>48</v>
      </c>
      <c r="X851" s="1" t="s">
        <v>700</v>
      </c>
      <c r="Y851" s="1" t="s">
        <v>118</v>
      </c>
      <c r="Z851" s="1" t="str">
        <f>TRIM(_xlfn.CONCAT(sales_data_sample[[#This Row],[CONTACTFIRSTNAME]],", ",sales_data_sample[[#This Row],[CONTACTLASTNAME]]))</f>
        <v>Victoria, Ashworth</v>
      </c>
      <c r="AA851" s="1" t="s">
        <v>40</v>
      </c>
    </row>
    <row r="852" spans="1:27" x14ac:dyDescent="0.25">
      <c r="A852">
        <v>10347</v>
      </c>
      <c r="B852">
        <v>21</v>
      </c>
      <c r="C852">
        <v>100</v>
      </c>
      <c r="D852">
        <f>PRODUCT(sales_data_sample[[#This Row],[QUANTITYORDERED]],sales_data_sample[[#This Row],[PRICEEACH]])</f>
        <v>2100</v>
      </c>
      <c r="E852" s="9">
        <f>IF(OR(sales_data_sample[[#This Row],[STATUS]]="Shipped",sales_data_sample[[#This Row],[STATUS]]="Resolved"),sales_data_sample[[#This Row],[SALES]],0)</f>
        <v>2100</v>
      </c>
      <c r="F852">
        <v>6</v>
      </c>
      <c r="G852" s="12" t="s">
        <v>375</v>
      </c>
      <c r="H852" s="1" t="s">
        <v>26</v>
      </c>
      <c r="I852">
        <v>4</v>
      </c>
      <c r="J852">
        <v>11</v>
      </c>
      <c r="K852">
        <v>2004</v>
      </c>
      <c r="L852" s="1" t="s">
        <v>799</v>
      </c>
      <c r="M852">
        <v>168</v>
      </c>
      <c r="N852" s="1" t="s">
        <v>897</v>
      </c>
      <c r="O852" s="1" t="s">
        <v>113</v>
      </c>
      <c r="P852" s="1" t="s">
        <v>114</v>
      </c>
      <c r="Q852" s="1" t="s">
        <v>115</v>
      </c>
      <c r="R852" s="1" t="s">
        <v>116</v>
      </c>
      <c r="S852" s="1" t="s">
        <v>117</v>
      </c>
      <c r="T852" s="1" t="s">
        <v>118</v>
      </c>
      <c r="U852" s="1" t="s">
        <v>119</v>
      </c>
      <c r="V852" s="1" t="s">
        <v>120</v>
      </c>
      <c r="W852" s="1" t="s">
        <v>121</v>
      </c>
      <c r="X852" s="1" t="s">
        <v>122</v>
      </c>
      <c r="Y852" s="1" t="s">
        <v>123</v>
      </c>
      <c r="Z852" s="1" t="str">
        <f>TRIM(_xlfn.CONCAT(sales_data_sample[[#This Row],[CONTACTFIRSTNAME]],", ",sales_data_sample[[#This Row],[CONTACTLASTNAME]]))</f>
        <v>Peter, Ferguson</v>
      </c>
      <c r="AA852" s="1" t="s">
        <v>59</v>
      </c>
    </row>
    <row r="853" spans="1:27" x14ac:dyDescent="0.25">
      <c r="A853" s="10">
        <v>10356</v>
      </c>
      <c r="B853" s="9">
        <v>30</v>
      </c>
      <c r="C853" s="9">
        <v>100</v>
      </c>
      <c r="D853" s="9">
        <f>PRODUCT(sales_data_sample[[#This Row],[QUANTITYORDERED]],sales_data_sample[[#This Row],[PRICEEACH]])</f>
        <v>3000</v>
      </c>
      <c r="E853" s="9">
        <f>IF(OR(sales_data_sample[[#This Row],[STATUS]]="Shipped",sales_data_sample[[#This Row],[STATUS]]="Resolved"),sales_data_sample[[#This Row],[SALES]],0)</f>
        <v>3000</v>
      </c>
      <c r="F853" s="10">
        <v>1</v>
      </c>
      <c r="G853" s="12" t="s">
        <v>794</v>
      </c>
      <c r="H853" s="1" t="s">
        <v>26</v>
      </c>
      <c r="I853">
        <v>4</v>
      </c>
      <c r="J853">
        <v>12</v>
      </c>
      <c r="K853">
        <v>2004</v>
      </c>
      <c r="L853" s="1" t="s">
        <v>799</v>
      </c>
      <c r="M853">
        <v>168</v>
      </c>
      <c r="N853" s="1" t="s">
        <v>897</v>
      </c>
      <c r="O853" s="1" t="s">
        <v>52</v>
      </c>
      <c r="P853" s="1" t="s">
        <v>53</v>
      </c>
      <c r="Q853" s="1" t="s">
        <v>54</v>
      </c>
      <c r="R853" s="1" t="s">
        <v>32</v>
      </c>
      <c r="S853" s="1" t="s">
        <v>55</v>
      </c>
      <c r="T853" s="1" t="s">
        <v>32</v>
      </c>
      <c r="U853" s="1" t="s">
        <v>56</v>
      </c>
      <c r="V853" s="1" t="s">
        <v>47</v>
      </c>
      <c r="W853" s="1" t="s">
        <v>48</v>
      </c>
      <c r="X853" s="1" t="s">
        <v>57</v>
      </c>
      <c r="Y853" s="1" t="s">
        <v>58</v>
      </c>
      <c r="Z853" s="1" t="str">
        <f>TRIM(_xlfn.CONCAT(sales_data_sample[[#This Row],[CONTACTFIRSTNAME]],", ",sales_data_sample[[#This Row],[CONTACTLASTNAME]]))</f>
        <v>Daniel, Da Cunha</v>
      </c>
      <c r="AA853" s="1" t="s">
        <v>59</v>
      </c>
    </row>
    <row r="854" spans="1:27" x14ac:dyDescent="0.25">
      <c r="A854" s="10">
        <v>10367</v>
      </c>
      <c r="B854" s="9">
        <v>32</v>
      </c>
      <c r="C854" s="9">
        <v>9479</v>
      </c>
      <c r="D854" s="9">
        <f>PRODUCT(sales_data_sample[[#This Row],[QUANTITYORDERED]],sales_data_sample[[#This Row],[PRICEEACH]])</f>
        <v>303328</v>
      </c>
      <c r="E854" s="9">
        <f>IF(OR(sales_data_sample[[#This Row],[STATUS]]="Shipped",sales_data_sample[[#This Row],[STATUS]]="Resolved"),sales_data_sample[[#This Row],[SALES]],0)</f>
        <v>303328</v>
      </c>
      <c r="F854" s="10">
        <v>7</v>
      </c>
      <c r="G854" s="12" t="s">
        <v>835</v>
      </c>
      <c r="H854" s="1" t="s">
        <v>563</v>
      </c>
      <c r="I854">
        <v>1</v>
      </c>
      <c r="J854">
        <v>1</v>
      </c>
      <c r="K854">
        <v>2005</v>
      </c>
      <c r="L854" s="1" t="s">
        <v>799</v>
      </c>
      <c r="M854">
        <v>168</v>
      </c>
      <c r="N854" s="1" t="s">
        <v>897</v>
      </c>
      <c r="O854" s="1" t="s">
        <v>61</v>
      </c>
      <c r="P854" s="1" t="s">
        <v>62</v>
      </c>
      <c r="Q854" s="1" t="s">
        <v>63</v>
      </c>
      <c r="R854" s="1" t="s">
        <v>32</v>
      </c>
      <c r="S854" s="1" t="s">
        <v>64</v>
      </c>
      <c r="T854" s="1" t="s">
        <v>65</v>
      </c>
      <c r="U854" s="1" t="s">
        <v>66</v>
      </c>
      <c r="V854" s="1" t="s">
        <v>36</v>
      </c>
      <c r="W854" s="1" t="s">
        <v>37</v>
      </c>
      <c r="X854" s="1" t="s">
        <v>67</v>
      </c>
      <c r="Y854" s="1" t="s">
        <v>68</v>
      </c>
      <c r="Z854" s="1" t="str">
        <f>TRIM(_xlfn.CONCAT(sales_data_sample[[#This Row],[CONTACTFIRSTNAME]],", ",sales_data_sample[[#This Row],[CONTACTLASTNAME]]))</f>
        <v>Julie, Young</v>
      </c>
      <c r="AA854" s="1" t="s">
        <v>59</v>
      </c>
    </row>
    <row r="855" spans="1:27" x14ac:dyDescent="0.25">
      <c r="A855" s="10">
        <v>10380</v>
      </c>
      <c r="B855" s="9">
        <v>21</v>
      </c>
      <c r="C855" s="9">
        <v>4718</v>
      </c>
      <c r="D855" s="9">
        <f>PRODUCT(sales_data_sample[[#This Row],[QUANTITYORDERED]],sales_data_sample[[#This Row],[PRICEEACH]])</f>
        <v>99078</v>
      </c>
      <c r="E855" s="9">
        <f>IF(OR(sales_data_sample[[#This Row],[STATUS]]="Shipped",sales_data_sample[[#This Row],[STATUS]]="Resolved"),sales_data_sample[[#This Row],[SALES]],0)</f>
        <v>99078</v>
      </c>
      <c r="F855" s="10">
        <v>8</v>
      </c>
      <c r="G855" s="12" t="s">
        <v>826</v>
      </c>
      <c r="H855" s="1" t="s">
        <v>26</v>
      </c>
      <c r="I855">
        <v>1</v>
      </c>
      <c r="J855">
        <v>2</v>
      </c>
      <c r="K855">
        <v>2005</v>
      </c>
      <c r="L855" s="1" t="s">
        <v>799</v>
      </c>
      <c r="M855">
        <v>168</v>
      </c>
      <c r="N855" s="1" t="s">
        <v>897</v>
      </c>
      <c r="O855" s="1" t="s">
        <v>230</v>
      </c>
      <c r="P855" s="1" t="s">
        <v>231</v>
      </c>
      <c r="Q855" s="1" t="s">
        <v>232</v>
      </c>
      <c r="R855" s="1" t="s">
        <v>32</v>
      </c>
      <c r="S855" s="1" t="s">
        <v>233</v>
      </c>
      <c r="T855" s="1" t="s">
        <v>32</v>
      </c>
      <c r="U855" s="1" t="s">
        <v>234</v>
      </c>
      <c r="V855" s="1" t="s">
        <v>235</v>
      </c>
      <c r="W855" s="1" t="s">
        <v>48</v>
      </c>
      <c r="X855" s="1" t="s">
        <v>236</v>
      </c>
      <c r="Y855" s="1" t="s">
        <v>237</v>
      </c>
      <c r="Z855" s="1" t="str">
        <f>TRIM(_xlfn.CONCAT(sales_data_sample[[#This Row],[CONTACTFIRSTNAME]],", ",sales_data_sample[[#This Row],[CONTACTLASTNAME]]))</f>
        <v>Diego, Freyre</v>
      </c>
      <c r="AA855" s="1" t="s">
        <v>40</v>
      </c>
    </row>
    <row r="856" spans="1:27" x14ac:dyDescent="0.25">
      <c r="A856" s="10">
        <v>10390</v>
      </c>
      <c r="B856" s="9">
        <v>26</v>
      </c>
      <c r="C856" s="9">
        <v>7811</v>
      </c>
      <c r="D856" s="9">
        <f>PRODUCT(sales_data_sample[[#This Row],[QUANTITYORDERED]],sales_data_sample[[#This Row],[PRICEEACH]])</f>
        <v>203086</v>
      </c>
      <c r="E856" s="9">
        <f>IF(OR(sales_data_sample[[#This Row],[STATUS]]="Shipped",sales_data_sample[[#This Row],[STATUS]]="Resolved"),sales_data_sample[[#This Row],[SALES]],0)</f>
        <v>203086</v>
      </c>
      <c r="F856" s="10">
        <v>7</v>
      </c>
      <c r="G856" s="12" t="s">
        <v>796</v>
      </c>
      <c r="H856" s="1" t="s">
        <v>26</v>
      </c>
      <c r="I856">
        <v>1</v>
      </c>
      <c r="J856">
        <v>3</v>
      </c>
      <c r="K856">
        <v>2005</v>
      </c>
      <c r="L856" s="1" t="s">
        <v>799</v>
      </c>
      <c r="M856">
        <v>168</v>
      </c>
      <c r="N856" s="1" t="s">
        <v>897</v>
      </c>
      <c r="O856" s="1" t="s">
        <v>361</v>
      </c>
      <c r="P856" s="1" t="s">
        <v>362</v>
      </c>
      <c r="Q856" s="1" t="s">
        <v>363</v>
      </c>
      <c r="R856" s="1" t="s">
        <v>32</v>
      </c>
      <c r="S856" s="1" t="s">
        <v>364</v>
      </c>
      <c r="T856" s="1" t="s">
        <v>65</v>
      </c>
      <c r="U856" s="1" t="s">
        <v>145</v>
      </c>
      <c r="V856" s="1" t="s">
        <v>36</v>
      </c>
      <c r="W856" s="1" t="s">
        <v>37</v>
      </c>
      <c r="X856" s="1" t="s">
        <v>365</v>
      </c>
      <c r="Y856" s="1" t="s">
        <v>366</v>
      </c>
      <c r="Z856" s="1" t="str">
        <f>TRIM(_xlfn.CONCAT(sales_data_sample[[#This Row],[CONTACTFIRSTNAME]],", ",sales_data_sample[[#This Row],[CONTACTLASTNAME]]))</f>
        <v>Valarie, Nelson</v>
      </c>
      <c r="AA856" s="1" t="s">
        <v>40</v>
      </c>
    </row>
    <row r="857" spans="1:27" x14ac:dyDescent="0.25">
      <c r="A857" s="10">
        <v>10421</v>
      </c>
      <c r="B857" s="9">
        <v>35</v>
      </c>
      <c r="C857" s="9">
        <v>100</v>
      </c>
      <c r="D857" s="9">
        <f>PRODUCT(sales_data_sample[[#This Row],[QUANTITYORDERED]],sales_data_sample[[#This Row],[PRICEEACH]])</f>
        <v>3500</v>
      </c>
      <c r="E857" s="9">
        <f>IF(OR(sales_data_sample[[#This Row],[STATUS]]="Shipped",sales_data_sample[[#This Row],[STATUS]]="Resolved"),sales_data_sample[[#This Row],[SALES]],0)</f>
        <v>0</v>
      </c>
      <c r="F857" s="10">
        <v>1</v>
      </c>
      <c r="G857" s="12" t="s">
        <v>876</v>
      </c>
      <c r="H857" s="1" t="s">
        <v>403</v>
      </c>
      <c r="I857">
        <v>2</v>
      </c>
      <c r="J857">
        <v>5</v>
      </c>
      <c r="K857">
        <v>2005</v>
      </c>
      <c r="L857" s="1" t="s">
        <v>799</v>
      </c>
      <c r="M857">
        <v>168</v>
      </c>
      <c r="N857" s="1" t="s">
        <v>897</v>
      </c>
      <c r="O857" s="1" t="s">
        <v>361</v>
      </c>
      <c r="P857" s="1" t="s">
        <v>362</v>
      </c>
      <c r="Q857" s="1" t="s">
        <v>363</v>
      </c>
      <c r="R857" s="1" t="s">
        <v>32</v>
      </c>
      <c r="S857" s="1" t="s">
        <v>364</v>
      </c>
      <c r="T857" s="1" t="s">
        <v>65</v>
      </c>
      <c r="U857" s="1" t="s">
        <v>145</v>
      </c>
      <c r="V857" s="1" t="s">
        <v>36</v>
      </c>
      <c r="W857" s="1" t="s">
        <v>37</v>
      </c>
      <c r="X857" s="1" t="s">
        <v>365</v>
      </c>
      <c r="Y857" s="1" t="s">
        <v>366</v>
      </c>
      <c r="Z857" s="1" t="str">
        <f>TRIM(_xlfn.CONCAT(sales_data_sample[[#This Row],[CONTACTFIRSTNAME]],", ",sales_data_sample[[#This Row],[CONTACTLASTNAME]]))</f>
        <v>Valarie, Nelson</v>
      </c>
      <c r="AA857" s="1" t="s">
        <v>59</v>
      </c>
    </row>
    <row r="858" spans="1:27" x14ac:dyDescent="0.25">
      <c r="A858" s="10">
        <v>10109</v>
      </c>
      <c r="B858" s="9">
        <v>26</v>
      </c>
      <c r="C858" s="9">
        <v>100</v>
      </c>
      <c r="D858" s="9">
        <f>PRODUCT(sales_data_sample[[#This Row],[QUANTITYORDERED]],sales_data_sample[[#This Row],[PRICEEACH]])</f>
        <v>2600</v>
      </c>
      <c r="E858" s="9">
        <f>IF(OR(sales_data_sample[[#This Row],[STATUS]]="Shipped",sales_data_sample[[#This Row],[STATUS]]="Resolved"),sales_data_sample[[#This Row],[SALES]],0)</f>
        <v>2600</v>
      </c>
      <c r="F858" s="10">
        <v>1</v>
      </c>
      <c r="G858" s="12" t="s">
        <v>771</v>
      </c>
      <c r="H858" s="1" t="s">
        <v>26</v>
      </c>
      <c r="I858">
        <v>1</v>
      </c>
      <c r="J858">
        <v>3</v>
      </c>
      <c r="K858">
        <v>2003</v>
      </c>
      <c r="L858" s="1" t="s">
        <v>239</v>
      </c>
      <c r="M858">
        <v>132</v>
      </c>
      <c r="N858" s="1" t="s">
        <v>899</v>
      </c>
      <c r="O858" s="1" t="s">
        <v>415</v>
      </c>
      <c r="P858" s="1" t="s">
        <v>416</v>
      </c>
      <c r="Q858" s="1" t="s">
        <v>417</v>
      </c>
      <c r="R858" s="1" t="s">
        <v>32</v>
      </c>
      <c r="S858" s="1" t="s">
        <v>286</v>
      </c>
      <c r="T858" s="1" t="s">
        <v>186</v>
      </c>
      <c r="U858" s="1" t="s">
        <v>287</v>
      </c>
      <c r="V858" s="1" t="s">
        <v>36</v>
      </c>
      <c r="W858" s="1" t="s">
        <v>37</v>
      </c>
      <c r="X858" s="1" t="s">
        <v>162</v>
      </c>
      <c r="Y858" s="1" t="s">
        <v>418</v>
      </c>
      <c r="Z858" s="1" t="str">
        <f>TRIM(_xlfn.CONCAT(sales_data_sample[[#This Row],[CONTACTFIRSTNAME]],", ",sales_data_sample[[#This Row],[CONTACTLASTNAME]]))</f>
        <v>Rosa, Hernandez</v>
      </c>
      <c r="AA858" s="1" t="s">
        <v>59</v>
      </c>
    </row>
    <row r="859" spans="1:27" x14ac:dyDescent="0.25">
      <c r="A859" s="10">
        <v>10123</v>
      </c>
      <c r="B859" s="9">
        <v>46</v>
      </c>
      <c r="C859" s="9">
        <v>100</v>
      </c>
      <c r="D859" s="9">
        <f>PRODUCT(sales_data_sample[[#This Row],[QUANTITYORDERED]],sales_data_sample[[#This Row],[PRICEEACH]])</f>
        <v>4600</v>
      </c>
      <c r="E859" s="9">
        <f>IF(OR(sales_data_sample[[#This Row],[STATUS]]="Shipped",sales_data_sample[[#This Row],[STATUS]]="Resolved"),sales_data_sample[[#This Row],[SALES]],0)</f>
        <v>4600</v>
      </c>
      <c r="F859" s="10">
        <v>3</v>
      </c>
      <c r="G859" s="12" t="s">
        <v>831</v>
      </c>
      <c r="H859" s="1" t="s">
        <v>26</v>
      </c>
      <c r="I859">
        <v>2</v>
      </c>
      <c r="J859">
        <v>5</v>
      </c>
      <c r="K859">
        <v>2003</v>
      </c>
      <c r="L859" s="1" t="s">
        <v>239</v>
      </c>
      <c r="M859">
        <v>132</v>
      </c>
      <c r="N859" s="1" t="s">
        <v>899</v>
      </c>
      <c r="O859" s="1" t="s">
        <v>420</v>
      </c>
      <c r="P859" s="1" t="s">
        <v>421</v>
      </c>
      <c r="Q859" s="1" t="s">
        <v>422</v>
      </c>
      <c r="R859" s="1" t="s">
        <v>32</v>
      </c>
      <c r="S859" s="1" t="s">
        <v>151</v>
      </c>
      <c r="T859" s="1" t="s">
        <v>32</v>
      </c>
      <c r="U859" s="1" t="s">
        <v>152</v>
      </c>
      <c r="V859" s="1" t="s">
        <v>47</v>
      </c>
      <c r="W859" s="1" t="s">
        <v>48</v>
      </c>
      <c r="X859" s="1" t="s">
        <v>423</v>
      </c>
      <c r="Y859" s="1" t="s">
        <v>424</v>
      </c>
      <c r="Z859" s="1" t="str">
        <f>TRIM(_xlfn.CONCAT(sales_data_sample[[#This Row],[CONTACTFIRSTNAME]],", ",sales_data_sample[[#This Row],[CONTACTLASTNAME]]))</f>
        <v>Carine, Schmitt</v>
      </c>
      <c r="AA859" s="1" t="s">
        <v>59</v>
      </c>
    </row>
    <row r="860" spans="1:27" x14ac:dyDescent="0.25">
      <c r="A860" s="10">
        <v>10137</v>
      </c>
      <c r="B860" s="9">
        <v>37</v>
      </c>
      <c r="C860" s="9">
        <v>100</v>
      </c>
      <c r="D860" s="9">
        <f>PRODUCT(sales_data_sample[[#This Row],[QUANTITYORDERED]],sales_data_sample[[#This Row],[PRICEEACH]])</f>
        <v>3700</v>
      </c>
      <c r="E860" s="9">
        <f>IF(OR(sales_data_sample[[#This Row],[STATUS]]="Shipped",sales_data_sample[[#This Row],[STATUS]]="Resolved"),sales_data_sample[[#This Row],[SALES]],0)</f>
        <v>3700</v>
      </c>
      <c r="F860" s="10">
        <v>3</v>
      </c>
      <c r="G860" s="12" t="s">
        <v>832</v>
      </c>
      <c r="H860" s="1" t="s">
        <v>26</v>
      </c>
      <c r="I860">
        <v>3</v>
      </c>
      <c r="J860">
        <v>7</v>
      </c>
      <c r="K860">
        <v>2003</v>
      </c>
      <c r="L860" s="1" t="s">
        <v>239</v>
      </c>
      <c r="M860">
        <v>132</v>
      </c>
      <c r="N860" s="1" t="s">
        <v>899</v>
      </c>
      <c r="O860" s="1" t="s">
        <v>42</v>
      </c>
      <c r="P860" s="1" t="s">
        <v>43</v>
      </c>
      <c r="Q860" s="1" t="s">
        <v>44</v>
      </c>
      <c r="R860" s="1" t="s">
        <v>32</v>
      </c>
      <c r="S860" s="1" t="s">
        <v>45</v>
      </c>
      <c r="T860" s="1" t="s">
        <v>32</v>
      </c>
      <c r="U860" s="1" t="s">
        <v>46</v>
      </c>
      <c r="V860" s="1" t="s">
        <v>47</v>
      </c>
      <c r="W860" s="1" t="s">
        <v>48</v>
      </c>
      <c r="X860" s="1" t="s">
        <v>49</v>
      </c>
      <c r="Y860" s="1" t="s">
        <v>50</v>
      </c>
      <c r="Z860" s="1" t="str">
        <f>TRIM(_xlfn.CONCAT(sales_data_sample[[#This Row],[CONTACTFIRSTNAME]],", ",sales_data_sample[[#This Row],[CONTACTLASTNAME]]))</f>
        <v>Paul, Henriot</v>
      </c>
      <c r="AA860" s="1" t="s">
        <v>59</v>
      </c>
    </row>
    <row r="861" spans="1:27" x14ac:dyDescent="0.25">
      <c r="A861">
        <v>10148</v>
      </c>
      <c r="B861">
        <v>27</v>
      </c>
      <c r="C861">
        <v>100</v>
      </c>
      <c r="D861">
        <f>PRODUCT(sales_data_sample[[#This Row],[QUANTITYORDERED]],sales_data_sample[[#This Row],[PRICEEACH]])</f>
        <v>2700</v>
      </c>
      <c r="E861" s="9">
        <f>IF(OR(sales_data_sample[[#This Row],[STATUS]]="Shipped",sales_data_sample[[#This Row],[STATUS]]="Resolved"),sales_data_sample[[#This Row],[SALES]],0)</f>
        <v>2700</v>
      </c>
      <c r="F861">
        <v>10</v>
      </c>
      <c r="G861" s="12" t="s">
        <v>774</v>
      </c>
      <c r="H861" s="1" t="s">
        <v>26</v>
      </c>
      <c r="I861">
        <v>3</v>
      </c>
      <c r="J861">
        <v>9</v>
      </c>
      <c r="K861">
        <v>2003</v>
      </c>
      <c r="L861" s="1" t="s">
        <v>239</v>
      </c>
      <c r="M861">
        <v>132</v>
      </c>
      <c r="N861" s="1" t="s">
        <v>899</v>
      </c>
      <c r="O861" s="1" t="s">
        <v>385</v>
      </c>
      <c r="P861" s="1" t="s">
        <v>386</v>
      </c>
      <c r="Q861" s="1" t="s">
        <v>387</v>
      </c>
      <c r="R861" s="1" t="s">
        <v>388</v>
      </c>
      <c r="S861" s="1" t="s">
        <v>389</v>
      </c>
      <c r="T861" s="1" t="s">
        <v>206</v>
      </c>
      <c r="U861" s="1" t="s">
        <v>390</v>
      </c>
      <c r="V861" s="1" t="s">
        <v>120</v>
      </c>
      <c r="W861" s="1" t="s">
        <v>121</v>
      </c>
      <c r="X861" s="1" t="s">
        <v>391</v>
      </c>
      <c r="Y861" s="1" t="s">
        <v>392</v>
      </c>
      <c r="Z861" s="1" t="str">
        <f>TRIM(_xlfn.CONCAT(sales_data_sample[[#This Row],[CONTACTFIRSTNAME]],", ",sales_data_sample[[#This Row],[CONTACTLASTNAME]]))</f>
        <v>Anna, O'Hara</v>
      </c>
      <c r="AA861" s="1" t="s">
        <v>59</v>
      </c>
    </row>
    <row r="862" spans="1:27" x14ac:dyDescent="0.25">
      <c r="A862" s="10">
        <v>10161</v>
      </c>
      <c r="B862" s="9">
        <v>23</v>
      </c>
      <c r="C862" s="9">
        <v>100</v>
      </c>
      <c r="D862" s="9">
        <f>PRODUCT(sales_data_sample[[#This Row],[QUANTITYORDERED]],sales_data_sample[[#This Row],[PRICEEACH]])</f>
        <v>2300</v>
      </c>
      <c r="E862" s="9">
        <f>IF(OR(sales_data_sample[[#This Row],[STATUS]]="Shipped",sales_data_sample[[#This Row],[STATUS]]="Resolved"),sales_data_sample[[#This Row],[SALES]],0)</f>
        <v>2300</v>
      </c>
      <c r="F862" s="10">
        <v>9</v>
      </c>
      <c r="G862" s="12" t="s">
        <v>775</v>
      </c>
      <c r="H862" s="1" t="s">
        <v>26</v>
      </c>
      <c r="I862">
        <v>4</v>
      </c>
      <c r="J862">
        <v>10</v>
      </c>
      <c r="K862">
        <v>2003</v>
      </c>
      <c r="L862" s="1" t="s">
        <v>239</v>
      </c>
      <c r="M862">
        <v>132</v>
      </c>
      <c r="N862" s="1" t="s">
        <v>899</v>
      </c>
      <c r="O862" s="1" t="s">
        <v>701</v>
      </c>
      <c r="P862" s="1" t="s">
        <v>702</v>
      </c>
      <c r="Q862" s="1" t="s">
        <v>703</v>
      </c>
      <c r="R862" s="1" t="s">
        <v>32</v>
      </c>
      <c r="S862" s="1" t="s">
        <v>704</v>
      </c>
      <c r="T862" s="1" t="s">
        <v>32</v>
      </c>
      <c r="U862" s="1" t="s">
        <v>705</v>
      </c>
      <c r="V862" s="1" t="s">
        <v>442</v>
      </c>
      <c r="W862" s="1" t="s">
        <v>48</v>
      </c>
      <c r="X862" s="1" t="s">
        <v>706</v>
      </c>
      <c r="Y862" s="1" t="s">
        <v>707</v>
      </c>
      <c r="Z862" s="1" t="str">
        <f>TRIM(_xlfn.CONCAT(sales_data_sample[[#This Row],[CONTACTFIRSTNAME]],", ",sales_data_sample[[#This Row],[CONTACTLASTNAME]]))</f>
        <v>Palle, Ibsen</v>
      </c>
      <c r="AA862" s="1" t="s">
        <v>59</v>
      </c>
    </row>
    <row r="863" spans="1:27" x14ac:dyDescent="0.25">
      <c r="A863" s="10">
        <v>10172</v>
      </c>
      <c r="B863" s="9">
        <v>39</v>
      </c>
      <c r="C863" s="9">
        <v>100</v>
      </c>
      <c r="D863" s="9">
        <f>PRODUCT(sales_data_sample[[#This Row],[QUANTITYORDERED]],sales_data_sample[[#This Row],[PRICEEACH]])</f>
        <v>3900</v>
      </c>
      <c r="E863" s="9">
        <f>IF(OR(sales_data_sample[[#This Row],[STATUS]]="Shipped",sales_data_sample[[#This Row],[STATUS]]="Resolved"),sales_data_sample[[#This Row],[SALES]],0)</f>
        <v>3900</v>
      </c>
      <c r="F863" s="10">
        <v>7</v>
      </c>
      <c r="G863" s="12" t="s">
        <v>776</v>
      </c>
      <c r="H863" s="1" t="s">
        <v>26</v>
      </c>
      <c r="I863">
        <v>4</v>
      </c>
      <c r="J863">
        <v>11</v>
      </c>
      <c r="K863">
        <v>2003</v>
      </c>
      <c r="L863" s="1" t="s">
        <v>239</v>
      </c>
      <c r="M863">
        <v>132</v>
      </c>
      <c r="N863" s="1" t="s">
        <v>899</v>
      </c>
      <c r="O863" s="1" t="s">
        <v>140</v>
      </c>
      <c r="P863" s="1" t="s">
        <v>141</v>
      </c>
      <c r="Q863" s="1" t="s">
        <v>142</v>
      </c>
      <c r="R863" s="1" t="s">
        <v>32</v>
      </c>
      <c r="S863" s="1" t="s">
        <v>143</v>
      </c>
      <c r="T863" s="1" t="s">
        <v>144</v>
      </c>
      <c r="U863" s="1" t="s">
        <v>145</v>
      </c>
      <c r="V863" s="1" t="s">
        <v>36</v>
      </c>
      <c r="W863" s="1" t="s">
        <v>37</v>
      </c>
      <c r="X863" s="1" t="s">
        <v>146</v>
      </c>
      <c r="Y863" s="1" t="s">
        <v>68</v>
      </c>
      <c r="Z863" s="1" t="str">
        <f>TRIM(_xlfn.CONCAT(sales_data_sample[[#This Row],[CONTACTFIRSTNAME]],", ",sales_data_sample[[#This Row],[CONTACTLASTNAME]]))</f>
        <v>Julie, King</v>
      </c>
      <c r="AA863" s="1" t="s">
        <v>59</v>
      </c>
    </row>
    <row r="864" spans="1:27" x14ac:dyDescent="0.25">
      <c r="A864" s="10">
        <v>10181</v>
      </c>
      <c r="B864" s="9">
        <v>27</v>
      </c>
      <c r="C864" s="9">
        <v>100</v>
      </c>
      <c r="D864" s="9">
        <f>PRODUCT(sales_data_sample[[#This Row],[QUANTITYORDERED]],sales_data_sample[[#This Row],[PRICEEACH]])</f>
        <v>2700</v>
      </c>
      <c r="E864" s="9">
        <f>IF(OR(sales_data_sample[[#This Row],[STATUS]]="Shipped",sales_data_sample[[#This Row],[STATUS]]="Resolved"),sales_data_sample[[#This Row],[SALES]],0)</f>
        <v>2700</v>
      </c>
      <c r="F864" s="10">
        <v>3</v>
      </c>
      <c r="G864" s="12" t="s">
        <v>610</v>
      </c>
      <c r="H864" s="1" t="s">
        <v>26</v>
      </c>
      <c r="I864">
        <v>4</v>
      </c>
      <c r="J864">
        <v>11</v>
      </c>
      <c r="K864">
        <v>2003</v>
      </c>
      <c r="L864" s="1" t="s">
        <v>239</v>
      </c>
      <c r="M864">
        <v>132</v>
      </c>
      <c r="N864" s="1" t="s">
        <v>899</v>
      </c>
      <c r="O864" s="1" t="s">
        <v>92</v>
      </c>
      <c r="P864" s="1" t="s">
        <v>93</v>
      </c>
      <c r="Q864" s="1" t="s">
        <v>94</v>
      </c>
      <c r="R864" s="1" t="s">
        <v>32</v>
      </c>
      <c r="S864" s="1" t="s">
        <v>95</v>
      </c>
      <c r="T864" s="1" t="s">
        <v>32</v>
      </c>
      <c r="U864" s="1" t="s">
        <v>96</v>
      </c>
      <c r="V864" s="1" t="s">
        <v>97</v>
      </c>
      <c r="W864" s="1" t="s">
        <v>48</v>
      </c>
      <c r="X864" s="1" t="s">
        <v>98</v>
      </c>
      <c r="Y864" s="1" t="s">
        <v>99</v>
      </c>
      <c r="Z864" s="1" t="str">
        <f>TRIM(_xlfn.CONCAT(sales_data_sample[[#This Row],[CONTACTFIRSTNAME]],", ",sales_data_sample[[#This Row],[CONTACTLASTNAME]]))</f>
        <v>Veysel, Oeztan</v>
      </c>
      <c r="AA864" s="1" t="s">
        <v>59</v>
      </c>
    </row>
    <row r="865" spans="1:27" x14ac:dyDescent="0.25">
      <c r="A865" s="10">
        <v>10192</v>
      </c>
      <c r="B865" s="9">
        <v>38</v>
      </c>
      <c r="C865" s="9">
        <v>100</v>
      </c>
      <c r="D865" s="9">
        <f>PRODUCT(sales_data_sample[[#This Row],[QUANTITYORDERED]],sales_data_sample[[#This Row],[PRICEEACH]])</f>
        <v>3800</v>
      </c>
      <c r="E865" s="9">
        <f>IF(OR(sales_data_sample[[#This Row],[STATUS]]="Shipped",sales_data_sample[[#This Row],[STATUS]]="Resolved"),sales_data_sample[[#This Row],[SALES]],0)</f>
        <v>3800</v>
      </c>
      <c r="F865" s="10">
        <v>8</v>
      </c>
      <c r="G865" s="12" t="s">
        <v>611</v>
      </c>
      <c r="H865" s="1" t="s">
        <v>26</v>
      </c>
      <c r="I865">
        <v>4</v>
      </c>
      <c r="J865">
        <v>11</v>
      </c>
      <c r="K865">
        <v>2003</v>
      </c>
      <c r="L865" s="1" t="s">
        <v>239</v>
      </c>
      <c r="M865">
        <v>132</v>
      </c>
      <c r="N865" s="1" t="s">
        <v>899</v>
      </c>
      <c r="O865" s="1" t="s">
        <v>368</v>
      </c>
      <c r="P865" s="1" t="s">
        <v>369</v>
      </c>
      <c r="Q865" s="1" t="s">
        <v>370</v>
      </c>
      <c r="R865" s="1" t="s">
        <v>32</v>
      </c>
      <c r="S865" s="1" t="s">
        <v>371</v>
      </c>
      <c r="T865" s="1" t="s">
        <v>372</v>
      </c>
      <c r="U865" s="1" t="s">
        <v>373</v>
      </c>
      <c r="V865" s="1" t="s">
        <v>36</v>
      </c>
      <c r="W865" s="1" t="s">
        <v>37</v>
      </c>
      <c r="X865" s="1" t="s">
        <v>67</v>
      </c>
      <c r="Y865" s="1" t="s">
        <v>366</v>
      </c>
      <c r="Z865" s="1" t="str">
        <f>TRIM(_xlfn.CONCAT(sales_data_sample[[#This Row],[CONTACTFIRSTNAME]],", ",sales_data_sample[[#This Row],[CONTACTLASTNAME]]))</f>
        <v>Valarie, Young</v>
      </c>
      <c r="AA865" s="1" t="s">
        <v>59</v>
      </c>
    </row>
    <row r="866" spans="1:27" x14ac:dyDescent="0.25">
      <c r="A866">
        <v>10204</v>
      </c>
      <c r="B866">
        <v>27</v>
      </c>
      <c r="C866">
        <v>100</v>
      </c>
      <c r="D866">
        <f>PRODUCT(sales_data_sample[[#This Row],[QUANTITYORDERED]],sales_data_sample[[#This Row],[PRICEEACH]])</f>
        <v>2700</v>
      </c>
      <c r="E866" s="9">
        <f>IF(OR(sales_data_sample[[#This Row],[STATUS]]="Shipped",sales_data_sample[[#This Row],[STATUS]]="Resolved"),sales_data_sample[[#This Row],[SALES]],0)</f>
        <v>2700</v>
      </c>
      <c r="F866">
        <v>14</v>
      </c>
      <c r="G866" s="12" t="s">
        <v>620</v>
      </c>
      <c r="H866" s="1" t="s">
        <v>26</v>
      </c>
      <c r="I866">
        <v>4</v>
      </c>
      <c r="J866">
        <v>12</v>
      </c>
      <c r="K866">
        <v>2003</v>
      </c>
      <c r="L866" s="1" t="s">
        <v>239</v>
      </c>
      <c r="M866">
        <v>132</v>
      </c>
      <c r="N866" s="1" t="s">
        <v>899</v>
      </c>
      <c r="O866" s="1" t="s">
        <v>667</v>
      </c>
      <c r="P866" s="1" t="s">
        <v>668</v>
      </c>
      <c r="Q866" s="1" t="s">
        <v>669</v>
      </c>
      <c r="R866" s="1" t="s">
        <v>670</v>
      </c>
      <c r="S866" s="1" t="s">
        <v>33</v>
      </c>
      <c r="T866" s="1" t="s">
        <v>34</v>
      </c>
      <c r="U866" s="1" t="s">
        <v>35</v>
      </c>
      <c r="V866" s="1" t="s">
        <v>36</v>
      </c>
      <c r="W866" s="1" t="s">
        <v>37</v>
      </c>
      <c r="X866" s="1" t="s">
        <v>67</v>
      </c>
      <c r="Y866" s="1" t="s">
        <v>671</v>
      </c>
      <c r="Z866" s="1" t="str">
        <f>TRIM(_xlfn.CONCAT(sales_data_sample[[#This Row],[CONTACTFIRSTNAME]],", ",sales_data_sample[[#This Row],[CONTACTLASTNAME]]))</f>
        <v>Jeff, Young</v>
      </c>
      <c r="AA866" s="1" t="s">
        <v>59</v>
      </c>
    </row>
    <row r="867" spans="1:27" x14ac:dyDescent="0.25">
      <c r="A867" s="10">
        <v>10212</v>
      </c>
      <c r="B867" s="9">
        <v>40</v>
      </c>
      <c r="C867" s="9">
        <v>100</v>
      </c>
      <c r="D867" s="9">
        <f>PRODUCT(sales_data_sample[[#This Row],[QUANTITYORDERED]],sales_data_sample[[#This Row],[PRICEEACH]])</f>
        <v>4000</v>
      </c>
      <c r="E867" s="9">
        <f>IF(OR(sales_data_sample[[#This Row],[STATUS]]="Shipped",sales_data_sample[[#This Row],[STATUS]]="Resolved"),sales_data_sample[[#This Row],[SALES]],0)</f>
        <v>4000</v>
      </c>
      <c r="F867" s="10">
        <v>7</v>
      </c>
      <c r="G867" s="12" t="s">
        <v>729</v>
      </c>
      <c r="H867" s="1" t="s">
        <v>26</v>
      </c>
      <c r="I867">
        <v>1</v>
      </c>
      <c r="J867">
        <v>1</v>
      </c>
      <c r="K867">
        <v>2004</v>
      </c>
      <c r="L867" s="1" t="s">
        <v>239</v>
      </c>
      <c r="M867">
        <v>132</v>
      </c>
      <c r="N867" s="1" t="s">
        <v>899</v>
      </c>
      <c r="O867" s="1" t="s">
        <v>230</v>
      </c>
      <c r="P867" s="1" t="s">
        <v>231</v>
      </c>
      <c r="Q867" s="1" t="s">
        <v>232</v>
      </c>
      <c r="R867" s="1" t="s">
        <v>32</v>
      </c>
      <c r="S867" s="1" t="s">
        <v>233</v>
      </c>
      <c r="T867" s="1" t="s">
        <v>32</v>
      </c>
      <c r="U867" s="1" t="s">
        <v>234</v>
      </c>
      <c r="V867" s="1" t="s">
        <v>235</v>
      </c>
      <c r="W867" s="1" t="s">
        <v>48</v>
      </c>
      <c r="X867" s="1" t="s">
        <v>236</v>
      </c>
      <c r="Y867" s="1" t="s">
        <v>237</v>
      </c>
      <c r="Z867" s="1" t="str">
        <f>TRIM(_xlfn.CONCAT(sales_data_sample[[#This Row],[CONTACTFIRSTNAME]],", ",sales_data_sample[[#This Row],[CONTACTLASTNAME]]))</f>
        <v>Diego, Freyre</v>
      </c>
      <c r="AA867" s="1" t="s">
        <v>59</v>
      </c>
    </row>
    <row r="868" spans="1:27" x14ac:dyDescent="0.25">
      <c r="A868" s="10">
        <v>10226</v>
      </c>
      <c r="B868" s="9">
        <v>24</v>
      </c>
      <c r="C868" s="9">
        <v>100</v>
      </c>
      <c r="D868" s="9">
        <f>PRODUCT(sales_data_sample[[#This Row],[QUANTITYORDERED]],sales_data_sample[[#This Row],[PRICEEACH]])</f>
        <v>2400</v>
      </c>
      <c r="E868" s="9">
        <f>IF(OR(sales_data_sample[[#This Row],[STATUS]]="Shipped",sales_data_sample[[#This Row],[STATUS]]="Resolved"),sales_data_sample[[#This Row],[SALES]],0)</f>
        <v>2400</v>
      </c>
      <c r="F868" s="10">
        <v>5</v>
      </c>
      <c r="G868" s="12" t="s">
        <v>833</v>
      </c>
      <c r="H868" s="1" t="s">
        <v>26</v>
      </c>
      <c r="I868">
        <v>1</v>
      </c>
      <c r="J868">
        <v>2</v>
      </c>
      <c r="K868">
        <v>2004</v>
      </c>
      <c r="L868" s="1" t="s">
        <v>239</v>
      </c>
      <c r="M868">
        <v>132</v>
      </c>
      <c r="N868" s="1" t="s">
        <v>899</v>
      </c>
      <c r="O868" s="1" t="s">
        <v>492</v>
      </c>
      <c r="P868" s="1" t="s">
        <v>493</v>
      </c>
      <c r="Q868" s="1" t="s">
        <v>494</v>
      </c>
      <c r="R868" s="1" t="s">
        <v>32</v>
      </c>
      <c r="S868" s="1" t="s">
        <v>495</v>
      </c>
      <c r="T868" s="1" t="s">
        <v>65</v>
      </c>
      <c r="U868" s="1" t="s">
        <v>496</v>
      </c>
      <c r="V868" s="1" t="s">
        <v>36</v>
      </c>
      <c r="W868" s="1" t="s">
        <v>37</v>
      </c>
      <c r="X868" s="1" t="s">
        <v>313</v>
      </c>
      <c r="Y868" s="1" t="s">
        <v>366</v>
      </c>
      <c r="Z868" s="1" t="str">
        <f>TRIM(_xlfn.CONCAT(sales_data_sample[[#This Row],[CONTACTFIRSTNAME]],", ",sales_data_sample[[#This Row],[CONTACTLASTNAME]]))</f>
        <v>Valarie, Thompson</v>
      </c>
      <c r="AA868" s="1" t="s">
        <v>59</v>
      </c>
    </row>
    <row r="869" spans="1:27" x14ac:dyDescent="0.25">
      <c r="A869" s="10">
        <v>10241</v>
      </c>
      <c r="B869" s="9">
        <v>44</v>
      </c>
      <c r="C869" s="9">
        <v>100</v>
      </c>
      <c r="D869" s="9">
        <f>PRODUCT(sales_data_sample[[#This Row],[QUANTITYORDERED]],sales_data_sample[[#This Row],[PRICEEACH]])</f>
        <v>4400</v>
      </c>
      <c r="E869" s="9">
        <f>IF(OR(sales_data_sample[[#This Row],[STATUS]]="Shipped",sales_data_sample[[#This Row],[STATUS]]="Resolved"),sales_data_sample[[#This Row],[SALES]],0)</f>
        <v>4400</v>
      </c>
      <c r="F869" s="10">
        <v>12</v>
      </c>
      <c r="G869" s="12" t="s">
        <v>777</v>
      </c>
      <c r="H869" s="1" t="s">
        <v>26</v>
      </c>
      <c r="I869">
        <v>2</v>
      </c>
      <c r="J869">
        <v>4</v>
      </c>
      <c r="K869">
        <v>2004</v>
      </c>
      <c r="L869" s="1" t="s">
        <v>239</v>
      </c>
      <c r="M869">
        <v>132</v>
      </c>
      <c r="N869" s="1" t="s">
        <v>899</v>
      </c>
      <c r="O869" s="1" t="s">
        <v>763</v>
      </c>
      <c r="P869" s="1" t="s">
        <v>764</v>
      </c>
      <c r="Q869" s="1" t="s">
        <v>765</v>
      </c>
      <c r="R869" s="1" t="s">
        <v>32</v>
      </c>
      <c r="S869" s="1" t="s">
        <v>766</v>
      </c>
      <c r="T869" s="1" t="s">
        <v>32</v>
      </c>
      <c r="U869" s="1" t="s">
        <v>767</v>
      </c>
      <c r="V869" s="1" t="s">
        <v>47</v>
      </c>
      <c r="W869" s="1" t="s">
        <v>48</v>
      </c>
      <c r="X869" s="1" t="s">
        <v>768</v>
      </c>
      <c r="Y869" s="1" t="s">
        <v>769</v>
      </c>
      <c r="Z869" s="1" t="str">
        <f>TRIM(_xlfn.CONCAT(sales_data_sample[[#This Row],[CONTACTFIRSTNAME]],", ",sales_data_sample[[#This Row],[CONTACTLASTNAME]]))</f>
        <v>Frederique, Citeaux</v>
      </c>
      <c r="AA869" s="1" t="s">
        <v>59</v>
      </c>
    </row>
    <row r="870" spans="1:27" x14ac:dyDescent="0.25">
      <c r="A870" s="10">
        <v>10253</v>
      </c>
      <c r="B870" s="9">
        <v>37</v>
      </c>
      <c r="C870" s="9">
        <v>100</v>
      </c>
      <c r="D870" s="9">
        <f>PRODUCT(sales_data_sample[[#This Row],[QUANTITYORDERED]],sales_data_sample[[#This Row],[PRICEEACH]])</f>
        <v>3700</v>
      </c>
      <c r="E870" s="9">
        <f>IF(OR(sales_data_sample[[#This Row],[STATUS]]="Shipped",sales_data_sample[[#This Row],[STATUS]]="Resolved"),sales_data_sample[[#This Row],[SALES]],0)</f>
        <v>0</v>
      </c>
      <c r="F870" s="10">
        <v>2</v>
      </c>
      <c r="G870" s="12" t="s">
        <v>630</v>
      </c>
      <c r="H870" s="1" t="s">
        <v>461</v>
      </c>
      <c r="I870">
        <v>2</v>
      </c>
      <c r="J870">
        <v>6</v>
      </c>
      <c r="K870">
        <v>2004</v>
      </c>
      <c r="L870" s="1" t="s">
        <v>239</v>
      </c>
      <c r="M870">
        <v>132</v>
      </c>
      <c r="N870" s="1" t="s">
        <v>899</v>
      </c>
      <c r="O870" s="1" t="s">
        <v>220</v>
      </c>
      <c r="P870" s="1" t="s">
        <v>221</v>
      </c>
      <c r="Q870" s="1" t="s">
        <v>222</v>
      </c>
      <c r="R870" s="1" t="s">
        <v>32</v>
      </c>
      <c r="S870" s="1" t="s">
        <v>223</v>
      </c>
      <c r="T870" s="1" t="s">
        <v>32</v>
      </c>
      <c r="U870" s="1" t="s">
        <v>224</v>
      </c>
      <c r="V870" s="1" t="s">
        <v>225</v>
      </c>
      <c r="W870" s="1" t="s">
        <v>48</v>
      </c>
      <c r="X870" s="1" t="s">
        <v>226</v>
      </c>
      <c r="Y870" s="1" t="s">
        <v>227</v>
      </c>
      <c r="Z870" s="1" t="str">
        <f>TRIM(_xlfn.CONCAT(sales_data_sample[[#This Row],[CONTACTFIRSTNAME]],", ",sales_data_sample[[#This Row],[CONTACTLASTNAME]]))</f>
        <v>Elizabeth, Devon</v>
      </c>
      <c r="AA870" s="1" t="s">
        <v>59</v>
      </c>
    </row>
    <row r="871" spans="1:27" x14ac:dyDescent="0.25">
      <c r="A871" s="10">
        <v>10266</v>
      </c>
      <c r="B871" s="9">
        <v>20</v>
      </c>
      <c r="C871" s="9">
        <v>100</v>
      </c>
      <c r="D871" s="9">
        <f>PRODUCT(sales_data_sample[[#This Row],[QUANTITYORDERED]],sales_data_sample[[#This Row],[PRICEEACH]])</f>
        <v>2000</v>
      </c>
      <c r="E871" s="9">
        <f>IF(OR(sales_data_sample[[#This Row],[STATUS]]="Shipped",sales_data_sample[[#This Row],[STATUS]]="Resolved"),sales_data_sample[[#This Row],[SALES]],0)</f>
        <v>2000</v>
      </c>
      <c r="F871" s="10">
        <v>3</v>
      </c>
      <c r="G871" s="12" t="s">
        <v>631</v>
      </c>
      <c r="H871" s="1" t="s">
        <v>26</v>
      </c>
      <c r="I871">
        <v>3</v>
      </c>
      <c r="J871">
        <v>7</v>
      </c>
      <c r="K871">
        <v>2004</v>
      </c>
      <c r="L871" s="1" t="s">
        <v>239</v>
      </c>
      <c r="M871">
        <v>132</v>
      </c>
      <c r="N871" s="1" t="s">
        <v>899</v>
      </c>
      <c r="O871" s="1" t="s">
        <v>632</v>
      </c>
      <c r="P871" s="1" t="s">
        <v>633</v>
      </c>
      <c r="Q871" s="1" t="s">
        <v>634</v>
      </c>
      <c r="R871" s="1" t="s">
        <v>32</v>
      </c>
      <c r="S871" s="1" t="s">
        <v>635</v>
      </c>
      <c r="T871" s="1" t="s">
        <v>32</v>
      </c>
      <c r="U871" s="1" t="s">
        <v>636</v>
      </c>
      <c r="V871" s="1" t="s">
        <v>343</v>
      </c>
      <c r="W871" s="1" t="s">
        <v>48</v>
      </c>
      <c r="X871" s="1" t="s">
        <v>637</v>
      </c>
      <c r="Y871" s="1" t="s">
        <v>638</v>
      </c>
      <c r="Z871" s="1" t="str">
        <f>TRIM(_xlfn.CONCAT(sales_data_sample[[#This Row],[CONTACTFIRSTNAME]],", ",sales_data_sample[[#This Row],[CONTACTLASTNAME]]))</f>
        <v>Maurizio, Moroni</v>
      </c>
      <c r="AA871" s="1" t="s">
        <v>40</v>
      </c>
    </row>
    <row r="872" spans="1:27" x14ac:dyDescent="0.25">
      <c r="A872" s="10">
        <v>10278</v>
      </c>
      <c r="B872" s="9">
        <v>39</v>
      </c>
      <c r="C872" s="9">
        <v>100</v>
      </c>
      <c r="D872" s="9">
        <f>PRODUCT(sales_data_sample[[#This Row],[QUANTITYORDERED]],sales_data_sample[[#This Row],[PRICEEACH]])</f>
        <v>3900</v>
      </c>
      <c r="E872" s="9">
        <f>IF(OR(sales_data_sample[[#This Row],[STATUS]]="Shipped",sales_data_sample[[#This Row],[STATUS]]="Resolved"),sales_data_sample[[#This Row],[SALES]],0)</f>
        <v>3900</v>
      </c>
      <c r="F872" s="10">
        <v>3</v>
      </c>
      <c r="G872" s="12" t="s">
        <v>778</v>
      </c>
      <c r="H872" s="1" t="s">
        <v>26</v>
      </c>
      <c r="I872">
        <v>3</v>
      </c>
      <c r="J872">
        <v>8</v>
      </c>
      <c r="K872">
        <v>2004</v>
      </c>
      <c r="L872" s="1" t="s">
        <v>239</v>
      </c>
      <c r="M872">
        <v>132</v>
      </c>
      <c r="N872" s="1" t="s">
        <v>899</v>
      </c>
      <c r="O872" s="1" t="s">
        <v>779</v>
      </c>
      <c r="P872" s="1" t="s">
        <v>780</v>
      </c>
      <c r="Q872" s="1" t="s">
        <v>781</v>
      </c>
      <c r="R872" s="1" t="s">
        <v>32</v>
      </c>
      <c r="S872" s="1" t="s">
        <v>782</v>
      </c>
      <c r="T872" s="1" t="s">
        <v>783</v>
      </c>
      <c r="U872" s="1" t="s">
        <v>784</v>
      </c>
      <c r="V872" s="1" t="s">
        <v>36</v>
      </c>
      <c r="W872" s="1" t="s">
        <v>37</v>
      </c>
      <c r="X872" s="1" t="s">
        <v>146</v>
      </c>
      <c r="Y872" s="1" t="s">
        <v>551</v>
      </c>
      <c r="Z872" s="1" t="str">
        <f>TRIM(_xlfn.CONCAT(sales_data_sample[[#This Row],[CONTACTFIRSTNAME]],", ",sales_data_sample[[#This Row],[CONTACTLASTNAME]]))</f>
        <v>Sue, King</v>
      </c>
      <c r="AA872" s="1" t="s">
        <v>59</v>
      </c>
    </row>
    <row r="873" spans="1:27" x14ac:dyDescent="0.25">
      <c r="A873" s="10">
        <v>10287</v>
      </c>
      <c r="B873" s="9">
        <v>44</v>
      </c>
      <c r="C873" s="9">
        <v>100</v>
      </c>
      <c r="D873" s="9">
        <f>PRODUCT(sales_data_sample[[#This Row],[QUANTITYORDERED]],sales_data_sample[[#This Row],[PRICEEACH]])</f>
        <v>4400</v>
      </c>
      <c r="E873" s="9">
        <f>IF(OR(sales_data_sample[[#This Row],[STATUS]]="Shipped",sales_data_sample[[#This Row],[STATUS]]="Resolved"),sales_data_sample[[#This Row],[SALES]],0)</f>
        <v>4400</v>
      </c>
      <c r="F873" s="10">
        <v>1</v>
      </c>
      <c r="G873" s="12" t="s">
        <v>645</v>
      </c>
      <c r="H873" s="1" t="s">
        <v>26</v>
      </c>
      <c r="I873">
        <v>3</v>
      </c>
      <c r="J873">
        <v>8</v>
      </c>
      <c r="K873">
        <v>2004</v>
      </c>
      <c r="L873" s="1" t="s">
        <v>239</v>
      </c>
      <c r="M873">
        <v>132</v>
      </c>
      <c r="N873" s="1" t="s">
        <v>899</v>
      </c>
      <c r="O873" s="1" t="s">
        <v>622</v>
      </c>
      <c r="P873" s="1" t="s">
        <v>623</v>
      </c>
      <c r="Q873" s="1" t="s">
        <v>624</v>
      </c>
      <c r="R873" s="1" t="s">
        <v>32</v>
      </c>
      <c r="S873" s="1" t="s">
        <v>625</v>
      </c>
      <c r="T873" s="1" t="s">
        <v>32</v>
      </c>
      <c r="U873" s="1" t="s">
        <v>626</v>
      </c>
      <c r="V873" s="1" t="s">
        <v>627</v>
      </c>
      <c r="W873" s="1" t="s">
        <v>48</v>
      </c>
      <c r="X873" s="1" t="s">
        <v>628</v>
      </c>
      <c r="Y873" s="1" t="s">
        <v>130</v>
      </c>
      <c r="Z873" s="1" t="str">
        <f>TRIM(_xlfn.CONCAT(sales_data_sample[[#This Row],[CONTACTFIRSTNAME]],", ",sales_data_sample[[#This Row],[CONTACTLASTNAME]]))</f>
        <v>Michael, Holz</v>
      </c>
      <c r="AA873" s="1" t="s">
        <v>59</v>
      </c>
    </row>
    <row r="874" spans="1:27" x14ac:dyDescent="0.25">
      <c r="A874" s="10">
        <v>10301</v>
      </c>
      <c r="B874" s="9">
        <v>22</v>
      </c>
      <c r="C874" s="9">
        <v>100</v>
      </c>
      <c r="D874" s="9">
        <f>PRODUCT(sales_data_sample[[#This Row],[QUANTITYORDERED]],sales_data_sample[[#This Row],[PRICEEACH]])</f>
        <v>2200</v>
      </c>
      <c r="E874" s="9">
        <f>IF(OR(sales_data_sample[[#This Row],[STATUS]]="Shipped",sales_data_sample[[#This Row],[STATUS]]="Resolved"),sales_data_sample[[#This Row],[SALES]],0)</f>
        <v>2200</v>
      </c>
      <c r="F874" s="10">
        <v>5</v>
      </c>
      <c r="G874" s="12" t="s">
        <v>785</v>
      </c>
      <c r="H874" s="1" t="s">
        <v>26</v>
      </c>
      <c r="I874">
        <v>4</v>
      </c>
      <c r="J874">
        <v>10</v>
      </c>
      <c r="K874">
        <v>2003</v>
      </c>
      <c r="L874" s="1" t="s">
        <v>239</v>
      </c>
      <c r="M874">
        <v>132</v>
      </c>
      <c r="N874" s="1" t="s">
        <v>899</v>
      </c>
      <c r="O874" s="1" t="s">
        <v>786</v>
      </c>
      <c r="P874" s="1" t="s">
        <v>787</v>
      </c>
      <c r="Q874" s="1" t="s">
        <v>788</v>
      </c>
      <c r="R874" s="1" t="s">
        <v>32</v>
      </c>
      <c r="S874" s="1" t="s">
        <v>789</v>
      </c>
      <c r="T874" s="1" t="s">
        <v>32</v>
      </c>
      <c r="U874" s="1" t="s">
        <v>790</v>
      </c>
      <c r="V874" s="1" t="s">
        <v>97</v>
      </c>
      <c r="W874" s="1" t="s">
        <v>48</v>
      </c>
      <c r="X874" s="1" t="s">
        <v>791</v>
      </c>
      <c r="Y874" s="1" t="s">
        <v>792</v>
      </c>
      <c r="Z874" s="1" t="str">
        <f>TRIM(_xlfn.CONCAT(sales_data_sample[[#This Row],[CONTACTFIRSTNAME]],", ",sales_data_sample[[#This Row],[CONTACTLASTNAME]]))</f>
        <v>Jan, Klaeboe</v>
      </c>
      <c r="AA874" s="1" t="s">
        <v>59</v>
      </c>
    </row>
    <row r="875" spans="1:27" x14ac:dyDescent="0.25">
      <c r="A875" s="10">
        <v>10311</v>
      </c>
      <c r="B875" s="9">
        <v>43</v>
      </c>
      <c r="C875" s="9">
        <v>100</v>
      </c>
      <c r="D875" s="9">
        <f>PRODUCT(sales_data_sample[[#This Row],[QUANTITYORDERED]],sales_data_sample[[#This Row],[PRICEEACH]])</f>
        <v>4300</v>
      </c>
      <c r="E875" s="9">
        <f>IF(OR(sales_data_sample[[#This Row],[STATUS]]="Shipped",sales_data_sample[[#This Row],[STATUS]]="Resolved"),sales_data_sample[[#This Row],[SALES]],0)</f>
        <v>4300</v>
      </c>
      <c r="F875" s="10">
        <v>10</v>
      </c>
      <c r="G875" s="12" t="s">
        <v>653</v>
      </c>
      <c r="H875" s="1" t="s">
        <v>26</v>
      </c>
      <c r="I875">
        <v>4</v>
      </c>
      <c r="J875">
        <v>10</v>
      </c>
      <c r="K875">
        <v>2004</v>
      </c>
      <c r="L875" s="1" t="s">
        <v>239</v>
      </c>
      <c r="M875">
        <v>132</v>
      </c>
      <c r="N875" s="1" t="s">
        <v>899</v>
      </c>
      <c r="O875" s="1" t="s">
        <v>230</v>
      </c>
      <c r="P875" s="1" t="s">
        <v>231</v>
      </c>
      <c r="Q875" s="1" t="s">
        <v>232</v>
      </c>
      <c r="R875" s="1" t="s">
        <v>32</v>
      </c>
      <c r="S875" s="1" t="s">
        <v>233</v>
      </c>
      <c r="T875" s="1" t="s">
        <v>32</v>
      </c>
      <c r="U875" s="1" t="s">
        <v>234</v>
      </c>
      <c r="V875" s="1" t="s">
        <v>235</v>
      </c>
      <c r="W875" s="1" t="s">
        <v>48</v>
      </c>
      <c r="X875" s="1" t="s">
        <v>236</v>
      </c>
      <c r="Y875" s="1" t="s">
        <v>237</v>
      </c>
      <c r="Z875" s="1" t="str">
        <f>TRIM(_xlfn.CONCAT(sales_data_sample[[#This Row],[CONTACTFIRSTNAME]],", ",sales_data_sample[[#This Row],[CONTACTLASTNAME]]))</f>
        <v>Diego, Freyre</v>
      </c>
      <c r="AA875" s="1" t="s">
        <v>59</v>
      </c>
    </row>
    <row r="876" spans="1:27" x14ac:dyDescent="0.25">
      <c r="A876" s="10">
        <v>10321</v>
      </c>
      <c r="B876" s="9">
        <v>27</v>
      </c>
      <c r="C876" s="9">
        <v>100</v>
      </c>
      <c r="D876" s="9">
        <f>PRODUCT(sales_data_sample[[#This Row],[QUANTITYORDERED]],sales_data_sample[[#This Row],[PRICEEACH]])</f>
        <v>2700</v>
      </c>
      <c r="E876" s="9">
        <f>IF(OR(sales_data_sample[[#This Row],[STATUS]]="Shipped",sales_data_sample[[#This Row],[STATUS]]="Resolved"),sales_data_sample[[#This Row],[SALES]],0)</f>
        <v>2700</v>
      </c>
      <c r="F876" s="10">
        <v>7</v>
      </c>
      <c r="G876" s="12" t="s">
        <v>367</v>
      </c>
      <c r="H876" s="1" t="s">
        <v>26</v>
      </c>
      <c r="I876">
        <v>4</v>
      </c>
      <c r="J876">
        <v>11</v>
      </c>
      <c r="K876">
        <v>2004</v>
      </c>
      <c r="L876" s="1" t="s">
        <v>239</v>
      </c>
      <c r="M876">
        <v>132</v>
      </c>
      <c r="N876" s="1" t="s">
        <v>899</v>
      </c>
      <c r="O876" s="1" t="s">
        <v>212</v>
      </c>
      <c r="P876" s="1" t="s">
        <v>213</v>
      </c>
      <c r="Q876" s="1" t="s">
        <v>214</v>
      </c>
      <c r="R876" s="1" t="s">
        <v>32</v>
      </c>
      <c r="S876" s="1" t="s">
        <v>215</v>
      </c>
      <c r="T876" s="1" t="s">
        <v>160</v>
      </c>
      <c r="U876" s="1" t="s">
        <v>216</v>
      </c>
      <c r="V876" s="1" t="s">
        <v>36</v>
      </c>
      <c r="W876" s="1" t="s">
        <v>37</v>
      </c>
      <c r="X876" s="1" t="s">
        <v>217</v>
      </c>
      <c r="Y876" s="1" t="s">
        <v>218</v>
      </c>
      <c r="Z876" s="1" t="str">
        <f>TRIM(_xlfn.CONCAT(sales_data_sample[[#This Row],[CONTACTFIRSTNAME]],", ",sales_data_sample[[#This Row],[CONTACTLASTNAME]]))</f>
        <v>Violeta, Benitez</v>
      </c>
      <c r="AA876" s="1" t="s">
        <v>40</v>
      </c>
    </row>
    <row r="877" spans="1:27" x14ac:dyDescent="0.25">
      <c r="A877" s="10">
        <v>10331</v>
      </c>
      <c r="B877" s="9">
        <v>26</v>
      </c>
      <c r="C877" s="9">
        <v>649</v>
      </c>
      <c r="D877" s="9">
        <f>PRODUCT(sales_data_sample[[#This Row],[QUANTITYORDERED]],sales_data_sample[[#This Row],[PRICEEACH]])</f>
        <v>16874</v>
      </c>
      <c r="E877" s="9">
        <f>IF(OR(sales_data_sample[[#This Row],[STATUS]]="Shipped",sales_data_sample[[#This Row],[STATUS]]="Resolved"),sales_data_sample[[#This Row],[SALES]],0)</f>
        <v>16874</v>
      </c>
      <c r="F877" s="10">
        <v>10</v>
      </c>
      <c r="G877" s="12" t="s">
        <v>793</v>
      </c>
      <c r="H877" s="1" t="s">
        <v>26</v>
      </c>
      <c r="I877">
        <v>4</v>
      </c>
      <c r="J877">
        <v>11</v>
      </c>
      <c r="K877">
        <v>2004</v>
      </c>
      <c r="L877" s="1" t="s">
        <v>239</v>
      </c>
      <c r="M877">
        <v>132</v>
      </c>
      <c r="N877" s="1" t="s">
        <v>899</v>
      </c>
      <c r="O877" s="1" t="s">
        <v>415</v>
      </c>
      <c r="P877" s="1" t="s">
        <v>416</v>
      </c>
      <c r="Q877" s="1" t="s">
        <v>417</v>
      </c>
      <c r="R877" s="1" t="s">
        <v>32</v>
      </c>
      <c r="S877" s="1" t="s">
        <v>286</v>
      </c>
      <c r="T877" s="1" t="s">
        <v>186</v>
      </c>
      <c r="U877" s="1" t="s">
        <v>287</v>
      </c>
      <c r="V877" s="1" t="s">
        <v>36</v>
      </c>
      <c r="W877" s="1" t="s">
        <v>37</v>
      </c>
      <c r="X877" s="1" t="s">
        <v>162</v>
      </c>
      <c r="Y877" s="1" t="s">
        <v>418</v>
      </c>
      <c r="Z877" s="1" t="str">
        <f>TRIM(_xlfn.CONCAT(sales_data_sample[[#This Row],[CONTACTFIRSTNAME]],", ",sales_data_sample[[#This Row],[CONTACTLASTNAME]]))</f>
        <v>Rosa, Hernandez</v>
      </c>
      <c r="AA877" s="1" t="s">
        <v>40</v>
      </c>
    </row>
    <row r="878" spans="1:27" x14ac:dyDescent="0.25">
      <c r="A878" s="10">
        <v>10343</v>
      </c>
      <c r="B878" s="9">
        <v>25</v>
      </c>
      <c r="C878" s="9">
        <v>5232</v>
      </c>
      <c r="D878" s="9">
        <f>PRODUCT(sales_data_sample[[#This Row],[QUANTITYORDERED]],sales_data_sample[[#This Row],[PRICEEACH]])</f>
        <v>130800</v>
      </c>
      <c r="E878" s="9">
        <f>IF(OR(sales_data_sample[[#This Row],[STATUS]]="Shipped",sales_data_sample[[#This Row],[STATUS]]="Resolved"),sales_data_sample[[#This Row],[SALES]],0)</f>
        <v>130800</v>
      </c>
      <c r="F878" s="10">
        <v>3</v>
      </c>
      <c r="G878" s="12" t="s">
        <v>190</v>
      </c>
      <c r="H878" s="1" t="s">
        <v>26</v>
      </c>
      <c r="I878">
        <v>4</v>
      </c>
      <c r="J878">
        <v>11</v>
      </c>
      <c r="K878">
        <v>2004</v>
      </c>
      <c r="L878" s="1" t="s">
        <v>239</v>
      </c>
      <c r="M878">
        <v>132</v>
      </c>
      <c r="N878" s="1" t="s">
        <v>899</v>
      </c>
      <c r="O878" s="1" t="s">
        <v>42</v>
      </c>
      <c r="P878" s="1" t="s">
        <v>43</v>
      </c>
      <c r="Q878" s="1" t="s">
        <v>44</v>
      </c>
      <c r="R878" s="1" t="s">
        <v>32</v>
      </c>
      <c r="S878" s="1" t="s">
        <v>45</v>
      </c>
      <c r="T878" s="1" t="s">
        <v>32</v>
      </c>
      <c r="U878" s="1" t="s">
        <v>46</v>
      </c>
      <c r="V878" s="1" t="s">
        <v>47</v>
      </c>
      <c r="W878" s="1" t="s">
        <v>48</v>
      </c>
      <c r="X878" s="1" t="s">
        <v>49</v>
      </c>
      <c r="Y878" s="1" t="s">
        <v>50</v>
      </c>
      <c r="Z878" s="1" t="str">
        <f>TRIM(_xlfn.CONCAT(sales_data_sample[[#This Row],[CONTACTFIRSTNAME]],", ",sales_data_sample[[#This Row],[CONTACTLASTNAME]]))</f>
        <v>Paul, Henriot</v>
      </c>
      <c r="AA878" s="1" t="s">
        <v>40</v>
      </c>
    </row>
    <row r="879" spans="1:27" x14ac:dyDescent="0.25">
      <c r="A879" s="10">
        <v>10366</v>
      </c>
      <c r="B879" s="9">
        <v>49</v>
      </c>
      <c r="C879" s="9">
        <v>100</v>
      </c>
      <c r="D879" s="9">
        <f>PRODUCT(sales_data_sample[[#This Row],[QUANTITYORDERED]],sales_data_sample[[#This Row],[PRICEEACH]])</f>
        <v>4900</v>
      </c>
      <c r="E879" s="9">
        <f>IF(OR(sales_data_sample[[#This Row],[STATUS]]="Shipped",sales_data_sample[[#This Row],[STATUS]]="Resolved"),sales_data_sample[[#This Row],[SALES]],0)</f>
        <v>4900</v>
      </c>
      <c r="F879" s="10">
        <v>2</v>
      </c>
      <c r="G879" s="12" t="s">
        <v>879</v>
      </c>
      <c r="H879" s="1" t="s">
        <v>26</v>
      </c>
      <c r="I879">
        <v>1</v>
      </c>
      <c r="J879">
        <v>1</v>
      </c>
      <c r="K879">
        <v>2005</v>
      </c>
      <c r="L879" s="1" t="s">
        <v>239</v>
      </c>
      <c r="M879">
        <v>132</v>
      </c>
      <c r="N879" s="1" t="s">
        <v>899</v>
      </c>
      <c r="O879" s="1" t="s">
        <v>861</v>
      </c>
      <c r="P879" s="1" t="s">
        <v>862</v>
      </c>
      <c r="Q879" s="1" t="s">
        <v>863</v>
      </c>
      <c r="R879" s="1" t="s">
        <v>32</v>
      </c>
      <c r="S879" s="1" t="s">
        <v>864</v>
      </c>
      <c r="T879" s="1" t="s">
        <v>32</v>
      </c>
      <c r="U879" s="1" t="s">
        <v>865</v>
      </c>
      <c r="V879" s="1" t="s">
        <v>505</v>
      </c>
      <c r="W879" s="1" t="s">
        <v>48</v>
      </c>
      <c r="X879" s="1" t="s">
        <v>866</v>
      </c>
      <c r="Y879" s="1" t="s">
        <v>867</v>
      </c>
      <c r="Z879" s="1" t="str">
        <f>TRIM(_xlfn.CONCAT(sales_data_sample[[#This Row],[CONTACTFIRSTNAME]],", ",sales_data_sample[[#This Row],[CONTACTLASTNAME]]))</f>
        <v>Pascale, Cartrain</v>
      </c>
      <c r="AA879" s="1" t="s">
        <v>59</v>
      </c>
    </row>
    <row r="880" spans="1:27" x14ac:dyDescent="0.25">
      <c r="A880" s="10">
        <v>10379</v>
      </c>
      <c r="B880" s="9">
        <v>29</v>
      </c>
      <c r="C880" s="9">
        <v>100</v>
      </c>
      <c r="D880" s="9">
        <f>PRODUCT(sales_data_sample[[#This Row],[QUANTITYORDERED]],sales_data_sample[[#This Row],[PRICEEACH]])</f>
        <v>2900</v>
      </c>
      <c r="E880" s="9">
        <f>IF(OR(sales_data_sample[[#This Row],[STATUS]]="Shipped",sales_data_sample[[#This Row],[STATUS]]="Resolved"),sales_data_sample[[#This Row],[SALES]],0)</f>
        <v>2900</v>
      </c>
      <c r="F880" s="10">
        <v>5</v>
      </c>
      <c r="G880" s="12" t="s">
        <v>836</v>
      </c>
      <c r="H880" s="1" t="s">
        <v>26</v>
      </c>
      <c r="I880">
        <v>1</v>
      </c>
      <c r="J880">
        <v>2</v>
      </c>
      <c r="K880">
        <v>2005</v>
      </c>
      <c r="L880" s="1" t="s">
        <v>239</v>
      </c>
      <c r="M880">
        <v>132</v>
      </c>
      <c r="N880" s="1" t="s">
        <v>899</v>
      </c>
      <c r="O880" s="1" t="s">
        <v>230</v>
      </c>
      <c r="P880" s="1" t="s">
        <v>231</v>
      </c>
      <c r="Q880" s="1" t="s">
        <v>232</v>
      </c>
      <c r="R880" s="1" t="s">
        <v>32</v>
      </c>
      <c r="S880" s="1" t="s">
        <v>233</v>
      </c>
      <c r="T880" s="1" t="s">
        <v>32</v>
      </c>
      <c r="U880" s="1" t="s">
        <v>234</v>
      </c>
      <c r="V880" s="1" t="s">
        <v>235</v>
      </c>
      <c r="W880" s="1" t="s">
        <v>48</v>
      </c>
      <c r="X880" s="1" t="s">
        <v>236</v>
      </c>
      <c r="Y880" s="1" t="s">
        <v>237</v>
      </c>
      <c r="Z880" s="1" t="str">
        <f>TRIM(_xlfn.CONCAT(sales_data_sample[[#This Row],[CONTACTFIRSTNAME]],", ",sales_data_sample[[#This Row],[CONTACTLASTNAME]]))</f>
        <v>Diego, Freyre</v>
      </c>
      <c r="AA880" s="1" t="s">
        <v>59</v>
      </c>
    </row>
    <row r="881" spans="1:27" x14ac:dyDescent="0.25">
      <c r="A881" s="10">
        <v>10407</v>
      </c>
      <c r="B881" s="9">
        <v>41</v>
      </c>
      <c r="C881" s="9">
        <v>100</v>
      </c>
      <c r="D881" s="9">
        <f>PRODUCT(sales_data_sample[[#This Row],[QUANTITYORDERED]],sales_data_sample[[#This Row],[PRICEEACH]])</f>
        <v>4100</v>
      </c>
      <c r="E881" s="9">
        <f>IF(OR(sales_data_sample[[#This Row],[STATUS]]="Shipped",sales_data_sample[[#This Row],[STATUS]]="Resolved"),sales_data_sample[[#This Row],[SALES]],0)</f>
        <v>0</v>
      </c>
      <c r="F881" s="10">
        <v>12</v>
      </c>
      <c r="G881" s="12" t="s">
        <v>837</v>
      </c>
      <c r="H881" s="1" t="s">
        <v>553</v>
      </c>
      <c r="I881">
        <v>2</v>
      </c>
      <c r="J881">
        <v>4</v>
      </c>
      <c r="K881">
        <v>2005</v>
      </c>
      <c r="L881" s="1" t="s">
        <v>239</v>
      </c>
      <c r="M881">
        <v>132</v>
      </c>
      <c r="N881" s="1" t="s">
        <v>899</v>
      </c>
      <c r="O881" s="1" t="s">
        <v>547</v>
      </c>
      <c r="P881" s="1" t="s">
        <v>548</v>
      </c>
      <c r="Q881" s="1" t="s">
        <v>549</v>
      </c>
      <c r="R881" s="1" t="s">
        <v>32</v>
      </c>
      <c r="S881" s="1" t="s">
        <v>550</v>
      </c>
      <c r="T881" s="1" t="s">
        <v>65</v>
      </c>
      <c r="U881" s="1" t="s">
        <v>80</v>
      </c>
      <c r="V881" s="1" t="s">
        <v>36</v>
      </c>
      <c r="W881" s="1" t="s">
        <v>37</v>
      </c>
      <c r="X881" s="1" t="s">
        <v>129</v>
      </c>
      <c r="Y881" s="1" t="s">
        <v>551</v>
      </c>
      <c r="Z881" s="1" t="str">
        <f>TRIM(_xlfn.CONCAT(sales_data_sample[[#This Row],[CONTACTFIRSTNAME]],", ",sales_data_sample[[#This Row],[CONTACTLASTNAME]]))</f>
        <v>Sue, Frick</v>
      </c>
      <c r="AA881" s="1" t="s">
        <v>59</v>
      </c>
    </row>
    <row r="882" spans="1:27" x14ac:dyDescent="0.25">
      <c r="A882" s="10">
        <v>10419</v>
      </c>
      <c r="B882" s="9">
        <v>55</v>
      </c>
      <c r="C882" s="9">
        <v>100</v>
      </c>
      <c r="D882" s="9">
        <f>PRODUCT(sales_data_sample[[#This Row],[QUANTITYORDERED]],sales_data_sample[[#This Row],[PRICEEACH]])</f>
        <v>5500</v>
      </c>
      <c r="E882" s="9">
        <f>IF(OR(sales_data_sample[[#This Row],[STATUS]]="Shipped",sales_data_sample[[#This Row],[STATUS]]="Resolved"),sales_data_sample[[#This Row],[SALES]],0)</f>
        <v>5500</v>
      </c>
      <c r="F882" s="10">
        <v>2</v>
      </c>
      <c r="G882" s="12" t="s">
        <v>663</v>
      </c>
      <c r="H882" s="1" t="s">
        <v>26</v>
      </c>
      <c r="I882">
        <v>2</v>
      </c>
      <c r="J882">
        <v>5</v>
      </c>
      <c r="K882">
        <v>2005</v>
      </c>
      <c r="L882" s="1" t="s">
        <v>239</v>
      </c>
      <c r="M882">
        <v>132</v>
      </c>
      <c r="N882" s="1" t="s">
        <v>899</v>
      </c>
      <c r="O882" s="1" t="s">
        <v>191</v>
      </c>
      <c r="P882" s="1" t="s">
        <v>192</v>
      </c>
      <c r="Q882" s="1" t="s">
        <v>193</v>
      </c>
      <c r="R882" s="1" t="s">
        <v>32</v>
      </c>
      <c r="S882" s="1" t="s">
        <v>194</v>
      </c>
      <c r="T882" s="1" t="s">
        <v>32</v>
      </c>
      <c r="U882" s="1" t="s">
        <v>195</v>
      </c>
      <c r="V882" s="1" t="s">
        <v>196</v>
      </c>
      <c r="W882" s="1" t="s">
        <v>48</v>
      </c>
      <c r="X882" s="1" t="s">
        <v>197</v>
      </c>
      <c r="Y882" s="1" t="s">
        <v>198</v>
      </c>
      <c r="Z882" s="1" t="str">
        <f>TRIM(_xlfn.CONCAT(sales_data_sample[[#This Row],[CONTACTFIRSTNAME]],", ",sales_data_sample[[#This Row],[CONTACTLASTNAME]]))</f>
        <v>Georg, Pipps</v>
      </c>
      <c r="AA882" s="1" t="s">
        <v>199</v>
      </c>
    </row>
    <row r="883" spans="1:27" x14ac:dyDescent="0.25">
      <c r="A883" s="10">
        <v>10103</v>
      </c>
      <c r="B883" s="9">
        <v>27</v>
      </c>
      <c r="C883" s="9">
        <v>8307</v>
      </c>
      <c r="D883" s="9">
        <f>PRODUCT(sales_data_sample[[#This Row],[QUANTITYORDERED]],sales_data_sample[[#This Row],[PRICEEACH]])</f>
        <v>224289</v>
      </c>
      <c r="E883" s="9">
        <f>IF(OR(sales_data_sample[[#This Row],[STATUS]]="Shipped",sales_data_sample[[#This Row],[STATUS]]="Resolved"),sales_data_sample[[#This Row],[SALES]],0)</f>
        <v>224289</v>
      </c>
      <c r="F883" s="10">
        <v>12</v>
      </c>
      <c r="G883" s="12" t="s">
        <v>238</v>
      </c>
      <c r="H883" s="1" t="s">
        <v>26</v>
      </c>
      <c r="I883">
        <v>1</v>
      </c>
      <c r="J883">
        <v>1</v>
      </c>
      <c r="K883">
        <v>2003</v>
      </c>
      <c r="L883" s="1" t="s">
        <v>799</v>
      </c>
      <c r="M883">
        <v>101</v>
      </c>
      <c r="N883" s="1" t="s">
        <v>900</v>
      </c>
      <c r="O883" s="1" t="s">
        <v>174</v>
      </c>
      <c r="P883" s="1" t="s">
        <v>175</v>
      </c>
      <c r="Q883" s="1" t="s">
        <v>176</v>
      </c>
      <c r="R883" s="1" t="s">
        <v>32</v>
      </c>
      <c r="S883" s="1" t="s">
        <v>177</v>
      </c>
      <c r="T883" s="1" t="s">
        <v>32</v>
      </c>
      <c r="U883" s="1" t="s">
        <v>178</v>
      </c>
      <c r="V883" s="1" t="s">
        <v>97</v>
      </c>
      <c r="W883" s="1" t="s">
        <v>48</v>
      </c>
      <c r="X883" s="1" t="s">
        <v>179</v>
      </c>
      <c r="Y883" s="1" t="s">
        <v>180</v>
      </c>
      <c r="Z883" s="1" t="str">
        <f>TRIM(_xlfn.CONCAT(sales_data_sample[[#This Row],[CONTACTFIRSTNAME]],", ",sales_data_sample[[#This Row],[CONTACTLASTNAME]]))</f>
        <v>Jonas, Bergulfsen</v>
      </c>
      <c r="AA883" s="1" t="s">
        <v>40</v>
      </c>
    </row>
    <row r="884" spans="1:27" x14ac:dyDescent="0.25">
      <c r="A884" s="10">
        <v>10112</v>
      </c>
      <c r="B884" s="9">
        <v>23</v>
      </c>
      <c r="C884" s="9">
        <v>100</v>
      </c>
      <c r="D884" s="9">
        <f>PRODUCT(sales_data_sample[[#This Row],[QUANTITYORDERED]],sales_data_sample[[#This Row],[PRICEEACH]])</f>
        <v>2300</v>
      </c>
      <c r="E884" s="9">
        <f>IF(OR(sales_data_sample[[#This Row],[STATUS]]="Shipped",sales_data_sample[[#This Row],[STATUS]]="Resolved"),sales_data_sample[[#This Row],[SALES]],0)</f>
        <v>2300</v>
      </c>
      <c r="F884" s="10">
        <v>2</v>
      </c>
      <c r="G884" s="12" t="s">
        <v>241</v>
      </c>
      <c r="H884" s="1" t="s">
        <v>26</v>
      </c>
      <c r="I884">
        <v>1</v>
      </c>
      <c r="J884">
        <v>3</v>
      </c>
      <c r="K884">
        <v>2003</v>
      </c>
      <c r="L884" s="1" t="s">
        <v>799</v>
      </c>
      <c r="M884">
        <v>101</v>
      </c>
      <c r="N884" s="1" t="s">
        <v>900</v>
      </c>
      <c r="O884" s="1" t="s">
        <v>242</v>
      </c>
      <c r="P884" s="1" t="s">
        <v>243</v>
      </c>
      <c r="Q884" s="1" t="s">
        <v>244</v>
      </c>
      <c r="R884" s="1" t="s">
        <v>32</v>
      </c>
      <c r="S884" s="1" t="s">
        <v>245</v>
      </c>
      <c r="T884" s="1" t="s">
        <v>32</v>
      </c>
      <c r="U884" s="1" t="s">
        <v>246</v>
      </c>
      <c r="V884" s="1" t="s">
        <v>247</v>
      </c>
      <c r="W884" s="1" t="s">
        <v>48</v>
      </c>
      <c r="X884" s="1" t="s">
        <v>248</v>
      </c>
      <c r="Y884" s="1" t="s">
        <v>249</v>
      </c>
      <c r="Z884" s="1" t="str">
        <f>TRIM(_xlfn.CONCAT(sales_data_sample[[#This Row],[CONTACTFIRSTNAME]],", ",sales_data_sample[[#This Row],[CONTACTLASTNAME]]))</f>
        <v>Christina, Berglund</v>
      </c>
      <c r="AA884" s="1" t="s">
        <v>40</v>
      </c>
    </row>
    <row r="885" spans="1:27" x14ac:dyDescent="0.25">
      <c r="A885" s="10">
        <v>10126</v>
      </c>
      <c r="B885" s="9">
        <v>31</v>
      </c>
      <c r="C885" s="9">
        <v>9017</v>
      </c>
      <c r="D885" s="9">
        <f>PRODUCT(sales_data_sample[[#This Row],[QUANTITYORDERED]],sales_data_sample[[#This Row],[PRICEEACH]])</f>
        <v>279527</v>
      </c>
      <c r="E885" s="9">
        <f>IF(OR(sales_data_sample[[#This Row],[STATUS]]="Shipped",sales_data_sample[[#This Row],[STATUS]]="Resolved"),sales_data_sample[[#This Row],[SALES]],0)</f>
        <v>279527</v>
      </c>
      <c r="F885" s="10">
        <v>12</v>
      </c>
      <c r="G885" s="12" t="s">
        <v>250</v>
      </c>
      <c r="H885" s="1" t="s">
        <v>26</v>
      </c>
      <c r="I885">
        <v>2</v>
      </c>
      <c r="J885">
        <v>5</v>
      </c>
      <c r="K885">
        <v>2003</v>
      </c>
      <c r="L885" s="1" t="s">
        <v>799</v>
      </c>
      <c r="M885">
        <v>101</v>
      </c>
      <c r="N885" s="1" t="s">
        <v>900</v>
      </c>
      <c r="O885" s="1" t="s">
        <v>251</v>
      </c>
      <c r="P885" s="1" t="s">
        <v>252</v>
      </c>
      <c r="Q885" s="1" t="s">
        <v>253</v>
      </c>
      <c r="R885" s="1" t="s">
        <v>32</v>
      </c>
      <c r="S885" s="1" t="s">
        <v>233</v>
      </c>
      <c r="T885" s="1" t="s">
        <v>32</v>
      </c>
      <c r="U885" s="1" t="s">
        <v>254</v>
      </c>
      <c r="V885" s="1" t="s">
        <v>235</v>
      </c>
      <c r="W885" s="1" t="s">
        <v>48</v>
      </c>
      <c r="X885" s="1" t="s">
        <v>255</v>
      </c>
      <c r="Y885" s="1" t="s">
        <v>256</v>
      </c>
      <c r="Z885" s="1" t="str">
        <f>TRIM(_xlfn.CONCAT(sales_data_sample[[#This Row],[CONTACTFIRSTNAME]],", ",sales_data_sample[[#This Row],[CONTACTLASTNAME]]))</f>
        <v>Mart¡n, Sommer</v>
      </c>
      <c r="AA885" s="1" t="s">
        <v>40</v>
      </c>
    </row>
    <row r="886" spans="1:27" x14ac:dyDescent="0.25">
      <c r="A886">
        <v>10139</v>
      </c>
      <c r="B886">
        <v>46</v>
      </c>
      <c r="C886">
        <v>100</v>
      </c>
      <c r="D886">
        <f>PRODUCT(sales_data_sample[[#This Row],[QUANTITYORDERED]],sales_data_sample[[#This Row],[PRICEEACH]])</f>
        <v>4600</v>
      </c>
      <c r="E886" s="9">
        <f>IF(OR(sales_data_sample[[#This Row],[STATUS]]="Shipped",sales_data_sample[[#This Row],[STATUS]]="Resolved"),sales_data_sample[[#This Row],[SALES]],0)</f>
        <v>4600</v>
      </c>
      <c r="F886">
        <v>1</v>
      </c>
      <c r="G886" s="12" t="s">
        <v>803</v>
      </c>
      <c r="H886" s="1" t="s">
        <v>26</v>
      </c>
      <c r="I886">
        <v>3</v>
      </c>
      <c r="J886">
        <v>7</v>
      </c>
      <c r="K886">
        <v>2003</v>
      </c>
      <c r="L886" s="1" t="s">
        <v>799</v>
      </c>
      <c r="M886">
        <v>101</v>
      </c>
      <c r="N886" s="1" t="s">
        <v>900</v>
      </c>
      <c r="O886" s="1" t="s">
        <v>201</v>
      </c>
      <c r="P886" s="1" t="s">
        <v>202</v>
      </c>
      <c r="Q886" s="1" t="s">
        <v>203</v>
      </c>
      <c r="R886" s="1" t="s">
        <v>204</v>
      </c>
      <c r="S886" s="1" t="s">
        <v>205</v>
      </c>
      <c r="T886" s="1" t="s">
        <v>206</v>
      </c>
      <c r="U886" s="1" t="s">
        <v>207</v>
      </c>
      <c r="V886" s="1" t="s">
        <v>120</v>
      </c>
      <c r="W886" s="1" t="s">
        <v>121</v>
      </c>
      <c r="X886" s="1" t="s">
        <v>208</v>
      </c>
      <c r="Y886" s="1" t="s">
        <v>209</v>
      </c>
      <c r="Z886" s="1" t="str">
        <f>TRIM(_xlfn.CONCAT(sales_data_sample[[#This Row],[CONTACTFIRSTNAME]],", ",sales_data_sample[[#This Row],[CONTACTLASTNAME]]))</f>
        <v>Adrian, Huxley</v>
      </c>
      <c r="AA886" s="1" t="s">
        <v>59</v>
      </c>
    </row>
    <row r="887" spans="1:27" x14ac:dyDescent="0.25">
      <c r="A887" s="10">
        <v>10150</v>
      </c>
      <c r="B887" s="9">
        <v>47</v>
      </c>
      <c r="C887" s="9">
        <v>9118</v>
      </c>
      <c r="D887" s="9">
        <f>PRODUCT(sales_data_sample[[#This Row],[QUANTITYORDERED]],sales_data_sample[[#This Row],[PRICEEACH]])</f>
        <v>428546</v>
      </c>
      <c r="E887" s="9">
        <f>IF(OR(sales_data_sample[[#This Row],[STATUS]]="Shipped",sales_data_sample[[#This Row],[STATUS]]="Resolved"),sales_data_sample[[#This Row],[SALES]],0)</f>
        <v>428546</v>
      </c>
      <c r="F887" s="10">
        <v>9</v>
      </c>
      <c r="G887" s="12" t="s">
        <v>258</v>
      </c>
      <c r="H887" s="1" t="s">
        <v>26</v>
      </c>
      <c r="I887">
        <v>3</v>
      </c>
      <c r="J887">
        <v>9</v>
      </c>
      <c r="K887">
        <v>2003</v>
      </c>
      <c r="L887" s="1" t="s">
        <v>799</v>
      </c>
      <c r="M887">
        <v>101</v>
      </c>
      <c r="N887" s="1" t="s">
        <v>900</v>
      </c>
      <c r="O887" s="1" t="s">
        <v>259</v>
      </c>
      <c r="P887" s="1" t="s">
        <v>260</v>
      </c>
      <c r="Q887" s="1" t="s">
        <v>261</v>
      </c>
      <c r="R887" s="1" t="s">
        <v>32</v>
      </c>
      <c r="S887" s="1" t="s">
        <v>262</v>
      </c>
      <c r="T887" s="1" t="s">
        <v>32</v>
      </c>
      <c r="U887" s="1" t="s">
        <v>263</v>
      </c>
      <c r="V887" s="1" t="s">
        <v>262</v>
      </c>
      <c r="W887" s="1" t="s">
        <v>264</v>
      </c>
      <c r="X887" s="1" t="s">
        <v>265</v>
      </c>
      <c r="Y887" s="1" t="s">
        <v>266</v>
      </c>
      <c r="Z887" s="1" t="str">
        <f>TRIM(_xlfn.CONCAT(sales_data_sample[[#This Row],[CONTACTFIRSTNAME]],", ",sales_data_sample[[#This Row],[CONTACTLASTNAME]]))</f>
        <v>Eric, Natividad</v>
      </c>
      <c r="AA887" s="1" t="s">
        <v>59</v>
      </c>
    </row>
    <row r="888" spans="1:27" x14ac:dyDescent="0.25">
      <c r="A888">
        <v>10163</v>
      </c>
      <c r="B888">
        <v>31</v>
      </c>
      <c r="C888">
        <v>100</v>
      </c>
      <c r="D888">
        <f>PRODUCT(sales_data_sample[[#This Row],[QUANTITYORDERED]],sales_data_sample[[#This Row],[PRICEEACH]])</f>
        <v>3100</v>
      </c>
      <c r="E888" s="9">
        <f>IF(OR(sales_data_sample[[#This Row],[STATUS]]="Shipped",sales_data_sample[[#This Row],[STATUS]]="Resolved"),sales_data_sample[[#This Row],[SALES]],0)</f>
        <v>3100</v>
      </c>
      <c r="F888">
        <v>2</v>
      </c>
      <c r="G888" s="12" t="s">
        <v>267</v>
      </c>
      <c r="H888" s="1" t="s">
        <v>26</v>
      </c>
      <c r="I888">
        <v>4</v>
      </c>
      <c r="J888">
        <v>10</v>
      </c>
      <c r="K888">
        <v>2003</v>
      </c>
      <c r="L888" s="1" t="s">
        <v>799</v>
      </c>
      <c r="M888">
        <v>101</v>
      </c>
      <c r="N888" s="1" t="s">
        <v>900</v>
      </c>
      <c r="O888" s="1" t="s">
        <v>268</v>
      </c>
      <c r="P888" s="1" t="s">
        <v>269</v>
      </c>
      <c r="Q888" s="1" t="s">
        <v>270</v>
      </c>
      <c r="R888" s="1" t="s">
        <v>271</v>
      </c>
      <c r="S888" s="1" t="s">
        <v>33</v>
      </c>
      <c r="T888" s="1" t="s">
        <v>34</v>
      </c>
      <c r="U888" s="1" t="s">
        <v>35</v>
      </c>
      <c r="V888" s="1" t="s">
        <v>36</v>
      </c>
      <c r="W888" s="1" t="s">
        <v>37</v>
      </c>
      <c r="X888" s="1" t="s">
        <v>162</v>
      </c>
      <c r="Y888" s="1" t="s">
        <v>272</v>
      </c>
      <c r="Z888" s="1" t="str">
        <f>TRIM(_xlfn.CONCAT(sales_data_sample[[#This Row],[CONTACTFIRSTNAME]],", ",sales_data_sample[[#This Row],[CONTACTLASTNAME]]))</f>
        <v>Maria, Hernandez</v>
      </c>
      <c r="AA888" s="1" t="s">
        <v>59</v>
      </c>
    </row>
    <row r="889" spans="1:27" x14ac:dyDescent="0.25">
      <c r="A889" s="10">
        <v>10174</v>
      </c>
      <c r="B889" s="9">
        <v>46</v>
      </c>
      <c r="C889" s="9">
        <v>100</v>
      </c>
      <c r="D889" s="9">
        <f>PRODUCT(sales_data_sample[[#This Row],[QUANTITYORDERED]],sales_data_sample[[#This Row],[PRICEEACH]])</f>
        <v>4600</v>
      </c>
      <c r="E889" s="9">
        <f>IF(OR(sales_data_sample[[#This Row],[STATUS]]="Shipped",sales_data_sample[[#This Row],[STATUS]]="Resolved"),sales_data_sample[[#This Row],[SALES]],0)</f>
        <v>4600</v>
      </c>
      <c r="F889" s="10">
        <v>5</v>
      </c>
      <c r="G889" s="12" t="s">
        <v>273</v>
      </c>
      <c r="H889" s="1" t="s">
        <v>26</v>
      </c>
      <c r="I889">
        <v>4</v>
      </c>
      <c r="J889">
        <v>11</v>
      </c>
      <c r="K889">
        <v>2003</v>
      </c>
      <c r="L889" s="1" t="s">
        <v>799</v>
      </c>
      <c r="M889">
        <v>101</v>
      </c>
      <c r="N889" s="1" t="s">
        <v>900</v>
      </c>
      <c r="O889" s="1" t="s">
        <v>274</v>
      </c>
      <c r="P889" s="1" t="s">
        <v>275</v>
      </c>
      <c r="Q889" s="1" t="s">
        <v>276</v>
      </c>
      <c r="R889" s="1" t="s">
        <v>32</v>
      </c>
      <c r="S889" s="1" t="s">
        <v>277</v>
      </c>
      <c r="T889" s="1" t="s">
        <v>278</v>
      </c>
      <c r="U889" s="1" t="s">
        <v>279</v>
      </c>
      <c r="V889" s="1" t="s">
        <v>120</v>
      </c>
      <c r="W889" s="1" t="s">
        <v>121</v>
      </c>
      <c r="X889" s="1" t="s">
        <v>280</v>
      </c>
      <c r="Y889" s="1" t="s">
        <v>281</v>
      </c>
      <c r="Z889" s="1" t="str">
        <f>TRIM(_xlfn.CONCAT(sales_data_sample[[#This Row],[CONTACTFIRSTNAME]],", ",sales_data_sample[[#This Row],[CONTACTLASTNAME]]))</f>
        <v>Tony, Calaghan</v>
      </c>
      <c r="AA889" s="1" t="s">
        <v>59</v>
      </c>
    </row>
    <row r="890" spans="1:27" x14ac:dyDescent="0.25">
      <c r="A890" s="10">
        <v>10183</v>
      </c>
      <c r="B890" s="9">
        <v>37</v>
      </c>
      <c r="C890" s="9">
        <v>8915</v>
      </c>
      <c r="D890" s="9">
        <f>PRODUCT(sales_data_sample[[#This Row],[QUANTITYORDERED]],sales_data_sample[[#This Row],[PRICEEACH]])</f>
        <v>329855</v>
      </c>
      <c r="E890" s="9">
        <f>IF(OR(sales_data_sample[[#This Row],[STATUS]]="Shipped",sales_data_sample[[#This Row],[STATUS]]="Resolved"),sales_data_sample[[#This Row],[SALES]],0)</f>
        <v>329855</v>
      </c>
      <c r="F890" s="10">
        <v>9</v>
      </c>
      <c r="G890" s="12" t="s">
        <v>282</v>
      </c>
      <c r="H890" s="1" t="s">
        <v>26</v>
      </c>
      <c r="I890">
        <v>4</v>
      </c>
      <c r="J890">
        <v>11</v>
      </c>
      <c r="K890">
        <v>2003</v>
      </c>
      <c r="L890" s="1" t="s">
        <v>799</v>
      </c>
      <c r="M890">
        <v>101</v>
      </c>
      <c r="N890" s="1" t="s">
        <v>900</v>
      </c>
      <c r="O890" s="1" t="s">
        <v>283</v>
      </c>
      <c r="P890" s="1" t="s">
        <v>284</v>
      </c>
      <c r="Q890" s="1" t="s">
        <v>285</v>
      </c>
      <c r="R890" s="1" t="s">
        <v>32</v>
      </c>
      <c r="S890" s="1" t="s">
        <v>286</v>
      </c>
      <c r="T890" s="1" t="s">
        <v>186</v>
      </c>
      <c r="U890" s="1" t="s">
        <v>287</v>
      </c>
      <c r="V890" s="1" t="s">
        <v>36</v>
      </c>
      <c r="W890" s="1" t="s">
        <v>37</v>
      </c>
      <c r="X890" s="1" t="s">
        <v>288</v>
      </c>
      <c r="Y890" s="1" t="s">
        <v>289</v>
      </c>
      <c r="Z890" s="1" t="str">
        <f>TRIM(_xlfn.CONCAT(sales_data_sample[[#This Row],[CONTACTFIRSTNAME]],", ",sales_data_sample[[#This Row],[CONTACTLASTNAME]]))</f>
        <v>Francisca, Cervantes</v>
      </c>
      <c r="AA890" s="1" t="s">
        <v>59</v>
      </c>
    </row>
    <row r="891" spans="1:27" x14ac:dyDescent="0.25">
      <c r="A891" s="10">
        <v>10193</v>
      </c>
      <c r="B891" s="9">
        <v>28</v>
      </c>
      <c r="C891" s="9">
        <v>9321</v>
      </c>
      <c r="D891" s="9">
        <f>PRODUCT(sales_data_sample[[#This Row],[QUANTITYORDERED]],sales_data_sample[[#This Row],[PRICEEACH]])</f>
        <v>260988</v>
      </c>
      <c r="E891" s="9">
        <f>IF(OR(sales_data_sample[[#This Row],[STATUS]]="Shipped",sales_data_sample[[#This Row],[STATUS]]="Resolved"),sales_data_sample[[#This Row],[SALES]],0)</f>
        <v>260988</v>
      </c>
      <c r="F891" s="10">
        <v>1</v>
      </c>
      <c r="G891" s="12" t="s">
        <v>813</v>
      </c>
      <c r="H891" s="1" t="s">
        <v>26</v>
      </c>
      <c r="I891">
        <v>4</v>
      </c>
      <c r="J891">
        <v>11</v>
      </c>
      <c r="K891">
        <v>2003</v>
      </c>
      <c r="L891" s="1" t="s">
        <v>799</v>
      </c>
      <c r="M891">
        <v>101</v>
      </c>
      <c r="N891" s="1" t="s">
        <v>900</v>
      </c>
      <c r="O891" s="1" t="s">
        <v>814</v>
      </c>
      <c r="P891" s="1" t="s">
        <v>815</v>
      </c>
      <c r="Q891" s="1" t="s">
        <v>816</v>
      </c>
      <c r="R891" s="1" t="s">
        <v>32</v>
      </c>
      <c r="S891" s="1" t="s">
        <v>817</v>
      </c>
      <c r="T891" s="1" t="s">
        <v>118</v>
      </c>
      <c r="U891" s="1" t="s">
        <v>818</v>
      </c>
      <c r="V891" s="1" t="s">
        <v>120</v>
      </c>
      <c r="W891" s="1" t="s">
        <v>121</v>
      </c>
      <c r="X891" s="1" t="s">
        <v>819</v>
      </c>
      <c r="Y891" s="1" t="s">
        <v>820</v>
      </c>
      <c r="Z891" s="1" t="str">
        <f>TRIM(_xlfn.CONCAT(sales_data_sample[[#This Row],[CONTACTFIRSTNAME]],", ",sales_data_sample[[#This Row],[CONTACTLASTNAME]]))</f>
        <v>Sean, Connery</v>
      </c>
      <c r="AA891" s="1" t="s">
        <v>40</v>
      </c>
    </row>
    <row r="892" spans="1:27" x14ac:dyDescent="0.25">
      <c r="A892" s="10">
        <v>10206</v>
      </c>
      <c r="B892" s="9">
        <v>37</v>
      </c>
      <c r="C892" s="9">
        <v>9017</v>
      </c>
      <c r="D892" s="9">
        <f>PRODUCT(sales_data_sample[[#This Row],[QUANTITYORDERED]],sales_data_sample[[#This Row],[PRICEEACH]])</f>
        <v>333629</v>
      </c>
      <c r="E892" s="9">
        <f>IF(OR(sales_data_sample[[#This Row],[STATUS]]="Shipped",sales_data_sample[[#This Row],[STATUS]]="Resolved"),sales_data_sample[[#This Row],[SALES]],0)</f>
        <v>333629</v>
      </c>
      <c r="F892" s="10">
        <v>7</v>
      </c>
      <c r="G892" s="12" t="s">
        <v>298</v>
      </c>
      <c r="H892" s="1" t="s">
        <v>26</v>
      </c>
      <c r="I892">
        <v>4</v>
      </c>
      <c r="J892">
        <v>12</v>
      </c>
      <c r="K892">
        <v>2003</v>
      </c>
      <c r="L892" s="1" t="s">
        <v>799</v>
      </c>
      <c r="M892">
        <v>101</v>
      </c>
      <c r="N892" s="1" t="s">
        <v>900</v>
      </c>
      <c r="O892" s="1" t="s">
        <v>299</v>
      </c>
      <c r="P892" s="1" t="s">
        <v>300</v>
      </c>
      <c r="Q892" s="1" t="s">
        <v>301</v>
      </c>
      <c r="R892" s="1" t="s">
        <v>32</v>
      </c>
      <c r="S892" s="1" t="s">
        <v>302</v>
      </c>
      <c r="T892" s="1" t="s">
        <v>303</v>
      </c>
      <c r="U892" s="1" t="s">
        <v>304</v>
      </c>
      <c r="V892" s="1" t="s">
        <v>305</v>
      </c>
      <c r="W892" s="1" t="s">
        <v>37</v>
      </c>
      <c r="X892" s="1" t="s">
        <v>306</v>
      </c>
      <c r="Y892" s="1" t="s">
        <v>307</v>
      </c>
      <c r="Z892" s="1" t="str">
        <f>TRIM(_xlfn.CONCAT(sales_data_sample[[#This Row],[CONTACTFIRSTNAME]],", ",sales_data_sample[[#This Row],[CONTACTLASTNAME]]))</f>
        <v>Yoshi, Tannamuri</v>
      </c>
      <c r="AA892" s="1" t="s">
        <v>59</v>
      </c>
    </row>
    <row r="893" spans="1:27" x14ac:dyDescent="0.25">
      <c r="A893" s="10">
        <v>10215</v>
      </c>
      <c r="B893" s="9">
        <v>49</v>
      </c>
      <c r="C893" s="9">
        <v>100</v>
      </c>
      <c r="D893" s="9">
        <f>PRODUCT(sales_data_sample[[#This Row],[QUANTITYORDERED]],sales_data_sample[[#This Row],[PRICEEACH]])</f>
        <v>4900</v>
      </c>
      <c r="E893" s="9">
        <f>IF(OR(sales_data_sample[[#This Row],[STATUS]]="Shipped",sales_data_sample[[#This Row],[STATUS]]="Resolved"),sales_data_sample[[#This Row],[SALES]],0)</f>
        <v>4900</v>
      </c>
      <c r="F893" s="10">
        <v>4</v>
      </c>
      <c r="G893" s="12" t="s">
        <v>308</v>
      </c>
      <c r="H893" s="1" t="s">
        <v>26</v>
      </c>
      <c r="I893">
        <v>1</v>
      </c>
      <c r="J893">
        <v>1</v>
      </c>
      <c r="K893">
        <v>2004</v>
      </c>
      <c r="L893" s="1" t="s">
        <v>799</v>
      </c>
      <c r="M893">
        <v>101</v>
      </c>
      <c r="N893" s="1" t="s">
        <v>900</v>
      </c>
      <c r="O893" s="1" t="s">
        <v>309</v>
      </c>
      <c r="P893" s="1" t="s">
        <v>310</v>
      </c>
      <c r="Q893" s="1" t="s">
        <v>311</v>
      </c>
      <c r="R893" s="1" t="s">
        <v>32</v>
      </c>
      <c r="S893" s="1" t="s">
        <v>312</v>
      </c>
      <c r="T893" s="1" t="s">
        <v>65</v>
      </c>
      <c r="U893" s="1" t="s">
        <v>137</v>
      </c>
      <c r="V893" s="1" t="s">
        <v>36</v>
      </c>
      <c r="W893" s="1" t="s">
        <v>37</v>
      </c>
      <c r="X893" s="1" t="s">
        <v>313</v>
      </c>
      <c r="Y893" s="1" t="s">
        <v>314</v>
      </c>
      <c r="Z893" s="1" t="str">
        <f>TRIM(_xlfn.CONCAT(sales_data_sample[[#This Row],[CONTACTFIRSTNAME]],", ",sales_data_sample[[#This Row],[CONTACTLASTNAME]]))</f>
        <v>Steve, Thompson</v>
      </c>
      <c r="AA893" s="1" t="s">
        <v>59</v>
      </c>
    </row>
    <row r="894" spans="1:27" x14ac:dyDescent="0.25">
      <c r="A894" s="10">
        <v>10228</v>
      </c>
      <c r="B894" s="9">
        <v>24</v>
      </c>
      <c r="C894" s="9">
        <v>100</v>
      </c>
      <c r="D894" s="9">
        <f>PRODUCT(sales_data_sample[[#This Row],[QUANTITYORDERED]],sales_data_sample[[#This Row],[PRICEEACH]])</f>
        <v>2400</v>
      </c>
      <c r="E894" s="9">
        <f>IF(OR(sales_data_sample[[#This Row],[STATUS]]="Shipped",sales_data_sample[[#This Row],[STATUS]]="Resolved"),sales_data_sample[[#This Row],[SALES]],0)</f>
        <v>2400</v>
      </c>
      <c r="F894" s="10">
        <v>3</v>
      </c>
      <c r="G894" s="12" t="s">
        <v>315</v>
      </c>
      <c r="H894" s="1" t="s">
        <v>26</v>
      </c>
      <c r="I894">
        <v>1</v>
      </c>
      <c r="J894">
        <v>3</v>
      </c>
      <c r="K894">
        <v>2004</v>
      </c>
      <c r="L894" s="1" t="s">
        <v>799</v>
      </c>
      <c r="M894">
        <v>101</v>
      </c>
      <c r="N894" s="1" t="s">
        <v>900</v>
      </c>
      <c r="O894" s="1" t="s">
        <v>316</v>
      </c>
      <c r="P894" s="1" t="s">
        <v>317</v>
      </c>
      <c r="Q894" s="1" t="s">
        <v>318</v>
      </c>
      <c r="R894" s="1" t="s">
        <v>32</v>
      </c>
      <c r="S894" s="1" t="s">
        <v>159</v>
      </c>
      <c r="T894" s="1" t="s">
        <v>160</v>
      </c>
      <c r="U894" s="1" t="s">
        <v>161</v>
      </c>
      <c r="V894" s="1" t="s">
        <v>36</v>
      </c>
      <c r="W894" s="1" t="s">
        <v>37</v>
      </c>
      <c r="X894" s="1" t="s">
        <v>319</v>
      </c>
      <c r="Y894" s="1" t="s">
        <v>188</v>
      </c>
      <c r="Z894" s="1" t="str">
        <f>TRIM(_xlfn.CONCAT(sales_data_sample[[#This Row],[CONTACTFIRSTNAME]],", ",sales_data_sample[[#This Row],[CONTACTLASTNAME]]))</f>
        <v>Kyung, Tseng</v>
      </c>
      <c r="AA894" s="1" t="s">
        <v>40</v>
      </c>
    </row>
    <row r="895" spans="1:27" x14ac:dyDescent="0.25">
      <c r="A895" s="10">
        <v>10244</v>
      </c>
      <c r="B895" s="9">
        <v>30</v>
      </c>
      <c r="C895" s="9">
        <v>100</v>
      </c>
      <c r="D895" s="9">
        <f>PRODUCT(sales_data_sample[[#This Row],[QUANTITYORDERED]],sales_data_sample[[#This Row],[PRICEEACH]])</f>
        <v>3000</v>
      </c>
      <c r="E895" s="9">
        <f>IF(OR(sales_data_sample[[#This Row],[STATUS]]="Shipped",sales_data_sample[[#This Row],[STATUS]]="Resolved"),sales_data_sample[[#This Row],[SALES]],0)</f>
        <v>3000</v>
      </c>
      <c r="F895" s="10">
        <v>1</v>
      </c>
      <c r="G895" s="12" t="s">
        <v>823</v>
      </c>
      <c r="H895" s="1" t="s">
        <v>26</v>
      </c>
      <c r="I895">
        <v>2</v>
      </c>
      <c r="J895">
        <v>4</v>
      </c>
      <c r="K895">
        <v>2004</v>
      </c>
      <c r="L895" s="1" t="s">
        <v>799</v>
      </c>
      <c r="M895">
        <v>101</v>
      </c>
      <c r="N895" s="1" t="s">
        <v>900</v>
      </c>
      <c r="O895" s="1" t="s">
        <v>230</v>
      </c>
      <c r="P895" s="1" t="s">
        <v>231</v>
      </c>
      <c r="Q895" s="1" t="s">
        <v>232</v>
      </c>
      <c r="R895" s="1" t="s">
        <v>32</v>
      </c>
      <c r="S895" s="1" t="s">
        <v>233</v>
      </c>
      <c r="T895" s="1" t="s">
        <v>32</v>
      </c>
      <c r="U895" s="1" t="s">
        <v>234</v>
      </c>
      <c r="V895" s="1" t="s">
        <v>235</v>
      </c>
      <c r="W895" s="1" t="s">
        <v>48</v>
      </c>
      <c r="X895" s="1" t="s">
        <v>236</v>
      </c>
      <c r="Y895" s="1" t="s">
        <v>237</v>
      </c>
      <c r="Z895" s="1" t="str">
        <f>TRIM(_xlfn.CONCAT(sales_data_sample[[#This Row],[CONTACTFIRSTNAME]],", ",sales_data_sample[[#This Row],[CONTACTLASTNAME]]))</f>
        <v>Diego, Freyre</v>
      </c>
      <c r="AA895" s="1" t="s">
        <v>59</v>
      </c>
    </row>
    <row r="896" spans="1:27" x14ac:dyDescent="0.25">
      <c r="A896" s="10">
        <v>10257</v>
      </c>
      <c r="B896" s="9">
        <v>50</v>
      </c>
      <c r="C896" s="9">
        <v>8814</v>
      </c>
      <c r="D896" s="9">
        <f>PRODUCT(sales_data_sample[[#This Row],[QUANTITYORDERED]],sales_data_sample[[#This Row],[PRICEEACH]])</f>
        <v>440700</v>
      </c>
      <c r="E896" s="9">
        <f>IF(OR(sales_data_sample[[#This Row],[STATUS]]="Shipped",sales_data_sample[[#This Row],[STATUS]]="Resolved"),sales_data_sample[[#This Row],[SALES]],0)</f>
        <v>440700</v>
      </c>
      <c r="F896" s="10">
        <v>1</v>
      </c>
      <c r="G896" s="12" t="s">
        <v>901</v>
      </c>
      <c r="H896" s="1" t="s">
        <v>26</v>
      </c>
      <c r="I896">
        <v>2</v>
      </c>
      <c r="J896">
        <v>6</v>
      </c>
      <c r="K896">
        <v>2004</v>
      </c>
      <c r="L896" s="1" t="s">
        <v>799</v>
      </c>
      <c r="M896">
        <v>101</v>
      </c>
      <c r="N896" s="1" t="s">
        <v>900</v>
      </c>
      <c r="O896" s="1" t="s">
        <v>547</v>
      </c>
      <c r="P896" s="1" t="s">
        <v>548</v>
      </c>
      <c r="Q896" s="1" t="s">
        <v>549</v>
      </c>
      <c r="R896" s="1" t="s">
        <v>32</v>
      </c>
      <c r="S896" s="1" t="s">
        <v>550</v>
      </c>
      <c r="T896" s="1" t="s">
        <v>65</v>
      </c>
      <c r="U896" s="1" t="s">
        <v>80</v>
      </c>
      <c r="V896" s="1" t="s">
        <v>36</v>
      </c>
      <c r="W896" s="1" t="s">
        <v>37</v>
      </c>
      <c r="X896" s="1" t="s">
        <v>129</v>
      </c>
      <c r="Y896" s="1" t="s">
        <v>551</v>
      </c>
      <c r="Z896" s="1" t="str">
        <f>TRIM(_xlfn.CONCAT(sales_data_sample[[#This Row],[CONTACTFIRSTNAME]],", ",sales_data_sample[[#This Row],[CONTACTLASTNAME]]))</f>
        <v>Sue, Frick</v>
      </c>
      <c r="AA896" s="1" t="s">
        <v>59</v>
      </c>
    </row>
    <row r="897" spans="1:27" x14ac:dyDescent="0.25">
      <c r="A897">
        <v>10270</v>
      </c>
      <c r="B897">
        <v>31</v>
      </c>
      <c r="C897">
        <v>9624</v>
      </c>
      <c r="D897">
        <f>PRODUCT(sales_data_sample[[#This Row],[QUANTITYORDERED]],sales_data_sample[[#This Row],[PRICEEACH]])</f>
        <v>298344</v>
      </c>
      <c r="E897" s="9">
        <f>IF(OR(sales_data_sample[[#This Row],[STATUS]]="Shipped",sales_data_sample[[#This Row],[STATUS]]="Resolved"),sales_data_sample[[#This Row],[SALES]],0)</f>
        <v>298344</v>
      </c>
      <c r="F897">
        <v>10</v>
      </c>
      <c r="G897" s="12" t="s">
        <v>336</v>
      </c>
      <c r="H897" s="1" t="s">
        <v>26</v>
      </c>
      <c r="I897">
        <v>3</v>
      </c>
      <c r="J897">
        <v>7</v>
      </c>
      <c r="K897">
        <v>2004</v>
      </c>
      <c r="L897" s="1" t="s">
        <v>799</v>
      </c>
      <c r="M897">
        <v>101</v>
      </c>
      <c r="N897" s="1" t="s">
        <v>900</v>
      </c>
      <c r="O897" s="1" t="s">
        <v>201</v>
      </c>
      <c r="P897" s="1" t="s">
        <v>202</v>
      </c>
      <c r="Q897" s="1" t="s">
        <v>203</v>
      </c>
      <c r="R897" s="1" t="s">
        <v>204</v>
      </c>
      <c r="S897" s="1" t="s">
        <v>205</v>
      </c>
      <c r="T897" s="1" t="s">
        <v>206</v>
      </c>
      <c r="U897" s="1" t="s">
        <v>207</v>
      </c>
      <c r="V897" s="1" t="s">
        <v>120</v>
      </c>
      <c r="W897" s="1" t="s">
        <v>121</v>
      </c>
      <c r="X897" s="1" t="s">
        <v>208</v>
      </c>
      <c r="Y897" s="1" t="s">
        <v>209</v>
      </c>
      <c r="Z897" s="1" t="str">
        <f>TRIM(_xlfn.CONCAT(sales_data_sample[[#This Row],[CONTACTFIRSTNAME]],", ",sales_data_sample[[#This Row],[CONTACTLASTNAME]]))</f>
        <v>Adrian, Huxley</v>
      </c>
      <c r="AA897" s="1" t="s">
        <v>40</v>
      </c>
    </row>
    <row r="898" spans="1:27" x14ac:dyDescent="0.25">
      <c r="A898" s="10">
        <v>10280</v>
      </c>
      <c r="B898" s="9">
        <v>46</v>
      </c>
      <c r="C898" s="9">
        <v>100</v>
      </c>
      <c r="D898" s="9">
        <f>PRODUCT(sales_data_sample[[#This Row],[QUANTITYORDERED]],sales_data_sample[[#This Row],[PRICEEACH]])</f>
        <v>4600</v>
      </c>
      <c r="E898" s="9">
        <f>IF(OR(sales_data_sample[[#This Row],[STATUS]]="Shipped",sales_data_sample[[#This Row],[STATUS]]="Resolved"),sales_data_sample[[#This Row],[SALES]],0)</f>
        <v>4600</v>
      </c>
      <c r="F898" s="10">
        <v>3</v>
      </c>
      <c r="G898" s="12" t="s">
        <v>337</v>
      </c>
      <c r="H898" s="1" t="s">
        <v>26</v>
      </c>
      <c r="I898">
        <v>3</v>
      </c>
      <c r="J898">
        <v>8</v>
      </c>
      <c r="K898">
        <v>2004</v>
      </c>
      <c r="L898" s="1" t="s">
        <v>799</v>
      </c>
      <c r="M898">
        <v>101</v>
      </c>
      <c r="N898" s="1" t="s">
        <v>900</v>
      </c>
      <c r="O898" s="1" t="s">
        <v>338</v>
      </c>
      <c r="P898" s="1" t="s">
        <v>339</v>
      </c>
      <c r="Q898" s="1" t="s">
        <v>340</v>
      </c>
      <c r="R898" s="1" t="s">
        <v>32</v>
      </c>
      <c r="S898" s="1" t="s">
        <v>341</v>
      </c>
      <c r="T898" s="1" t="s">
        <v>32</v>
      </c>
      <c r="U898" s="1" t="s">
        <v>342</v>
      </c>
      <c r="V898" s="1" t="s">
        <v>343</v>
      </c>
      <c r="W898" s="1" t="s">
        <v>48</v>
      </c>
      <c r="X898" s="1" t="s">
        <v>344</v>
      </c>
      <c r="Y898" s="1" t="s">
        <v>345</v>
      </c>
      <c r="Z898" s="1" t="str">
        <f>TRIM(_xlfn.CONCAT(sales_data_sample[[#This Row],[CONTACTFIRSTNAME]],", ",sales_data_sample[[#This Row],[CONTACTLASTNAME]]))</f>
        <v>Paolo, Accorti</v>
      </c>
      <c r="AA898" s="1" t="s">
        <v>59</v>
      </c>
    </row>
    <row r="899" spans="1:27" x14ac:dyDescent="0.25">
      <c r="A899" s="10">
        <v>10291</v>
      </c>
      <c r="B899" s="9">
        <v>47</v>
      </c>
      <c r="C899" s="9">
        <v>100</v>
      </c>
      <c r="D899" s="9">
        <f>PRODUCT(sales_data_sample[[#This Row],[QUANTITYORDERED]],sales_data_sample[[#This Row],[PRICEEACH]])</f>
        <v>4700</v>
      </c>
      <c r="E899" s="9">
        <f>IF(OR(sales_data_sample[[#This Row],[STATUS]]="Shipped",sales_data_sample[[#This Row],[STATUS]]="Resolved"),sales_data_sample[[#This Row],[SALES]],0)</f>
        <v>4700</v>
      </c>
      <c r="F899" s="10">
        <v>12</v>
      </c>
      <c r="G899" s="12" t="s">
        <v>346</v>
      </c>
      <c r="H899" s="1" t="s">
        <v>26</v>
      </c>
      <c r="I899">
        <v>3</v>
      </c>
      <c r="J899">
        <v>9</v>
      </c>
      <c r="K899">
        <v>2004</v>
      </c>
      <c r="L899" s="1" t="s">
        <v>799</v>
      </c>
      <c r="M899">
        <v>101</v>
      </c>
      <c r="N899" s="1" t="s">
        <v>900</v>
      </c>
      <c r="O899" s="1" t="s">
        <v>347</v>
      </c>
      <c r="P899" s="1" t="s">
        <v>348</v>
      </c>
      <c r="Q899" s="1" t="s">
        <v>349</v>
      </c>
      <c r="R899" s="1" t="s">
        <v>32</v>
      </c>
      <c r="S899" s="1" t="s">
        <v>350</v>
      </c>
      <c r="T899" s="1" t="s">
        <v>32</v>
      </c>
      <c r="U899" s="1" t="s">
        <v>351</v>
      </c>
      <c r="V899" s="1" t="s">
        <v>247</v>
      </c>
      <c r="W899" s="1" t="s">
        <v>48</v>
      </c>
      <c r="X899" s="1" t="s">
        <v>352</v>
      </c>
      <c r="Y899" s="1" t="s">
        <v>272</v>
      </c>
      <c r="Z899" s="1" t="str">
        <f>TRIM(_xlfn.CONCAT(sales_data_sample[[#This Row],[CONTACTFIRSTNAME]],", ",sales_data_sample[[#This Row],[CONTACTLASTNAME]]))</f>
        <v>Maria, Larsson</v>
      </c>
      <c r="AA899" s="1" t="s">
        <v>59</v>
      </c>
    </row>
    <row r="900" spans="1:27" x14ac:dyDescent="0.25">
      <c r="A900" s="10">
        <v>10304</v>
      </c>
      <c r="B900" s="9">
        <v>46</v>
      </c>
      <c r="C900" s="9">
        <v>100</v>
      </c>
      <c r="D900" s="9">
        <f>PRODUCT(sales_data_sample[[#This Row],[QUANTITYORDERED]],sales_data_sample[[#This Row],[PRICEEACH]])</f>
        <v>4600</v>
      </c>
      <c r="E900" s="9">
        <f>IF(OR(sales_data_sample[[#This Row],[STATUS]]="Shipped",sales_data_sample[[#This Row],[STATUS]]="Resolved"),sales_data_sample[[#This Row],[SALES]],0)</f>
        <v>4600</v>
      </c>
      <c r="F900" s="10">
        <v>7</v>
      </c>
      <c r="G900" s="12" t="s">
        <v>353</v>
      </c>
      <c r="H900" s="1" t="s">
        <v>26</v>
      </c>
      <c r="I900">
        <v>4</v>
      </c>
      <c r="J900">
        <v>10</v>
      </c>
      <c r="K900">
        <v>2004</v>
      </c>
      <c r="L900" s="1" t="s">
        <v>799</v>
      </c>
      <c r="M900">
        <v>101</v>
      </c>
      <c r="N900" s="1" t="s">
        <v>900</v>
      </c>
      <c r="O900" s="1" t="s">
        <v>354</v>
      </c>
      <c r="P900" s="1" t="s">
        <v>355</v>
      </c>
      <c r="Q900" s="1" t="s">
        <v>356</v>
      </c>
      <c r="R900" s="1" t="s">
        <v>32</v>
      </c>
      <c r="S900" s="1" t="s">
        <v>357</v>
      </c>
      <c r="T900" s="1" t="s">
        <v>32</v>
      </c>
      <c r="U900" s="1" t="s">
        <v>358</v>
      </c>
      <c r="V900" s="1" t="s">
        <v>47</v>
      </c>
      <c r="W900" s="1" t="s">
        <v>48</v>
      </c>
      <c r="X900" s="1" t="s">
        <v>359</v>
      </c>
      <c r="Y900" s="1" t="s">
        <v>58</v>
      </c>
      <c r="Z900" s="1" t="str">
        <f>TRIM(_xlfn.CONCAT(sales_data_sample[[#This Row],[CONTACTFIRSTNAME]],", ",sales_data_sample[[#This Row],[CONTACTLASTNAME]]))</f>
        <v>Daniel, Tonini</v>
      </c>
      <c r="AA900" s="1" t="s">
        <v>59</v>
      </c>
    </row>
    <row r="901" spans="1:27" x14ac:dyDescent="0.25">
      <c r="A901" s="10">
        <v>10312</v>
      </c>
      <c r="B901" s="9">
        <v>37</v>
      </c>
      <c r="C901" s="9">
        <v>100</v>
      </c>
      <c r="D901" s="9">
        <f>PRODUCT(sales_data_sample[[#This Row],[QUANTITYORDERED]],sales_data_sample[[#This Row],[PRICEEACH]])</f>
        <v>3700</v>
      </c>
      <c r="E901" s="9">
        <f>IF(OR(sales_data_sample[[#This Row],[STATUS]]="Shipped",sales_data_sample[[#This Row],[STATUS]]="Resolved"),sales_data_sample[[#This Row],[SALES]],0)</f>
        <v>3700</v>
      </c>
      <c r="F901" s="10">
        <v>4</v>
      </c>
      <c r="G901" s="12" t="s">
        <v>360</v>
      </c>
      <c r="H901" s="1" t="s">
        <v>26</v>
      </c>
      <c r="I901">
        <v>4</v>
      </c>
      <c r="J901">
        <v>10</v>
      </c>
      <c r="K901">
        <v>2004</v>
      </c>
      <c r="L901" s="1" t="s">
        <v>799</v>
      </c>
      <c r="M901">
        <v>101</v>
      </c>
      <c r="N901" s="1" t="s">
        <v>900</v>
      </c>
      <c r="O901" s="1" t="s">
        <v>361</v>
      </c>
      <c r="P901" s="1" t="s">
        <v>362</v>
      </c>
      <c r="Q901" s="1" t="s">
        <v>363</v>
      </c>
      <c r="R901" s="1" t="s">
        <v>32</v>
      </c>
      <c r="S901" s="1" t="s">
        <v>364</v>
      </c>
      <c r="T901" s="1" t="s">
        <v>65</v>
      </c>
      <c r="U901" s="1" t="s">
        <v>145</v>
      </c>
      <c r="V901" s="1" t="s">
        <v>36</v>
      </c>
      <c r="W901" s="1" t="s">
        <v>37</v>
      </c>
      <c r="X901" s="1" t="s">
        <v>365</v>
      </c>
      <c r="Y901" s="1" t="s">
        <v>366</v>
      </c>
      <c r="Z901" s="1" t="str">
        <f>TRIM(_xlfn.CONCAT(sales_data_sample[[#This Row],[CONTACTFIRSTNAME]],", ",sales_data_sample[[#This Row],[CONTACTLASTNAME]]))</f>
        <v>Valarie, Nelson</v>
      </c>
      <c r="AA901" s="1" t="s">
        <v>59</v>
      </c>
    </row>
    <row r="902" spans="1:27" x14ac:dyDescent="0.25">
      <c r="A902" s="10">
        <v>10322</v>
      </c>
      <c r="B902" s="9">
        <v>33</v>
      </c>
      <c r="C902" s="9">
        <v>100</v>
      </c>
      <c r="D902" s="9">
        <f>PRODUCT(sales_data_sample[[#This Row],[QUANTITYORDERED]],sales_data_sample[[#This Row],[PRICEEACH]])</f>
        <v>3300</v>
      </c>
      <c r="E902" s="9">
        <f>IF(OR(sales_data_sample[[#This Row],[STATUS]]="Shipped",sales_data_sample[[#This Row],[STATUS]]="Resolved"),sales_data_sample[[#This Row],[SALES]],0)</f>
        <v>3300</v>
      </c>
      <c r="F902" s="10">
        <v>12</v>
      </c>
      <c r="G902" s="12" t="s">
        <v>367</v>
      </c>
      <c r="H902" s="1" t="s">
        <v>26</v>
      </c>
      <c r="I902">
        <v>4</v>
      </c>
      <c r="J902">
        <v>11</v>
      </c>
      <c r="K902">
        <v>2004</v>
      </c>
      <c r="L902" s="1" t="s">
        <v>799</v>
      </c>
      <c r="M902">
        <v>101</v>
      </c>
      <c r="N902" s="1" t="s">
        <v>900</v>
      </c>
      <c r="O902" s="1" t="s">
        <v>368</v>
      </c>
      <c r="P902" s="1" t="s">
        <v>369</v>
      </c>
      <c r="Q902" s="1" t="s">
        <v>370</v>
      </c>
      <c r="R902" s="1" t="s">
        <v>32</v>
      </c>
      <c r="S902" s="1" t="s">
        <v>371</v>
      </c>
      <c r="T902" s="1" t="s">
        <v>372</v>
      </c>
      <c r="U902" s="1" t="s">
        <v>373</v>
      </c>
      <c r="V902" s="1" t="s">
        <v>36</v>
      </c>
      <c r="W902" s="1" t="s">
        <v>37</v>
      </c>
      <c r="X902" s="1" t="s">
        <v>67</v>
      </c>
      <c r="Y902" s="1" t="s">
        <v>366</v>
      </c>
      <c r="Z902" s="1" t="str">
        <f>TRIM(_xlfn.CONCAT(sales_data_sample[[#This Row],[CONTACTFIRSTNAME]],", ",sales_data_sample[[#This Row],[CONTACTLASTNAME]]))</f>
        <v>Valarie, Young</v>
      </c>
      <c r="AA902" s="1" t="s">
        <v>59</v>
      </c>
    </row>
    <row r="903" spans="1:27" x14ac:dyDescent="0.25">
      <c r="A903" s="10">
        <v>10333</v>
      </c>
      <c r="B903" s="9">
        <v>31</v>
      </c>
      <c r="C903" s="9">
        <v>9017</v>
      </c>
      <c r="D903" s="9">
        <f>PRODUCT(sales_data_sample[[#This Row],[QUANTITYORDERED]],sales_data_sample[[#This Row],[PRICEEACH]])</f>
        <v>279527</v>
      </c>
      <c r="E903" s="9">
        <f>IF(OR(sales_data_sample[[#This Row],[STATUS]]="Shipped",sales_data_sample[[#This Row],[STATUS]]="Resolved"),sales_data_sample[[#This Row],[SALES]],0)</f>
        <v>279527</v>
      </c>
      <c r="F903" s="10">
        <v>5</v>
      </c>
      <c r="G903" s="12" t="s">
        <v>374</v>
      </c>
      <c r="H903" s="1" t="s">
        <v>26</v>
      </c>
      <c r="I903">
        <v>4</v>
      </c>
      <c r="J903">
        <v>11</v>
      </c>
      <c r="K903">
        <v>2004</v>
      </c>
      <c r="L903" s="1" t="s">
        <v>799</v>
      </c>
      <c r="M903">
        <v>101</v>
      </c>
      <c r="N903" s="1" t="s">
        <v>900</v>
      </c>
      <c r="O903" s="1" t="s">
        <v>101</v>
      </c>
      <c r="P903" s="1" t="s">
        <v>102</v>
      </c>
      <c r="Q903" s="1" t="s">
        <v>103</v>
      </c>
      <c r="R903" s="1" t="s">
        <v>32</v>
      </c>
      <c r="S903" s="1" t="s">
        <v>73</v>
      </c>
      <c r="T903" s="1" t="s">
        <v>65</v>
      </c>
      <c r="U903" s="1" t="s">
        <v>32</v>
      </c>
      <c r="V903" s="1" t="s">
        <v>36</v>
      </c>
      <c r="W903" s="1" t="s">
        <v>37</v>
      </c>
      <c r="X903" s="1" t="s">
        <v>104</v>
      </c>
      <c r="Y903" s="1" t="s">
        <v>68</v>
      </c>
      <c r="Z903" s="1" t="str">
        <f>TRIM(_xlfn.CONCAT(sales_data_sample[[#This Row],[CONTACTFIRSTNAME]],", ",sales_data_sample[[#This Row],[CONTACTLASTNAME]]))</f>
        <v>Julie, Murphy</v>
      </c>
      <c r="AA903" s="1" t="s">
        <v>40</v>
      </c>
    </row>
    <row r="904" spans="1:27" x14ac:dyDescent="0.25">
      <c r="A904">
        <v>10347</v>
      </c>
      <c r="B904">
        <v>48</v>
      </c>
      <c r="C904">
        <v>100</v>
      </c>
      <c r="D904">
        <f>PRODUCT(sales_data_sample[[#This Row],[QUANTITYORDERED]],sales_data_sample[[#This Row],[PRICEEACH]])</f>
        <v>4800</v>
      </c>
      <c r="E904" s="9">
        <f>IF(OR(sales_data_sample[[#This Row],[STATUS]]="Shipped",sales_data_sample[[#This Row],[STATUS]]="Resolved"),sales_data_sample[[#This Row],[SALES]],0)</f>
        <v>4800</v>
      </c>
      <c r="F904">
        <v>9</v>
      </c>
      <c r="G904" s="12" t="s">
        <v>375</v>
      </c>
      <c r="H904" s="1" t="s">
        <v>26</v>
      </c>
      <c r="I904">
        <v>4</v>
      </c>
      <c r="J904">
        <v>11</v>
      </c>
      <c r="K904">
        <v>2004</v>
      </c>
      <c r="L904" s="1" t="s">
        <v>799</v>
      </c>
      <c r="M904">
        <v>101</v>
      </c>
      <c r="N904" s="1" t="s">
        <v>900</v>
      </c>
      <c r="O904" s="1" t="s">
        <v>113</v>
      </c>
      <c r="P904" s="1" t="s">
        <v>114</v>
      </c>
      <c r="Q904" s="1" t="s">
        <v>115</v>
      </c>
      <c r="R904" s="1" t="s">
        <v>116</v>
      </c>
      <c r="S904" s="1" t="s">
        <v>117</v>
      </c>
      <c r="T904" s="1" t="s">
        <v>118</v>
      </c>
      <c r="U904" s="1" t="s">
        <v>119</v>
      </c>
      <c r="V904" s="1" t="s">
        <v>120</v>
      </c>
      <c r="W904" s="1" t="s">
        <v>121</v>
      </c>
      <c r="X904" s="1" t="s">
        <v>122</v>
      </c>
      <c r="Y904" s="1" t="s">
        <v>123</v>
      </c>
      <c r="Z904" s="1" t="str">
        <f>TRIM(_xlfn.CONCAT(sales_data_sample[[#This Row],[CONTACTFIRSTNAME]],", ",sales_data_sample[[#This Row],[CONTACTLASTNAME]]))</f>
        <v>Peter, Ferguson</v>
      </c>
      <c r="AA904" s="1" t="s">
        <v>59</v>
      </c>
    </row>
    <row r="905" spans="1:27" x14ac:dyDescent="0.25">
      <c r="A905" s="10">
        <v>10357</v>
      </c>
      <c r="B905" s="9">
        <v>41</v>
      </c>
      <c r="C905" s="9">
        <v>8713</v>
      </c>
      <c r="D905" s="9">
        <f>PRODUCT(sales_data_sample[[#This Row],[QUANTITYORDERED]],sales_data_sample[[#This Row],[PRICEEACH]])</f>
        <v>357233</v>
      </c>
      <c r="E905" s="9">
        <f>IF(OR(sales_data_sample[[#This Row],[STATUS]]="Shipped",sales_data_sample[[#This Row],[STATUS]]="Resolved"),sales_data_sample[[#This Row],[SALES]],0)</f>
        <v>357233</v>
      </c>
      <c r="F905" s="10">
        <v>6</v>
      </c>
      <c r="G905" s="12" t="s">
        <v>376</v>
      </c>
      <c r="H905" s="1" t="s">
        <v>26</v>
      </c>
      <c r="I905">
        <v>4</v>
      </c>
      <c r="J905">
        <v>12</v>
      </c>
      <c r="K905">
        <v>2004</v>
      </c>
      <c r="L905" s="1" t="s">
        <v>799</v>
      </c>
      <c r="M905">
        <v>101</v>
      </c>
      <c r="N905" s="1" t="s">
        <v>900</v>
      </c>
      <c r="O905" s="1" t="s">
        <v>361</v>
      </c>
      <c r="P905" s="1" t="s">
        <v>362</v>
      </c>
      <c r="Q905" s="1" t="s">
        <v>363</v>
      </c>
      <c r="R905" s="1" t="s">
        <v>32</v>
      </c>
      <c r="S905" s="1" t="s">
        <v>364</v>
      </c>
      <c r="T905" s="1" t="s">
        <v>65</v>
      </c>
      <c r="U905" s="1" t="s">
        <v>145</v>
      </c>
      <c r="V905" s="1" t="s">
        <v>36</v>
      </c>
      <c r="W905" s="1" t="s">
        <v>37</v>
      </c>
      <c r="X905" s="1" t="s">
        <v>365</v>
      </c>
      <c r="Y905" s="1" t="s">
        <v>366</v>
      </c>
      <c r="Z905" s="1" t="str">
        <f>TRIM(_xlfn.CONCAT(sales_data_sample[[#This Row],[CONTACTFIRSTNAME]],", ",sales_data_sample[[#This Row],[CONTACTLASTNAME]]))</f>
        <v>Valarie, Nelson</v>
      </c>
      <c r="AA905" s="1" t="s">
        <v>59</v>
      </c>
    </row>
    <row r="906" spans="1:27" x14ac:dyDescent="0.25">
      <c r="A906" s="10">
        <v>10369</v>
      </c>
      <c r="B906" s="9">
        <v>42</v>
      </c>
      <c r="C906" s="9">
        <v>100</v>
      </c>
      <c r="D906" s="9">
        <f>PRODUCT(sales_data_sample[[#This Row],[QUANTITYORDERED]],sales_data_sample[[#This Row],[PRICEEACH]])</f>
        <v>4200</v>
      </c>
      <c r="E906" s="9">
        <f>IF(OR(sales_data_sample[[#This Row],[STATUS]]="Shipped",sales_data_sample[[#This Row],[STATUS]]="Resolved"),sales_data_sample[[#This Row],[SALES]],0)</f>
        <v>4200</v>
      </c>
      <c r="F906" s="10">
        <v>1</v>
      </c>
      <c r="G906" s="12" t="s">
        <v>377</v>
      </c>
      <c r="H906" s="1" t="s">
        <v>26</v>
      </c>
      <c r="I906">
        <v>1</v>
      </c>
      <c r="J906">
        <v>1</v>
      </c>
      <c r="K906">
        <v>2005</v>
      </c>
      <c r="L906" s="1" t="s">
        <v>799</v>
      </c>
      <c r="M906">
        <v>101</v>
      </c>
      <c r="N906" s="1" t="s">
        <v>900</v>
      </c>
      <c r="O906" s="1" t="s">
        <v>378</v>
      </c>
      <c r="P906" s="1" t="s">
        <v>157</v>
      </c>
      <c r="Q906" s="1" t="s">
        <v>379</v>
      </c>
      <c r="R906" s="1" t="s">
        <v>32</v>
      </c>
      <c r="S906" s="1" t="s">
        <v>380</v>
      </c>
      <c r="T906" s="1" t="s">
        <v>160</v>
      </c>
      <c r="U906" s="1" t="s">
        <v>381</v>
      </c>
      <c r="V906" s="1" t="s">
        <v>36</v>
      </c>
      <c r="W906" s="1" t="s">
        <v>37</v>
      </c>
      <c r="X906" s="1" t="s">
        <v>365</v>
      </c>
      <c r="Y906" s="1" t="s">
        <v>382</v>
      </c>
      <c r="Z906" s="1" t="str">
        <f>TRIM(_xlfn.CONCAT(sales_data_sample[[#This Row],[CONTACTFIRSTNAME]],", ",sales_data_sample[[#This Row],[CONTACTLASTNAME]]))</f>
        <v>Allen, Nelson</v>
      </c>
      <c r="AA906" s="1" t="s">
        <v>59</v>
      </c>
    </row>
    <row r="907" spans="1:27" x14ac:dyDescent="0.25">
      <c r="A907" s="10">
        <v>10381</v>
      </c>
      <c r="B907" s="9">
        <v>41</v>
      </c>
      <c r="C907" s="9">
        <v>100</v>
      </c>
      <c r="D907" s="9">
        <f>PRODUCT(sales_data_sample[[#This Row],[QUANTITYORDERED]],sales_data_sample[[#This Row],[PRICEEACH]])</f>
        <v>4100</v>
      </c>
      <c r="E907" s="9">
        <f>IF(OR(sales_data_sample[[#This Row],[STATUS]]="Shipped",sales_data_sample[[#This Row],[STATUS]]="Resolved"),sales_data_sample[[#This Row],[SALES]],0)</f>
        <v>4100</v>
      </c>
      <c r="F907" s="10">
        <v>8</v>
      </c>
      <c r="G907" s="12" t="s">
        <v>383</v>
      </c>
      <c r="H907" s="1" t="s">
        <v>26</v>
      </c>
      <c r="I907">
        <v>1</v>
      </c>
      <c r="J907">
        <v>2</v>
      </c>
      <c r="K907">
        <v>2005</v>
      </c>
      <c r="L907" s="1" t="s">
        <v>799</v>
      </c>
      <c r="M907">
        <v>101</v>
      </c>
      <c r="N907" s="1" t="s">
        <v>900</v>
      </c>
      <c r="O907" s="1" t="s">
        <v>70</v>
      </c>
      <c r="P907" s="1" t="s">
        <v>71</v>
      </c>
      <c r="Q907" s="1" t="s">
        <v>72</v>
      </c>
      <c r="R907" s="1" t="s">
        <v>32</v>
      </c>
      <c r="S907" s="1" t="s">
        <v>73</v>
      </c>
      <c r="T907" s="1" t="s">
        <v>65</v>
      </c>
      <c r="U907" s="1" t="s">
        <v>32</v>
      </c>
      <c r="V907" s="1" t="s">
        <v>36</v>
      </c>
      <c r="W907" s="1" t="s">
        <v>37</v>
      </c>
      <c r="X907" s="1" t="s">
        <v>74</v>
      </c>
      <c r="Y907" s="1" t="s">
        <v>68</v>
      </c>
      <c r="Z907" s="1" t="str">
        <f>TRIM(_xlfn.CONCAT(sales_data_sample[[#This Row],[CONTACTFIRSTNAME]],", ",sales_data_sample[[#This Row],[CONTACTLASTNAME]]))</f>
        <v>Julie, Brown</v>
      </c>
      <c r="AA907" s="1" t="s">
        <v>59</v>
      </c>
    </row>
    <row r="908" spans="1:27" x14ac:dyDescent="0.25">
      <c r="A908">
        <v>10391</v>
      </c>
      <c r="B908">
        <v>32</v>
      </c>
      <c r="C908">
        <v>4525</v>
      </c>
      <c r="D908">
        <f>PRODUCT(sales_data_sample[[#This Row],[QUANTITYORDERED]],sales_data_sample[[#This Row],[PRICEEACH]])</f>
        <v>144800</v>
      </c>
      <c r="E908" s="9">
        <f>IF(OR(sales_data_sample[[#This Row],[STATUS]]="Shipped",sales_data_sample[[#This Row],[STATUS]]="Resolved"),sales_data_sample[[#This Row],[SALES]],0)</f>
        <v>144800</v>
      </c>
      <c r="F908">
        <v>6</v>
      </c>
      <c r="G908" s="12" t="s">
        <v>384</v>
      </c>
      <c r="H908" s="1" t="s">
        <v>26</v>
      </c>
      <c r="I908">
        <v>1</v>
      </c>
      <c r="J908">
        <v>3</v>
      </c>
      <c r="K908">
        <v>2005</v>
      </c>
      <c r="L908" s="1" t="s">
        <v>799</v>
      </c>
      <c r="M908">
        <v>101</v>
      </c>
      <c r="N908" s="1" t="s">
        <v>900</v>
      </c>
      <c r="O908" s="1" t="s">
        <v>385</v>
      </c>
      <c r="P908" s="1" t="s">
        <v>386</v>
      </c>
      <c r="Q908" s="1" t="s">
        <v>387</v>
      </c>
      <c r="R908" s="1" t="s">
        <v>388</v>
      </c>
      <c r="S908" s="1" t="s">
        <v>389</v>
      </c>
      <c r="T908" s="1" t="s">
        <v>206</v>
      </c>
      <c r="U908" s="1" t="s">
        <v>390</v>
      </c>
      <c r="V908" s="1" t="s">
        <v>120</v>
      </c>
      <c r="W908" s="1" t="s">
        <v>121</v>
      </c>
      <c r="X908" s="1" t="s">
        <v>391</v>
      </c>
      <c r="Y908" s="1" t="s">
        <v>392</v>
      </c>
      <c r="Z908" s="1" t="str">
        <f>TRIM(_xlfn.CONCAT(sales_data_sample[[#This Row],[CONTACTFIRSTNAME]],", ",sales_data_sample[[#This Row],[CONTACTLASTNAME]]))</f>
        <v>Anna, O'Hara</v>
      </c>
      <c r="AA908" s="1" t="s">
        <v>40</v>
      </c>
    </row>
    <row r="909" spans="1:27" x14ac:dyDescent="0.25">
      <c r="A909" s="10">
        <v>10423</v>
      </c>
      <c r="B909" s="9">
        <v>10</v>
      </c>
      <c r="C909" s="9">
        <v>8814</v>
      </c>
      <c r="D909" s="9">
        <f>PRODUCT(sales_data_sample[[#This Row],[QUANTITYORDERED]],sales_data_sample[[#This Row],[PRICEEACH]])</f>
        <v>88140</v>
      </c>
      <c r="E909" s="9">
        <f>IF(OR(sales_data_sample[[#This Row],[STATUS]]="Shipped",sales_data_sample[[#This Row],[STATUS]]="Resolved"),sales_data_sample[[#This Row],[SALES]],0)</f>
        <v>0</v>
      </c>
      <c r="F909" s="10">
        <v>1</v>
      </c>
      <c r="G909" s="12" t="s">
        <v>827</v>
      </c>
      <c r="H909" s="1" t="s">
        <v>403</v>
      </c>
      <c r="I909">
        <v>2</v>
      </c>
      <c r="J909">
        <v>5</v>
      </c>
      <c r="K909">
        <v>2005</v>
      </c>
      <c r="L909" s="1" t="s">
        <v>799</v>
      </c>
      <c r="M909">
        <v>101</v>
      </c>
      <c r="N909" s="1" t="s">
        <v>900</v>
      </c>
      <c r="O909" s="1" t="s">
        <v>500</v>
      </c>
      <c r="P909" s="1" t="s">
        <v>501</v>
      </c>
      <c r="Q909" s="1" t="s">
        <v>502</v>
      </c>
      <c r="R909" s="1" t="s">
        <v>32</v>
      </c>
      <c r="S909" s="1" t="s">
        <v>503</v>
      </c>
      <c r="T909" s="1" t="s">
        <v>32</v>
      </c>
      <c r="U909" s="1" t="s">
        <v>504</v>
      </c>
      <c r="V909" s="1" t="s">
        <v>505</v>
      </c>
      <c r="W909" s="1" t="s">
        <v>48</v>
      </c>
      <c r="X909" s="1" t="s">
        <v>506</v>
      </c>
      <c r="Y909" s="1" t="s">
        <v>507</v>
      </c>
      <c r="Z909" s="1" t="str">
        <f>TRIM(_xlfn.CONCAT(sales_data_sample[[#This Row],[CONTACTFIRSTNAME]],", ",sales_data_sample[[#This Row],[CONTACTLASTNAME]]))</f>
        <v>Catherine, Dewey</v>
      </c>
      <c r="AA909" s="1" t="s">
        <v>40</v>
      </c>
    </row>
    <row r="910" spans="1:27" x14ac:dyDescent="0.25">
      <c r="A910" s="10">
        <v>10103</v>
      </c>
      <c r="B910" s="9">
        <v>35</v>
      </c>
      <c r="C910" s="9">
        <v>5746</v>
      </c>
      <c r="D910" s="9">
        <f>PRODUCT(sales_data_sample[[#This Row],[QUANTITYORDERED]],sales_data_sample[[#This Row],[PRICEEACH]])</f>
        <v>201110</v>
      </c>
      <c r="E910" s="9">
        <f>IF(OR(sales_data_sample[[#This Row],[STATUS]]="Shipped",sales_data_sample[[#This Row],[STATUS]]="Resolved"),sales_data_sample[[#This Row],[SALES]],0)</f>
        <v>201110</v>
      </c>
      <c r="F910" s="10">
        <v>14</v>
      </c>
      <c r="G910" s="12" t="s">
        <v>238</v>
      </c>
      <c r="H910" s="1" t="s">
        <v>26</v>
      </c>
      <c r="I910">
        <v>1</v>
      </c>
      <c r="J910">
        <v>1</v>
      </c>
      <c r="K910">
        <v>2003</v>
      </c>
      <c r="L910" s="1" t="s">
        <v>799</v>
      </c>
      <c r="M910">
        <v>62</v>
      </c>
      <c r="N910" s="1" t="s">
        <v>902</v>
      </c>
      <c r="O910" s="1" t="s">
        <v>174</v>
      </c>
      <c r="P910" s="1" t="s">
        <v>175</v>
      </c>
      <c r="Q910" s="1" t="s">
        <v>176</v>
      </c>
      <c r="R910" s="1" t="s">
        <v>32</v>
      </c>
      <c r="S910" s="1" t="s">
        <v>177</v>
      </c>
      <c r="T910" s="1" t="s">
        <v>32</v>
      </c>
      <c r="U910" s="1" t="s">
        <v>178</v>
      </c>
      <c r="V910" s="1" t="s">
        <v>97</v>
      </c>
      <c r="W910" s="1" t="s">
        <v>48</v>
      </c>
      <c r="X910" s="1" t="s">
        <v>179</v>
      </c>
      <c r="Y910" s="1" t="s">
        <v>180</v>
      </c>
      <c r="Z910" s="1" t="str">
        <f>TRIM(_xlfn.CONCAT(sales_data_sample[[#This Row],[CONTACTFIRSTNAME]],", ",sales_data_sample[[#This Row],[CONTACTLASTNAME]]))</f>
        <v>Jonas, Bergulfsen</v>
      </c>
      <c r="AA910" s="1" t="s">
        <v>40</v>
      </c>
    </row>
    <row r="911" spans="1:27" x14ac:dyDescent="0.25">
      <c r="A911" s="10">
        <v>10111</v>
      </c>
      <c r="B911" s="9">
        <v>28</v>
      </c>
      <c r="C911" s="9">
        <v>6433</v>
      </c>
      <c r="D911" s="9">
        <f>PRODUCT(sales_data_sample[[#This Row],[QUANTITYORDERED]],sales_data_sample[[#This Row],[PRICEEACH]])</f>
        <v>180124</v>
      </c>
      <c r="E911" s="9">
        <f>IF(OR(sales_data_sample[[#This Row],[STATUS]]="Shipped",sales_data_sample[[#This Row],[STATUS]]="Resolved"),sales_data_sample[[#This Row],[SALES]],0)</f>
        <v>180124</v>
      </c>
      <c r="F911" s="10">
        <v>2</v>
      </c>
      <c r="G911" s="12" t="s">
        <v>801</v>
      </c>
      <c r="H911" s="1" t="s">
        <v>26</v>
      </c>
      <c r="I911">
        <v>1</v>
      </c>
      <c r="J911">
        <v>3</v>
      </c>
      <c r="K911">
        <v>2003</v>
      </c>
      <c r="L911" s="1" t="s">
        <v>799</v>
      </c>
      <c r="M911">
        <v>62</v>
      </c>
      <c r="N911" s="1" t="s">
        <v>902</v>
      </c>
      <c r="O911" s="1" t="s">
        <v>101</v>
      </c>
      <c r="P911" s="1" t="s">
        <v>102</v>
      </c>
      <c r="Q911" s="1" t="s">
        <v>103</v>
      </c>
      <c r="R911" s="1" t="s">
        <v>32</v>
      </c>
      <c r="S911" s="1" t="s">
        <v>73</v>
      </c>
      <c r="T911" s="1" t="s">
        <v>65</v>
      </c>
      <c r="U911" s="1" t="s">
        <v>32</v>
      </c>
      <c r="V911" s="1" t="s">
        <v>36</v>
      </c>
      <c r="W911" s="1" t="s">
        <v>37</v>
      </c>
      <c r="X911" s="1" t="s">
        <v>104</v>
      </c>
      <c r="Y911" s="1" t="s">
        <v>68</v>
      </c>
      <c r="Z911" s="1" t="str">
        <f>TRIM(_xlfn.CONCAT(sales_data_sample[[#This Row],[CONTACTFIRSTNAME]],", ",sales_data_sample[[#This Row],[CONTACTLASTNAME]]))</f>
        <v>Julie, Murphy</v>
      </c>
      <c r="AA911" s="1" t="s">
        <v>40</v>
      </c>
    </row>
    <row r="912" spans="1:27" x14ac:dyDescent="0.25">
      <c r="A912" s="10">
        <v>10126</v>
      </c>
      <c r="B912" s="9">
        <v>46</v>
      </c>
      <c r="C912" s="9">
        <v>737</v>
      </c>
      <c r="D912" s="9">
        <f>PRODUCT(sales_data_sample[[#This Row],[QUANTITYORDERED]],sales_data_sample[[#This Row],[PRICEEACH]])</f>
        <v>33902</v>
      </c>
      <c r="E912" s="9">
        <f>IF(OR(sales_data_sample[[#This Row],[STATUS]]="Shipped",sales_data_sample[[#This Row],[STATUS]]="Resolved"),sales_data_sample[[#This Row],[SALES]],0)</f>
        <v>33902</v>
      </c>
      <c r="F912" s="10">
        <v>14</v>
      </c>
      <c r="G912" s="12" t="s">
        <v>250</v>
      </c>
      <c r="H912" s="1" t="s">
        <v>26</v>
      </c>
      <c r="I912">
        <v>2</v>
      </c>
      <c r="J912">
        <v>5</v>
      </c>
      <c r="K912">
        <v>2003</v>
      </c>
      <c r="L912" s="1" t="s">
        <v>799</v>
      </c>
      <c r="M912">
        <v>62</v>
      </c>
      <c r="N912" s="1" t="s">
        <v>902</v>
      </c>
      <c r="O912" s="1" t="s">
        <v>251</v>
      </c>
      <c r="P912" s="1" t="s">
        <v>252</v>
      </c>
      <c r="Q912" s="1" t="s">
        <v>253</v>
      </c>
      <c r="R912" s="1" t="s">
        <v>32</v>
      </c>
      <c r="S912" s="1" t="s">
        <v>233</v>
      </c>
      <c r="T912" s="1" t="s">
        <v>32</v>
      </c>
      <c r="U912" s="1" t="s">
        <v>254</v>
      </c>
      <c r="V912" s="1" t="s">
        <v>235</v>
      </c>
      <c r="W912" s="1" t="s">
        <v>48</v>
      </c>
      <c r="X912" s="1" t="s">
        <v>255</v>
      </c>
      <c r="Y912" s="1" t="s">
        <v>256</v>
      </c>
      <c r="Z912" s="1" t="str">
        <f>TRIM(_xlfn.CONCAT(sales_data_sample[[#This Row],[CONTACTFIRSTNAME]],", ",sales_data_sample[[#This Row],[CONTACTLASTNAME]]))</f>
        <v>Mart¡n, Sommer</v>
      </c>
      <c r="AA912" s="1" t="s">
        <v>59</v>
      </c>
    </row>
    <row r="913" spans="1:27" x14ac:dyDescent="0.25">
      <c r="A913">
        <v>10139</v>
      </c>
      <c r="B913">
        <v>20</v>
      </c>
      <c r="C913">
        <v>712</v>
      </c>
      <c r="D913">
        <f>PRODUCT(sales_data_sample[[#This Row],[QUANTITYORDERED]],sales_data_sample[[#This Row],[PRICEEACH]])</f>
        <v>14240</v>
      </c>
      <c r="E913" s="9">
        <f>IF(OR(sales_data_sample[[#This Row],[STATUS]]="Shipped",sales_data_sample[[#This Row],[STATUS]]="Resolved"),sales_data_sample[[#This Row],[SALES]],0)</f>
        <v>14240</v>
      </c>
      <c r="F913">
        <v>3</v>
      </c>
      <c r="G913" s="12" t="s">
        <v>803</v>
      </c>
      <c r="H913" s="1" t="s">
        <v>26</v>
      </c>
      <c r="I913">
        <v>3</v>
      </c>
      <c r="J913">
        <v>7</v>
      </c>
      <c r="K913">
        <v>2003</v>
      </c>
      <c r="L913" s="1" t="s">
        <v>799</v>
      </c>
      <c r="M913">
        <v>62</v>
      </c>
      <c r="N913" s="1" t="s">
        <v>902</v>
      </c>
      <c r="O913" s="1" t="s">
        <v>201</v>
      </c>
      <c r="P913" s="1" t="s">
        <v>202</v>
      </c>
      <c r="Q913" s="1" t="s">
        <v>203</v>
      </c>
      <c r="R913" s="1" t="s">
        <v>204</v>
      </c>
      <c r="S913" s="1" t="s">
        <v>205</v>
      </c>
      <c r="T913" s="1" t="s">
        <v>206</v>
      </c>
      <c r="U913" s="1" t="s">
        <v>207</v>
      </c>
      <c r="V913" s="1" t="s">
        <v>120</v>
      </c>
      <c r="W913" s="1" t="s">
        <v>121</v>
      </c>
      <c r="X913" s="1" t="s">
        <v>208</v>
      </c>
      <c r="Y913" s="1" t="s">
        <v>209</v>
      </c>
      <c r="Z913" s="1" t="str">
        <f>TRIM(_xlfn.CONCAT(sales_data_sample[[#This Row],[CONTACTFIRSTNAME]],", ",sales_data_sample[[#This Row],[CONTACTLASTNAME]]))</f>
        <v>Adrian, Huxley</v>
      </c>
      <c r="AA913" s="1" t="s">
        <v>40</v>
      </c>
    </row>
    <row r="914" spans="1:27" x14ac:dyDescent="0.25">
      <c r="A914" s="10">
        <v>10150</v>
      </c>
      <c r="B914" s="9">
        <v>30</v>
      </c>
      <c r="C914" s="9">
        <v>4997</v>
      </c>
      <c r="D914" s="9">
        <f>PRODUCT(sales_data_sample[[#This Row],[QUANTITYORDERED]],sales_data_sample[[#This Row],[PRICEEACH]])</f>
        <v>149910</v>
      </c>
      <c r="E914" s="9">
        <f>IF(OR(sales_data_sample[[#This Row],[STATUS]]="Shipped",sales_data_sample[[#This Row],[STATUS]]="Resolved"),sales_data_sample[[#This Row],[SALES]],0)</f>
        <v>149910</v>
      </c>
      <c r="F914" s="10">
        <v>11</v>
      </c>
      <c r="G914" s="12" t="s">
        <v>258</v>
      </c>
      <c r="H914" s="1" t="s">
        <v>26</v>
      </c>
      <c r="I914">
        <v>3</v>
      </c>
      <c r="J914">
        <v>9</v>
      </c>
      <c r="K914">
        <v>2003</v>
      </c>
      <c r="L914" s="1" t="s">
        <v>799</v>
      </c>
      <c r="M914">
        <v>62</v>
      </c>
      <c r="N914" s="1" t="s">
        <v>902</v>
      </c>
      <c r="O914" s="1" t="s">
        <v>259</v>
      </c>
      <c r="P914" s="1" t="s">
        <v>260</v>
      </c>
      <c r="Q914" s="1" t="s">
        <v>261</v>
      </c>
      <c r="R914" s="1" t="s">
        <v>32</v>
      </c>
      <c r="S914" s="1" t="s">
        <v>262</v>
      </c>
      <c r="T914" s="1" t="s">
        <v>32</v>
      </c>
      <c r="U914" s="1" t="s">
        <v>263</v>
      </c>
      <c r="V914" s="1" t="s">
        <v>262</v>
      </c>
      <c r="W914" s="1" t="s">
        <v>264</v>
      </c>
      <c r="X914" s="1" t="s">
        <v>265</v>
      </c>
      <c r="Y914" s="1" t="s">
        <v>266</v>
      </c>
      <c r="Z914" s="1" t="str">
        <f>TRIM(_xlfn.CONCAT(sales_data_sample[[#This Row],[CONTACTFIRSTNAME]],", ",sales_data_sample[[#This Row],[CONTACTLASTNAME]]))</f>
        <v>Eric, Natividad</v>
      </c>
      <c r="AA914" s="1" t="s">
        <v>40</v>
      </c>
    </row>
    <row r="915" spans="1:27" x14ac:dyDescent="0.25">
      <c r="A915">
        <v>10163</v>
      </c>
      <c r="B915">
        <v>48</v>
      </c>
      <c r="C915">
        <v>6996</v>
      </c>
      <c r="D915">
        <f>PRODUCT(sales_data_sample[[#This Row],[QUANTITYORDERED]],sales_data_sample[[#This Row],[PRICEEACH]])</f>
        <v>335808</v>
      </c>
      <c r="E915" s="9">
        <f>IF(OR(sales_data_sample[[#This Row],[STATUS]]="Shipped",sales_data_sample[[#This Row],[STATUS]]="Resolved"),sales_data_sample[[#This Row],[SALES]],0)</f>
        <v>335808</v>
      </c>
      <c r="F915">
        <v>4</v>
      </c>
      <c r="G915" s="12" t="s">
        <v>267</v>
      </c>
      <c r="H915" s="1" t="s">
        <v>26</v>
      </c>
      <c r="I915">
        <v>4</v>
      </c>
      <c r="J915">
        <v>10</v>
      </c>
      <c r="K915">
        <v>2003</v>
      </c>
      <c r="L915" s="1" t="s">
        <v>799</v>
      </c>
      <c r="M915">
        <v>62</v>
      </c>
      <c r="N915" s="1" t="s">
        <v>902</v>
      </c>
      <c r="O915" s="1" t="s">
        <v>268</v>
      </c>
      <c r="P915" s="1" t="s">
        <v>269</v>
      </c>
      <c r="Q915" s="1" t="s">
        <v>270</v>
      </c>
      <c r="R915" s="1" t="s">
        <v>271</v>
      </c>
      <c r="S915" s="1" t="s">
        <v>33</v>
      </c>
      <c r="T915" s="1" t="s">
        <v>34</v>
      </c>
      <c r="U915" s="1" t="s">
        <v>35</v>
      </c>
      <c r="V915" s="1" t="s">
        <v>36</v>
      </c>
      <c r="W915" s="1" t="s">
        <v>37</v>
      </c>
      <c r="X915" s="1" t="s">
        <v>162</v>
      </c>
      <c r="Y915" s="1" t="s">
        <v>272</v>
      </c>
      <c r="Z915" s="1" t="str">
        <f>TRIM(_xlfn.CONCAT(sales_data_sample[[#This Row],[CONTACTFIRSTNAME]],", ",sales_data_sample[[#This Row],[CONTACTLASTNAME]]))</f>
        <v>Maria, Hernandez</v>
      </c>
      <c r="AA915" s="1" t="s">
        <v>59</v>
      </c>
    </row>
    <row r="916" spans="1:27" x14ac:dyDescent="0.25">
      <c r="A916" s="10">
        <v>10173</v>
      </c>
      <c r="B916" s="9">
        <v>28</v>
      </c>
      <c r="C916" s="9">
        <v>5372</v>
      </c>
      <c r="D916" s="9">
        <f>PRODUCT(sales_data_sample[[#This Row],[QUANTITYORDERED]],sales_data_sample[[#This Row],[PRICEEACH]])</f>
        <v>150416</v>
      </c>
      <c r="E916" s="9">
        <f>IF(OR(sales_data_sample[[#This Row],[STATUS]]="Shipped",sales_data_sample[[#This Row],[STATUS]]="Resolved"),sales_data_sample[[#This Row],[SALES]],0)</f>
        <v>150416</v>
      </c>
      <c r="F916" s="10">
        <v>2</v>
      </c>
      <c r="G916" s="12" t="s">
        <v>776</v>
      </c>
      <c r="H916" s="1" t="s">
        <v>26</v>
      </c>
      <c r="I916">
        <v>4</v>
      </c>
      <c r="J916">
        <v>11</v>
      </c>
      <c r="K916">
        <v>2003</v>
      </c>
      <c r="L916" s="1" t="s">
        <v>799</v>
      </c>
      <c r="M916">
        <v>62</v>
      </c>
      <c r="N916" s="1" t="s">
        <v>902</v>
      </c>
      <c r="O916" s="1" t="s">
        <v>806</v>
      </c>
      <c r="P916" s="1" t="s">
        <v>807</v>
      </c>
      <c r="Q916" s="1" t="s">
        <v>808</v>
      </c>
      <c r="R916" s="1" t="s">
        <v>32</v>
      </c>
      <c r="S916" s="1" t="s">
        <v>809</v>
      </c>
      <c r="T916" s="1" t="s">
        <v>32</v>
      </c>
      <c r="U916" s="1" t="s">
        <v>810</v>
      </c>
      <c r="V916" s="1" t="s">
        <v>343</v>
      </c>
      <c r="W916" s="1" t="s">
        <v>48</v>
      </c>
      <c r="X916" s="1" t="s">
        <v>811</v>
      </c>
      <c r="Y916" s="1" t="s">
        <v>812</v>
      </c>
      <c r="Z916" s="1" t="str">
        <f>TRIM(_xlfn.CONCAT(sales_data_sample[[#This Row],[CONTACTFIRSTNAME]],", ",sales_data_sample[[#This Row],[CONTACTLASTNAME]]))</f>
        <v>Giovanni, Rovelli</v>
      </c>
      <c r="AA916" s="1" t="s">
        <v>40</v>
      </c>
    </row>
    <row r="917" spans="1:27" x14ac:dyDescent="0.25">
      <c r="A917" s="10">
        <v>10183</v>
      </c>
      <c r="B917" s="9">
        <v>39</v>
      </c>
      <c r="C917" s="9">
        <v>6808</v>
      </c>
      <c r="D917" s="9">
        <f>PRODUCT(sales_data_sample[[#This Row],[QUANTITYORDERED]],sales_data_sample[[#This Row],[PRICEEACH]])</f>
        <v>265512</v>
      </c>
      <c r="E917" s="9">
        <f>IF(OR(sales_data_sample[[#This Row],[STATUS]]="Shipped",sales_data_sample[[#This Row],[STATUS]]="Resolved"),sales_data_sample[[#This Row],[SALES]],0)</f>
        <v>265512</v>
      </c>
      <c r="F917" s="10">
        <v>11</v>
      </c>
      <c r="G917" s="12" t="s">
        <v>282</v>
      </c>
      <c r="H917" s="1" t="s">
        <v>26</v>
      </c>
      <c r="I917">
        <v>4</v>
      </c>
      <c r="J917">
        <v>11</v>
      </c>
      <c r="K917">
        <v>2003</v>
      </c>
      <c r="L917" s="1" t="s">
        <v>799</v>
      </c>
      <c r="M917">
        <v>62</v>
      </c>
      <c r="N917" s="1" t="s">
        <v>902</v>
      </c>
      <c r="O917" s="1" t="s">
        <v>283</v>
      </c>
      <c r="P917" s="1" t="s">
        <v>284</v>
      </c>
      <c r="Q917" s="1" t="s">
        <v>285</v>
      </c>
      <c r="R917" s="1" t="s">
        <v>32</v>
      </c>
      <c r="S917" s="1" t="s">
        <v>286</v>
      </c>
      <c r="T917" s="1" t="s">
        <v>186</v>
      </c>
      <c r="U917" s="1" t="s">
        <v>287</v>
      </c>
      <c r="V917" s="1" t="s">
        <v>36</v>
      </c>
      <c r="W917" s="1" t="s">
        <v>37</v>
      </c>
      <c r="X917" s="1" t="s">
        <v>288</v>
      </c>
      <c r="Y917" s="1" t="s">
        <v>289</v>
      </c>
      <c r="Z917" s="1" t="str">
        <f>TRIM(_xlfn.CONCAT(sales_data_sample[[#This Row],[CONTACTFIRSTNAME]],", ",sales_data_sample[[#This Row],[CONTACTLASTNAME]]))</f>
        <v>Francisca, Cervantes</v>
      </c>
      <c r="AA917" s="1" t="s">
        <v>40</v>
      </c>
    </row>
    <row r="918" spans="1:27" x14ac:dyDescent="0.25">
      <c r="A918" s="10">
        <v>10193</v>
      </c>
      <c r="B918" s="9">
        <v>24</v>
      </c>
      <c r="C918" s="9">
        <v>5184</v>
      </c>
      <c r="D918" s="9">
        <f>PRODUCT(sales_data_sample[[#This Row],[QUANTITYORDERED]],sales_data_sample[[#This Row],[PRICEEACH]])</f>
        <v>124416</v>
      </c>
      <c r="E918" s="9">
        <f>IF(OR(sales_data_sample[[#This Row],[STATUS]]="Shipped",sales_data_sample[[#This Row],[STATUS]]="Resolved"),sales_data_sample[[#This Row],[SALES]],0)</f>
        <v>124416</v>
      </c>
      <c r="F918" s="10">
        <v>3</v>
      </c>
      <c r="G918" s="12" t="s">
        <v>813</v>
      </c>
      <c r="H918" s="1" t="s">
        <v>26</v>
      </c>
      <c r="I918">
        <v>4</v>
      </c>
      <c r="J918">
        <v>11</v>
      </c>
      <c r="K918">
        <v>2003</v>
      </c>
      <c r="L918" s="1" t="s">
        <v>799</v>
      </c>
      <c r="M918">
        <v>62</v>
      </c>
      <c r="N918" s="1" t="s">
        <v>902</v>
      </c>
      <c r="O918" s="1" t="s">
        <v>814</v>
      </c>
      <c r="P918" s="1" t="s">
        <v>815</v>
      </c>
      <c r="Q918" s="1" t="s">
        <v>816</v>
      </c>
      <c r="R918" s="1" t="s">
        <v>32</v>
      </c>
      <c r="S918" s="1" t="s">
        <v>817</v>
      </c>
      <c r="T918" s="1" t="s">
        <v>118</v>
      </c>
      <c r="U918" s="1" t="s">
        <v>818</v>
      </c>
      <c r="V918" s="1" t="s">
        <v>120</v>
      </c>
      <c r="W918" s="1" t="s">
        <v>121</v>
      </c>
      <c r="X918" s="1" t="s">
        <v>819</v>
      </c>
      <c r="Y918" s="1" t="s">
        <v>820</v>
      </c>
      <c r="Z918" s="1" t="str">
        <f>TRIM(_xlfn.CONCAT(sales_data_sample[[#This Row],[CONTACTFIRSTNAME]],", ",sales_data_sample[[#This Row],[CONTACTLASTNAME]]))</f>
        <v>Sean, Connery</v>
      </c>
      <c r="AA918" s="1" t="s">
        <v>40</v>
      </c>
    </row>
    <row r="919" spans="1:27" x14ac:dyDescent="0.25">
      <c r="A919" s="10">
        <v>10206</v>
      </c>
      <c r="B919" s="9">
        <v>28</v>
      </c>
      <c r="C919" s="9">
        <v>6746</v>
      </c>
      <c r="D919" s="9">
        <f>PRODUCT(sales_data_sample[[#This Row],[QUANTITYORDERED]],sales_data_sample[[#This Row],[PRICEEACH]])</f>
        <v>188888</v>
      </c>
      <c r="E919" s="9">
        <f>IF(OR(sales_data_sample[[#This Row],[STATUS]]="Shipped",sales_data_sample[[#This Row],[STATUS]]="Resolved"),sales_data_sample[[#This Row],[SALES]],0)</f>
        <v>188888</v>
      </c>
      <c r="F919" s="10">
        <v>9</v>
      </c>
      <c r="G919" s="12" t="s">
        <v>298</v>
      </c>
      <c r="H919" s="1" t="s">
        <v>26</v>
      </c>
      <c r="I919">
        <v>4</v>
      </c>
      <c r="J919">
        <v>12</v>
      </c>
      <c r="K919">
        <v>2003</v>
      </c>
      <c r="L919" s="1" t="s">
        <v>799</v>
      </c>
      <c r="M919">
        <v>62</v>
      </c>
      <c r="N919" s="1" t="s">
        <v>902</v>
      </c>
      <c r="O919" s="1" t="s">
        <v>299</v>
      </c>
      <c r="P919" s="1" t="s">
        <v>300</v>
      </c>
      <c r="Q919" s="1" t="s">
        <v>301</v>
      </c>
      <c r="R919" s="1" t="s">
        <v>32</v>
      </c>
      <c r="S919" s="1" t="s">
        <v>302</v>
      </c>
      <c r="T919" s="1" t="s">
        <v>303</v>
      </c>
      <c r="U919" s="1" t="s">
        <v>304</v>
      </c>
      <c r="V919" s="1" t="s">
        <v>305</v>
      </c>
      <c r="W919" s="1" t="s">
        <v>37</v>
      </c>
      <c r="X919" s="1" t="s">
        <v>306</v>
      </c>
      <c r="Y919" s="1" t="s">
        <v>307</v>
      </c>
      <c r="Z919" s="1" t="str">
        <f>TRIM(_xlfn.CONCAT(sales_data_sample[[#This Row],[CONTACTFIRSTNAME]],", ",sales_data_sample[[#This Row],[CONTACTLASTNAME]]))</f>
        <v>Yoshi, Tannamuri</v>
      </c>
      <c r="AA919" s="1" t="s">
        <v>40</v>
      </c>
    </row>
    <row r="920" spans="1:27" x14ac:dyDescent="0.25">
      <c r="A920" s="10">
        <v>10215</v>
      </c>
      <c r="B920" s="9">
        <v>31</v>
      </c>
      <c r="C920" s="9">
        <v>5871</v>
      </c>
      <c r="D920" s="9">
        <f>PRODUCT(sales_data_sample[[#This Row],[QUANTITYORDERED]],sales_data_sample[[#This Row],[PRICEEACH]])</f>
        <v>182001</v>
      </c>
      <c r="E920" s="9">
        <f>IF(OR(sales_data_sample[[#This Row],[STATUS]]="Shipped",sales_data_sample[[#This Row],[STATUS]]="Resolved"),sales_data_sample[[#This Row],[SALES]],0)</f>
        <v>182001</v>
      </c>
      <c r="F920" s="10">
        <v>6</v>
      </c>
      <c r="G920" s="12" t="s">
        <v>308</v>
      </c>
      <c r="H920" s="1" t="s">
        <v>26</v>
      </c>
      <c r="I920">
        <v>1</v>
      </c>
      <c r="J920">
        <v>1</v>
      </c>
      <c r="K920">
        <v>2004</v>
      </c>
      <c r="L920" s="1" t="s">
        <v>799</v>
      </c>
      <c r="M920">
        <v>62</v>
      </c>
      <c r="N920" s="1" t="s">
        <v>902</v>
      </c>
      <c r="O920" s="1" t="s">
        <v>309</v>
      </c>
      <c r="P920" s="1" t="s">
        <v>310</v>
      </c>
      <c r="Q920" s="1" t="s">
        <v>311</v>
      </c>
      <c r="R920" s="1" t="s">
        <v>32</v>
      </c>
      <c r="S920" s="1" t="s">
        <v>312</v>
      </c>
      <c r="T920" s="1" t="s">
        <v>65</v>
      </c>
      <c r="U920" s="1" t="s">
        <v>137</v>
      </c>
      <c r="V920" s="1" t="s">
        <v>36</v>
      </c>
      <c r="W920" s="1" t="s">
        <v>37</v>
      </c>
      <c r="X920" s="1" t="s">
        <v>313</v>
      </c>
      <c r="Y920" s="1" t="s">
        <v>314</v>
      </c>
      <c r="Z920" s="1" t="str">
        <f>TRIM(_xlfn.CONCAT(sales_data_sample[[#This Row],[CONTACTFIRSTNAME]],", ",sales_data_sample[[#This Row],[CONTACTLASTNAME]]))</f>
        <v>Steve, Thompson</v>
      </c>
      <c r="AA920" s="1" t="s">
        <v>40</v>
      </c>
    </row>
    <row r="921" spans="1:27" x14ac:dyDescent="0.25">
      <c r="A921" s="10">
        <v>10228</v>
      </c>
      <c r="B921" s="9">
        <v>45</v>
      </c>
      <c r="C921" s="9">
        <v>6371</v>
      </c>
      <c r="D921" s="9">
        <f>PRODUCT(sales_data_sample[[#This Row],[QUANTITYORDERED]],sales_data_sample[[#This Row],[PRICEEACH]])</f>
        <v>286695</v>
      </c>
      <c r="E921" s="9">
        <f>IF(OR(sales_data_sample[[#This Row],[STATUS]]="Shipped",sales_data_sample[[#This Row],[STATUS]]="Resolved"),sales_data_sample[[#This Row],[SALES]],0)</f>
        <v>286695</v>
      </c>
      <c r="F921" s="10">
        <v>5</v>
      </c>
      <c r="G921" s="12" t="s">
        <v>315</v>
      </c>
      <c r="H921" s="1" t="s">
        <v>26</v>
      </c>
      <c r="I921">
        <v>1</v>
      </c>
      <c r="J921">
        <v>3</v>
      </c>
      <c r="K921">
        <v>2004</v>
      </c>
      <c r="L921" s="1" t="s">
        <v>799</v>
      </c>
      <c r="M921">
        <v>62</v>
      </c>
      <c r="N921" s="1" t="s">
        <v>902</v>
      </c>
      <c r="O921" s="1" t="s">
        <v>316</v>
      </c>
      <c r="P921" s="1" t="s">
        <v>317</v>
      </c>
      <c r="Q921" s="1" t="s">
        <v>318</v>
      </c>
      <c r="R921" s="1" t="s">
        <v>32</v>
      </c>
      <c r="S921" s="1" t="s">
        <v>159</v>
      </c>
      <c r="T921" s="1" t="s">
        <v>160</v>
      </c>
      <c r="U921" s="1" t="s">
        <v>161</v>
      </c>
      <c r="V921" s="1" t="s">
        <v>36</v>
      </c>
      <c r="W921" s="1" t="s">
        <v>37</v>
      </c>
      <c r="X921" s="1" t="s">
        <v>319</v>
      </c>
      <c r="Y921" s="1" t="s">
        <v>188</v>
      </c>
      <c r="Z921" s="1" t="str">
        <f>TRIM(_xlfn.CONCAT(sales_data_sample[[#This Row],[CONTACTFIRSTNAME]],", ",sales_data_sample[[#This Row],[CONTACTLASTNAME]]))</f>
        <v>Kyung, Tseng</v>
      </c>
      <c r="AA921" s="1" t="s">
        <v>40</v>
      </c>
    </row>
    <row r="922" spans="1:27" x14ac:dyDescent="0.25">
      <c r="A922" s="10">
        <v>10244</v>
      </c>
      <c r="B922" s="9">
        <v>24</v>
      </c>
      <c r="C922" s="9">
        <v>5809</v>
      </c>
      <c r="D922" s="9">
        <f>PRODUCT(sales_data_sample[[#This Row],[QUANTITYORDERED]],sales_data_sample[[#This Row],[PRICEEACH]])</f>
        <v>139416</v>
      </c>
      <c r="E922" s="9">
        <f>IF(OR(sales_data_sample[[#This Row],[STATUS]]="Shipped",sales_data_sample[[#This Row],[STATUS]]="Resolved"),sales_data_sample[[#This Row],[SALES]],0)</f>
        <v>139416</v>
      </c>
      <c r="F922" s="10">
        <v>3</v>
      </c>
      <c r="G922" s="12" t="s">
        <v>823</v>
      </c>
      <c r="H922" s="1" t="s">
        <v>26</v>
      </c>
      <c r="I922">
        <v>2</v>
      </c>
      <c r="J922">
        <v>4</v>
      </c>
      <c r="K922">
        <v>2004</v>
      </c>
      <c r="L922" s="1" t="s">
        <v>799</v>
      </c>
      <c r="M922">
        <v>62</v>
      </c>
      <c r="N922" s="1" t="s">
        <v>902</v>
      </c>
      <c r="O922" s="1" t="s">
        <v>230</v>
      </c>
      <c r="P922" s="1" t="s">
        <v>231</v>
      </c>
      <c r="Q922" s="1" t="s">
        <v>232</v>
      </c>
      <c r="R922" s="1" t="s">
        <v>32</v>
      </c>
      <c r="S922" s="1" t="s">
        <v>233</v>
      </c>
      <c r="T922" s="1" t="s">
        <v>32</v>
      </c>
      <c r="U922" s="1" t="s">
        <v>234</v>
      </c>
      <c r="V922" s="1" t="s">
        <v>235</v>
      </c>
      <c r="W922" s="1" t="s">
        <v>48</v>
      </c>
      <c r="X922" s="1" t="s">
        <v>236</v>
      </c>
      <c r="Y922" s="1" t="s">
        <v>237</v>
      </c>
      <c r="Z922" s="1" t="str">
        <f>TRIM(_xlfn.CONCAT(sales_data_sample[[#This Row],[CONTACTFIRSTNAME]],", ",sales_data_sample[[#This Row],[CONTACTLASTNAME]]))</f>
        <v>Diego, Freyre</v>
      </c>
      <c r="AA922" s="1" t="s">
        <v>40</v>
      </c>
    </row>
    <row r="923" spans="1:27" x14ac:dyDescent="0.25">
      <c r="A923" s="10">
        <v>10257</v>
      </c>
      <c r="B923" s="9">
        <v>49</v>
      </c>
      <c r="C923" s="9">
        <v>5372</v>
      </c>
      <c r="D923" s="9">
        <f>PRODUCT(sales_data_sample[[#This Row],[QUANTITYORDERED]],sales_data_sample[[#This Row],[PRICEEACH]])</f>
        <v>263228</v>
      </c>
      <c r="E923" s="9">
        <f>IF(OR(sales_data_sample[[#This Row],[STATUS]]="Shipped",sales_data_sample[[#This Row],[STATUS]]="Resolved"),sales_data_sample[[#This Row],[SALES]],0)</f>
        <v>263228</v>
      </c>
      <c r="F923" s="10">
        <v>3</v>
      </c>
      <c r="G923" s="12" t="s">
        <v>901</v>
      </c>
      <c r="H923" s="1" t="s">
        <v>26</v>
      </c>
      <c r="I923">
        <v>2</v>
      </c>
      <c r="J923">
        <v>6</v>
      </c>
      <c r="K923">
        <v>2004</v>
      </c>
      <c r="L923" s="1" t="s">
        <v>799</v>
      </c>
      <c r="M923">
        <v>62</v>
      </c>
      <c r="N923" s="1" t="s">
        <v>902</v>
      </c>
      <c r="O923" s="1" t="s">
        <v>547</v>
      </c>
      <c r="P923" s="1" t="s">
        <v>548</v>
      </c>
      <c r="Q923" s="1" t="s">
        <v>549</v>
      </c>
      <c r="R923" s="1" t="s">
        <v>32</v>
      </c>
      <c r="S923" s="1" t="s">
        <v>550</v>
      </c>
      <c r="T923" s="1" t="s">
        <v>65</v>
      </c>
      <c r="U923" s="1" t="s">
        <v>80</v>
      </c>
      <c r="V923" s="1" t="s">
        <v>36</v>
      </c>
      <c r="W923" s="1" t="s">
        <v>37</v>
      </c>
      <c r="X923" s="1" t="s">
        <v>129</v>
      </c>
      <c r="Y923" s="1" t="s">
        <v>551</v>
      </c>
      <c r="Z923" s="1" t="str">
        <f>TRIM(_xlfn.CONCAT(sales_data_sample[[#This Row],[CONTACTFIRSTNAME]],", ",sales_data_sample[[#This Row],[CONTACTLASTNAME]]))</f>
        <v>Sue, Frick</v>
      </c>
      <c r="AA923" s="1" t="s">
        <v>40</v>
      </c>
    </row>
    <row r="924" spans="1:27" x14ac:dyDescent="0.25">
      <c r="A924" s="10">
        <v>10269</v>
      </c>
      <c r="B924" s="9">
        <v>32</v>
      </c>
      <c r="C924" s="9">
        <v>6308</v>
      </c>
      <c r="D924" s="9">
        <f>PRODUCT(sales_data_sample[[#This Row],[QUANTITYORDERED]],sales_data_sample[[#This Row],[PRICEEACH]])</f>
        <v>201856</v>
      </c>
      <c r="E924" s="9">
        <f>IF(OR(sales_data_sample[[#This Row],[STATUS]]="Shipped",sales_data_sample[[#This Row],[STATUS]]="Resolved"),sales_data_sample[[#This Row],[SALES]],0)</f>
        <v>201856</v>
      </c>
      <c r="F924" s="10">
        <v>1</v>
      </c>
      <c r="G924" s="12" t="s">
        <v>903</v>
      </c>
      <c r="H924" s="1" t="s">
        <v>26</v>
      </c>
      <c r="I924">
        <v>3</v>
      </c>
      <c r="J924">
        <v>7</v>
      </c>
      <c r="K924">
        <v>2004</v>
      </c>
      <c r="L924" s="1" t="s">
        <v>799</v>
      </c>
      <c r="M924">
        <v>62</v>
      </c>
      <c r="N924" s="1" t="s">
        <v>902</v>
      </c>
      <c r="O924" s="1" t="s">
        <v>191</v>
      </c>
      <c r="P924" s="1" t="s">
        <v>192</v>
      </c>
      <c r="Q924" s="1" t="s">
        <v>193</v>
      </c>
      <c r="R924" s="1" t="s">
        <v>32</v>
      </c>
      <c r="S924" s="1" t="s">
        <v>194</v>
      </c>
      <c r="T924" s="1" t="s">
        <v>32</v>
      </c>
      <c r="U924" s="1" t="s">
        <v>195</v>
      </c>
      <c r="V924" s="1" t="s">
        <v>196</v>
      </c>
      <c r="W924" s="1" t="s">
        <v>48</v>
      </c>
      <c r="X924" s="1" t="s">
        <v>197</v>
      </c>
      <c r="Y924" s="1" t="s">
        <v>198</v>
      </c>
      <c r="Z924" s="1" t="str">
        <f>TRIM(_xlfn.CONCAT(sales_data_sample[[#This Row],[CONTACTFIRSTNAME]],", ",sales_data_sample[[#This Row],[CONTACTLASTNAME]]))</f>
        <v>Georg, Pipps</v>
      </c>
      <c r="AA924" s="1" t="s">
        <v>40</v>
      </c>
    </row>
    <row r="925" spans="1:27" x14ac:dyDescent="0.25">
      <c r="A925" s="10">
        <v>10280</v>
      </c>
      <c r="B925" s="9">
        <v>43</v>
      </c>
      <c r="C925" s="9">
        <v>6871</v>
      </c>
      <c r="D925" s="9">
        <f>PRODUCT(sales_data_sample[[#This Row],[QUANTITYORDERED]],sales_data_sample[[#This Row],[PRICEEACH]])</f>
        <v>295453</v>
      </c>
      <c r="E925" s="9">
        <f>IF(OR(sales_data_sample[[#This Row],[STATUS]]="Shipped",sales_data_sample[[#This Row],[STATUS]]="Resolved"),sales_data_sample[[#This Row],[SALES]],0)</f>
        <v>295453</v>
      </c>
      <c r="F925" s="10">
        <v>5</v>
      </c>
      <c r="G925" s="12" t="s">
        <v>337</v>
      </c>
      <c r="H925" s="1" t="s">
        <v>26</v>
      </c>
      <c r="I925">
        <v>3</v>
      </c>
      <c r="J925">
        <v>8</v>
      </c>
      <c r="K925">
        <v>2004</v>
      </c>
      <c r="L925" s="1" t="s">
        <v>799</v>
      </c>
      <c r="M925">
        <v>62</v>
      </c>
      <c r="N925" s="1" t="s">
        <v>902</v>
      </c>
      <c r="O925" s="1" t="s">
        <v>338</v>
      </c>
      <c r="P925" s="1" t="s">
        <v>339</v>
      </c>
      <c r="Q925" s="1" t="s">
        <v>340</v>
      </c>
      <c r="R925" s="1" t="s">
        <v>32</v>
      </c>
      <c r="S925" s="1" t="s">
        <v>341</v>
      </c>
      <c r="T925" s="1" t="s">
        <v>32</v>
      </c>
      <c r="U925" s="1" t="s">
        <v>342</v>
      </c>
      <c r="V925" s="1" t="s">
        <v>343</v>
      </c>
      <c r="W925" s="1" t="s">
        <v>48</v>
      </c>
      <c r="X925" s="1" t="s">
        <v>344</v>
      </c>
      <c r="Y925" s="1" t="s">
        <v>345</v>
      </c>
      <c r="Z925" s="1" t="str">
        <f>TRIM(_xlfn.CONCAT(sales_data_sample[[#This Row],[CONTACTFIRSTNAME]],", ",sales_data_sample[[#This Row],[CONTACTLASTNAME]]))</f>
        <v>Paolo, Accorti</v>
      </c>
      <c r="AA925" s="1" t="s">
        <v>40</v>
      </c>
    </row>
    <row r="926" spans="1:27" x14ac:dyDescent="0.25">
      <c r="A926" s="10">
        <v>10291</v>
      </c>
      <c r="B926" s="9">
        <v>37</v>
      </c>
      <c r="C926" s="9">
        <v>5059</v>
      </c>
      <c r="D926" s="9">
        <f>PRODUCT(sales_data_sample[[#This Row],[QUANTITYORDERED]],sales_data_sample[[#This Row],[PRICEEACH]])</f>
        <v>187183</v>
      </c>
      <c r="E926" s="9">
        <f>IF(OR(sales_data_sample[[#This Row],[STATUS]]="Shipped",sales_data_sample[[#This Row],[STATUS]]="Resolved"),sales_data_sample[[#This Row],[SALES]],0)</f>
        <v>187183</v>
      </c>
      <c r="F926" s="10">
        <v>14</v>
      </c>
      <c r="G926" s="12" t="s">
        <v>346</v>
      </c>
      <c r="H926" s="1" t="s">
        <v>26</v>
      </c>
      <c r="I926">
        <v>3</v>
      </c>
      <c r="J926">
        <v>9</v>
      </c>
      <c r="K926">
        <v>2004</v>
      </c>
      <c r="L926" s="1" t="s">
        <v>799</v>
      </c>
      <c r="M926">
        <v>62</v>
      </c>
      <c r="N926" s="1" t="s">
        <v>902</v>
      </c>
      <c r="O926" s="1" t="s">
        <v>347</v>
      </c>
      <c r="P926" s="1" t="s">
        <v>348</v>
      </c>
      <c r="Q926" s="1" t="s">
        <v>349</v>
      </c>
      <c r="R926" s="1" t="s">
        <v>32</v>
      </c>
      <c r="S926" s="1" t="s">
        <v>350</v>
      </c>
      <c r="T926" s="1" t="s">
        <v>32</v>
      </c>
      <c r="U926" s="1" t="s">
        <v>351</v>
      </c>
      <c r="V926" s="1" t="s">
        <v>247</v>
      </c>
      <c r="W926" s="1" t="s">
        <v>48</v>
      </c>
      <c r="X926" s="1" t="s">
        <v>352</v>
      </c>
      <c r="Y926" s="1" t="s">
        <v>272</v>
      </c>
      <c r="Z926" s="1" t="str">
        <f>TRIM(_xlfn.CONCAT(sales_data_sample[[#This Row],[CONTACTFIRSTNAME]],", ",sales_data_sample[[#This Row],[CONTACTLASTNAME]]))</f>
        <v>Maria, Larsson</v>
      </c>
      <c r="AA926" s="1" t="s">
        <v>40</v>
      </c>
    </row>
    <row r="927" spans="1:27" x14ac:dyDescent="0.25">
      <c r="A927" s="10">
        <v>10304</v>
      </c>
      <c r="B927" s="9">
        <v>24</v>
      </c>
      <c r="C927" s="9">
        <v>6496</v>
      </c>
      <c r="D927" s="9">
        <f>PRODUCT(sales_data_sample[[#This Row],[QUANTITYORDERED]],sales_data_sample[[#This Row],[PRICEEACH]])</f>
        <v>155904</v>
      </c>
      <c r="E927" s="9">
        <f>IF(OR(sales_data_sample[[#This Row],[STATUS]]="Shipped",sales_data_sample[[#This Row],[STATUS]]="Resolved"),sales_data_sample[[#This Row],[SALES]],0)</f>
        <v>155904</v>
      </c>
      <c r="F927" s="10">
        <v>9</v>
      </c>
      <c r="G927" s="12" t="s">
        <v>353</v>
      </c>
      <c r="H927" s="1" t="s">
        <v>26</v>
      </c>
      <c r="I927">
        <v>4</v>
      </c>
      <c r="J927">
        <v>10</v>
      </c>
      <c r="K927">
        <v>2004</v>
      </c>
      <c r="L927" s="1" t="s">
        <v>799</v>
      </c>
      <c r="M927">
        <v>62</v>
      </c>
      <c r="N927" s="1" t="s">
        <v>902</v>
      </c>
      <c r="O927" s="1" t="s">
        <v>354</v>
      </c>
      <c r="P927" s="1" t="s">
        <v>355</v>
      </c>
      <c r="Q927" s="1" t="s">
        <v>356</v>
      </c>
      <c r="R927" s="1" t="s">
        <v>32</v>
      </c>
      <c r="S927" s="1" t="s">
        <v>357</v>
      </c>
      <c r="T927" s="1" t="s">
        <v>32</v>
      </c>
      <c r="U927" s="1" t="s">
        <v>358</v>
      </c>
      <c r="V927" s="1" t="s">
        <v>47</v>
      </c>
      <c r="W927" s="1" t="s">
        <v>48</v>
      </c>
      <c r="X927" s="1" t="s">
        <v>359</v>
      </c>
      <c r="Y927" s="1" t="s">
        <v>58</v>
      </c>
      <c r="Z927" s="1" t="str">
        <f>TRIM(_xlfn.CONCAT(sales_data_sample[[#This Row],[CONTACTFIRSTNAME]],", ",sales_data_sample[[#This Row],[CONTACTLASTNAME]]))</f>
        <v>Daniel, Tonini</v>
      </c>
      <c r="AA927" s="1" t="s">
        <v>40</v>
      </c>
    </row>
    <row r="928" spans="1:27" x14ac:dyDescent="0.25">
      <c r="A928" s="10">
        <v>10312</v>
      </c>
      <c r="B928" s="9">
        <v>35</v>
      </c>
      <c r="C928" s="9">
        <v>5372</v>
      </c>
      <c r="D928" s="9">
        <f>PRODUCT(sales_data_sample[[#This Row],[QUANTITYORDERED]],sales_data_sample[[#This Row],[PRICEEACH]])</f>
        <v>188020</v>
      </c>
      <c r="E928" s="9">
        <f>IF(OR(sales_data_sample[[#This Row],[STATUS]]="Shipped",sales_data_sample[[#This Row],[STATUS]]="Resolved"),sales_data_sample[[#This Row],[SALES]],0)</f>
        <v>188020</v>
      </c>
      <c r="F928" s="10">
        <v>6</v>
      </c>
      <c r="G928" s="12" t="s">
        <v>360</v>
      </c>
      <c r="H928" s="1" t="s">
        <v>26</v>
      </c>
      <c r="I928">
        <v>4</v>
      </c>
      <c r="J928">
        <v>10</v>
      </c>
      <c r="K928">
        <v>2004</v>
      </c>
      <c r="L928" s="1" t="s">
        <v>799</v>
      </c>
      <c r="M928">
        <v>62</v>
      </c>
      <c r="N928" s="1" t="s">
        <v>902</v>
      </c>
      <c r="O928" s="1" t="s">
        <v>361</v>
      </c>
      <c r="P928" s="1" t="s">
        <v>362</v>
      </c>
      <c r="Q928" s="1" t="s">
        <v>363</v>
      </c>
      <c r="R928" s="1" t="s">
        <v>32</v>
      </c>
      <c r="S928" s="1" t="s">
        <v>364</v>
      </c>
      <c r="T928" s="1" t="s">
        <v>65</v>
      </c>
      <c r="U928" s="1" t="s">
        <v>145</v>
      </c>
      <c r="V928" s="1" t="s">
        <v>36</v>
      </c>
      <c r="W928" s="1" t="s">
        <v>37</v>
      </c>
      <c r="X928" s="1" t="s">
        <v>365</v>
      </c>
      <c r="Y928" s="1" t="s">
        <v>366</v>
      </c>
      <c r="Z928" s="1" t="str">
        <f>TRIM(_xlfn.CONCAT(sales_data_sample[[#This Row],[CONTACTFIRSTNAME]],", ",sales_data_sample[[#This Row],[CONTACTLASTNAME]]))</f>
        <v>Valarie, Nelson</v>
      </c>
      <c r="AA928" s="1" t="s">
        <v>40</v>
      </c>
    </row>
    <row r="929" spans="1:27" x14ac:dyDescent="0.25">
      <c r="A929" s="10">
        <v>10322</v>
      </c>
      <c r="B929" s="9">
        <v>41</v>
      </c>
      <c r="C929" s="9">
        <v>2987</v>
      </c>
      <c r="D929" s="9">
        <f>PRODUCT(sales_data_sample[[#This Row],[QUANTITYORDERED]],sales_data_sample[[#This Row],[PRICEEACH]])</f>
        <v>122467</v>
      </c>
      <c r="E929" s="9">
        <f>IF(OR(sales_data_sample[[#This Row],[STATUS]]="Shipped",sales_data_sample[[#This Row],[STATUS]]="Resolved"),sales_data_sample[[#This Row],[SALES]],0)</f>
        <v>122467</v>
      </c>
      <c r="F929" s="10">
        <v>13</v>
      </c>
      <c r="G929" s="12" t="s">
        <v>367</v>
      </c>
      <c r="H929" s="1" t="s">
        <v>26</v>
      </c>
      <c r="I929">
        <v>4</v>
      </c>
      <c r="J929">
        <v>11</v>
      </c>
      <c r="K929">
        <v>2004</v>
      </c>
      <c r="L929" s="1" t="s">
        <v>799</v>
      </c>
      <c r="M929">
        <v>62</v>
      </c>
      <c r="N929" s="1" t="s">
        <v>902</v>
      </c>
      <c r="O929" s="1" t="s">
        <v>368</v>
      </c>
      <c r="P929" s="1" t="s">
        <v>369</v>
      </c>
      <c r="Q929" s="1" t="s">
        <v>370</v>
      </c>
      <c r="R929" s="1" t="s">
        <v>32</v>
      </c>
      <c r="S929" s="1" t="s">
        <v>371</v>
      </c>
      <c r="T929" s="1" t="s">
        <v>372</v>
      </c>
      <c r="U929" s="1" t="s">
        <v>373</v>
      </c>
      <c r="V929" s="1" t="s">
        <v>36</v>
      </c>
      <c r="W929" s="1" t="s">
        <v>37</v>
      </c>
      <c r="X929" s="1" t="s">
        <v>67</v>
      </c>
      <c r="Y929" s="1" t="s">
        <v>366</v>
      </c>
      <c r="Z929" s="1" t="str">
        <f>TRIM(_xlfn.CONCAT(sales_data_sample[[#This Row],[CONTACTFIRSTNAME]],", ",sales_data_sample[[#This Row],[CONTACTLASTNAME]]))</f>
        <v>Valarie, Young</v>
      </c>
      <c r="AA929" s="1" t="s">
        <v>40</v>
      </c>
    </row>
    <row r="930" spans="1:27" x14ac:dyDescent="0.25">
      <c r="A930" s="10">
        <v>10332</v>
      </c>
      <c r="B930" s="9">
        <v>26</v>
      </c>
      <c r="C930" s="9">
        <v>100</v>
      </c>
      <c r="D930" s="9">
        <f>PRODUCT(sales_data_sample[[#This Row],[QUANTITYORDERED]],sales_data_sample[[#This Row],[PRICEEACH]])</f>
        <v>2600</v>
      </c>
      <c r="E930" s="9">
        <f>IF(OR(sales_data_sample[[#This Row],[STATUS]]="Shipped",sales_data_sample[[#This Row],[STATUS]]="Resolved"),sales_data_sample[[#This Row],[SALES]],0)</f>
        <v>2600</v>
      </c>
      <c r="F930" s="10">
        <v>17</v>
      </c>
      <c r="G930" s="12" t="s">
        <v>793</v>
      </c>
      <c r="H930" s="1" t="s">
        <v>26</v>
      </c>
      <c r="I930">
        <v>4</v>
      </c>
      <c r="J930">
        <v>11</v>
      </c>
      <c r="K930">
        <v>2004</v>
      </c>
      <c r="L930" s="1" t="s">
        <v>799</v>
      </c>
      <c r="M930">
        <v>62</v>
      </c>
      <c r="N930" s="1" t="s">
        <v>902</v>
      </c>
      <c r="O930" s="1" t="s">
        <v>695</v>
      </c>
      <c r="P930" s="1" t="s">
        <v>696</v>
      </c>
      <c r="Q930" s="1" t="s">
        <v>697</v>
      </c>
      <c r="R930" s="1" t="s">
        <v>32</v>
      </c>
      <c r="S930" s="1" t="s">
        <v>698</v>
      </c>
      <c r="T930" s="1" t="s">
        <v>32</v>
      </c>
      <c r="U930" s="1" t="s">
        <v>699</v>
      </c>
      <c r="V930" s="1" t="s">
        <v>225</v>
      </c>
      <c r="W930" s="1" t="s">
        <v>48</v>
      </c>
      <c r="X930" s="1" t="s">
        <v>700</v>
      </c>
      <c r="Y930" s="1" t="s">
        <v>118</v>
      </c>
      <c r="Z930" s="1" t="str">
        <f>TRIM(_xlfn.CONCAT(sales_data_sample[[#This Row],[CONTACTFIRSTNAME]],", ",sales_data_sample[[#This Row],[CONTACTLASTNAME]]))</f>
        <v>Victoria, Ashworth</v>
      </c>
      <c r="AA930" s="1" t="s">
        <v>40</v>
      </c>
    </row>
    <row r="931" spans="1:27" x14ac:dyDescent="0.25">
      <c r="A931">
        <v>10347</v>
      </c>
      <c r="B931">
        <v>34</v>
      </c>
      <c r="C931">
        <v>6496</v>
      </c>
      <c r="D931">
        <f>PRODUCT(sales_data_sample[[#This Row],[QUANTITYORDERED]],sales_data_sample[[#This Row],[PRICEEACH]])</f>
        <v>220864</v>
      </c>
      <c r="E931" s="9">
        <f>IF(OR(sales_data_sample[[#This Row],[STATUS]]="Shipped",sales_data_sample[[#This Row],[STATUS]]="Resolved"),sales_data_sample[[#This Row],[SALES]],0)</f>
        <v>220864</v>
      </c>
      <c r="F931">
        <v>10</v>
      </c>
      <c r="G931" s="12" t="s">
        <v>375</v>
      </c>
      <c r="H931" s="1" t="s">
        <v>26</v>
      </c>
      <c r="I931">
        <v>4</v>
      </c>
      <c r="J931">
        <v>11</v>
      </c>
      <c r="K931">
        <v>2004</v>
      </c>
      <c r="L931" s="1" t="s">
        <v>799</v>
      </c>
      <c r="M931">
        <v>62</v>
      </c>
      <c r="N931" s="1" t="s">
        <v>902</v>
      </c>
      <c r="O931" s="1" t="s">
        <v>113</v>
      </c>
      <c r="P931" s="1" t="s">
        <v>114</v>
      </c>
      <c r="Q931" s="1" t="s">
        <v>115</v>
      </c>
      <c r="R931" s="1" t="s">
        <v>116</v>
      </c>
      <c r="S931" s="1" t="s">
        <v>117</v>
      </c>
      <c r="T931" s="1" t="s">
        <v>118</v>
      </c>
      <c r="U931" s="1" t="s">
        <v>119</v>
      </c>
      <c r="V931" s="1" t="s">
        <v>120</v>
      </c>
      <c r="W931" s="1" t="s">
        <v>121</v>
      </c>
      <c r="X931" s="1" t="s">
        <v>122</v>
      </c>
      <c r="Y931" s="1" t="s">
        <v>123</v>
      </c>
      <c r="Z931" s="1" t="str">
        <f>TRIM(_xlfn.CONCAT(sales_data_sample[[#This Row],[CONTACTFIRSTNAME]],", ",sales_data_sample[[#This Row],[CONTACTLASTNAME]]))</f>
        <v>Peter, Ferguson</v>
      </c>
      <c r="AA931" s="1" t="s">
        <v>40</v>
      </c>
    </row>
    <row r="932" spans="1:27" x14ac:dyDescent="0.25">
      <c r="A932" s="10">
        <v>10357</v>
      </c>
      <c r="B932" s="9">
        <v>49</v>
      </c>
      <c r="C932" s="9">
        <v>7058</v>
      </c>
      <c r="D932" s="9">
        <f>PRODUCT(sales_data_sample[[#This Row],[QUANTITYORDERED]],sales_data_sample[[#This Row],[PRICEEACH]])</f>
        <v>345842</v>
      </c>
      <c r="E932" s="9">
        <f>IF(OR(sales_data_sample[[#This Row],[STATUS]]="Shipped",sales_data_sample[[#This Row],[STATUS]]="Resolved"),sales_data_sample[[#This Row],[SALES]],0)</f>
        <v>345842</v>
      </c>
      <c r="F932" s="10">
        <v>5</v>
      </c>
      <c r="G932" s="12" t="s">
        <v>376</v>
      </c>
      <c r="H932" s="1" t="s">
        <v>26</v>
      </c>
      <c r="I932">
        <v>4</v>
      </c>
      <c r="J932">
        <v>12</v>
      </c>
      <c r="K932">
        <v>2004</v>
      </c>
      <c r="L932" s="1" t="s">
        <v>799</v>
      </c>
      <c r="M932">
        <v>62</v>
      </c>
      <c r="N932" s="1" t="s">
        <v>902</v>
      </c>
      <c r="O932" s="1" t="s">
        <v>361</v>
      </c>
      <c r="P932" s="1" t="s">
        <v>362</v>
      </c>
      <c r="Q932" s="1" t="s">
        <v>363</v>
      </c>
      <c r="R932" s="1" t="s">
        <v>32</v>
      </c>
      <c r="S932" s="1" t="s">
        <v>364</v>
      </c>
      <c r="T932" s="1" t="s">
        <v>65</v>
      </c>
      <c r="U932" s="1" t="s">
        <v>145</v>
      </c>
      <c r="V932" s="1" t="s">
        <v>36</v>
      </c>
      <c r="W932" s="1" t="s">
        <v>37</v>
      </c>
      <c r="X932" s="1" t="s">
        <v>365</v>
      </c>
      <c r="Y932" s="1" t="s">
        <v>366</v>
      </c>
      <c r="Z932" s="1" t="str">
        <f>TRIM(_xlfn.CONCAT(sales_data_sample[[#This Row],[CONTACTFIRSTNAME]],", ",sales_data_sample[[#This Row],[CONTACTLASTNAME]]))</f>
        <v>Valarie, Nelson</v>
      </c>
      <c r="AA932" s="1" t="s">
        <v>59</v>
      </c>
    </row>
    <row r="933" spans="1:27" x14ac:dyDescent="0.25">
      <c r="A933" s="10">
        <v>10369</v>
      </c>
      <c r="B933" s="9">
        <v>28</v>
      </c>
      <c r="C933" s="9">
        <v>4421</v>
      </c>
      <c r="D933" s="9">
        <f>PRODUCT(sales_data_sample[[#This Row],[QUANTITYORDERED]],sales_data_sample[[#This Row],[PRICEEACH]])</f>
        <v>123788</v>
      </c>
      <c r="E933" s="9">
        <f>IF(OR(sales_data_sample[[#This Row],[STATUS]]="Shipped",sales_data_sample[[#This Row],[STATUS]]="Resolved"),sales_data_sample[[#This Row],[SALES]],0)</f>
        <v>123788</v>
      </c>
      <c r="F933" s="10">
        <v>6</v>
      </c>
      <c r="G933" s="12" t="s">
        <v>377</v>
      </c>
      <c r="H933" s="1" t="s">
        <v>26</v>
      </c>
      <c r="I933">
        <v>1</v>
      </c>
      <c r="J933">
        <v>1</v>
      </c>
      <c r="K933">
        <v>2005</v>
      </c>
      <c r="L933" s="1" t="s">
        <v>799</v>
      </c>
      <c r="M933">
        <v>62</v>
      </c>
      <c r="N933" s="1" t="s">
        <v>902</v>
      </c>
      <c r="O933" s="1" t="s">
        <v>378</v>
      </c>
      <c r="P933" s="1" t="s">
        <v>157</v>
      </c>
      <c r="Q933" s="1" t="s">
        <v>379</v>
      </c>
      <c r="R933" s="1" t="s">
        <v>32</v>
      </c>
      <c r="S933" s="1" t="s">
        <v>380</v>
      </c>
      <c r="T933" s="1" t="s">
        <v>160</v>
      </c>
      <c r="U933" s="1" t="s">
        <v>381</v>
      </c>
      <c r="V933" s="1" t="s">
        <v>36</v>
      </c>
      <c r="W933" s="1" t="s">
        <v>37</v>
      </c>
      <c r="X933" s="1" t="s">
        <v>365</v>
      </c>
      <c r="Y933" s="1" t="s">
        <v>382</v>
      </c>
      <c r="Z933" s="1" t="str">
        <f>TRIM(_xlfn.CONCAT(sales_data_sample[[#This Row],[CONTACTFIRSTNAME]],", ",sales_data_sample[[#This Row],[CONTACTLASTNAME]]))</f>
        <v>Allen, Nelson</v>
      </c>
      <c r="AA933" s="1" t="s">
        <v>40</v>
      </c>
    </row>
    <row r="934" spans="1:27" x14ac:dyDescent="0.25">
      <c r="A934" s="10">
        <v>10381</v>
      </c>
      <c r="B934" s="9">
        <v>40</v>
      </c>
      <c r="C934" s="9">
        <v>6808</v>
      </c>
      <c r="D934" s="9">
        <f>PRODUCT(sales_data_sample[[#This Row],[QUANTITYORDERED]],sales_data_sample[[#This Row],[PRICEEACH]])</f>
        <v>272320</v>
      </c>
      <c r="E934" s="9">
        <f>IF(OR(sales_data_sample[[#This Row],[STATUS]]="Shipped",sales_data_sample[[#This Row],[STATUS]]="Resolved"),sales_data_sample[[#This Row],[SALES]],0)</f>
        <v>272320</v>
      </c>
      <c r="F934" s="10">
        <v>4</v>
      </c>
      <c r="G934" s="12" t="s">
        <v>383</v>
      </c>
      <c r="H934" s="1" t="s">
        <v>26</v>
      </c>
      <c r="I934">
        <v>1</v>
      </c>
      <c r="J934">
        <v>2</v>
      </c>
      <c r="K934">
        <v>2005</v>
      </c>
      <c r="L934" s="1" t="s">
        <v>799</v>
      </c>
      <c r="M934">
        <v>62</v>
      </c>
      <c r="N934" s="1" t="s">
        <v>902</v>
      </c>
      <c r="O934" s="1" t="s">
        <v>70</v>
      </c>
      <c r="P934" s="1" t="s">
        <v>71</v>
      </c>
      <c r="Q934" s="1" t="s">
        <v>72</v>
      </c>
      <c r="R934" s="1" t="s">
        <v>32</v>
      </c>
      <c r="S934" s="1" t="s">
        <v>73</v>
      </c>
      <c r="T934" s="1" t="s">
        <v>65</v>
      </c>
      <c r="U934" s="1" t="s">
        <v>32</v>
      </c>
      <c r="V934" s="1" t="s">
        <v>36</v>
      </c>
      <c r="W934" s="1" t="s">
        <v>37</v>
      </c>
      <c r="X934" s="1" t="s">
        <v>74</v>
      </c>
      <c r="Y934" s="1" t="s">
        <v>68</v>
      </c>
      <c r="Z934" s="1" t="str">
        <f>TRIM(_xlfn.CONCAT(sales_data_sample[[#This Row],[CONTACTFIRSTNAME]],", ",sales_data_sample[[#This Row],[CONTACTLASTNAME]]))</f>
        <v>Julie, Brown</v>
      </c>
      <c r="AA934" s="1" t="s">
        <v>40</v>
      </c>
    </row>
    <row r="935" spans="1:27" x14ac:dyDescent="0.25">
      <c r="A935" s="10">
        <v>10392</v>
      </c>
      <c r="B935" s="9">
        <v>37</v>
      </c>
      <c r="C935" s="9">
        <v>5996</v>
      </c>
      <c r="D935" s="9">
        <f>PRODUCT(sales_data_sample[[#This Row],[QUANTITYORDERED]],sales_data_sample[[#This Row],[PRICEEACH]])</f>
        <v>221852</v>
      </c>
      <c r="E935" s="9">
        <f>IF(OR(sales_data_sample[[#This Row],[STATUS]]="Shipped",sales_data_sample[[#This Row],[STATUS]]="Resolved"),sales_data_sample[[#This Row],[SALES]],0)</f>
        <v>221852</v>
      </c>
      <c r="F935" s="10">
        <v>3</v>
      </c>
      <c r="G935" s="12" t="s">
        <v>904</v>
      </c>
      <c r="H935" s="1" t="s">
        <v>26</v>
      </c>
      <c r="I935">
        <v>1</v>
      </c>
      <c r="J935">
        <v>3</v>
      </c>
      <c r="K935">
        <v>2005</v>
      </c>
      <c r="L935" s="1" t="s">
        <v>799</v>
      </c>
      <c r="M935">
        <v>62</v>
      </c>
      <c r="N935" s="1" t="s">
        <v>902</v>
      </c>
      <c r="O935" s="1" t="s">
        <v>564</v>
      </c>
      <c r="P935" s="1" t="s">
        <v>565</v>
      </c>
      <c r="Q935" s="1" t="s">
        <v>566</v>
      </c>
      <c r="R935" s="1" t="s">
        <v>32</v>
      </c>
      <c r="S935" s="1" t="s">
        <v>567</v>
      </c>
      <c r="T935" s="1" t="s">
        <v>32</v>
      </c>
      <c r="U935" s="1" t="s">
        <v>568</v>
      </c>
      <c r="V935" s="1" t="s">
        <v>196</v>
      </c>
      <c r="W935" s="1" t="s">
        <v>48</v>
      </c>
      <c r="X935" s="1" t="s">
        <v>569</v>
      </c>
      <c r="Y935" s="1" t="s">
        <v>570</v>
      </c>
      <c r="Z935" s="1" t="str">
        <f>TRIM(_xlfn.CONCAT(sales_data_sample[[#This Row],[CONTACTFIRSTNAME]],", ",sales_data_sample[[#This Row],[CONTACTLASTNAME]]))</f>
        <v>Roland, Mendel</v>
      </c>
      <c r="AA935" s="1" t="s">
        <v>40</v>
      </c>
    </row>
    <row r="936" spans="1:27" x14ac:dyDescent="0.25">
      <c r="A936" s="10">
        <v>10423</v>
      </c>
      <c r="B936" s="9">
        <v>31</v>
      </c>
      <c r="C936" s="9">
        <v>5372</v>
      </c>
      <c r="D936" s="9">
        <f>PRODUCT(sales_data_sample[[#This Row],[QUANTITYORDERED]],sales_data_sample[[#This Row],[PRICEEACH]])</f>
        <v>166532</v>
      </c>
      <c r="E936" s="9">
        <f>IF(OR(sales_data_sample[[#This Row],[STATUS]]="Shipped",sales_data_sample[[#This Row],[STATUS]]="Resolved"),sales_data_sample[[#This Row],[SALES]],0)</f>
        <v>0</v>
      </c>
      <c r="F936" s="10">
        <v>3</v>
      </c>
      <c r="G936" s="12" t="s">
        <v>827</v>
      </c>
      <c r="H936" s="1" t="s">
        <v>403</v>
      </c>
      <c r="I936">
        <v>2</v>
      </c>
      <c r="J936">
        <v>5</v>
      </c>
      <c r="K936">
        <v>2005</v>
      </c>
      <c r="L936" s="1" t="s">
        <v>799</v>
      </c>
      <c r="M936">
        <v>62</v>
      </c>
      <c r="N936" s="1" t="s">
        <v>902</v>
      </c>
      <c r="O936" s="1" t="s">
        <v>500</v>
      </c>
      <c r="P936" s="1" t="s">
        <v>501</v>
      </c>
      <c r="Q936" s="1" t="s">
        <v>502</v>
      </c>
      <c r="R936" s="1" t="s">
        <v>32</v>
      </c>
      <c r="S936" s="1" t="s">
        <v>503</v>
      </c>
      <c r="T936" s="1" t="s">
        <v>32</v>
      </c>
      <c r="U936" s="1" t="s">
        <v>504</v>
      </c>
      <c r="V936" s="1" t="s">
        <v>505</v>
      </c>
      <c r="W936" s="1" t="s">
        <v>48</v>
      </c>
      <c r="X936" s="1" t="s">
        <v>506</v>
      </c>
      <c r="Y936" s="1" t="s">
        <v>507</v>
      </c>
      <c r="Z936" s="1" t="str">
        <f>TRIM(_xlfn.CONCAT(sales_data_sample[[#This Row],[CONTACTFIRSTNAME]],", ",sales_data_sample[[#This Row],[CONTACTLASTNAME]]))</f>
        <v>Catherine, Dewey</v>
      </c>
      <c r="AA936" s="1" t="s">
        <v>40</v>
      </c>
    </row>
    <row r="937" spans="1:27" x14ac:dyDescent="0.25">
      <c r="A937" s="10">
        <v>10106</v>
      </c>
      <c r="B937" s="9">
        <v>41</v>
      </c>
      <c r="C937" s="9">
        <v>8344</v>
      </c>
      <c r="D937" s="9">
        <f>PRODUCT(sales_data_sample[[#This Row],[QUANTITYORDERED]],sales_data_sample[[#This Row],[PRICEEACH]])</f>
        <v>342104</v>
      </c>
      <c r="E937" s="9">
        <f>IF(OR(sales_data_sample[[#This Row],[STATUS]]="Shipped",sales_data_sample[[#This Row],[STATUS]]="Resolved"),sales_data_sample[[#This Row],[SALES]],0)</f>
        <v>342104</v>
      </c>
      <c r="F937" s="10">
        <v>18</v>
      </c>
      <c r="G937" s="12" t="s">
        <v>838</v>
      </c>
      <c r="H937" s="1" t="s">
        <v>26</v>
      </c>
      <c r="I937">
        <v>1</v>
      </c>
      <c r="J937">
        <v>2</v>
      </c>
      <c r="K937">
        <v>2003</v>
      </c>
      <c r="L937" s="1" t="s">
        <v>905</v>
      </c>
      <c r="M937">
        <v>86</v>
      </c>
      <c r="N937" s="1" t="s">
        <v>906</v>
      </c>
      <c r="O937" s="1" t="s">
        <v>806</v>
      </c>
      <c r="P937" s="1" t="s">
        <v>807</v>
      </c>
      <c r="Q937" s="1" t="s">
        <v>808</v>
      </c>
      <c r="R937" s="1" t="s">
        <v>32</v>
      </c>
      <c r="S937" s="1" t="s">
        <v>809</v>
      </c>
      <c r="T937" s="1" t="s">
        <v>32</v>
      </c>
      <c r="U937" s="1" t="s">
        <v>810</v>
      </c>
      <c r="V937" s="1" t="s">
        <v>343</v>
      </c>
      <c r="W937" s="1" t="s">
        <v>48</v>
      </c>
      <c r="X937" s="1" t="s">
        <v>811</v>
      </c>
      <c r="Y937" s="1" t="s">
        <v>812</v>
      </c>
      <c r="Z937" s="1" t="str">
        <f>TRIM(_xlfn.CONCAT(sales_data_sample[[#This Row],[CONTACTFIRSTNAME]],", ",sales_data_sample[[#This Row],[CONTACTLASTNAME]]))</f>
        <v>Giovanni, Rovelli</v>
      </c>
      <c r="AA937" s="1" t="s">
        <v>59</v>
      </c>
    </row>
    <row r="938" spans="1:27" x14ac:dyDescent="0.25">
      <c r="A938" s="10">
        <v>10119</v>
      </c>
      <c r="B938" s="9">
        <v>21</v>
      </c>
      <c r="C938" s="9">
        <v>8946</v>
      </c>
      <c r="D938" s="9">
        <f>PRODUCT(sales_data_sample[[#This Row],[QUANTITYORDERED]],sales_data_sample[[#This Row],[PRICEEACH]])</f>
        <v>187866</v>
      </c>
      <c r="E938" s="9">
        <f>IF(OR(sales_data_sample[[#This Row],[STATUS]]="Shipped",sales_data_sample[[#This Row],[STATUS]]="Resolved"),sales_data_sample[[#This Row],[SALES]],0)</f>
        <v>187866</v>
      </c>
      <c r="F938" s="10">
        <v>9</v>
      </c>
      <c r="G938" s="12" t="s">
        <v>445</v>
      </c>
      <c r="H938" s="1" t="s">
        <v>26</v>
      </c>
      <c r="I938">
        <v>2</v>
      </c>
      <c r="J938">
        <v>4</v>
      </c>
      <c r="K938">
        <v>2003</v>
      </c>
      <c r="L938" s="1" t="s">
        <v>905</v>
      </c>
      <c r="M938">
        <v>86</v>
      </c>
      <c r="N938" s="1" t="s">
        <v>906</v>
      </c>
      <c r="O938" s="1" t="s">
        <v>191</v>
      </c>
      <c r="P938" s="1" t="s">
        <v>192</v>
      </c>
      <c r="Q938" s="1" t="s">
        <v>193</v>
      </c>
      <c r="R938" s="1" t="s">
        <v>32</v>
      </c>
      <c r="S938" s="1" t="s">
        <v>194</v>
      </c>
      <c r="T938" s="1" t="s">
        <v>32</v>
      </c>
      <c r="U938" s="1" t="s">
        <v>195</v>
      </c>
      <c r="V938" s="1" t="s">
        <v>196</v>
      </c>
      <c r="W938" s="1" t="s">
        <v>48</v>
      </c>
      <c r="X938" s="1" t="s">
        <v>197</v>
      </c>
      <c r="Y938" s="1" t="s">
        <v>198</v>
      </c>
      <c r="Z938" s="1" t="str">
        <f>TRIM(_xlfn.CONCAT(sales_data_sample[[#This Row],[CONTACTFIRSTNAME]],", ",sales_data_sample[[#This Row],[CONTACTLASTNAME]]))</f>
        <v>Georg, Pipps</v>
      </c>
      <c r="AA938" s="1" t="s">
        <v>40</v>
      </c>
    </row>
    <row r="939" spans="1:27" x14ac:dyDescent="0.25">
      <c r="A939" s="10">
        <v>10130</v>
      </c>
      <c r="B939" s="9">
        <v>40</v>
      </c>
      <c r="C939" s="9">
        <v>9634</v>
      </c>
      <c r="D939" s="9">
        <f>PRODUCT(sales_data_sample[[#This Row],[QUANTITYORDERED]],sales_data_sample[[#This Row],[PRICEEACH]])</f>
        <v>385360</v>
      </c>
      <c r="E939" s="9">
        <f>IF(OR(sales_data_sample[[#This Row],[STATUS]]="Shipped",sales_data_sample[[#This Row],[STATUS]]="Resolved"),sales_data_sample[[#This Row],[SALES]],0)</f>
        <v>385360</v>
      </c>
      <c r="F939" s="10">
        <v>2</v>
      </c>
      <c r="G939" s="12" t="s">
        <v>841</v>
      </c>
      <c r="H939" s="1" t="s">
        <v>26</v>
      </c>
      <c r="I939">
        <v>2</v>
      </c>
      <c r="J939">
        <v>6</v>
      </c>
      <c r="K939">
        <v>2003</v>
      </c>
      <c r="L939" s="1" t="s">
        <v>905</v>
      </c>
      <c r="M939">
        <v>86</v>
      </c>
      <c r="N939" s="1" t="s">
        <v>906</v>
      </c>
      <c r="O939" s="1" t="s">
        <v>907</v>
      </c>
      <c r="P939" s="1" t="s">
        <v>908</v>
      </c>
      <c r="Q939" s="1" t="s">
        <v>909</v>
      </c>
      <c r="R939" s="1" t="s">
        <v>32</v>
      </c>
      <c r="S939" s="1" t="s">
        <v>380</v>
      </c>
      <c r="T939" s="1" t="s">
        <v>160</v>
      </c>
      <c r="U939" s="1" t="s">
        <v>381</v>
      </c>
      <c r="V939" s="1" t="s">
        <v>36</v>
      </c>
      <c r="W939" s="1" t="s">
        <v>37</v>
      </c>
      <c r="X939" s="1" t="s">
        <v>757</v>
      </c>
      <c r="Y939" s="1" t="s">
        <v>326</v>
      </c>
      <c r="Z939" s="1" t="str">
        <f>TRIM(_xlfn.CONCAT(sales_data_sample[[#This Row],[CONTACTFIRSTNAME]],", ",sales_data_sample[[#This Row],[CONTACTLASTNAME]]))</f>
        <v>Leslie, Taylor</v>
      </c>
      <c r="AA939" s="1" t="s">
        <v>59</v>
      </c>
    </row>
    <row r="940" spans="1:27" x14ac:dyDescent="0.25">
      <c r="A940" s="10">
        <v>10143</v>
      </c>
      <c r="B940" s="9">
        <v>46</v>
      </c>
      <c r="C940" s="9">
        <v>7484</v>
      </c>
      <c r="D940" s="9">
        <f>PRODUCT(sales_data_sample[[#This Row],[QUANTITYORDERED]],sales_data_sample[[#This Row],[PRICEEACH]])</f>
        <v>344264</v>
      </c>
      <c r="E940" s="9">
        <f>IF(OR(sales_data_sample[[#This Row],[STATUS]]="Shipped",sales_data_sample[[#This Row],[STATUS]]="Resolved"),sales_data_sample[[#This Row],[SALES]],0)</f>
        <v>344264</v>
      </c>
      <c r="F940" s="10">
        <v>13</v>
      </c>
      <c r="G940" s="12" t="s">
        <v>453</v>
      </c>
      <c r="H940" s="1" t="s">
        <v>26</v>
      </c>
      <c r="I940">
        <v>3</v>
      </c>
      <c r="J940">
        <v>8</v>
      </c>
      <c r="K940">
        <v>2003</v>
      </c>
      <c r="L940" s="1" t="s">
        <v>905</v>
      </c>
      <c r="M940">
        <v>86</v>
      </c>
      <c r="N940" s="1" t="s">
        <v>906</v>
      </c>
      <c r="O940" s="1" t="s">
        <v>454</v>
      </c>
      <c r="P940" s="1" t="s">
        <v>455</v>
      </c>
      <c r="Q940" s="1" t="s">
        <v>456</v>
      </c>
      <c r="R940" s="1" t="s">
        <v>32</v>
      </c>
      <c r="S940" s="1" t="s">
        <v>215</v>
      </c>
      <c r="T940" s="1" t="s">
        <v>160</v>
      </c>
      <c r="U940" s="1" t="s">
        <v>216</v>
      </c>
      <c r="V940" s="1" t="s">
        <v>36</v>
      </c>
      <c r="W940" s="1" t="s">
        <v>37</v>
      </c>
      <c r="X940" s="1" t="s">
        <v>457</v>
      </c>
      <c r="Y940" s="1" t="s">
        <v>458</v>
      </c>
      <c r="Z940" s="1" t="str">
        <f>TRIM(_xlfn.CONCAT(sales_data_sample[[#This Row],[CONTACTFIRSTNAME]],", ",sales_data_sample[[#This Row],[CONTACTLASTNAME]]))</f>
        <v>Wing C, Tam</v>
      </c>
      <c r="AA940" s="1" t="s">
        <v>59</v>
      </c>
    </row>
    <row r="941" spans="1:27" x14ac:dyDescent="0.25">
      <c r="A941" s="10">
        <v>10155</v>
      </c>
      <c r="B941" s="9">
        <v>44</v>
      </c>
      <c r="C941" s="9">
        <v>7914</v>
      </c>
      <c r="D941" s="9">
        <f>PRODUCT(sales_data_sample[[#This Row],[QUANTITYORDERED]],sales_data_sample[[#This Row],[PRICEEACH]])</f>
        <v>348216</v>
      </c>
      <c r="E941" s="9">
        <f>IF(OR(sales_data_sample[[#This Row],[STATUS]]="Shipped",sales_data_sample[[#This Row],[STATUS]]="Resolved"),sales_data_sample[[#This Row],[SALES]],0)</f>
        <v>348216</v>
      </c>
      <c r="F941" s="10">
        <v>11</v>
      </c>
      <c r="G941" s="12" t="s">
        <v>459</v>
      </c>
      <c r="H941" s="1" t="s">
        <v>26</v>
      </c>
      <c r="I941">
        <v>4</v>
      </c>
      <c r="J941">
        <v>10</v>
      </c>
      <c r="K941">
        <v>2003</v>
      </c>
      <c r="L941" s="1" t="s">
        <v>905</v>
      </c>
      <c r="M941">
        <v>86</v>
      </c>
      <c r="N941" s="1" t="s">
        <v>906</v>
      </c>
      <c r="O941" s="1" t="s">
        <v>165</v>
      </c>
      <c r="P941" s="1" t="s">
        <v>166</v>
      </c>
      <c r="Q941" s="1" t="s">
        <v>167</v>
      </c>
      <c r="R941" s="1" t="s">
        <v>32</v>
      </c>
      <c r="S941" s="1" t="s">
        <v>168</v>
      </c>
      <c r="T941" s="1" t="s">
        <v>32</v>
      </c>
      <c r="U941" s="1" t="s">
        <v>169</v>
      </c>
      <c r="V941" s="1" t="s">
        <v>170</v>
      </c>
      <c r="W941" s="1" t="s">
        <v>48</v>
      </c>
      <c r="X941" s="1" t="s">
        <v>171</v>
      </c>
      <c r="Y941" s="1" t="s">
        <v>172</v>
      </c>
      <c r="Z941" s="1" t="str">
        <f>TRIM(_xlfn.CONCAT(sales_data_sample[[#This Row],[CONTACTFIRSTNAME]],", ",sales_data_sample[[#This Row],[CONTACTLASTNAME]]))</f>
        <v>Matti, Karttunen</v>
      </c>
      <c r="AA941" s="1" t="s">
        <v>59</v>
      </c>
    </row>
    <row r="942" spans="1:27" x14ac:dyDescent="0.25">
      <c r="A942" s="10">
        <v>10167</v>
      </c>
      <c r="B942" s="9">
        <v>46</v>
      </c>
      <c r="C942" s="9">
        <v>7312</v>
      </c>
      <c r="D942" s="9">
        <f>PRODUCT(sales_data_sample[[#This Row],[QUANTITYORDERED]],sales_data_sample[[#This Row],[PRICEEACH]])</f>
        <v>336352</v>
      </c>
      <c r="E942" s="9">
        <f>IF(OR(sales_data_sample[[#This Row],[STATUS]]="Shipped",sales_data_sample[[#This Row],[STATUS]]="Resolved"),sales_data_sample[[#This Row],[SALES]],0)</f>
        <v>0</v>
      </c>
      <c r="F942" s="10">
        <v>7</v>
      </c>
      <c r="G942" s="12" t="s">
        <v>460</v>
      </c>
      <c r="H942" s="1" t="s">
        <v>461</v>
      </c>
      <c r="I942">
        <v>4</v>
      </c>
      <c r="J942">
        <v>10</v>
      </c>
      <c r="K942">
        <v>2003</v>
      </c>
      <c r="L942" s="1" t="s">
        <v>905</v>
      </c>
      <c r="M942">
        <v>86</v>
      </c>
      <c r="N942" s="1" t="s">
        <v>906</v>
      </c>
      <c r="O942" s="1" t="s">
        <v>347</v>
      </c>
      <c r="P942" s="1" t="s">
        <v>348</v>
      </c>
      <c r="Q942" s="1" t="s">
        <v>349</v>
      </c>
      <c r="R942" s="1" t="s">
        <v>32</v>
      </c>
      <c r="S942" s="1" t="s">
        <v>350</v>
      </c>
      <c r="T942" s="1" t="s">
        <v>32</v>
      </c>
      <c r="U942" s="1" t="s">
        <v>351</v>
      </c>
      <c r="V942" s="1" t="s">
        <v>247</v>
      </c>
      <c r="W942" s="1" t="s">
        <v>48</v>
      </c>
      <c r="X942" s="1" t="s">
        <v>352</v>
      </c>
      <c r="Y942" s="1" t="s">
        <v>272</v>
      </c>
      <c r="Z942" s="1" t="str">
        <f>TRIM(_xlfn.CONCAT(sales_data_sample[[#This Row],[CONTACTFIRSTNAME]],", ",sales_data_sample[[#This Row],[CONTACTLASTNAME]]))</f>
        <v>Maria, Larsson</v>
      </c>
      <c r="AA942" s="1" t="s">
        <v>59</v>
      </c>
    </row>
    <row r="943" spans="1:27" x14ac:dyDescent="0.25">
      <c r="A943" s="10">
        <v>10178</v>
      </c>
      <c r="B943" s="9">
        <v>41</v>
      </c>
      <c r="C943" s="9">
        <v>8172</v>
      </c>
      <c r="D943" s="9">
        <f>PRODUCT(sales_data_sample[[#This Row],[QUANTITYORDERED]],sales_data_sample[[#This Row],[PRICEEACH]])</f>
        <v>335052</v>
      </c>
      <c r="E943" s="9">
        <f>IF(OR(sales_data_sample[[#This Row],[STATUS]]="Shipped",sales_data_sample[[#This Row],[STATUS]]="Resolved"),sales_data_sample[[#This Row],[SALES]],0)</f>
        <v>335052</v>
      </c>
      <c r="F943" s="10">
        <v>10</v>
      </c>
      <c r="G943" s="12" t="s">
        <v>462</v>
      </c>
      <c r="H943" s="1" t="s">
        <v>26</v>
      </c>
      <c r="I943">
        <v>4</v>
      </c>
      <c r="J943">
        <v>11</v>
      </c>
      <c r="K943">
        <v>2003</v>
      </c>
      <c r="L943" s="1" t="s">
        <v>905</v>
      </c>
      <c r="M943">
        <v>86</v>
      </c>
      <c r="N943" s="1" t="s">
        <v>906</v>
      </c>
      <c r="O943" s="1" t="s">
        <v>463</v>
      </c>
      <c r="P943" s="1" t="s">
        <v>464</v>
      </c>
      <c r="Q943" s="1" t="s">
        <v>465</v>
      </c>
      <c r="R943" s="1" t="s">
        <v>32</v>
      </c>
      <c r="S943" s="1" t="s">
        <v>466</v>
      </c>
      <c r="T943" s="1" t="s">
        <v>32</v>
      </c>
      <c r="U943" s="1" t="s">
        <v>467</v>
      </c>
      <c r="V943" s="1" t="s">
        <v>47</v>
      </c>
      <c r="W943" s="1" t="s">
        <v>48</v>
      </c>
      <c r="X943" s="1" t="s">
        <v>468</v>
      </c>
      <c r="Y943" s="1" t="s">
        <v>469</v>
      </c>
      <c r="Z943" s="1" t="str">
        <f>TRIM(_xlfn.CONCAT(sales_data_sample[[#This Row],[CONTACTFIRSTNAME]],", ",sales_data_sample[[#This Row],[CONTACTLASTNAME]]))</f>
        <v>Annette, Roulet</v>
      </c>
      <c r="AA943" s="1" t="s">
        <v>59</v>
      </c>
    </row>
    <row r="944" spans="1:27" x14ac:dyDescent="0.25">
      <c r="A944" s="10">
        <v>10186</v>
      </c>
      <c r="B944" s="9">
        <v>32</v>
      </c>
      <c r="C944" s="9">
        <v>8946</v>
      </c>
      <c r="D944" s="9">
        <f>PRODUCT(sales_data_sample[[#This Row],[QUANTITYORDERED]],sales_data_sample[[#This Row],[PRICEEACH]])</f>
        <v>286272</v>
      </c>
      <c r="E944" s="9">
        <f>IF(OR(sales_data_sample[[#This Row],[STATUS]]="Shipped",sales_data_sample[[#This Row],[STATUS]]="Resolved"),sales_data_sample[[#This Row],[SALES]],0)</f>
        <v>286272</v>
      </c>
      <c r="F944" s="10">
        <v>7</v>
      </c>
      <c r="G944" s="12" t="s">
        <v>470</v>
      </c>
      <c r="H944" s="1" t="s">
        <v>26</v>
      </c>
      <c r="I944">
        <v>4</v>
      </c>
      <c r="J944">
        <v>11</v>
      </c>
      <c r="K944">
        <v>2003</v>
      </c>
      <c r="L944" s="1" t="s">
        <v>905</v>
      </c>
      <c r="M944">
        <v>86</v>
      </c>
      <c r="N944" s="1" t="s">
        <v>906</v>
      </c>
      <c r="O944" s="1" t="s">
        <v>471</v>
      </c>
      <c r="P944" s="1" t="s">
        <v>472</v>
      </c>
      <c r="Q944" s="1" t="s">
        <v>473</v>
      </c>
      <c r="R944" s="1" t="s">
        <v>32</v>
      </c>
      <c r="S944" s="1" t="s">
        <v>450</v>
      </c>
      <c r="T944" s="1" t="s">
        <v>32</v>
      </c>
      <c r="U944" s="1" t="s">
        <v>474</v>
      </c>
      <c r="V944" s="1" t="s">
        <v>225</v>
      </c>
      <c r="W944" s="1" t="s">
        <v>48</v>
      </c>
      <c r="X944" s="1" t="s">
        <v>475</v>
      </c>
      <c r="Y944" s="1" t="s">
        <v>476</v>
      </c>
      <c r="Z944" s="1" t="str">
        <f>TRIM(_xlfn.CONCAT(sales_data_sample[[#This Row],[CONTACTFIRSTNAME]],", ",sales_data_sample[[#This Row],[CONTACTLASTNAME]]))</f>
        <v>Thomas, Hardy</v>
      </c>
      <c r="AA944" s="1" t="s">
        <v>40</v>
      </c>
    </row>
    <row r="945" spans="1:27" x14ac:dyDescent="0.25">
      <c r="A945" s="10">
        <v>10197</v>
      </c>
      <c r="B945" s="9">
        <v>46</v>
      </c>
      <c r="C945" s="9">
        <v>8774</v>
      </c>
      <c r="D945" s="9">
        <f>PRODUCT(sales_data_sample[[#This Row],[QUANTITYORDERED]],sales_data_sample[[#This Row],[PRICEEACH]])</f>
        <v>403604</v>
      </c>
      <c r="E945" s="9">
        <f>IF(OR(sales_data_sample[[#This Row],[STATUS]]="Shipped",sales_data_sample[[#This Row],[STATUS]]="Resolved"),sales_data_sample[[#This Row],[SALES]],0)</f>
        <v>403604</v>
      </c>
      <c r="F945" s="10">
        <v>4</v>
      </c>
      <c r="G945" s="12" t="s">
        <v>477</v>
      </c>
      <c r="H945" s="1" t="s">
        <v>26</v>
      </c>
      <c r="I945">
        <v>4</v>
      </c>
      <c r="J945">
        <v>11</v>
      </c>
      <c r="K945">
        <v>2003</v>
      </c>
      <c r="L945" s="1" t="s">
        <v>905</v>
      </c>
      <c r="M945">
        <v>86</v>
      </c>
      <c r="N945" s="1" t="s">
        <v>906</v>
      </c>
      <c r="O945" s="1" t="s">
        <v>478</v>
      </c>
      <c r="P945" s="1" t="s">
        <v>479</v>
      </c>
      <c r="Q945" s="1" t="s">
        <v>480</v>
      </c>
      <c r="R945" s="1" t="s">
        <v>32</v>
      </c>
      <c r="S945" s="1" t="s">
        <v>481</v>
      </c>
      <c r="T945" s="1" t="s">
        <v>32</v>
      </c>
      <c r="U945" s="1" t="s">
        <v>482</v>
      </c>
      <c r="V945" s="1" t="s">
        <v>235</v>
      </c>
      <c r="W945" s="1" t="s">
        <v>48</v>
      </c>
      <c r="X945" s="1" t="s">
        <v>483</v>
      </c>
      <c r="Y945" s="1" t="s">
        <v>484</v>
      </c>
      <c r="Z945" s="1" t="str">
        <f>TRIM(_xlfn.CONCAT(sales_data_sample[[#This Row],[CONTACTFIRSTNAME]],", ",sales_data_sample[[#This Row],[CONTACTLASTNAME]]))</f>
        <v>Eduardo, Saavedra</v>
      </c>
      <c r="AA945" s="1" t="s">
        <v>59</v>
      </c>
    </row>
    <row r="946" spans="1:27" x14ac:dyDescent="0.25">
      <c r="A946" s="10">
        <v>10209</v>
      </c>
      <c r="B946" s="9">
        <v>28</v>
      </c>
      <c r="C946" s="9">
        <v>100</v>
      </c>
      <c r="D946" s="9">
        <f>PRODUCT(sales_data_sample[[#This Row],[QUANTITYORDERED]],sales_data_sample[[#This Row],[PRICEEACH]])</f>
        <v>2800</v>
      </c>
      <c r="E946" s="9">
        <f>IF(OR(sales_data_sample[[#This Row],[STATUS]]="Shipped",sales_data_sample[[#This Row],[STATUS]]="Resolved"),sales_data_sample[[#This Row],[SALES]],0)</f>
        <v>2800</v>
      </c>
      <c r="F946" s="10">
        <v>6</v>
      </c>
      <c r="G946" s="12" t="s">
        <v>485</v>
      </c>
      <c r="H946" s="1" t="s">
        <v>26</v>
      </c>
      <c r="I946">
        <v>1</v>
      </c>
      <c r="J946">
        <v>1</v>
      </c>
      <c r="K946">
        <v>2004</v>
      </c>
      <c r="L946" s="1" t="s">
        <v>905</v>
      </c>
      <c r="M946">
        <v>86</v>
      </c>
      <c r="N946" s="1" t="s">
        <v>906</v>
      </c>
      <c r="O946" s="1" t="s">
        <v>486</v>
      </c>
      <c r="P946" s="1" t="s">
        <v>487</v>
      </c>
      <c r="Q946" s="1" t="s">
        <v>488</v>
      </c>
      <c r="R946" s="1" t="s">
        <v>32</v>
      </c>
      <c r="S946" s="1" t="s">
        <v>489</v>
      </c>
      <c r="T946" s="1" t="s">
        <v>65</v>
      </c>
      <c r="U946" s="1" t="s">
        <v>32</v>
      </c>
      <c r="V946" s="1" t="s">
        <v>36</v>
      </c>
      <c r="W946" s="1" t="s">
        <v>37</v>
      </c>
      <c r="X946" s="1" t="s">
        <v>490</v>
      </c>
      <c r="Y946" s="1" t="s">
        <v>130</v>
      </c>
      <c r="Z946" s="1" t="str">
        <f>TRIM(_xlfn.CONCAT(sales_data_sample[[#This Row],[CONTACTFIRSTNAME]],", ",sales_data_sample[[#This Row],[CONTACTLASTNAME]]))</f>
        <v>Michael, Chandler</v>
      </c>
      <c r="AA946" s="1" t="s">
        <v>40</v>
      </c>
    </row>
    <row r="947" spans="1:27" x14ac:dyDescent="0.25">
      <c r="A947" s="10">
        <v>10222</v>
      </c>
      <c r="B947" s="9">
        <v>49</v>
      </c>
      <c r="C947" s="9">
        <v>9462</v>
      </c>
      <c r="D947" s="9">
        <f>PRODUCT(sales_data_sample[[#This Row],[QUANTITYORDERED]],sales_data_sample[[#This Row],[PRICEEACH]])</f>
        <v>463638</v>
      </c>
      <c r="E947" s="9">
        <f>IF(OR(sales_data_sample[[#This Row],[STATUS]]="Shipped",sales_data_sample[[#This Row],[STATUS]]="Resolved"),sales_data_sample[[#This Row],[SALES]],0)</f>
        <v>463638</v>
      </c>
      <c r="F947" s="10">
        <v>10</v>
      </c>
      <c r="G947" s="12" t="s">
        <v>491</v>
      </c>
      <c r="H947" s="1" t="s">
        <v>26</v>
      </c>
      <c r="I947">
        <v>1</v>
      </c>
      <c r="J947">
        <v>2</v>
      </c>
      <c r="K947">
        <v>2004</v>
      </c>
      <c r="L947" s="1" t="s">
        <v>905</v>
      </c>
      <c r="M947">
        <v>86</v>
      </c>
      <c r="N947" s="1" t="s">
        <v>906</v>
      </c>
      <c r="O947" s="1" t="s">
        <v>492</v>
      </c>
      <c r="P947" s="1" t="s">
        <v>493</v>
      </c>
      <c r="Q947" s="1" t="s">
        <v>494</v>
      </c>
      <c r="R947" s="1" t="s">
        <v>32</v>
      </c>
      <c r="S947" s="1" t="s">
        <v>495</v>
      </c>
      <c r="T947" s="1" t="s">
        <v>65</v>
      </c>
      <c r="U947" s="1" t="s">
        <v>496</v>
      </c>
      <c r="V947" s="1" t="s">
        <v>36</v>
      </c>
      <c r="W947" s="1" t="s">
        <v>37</v>
      </c>
      <c r="X947" s="1" t="s">
        <v>313</v>
      </c>
      <c r="Y947" s="1" t="s">
        <v>366</v>
      </c>
      <c r="Z947" s="1" t="str">
        <f>TRIM(_xlfn.CONCAT(sales_data_sample[[#This Row],[CONTACTFIRSTNAME]],", ",sales_data_sample[[#This Row],[CONTACTLASTNAME]]))</f>
        <v>Valarie, Thompson</v>
      </c>
      <c r="AA947" s="1" t="s">
        <v>59</v>
      </c>
    </row>
    <row r="948" spans="1:27" x14ac:dyDescent="0.25">
      <c r="A948" s="10">
        <v>10248</v>
      </c>
      <c r="B948" s="9">
        <v>21</v>
      </c>
      <c r="C948" s="9">
        <v>7398</v>
      </c>
      <c r="D948" s="9">
        <f>PRODUCT(sales_data_sample[[#This Row],[QUANTITYORDERED]],sales_data_sample[[#This Row],[PRICEEACH]])</f>
        <v>155358</v>
      </c>
      <c r="E948" s="9">
        <f>IF(OR(sales_data_sample[[#This Row],[STATUS]]="Shipped",sales_data_sample[[#This Row],[STATUS]]="Resolved"),sales_data_sample[[#This Row],[SALES]],0)</f>
        <v>0</v>
      </c>
      <c r="F948" s="10">
        <v>1</v>
      </c>
      <c r="G948" s="12" t="s">
        <v>497</v>
      </c>
      <c r="H948" s="1" t="s">
        <v>461</v>
      </c>
      <c r="I948">
        <v>2</v>
      </c>
      <c r="J948">
        <v>5</v>
      </c>
      <c r="K948">
        <v>2004</v>
      </c>
      <c r="L948" s="1" t="s">
        <v>905</v>
      </c>
      <c r="M948">
        <v>86</v>
      </c>
      <c r="N948" s="1" t="s">
        <v>906</v>
      </c>
      <c r="O948" s="1" t="s">
        <v>29</v>
      </c>
      <c r="P948" s="1" t="s">
        <v>30</v>
      </c>
      <c r="Q948" s="1" t="s">
        <v>31</v>
      </c>
      <c r="R948" s="1" t="s">
        <v>32</v>
      </c>
      <c r="S948" s="1" t="s">
        <v>33</v>
      </c>
      <c r="T948" s="1" t="s">
        <v>34</v>
      </c>
      <c r="U948" s="1" t="s">
        <v>35</v>
      </c>
      <c r="V948" s="1" t="s">
        <v>36</v>
      </c>
      <c r="W948" s="1" t="s">
        <v>37</v>
      </c>
      <c r="X948" s="1" t="s">
        <v>38</v>
      </c>
      <c r="Y948" s="1" t="s">
        <v>39</v>
      </c>
      <c r="Z948" s="1" t="str">
        <f>TRIM(_xlfn.CONCAT(sales_data_sample[[#This Row],[CONTACTFIRSTNAME]],", ",sales_data_sample[[#This Row],[CONTACTLASTNAME]]))</f>
        <v>Kwai, Yu</v>
      </c>
      <c r="AA948" s="1" t="s">
        <v>40</v>
      </c>
    </row>
    <row r="949" spans="1:27" x14ac:dyDescent="0.25">
      <c r="A949" s="10">
        <v>10262</v>
      </c>
      <c r="B949" s="9">
        <v>32</v>
      </c>
      <c r="C949" s="9">
        <v>843</v>
      </c>
      <c r="D949" s="9">
        <f>PRODUCT(sales_data_sample[[#This Row],[QUANTITYORDERED]],sales_data_sample[[#This Row],[PRICEEACH]])</f>
        <v>26976</v>
      </c>
      <c r="E949" s="9">
        <f>IF(OR(sales_data_sample[[#This Row],[STATUS]]="Shipped",sales_data_sample[[#This Row],[STATUS]]="Resolved"),sales_data_sample[[#This Row],[SALES]],0)</f>
        <v>0</v>
      </c>
      <c r="F949" s="10">
        <v>15</v>
      </c>
      <c r="G949" s="12" t="s">
        <v>850</v>
      </c>
      <c r="H949" s="1" t="s">
        <v>461</v>
      </c>
      <c r="I949">
        <v>2</v>
      </c>
      <c r="J949">
        <v>6</v>
      </c>
      <c r="K949">
        <v>2004</v>
      </c>
      <c r="L949" s="1" t="s">
        <v>905</v>
      </c>
      <c r="M949">
        <v>86</v>
      </c>
      <c r="N949" s="1" t="s">
        <v>906</v>
      </c>
      <c r="O949" s="1" t="s">
        <v>230</v>
      </c>
      <c r="P949" s="1" t="s">
        <v>231</v>
      </c>
      <c r="Q949" s="1" t="s">
        <v>232</v>
      </c>
      <c r="R949" s="1" t="s">
        <v>32</v>
      </c>
      <c r="S949" s="1" t="s">
        <v>233</v>
      </c>
      <c r="T949" s="1" t="s">
        <v>32</v>
      </c>
      <c r="U949" s="1" t="s">
        <v>234</v>
      </c>
      <c r="V949" s="1" t="s">
        <v>235</v>
      </c>
      <c r="W949" s="1" t="s">
        <v>48</v>
      </c>
      <c r="X949" s="1" t="s">
        <v>236</v>
      </c>
      <c r="Y949" s="1" t="s">
        <v>237</v>
      </c>
      <c r="Z949" s="1" t="str">
        <f>TRIM(_xlfn.CONCAT(sales_data_sample[[#This Row],[CONTACTFIRSTNAME]],", ",sales_data_sample[[#This Row],[CONTACTLASTNAME]]))</f>
        <v>Diego, Freyre</v>
      </c>
      <c r="AA949" s="1" t="s">
        <v>40</v>
      </c>
    </row>
    <row r="950" spans="1:27" x14ac:dyDescent="0.25">
      <c r="A950" s="10">
        <v>10273</v>
      </c>
      <c r="B950" s="9">
        <v>34</v>
      </c>
      <c r="C950" s="9">
        <v>9806</v>
      </c>
      <c r="D950" s="9">
        <f>PRODUCT(sales_data_sample[[#This Row],[QUANTITYORDERED]],sales_data_sample[[#This Row],[PRICEEACH]])</f>
        <v>333404</v>
      </c>
      <c r="E950" s="9">
        <f>IF(OR(sales_data_sample[[#This Row],[STATUS]]="Shipped",sales_data_sample[[#This Row],[STATUS]]="Resolved"),sales_data_sample[[#This Row],[SALES]],0)</f>
        <v>333404</v>
      </c>
      <c r="F950" s="10">
        <v>2</v>
      </c>
      <c r="G950" s="12" t="s">
        <v>499</v>
      </c>
      <c r="H950" s="1" t="s">
        <v>26</v>
      </c>
      <c r="I950">
        <v>3</v>
      </c>
      <c r="J950">
        <v>7</v>
      </c>
      <c r="K950">
        <v>2004</v>
      </c>
      <c r="L950" s="1" t="s">
        <v>905</v>
      </c>
      <c r="M950">
        <v>86</v>
      </c>
      <c r="N950" s="1" t="s">
        <v>906</v>
      </c>
      <c r="O950" s="1" t="s">
        <v>500</v>
      </c>
      <c r="P950" s="1" t="s">
        <v>501</v>
      </c>
      <c r="Q950" s="1" t="s">
        <v>502</v>
      </c>
      <c r="R950" s="1" t="s">
        <v>32</v>
      </c>
      <c r="S950" s="1" t="s">
        <v>503</v>
      </c>
      <c r="T950" s="1" t="s">
        <v>32</v>
      </c>
      <c r="U950" s="1" t="s">
        <v>504</v>
      </c>
      <c r="V950" s="1" t="s">
        <v>505</v>
      </c>
      <c r="W950" s="1" t="s">
        <v>48</v>
      </c>
      <c r="X950" s="1" t="s">
        <v>506</v>
      </c>
      <c r="Y950" s="1" t="s">
        <v>507</v>
      </c>
      <c r="Z950" s="1" t="str">
        <f>TRIM(_xlfn.CONCAT(sales_data_sample[[#This Row],[CONTACTFIRSTNAME]],", ",sales_data_sample[[#This Row],[CONTACTLASTNAME]]))</f>
        <v>Catherine, Dewey</v>
      </c>
      <c r="AA950" s="1" t="s">
        <v>59</v>
      </c>
    </row>
    <row r="951" spans="1:27" x14ac:dyDescent="0.25">
      <c r="A951" s="10">
        <v>10283</v>
      </c>
      <c r="B951" s="9">
        <v>21</v>
      </c>
      <c r="C951" s="9">
        <v>9806</v>
      </c>
      <c r="D951" s="9">
        <f>PRODUCT(sales_data_sample[[#This Row],[QUANTITYORDERED]],sales_data_sample[[#This Row],[PRICEEACH]])</f>
        <v>205926</v>
      </c>
      <c r="E951" s="9">
        <f>IF(OR(sales_data_sample[[#This Row],[STATUS]]="Shipped",sales_data_sample[[#This Row],[STATUS]]="Resolved"),sales_data_sample[[#This Row],[SALES]],0)</f>
        <v>205926</v>
      </c>
      <c r="F951" s="10">
        <v>4</v>
      </c>
      <c r="G951" s="12" t="s">
        <v>508</v>
      </c>
      <c r="H951" s="1" t="s">
        <v>26</v>
      </c>
      <c r="I951">
        <v>3</v>
      </c>
      <c r="J951">
        <v>8</v>
      </c>
      <c r="K951">
        <v>2004</v>
      </c>
      <c r="L951" s="1" t="s">
        <v>905</v>
      </c>
      <c r="M951">
        <v>86</v>
      </c>
      <c r="N951" s="1" t="s">
        <v>906</v>
      </c>
      <c r="O951" s="1" t="s">
        <v>509</v>
      </c>
      <c r="P951" s="1" t="s">
        <v>510</v>
      </c>
      <c r="Q951" s="1" t="s">
        <v>511</v>
      </c>
      <c r="R951" s="1" t="s">
        <v>32</v>
      </c>
      <c r="S951" s="1" t="s">
        <v>512</v>
      </c>
      <c r="T951" s="1" t="s">
        <v>303</v>
      </c>
      <c r="U951" s="1" t="s">
        <v>513</v>
      </c>
      <c r="V951" s="1" t="s">
        <v>305</v>
      </c>
      <c r="W951" s="1" t="s">
        <v>37</v>
      </c>
      <c r="X951" s="1" t="s">
        <v>514</v>
      </c>
      <c r="Y951" s="1" t="s">
        <v>227</v>
      </c>
      <c r="Z951" s="1" t="str">
        <f>TRIM(_xlfn.CONCAT(sales_data_sample[[#This Row],[CONTACTFIRSTNAME]],", ",sales_data_sample[[#This Row],[CONTACTLASTNAME]]))</f>
        <v>Elizabeth, Lincoln</v>
      </c>
      <c r="AA951" s="1" t="s">
        <v>40</v>
      </c>
    </row>
    <row r="952" spans="1:27" x14ac:dyDescent="0.25">
      <c r="A952" s="10">
        <v>10296</v>
      </c>
      <c r="B952" s="9">
        <v>21</v>
      </c>
      <c r="C952" s="9">
        <v>9634</v>
      </c>
      <c r="D952" s="9">
        <f>PRODUCT(sales_data_sample[[#This Row],[QUANTITYORDERED]],sales_data_sample[[#This Row],[PRICEEACH]])</f>
        <v>202314</v>
      </c>
      <c r="E952" s="9">
        <f>IF(OR(sales_data_sample[[#This Row],[STATUS]]="Shipped",sales_data_sample[[#This Row],[STATUS]]="Resolved"),sales_data_sample[[#This Row],[SALES]],0)</f>
        <v>202314</v>
      </c>
      <c r="F952" s="10">
        <v>13</v>
      </c>
      <c r="G952" s="12" t="s">
        <v>852</v>
      </c>
      <c r="H952" s="1" t="s">
        <v>26</v>
      </c>
      <c r="I952">
        <v>3</v>
      </c>
      <c r="J952">
        <v>9</v>
      </c>
      <c r="K952">
        <v>2004</v>
      </c>
      <c r="L952" s="1" t="s">
        <v>905</v>
      </c>
      <c r="M952">
        <v>86</v>
      </c>
      <c r="N952" s="1" t="s">
        <v>906</v>
      </c>
      <c r="O952" s="1" t="s">
        <v>853</v>
      </c>
      <c r="P952" s="1" t="s">
        <v>854</v>
      </c>
      <c r="Q952" s="1" t="s">
        <v>855</v>
      </c>
      <c r="R952" s="1" t="s">
        <v>32</v>
      </c>
      <c r="S952" s="1" t="s">
        <v>856</v>
      </c>
      <c r="T952" s="1" t="s">
        <v>32</v>
      </c>
      <c r="U952" s="1" t="s">
        <v>857</v>
      </c>
      <c r="V952" s="1" t="s">
        <v>617</v>
      </c>
      <c r="W952" s="1" t="s">
        <v>48</v>
      </c>
      <c r="X952" s="1" t="s">
        <v>858</v>
      </c>
      <c r="Y952" s="1" t="s">
        <v>130</v>
      </c>
      <c r="Z952" s="1" t="str">
        <f>TRIM(_xlfn.CONCAT(sales_data_sample[[#This Row],[CONTACTFIRSTNAME]],", ",sales_data_sample[[#This Row],[CONTACTLASTNAME]]))</f>
        <v>Michael, Donnermeyer</v>
      </c>
      <c r="AA952" s="1" t="s">
        <v>40</v>
      </c>
    </row>
    <row r="953" spans="1:27" x14ac:dyDescent="0.25">
      <c r="A953" s="10">
        <v>10307</v>
      </c>
      <c r="B953" s="9">
        <v>31</v>
      </c>
      <c r="C953" s="9">
        <v>8344</v>
      </c>
      <c r="D953" s="9">
        <f>PRODUCT(sales_data_sample[[#This Row],[QUANTITYORDERED]],sales_data_sample[[#This Row],[PRICEEACH]])</f>
        <v>258664</v>
      </c>
      <c r="E953" s="9">
        <f>IF(OR(sales_data_sample[[#This Row],[STATUS]]="Shipped",sales_data_sample[[#This Row],[STATUS]]="Resolved"),sales_data_sample[[#This Row],[SALES]],0)</f>
        <v>258664</v>
      </c>
      <c r="F953" s="10">
        <v>7</v>
      </c>
      <c r="G953" s="12" t="s">
        <v>522</v>
      </c>
      <c r="H953" s="1" t="s">
        <v>26</v>
      </c>
      <c r="I953">
        <v>4</v>
      </c>
      <c r="J953">
        <v>10</v>
      </c>
      <c r="K953">
        <v>2004</v>
      </c>
      <c r="L953" s="1" t="s">
        <v>905</v>
      </c>
      <c r="M953">
        <v>86</v>
      </c>
      <c r="N953" s="1" t="s">
        <v>906</v>
      </c>
      <c r="O953" s="1" t="s">
        <v>283</v>
      </c>
      <c r="P953" s="1" t="s">
        <v>284</v>
      </c>
      <c r="Q953" s="1" t="s">
        <v>285</v>
      </c>
      <c r="R953" s="1" t="s">
        <v>32</v>
      </c>
      <c r="S953" s="1" t="s">
        <v>286</v>
      </c>
      <c r="T953" s="1" t="s">
        <v>186</v>
      </c>
      <c r="U953" s="1" t="s">
        <v>287</v>
      </c>
      <c r="V953" s="1" t="s">
        <v>36</v>
      </c>
      <c r="W953" s="1" t="s">
        <v>37</v>
      </c>
      <c r="X953" s="1" t="s">
        <v>288</v>
      </c>
      <c r="Y953" s="1" t="s">
        <v>289</v>
      </c>
      <c r="Z953" s="1" t="str">
        <f>TRIM(_xlfn.CONCAT(sales_data_sample[[#This Row],[CONTACTFIRSTNAME]],", ",sales_data_sample[[#This Row],[CONTACTLASTNAME]]))</f>
        <v>Francisca, Cervantes</v>
      </c>
      <c r="AA953" s="1" t="s">
        <v>40</v>
      </c>
    </row>
    <row r="954" spans="1:27" x14ac:dyDescent="0.25">
      <c r="A954" s="10">
        <v>10316</v>
      </c>
      <c r="B954" s="9">
        <v>21</v>
      </c>
      <c r="C954" s="9">
        <v>9462</v>
      </c>
      <c r="D954" s="9">
        <f>PRODUCT(sales_data_sample[[#This Row],[QUANTITYORDERED]],sales_data_sample[[#This Row],[PRICEEACH]])</f>
        <v>198702</v>
      </c>
      <c r="E954" s="9">
        <f>IF(OR(sales_data_sample[[#This Row],[STATUS]]="Shipped",sales_data_sample[[#This Row],[STATUS]]="Resolved"),sales_data_sample[[#This Row],[SALES]],0)</f>
        <v>198702</v>
      </c>
      <c r="F954" s="10">
        <v>15</v>
      </c>
      <c r="G954" s="12" t="s">
        <v>523</v>
      </c>
      <c r="H954" s="1" t="s">
        <v>26</v>
      </c>
      <c r="I954">
        <v>4</v>
      </c>
      <c r="J954">
        <v>11</v>
      </c>
      <c r="K954">
        <v>2004</v>
      </c>
      <c r="L954" s="1" t="s">
        <v>905</v>
      </c>
      <c r="M954">
        <v>86</v>
      </c>
      <c r="N954" s="1" t="s">
        <v>906</v>
      </c>
      <c r="O954" s="1" t="s">
        <v>524</v>
      </c>
      <c r="P954" s="1" t="s">
        <v>525</v>
      </c>
      <c r="Q954" s="1" t="s">
        <v>526</v>
      </c>
      <c r="R954" s="1" t="s">
        <v>32</v>
      </c>
      <c r="S954" s="1" t="s">
        <v>527</v>
      </c>
      <c r="T954" s="1" t="s">
        <v>528</v>
      </c>
      <c r="U954" s="1" t="s">
        <v>529</v>
      </c>
      <c r="V954" s="1" t="s">
        <v>225</v>
      </c>
      <c r="W954" s="1" t="s">
        <v>48</v>
      </c>
      <c r="X954" s="1" t="s">
        <v>530</v>
      </c>
      <c r="Y954" s="1" t="s">
        <v>531</v>
      </c>
      <c r="Z954" s="1" t="str">
        <f>TRIM(_xlfn.CONCAT(sales_data_sample[[#This Row],[CONTACTFIRSTNAME]],", ",sales_data_sample[[#This Row],[CONTACTLASTNAME]]))</f>
        <v>Helen, Bennett</v>
      </c>
      <c r="AA954" s="1" t="s">
        <v>40</v>
      </c>
    </row>
    <row r="955" spans="1:27" x14ac:dyDescent="0.25">
      <c r="A955" s="10">
        <v>10327</v>
      </c>
      <c r="B955" s="9">
        <v>25</v>
      </c>
      <c r="C955" s="9">
        <v>4586</v>
      </c>
      <c r="D955" s="9">
        <f>PRODUCT(sales_data_sample[[#This Row],[QUANTITYORDERED]],sales_data_sample[[#This Row],[PRICEEACH]])</f>
        <v>114650</v>
      </c>
      <c r="E955" s="9">
        <f>IF(OR(sales_data_sample[[#This Row],[STATUS]]="Shipped",sales_data_sample[[#This Row],[STATUS]]="Resolved"),sales_data_sample[[#This Row],[SALES]],0)</f>
        <v>114650</v>
      </c>
      <c r="F955" s="10">
        <v>5</v>
      </c>
      <c r="G955" s="12" t="s">
        <v>859</v>
      </c>
      <c r="H955" s="1" t="s">
        <v>563</v>
      </c>
      <c r="I955">
        <v>4</v>
      </c>
      <c r="J955">
        <v>11</v>
      </c>
      <c r="K955">
        <v>2004</v>
      </c>
      <c r="L955" s="1" t="s">
        <v>905</v>
      </c>
      <c r="M955">
        <v>86</v>
      </c>
      <c r="N955" s="1" t="s">
        <v>906</v>
      </c>
      <c r="O955" s="1" t="s">
        <v>437</v>
      </c>
      <c r="P955" s="1" t="s">
        <v>438</v>
      </c>
      <c r="Q955" s="1" t="s">
        <v>439</v>
      </c>
      <c r="R955" s="1" t="s">
        <v>32</v>
      </c>
      <c r="S955" s="1" t="s">
        <v>440</v>
      </c>
      <c r="T955" s="1" t="s">
        <v>32</v>
      </c>
      <c r="U955" s="1" t="s">
        <v>441</v>
      </c>
      <c r="V955" s="1" t="s">
        <v>442</v>
      </c>
      <c r="W955" s="1" t="s">
        <v>48</v>
      </c>
      <c r="X955" s="1" t="s">
        <v>443</v>
      </c>
      <c r="Y955" s="1" t="s">
        <v>444</v>
      </c>
      <c r="Z955" s="1" t="str">
        <f>TRIM(_xlfn.CONCAT(sales_data_sample[[#This Row],[CONTACTFIRSTNAME]],", ",sales_data_sample[[#This Row],[CONTACTLASTNAME]]))</f>
        <v>Jytte, Petersen</v>
      </c>
      <c r="AA955" s="1" t="s">
        <v>40</v>
      </c>
    </row>
    <row r="956" spans="1:27" x14ac:dyDescent="0.25">
      <c r="A956" s="10">
        <v>10338</v>
      </c>
      <c r="B956" s="9">
        <v>28</v>
      </c>
      <c r="C956" s="9">
        <v>8258</v>
      </c>
      <c r="D956" s="9">
        <f>PRODUCT(sales_data_sample[[#This Row],[QUANTITYORDERED]],sales_data_sample[[#This Row],[PRICEEACH]])</f>
        <v>231224</v>
      </c>
      <c r="E956" s="9">
        <f>IF(OR(sales_data_sample[[#This Row],[STATUS]]="Shipped",sales_data_sample[[#This Row],[STATUS]]="Resolved"),sales_data_sample[[#This Row],[SALES]],0)</f>
        <v>231224</v>
      </c>
      <c r="F956" s="10">
        <v>3</v>
      </c>
      <c r="G956" s="12" t="s">
        <v>860</v>
      </c>
      <c r="H956" s="1" t="s">
        <v>26</v>
      </c>
      <c r="I956">
        <v>4</v>
      </c>
      <c r="J956">
        <v>11</v>
      </c>
      <c r="K956">
        <v>2004</v>
      </c>
      <c r="L956" s="1" t="s">
        <v>905</v>
      </c>
      <c r="M956">
        <v>86</v>
      </c>
      <c r="N956" s="1" t="s">
        <v>906</v>
      </c>
      <c r="O956" s="1" t="s">
        <v>861</v>
      </c>
      <c r="P956" s="1" t="s">
        <v>862</v>
      </c>
      <c r="Q956" s="1" t="s">
        <v>863</v>
      </c>
      <c r="R956" s="1" t="s">
        <v>32</v>
      </c>
      <c r="S956" s="1" t="s">
        <v>864</v>
      </c>
      <c r="T956" s="1" t="s">
        <v>32</v>
      </c>
      <c r="U956" s="1" t="s">
        <v>865</v>
      </c>
      <c r="V956" s="1" t="s">
        <v>505</v>
      </c>
      <c r="W956" s="1" t="s">
        <v>48</v>
      </c>
      <c r="X956" s="1" t="s">
        <v>866</v>
      </c>
      <c r="Y956" s="1" t="s">
        <v>867</v>
      </c>
      <c r="Z956" s="1" t="str">
        <f>TRIM(_xlfn.CONCAT(sales_data_sample[[#This Row],[CONTACTFIRSTNAME]],", ",sales_data_sample[[#This Row],[CONTACTLASTNAME]]))</f>
        <v>Pascale, Cartrain</v>
      </c>
      <c r="AA956" s="1" t="s">
        <v>40</v>
      </c>
    </row>
    <row r="957" spans="1:27" x14ac:dyDescent="0.25">
      <c r="A957" s="10">
        <v>10350</v>
      </c>
      <c r="B957" s="9">
        <v>43</v>
      </c>
      <c r="C957" s="9">
        <v>6497</v>
      </c>
      <c r="D957" s="9">
        <f>PRODUCT(sales_data_sample[[#This Row],[QUANTITYORDERED]],sales_data_sample[[#This Row],[PRICEEACH]])</f>
        <v>279371</v>
      </c>
      <c r="E957" s="9">
        <f>IF(OR(sales_data_sample[[#This Row],[STATUS]]="Shipped",sales_data_sample[[#This Row],[STATUS]]="Resolved"),sales_data_sample[[#This Row],[SALES]],0)</f>
        <v>279371</v>
      </c>
      <c r="F957" s="10">
        <v>6</v>
      </c>
      <c r="G957" s="12" t="s">
        <v>534</v>
      </c>
      <c r="H957" s="1" t="s">
        <v>26</v>
      </c>
      <c r="I957">
        <v>4</v>
      </c>
      <c r="J957">
        <v>12</v>
      </c>
      <c r="K957">
        <v>2004</v>
      </c>
      <c r="L957" s="1" t="s">
        <v>905</v>
      </c>
      <c r="M957">
        <v>86</v>
      </c>
      <c r="N957" s="1" t="s">
        <v>906</v>
      </c>
      <c r="O957" s="1" t="s">
        <v>230</v>
      </c>
      <c r="P957" s="1" t="s">
        <v>231</v>
      </c>
      <c r="Q957" s="1" t="s">
        <v>232</v>
      </c>
      <c r="R957" s="1" t="s">
        <v>32</v>
      </c>
      <c r="S957" s="1" t="s">
        <v>233</v>
      </c>
      <c r="T957" s="1" t="s">
        <v>32</v>
      </c>
      <c r="U957" s="1" t="s">
        <v>234</v>
      </c>
      <c r="V957" s="1" t="s">
        <v>235</v>
      </c>
      <c r="W957" s="1" t="s">
        <v>48</v>
      </c>
      <c r="X957" s="1" t="s">
        <v>236</v>
      </c>
      <c r="Y957" s="1" t="s">
        <v>237</v>
      </c>
      <c r="Z957" s="1" t="str">
        <f>TRIM(_xlfn.CONCAT(sales_data_sample[[#This Row],[CONTACTFIRSTNAME]],", ",sales_data_sample[[#This Row],[CONTACTLASTNAME]]))</f>
        <v>Diego, Freyre</v>
      </c>
      <c r="AA957" s="1" t="s">
        <v>40</v>
      </c>
    </row>
    <row r="958" spans="1:27" x14ac:dyDescent="0.25">
      <c r="A958" s="10">
        <v>10373</v>
      </c>
      <c r="B958" s="9">
        <v>22</v>
      </c>
      <c r="C958" s="9">
        <v>8674</v>
      </c>
      <c r="D958" s="9">
        <f>PRODUCT(sales_data_sample[[#This Row],[QUANTITYORDERED]],sales_data_sample[[#This Row],[PRICEEACH]])</f>
        <v>190828</v>
      </c>
      <c r="E958" s="9">
        <f>IF(OR(sales_data_sample[[#This Row],[STATUS]]="Shipped",sales_data_sample[[#This Row],[STATUS]]="Resolved"),sales_data_sample[[#This Row],[SALES]],0)</f>
        <v>190828</v>
      </c>
      <c r="F958" s="10">
        <v>5</v>
      </c>
      <c r="G958" s="12" t="s">
        <v>536</v>
      </c>
      <c r="H958" s="1" t="s">
        <v>26</v>
      </c>
      <c r="I958">
        <v>1</v>
      </c>
      <c r="J958">
        <v>1</v>
      </c>
      <c r="K958">
        <v>2005</v>
      </c>
      <c r="L958" s="1" t="s">
        <v>905</v>
      </c>
      <c r="M958">
        <v>86</v>
      </c>
      <c r="N958" s="1" t="s">
        <v>906</v>
      </c>
      <c r="O958" s="1" t="s">
        <v>537</v>
      </c>
      <c r="P958" s="1" t="s">
        <v>538</v>
      </c>
      <c r="Q958" s="1" t="s">
        <v>539</v>
      </c>
      <c r="R958" s="1" t="s">
        <v>32</v>
      </c>
      <c r="S958" s="1" t="s">
        <v>540</v>
      </c>
      <c r="T958" s="1" t="s">
        <v>32</v>
      </c>
      <c r="U958" s="1" t="s">
        <v>541</v>
      </c>
      <c r="V958" s="1" t="s">
        <v>170</v>
      </c>
      <c r="W958" s="1" t="s">
        <v>48</v>
      </c>
      <c r="X958" s="1" t="s">
        <v>542</v>
      </c>
      <c r="Y958" s="1" t="s">
        <v>543</v>
      </c>
      <c r="Z958" s="1" t="str">
        <f>TRIM(_xlfn.CONCAT(sales_data_sample[[#This Row],[CONTACTFIRSTNAME]],", ",sales_data_sample[[#This Row],[CONTACTLASTNAME]]))</f>
        <v>Pirkko, Koskitalo</v>
      </c>
      <c r="AA958" s="1" t="s">
        <v>40</v>
      </c>
    </row>
    <row r="959" spans="1:27" x14ac:dyDescent="0.25">
      <c r="A959" s="10">
        <v>10386</v>
      </c>
      <c r="B959" s="9">
        <v>37</v>
      </c>
      <c r="C959" s="9">
        <v>9301</v>
      </c>
      <c r="D959" s="9">
        <f>PRODUCT(sales_data_sample[[#This Row],[QUANTITYORDERED]],sales_data_sample[[#This Row],[PRICEEACH]])</f>
        <v>344137</v>
      </c>
      <c r="E959" s="9">
        <f>IF(OR(sales_data_sample[[#This Row],[STATUS]]="Shipped",sales_data_sample[[#This Row],[STATUS]]="Resolved"),sales_data_sample[[#This Row],[SALES]],0)</f>
        <v>344137</v>
      </c>
      <c r="F959" s="10">
        <v>5</v>
      </c>
      <c r="G959" s="12" t="s">
        <v>869</v>
      </c>
      <c r="H959" s="1" t="s">
        <v>563</v>
      </c>
      <c r="I959">
        <v>1</v>
      </c>
      <c r="J959">
        <v>3</v>
      </c>
      <c r="K959">
        <v>2005</v>
      </c>
      <c r="L959" s="1" t="s">
        <v>905</v>
      </c>
      <c r="M959">
        <v>86</v>
      </c>
      <c r="N959" s="1" t="s">
        <v>906</v>
      </c>
      <c r="O959" s="1" t="s">
        <v>230</v>
      </c>
      <c r="P959" s="1" t="s">
        <v>231</v>
      </c>
      <c r="Q959" s="1" t="s">
        <v>232</v>
      </c>
      <c r="R959" s="1" t="s">
        <v>32</v>
      </c>
      <c r="S959" s="1" t="s">
        <v>233</v>
      </c>
      <c r="T959" s="1" t="s">
        <v>32</v>
      </c>
      <c r="U959" s="1" t="s">
        <v>234</v>
      </c>
      <c r="V959" s="1" t="s">
        <v>235</v>
      </c>
      <c r="W959" s="1" t="s">
        <v>48</v>
      </c>
      <c r="X959" s="1" t="s">
        <v>236</v>
      </c>
      <c r="Y959" s="1" t="s">
        <v>237</v>
      </c>
      <c r="Z959" s="1" t="str">
        <f>TRIM(_xlfn.CONCAT(sales_data_sample[[#This Row],[CONTACTFIRSTNAME]],", ",sales_data_sample[[#This Row],[CONTACTLASTNAME]]))</f>
        <v>Diego, Freyre</v>
      </c>
      <c r="AA959" s="1" t="s">
        <v>59</v>
      </c>
    </row>
    <row r="960" spans="1:27" x14ac:dyDescent="0.25">
      <c r="A960" s="10">
        <v>10398</v>
      </c>
      <c r="B960" s="9">
        <v>28</v>
      </c>
      <c r="C960" s="9">
        <v>7226</v>
      </c>
      <c r="D960" s="9">
        <f>PRODUCT(sales_data_sample[[#This Row],[QUANTITYORDERED]],sales_data_sample[[#This Row],[PRICEEACH]])</f>
        <v>202328</v>
      </c>
      <c r="E960" s="9">
        <f>IF(OR(sales_data_sample[[#This Row],[STATUS]]="Shipped",sales_data_sample[[#This Row],[STATUS]]="Resolved"),sales_data_sample[[#This Row],[SALES]],0)</f>
        <v>202328</v>
      </c>
      <c r="F960" s="10">
        <v>18</v>
      </c>
      <c r="G960" s="12" t="s">
        <v>870</v>
      </c>
      <c r="H960" s="1" t="s">
        <v>26</v>
      </c>
      <c r="I960">
        <v>1</v>
      </c>
      <c r="J960">
        <v>3</v>
      </c>
      <c r="K960">
        <v>2005</v>
      </c>
      <c r="L960" s="1" t="s">
        <v>905</v>
      </c>
      <c r="M960">
        <v>86</v>
      </c>
      <c r="N960" s="1" t="s">
        <v>906</v>
      </c>
      <c r="O960" s="1" t="s">
        <v>42</v>
      </c>
      <c r="P960" s="1" t="s">
        <v>43</v>
      </c>
      <c r="Q960" s="1" t="s">
        <v>44</v>
      </c>
      <c r="R960" s="1" t="s">
        <v>32</v>
      </c>
      <c r="S960" s="1" t="s">
        <v>45</v>
      </c>
      <c r="T960" s="1" t="s">
        <v>32</v>
      </c>
      <c r="U960" s="1" t="s">
        <v>46</v>
      </c>
      <c r="V960" s="1" t="s">
        <v>47</v>
      </c>
      <c r="W960" s="1" t="s">
        <v>48</v>
      </c>
      <c r="X960" s="1" t="s">
        <v>49</v>
      </c>
      <c r="Y960" s="1" t="s">
        <v>50</v>
      </c>
      <c r="Z960" s="1" t="str">
        <f>TRIM(_xlfn.CONCAT(sales_data_sample[[#This Row],[CONTACTFIRSTNAME]],", ",sales_data_sample[[#This Row],[CONTACTLASTNAME]]))</f>
        <v>Paul, Henriot</v>
      </c>
      <c r="AA960" s="1" t="s">
        <v>40</v>
      </c>
    </row>
    <row r="961" spans="1:27" x14ac:dyDescent="0.25">
      <c r="A961" s="10">
        <v>10400</v>
      </c>
      <c r="B961" s="9">
        <v>30</v>
      </c>
      <c r="C961" s="9">
        <v>7484</v>
      </c>
      <c r="D961" s="9">
        <f>PRODUCT(sales_data_sample[[#This Row],[QUANTITYORDERED]],sales_data_sample[[#This Row],[PRICEEACH]])</f>
        <v>224520</v>
      </c>
      <c r="E961" s="9">
        <f>IF(OR(sales_data_sample[[#This Row],[STATUS]]="Shipped",sales_data_sample[[#This Row],[STATUS]]="Resolved"),sales_data_sample[[#This Row],[SALES]],0)</f>
        <v>224520</v>
      </c>
      <c r="F961" s="10">
        <v>7</v>
      </c>
      <c r="G961" s="12" t="s">
        <v>546</v>
      </c>
      <c r="H961" s="1" t="s">
        <v>26</v>
      </c>
      <c r="I961">
        <v>2</v>
      </c>
      <c r="J961">
        <v>4</v>
      </c>
      <c r="K961">
        <v>2005</v>
      </c>
      <c r="L961" s="1" t="s">
        <v>905</v>
      </c>
      <c r="M961">
        <v>86</v>
      </c>
      <c r="N961" s="1" t="s">
        <v>906</v>
      </c>
      <c r="O961" s="1" t="s">
        <v>547</v>
      </c>
      <c r="P961" s="1" t="s">
        <v>548</v>
      </c>
      <c r="Q961" s="1" t="s">
        <v>549</v>
      </c>
      <c r="R961" s="1" t="s">
        <v>32</v>
      </c>
      <c r="S961" s="1" t="s">
        <v>550</v>
      </c>
      <c r="T961" s="1" t="s">
        <v>65</v>
      </c>
      <c r="U961" s="1" t="s">
        <v>80</v>
      </c>
      <c r="V961" s="1" t="s">
        <v>36</v>
      </c>
      <c r="W961" s="1" t="s">
        <v>37</v>
      </c>
      <c r="X961" s="1" t="s">
        <v>129</v>
      </c>
      <c r="Y961" s="1" t="s">
        <v>551</v>
      </c>
      <c r="Z961" s="1" t="str">
        <f>TRIM(_xlfn.CONCAT(sales_data_sample[[#This Row],[CONTACTFIRSTNAME]],", ",sales_data_sample[[#This Row],[CONTACTLASTNAME]]))</f>
        <v>Sue, Frick</v>
      </c>
      <c r="AA961" s="1" t="s">
        <v>40</v>
      </c>
    </row>
    <row r="962" spans="1:27" x14ac:dyDescent="0.25">
      <c r="A962" s="10">
        <v>10414</v>
      </c>
      <c r="B962" s="9">
        <v>44</v>
      </c>
      <c r="C962" s="9">
        <v>7398</v>
      </c>
      <c r="D962" s="9">
        <f>PRODUCT(sales_data_sample[[#This Row],[QUANTITYORDERED]],sales_data_sample[[#This Row],[PRICEEACH]])</f>
        <v>325512</v>
      </c>
      <c r="E962" s="9">
        <f>IF(OR(sales_data_sample[[#This Row],[STATUS]]="Shipped",sales_data_sample[[#This Row],[STATUS]]="Resolved"),sales_data_sample[[#This Row],[SALES]],0)</f>
        <v>0</v>
      </c>
      <c r="F962" s="10">
        <v>1</v>
      </c>
      <c r="G962" s="12" t="s">
        <v>552</v>
      </c>
      <c r="H962" s="1" t="s">
        <v>553</v>
      </c>
      <c r="I962">
        <v>2</v>
      </c>
      <c r="J962">
        <v>5</v>
      </c>
      <c r="K962">
        <v>2005</v>
      </c>
      <c r="L962" s="1" t="s">
        <v>905</v>
      </c>
      <c r="M962">
        <v>86</v>
      </c>
      <c r="N962" s="1" t="s">
        <v>906</v>
      </c>
      <c r="O962" s="1" t="s">
        <v>516</v>
      </c>
      <c r="P962" s="1" t="s">
        <v>517</v>
      </c>
      <c r="Q962" s="1" t="s">
        <v>518</v>
      </c>
      <c r="R962" s="1" t="s">
        <v>32</v>
      </c>
      <c r="S962" s="1" t="s">
        <v>519</v>
      </c>
      <c r="T962" s="1" t="s">
        <v>160</v>
      </c>
      <c r="U962" s="1" t="s">
        <v>520</v>
      </c>
      <c r="V962" s="1" t="s">
        <v>36</v>
      </c>
      <c r="W962" s="1" t="s">
        <v>37</v>
      </c>
      <c r="X962" s="1" t="s">
        <v>521</v>
      </c>
      <c r="Y962" s="1" t="s">
        <v>82</v>
      </c>
      <c r="Z962" s="1" t="str">
        <f>TRIM(_xlfn.CONCAT(sales_data_sample[[#This Row],[CONTACTFIRSTNAME]],", ",sales_data_sample[[#This Row],[CONTACTLASTNAME]]))</f>
        <v>Juri, Yoshido</v>
      </c>
      <c r="AA962" s="1" t="s">
        <v>59</v>
      </c>
    </row>
    <row r="963" spans="1:27" x14ac:dyDescent="0.25">
      <c r="A963" s="10">
        <v>10103</v>
      </c>
      <c r="B963" s="9">
        <v>25</v>
      </c>
      <c r="C963" s="9">
        <v>100</v>
      </c>
      <c r="D963" s="9">
        <f>PRODUCT(sales_data_sample[[#This Row],[QUANTITYORDERED]],sales_data_sample[[#This Row],[PRICEEACH]])</f>
        <v>2500</v>
      </c>
      <c r="E963" s="9">
        <f>IF(OR(sales_data_sample[[#This Row],[STATUS]]="Shipped",sales_data_sample[[#This Row],[STATUS]]="Resolved"),sales_data_sample[[#This Row],[SALES]],0)</f>
        <v>2500</v>
      </c>
      <c r="F963" s="10">
        <v>13</v>
      </c>
      <c r="G963" s="12" t="s">
        <v>238</v>
      </c>
      <c r="H963" s="1" t="s">
        <v>26</v>
      </c>
      <c r="I963">
        <v>1</v>
      </c>
      <c r="J963">
        <v>1</v>
      </c>
      <c r="K963">
        <v>2003</v>
      </c>
      <c r="L963" s="1" t="s">
        <v>799</v>
      </c>
      <c r="M963">
        <v>104</v>
      </c>
      <c r="N963" s="1" t="s">
        <v>910</v>
      </c>
      <c r="O963" s="1" t="s">
        <v>174</v>
      </c>
      <c r="P963" s="1" t="s">
        <v>175</v>
      </c>
      <c r="Q963" s="1" t="s">
        <v>176</v>
      </c>
      <c r="R963" s="1" t="s">
        <v>32</v>
      </c>
      <c r="S963" s="1" t="s">
        <v>177</v>
      </c>
      <c r="T963" s="1" t="s">
        <v>32</v>
      </c>
      <c r="U963" s="1" t="s">
        <v>178</v>
      </c>
      <c r="V963" s="1" t="s">
        <v>97</v>
      </c>
      <c r="W963" s="1" t="s">
        <v>48</v>
      </c>
      <c r="X963" s="1" t="s">
        <v>179</v>
      </c>
      <c r="Y963" s="1" t="s">
        <v>180</v>
      </c>
      <c r="Z963" s="1" t="str">
        <f>TRIM(_xlfn.CONCAT(sales_data_sample[[#This Row],[CONTACTFIRSTNAME]],", ",sales_data_sample[[#This Row],[CONTACTLASTNAME]]))</f>
        <v>Jonas, Bergulfsen</v>
      </c>
      <c r="AA963" s="1" t="s">
        <v>40</v>
      </c>
    </row>
    <row r="964" spans="1:27" x14ac:dyDescent="0.25">
      <c r="A964" s="10">
        <v>10111</v>
      </c>
      <c r="B964" s="9">
        <v>43</v>
      </c>
      <c r="C964" s="9">
        <v>100</v>
      </c>
      <c r="D964" s="9">
        <f>PRODUCT(sales_data_sample[[#This Row],[QUANTITYORDERED]],sales_data_sample[[#This Row],[PRICEEACH]])</f>
        <v>4300</v>
      </c>
      <c r="E964" s="9">
        <f>IF(OR(sales_data_sample[[#This Row],[STATUS]]="Shipped",sales_data_sample[[#This Row],[STATUS]]="Resolved"),sales_data_sample[[#This Row],[SALES]],0)</f>
        <v>4300</v>
      </c>
      <c r="F964" s="10">
        <v>1</v>
      </c>
      <c r="G964" s="12" t="s">
        <v>801</v>
      </c>
      <c r="H964" s="1" t="s">
        <v>26</v>
      </c>
      <c r="I964">
        <v>1</v>
      </c>
      <c r="J964">
        <v>3</v>
      </c>
      <c r="K964">
        <v>2003</v>
      </c>
      <c r="L964" s="1" t="s">
        <v>799</v>
      </c>
      <c r="M964">
        <v>104</v>
      </c>
      <c r="N964" s="1" t="s">
        <v>910</v>
      </c>
      <c r="O964" s="1" t="s">
        <v>101</v>
      </c>
      <c r="P964" s="1" t="s">
        <v>102</v>
      </c>
      <c r="Q964" s="1" t="s">
        <v>103</v>
      </c>
      <c r="R964" s="1" t="s">
        <v>32</v>
      </c>
      <c r="S964" s="1" t="s">
        <v>73</v>
      </c>
      <c r="T964" s="1" t="s">
        <v>65</v>
      </c>
      <c r="U964" s="1" t="s">
        <v>32</v>
      </c>
      <c r="V964" s="1" t="s">
        <v>36</v>
      </c>
      <c r="W964" s="1" t="s">
        <v>37</v>
      </c>
      <c r="X964" s="1" t="s">
        <v>104</v>
      </c>
      <c r="Y964" s="1" t="s">
        <v>68</v>
      </c>
      <c r="Z964" s="1" t="str">
        <f>TRIM(_xlfn.CONCAT(sales_data_sample[[#This Row],[CONTACTFIRSTNAME]],", ",sales_data_sample[[#This Row],[CONTACTLASTNAME]]))</f>
        <v>Julie, Murphy</v>
      </c>
      <c r="AA964" s="1" t="s">
        <v>59</v>
      </c>
    </row>
    <row r="965" spans="1:27" x14ac:dyDescent="0.25">
      <c r="A965" s="10">
        <v>10126</v>
      </c>
      <c r="B965" s="9">
        <v>30</v>
      </c>
      <c r="C965" s="9">
        <v>9739</v>
      </c>
      <c r="D965" s="9">
        <f>PRODUCT(sales_data_sample[[#This Row],[QUANTITYORDERED]],sales_data_sample[[#This Row],[PRICEEACH]])</f>
        <v>292170</v>
      </c>
      <c r="E965" s="9">
        <f>IF(OR(sales_data_sample[[#This Row],[STATUS]]="Shipped",sales_data_sample[[#This Row],[STATUS]]="Resolved"),sales_data_sample[[#This Row],[SALES]],0)</f>
        <v>292170</v>
      </c>
      <c r="F965" s="10">
        <v>13</v>
      </c>
      <c r="G965" s="12" t="s">
        <v>250</v>
      </c>
      <c r="H965" s="1" t="s">
        <v>26</v>
      </c>
      <c r="I965">
        <v>2</v>
      </c>
      <c r="J965">
        <v>5</v>
      </c>
      <c r="K965">
        <v>2003</v>
      </c>
      <c r="L965" s="1" t="s">
        <v>799</v>
      </c>
      <c r="M965">
        <v>104</v>
      </c>
      <c r="N965" s="1" t="s">
        <v>910</v>
      </c>
      <c r="O965" s="1" t="s">
        <v>251</v>
      </c>
      <c r="P965" s="1" t="s">
        <v>252</v>
      </c>
      <c r="Q965" s="1" t="s">
        <v>253</v>
      </c>
      <c r="R965" s="1" t="s">
        <v>32</v>
      </c>
      <c r="S965" s="1" t="s">
        <v>233</v>
      </c>
      <c r="T965" s="1" t="s">
        <v>32</v>
      </c>
      <c r="U965" s="1" t="s">
        <v>254</v>
      </c>
      <c r="V965" s="1" t="s">
        <v>235</v>
      </c>
      <c r="W965" s="1" t="s">
        <v>48</v>
      </c>
      <c r="X965" s="1" t="s">
        <v>255</v>
      </c>
      <c r="Y965" s="1" t="s">
        <v>256</v>
      </c>
      <c r="Z965" s="1" t="str">
        <f>TRIM(_xlfn.CONCAT(sales_data_sample[[#This Row],[CONTACTFIRSTNAME]],", ",sales_data_sample[[#This Row],[CONTACTLASTNAME]]))</f>
        <v>Mart¡n, Sommer</v>
      </c>
      <c r="AA965" s="1" t="s">
        <v>40</v>
      </c>
    </row>
    <row r="966" spans="1:27" x14ac:dyDescent="0.25">
      <c r="A966">
        <v>10139</v>
      </c>
      <c r="B966">
        <v>20</v>
      </c>
      <c r="C966">
        <v>9006</v>
      </c>
      <c r="D966">
        <f>PRODUCT(sales_data_sample[[#This Row],[QUANTITYORDERED]],sales_data_sample[[#This Row],[PRICEEACH]])</f>
        <v>180120</v>
      </c>
      <c r="E966" s="9">
        <f>IF(OR(sales_data_sample[[#This Row],[STATUS]]="Shipped",sales_data_sample[[#This Row],[STATUS]]="Resolved"),sales_data_sample[[#This Row],[SALES]],0)</f>
        <v>180120</v>
      </c>
      <c r="F966">
        <v>2</v>
      </c>
      <c r="G966" s="12" t="s">
        <v>803</v>
      </c>
      <c r="H966" s="1" t="s">
        <v>26</v>
      </c>
      <c r="I966">
        <v>3</v>
      </c>
      <c r="J966">
        <v>7</v>
      </c>
      <c r="K966">
        <v>2003</v>
      </c>
      <c r="L966" s="1" t="s">
        <v>799</v>
      </c>
      <c r="M966">
        <v>104</v>
      </c>
      <c r="N966" s="1" t="s">
        <v>910</v>
      </c>
      <c r="O966" s="1" t="s">
        <v>201</v>
      </c>
      <c r="P966" s="1" t="s">
        <v>202</v>
      </c>
      <c r="Q966" s="1" t="s">
        <v>203</v>
      </c>
      <c r="R966" s="1" t="s">
        <v>204</v>
      </c>
      <c r="S966" s="1" t="s">
        <v>205</v>
      </c>
      <c r="T966" s="1" t="s">
        <v>206</v>
      </c>
      <c r="U966" s="1" t="s">
        <v>207</v>
      </c>
      <c r="V966" s="1" t="s">
        <v>120</v>
      </c>
      <c r="W966" s="1" t="s">
        <v>121</v>
      </c>
      <c r="X966" s="1" t="s">
        <v>208</v>
      </c>
      <c r="Y966" s="1" t="s">
        <v>209</v>
      </c>
      <c r="Z966" s="1" t="str">
        <f>TRIM(_xlfn.CONCAT(sales_data_sample[[#This Row],[CONTACTFIRSTNAME]],", ",sales_data_sample[[#This Row],[CONTACTLASTNAME]]))</f>
        <v>Adrian, Huxley</v>
      </c>
      <c r="AA966" s="1" t="s">
        <v>40</v>
      </c>
    </row>
    <row r="967" spans="1:27" x14ac:dyDescent="0.25">
      <c r="A967" s="10">
        <v>10150</v>
      </c>
      <c r="B967" s="9">
        <v>26</v>
      </c>
      <c r="C967" s="9">
        <v>100</v>
      </c>
      <c r="D967" s="9">
        <f>PRODUCT(sales_data_sample[[#This Row],[QUANTITYORDERED]],sales_data_sample[[#This Row],[PRICEEACH]])</f>
        <v>2600</v>
      </c>
      <c r="E967" s="9">
        <f>IF(OR(sales_data_sample[[#This Row],[STATUS]]="Shipped",sales_data_sample[[#This Row],[STATUS]]="Resolved"),sales_data_sample[[#This Row],[SALES]],0)</f>
        <v>2600</v>
      </c>
      <c r="F967" s="10">
        <v>10</v>
      </c>
      <c r="G967" s="12" t="s">
        <v>258</v>
      </c>
      <c r="H967" s="1" t="s">
        <v>26</v>
      </c>
      <c r="I967">
        <v>3</v>
      </c>
      <c r="J967">
        <v>9</v>
      </c>
      <c r="K967">
        <v>2003</v>
      </c>
      <c r="L967" s="1" t="s">
        <v>799</v>
      </c>
      <c r="M967">
        <v>104</v>
      </c>
      <c r="N967" s="1" t="s">
        <v>910</v>
      </c>
      <c r="O967" s="1" t="s">
        <v>259</v>
      </c>
      <c r="P967" s="1" t="s">
        <v>260</v>
      </c>
      <c r="Q967" s="1" t="s">
        <v>261</v>
      </c>
      <c r="R967" s="1" t="s">
        <v>32</v>
      </c>
      <c r="S967" s="1" t="s">
        <v>262</v>
      </c>
      <c r="T967" s="1" t="s">
        <v>32</v>
      </c>
      <c r="U967" s="1" t="s">
        <v>263</v>
      </c>
      <c r="V967" s="1" t="s">
        <v>262</v>
      </c>
      <c r="W967" s="1" t="s">
        <v>264</v>
      </c>
      <c r="X967" s="1" t="s">
        <v>265</v>
      </c>
      <c r="Y967" s="1" t="s">
        <v>266</v>
      </c>
      <c r="Z967" s="1" t="str">
        <f>TRIM(_xlfn.CONCAT(sales_data_sample[[#This Row],[CONTACTFIRSTNAME]],", ",sales_data_sample[[#This Row],[CONTACTLASTNAME]]))</f>
        <v>Eric, Natividad</v>
      </c>
      <c r="AA967" s="1" t="s">
        <v>40</v>
      </c>
    </row>
    <row r="968" spans="1:27" x14ac:dyDescent="0.25">
      <c r="A968">
        <v>10163</v>
      </c>
      <c r="B968">
        <v>40</v>
      </c>
      <c r="C968">
        <v>100</v>
      </c>
      <c r="D968">
        <f>PRODUCT(sales_data_sample[[#This Row],[QUANTITYORDERED]],sales_data_sample[[#This Row],[PRICEEACH]])</f>
        <v>4000</v>
      </c>
      <c r="E968" s="9">
        <f>IF(OR(sales_data_sample[[#This Row],[STATUS]]="Shipped",sales_data_sample[[#This Row],[STATUS]]="Resolved"),sales_data_sample[[#This Row],[SALES]],0)</f>
        <v>4000</v>
      </c>
      <c r="F968">
        <v>3</v>
      </c>
      <c r="G968" s="12" t="s">
        <v>267</v>
      </c>
      <c r="H968" s="1" t="s">
        <v>26</v>
      </c>
      <c r="I968">
        <v>4</v>
      </c>
      <c r="J968">
        <v>10</v>
      </c>
      <c r="K968">
        <v>2003</v>
      </c>
      <c r="L968" s="1" t="s">
        <v>799</v>
      </c>
      <c r="M968">
        <v>104</v>
      </c>
      <c r="N968" s="1" t="s">
        <v>910</v>
      </c>
      <c r="O968" s="1" t="s">
        <v>268</v>
      </c>
      <c r="P968" s="1" t="s">
        <v>269</v>
      </c>
      <c r="Q968" s="1" t="s">
        <v>270</v>
      </c>
      <c r="R968" s="1" t="s">
        <v>271</v>
      </c>
      <c r="S968" s="1" t="s">
        <v>33</v>
      </c>
      <c r="T968" s="1" t="s">
        <v>34</v>
      </c>
      <c r="U968" s="1" t="s">
        <v>35</v>
      </c>
      <c r="V968" s="1" t="s">
        <v>36</v>
      </c>
      <c r="W968" s="1" t="s">
        <v>37</v>
      </c>
      <c r="X968" s="1" t="s">
        <v>162</v>
      </c>
      <c r="Y968" s="1" t="s">
        <v>272</v>
      </c>
      <c r="Z968" s="1" t="str">
        <f>TRIM(_xlfn.CONCAT(sales_data_sample[[#This Row],[CONTACTFIRSTNAME]],", ",sales_data_sample[[#This Row],[CONTACTLASTNAME]]))</f>
        <v>Maria, Hernandez</v>
      </c>
      <c r="AA968" s="1" t="s">
        <v>59</v>
      </c>
    </row>
    <row r="969" spans="1:27" x14ac:dyDescent="0.25">
      <c r="A969" s="10">
        <v>10173</v>
      </c>
      <c r="B969" s="9">
        <v>31</v>
      </c>
      <c r="C969" s="9">
        <v>8901</v>
      </c>
      <c r="D969" s="9">
        <f>PRODUCT(sales_data_sample[[#This Row],[QUANTITYORDERED]],sales_data_sample[[#This Row],[PRICEEACH]])</f>
        <v>275931</v>
      </c>
      <c r="E969" s="9">
        <f>IF(OR(sales_data_sample[[#This Row],[STATUS]]="Shipped",sales_data_sample[[#This Row],[STATUS]]="Resolved"),sales_data_sample[[#This Row],[SALES]],0)</f>
        <v>275931</v>
      </c>
      <c r="F969" s="10">
        <v>1</v>
      </c>
      <c r="G969" s="12" t="s">
        <v>776</v>
      </c>
      <c r="H969" s="1" t="s">
        <v>26</v>
      </c>
      <c r="I969">
        <v>4</v>
      </c>
      <c r="J969">
        <v>11</v>
      </c>
      <c r="K969">
        <v>2003</v>
      </c>
      <c r="L969" s="1" t="s">
        <v>799</v>
      </c>
      <c r="M969">
        <v>104</v>
      </c>
      <c r="N969" s="1" t="s">
        <v>910</v>
      </c>
      <c r="O969" s="1" t="s">
        <v>806</v>
      </c>
      <c r="P969" s="1" t="s">
        <v>807</v>
      </c>
      <c r="Q969" s="1" t="s">
        <v>808</v>
      </c>
      <c r="R969" s="1" t="s">
        <v>32</v>
      </c>
      <c r="S969" s="1" t="s">
        <v>809</v>
      </c>
      <c r="T969" s="1" t="s">
        <v>32</v>
      </c>
      <c r="U969" s="1" t="s">
        <v>810</v>
      </c>
      <c r="V969" s="1" t="s">
        <v>343</v>
      </c>
      <c r="W969" s="1" t="s">
        <v>48</v>
      </c>
      <c r="X969" s="1" t="s">
        <v>811</v>
      </c>
      <c r="Y969" s="1" t="s">
        <v>812</v>
      </c>
      <c r="Z969" s="1" t="str">
        <f>TRIM(_xlfn.CONCAT(sales_data_sample[[#This Row],[CONTACTFIRSTNAME]],", ",sales_data_sample[[#This Row],[CONTACTLASTNAME]]))</f>
        <v>Giovanni, Rovelli</v>
      </c>
      <c r="AA969" s="1" t="s">
        <v>40</v>
      </c>
    </row>
    <row r="970" spans="1:27" x14ac:dyDescent="0.25">
      <c r="A970" s="10">
        <v>10183</v>
      </c>
      <c r="B970" s="9">
        <v>22</v>
      </c>
      <c r="C970" s="9">
        <v>100</v>
      </c>
      <c r="D970" s="9">
        <f>PRODUCT(sales_data_sample[[#This Row],[QUANTITYORDERED]],sales_data_sample[[#This Row],[PRICEEACH]])</f>
        <v>2200</v>
      </c>
      <c r="E970" s="9">
        <f>IF(OR(sales_data_sample[[#This Row],[STATUS]]="Shipped",sales_data_sample[[#This Row],[STATUS]]="Resolved"),sales_data_sample[[#This Row],[SALES]],0)</f>
        <v>2200</v>
      </c>
      <c r="F970" s="10">
        <v>10</v>
      </c>
      <c r="G970" s="12" t="s">
        <v>282</v>
      </c>
      <c r="H970" s="1" t="s">
        <v>26</v>
      </c>
      <c r="I970">
        <v>4</v>
      </c>
      <c r="J970">
        <v>11</v>
      </c>
      <c r="K970">
        <v>2003</v>
      </c>
      <c r="L970" s="1" t="s">
        <v>799</v>
      </c>
      <c r="M970">
        <v>104</v>
      </c>
      <c r="N970" s="1" t="s">
        <v>910</v>
      </c>
      <c r="O970" s="1" t="s">
        <v>283</v>
      </c>
      <c r="P970" s="1" t="s">
        <v>284</v>
      </c>
      <c r="Q970" s="1" t="s">
        <v>285</v>
      </c>
      <c r="R970" s="1" t="s">
        <v>32</v>
      </c>
      <c r="S970" s="1" t="s">
        <v>286</v>
      </c>
      <c r="T970" s="1" t="s">
        <v>186</v>
      </c>
      <c r="U970" s="1" t="s">
        <v>287</v>
      </c>
      <c r="V970" s="1" t="s">
        <v>36</v>
      </c>
      <c r="W970" s="1" t="s">
        <v>37</v>
      </c>
      <c r="X970" s="1" t="s">
        <v>288</v>
      </c>
      <c r="Y970" s="1" t="s">
        <v>289</v>
      </c>
      <c r="Z970" s="1" t="str">
        <f>TRIM(_xlfn.CONCAT(sales_data_sample[[#This Row],[CONTACTFIRSTNAME]],", ",sales_data_sample[[#This Row],[CONTACTLASTNAME]]))</f>
        <v>Francisca, Cervantes</v>
      </c>
      <c r="AA970" s="1" t="s">
        <v>40</v>
      </c>
    </row>
    <row r="971" spans="1:27" x14ac:dyDescent="0.25">
      <c r="A971" s="10">
        <v>10193</v>
      </c>
      <c r="B971" s="9">
        <v>23</v>
      </c>
      <c r="C971" s="9">
        <v>100</v>
      </c>
      <c r="D971" s="9">
        <f>PRODUCT(sales_data_sample[[#This Row],[QUANTITYORDERED]],sales_data_sample[[#This Row],[PRICEEACH]])</f>
        <v>2300</v>
      </c>
      <c r="E971" s="9">
        <f>IF(OR(sales_data_sample[[#This Row],[STATUS]]="Shipped",sales_data_sample[[#This Row],[STATUS]]="Resolved"),sales_data_sample[[#This Row],[SALES]],0)</f>
        <v>2300</v>
      </c>
      <c r="F971" s="10">
        <v>2</v>
      </c>
      <c r="G971" s="12" t="s">
        <v>813</v>
      </c>
      <c r="H971" s="1" t="s">
        <v>26</v>
      </c>
      <c r="I971">
        <v>4</v>
      </c>
      <c r="J971">
        <v>11</v>
      </c>
      <c r="K971">
        <v>2003</v>
      </c>
      <c r="L971" s="1" t="s">
        <v>799</v>
      </c>
      <c r="M971">
        <v>104</v>
      </c>
      <c r="N971" s="1" t="s">
        <v>910</v>
      </c>
      <c r="O971" s="1" t="s">
        <v>814</v>
      </c>
      <c r="P971" s="1" t="s">
        <v>815</v>
      </c>
      <c r="Q971" s="1" t="s">
        <v>816</v>
      </c>
      <c r="R971" s="1" t="s">
        <v>32</v>
      </c>
      <c r="S971" s="1" t="s">
        <v>817</v>
      </c>
      <c r="T971" s="1" t="s">
        <v>118</v>
      </c>
      <c r="U971" s="1" t="s">
        <v>818</v>
      </c>
      <c r="V971" s="1" t="s">
        <v>120</v>
      </c>
      <c r="W971" s="1" t="s">
        <v>121</v>
      </c>
      <c r="X971" s="1" t="s">
        <v>819</v>
      </c>
      <c r="Y971" s="1" t="s">
        <v>820</v>
      </c>
      <c r="Z971" s="1" t="str">
        <f>TRIM(_xlfn.CONCAT(sales_data_sample[[#This Row],[CONTACTFIRSTNAME]],", ",sales_data_sample[[#This Row],[CONTACTLASTNAME]]))</f>
        <v>Sean, Connery</v>
      </c>
      <c r="AA971" s="1" t="s">
        <v>40</v>
      </c>
    </row>
    <row r="972" spans="1:27" x14ac:dyDescent="0.25">
      <c r="A972" s="10">
        <v>10206</v>
      </c>
      <c r="B972" s="9">
        <v>30</v>
      </c>
      <c r="C972" s="9">
        <v>100</v>
      </c>
      <c r="D972" s="9">
        <f>PRODUCT(sales_data_sample[[#This Row],[QUANTITYORDERED]],sales_data_sample[[#This Row],[PRICEEACH]])</f>
        <v>3000</v>
      </c>
      <c r="E972" s="9">
        <f>IF(OR(sales_data_sample[[#This Row],[STATUS]]="Shipped",sales_data_sample[[#This Row],[STATUS]]="Resolved"),sales_data_sample[[#This Row],[SALES]],0)</f>
        <v>3000</v>
      </c>
      <c r="F972" s="10">
        <v>8</v>
      </c>
      <c r="G972" s="12" t="s">
        <v>298</v>
      </c>
      <c r="H972" s="1" t="s">
        <v>26</v>
      </c>
      <c r="I972">
        <v>4</v>
      </c>
      <c r="J972">
        <v>12</v>
      </c>
      <c r="K972">
        <v>2003</v>
      </c>
      <c r="L972" s="1" t="s">
        <v>799</v>
      </c>
      <c r="M972">
        <v>104</v>
      </c>
      <c r="N972" s="1" t="s">
        <v>910</v>
      </c>
      <c r="O972" s="1" t="s">
        <v>299</v>
      </c>
      <c r="P972" s="1" t="s">
        <v>300</v>
      </c>
      <c r="Q972" s="1" t="s">
        <v>301</v>
      </c>
      <c r="R972" s="1" t="s">
        <v>32</v>
      </c>
      <c r="S972" s="1" t="s">
        <v>302</v>
      </c>
      <c r="T972" s="1" t="s">
        <v>303</v>
      </c>
      <c r="U972" s="1" t="s">
        <v>304</v>
      </c>
      <c r="V972" s="1" t="s">
        <v>305</v>
      </c>
      <c r="W972" s="1" t="s">
        <v>37</v>
      </c>
      <c r="X972" s="1" t="s">
        <v>306</v>
      </c>
      <c r="Y972" s="1" t="s">
        <v>307</v>
      </c>
      <c r="Z972" s="1" t="str">
        <f>TRIM(_xlfn.CONCAT(sales_data_sample[[#This Row],[CONTACTFIRSTNAME]],", ",sales_data_sample[[#This Row],[CONTACTLASTNAME]]))</f>
        <v>Yoshi, Tannamuri</v>
      </c>
      <c r="AA972" s="1" t="s">
        <v>59</v>
      </c>
    </row>
    <row r="973" spans="1:27" x14ac:dyDescent="0.25">
      <c r="A973" s="10">
        <v>10215</v>
      </c>
      <c r="B973" s="9">
        <v>49</v>
      </c>
      <c r="C973" s="9">
        <v>100</v>
      </c>
      <c r="D973" s="9">
        <f>PRODUCT(sales_data_sample[[#This Row],[QUANTITYORDERED]],sales_data_sample[[#This Row],[PRICEEACH]])</f>
        <v>4900</v>
      </c>
      <c r="E973" s="9">
        <f>IF(OR(sales_data_sample[[#This Row],[STATUS]]="Shipped",sales_data_sample[[#This Row],[STATUS]]="Resolved"),sales_data_sample[[#This Row],[SALES]],0)</f>
        <v>4900</v>
      </c>
      <c r="F973" s="10">
        <v>5</v>
      </c>
      <c r="G973" s="12" t="s">
        <v>308</v>
      </c>
      <c r="H973" s="1" t="s">
        <v>26</v>
      </c>
      <c r="I973">
        <v>1</v>
      </c>
      <c r="J973">
        <v>1</v>
      </c>
      <c r="K973">
        <v>2004</v>
      </c>
      <c r="L973" s="1" t="s">
        <v>799</v>
      </c>
      <c r="M973">
        <v>104</v>
      </c>
      <c r="N973" s="1" t="s">
        <v>910</v>
      </c>
      <c r="O973" s="1" t="s">
        <v>309</v>
      </c>
      <c r="P973" s="1" t="s">
        <v>310</v>
      </c>
      <c r="Q973" s="1" t="s">
        <v>311</v>
      </c>
      <c r="R973" s="1" t="s">
        <v>32</v>
      </c>
      <c r="S973" s="1" t="s">
        <v>312</v>
      </c>
      <c r="T973" s="1" t="s">
        <v>65</v>
      </c>
      <c r="U973" s="1" t="s">
        <v>137</v>
      </c>
      <c r="V973" s="1" t="s">
        <v>36</v>
      </c>
      <c r="W973" s="1" t="s">
        <v>37</v>
      </c>
      <c r="X973" s="1" t="s">
        <v>313</v>
      </c>
      <c r="Y973" s="1" t="s">
        <v>314</v>
      </c>
      <c r="Z973" s="1" t="str">
        <f>TRIM(_xlfn.CONCAT(sales_data_sample[[#This Row],[CONTACTFIRSTNAME]],", ",sales_data_sample[[#This Row],[CONTACTLASTNAME]]))</f>
        <v>Steve, Thompson</v>
      </c>
      <c r="AA973" s="1" t="s">
        <v>59</v>
      </c>
    </row>
    <row r="974" spans="1:27" x14ac:dyDescent="0.25">
      <c r="A974" s="10">
        <v>10228</v>
      </c>
      <c r="B974" s="9">
        <v>31</v>
      </c>
      <c r="C974" s="9">
        <v>100</v>
      </c>
      <c r="D974" s="9">
        <f>PRODUCT(sales_data_sample[[#This Row],[QUANTITYORDERED]],sales_data_sample[[#This Row],[PRICEEACH]])</f>
        <v>3100</v>
      </c>
      <c r="E974" s="9">
        <f>IF(OR(sales_data_sample[[#This Row],[STATUS]]="Shipped",sales_data_sample[[#This Row],[STATUS]]="Resolved"),sales_data_sample[[#This Row],[SALES]],0)</f>
        <v>3100</v>
      </c>
      <c r="F974" s="10">
        <v>4</v>
      </c>
      <c r="G974" s="12" t="s">
        <v>315</v>
      </c>
      <c r="H974" s="1" t="s">
        <v>26</v>
      </c>
      <c r="I974">
        <v>1</v>
      </c>
      <c r="J974">
        <v>3</v>
      </c>
      <c r="K974">
        <v>2004</v>
      </c>
      <c r="L974" s="1" t="s">
        <v>799</v>
      </c>
      <c r="M974">
        <v>104</v>
      </c>
      <c r="N974" s="1" t="s">
        <v>910</v>
      </c>
      <c r="O974" s="1" t="s">
        <v>316</v>
      </c>
      <c r="P974" s="1" t="s">
        <v>317</v>
      </c>
      <c r="Q974" s="1" t="s">
        <v>318</v>
      </c>
      <c r="R974" s="1" t="s">
        <v>32</v>
      </c>
      <c r="S974" s="1" t="s">
        <v>159</v>
      </c>
      <c r="T974" s="1" t="s">
        <v>160</v>
      </c>
      <c r="U974" s="1" t="s">
        <v>161</v>
      </c>
      <c r="V974" s="1" t="s">
        <v>36</v>
      </c>
      <c r="W974" s="1" t="s">
        <v>37</v>
      </c>
      <c r="X974" s="1" t="s">
        <v>319</v>
      </c>
      <c r="Y974" s="1" t="s">
        <v>188</v>
      </c>
      <c r="Z974" s="1" t="str">
        <f>TRIM(_xlfn.CONCAT(sales_data_sample[[#This Row],[CONTACTFIRSTNAME]],", ",sales_data_sample[[#This Row],[CONTACTLASTNAME]]))</f>
        <v>Kyung, Tseng</v>
      </c>
      <c r="AA974" s="1" t="s">
        <v>59</v>
      </c>
    </row>
    <row r="975" spans="1:27" x14ac:dyDescent="0.25">
      <c r="A975" s="10">
        <v>10244</v>
      </c>
      <c r="B975" s="9">
        <v>29</v>
      </c>
      <c r="C975" s="9">
        <v>100</v>
      </c>
      <c r="D975" s="9">
        <f>PRODUCT(sales_data_sample[[#This Row],[QUANTITYORDERED]],sales_data_sample[[#This Row],[PRICEEACH]])</f>
        <v>2900</v>
      </c>
      <c r="E975" s="9">
        <f>IF(OR(sales_data_sample[[#This Row],[STATUS]]="Shipped",sales_data_sample[[#This Row],[STATUS]]="Resolved"),sales_data_sample[[#This Row],[SALES]],0)</f>
        <v>2900</v>
      </c>
      <c r="F975" s="10">
        <v>2</v>
      </c>
      <c r="G975" s="12" t="s">
        <v>823</v>
      </c>
      <c r="H975" s="1" t="s">
        <v>26</v>
      </c>
      <c r="I975">
        <v>2</v>
      </c>
      <c r="J975">
        <v>4</v>
      </c>
      <c r="K975">
        <v>2004</v>
      </c>
      <c r="L975" s="1" t="s">
        <v>799</v>
      </c>
      <c r="M975">
        <v>104</v>
      </c>
      <c r="N975" s="1" t="s">
        <v>910</v>
      </c>
      <c r="O975" s="1" t="s">
        <v>230</v>
      </c>
      <c r="P975" s="1" t="s">
        <v>231</v>
      </c>
      <c r="Q975" s="1" t="s">
        <v>232</v>
      </c>
      <c r="R975" s="1" t="s">
        <v>32</v>
      </c>
      <c r="S975" s="1" t="s">
        <v>233</v>
      </c>
      <c r="T975" s="1" t="s">
        <v>32</v>
      </c>
      <c r="U975" s="1" t="s">
        <v>234</v>
      </c>
      <c r="V975" s="1" t="s">
        <v>235</v>
      </c>
      <c r="W975" s="1" t="s">
        <v>48</v>
      </c>
      <c r="X975" s="1" t="s">
        <v>236</v>
      </c>
      <c r="Y975" s="1" t="s">
        <v>237</v>
      </c>
      <c r="Z975" s="1" t="str">
        <f>TRIM(_xlfn.CONCAT(sales_data_sample[[#This Row],[CONTACTFIRSTNAME]],", ",sales_data_sample[[#This Row],[CONTACTLASTNAME]]))</f>
        <v>Diego, Freyre</v>
      </c>
      <c r="AA975" s="1" t="s">
        <v>59</v>
      </c>
    </row>
    <row r="976" spans="1:27" x14ac:dyDescent="0.25">
      <c r="A976" s="10">
        <v>10257</v>
      </c>
      <c r="B976" s="9">
        <v>37</v>
      </c>
      <c r="C976" s="9">
        <v>8482</v>
      </c>
      <c r="D976" s="9">
        <f>PRODUCT(sales_data_sample[[#This Row],[QUANTITYORDERED]],sales_data_sample[[#This Row],[PRICEEACH]])</f>
        <v>313834</v>
      </c>
      <c r="E976" s="9">
        <f>IF(OR(sales_data_sample[[#This Row],[STATUS]]="Shipped",sales_data_sample[[#This Row],[STATUS]]="Resolved"),sales_data_sample[[#This Row],[SALES]],0)</f>
        <v>313834</v>
      </c>
      <c r="F976" s="10">
        <v>2</v>
      </c>
      <c r="G976" s="12" t="s">
        <v>901</v>
      </c>
      <c r="H976" s="1" t="s">
        <v>26</v>
      </c>
      <c r="I976">
        <v>2</v>
      </c>
      <c r="J976">
        <v>6</v>
      </c>
      <c r="K976">
        <v>2004</v>
      </c>
      <c r="L976" s="1" t="s">
        <v>799</v>
      </c>
      <c r="M976">
        <v>104</v>
      </c>
      <c r="N976" s="1" t="s">
        <v>910</v>
      </c>
      <c r="O976" s="1" t="s">
        <v>547</v>
      </c>
      <c r="P976" s="1" t="s">
        <v>548</v>
      </c>
      <c r="Q976" s="1" t="s">
        <v>549</v>
      </c>
      <c r="R976" s="1" t="s">
        <v>32</v>
      </c>
      <c r="S976" s="1" t="s">
        <v>550</v>
      </c>
      <c r="T976" s="1" t="s">
        <v>65</v>
      </c>
      <c r="U976" s="1" t="s">
        <v>80</v>
      </c>
      <c r="V976" s="1" t="s">
        <v>36</v>
      </c>
      <c r="W976" s="1" t="s">
        <v>37</v>
      </c>
      <c r="X976" s="1" t="s">
        <v>129</v>
      </c>
      <c r="Y976" s="1" t="s">
        <v>551</v>
      </c>
      <c r="Z976" s="1" t="str">
        <f>TRIM(_xlfn.CONCAT(sales_data_sample[[#This Row],[CONTACTFIRSTNAME]],", ",sales_data_sample[[#This Row],[CONTACTLASTNAME]]))</f>
        <v>Sue, Frick</v>
      </c>
      <c r="AA976" s="1" t="s">
        <v>59</v>
      </c>
    </row>
    <row r="977" spans="1:27" x14ac:dyDescent="0.25">
      <c r="A977">
        <v>10270</v>
      </c>
      <c r="B977">
        <v>38</v>
      </c>
      <c r="C977">
        <v>100</v>
      </c>
      <c r="D977">
        <f>PRODUCT(sales_data_sample[[#This Row],[QUANTITYORDERED]],sales_data_sample[[#This Row],[PRICEEACH]])</f>
        <v>3800</v>
      </c>
      <c r="E977" s="9">
        <f>IF(OR(sales_data_sample[[#This Row],[STATUS]]="Shipped",sales_data_sample[[#This Row],[STATUS]]="Resolved"),sales_data_sample[[#This Row],[SALES]],0)</f>
        <v>3800</v>
      </c>
      <c r="F977">
        <v>11</v>
      </c>
      <c r="G977" s="12" t="s">
        <v>336</v>
      </c>
      <c r="H977" s="1" t="s">
        <v>26</v>
      </c>
      <c r="I977">
        <v>3</v>
      </c>
      <c r="J977">
        <v>7</v>
      </c>
      <c r="K977">
        <v>2004</v>
      </c>
      <c r="L977" s="1" t="s">
        <v>799</v>
      </c>
      <c r="M977">
        <v>104</v>
      </c>
      <c r="N977" s="1" t="s">
        <v>910</v>
      </c>
      <c r="O977" s="1" t="s">
        <v>201</v>
      </c>
      <c r="P977" s="1" t="s">
        <v>202</v>
      </c>
      <c r="Q977" s="1" t="s">
        <v>203</v>
      </c>
      <c r="R977" s="1" t="s">
        <v>204</v>
      </c>
      <c r="S977" s="1" t="s">
        <v>205</v>
      </c>
      <c r="T977" s="1" t="s">
        <v>206</v>
      </c>
      <c r="U977" s="1" t="s">
        <v>207</v>
      </c>
      <c r="V977" s="1" t="s">
        <v>120</v>
      </c>
      <c r="W977" s="1" t="s">
        <v>121</v>
      </c>
      <c r="X977" s="1" t="s">
        <v>208</v>
      </c>
      <c r="Y977" s="1" t="s">
        <v>209</v>
      </c>
      <c r="Z977" s="1" t="str">
        <f>TRIM(_xlfn.CONCAT(sales_data_sample[[#This Row],[CONTACTFIRSTNAME]],", ",sales_data_sample[[#This Row],[CONTACTLASTNAME]]))</f>
        <v>Adrian, Huxley</v>
      </c>
      <c r="AA977" s="1" t="s">
        <v>59</v>
      </c>
    </row>
    <row r="978" spans="1:27" x14ac:dyDescent="0.25">
      <c r="A978" s="10">
        <v>10280</v>
      </c>
      <c r="B978" s="9">
        <v>29</v>
      </c>
      <c r="C978" s="9">
        <v>100</v>
      </c>
      <c r="D978" s="9">
        <f>PRODUCT(sales_data_sample[[#This Row],[QUANTITYORDERED]],sales_data_sample[[#This Row],[PRICEEACH]])</f>
        <v>2900</v>
      </c>
      <c r="E978" s="9">
        <f>IF(OR(sales_data_sample[[#This Row],[STATUS]]="Shipped",sales_data_sample[[#This Row],[STATUS]]="Resolved"),sales_data_sample[[#This Row],[SALES]],0)</f>
        <v>2900</v>
      </c>
      <c r="F978" s="10">
        <v>4</v>
      </c>
      <c r="G978" s="12" t="s">
        <v>337</v>
      </c>
      <c r="H978" s="1" t="s">
        <v>26</v>
      </c>
      <c r="I978">
        <v>3</v>
      </c>
      <c r="J978">
        <v>8</v>
      </c>
      <c r="K978">
        <v>2004</v>
      </c>
      <c r="L978" s="1" t="s">
        <v>799</v>
      </c>
      <c r="M978">
        <v>104</v>
      </c>
      <c r="N978" s="1" t="s">
        <v>910</v>
      </c>
      <c r="O978" s="1" t="s">
        <v>338</v>
      </c>
      <c r="P978" s="1" t="s">
        <v>339</v>
      </c>
      <c r="Q978" s="1" t="s">
        <v>340</v>
      </c>
      <c r="R978" s="1" t="s">
        <v>32</v>
      </c>
      <c r="S978" s="1" t="s">
        <v>341</v>
      </c>
      <c r="T978" s="1" t="s">
        <v>32</v>
      </c>
      <c r="U978" s="1" t="s">
        <v>342</v>
      </c>
      <c r="V978" s="1" t="s">
        <v>343</v>
      </c>
      <c r="W978" s="1" t="s">
        <v>48</v>
      </c>
      <c r="X978" s="1" t="s">
        <v>344</v>
      </c>
      <c r="Y978" s="1" t="s">
        <v>345</v>
      </c>
      <c r="Z978" s="1" t="str">
        <f>TRIM(_xlfn.CONCAT(sales_data_sample[[#This Row],[CONTACTFIRSTNAME]],", ",sales_data_sample[[#This Row],[CONTACTLASTNAME]]))</f>
        <v>Paolo, Accorti</v>
      </c>
      <c r="AA978" s="1" t="s">
        <v>59</v>
      </c>
    </row>
    <row r="979" spans="1:27" x14ac:dyDescent="0.25">
      <c r="A979" s="10">
        <v>10291</v>
      </c>
      <c r="B979" s="9">
        <v>23</v>
      </c>
      <c r="C979" s="9">
        <v>100</v>
      </c>
      <c r="D979" s="9">
        <f>PRODUCT(sales_data_sample[[#This Row],[QUANTITYORDERED]],sales_data_sample[[#This Row],[PRICEEACH]])</f>
        <v>2300</v>
      </c>
      <c r="E979" s="9">
        <f>IF(OR(sales_data_sample[[#This Row],[STATUS]]="Shipped",sales_data_sample[[#This Row],[STATUS]]="Resolved"),sales_data_sample[[#This Row],[SALES]],0)</f>
        <v>2300</v>
      </c>
      <c r="F979" s="10">
        <v>13</v>
      </c>
      <c r="G979" s="12" t="s">
        <v>346</v>
      </c>
      <c r="H979" s="1" t="s">
        <v>26</v>
      </c>
      <c r="I979">
        <v>3</v>
      </c>
      <c r="J979">
        <v>9</v>
      </c>
      <c r="K979">
        <v>2004</v>
      </c>
      <c r="L979" s="1" t="s">
        <v>799</v>
      </c>
      <c r="M979">
        <v>104</v>
      </c>
      <c r="N979" s="1" t="s">
        <v>910</v>
      </c>
      <c r="O979" s="1" t="s">
        <v>347</v>
      </c>
      <c r="P979" s="1" t="s">
        <v>348</v>
      </c>
      <c r="Q979" s="1" t="s">
        <v>349</v>
      </c>
      <c r="R979" s="1" t="s">
        <v>32</v>
      </c>
      <c r="S979" s="1" t="s">
        <v>350</v>
      </c>
      <c r="T979" s="1" t="s">
        <v>32</v>
      </c>
      <c r="U979" s="1" t="s">
        <v>351</v>
      </c>
      <c r="V979" s="1" t="s">
        <v>247</v>
      </c>
      <c r="W979" s="1" t="s">
        <v>48</v>
      </c>
      <c r="X979" s="1" t="s">
        <v>352</v>
      </c>
      <c r="Y979" s="1" t="s">
        <v>272</v>
      </c>
      <c r="Z979" s="1" t="str">
        <f>TRIM(_xlfn.CONCAT(sales_data_sample[[#This Row],[CONTACTFIRSTNAME]],", ",sales_data_sample[[#This Row],[CONTACTLASTNAME]]))</f>
        <v>Maria, Larsson</v>
      </c>
      <c r="AA979" s="1" t="s">
        <v>40</v>
      </c>
    </row>
    <row r="980" spans="1:27" x14ac:dyDescent="0.25">
      <c r="A980" s="10">
        <v>10304</v>
      </c>
      <c r="B980" s="9">
        <v>26</v>
      </c>
      <c r="C980" s="9">
        <v>8587</v>
      </c>
      <c r="D980" s="9">
        <f>PRODUCT(sales_data_sample[[#This Row],[QUANTITYORDERED]],sales_data_sample[[#This Row],[PRICEEACH]])</f>
        <v>223262</v>
      </c>
      <c r="E980" s="9">
        <f>IF(OR(sales_data_sample[[#This Row],[STATUS]]="Shipped",sales_data_sample[[#This Row],[STATUS]]="Resolved"),sales_data_sample[[#This Row],[SALES]],0)</f>
        <v>223262</v>
      </c>
      <c r="F980" s="10">
        <v>8</v>
      </c>
      <c r="G980" s="12" t="s">
        <v>353</v>
      </c>
      <c r="H980" s="1" t="s">
        <v>26</v>
      </c>
      <c r="I980">
        <v>4</v>
      </c>
      <c r="J980">
        <v>10</v>
      </c>
      <c r="K980">
        <v>2004</v>
      </c>
      <c r="L980" s="1" t="s">
        <v>799</v>
      </c>
      <c r="M980">
        <v>104</v>
      </c>
      <c r="N980" s="1" t="s">
        <v>910</v>
      </c>
      <c r="O980" s="1" t="s">
        <v>354</v>
      </c>
      <c r="P980" s="1" t="s">
        <v>355</v>
      </c>
      <c r="Q980" s="1" t="s">
        <v>356</v>
      </c>
      <c r="R980" s="1" t="s">
        <v>32</v>
      </c>
      <c r="S980" s="1" t="s">
        <v>357</v>
      </c>
      <c r="T980" s="1" t="s">
        <v>32</v>
      </c>
      <c r="U980" s="1" t="s">
        <v>358</v>
      </c>
      <c r="V980" s="1" t="s">
        <v>47</v>
      </c>
      <c r="W980" s="1" t="s">
        <v>48</v>
      </c>
      <c r="X980" s="1" t="s">
        <v>359</v>
      </c>
      <c r="Y980" s="1" t="s">
        <v>58</v>
      </c>
      <c r="Z980" s="1" t="str">
        <f>TRIM(_xlfn.CONCAT(sales_data_sample[[#This Row],[CONTACTFIRSTNAME]],", ",sales_data_sample[[#This Row],[CONTACTLASTNAME]]))</f>
        <v>Daniel, Tonini</v>
      </c>
      <c r="AA980" s="1" t="s">
        <v>40</v>
      </c>
    </row>
    <row r="981" spans="1:27" x14ac:dyDescent="0.25">
      <c r="A981" s="10">
        <v>10312</v>
      </c>
      <c r="B981" s="9">
        <v>38</v>
      </c>
      <c r="C981" s="9">
        <v>100</v>
      </c>
      <c r="D981" s="9">
        <f>PRODUCT(sales_data_sample[[#This Row],[QUANTITYORDERED]],sales_data_sample[[#This Row],[PRICEEACH]])</f>
        <v>3800</v>
      </c>
      <c r="E981" s="9">
        <f>IF(OR(sales_data_sample[[#This Row],[STATUS]]="Shipped",sales_data_sample[[#This Row],[STATUS]]="Resolved"),sales_data_sample[[#This Row],[SALES]],0)</f>
        <v>3800</v>
      </c>
      <c r="F981" s="10">
        <v>5</v>
      </c>
      <c r="G981" s="12" t="s">
        <v>360</v>
      </c>
      <c r="H981" s="1" t="s">
        <v>26</v>
      </c>
      <c r="I981">
        <v>4</v>
      </c>
      <c r="J981">
        <v>10</v>
      </c>
      <c r="K981">
        <v>2004</v>
      </c>
      <c r="L981" s="1" t="s">
        <v>799</v>
      </c>
      <c r="M981">
        <v>104</v>
      </c>
      <c r="N981" s="1" t="s">
        <v>910</v>
      </c>
      <c r="O981" s="1" t="s">
        <v>361</v>
      </c>
      <c r="P981" s="1" t="s">
        <v>362</v>
      </c>
      <c r="Q981" s="1" t="s">
        <v>363</v>
      </c>
      <c r="R981" s="1" t="s">
        <v>32</v>
      </c>
      <c r="S981" s="1" t="s">
        <v>364</v>
      </c>
      <c r="T981" s="1" t="s">
        <v>65</v>
      </c>
      <c r="U981" s="1" t="s">
        <v>145</v>
      </c>
      <c r="V981" s="1" t="s">
        <v>36</v>
      </c>
      <c r="W981" s="1" t="s">
        <v>37</v>
      </c>
      <c r="X981" s="1" t="s">
        <v>365</v>
      </c>
      <c r="Y981" s="1" t="s">
        <v>366</v>
      </c>
      <c r="Z981" s="1" t="str">
        <f>TRIM(_xlfn.CONCAT(sales_data_sample[[#This Row],[CONTACTFIRSTNAME]],", ",sales_data_sample[[#This Row],[CONTACTLASTNAME]]))</f>
        <v>Valarie, Nelson</v>
      </c>
      <c r="AA981" s="1" t="s">
        <v>59</v>
      </c>
    </row>
    <row r="982" spans="1:27" x14ac:dyDescent="0.25">
      <c r="A982" s="10">
        <v>10322</v>
      </c>
      <c r="B982" s="9">
        <v>48</v>
      </c>
      <c r="C982" s="9">
        <v>4704</v>
      </c>
      <c r="D982" s="9">
        <f>PRODUCT(sales_data_sample[[#This Row],[QUANTITYORDERED]],sales_data_sample[[#This Row],[PRICEEACH]])</f>
        <v>225792</v>
      </c>
      <c r="E982" s="9">
        <f>IF(OR(sales_data_sample[[#This Row],[STATUS]]="Shipped",sales_data_sample[[#This Row],[STATUS]]="Resolved"),sales_data_sample[[#This Row],[SALES]],0)</f>
        <v>225792</v>
      </c>
      <c r="F982" s="10">
        <v>7</v>
      </c>
      <c r="G982" s="12" t="s">
        <v>367</v>
      </c>
      <c r="H982" s="1" t="s">
        <v>26</v>
      </c>
      <c r="I982">
        <v>4</v>
      </c>
      <c r="J982">
        <v>11</v>
      </c>
      <c r="K982">
        <v>2004</v>
      </c>
      <c r="L982" s="1" t="s">
        <v>799</v>
      </c>
      <c r="M982">
        <v>104</v>
      </c>
      <c r="N982" s="1" t="s">
        <v>910</v>
      </c>
      <c r="O982" s="1" t="s">
        <v>368</v>
      </c>
      <c r="P982" s="1" t="s">
        <v>369</v>
      </c>
      <c r="Q982" s="1" t="s">
        <v>370</v>
      </c>
      <c r="R982" s="1" t="s">
        <v>32</v>
      </c>
      <c r="S982" s="1" t="s">
        <v>371</v>
      </c>
      <c r="T982" s="1" t="s">
        <v>372</v>
      </c>
      <c r="U982" s="1" t="s">
        <v>373</v>
      </c>
      <c r="V982" s="1" t="s">
        <v>36</v>
      </c>
      <c r="W982" s="1" t="s">
        <v>37</v>
      </c>
      <c r="X982" s="1" t="s">
        <v>67</v>
      </c>
      <c r="Y982" s="1" t="s">
        <v>366</v>
      </c>
      <c r="Z982" s="1" t="str">
        <f>TRIM(_xlfn.CONCAT(sales_data_sample[[#This Row],[CONTACTFIRSTNAME]],", ",sales_data_sample[[#This Row],[CONTACTLASTNAME]]))</f>
        <v>Valarie, Young</v>
      </c>
      <c r="AA982" s="1" t="s">
        <v>40</v>
      </c>
    </row>
    <row r="983" spans="1:27" x14ac:dyDescent="0.25">
      <c r="A983" s="10">
        <v>10332</v>
      </c>
      <c r="B983" s="9">
        <v>40</v>
      </c>
      <c r="C983" s="9">
        <v>398</v>
      </c>
      <c r="D983" s="9">
        <f>PRODUCT(sales_data_sample[[#This Row],[QUANTITYORDERED]],sales_data_sample[[#This Row],[PRICEEACH]])</f>
        <v>15920</v>
      </c>
      <c r="E983" s="9">
        <f>IF(OR(sales_data_sample[[#This Row],[STATUS]]="Shipped",sales_data_sample[[#This Row],[STATUS]]="Resolved"),sales_data_sample[[#This Row],[SALES]],0)</f>
        <v>15920</v>
      </c>
      <c r="F983" s="10">
        <v>18</v>
      </c>
      <c r="G983" s="12" t="s">
        <v>793</v>
      </c>
      <c r="H983" s="1" t="s">
        <v>26</v>
      </c>
      <c r="I983">
        <v>4</v>
      </c>
      <c r="J983">
        <v>11</v>
      </c>
      <c r="K983">
        <v>2004</v>
      </c>
      <c r="L983" s="1" t="s">
        <v>799</v>
      </c>
      <c r="M983">
        <v>104</v>
      </c>
      <c r="N983" s="1" t="s">
        <v>910</v>
      </c>
      <c r="O983" s="1" t="s">
        <v>695</v>
      </c>
      <c r="P983" s="1" t="s">
        <v>696</v>
      </c>
      <c r="Q983" s="1" t="s">
        <v>697</v>
      </c>
      <c r="R983" s="1" t="s">
        <v>32</v>
      </c>
      <c r="S983" s="1" t="s">
        <v>698</v>
      </c>
      <c r="T983" s="1" t="s">
        <v>32</v>
      </c>
      <c r="U983" s="1" t="s">
        <v>699</v>
      </c>
      <c r="V983" s="1" t="s">
        <v>225</v>
      </c>
      <c r="W983" s="1" t="s">
        <v>48</v>
      </c>
      <c r="X983" s="1" t="s">
        <v>700</v>
      </c>
      <c r="Y983" s="1" t="s">
        <v>118</v>
      </c>
      <c r="Z983" s="1" t="str">
        <f>TRIM(_xlfn.CONCAT(sales_data_sample[[#This Row],[CONTACTFIRSTNAME]],", ",sales_data_sample[[#This Row],[CONTACTLASTNAME]]))</f>
        <v>Victoria, Ashworth</v>
      </c>
      <c r="AA983" s="1" t="s">
        <v>40</v>
      </c>
    </row>
    <row r="984" spans="1:27" x14ac:dyDescent="0.25">
      <c r="A984">
        <v>10347</v>
      </c>
      <c r="B984">
        <v>45</v>
      </c>
      <c r="C984">
        <v>100</v>
      </c>
      <c r="D984">
        <f>PRODUCT(sales_data_sample[[#This Row],[QUANTITYORDERED]],sales_data_sample[[#This Row],[PRICEEACH]])</f>
        <v>4500</v>
      </c>
      <c r="E984" s="9">
        <f>IF(OR(sales_data_sample[[#This Row],[STATUS]]="Shipped",sales_data_sample[[#This Row],[STATUS]]="Resolved"),sales_data_sample[[#This Row],[SALES]],0)</f>
        <v>4500</v>
      </c>
      <c r="F984">
        <v>11</v>
      </c>
      <c r="G984" s="12" t="s">
        <v>375</v>
      </c>
      <c r="H984" s="1" t="s">
        <v>26</v>
      </c>
      <c r="I984">
        <v>4</v>
      </c>
      <c r="J984">
        <v>11</v>
      </c>
      <c r="K984">
        <v>2004</v>
      </c>
      <c r="L984" s="1" t="s">
        <v>799</v>
      </c>
      <c r="M984">
        <v>104</v>
      </c>
      <c r="N984" s="1" t="s">
        <v>910</v>
      </c>
      <c r="O984" s="1" t="s">
        <v>113</v>
      </c>
      <c r="P984" s="1" t="s">
        <v>114</v>
      </c>
      <c r="Q984" s="1" t="s">
        <v>115</v>
      </c>
      <c r="R984" s="1" t="s">
        <v>116</v>
      </c>
      <c r="S984" s="1" t="s">
        <v>117</v>
      </c>
      <c r="T984" s="1" t="s">
        <v>118</v>
      </c>
      <c r="U984" s="1" t="s">
        <v>119</v>
      </c>
      <c r="V984" s="1" t="s">
        <v>120</v>
      </c>
      <c r="W984" s="1" t="s">
        <v>121</v>
      </c>
      <c r="X984" s="1" t="s">
        <v>122</v>
      </c>
      <c r="Y984" s="1" t="s">
        <v>123</v>
      </c>
      <c r="Z984" s="1" t="str">
        <f>TRIM(_xlfn.CONCAT(sales_data_sample[[#This Row],[CONTACTFIRSTNAME]],", ",sales_data_sample[[#This Row],[CONTACTLASTNAME]]))</f>
        <v>Peter, Ferguson</v>
      </c>
      <c r="AA984" s="1" t="s">
        <v>59</v>
      </c>
    </row>
    <row r="985" spans="1:27" x14ac:dyDescent="0.25">
      <c r="A985" s="10">
        <v>10357</v>
      </c>
      <c r="B985" s="9">
        <v>44</v>
      </c>
      <c r="C985" s="9">
        <v>100</v>
      </c>
      <c r="D985" s="9">
        <f>PRODUCT(sales_data_sample[[#This Row],[QUANTITYORDERED]],sales_data_sample[[#This Row],[PRICEEACH]])</f>
        <v>4400</v>
      </c>
      <c r="E985" s="9">
        <f>IF(OR(sales_data_sample[[#This Row],[STATUS]]="Shipped",sales_data_sample[[#This Row],[STATUS]]="Resolved"),sales_data_sample[[#This Row],[SALES]],0)</f>
        <v>4400</v>
      </c>
      <c r="F985" s="10">
        <v>4</v>
      </c>
      <c r="G985" s="12" t="s">
        <v>376</v>
      </c>
      <c r="H985" s="1" t="s">
        <v>26</v>
      </c>
      <c r="I985">
        <v>4</v>
      </c>
      <c r="J985">
        <v>12</v>
      </c>
      <c r="K985">
        <v>2004</v>
      </c>
      <c r="L985" s="1" t="s">
        <v>799</v>
      </c>
      <c r="M985">
        <v>104</v>
      </c>
      <c r="N985" s="1" t="s">
        <v>910</v>
      </c>
      <c r="O985" s="1" t="s">
        <v>361</v>
      </c>
      <c r="P985" s="1" t="s">
        <v>362</v>
      </c>
      <c r="Q985" s="1" t="s">
        <v>363</v>
      </c>
      <c r="R985" s="1" t="s">
        <v>32</v>
      </c>
      <c r="S985" s="1" t="s">
        <v>364</v>
      </c>
      <c r="T985" s="1" t="s">
        <v>65</v>
      </c>
      <c r="U985" s="1" t="s">
        <v>145</v>
      </c>
      <c r="V985" s="1" t="s">
        <v>36</v>
      </c>
      <c r="W985" s="1" t="s">
        <v>37</v>
      </c>
      <c r="X985" s="1" t="s">
        <v>365</v>
      </c>
      <c r="Y985" s="1" t="s">
        <v>366</v>
      </c>
      <c r="Z985" s="1" t="str">
        <f>TRIM(_xlfn.CONCAT(sales_data_sample[[#This Row],[CONTACTFIRSTNAME]],", ",sales_data_sample[[#This Row],[CONTACTLASTNAME]]))</f>
        <v>Valarie, Nelson</v>
      </c>
      <c r="AA985" s="1" t="s">
        <v>59</v>
      </c>
    </row>
    <row r="986" spans="1:27" x14ac:dyDescent="0.25">
      <c r="A986" s="10">
        <v>10369</v>
      </c>
      <c r="B986" s="9">
        <v>21</v>
      </c>
      <c r="C986" s="9">
        <v>9422</v>
      </c>
      <c r="D986" s="9">
        <f>PRODUCT(sales_data_sample[[#This Row],[QUANTITYORDERED]],sales_data_sample[[#This Row],[PRICEEACH]])</f>
        <v>197862</v>
      </c>
      <c r="E986" s="9">
        <f>IF(OR(sales_data_sample[[#This Row],[STATUS]]="Shipped",sales_data_sample[[#This Row],[STATUS]]="Resolved"),sales_data_sample[[#This Row],[SALES]],0)</f>
        <v>197862</v>
      </c>
      <c r="F986" s="10">
        <v>5</v>
      </c>
      <c r="G986" s="12" t="s">
        <v>377</v>
      </c>
      <c r="H986" s="1" t="s">
        <v>26</v>
      </c>
      <c r="I986">
        <v>1</v>
      </c>
      <c r="J986">
        <v>1</v>
      </c>
      <c r="K986">
        <v>2005</v>
      </c>
      <c r="L986" s="1" t="s">
        <v>799</v>
      </c>
      <c r="M986">
        <v>104</v>
      </c>
      <c r="N986" s="1" t="s">
        <v>910</v>
      </c>
      <c r="O986" s="1" t="s">
        <v>378</v>
      </c>
      <c r="P986" s="1" t="s">
        <v>157</v>
      </c>
      <c r="Q986" s="1" t="s">
        <v>379</v>
      </c>
      <c r="R986" s="1" t="s">
        <v>32</v>
      </c>
      <c r="S986" s="1" t="s">
        <v>380</v>
      </c>
      <c r="T986" s="1" t="s">
        <v>160</v>
      </c>
      <c r="U986" s="1" t="s">
        <v>381</v>
      </c>
      <c r="V986" s="1" t="s">
        <v>36</v>
      </c>
      <c r="W986" s="1" t="s">
        <v>37</v>
      </c>
      <c r="X986" s="1" t="s">
        <v>365</v>
      </c>
      <c r="Y986" s="1" t="s">
        <v>382</v>
      </c>
      <c r="Z986" s="1" t="str">
        <f>TRIM(_xlfn.CONCAT(sales_data_sample[[#This Row],[CONTACTFIRSTNAME]],", ",sales_data_sample[[#This Row],[CONTACTLASTNAME]]))</f>
        <v>Allen, Nelson</v>
      </c>
      <c r="AA986" s="1" t="s">
        <v>40</v>
      </c>
    </row>
    <row r="987" spans="1:27" x14ac:dyDescent="0.25">
      <c r="A987" s="10">
        <v>10381</v>
      </c>
      <c r="B987" s="9">
        <v>35</v>
      </c>
      <c r="C987" s="9">
        <v>100</v>
      </c>
      <c r="D987" s="9">
        <f>PRODUCT(sales_data_sample[[#This Row],[QUANTITYORDERED]],sales_data_sample[[#This Row],[PRICEEACH]])</f>
        <v>3500</v>
      </c>
      <c r="E987" s="9">
        <f>IF(OR(sales_data_sample[[#This Row],[STATUS]]="Shipped",sales_data_sample[[#This Row],[STATUS]]="Resolved"),sales_data_sample[[#This Row],[SALES]],0)</f>
        <v>3500</v>
      </c>
      <c r="F987" s="10">
        <v>5</v>
      </c>
      <c r="G987" s="12" t="s">
        <v>383</v>
      </c>
      <c r="H987" s="1" t="s">
        <v>26</v>
      </c>
      <c r="I987">
        <v>1</v>
      </c>
      <c r="J987">
        <v>2</v>
      </c>
      <c r="K987">
        <v>2005</v>
      </c>
      <c r="L987" s="1" t="s">
        <v>799</v>
      </c>
      <c r="M987">
        <v>104</v>
      </c>
      <c r="N987" s="1" t="s">
        <v>910</v>
      </c>
      <c r="O987" s="1" t="s">
        <v>70</v>
      </c>
      <c r="P987" s="1" t="s">
        <v>71</v>
      </c>
      <c r="Q987" s="1" t="s">
        <v>72</v>
      </c>
      <c r="R987" s="1" t="s">
        <v>32</v>
      </c>
      <c r="S987" s="1" t="s">
        <v>73</v>
      </c>
      <c r="T987" s="1" t="s">
        <v>65</v>
      </c>
      <c r="U987" s="1" t="s">
        <v>32</v>
      </c>
      <c r="V987" s="1" t="s">
        <v>36</v>
      </c>
      <c r="W987" s="1" t="s">
        <v>37</v>
      </c>
      <c r="X987" s="1" t="s">
        <v>74</v>
      </c>
      <c r="Y987" s="1" t="s">
        <v>68</v>
      </c>
      <c r="Z987" s="1" t="str">
        <f>TRIM(_xlfn.CONCAT(sales_data_sample[[#This Row],[CONTACTFIRSTNAME]],", ",sales_data_sample[[#This Row],[CONTACTLASTNAME]]))</f>
        <v>Julie, Brown</v>
      </c>
      <c r="AA987" s="1" t="s">
        <v>59</v>
      </c>
    </row>
    <row r="988" spans="1:27" x14ac:dyDescent="0.25">
      <c r="A988" s="10">
        <v>10392</v>
      </c>
      <c r="B988" s="9">
        <v>29</v>
      </c>
      <c r="C988" s="9">
        <v>8692</v>
      </c>
      <c r="D988" s="9">
        <f>PRODUCT(sales_data_sample[[#This Row],[QUANTITYORDERED]],sales_data_sample[[#This Row],[PRICEEACH]])</f>
        <v>252068</v>
      </c>
      <c r="E988" s="9">
        <f>IF(OR(sales_data_sample[[#This Row],[STATUS]]="Shipped",sales_data_sample[[#This Row],[STATUS]]="Resolved"),sales_data_sample[[#This Row],[SALES]],0)</f>
        <v>252068</v>
      </c>
      <c r="F988" s="10">
        <v>2</v>
      </c>
      <c r="G988" s="12" t="s">
        <v>904</v>
      </c>
      <c r="H988" s="1" t="s">
        <v>26</v>
      </c>
      <c r="I988">
        <v>1</v>
      </c>
      <c r="J988">
        <v>3</v>
      </c>
      <c r="K988">
        <v>2005</v>
      </c>
      <c r="L988" s="1" t="s">
        <v>799</v>
      </c>
      <c r="M988">
        <v>104</v>
      </c>
      <c r="N988" s="1" t="s">
        <v>910</v>
      </c>
      <c r="O988" s="1" t="s">
        <v>564</v>
      </c>
      <c r="P988" s="1" t="s">
        <v>565</v>
      </c>
      <c r="Q988" s="1" t="s">
        <v>566</v>
      </c>
      <c r="R988" s="1" t="s">
        <v>32</v>
      </c>
      <c r="S988" s="1" t="s">
        <v>567</v>
      </c>
      <c r="T988" s="1" t="s">
        <v>32</v>
      </c>
      <c r="U988" s="1" t="s">
        <v>568</v>
      </c>
      <c r="V988" s="1" t="s">
        <v>196</v>
      </c>
      <c r="W988" s="1" t="s">
        <v>48</v>
      </c>
      <c r="X988" s="1" t="s">
        <v>569</v>
      </c>
      <c r="Y988" s="1" t="s">
        <v>570</v>
      </c>
      <c r="Z988" s="1" t="str">
        <f>TRIM(_xlfn.CONCAT(sales_data_sample[[#This Row],[CONTACTFIRSTNAME]],", ",sales_data_sample[[#This Row],[CONTACTLASTNAME]]))</f>
        <v>Roland, Mendel</v>
      </c>
      <c r="AA988" s="1" t="s">
        <v>40</v>
      </c>
    </row>
    <row r="989" spans="1:27" x14ac:dyDescent="0.25">
      <c r="A989" s="10">
        <v>10423</v>
      </c>
      <c r="B989" s="9">
        <v>21</v>
      </c>
      <c r="C989" s="9">
        <v>8482</v>
      </c>
      <c r="D989" s="9">
        <f>PRODUCT(sales_data_sample[[#This Row],[QUANTITYORDERED]],sales_data_sample[[#This Row],[PRICEEACH]])</f>
        <v>178122</v>
      </c>
      <c r="E989" s="9">
        <f>IF(OR(sales_data_sample[[#This Row],[STATUS]]="Shipped",sales_data_sample[[#This Row],[STATUS]]="Resolved"),sales_data_sample[[#This Row],[SALES]],0)</f>
        <v>0</v>
      </c>
      <c r="F989" s="10">
        <v>2</v>
      </c>
      <c r="G989" s="12" t="s">
        <v>827</v>
      </c>
      <c r="H989" s="1" t="s">
        <v>403</v>
      </c>
      <c r="I989">
        <v>2</v>
      </c>
      <c r="J989">
        <v>5</v>
      </c>
      <c r="K989">
        <v>2005</v>
      </c>
      <c r="L989" s="1" t="s">
        <v>799</v>
      </c>
      <c r="M989">
        <v>104</v>
      </c>
      <c r="N989" s="1" t="s">
        <v>910</v>
      </c>
      <c r="O989" s="1" t="s">
        <v>500</v>
      </c>
      <c r="P989" s="1" t="s">
        <v>501</v>
      </c>
      <c r="Q989" s="1" t="s">
        <v>502</v>
      </c>
      <c r="R989" s="1" t="s">
        <v>32</v>
      </c>
      <c r="S989" s="1" t="s">
        <v>503</v>
      </c>
      <c r="T989" s="1" t="s">
        <v>32</v>
      </c>
      <c r="U989" s="1" t="s">
        <v>504</v>
      </c>
      <c r="V989" s="1" t="s">
        <v>505</v>
      </c>
      <c r="W989" s="1" t="s">
        <v>48</v>
      </c>
      <c r="X989" s="1" t="s">
        <v>506</v>
      </c>
      <c r="Y989" s="1" t="s">
        <v>507</v>
      </c>
      <c r="Z989" s="1" t="str">
        <f>TRIM(_xlfn.CONCAT(sales_data_sample[[#This Row],[CONTACTFIRSTNAME]],", ",sales_data_sample[[#This Row],[CONTACTLASTNAME]]))</f>
        <v>Catherine, Dewey</v>
      </c>
      <c r="AA989" s="1" t="s">
        <v>40</v>
      </c>
    </row>
    <row r="990" spans="1:27" x14ac:dyDescent="0.25">
      <c r="A990" s="10">
        <v>10105</v>
      </c>
      <c r="B990" s="9">
        <v>22</v>
      </c>
      <c r="C990" s="9">
        <v>100</v>
      </c>
      <c r="D990" s="9">
        <f>PRODUCT(sales_data_sample[[#This Row],[QUANTITYORDERED]],sales_data_sample[[#This Row],[PRICEEACH]])</f>
        <v>2200</v>
      </c>
      <c r="E990" s="9">
        <f>IF(OR(sales_data_sample[[#This Row],[STATUS]]="Shipped",sales_data_sample[[#This Row],[STATUS]]="Resolved"),sales_data_sample[[#This Row],[SALES]],0)</f>
        <v>2200</v>
      </c>
      <c r="F990" s="10">
        <v>11</v>
      </c>
      <c r="G990" s="12" t="s">
        <v>435</v>
      </c>
      <c r="H990" s="1" t="s">
        <v>26</v>
      </c>
      <c r="I990">
        <v>1</v>
      </c>
      <c r="J990">
        <v>2</v>
      </c>
      <c r="K990">
        <v>2003</v>
      </c>
      <c r="L990" s="1" t="s">
        <v>799</v>
      </c>
      <c r="M990">
        <v>136</v>
      </c>
      <c r="N990" s="1" t="s">
        <v>911</v>
      </c>
      <c r="O990" s="1" t="s">
        <v>437</v>
      </c>
      <c r="P990" s="1" t="s">
        <v>438</v>
      </c>
      <c r="Q990" s="1" t="s">
        <v>439</v>
      </c>
      <c r="R990" s="1" t="s">
        <v>32</v>
      </c>
      <c r="S990" s="1" t="s">
        <v>440</v>
      </c>
      <c r="T990" s="1" t="s">
        <v>32</v>
      </c>
      <c r="U990" s="1" t="s">
        <v>441</v>
      </c>
      <c r="V990" s="1" t="s">
        <v>442</v>
      </c>
      <c r="W990" s="1" t="s">
        <v>48</v>
      </c>
      <c r="X990" s="1" t="s">
        <v>443</v>
      </c>
      <c r="Y990" s="1" t="s">
        <v>444</v>
      </c>
      <c r="Z990" s="1" t="str">
        <f>TRIM(_xlfn.CONCAT(sales_data_sample[[#This Row],[CONTACTFIRSTNAME]],", ",sales_data_sample[[#This Row],[CONTACTLASTNAME]]))</f>
        <v>Jytte, Petersen</v>
      </c>
      <c r="AA990" s="1" t="s">
        <v>59</v>
      </c>
    </row>
    <row r="991" spans="1:27" x14ac:dyDescent="0.25">
      <c r="A991" s="10">
        <v>10117</v>
      </c>
      <c r="B991" s="9">
        <v>26</v>
      </c>
      <c r="C991" s="9">
        <v>100</v>
      </c>
      <c r="D991" s="9">
        <f>PRODUCT(sales_data_sample[[#This Row],[QUANTITYORDERED]],sales_data_sample[[#This Row],[PRICEEACH]])</f>
        <v>2600</v>
      </c>
      <c r="E991" s="9">
        <f>IF(OR(sales_data_sample[[#This Row],[STATUS]]="Shipped",sales_data_sample[[#This Row],[STATUS]]="Resolved"),sales_data_sample[[#This Row],[SALES]],0)</f>
        <v>2600</v>
      </c>
      <c r="F991" s="10">
        <v>5</v>
      </c>
      <c r="G991" s="12" t="s">
        <v>665</v>
      </c>
      <c r="H991" s="1" t="s">
        <v>26</v>
      </c>
      <c r="I991">
        <v>2</v>
      </c>
      <c r="J991">
        <v>4</v>
      </c>
      <c r="K991">
        <v>2003</v>
      </c>
      <c r="L991" s="1" t="s">
        <v>799</v>
      </c>
      <c r="M991">
        <v>136</v>
      </c>
      <c r="N991" s="1" t="s">
        <v>911</v>
      </c>
      <c r="O991" s="1" t="s">
        <v>259</v>
      </c>
      <c r="P991" s="1" t="s">
        <v>260</v>
      </c>
      <c r="Q991" s="1" t="s">
        <v>261</v>
      </c>
      <c r="R991" s="1" t="s">
        <v>32</v>
      </c>
      <c r="S991" s="1" t="s">
        <v>262</v>
      </c>
      <c r="T991" s="1" t="s">
        <v>32</v>
      </c>
      <c r="U991" s="1" t="s">
        <v>263</v>
      </c>
      <c r="V991" s="1" t="s">
        <v>262</v>
      </c>
      <c r="W991" s="1" t="s">
        <v>264</v>
      </c>
      <c r="X991" s="1" t="s">
        <v>265</v>
      </c>
      <c r="Y991" s="1" t="s">
        <v>266</v>
      </c>
      <c r="Z991" s="1" t="str">
        <f>TRIM(_xlfn.CONCAT(sales_data_sample[[#This Row],[CONTACTFIRSTNAME]],", ",sales_data_sample[[#This Row],[CONTACTLASTNAME]]))</f>
        <v>Eric, Natividad</v>
      </c>
      <c r="AA991" s="1" t="s">
        <v>59</v>
      </c>
    </row>
    <row r="992" spans="1:27" x14ac:dyDescent="0.25">
      <c r="A992" s="10">
        <v>10128</v>
      </c>
      <c r="B992" s="9">
        <v>41</v>
      </c>
      <c r="C992" s="9">
        <v>100</v>
      </c>
      <c r="D992" s="9">
        <f>PRODUCT(sales_data_sample[[#This Row],[QUANTITYORDERED]],sales_data_sample[[#This Row],[PRICEEACH]])</f>
        <v>4100</v>
      </c>
      <c r="E992" s="9">
        <f>IF(OR(sales_data_sample[[#This Row],[STATUS]]="Shipped",sales_data_sample[[#This Row],[STATUS]]="Resolved"),sales_data_sample[[#This Row],[SALES]],0)</f>
        <v>4100</v>
      </c>
      <c r="F992" s="10">
        <v>2</v>
      </c>
      <c r="G992" s="12" t="s">
        <v>912</v>
      </c>
      <c r="H992" s="1" t="s">
        <v>26</v>
      </c>
      <c r="I992">
        <v>2</v>
      </c>
      <c r="J992">
        <v>6</v>
      </c>
      <c r="K992">
        <v>2003</v>
      </c>
      <c r="L992" s="1" t="s">
        <v>799</v>
      </c>
      <c r="M992">
        <v>136</v>
      </c>
      <c r="N992" s="1" t="s">
        <v>911</v>
      </c>
      <c r="O992" s="1" t="s">
        <v>230</v>
      </c>
      <c r="P992" s="1" t="s">
        <v>231</v>
      </c>
      <c r="Q992" s="1" t="s">
        <v>232</v>
      </c>
      <c r="R992" s="1" t="s">
        <v>32</v>
      </c>
      <c r="S992" s="1" t="s">
        <v>233</v>
      </c>
      <c r="T992" s="1" t="s">
        <v>32</v>
      </c>
      <c r="U992" s="1" t="s">
        <v>234</v>
      </c>
      <c r="V992" s="1" t="s">
        <v>235</v>
      </c>
      <c r="W992" s="1" t="s">
        <v>48</v>
      </c>
      <c r="X992" s="1" t="s">
        <v>236</v>
      </c>
      <c r="Y992" s="1" t="s">
        <v>237</v>
      </c>
      <c r="Z992" s="1" t="str">
        <f>TRIM(_xlfn.CONCAT(sales_data_sample[[#This Row],[CONTACTFIRSTNAME]],", ",sales_data_sample[[#This Row],[CONTACTLASTNAME]]))</f>
        <v>Diego, Freyre</v>
      </c>
      <c r="AA992" s="1" t="s">
        <v>59</v>
      </c>
    </row>
    <row r="993" spans="1:27" x14ac:dyDescent="0.25">
      <c r="A993" s="10">
        <v>10142</v>
      </c>
      <c r="B993" s="9">
        <v>47</v>
      </c>
      <c r="C993" s="9">
        <v>100</v>
      </c>
      <c r="D993" s="9">
        <f>PRODUCT(sales_data_sample[[#This Row],[QUANTITYORDERED]],sales_data_sample[[#This Row],[PRICEEACH]])</f>
        <v>4700</v>
      </c>
      <c r="E993" s="9">
        <f>IF(OR(sales_data_sample[[#This Row],[STATUS]]="Shipped",sales_data_sample[[#This Row],[STATUS]]="Resolved"),sales_data_sample[[#This Row],[SALES]],0)</f>
        <v>4700</v>
      </c>
      <c r="F993" s="10">
        <v>8</v>
      </c>
      <c r="G993" s="12" t="s">
        <v>672</v>
      </c>
      <c r="H993" s="1" t="s">
        <v>26</v>
      </c>
      <c r="I993">
        <v>3</v>
      </c>
      <c r="J993">
        <v>8</v>
      </c>
      <c r="K993">
        <v>2003</v>
      </c>
      <c r="L993" s="1" t="s">
        <v>799</v>
      </c>
      <c r="M993">
        <v>136</v>
      </c>
      <c r="N993" s="1" t="s">
        <v>911</v>
      </c>
      <c r="O993" s="1" t="s">
        <v>361</v>
      </c>
      <c r="P993" s="1" t="s">
        <v>362</v>
      </c>
      <c r="Q993" s="1" t="s">
        <v>363</v>
      </c>
      <c r="R993" s="1" t="s">
        <v>32</v>
      </c>
      <c r="S993" s="1" t="s">
        <v>364</v>
      </c>
      <c r="T993" s="1" t="s">
        <v>65</v>
      </c>
      <c r="U993" s="1" t="s">
        <v>145</v>
      </c>
      <c r="V993" s="1" t="s">
        <v>36</v>
      </c>
      <c r="W993" s="1" t="s">
        <v>37</v>
      </c>
      <c r="X993" s="1" t="s">
        <v>365</v>
      </c>
      <c r="Y993" s="1" t="s">
        <v>366</v>
      </c>
      <c r="Z993" s="1" t="str">
        <f>TRIM(_xlfn.CONCAT(sales_data_sample[[#This Row],[CONTACTFIRSTNAME]],", ",sales_data_sample[[#This Row],[CONTACTLASTNAME]]))</f>
        <v>Valarie, Nelson</v>
      </c>
      <c r="AA993" s="1" t="s">
        <v>59</v>
      </c>
    </row>
    <row r="994" spans="1:27" x14ac:dyDescent="0.25">
      <c r="A994" s="10">
        <v>10153</v>
      </c>
      <c r="B994" s="9">
        <v>31</v>
      </c>
      <c r="C994" s="9">
        <v>100</v>
      </c>
      <c r="D994" s="9">
        <f>PRODUCT(sales_data_sample[[#This Row],[QUANTITYORDERED]],sales_data_sample[[#This Row],[PRICEEACH]])</f>
        <v>3100</v>
      </c>
      <c r="E994" s="9">
        <f>IF(OR(sales_data_sample[[#This Row],[STATUS]]="Shipped",sales_data_sample[[#This Row],[STATUS]]="Resolved"),sales_data_sample[[#This Row],[SALES]],0)</f>
        <v>3100</v>
      </c>
      <c r="F994" s="10">
        <v>7</v>
      </c>
      <c r="G994" s="12" t="s">
        <v>673</v>
      </c>
      <c r="H994" s="1" t="s">
        <v>26</v>
      </c>
      <c r="I994">
        <v>3</v>
      </c>
      <c r="J994">
        <v>9</v>
      </c>
      <c r="K994">
        <v>2003</v>
      </c>
      <c r="L994" s="1" t="s">
        <v>799</v>
      </c>
      <c r="M994">
        <v>136</v>
      </c>
      <c r="N994" s="1" t="s">
        <v>911</v>
      </c>
      <c r="O994" s="1" t="s">
        <v>230</v>
      </c>
      <c r="P994" s="1" t="s">
        <v>231</v>
      </c>
      <c r="Q994" s="1" t="s">
        <v>232</v>
      </c>
      <c r="R994" s="1" t="s">
        <v>32</v>
      </c>
      <c r="S994" s="1" t="s">
        <v>233</v>
      </c>
      <c r="T994" s="1" t="s">
        <v>32</v>
      </c>
      <c r="U994" s="1" t="s">
        <v>234</v>
      </c>
      <c r="V994" s="1" t="s">
        <v>235</v>
      </c>
      <c r="W994" s="1" t="s">
        <v>48</v>
      </c>
      <c r="X994" s="1" t="s">
        <v>236</v>
      </c>
      <c r="Y994" s="1" t="s">
        <v>237</v>
      </c>
      <c r="Z994" s="1" t="str">
        <f>TRIM(_xlfn.CONCAT(sales_data_sample[[#This Row],[CONTACTFIRSTNAME]],", ",sales_data_sample[[#This Row],[CONTACTLASTNAME]]))</f>
        <v>Diego, Freyre</v>
      </c>
      <c r="AA994" s="1" t="s">
        <v>59</v>
      </c>
    </row>
    <row r="995" spans="1:27" x14ac:dyDescent="0.25">
      <c r="A995" s="10">
        <v>10166</v>
      </c>
      <c r="B995" s="9">
        <v>43</v>
      </c>
      <c r="C995" s="9">
        <v>100</v>
      </c>
      <c r="D995" s="9">
        <f>PRODUCT(sales_data_sample[[#This Row],[QUANTITYORDERED]],sales_data_sample[[#This Row],[PRICEEACH]])</f>
        <v>4300</v>
      </c>
      <c r="E995" s="9">
        <f>IF(OR(sales_data_sample[[#This Row],[STATUS]]="Shipped",sales_data_sample[[#This Row],[STATUS]]="Resolved"),sales_data_sample[[#This Row],[SALES]],0)</f>
        <v>4300</v>
      </c>
      <c r="F995" s="10">
        <v>2</v>
      </c>
      <c r="G995" s="12" t="s">
        <v>562</v>
      </c>
      <c r="H995" s="1" t="s">
        <v>26</v>
      </c>
      <c r="I995">
        <v>4</v>
      </c>
      <c r="J995">
        <v>10</v>
      </c>
      <c r="K995">
        <v>2003</v>
      </c>
      <c r="L995" s="1" t="s">
        <v>799</v>
      </c>
      <c r="M995">
        <v>136</v>
      </c>
      <c r="N995" s="1" t="s">
        <v>911</v>
      </c>
      <c r="O995" s="1" t="s">
        <v>212</v>
      </c>
      <c r="P995" s="1" t="s">
        <v>213</v>
      </c>
      <c r="Q995" s="1" t="s">
        <v>214</v>
      </c>
      <c r="R995" s="1" t="s">
        <v>32</v>
      </c>
      <c r="S995" s="1" t="s">
        <v>215</v>
      </c>
      <c r="T995" s="1" t="s">
        <v>160</v>
      </c>
      <c r="U995" s="1" t="s">
        <v>216</v>
      </c>
      <c r="V995" s="1" t="s">
        <v>36</v>
      </c>
      <c r="W995" s="1" t="s">
        <v>37</v>
      </c>
      <c r="X995" s="1" t="s">
        <v>217</v>
      </c>
      <c r="Y995" s="1" t="s">
        <v>218</v>
      </c>
      <c r="Z995" s="1" t="str">
        <f>TRIM(_xlfn.CONCAT(sales_data_sample[[#This Row],[CONTACTFIRSTNAME]],", ",sales_data_sample[[#This Row],[CONTACTLASTNAME]]))</f>
        <v>Violeta, Benitez</v>
      </c>
      <c r="AA995" s="1" t="s">
        <v>59</v>
      </c>
    </row>
    <row r="996" spans="1:27" x14ac:dyDescent="0.25">
      <c r="A996" s="10">
        <v>10177</v>
      </c>
      <c r="B996" s="9">
        <v>23</v>
      </c>
      <c r="C996" s="9">
        <v>100</v>
      </c>
      <c r="D996" s="9">
        <f>PRODUCT(sales_data_sample[[#This Row],[QUANTITYORDERED]],sales_data_sample[[#This Row],[PRICEEACH]])</f>
        <v>2300</v>
      </c>
      <c r="E996" s="9">
        <f>IF(OR(sales_data_sample[[#This Row],[STATUS]]="Shipped",sales_data_sample[[#This Row],[STATUS]]="Resolved"),sales_data_sample[[#This Row],[SALES]],0)</f>
        <v>2300</v>
      </c>
      <c r="F996" s="10">
        <v>9</v>
      </c>
      <c r="G996" s="12" t="s">
        <v>913</v>
      </c>
      <c r="H996" s="1" t="s">
        <v>26</v>
      </c>
      <c r="I996">
        <v>4</v>
      </c>
      <c r="J996">
        <v>11</v>
      </c>
      <c r="K996">
        <v>2003</v>
      </c>
      <c r="L996" s="1" t="s">
        <v>799</v>
      </c>
      <c r="M996">
        <v>136</v>
      </c>
      <c r="N996" s="1" t="s">
        <v>911</v>
      </c>
      <c r="O996" s="1" t="s">
        <v>687</v>
      </c>
      <c r="P996" s="1" t="s">
        <v>688</v>
      </c>
      <c r="Q996" s="1" t="s">
        <v>689</v>
      </c>
      <c r="R996" s="1" t="s">
        <v>32</v>
      </c>
      <c r="S996" s="1" t="s">
        <v>233</v>
      </c>
      <c r="T996" s="1" t="s">
        <v>32</v>
      </c>
      <c r="U996" s="1" t="s">
        <v>254</v>
      </c>
      <c r="V996" s="1" t="s">
        <v>235</v>
      </c>
      <c r="W996" s="1" t="s">
        <v>48</v>
      </c>
      <c r="X996" s="1" t="s">
        <v>690</v>
      </c>
      <c r="Y996" s="1" t="s">
        <v>691</v>
      </c>
      <c r="Z996" s="1" t="str">
        <f>TRIM(_xlfn.CONCAT(sales_data_sample[[#This Row],[CONTACTFIRSTNAME]],", ",sales_data_sample[[#This Row],[CONTACTLASTNAME]]))</f>
        <v>Jesus, Fernandez</v>
      </c>
      <c r="AA996" s="1" t="s">
        <v>59</v>
      </c>
    </row>
    <row r="997" spans="1:27" x14ac:dyDescent="0.25">
      <c r="A997" s="10">
        <v>10185</v>
      </c>
      <c r="B997" s="9">
        <v>28</v>
      </c>
      <c r="C997" s="9">
        <v>100</v>
      </c>
      <c r="D997" s="9">
        <f>PRODUCT(sales_data_sample[[#This Row],[QUANTITYORDERED]],sales_data_sample[[#This Row],[PRICEEACH]])</f>
        <v>2800</v>
      </c>
      <c r="E997" s="9">
        <f>IF(OR(sales_data_sample[[#This Row],[STATUS]]="Shipped",sales_data_sample[[#This Row],[STATUS]]="Resolved"),sales_data_sample[[#This Row],[SALES]],0)</f>
        <v>2800</v>
      </c>
      <c r="F997" s="10">
        <v>9</v>
      </c>
      <c r="G997" s="12" t="s">
        <v>470</v>
      </c>
      <c r="H997" s="1" t="s">
        <v>26</v>
      </c>
      <c r="I997">
        <v>4</v>
      </c>
      <c r="J997">
        <v>11</v>
      </c>
      <c r="K997">
        <v>2003</v>
      </c>
      <c r="L997" s="1" t="s">
        <v>799</v>
      </c>
      <c r="M997">
        <v>136</v>
      </c>
      <c r="N997" s="1" t="s">
        <v>911</v>
      </c>
      <c r="O997" s="1" t="s">
        <v>454</v>
      </c>
      <c r="P997" s="1" t="s">
        <v>455</v>
      </c>
      <c r="Q997" s="1" t="s">
        <v>456</v>
      </c>
      <c r="R997" s="1" t="s">
        <v>32</v>
      </c>
      <c r="S997" s="1" t="s">
        <v>215</v>
      </c>
      <c r="T997" s="1" t="s">
        <v>160</v>
      </c>
      <c r="U997" s="1" t="s">
        <v>216</v>
      </c>
      <c r="V997" s="1" t="s">
        <v>36</v>
      </c>
      <c r="W997" s="1" t="s">
        <v>37</v>
      </c>
      <c r="X997" s="1" t="s">
        <v>457</v>
      </c>
      <c r="Y997" s="1" t="s">
        <v>458</v>
      </c>
      <c r="Z997" s="1" t="str">
        <f>TRIM(_xlfn.CONCAT(sales_data_sample[[#This Row],[CONTACTFIRSTNAME]],", ",sales_data_sample[[#This Row],[CONTACTLASTNAME]]))</f>
        <v>Wing C, Tam</v>
      </c>
      <c r="AA997" s="1" t="s">
        <v>59</v>
      </c>
    </row>
    <row r="998" spans="1:27" x14ac:dyDescent="0.25">
      <c r="A998" s="10">
        <v>10196</v>
      </c>
      <c r="B998" s="9">
        <v>49</v>
      </c>
      <c r="C998" s="9">
        <v>100</v>
      </c>
      <c r="D998" s="9">
        <f>PRODUCT(sales_data_sample[[#This Row],[QUANTITYORDERED]],sales_data_sample[[#This Row],[PRICEEACH]])</f>
        <v>4900</v>
      </c>
      <c r="E998" s="9">
        <f>IF(OR(sales_data_sample[[#This Row],[STATUS]]="Shipped",sales_data_sample[[#This Row],[STATUS]]="Resolved"),sales_data_sample[[#This Row],[SALES]],0)</f>
        <v>4900</v>
      </c>
      <c r="F998" s="10">
        <v>1</v>
      </c>
      <c r="G998" s="12" t="s">
        <v>477</v>
      </c>
      <c r="H998" s="1" t="s">
        <v>26</v>
      </c>
      <c r="I998">
        <v>4</v>
      </c>
      <c r="J998">
        <v>11</v>
      </c>
      <c r="K998">
        <v>2003</v>
      </c>
      <c r="L998" s="1" t="s">
        <v>799</v>
      </c>
      <c r="M998">
        <v>136</v>
      </c>
      <c r="N998" s="1" t="s">
        <v>911</v>
      </c>
      <c r="O998" s="1" t="s">
        <v>321</v>
      </c>
      <c r="P998" s="1" t="s">
        <v>322</v>
      </c>
      <c r="Q998" s="1" t="s">
        <v>323</v>
      </c>
      <c r="R998" s="1" t="s">
        <v>32</v>
      </c>
      <c r="S998" s="1" t="s">
        <v>324</v>
      </c>
      <c r="T998" s="1" t="s">
        <v>144</v>
      </c>
      <c r="U998" s="1" t="s">
        <v>325</v>
      </c>
      <c r="V998" s="1" t="s">
        <v>36</v>
      </c>
      <c r="W998" s="1" t="s">
        <v>37</v>
      </c>
      <c r="X998" s="1" t="s">
        <v>104</v>
      </c>
      <c r="Y998" s="1" t="s">
        <v>326</v>
      </c>
      <c r="Z998" s="1" t="str">
        <f>TRIM(_xlfn.CONCAT(sales_data_sample[[#This Row],[CONTACTFIRSTNAME]],", ",sales_data_sample[[#This Row],[CONTACTLASTNAME]]))</f>
        <v>Leslie, Murphy</v>
      </c>
      <c r="AA998" s="1" t="s">
        <v>59</v>
      </c>
    </row>
    <row r="999" spans="1:27" x14ac:dyDescent="0.25">
      <c r="A999" s="10">
        <v>10208</v>
      </c>
      <c r="B999" s="9">
        <v>24</v>
      </c>
      <c r="C999" s="9">
        <v>100</v>
      </c>
      <c r="D999" s="9">
        <f>PRODUCT(sales_data_sample[[#This Row],[QUANTITYORDERED]],sales_data_sample[[#This Row],[PRICEEACH]])</f>
        <v>2400</v>
      </c>
      <c r="E999" s="9">
        <f>IF(OR(sales_data_sample[[#This Row],[STATUS]]="Shipped",sales_data_sample[[#This Row],[STATUS]]="Resolved"),sales_data_sample[[#This Row],[SALES]],0)</f>
        <v>2400</v>
      </c>
      <c r="F999" s="10">
        <v>9</v>
      </c>
      <c r="G999" s="12" t="s">
        <v>675</v>
      </c>
      <c r="H999" s="1" t="s">
        <v>26</v>
      </c>
      <c r="I999">
        <v>1</v>
      </c>
      <c r="J999">
        <v>1</v>
      </c>
      <c r="K999">
        <v>2004</v>
      </c>
      <c r="L999" s="1" t="s">
        <v>799</v>
      </c>
      <c r="M999">
        <v>136</v>
      </c>
      <c r="N999" s="1" t="s">
        <v>911</v>
      </c>
      <c r="O999" s="1" t="s">
        <v>291</v>
      </c>
      <c r="P999" s="1" t="s">
        <v>292</v>
      </c>
      <c r="Q999" s="1" t="s">
        <v>293</v>
      </c>
      <c r="R999" s="1" t="s">
        <v>32</v>
      </c>
      <c r="S999" s="1" t="s">
        <v>294</v>
      </c>
      <c r="T999" s="1" t="s">
        <v>32</v>
      </c>
      <c r="U999" s="1" t="s">
        <v>295</v>
      </c>
      <c r="V999" s="1" t="s">
        <v>47</v>
      </c>
      <c r="W999" s="1" t="s">
        <v>48</v>
      </c>
      <c r="X999" s="1" t="s">
        <v>296</v>
      </c>
      <c r="Y999" s="1" t="s">
        <v>297</v>
      </c>
      <c r="Z999" s="1" t="str">
        <f>TRIM(_xlfn.CONCAT(sales_data_sample[[#This Row],[CONTACTFIRSTNAME]],", ",sales_data_sample[[#This Row],[CONTACTLASTNAME]]))</f>
        <v>Mary, Saveley</v>
      </c>
      <c r="AA999" s="1" t="s">
        <v>40</v>
      </c>
    </row>
    <row r="1000" spans="1:27" x14ac:dyDescent="0.25">
      <c r="A1000" s="10">
        <v>10221</v>
      </c>
      <c r="B1000" s="9">
        <v>33</v>
      </c>
      <c r="C1000" s="9">
        <v>100</v>
      </c>
      <c r="D1000" s="9">
        <f>PRODUCT(sales_data_sample[[#This Row],[QUANTITYORDERED]],sales_data_sample[[#This Row],[PRICEEACH]])</f>
        <v>3300</v>
      </c>
      <c r="E1000" s="9">
        <f>IF(OR(sales_data_sample[[#This Row],[STATUS]]="Shipped",sales_data_sample[[#This Row],[STATUS]]="Resolved"),sales_data_sample[[#This Row],[SALES]],0)</f>
        <v>3300</v>
      </c>
      <c r="F1000" s="10">
        <v>3</v>
      </c>
      <c r="G1000" s="12" t="s">
        <v>914</v>
      </c>
      <c r="H1000" s="1" t="s">
        <v>26</v>
      </c>
      <c r="I1000">
        <v>1</v>
      </c>
      <c r="J1000">
        <v>2</v>
      </c>
      <c r="K1000">
        <v>2004</v>
      </c>
      <c r="L1000" s="1" t="s">
        <v>799</v>
      </c>
      <c r="M1000">
        <v>136</v>
      </c>
      <c r="N1000" s="1" t="s">
        <v>911</v>
      </c>
      <c r="O1000" s="1" t="s">
        <v>500</v>
      </c>
      <c r="P1000" s="1" t="s">
        <v>501</v>
      </c>
      <c r="Q1000" s="1" t="s">
        <v>502</v>
      </c>
      <c r="R1000" s="1" t="s">
        <v>32</v>
      </c>
      <c r="S1000" s="1" t="s">
        <v>503</v>
      </c>
      <c r="T1000" s="1" t="s">
        <v>32</v>
      </c>
      <c r="U1000" s="1" t="s">
        <v>504</v>
      </c>
      <c r="V1000" s="1" t="s">
        <v>505</v>
      </c>
      <c r="W1000" s="1" t="s">
        <v>48</v>
      </c>
      <c r="X1000" s="1" t="s">
        <v>506</v>
      </c>
      <c r="Y1000" s="1" t="s">
        <v>507</v>
      </c>
      <c r="Z1000" s="1" t="str">
        <f>TRIM(_xlfn.CONCAT(sales_data_sample[[#This Row],[CONTACTFIRSTNAME]],", ",sales_data_sample[[#This Row],[CONTACTLASTNAME]]))</f>
        <v>Catherine, Dewey</v>
      </c>
      <c r="AA1000" s="1" t="s">
        <v>59</v>
      </c>
    </row>
    <row r="1001" spans="1:27" x14ac:dyDescent="0.25">
      <c r="A1001" s="10">
        <v>10232</v>
      </c>
      <c r="B1001" s="9">
        <v>22</v>
      </c>
      <c r="C1001" s="9">
        <v>100</v>
      </c>
      <c r="D1001" s="9">
        <f>PRODUCT(sales_data_sample[[#This Row],[QUANTITYORDERED]],sales_data_sample[[#This Row],[PRICEEACH]])</f>
        <v>2200</v>
      </c>
      <c r="E1001" s="9">
        <f>IF(OR(sales_data_sample[[#This Row],[STATUS]]="Shipped",sales_data_sample[[#This Row],[STATUS]]="Resolved"),sales_data_sample[[#This Row],[SALES]],0)</f>
        <v>2200</v>
      </c>
      <c r="F1001" s="10">
        <v>6</v>
      </c>
      <c r="G1001" s="12" t="s">
        <v>915</v>
      </c>
      <c r="H1001" s="1" t="s">
        <v>26</v>
      </c>
      <c r="I1001">
        <v>1</v>
      </c>
      <c r="J1001">
        <v>3</v>
      </c>
      <c r="K1001">
        <v>2004</v>
      </c>
      <c r="L1001" s="1" t="s">
        <v>799</v>
      </c>
      <c r="M1001">
        <v>136</v>
      </c>
      <c r="N1001" s="1" t="s">
        <v>911</v>
      </c>
      <c r="O1001" s="1" t="s">
        <v>524</v>
      </c>
      <c r="P1001" s="1" t="s">
        <v>525</v>
      </c>
      <c r="Q1001" s="1" t="s">
        <v>526</v>
      </c>
      <c r="R1001" s="1" t="s">
        <v>32</v>
      </c>
      <c r="S1001" s="1" t="s">
        <v>527</v>
      </c>
      <c r="T1001" s="1" t="s">
        <v>528</v>
      </c>
      <c r="U1001" s="1" t="s">
        <v>529</v>
      </c>
      <c r="V1001" s="1" t="s">
        <v>225</v>
      </c>
      <c r="W1001" s="1" t="s">
        <v>48</v>
      </c>
      <c r="X1001" s="1" t="s">
        <v>530</v>
      </c>
      <c r="Y1001" s="1" t="s">
        <v>531</v>
      </c>
      <c r="Z1001" s="1" t="str">
        <f>TRIM(_xlfn.CONCAT(sales_data_sample[[#This Row],[CONTACTFIRSTNAME]],", ",sales_data_sample[[#This Row],[CONTACTLASTNAME]]))</f>
        <v>Helen, Bennett</v>
      </c>
      <c r="AA1001" s="1" t="s">
        <v>59</v>
      </c>
    </row>
    <row r="1002" spans="1:27" x14ac:dyDescent="0.25">
      <c r="A1002" s="10">
        <v>10248</v>
      </c>
      <c r="B1002" s="9">
        <v>32</v>
      </c>
      <c r="C1002" s="9">
        <v>100</v>
      </c>
      <c r="D1002" s="9">
        <f>PRODUCT(sales_data_sample[[#This Row],[QUANTITYORDERED]],sales_data_sample[[#This Row],[PRICEEACH]])</f>
        <v>3200</v>
      </c>
      <c r="E1002" s="9">
        <f>IF(OR(sales_data_sample[[#This Row],[STATUS]]="Shipped",sales_data_sample[[#This Row],[STATUS]]="Resolved"),sales_data_sample[[#This Row],[SALES]],0)</f>
        <v>0</v>
      </c>
      <c r="F1002" s="10">
        <v>12</v>
      </c>
      <c r="G1002" s="12" t="s">
        <v>497</v>
      </c>
      <c r="H1002" s="1" t="s">
        <v>461</v>
      </c>
      <c r="I1002">
        <v>2</v>
      </c>
      <c r="J1002">
        <v>5</v>
      </c>
      <c r="K1002">
        <v>2004</v>
      </c>
      <c r="L1002" s="1" t="s">
        <v>799</v>
      </c>
      <c r="M1002">
        <v>136</v>
      </c>
      <c r="N1002" s="1" t="s">
        <v>911</v>
      </c>
      <c r="O1002" s="1" t="s">
        <v>29</v>
      </c>
      <c r="P1002" s="1" t="s">
        <v>30</v>
      </c>
      <c r="Q1002" s="1" t="s">
        <v>31</v>
      </c>
      <c r="R1002" s="1" t="s">
        <v>32</v>
      </c>
      <c r="S1002" s="1" t="s">
        <v>33</v>
      </c>
      <c r="T1002" s="1" t="s">
        <v>34</v>
      </c>
      <c r="U1002" s="1" t="s">
        <v>35</v>
      </c>
      <c r="V1002" s="1" t="s">
        <v>36</v>
      </c>
      <c r="W1002" s="1" t="s">
        <v>37</v>
      </c>
      <c r="X1002" s="1" t="s">
        <v>38</v>
      </c>
      <c r="Y1002" s="1" t="s">
        <v>39</v>
      </c>
      <c r="Z1002" s="1" t="str">
        <f>TRIM(_xlfn.CONCAT(sales_data_sample[[#This Row],[CONTACTFIRSTNAME]],", ",sales_data_sample[[#This Row],[CONTACTLASTNAME]]))</f>
        <v>Kwai, Yu</v>
      </c>
      <c r="AA1002" s="1" t="s">
        <v>59</v>
      </c>
    </row>
    <row r="1003" spans="1:27" x14ac:dyDescent="0.25">
      <c r="A1003" s="10">
        <v>10273</v>
      </c>
      <c r="B1003" s="9">
        <v>40</v>
      </c>
      <c r="C1003" s="9">
        <v>100</v>
      </c>
      <c r="D1003" s="9">
        <f>PRODUCT(sales_data_sample[[#This Row],[QUANTITYORDERED]],sales_data_sample[[#This Row],[PRICEEACH]])</f>
        <v>4000</v>
      </c>
      <c r="E1003" s="9">
        <f>IF(OR(sales_data_sample[[#This Row],[STATUS]]="Shipped",sales_data_sample[[#This Row],[STATUS]]="Resolved"),sales_data_sample[[#This Row],[SALES]],0)</f>
        <v>4000</v>
      </c>
      <c r="F1003" s="10">
        <v>13</v>
      </c>
      <c r="G1003" s="12" t="s">
        <v>499</v>
      </c>
      <c r="H1003" s="1" t="s">
        <v>26</v>
      </c>
      <c r="I1003">
        <v>3</v>
      </c>
      <c r="J1003">
        <v>7</v>
      </c>
      <c r="K1003">
        <v>2004</v>
      </c>
      <c r="L1003" s="1" t="s">
        <v>799</v>
      </c>
      <c r="M1003">
        <v>136</v>
      </c>
      <c r="N1003" s="1" t="s">
        <v>911</v>
      </c>
      <c r="O1003" s="1" t="s">
        <v>500</v>
      </c>
      <c r="P1003" s="1" t="s">
        <v>501</v>
      </c>
      <c r="Q1003" s="1" t="s">
        <v>502</v>
      </c>
      <c r="R1003" s="1" t="s">
        <v>32</v>
      </c>
      <c r="S1003" s="1" t="s">
        <v>503</v>
      </c>
      <c r="T1003" s="1" t="s">
        <v>32</v>
      </c>
      <c r="U1003" s="1" t="s">
        <v>504</v>
      </c>
      <c r="V1003" s="1" t="s">
        <v>505</v>
      </c>
      <c r="W1003" s="1" t="s">
        <v>48</v>
      </c>
      <c r="X1003" s="1" t="s">
        <v>506</v>
      </c>
      <c r="Y1003" s="1" t="s">
        <v>507</v>
      </c>
      <c r="Z1003" s="1" t="str">
        <f>TRIM(_xlfn.CONCAT(sales_data_sample[[#This Row],[CONTACTFIRSTNAME]],", ",sales_data_sample[[#This Row],[CONTACTLASTNAME]]))</f>
        <v>Catherine, Dewey</v>
      </c>
      <c r="AA1003" s="1" t="s">
        <v>59</v>
      </c>
    </row>
    <row r="1004" spans="1:27" x14ac:dyDescent="0.25">
      <c r="A1004" s="10">
        <v>10282</v>
      </c>
      <c r="B1004" s="9">
        <v>43</v>
      </c>
      <c r="C1004" s="9">
        <v>100</v>
      </c>
      <c r="D1004" s="9">
        <f>PRODUCT(sales_data_sample[[#This Row],[QUANTITYORDERED]],sales_data_sample[[#This Row],[PRICEEACH]])</f>
        <v>4300</v>
      </c>
      <c r="E1004" s="9">
        <f>IF(OR(sales_data_sample[[#This Row],[STATUS]]="Shipped",sales_data_sample[[#This Row],[STATUS]]="Resolved"),sales_data_sample[[#This Row],[SALES]],0)</f>
        <v>4300</v>
      </c>
      <c r="F1004" s="10">
        <v>1</v>
      </c>
      <c r="G1004" s="12" t="s">
        <v>508</v>
      </c>
      <c r="H1004" s="1" t="s">
        <v>26</v>
      </c>
      <c r="I1004">
        <v>3</v>
      </c>
      <c r="J1004">
        <v>8</v>
      </c>
      <c r="K1004">
        <v>2004</v>
      </c>
      <c r="L1004" s="1" t="s">
        <v>799</v>
      </c>
      <c r="M1004">
        <v>136</v>
      </c>
      <c r="N1004" s="1" t="s">
        <v>911</v>
      </c>
      <c r="O1004" s="1" t="s">
        <v>361</v>
      </c>
      <c r="P1004" s="1" t="s">
        <v>362</v>
      </c>
      <c r="Q1004" s="1" t="s">
        <v>363</v>
      </c>
      <c r="R1004" s="1" t="s">
        <v>32</v>
      </c>
      <c r="S1004" s="1" t="s">
        <v>364</v>
      </c>
      <c r="T1004" s="1" t="s">
        <v>65</v>
      </c>
      <c r="U1004" s="1" t="s">
        <v>145</v>
      </c>
      <c r="V1004" s="1" t="s">
        <v>36</v>
      </c>
      <c r="W1004" s="1" t="s">
        <v>37</v>
      </c>
      <c r="X1004" s="1" t="s">
        <v>365</v>
      </c>
      <c r="Y1004" s="1" t="s">
        <v>366</v>
      </c>
      <c r="Z1004" s="1" t="str">
        <f>TRIM(_xlfn.CONCAT(sales_data_sample[[#This Row],[CONTACTFIRSTNAME]],", ",sales_data_sample[[#This Row],[CONTACTLASTNAME]]))</f>
        <v>Valarie, Nelson</v>
      </c>
      <c r="AA1004" s="1" t="s">
        <v>59</v>
      </c>
    </row>
    <row r="1005" spans="1:27" x14ac:dyDescent="0.25">
      <c r="A1005" s="10">
        <v>10293</v>
      </c>
      <c r="B1005" s="9">
        <v>24</v>
      </c>
      <c r="C1005" s="9">
        <v>100</v>
      </c>
      <c r="D1005" s="9">
        <f>PRODUCT(sales_data_sample[[#This Row],[QUANTITYORDERED]],sales_data_sample[[#This Row],[PRICEEACH]])</f>
        <v>2400</v>
      </c>
      <c r="E1005" s="9">
        <f>IF(OR(sales_data_sample[[#This Row],[STATUS]]="Shipped",sales_data_sample[[#This Row],[STATUS]]="Resolved"),sales_data_sample[[#This Row],[SALES]],0)</f>
        <v>2400</v>
      </c>
      <c r="F1005" s="10">
        <v>4</v>
      </c>
      <c r="G1005" s="12" t="s">
        <v>694</v>
      </c>
      <c r="H1005" s="1" t="s">
        <v>26</v>
      </c>
      <c r="I1005">
        <v>3</v>
      </c>
      <c r="J1005">
        <v>9</v>
      </c>
      <c r="K1005">
        <v>2004</v>
      </c>
      <c r="L1005" s="1" t="s">
        <v>799</v>
      </c>
      <c r="M1005">
        <v>136</v>
      </c>
      <c r="N1005" s="1" t="s">
        <v>911</v>
      </c>
      <c r="O1005" s="1" t="s">
        <v>338</v>
      </c>
      <c r="P1005" s="1" t="s">
        <v>339</v>
      </c>
      <c r="Q1005" s="1" t="s">
        <v>340</v>
      </c>
      <c r="R1005" s="1" t="s">
        <v>32</v>
      </c>
      <c r="S1005" s="1" t="s">
        <v>341</v>
      </c>
      <c r="T1005" s="1" t="s">
        <v>32</v>
      </c>
      <c r="U1005" s="1" t="s">
        <v>342</v>
      </c>
      <c r="V1005" s="1" t="s">
        <v>343</v>
      </c>
      <c r="W1005" s="1" t="s">
        <v>48</v>
      </c>
      <c r="X1005" s="1" t="s">
        <v>344</v>
      </c>
      <c r="Y1005" s="1" t="s">
        <v>345</v>
      </c>
      <c r="Z1005" s="1" t="str">
        <f>TRIM(_xlfn.CONCAT(sales_data_sample[[#This Row],[CONTACTFIRSTNAME]],", ",sales_data_sample[[#This Row],[CONTACTLASTNAME]]))</f>
        <v>Paolo, Accorti</v>
      </c>
      <c r="AA1005" s="1" t="s">
        <v>40</v>
      </c>
    </row>
    <row r="1006" spans="1:27" x14ac:dyDescent="0.25">
      <c r="A1006" s="10">
        <v>10306</v>
      </c>
      <c r="B1006" s="9">
        <v>32</v>
      </c>
      <c r="C1006" s="9">
        <v>100</v>
      </c>
      <c r="D1006" s="9">
        <f>PRODUCT(sales_data_sample[[#This Row],[QUANTITYORDERED]],sales_data_sample[[#This Row],[PRICEEACH]])</f>
        <v>3200</v>
      </c>
      <c r="E1006" s="9">
        <f>IF(OR(sales_data_sample[[#This Row],[STATUS]]="Shipped",sales_data_sample[[#This Row],[STATUS]]="Resolved"),sales_data_sample[[#This Row],[SALES]],0)</f>
        <v>3200</v>
      </c>
      <c r="F1006" s="10">
        <v>9</v>
      </c>
      <c r="G1006" s="12" t="s">
        <v>522</v>
      </c>
      <c r="H1006" s="1" t="s">
        <v>26</v>
      </c>
      <c r="I1006">
        <v>4</v>
      </c>
      <c r="J1006">
        <v>10</v>
      </c>
      <c r="K1006">
        <v>2004</v>
      </c>
      <c r="L1006" s="1" t="s">
        <v>799</v>
      </c>
      <c r="M1006">
        <v>136</v>
      </c>
      <c r="N1006" s="1" t="s">
        <v>911</v>
      </c>
      <c r="O1006" s="1" t="s">
        <v>695</v>
      </c>
      <c r="P1006" s="1" t="s">
        <v>696</v>
      </c>
      <c r="Q1006" s="1" t="s">
        <v>697</v>
      </c>
      <c r="R1006" s="1" t="s">
        <v>32</v>
      </c>
      <c r="S1006" s="1" t="s">
        <v>698</v>
      </c>
      <c r="T1006" s="1" t="s">
        <v>32</v>
      </c>
      <c r="U1006" s="1" t="s">
        <v>699</v>
      </c>
      <c r="V1006" s="1" t="s">
        <v>225</v>
      </c>
      <c r="W1006" s="1" t="s">
        <v>48</v>
      </c>
      <c r="X1006" s="1" t="s">
        <v>700</v>
      </c>
      <c r="Y1006" s="1" t="s">
        <v>118</v>
      </c>
      <c r="Z1006" s="1" t="str">
        <f>TRIM(_xlfn.CONCAT(sales_data_sample[[#This Row],[CONTACTFIRSTNAME]],", ",sales_data_sample[[#This Row],[CONTACTLASTNAME]]))</f>
        <v>Victoria, Ashworth</v>
      </c>
      <c r="AA1006" s="1" t="s">
        <v>59</v>
      </c>
    </row>
    <row r="1007" spans="1:27" x14ac:dyDescent="0.25">
      <c r="A1007" s="10">
        <v>10314</v>
      </c>
      <c r="B1007" s="9">
        <v>20</v>
      </c>
      <c r="C1007" s="9">
        <v>100</v>
      </c>
      <c r="D1007" s="9">
        <f>PRODUCT(sales_data_sample[[#This Row],[QUANTITYORDERED]],sales_data_sample[[#This Row],[PRICEEACH]])</f>
        <v>2000</v>
      </c>
      <c r="E1007" s="9">
        <f>IF(OR(sales_data_sample[[#This Row],[STATUS]]="Shipped",sales_data_sample[[#This Row],[STATUS]]="Resolved"),sales_data_sample[[#This Row],[SALES]],0)</f>
        <v>2000</v>
      </c>
      <c r="F1007" s="10">
        <v>1</v>
      </c>
      <c r="G1007" s="12" t="s">
        <v>587</v>
      </c>
      <c r="H1007" s="1" t="s">
        <v>26</v>
      </c>
      <c r="I1007">
        <v>4</v>
      </c>
      <c r="J1007">
        <v>10</v>
      </c>
      <c r="K1007">
        <v>2004</v>
      </c>
      <c r="L1007" s="1" t="s">
        <v>799</v>
      </c>
      <c r="M1007">
        <v>136</v>
      </c>
      <c r="N1007" s="1" t="s">
        <v>911</v>
      </c>
      <c r="O1007" s="1" t="s">
        <v>701</v>
      </c>
      <c r="P1007" s="1" t="s">
        <v>702</v>
      </c>
      <c r="Q1007" s="1" t="s">
        <v>703</v>
      </c>
      <c r="R1007" s="1" t="s">
        <v>32</v>
      </c>
      <c r="S1007" s="1" t="s">
        <v>704</v>
      </c>
      <c r="T1007" s="1" t="s">
        <v>32</v>
      </c>
      <c r="U1007" s="1" t="s">
        <v>705</v>
      </c>
      <c r="V1007" s="1" t="s">
        <v>442</v>
      </c>
      <c r="W1007" s="1" t="s">
        <v>48</v>
      </c>
      <c r="X1007" s="1" t="s">
        <v>706</v>
      </c>
      <c r="Y1007" s="1" t="s">
        <v>707</v>
      </c>
      <c r="Z1007" s="1" t="str">
        <f>TRIM(_xlfn.CONCAT(sales_data_sample[[#This Row],[CONTACTFIRSTNAME]],", ",sales_data_sample[[#This Row],[CONTACTLASTNAME]]))</f>
        <v>Palle, Ibsen</v>
      </c>
      <c r="AA1007" s="1" t="s">
        <v>40</v>
      </c>
    </row>
    <row r="1008" spans="1:27" x14ac:dyDescent="0.25">
      <c r="A1008" s="10">
        <v>10325</v>
      </c>
      <c r="B1008" s="9">
        <v>24</v>
      </c>
      <c r="C1008" s="9">
        <v>6912</v>
      </c>
      <c r="D1008" s="9">
        <f>PRODUCT(sales_data_sample[[#This Row],[QUANTITYORDERED]],sales_data_sample[[#This Row],[PRICEEACH]])</f>
        <v>165888</v>
      </c>
      <c r="E1008" s="9">
        <f>IF(OR(sales_data_sample[[#This Row],[STATUS]]="Shipped",sales_data_sample[[#This Row],[STATUS]]="Resolved"),sales_data_sample[[#This Row],[SALES]],0)</f>
        <v>165888</v>
      </c>
      <c r="F1008" s="10">
        <v>9</v>
      </c>
      <c r="G1008" s="12" t="s">
        <v>532</v>
      </c>
      <c r="H1008" s="1" t="s">
        <v>26</v>
      </c>
      <c r="I1008">
        <v>4</v>
      </c>
      <c r="J1008">
        <v>11</v>
      </c>
      <c r="K1008">
        <v>2004</v>
      </c>
      <c r="L1008" s="1" t="s">
        <v>799</v>
      </c>
      <c r="M1008">
        <v>136</v>
      </c>
      <c r="N1008" s="1" t="s">
        <v>911</v>
      </c>
      <c r="O1008" s="1" t="s">
        <v>174</v>
      </c>
      <c r="P1008" s="1" t="s">
        <v>175</v>
      </c>
      <c r="Q1008" s="1" t="s">
        <v>176</v>
      </c>
      <c r="R1008" s="1" t="s">
        <v>32</v>
      </c>
      <c r="S1008" s="1" t="s">
        <v>177</v>
      </c>
      <c r="T1008" s="1" t="s">
        <v>32</v>
      </c>
      <c r="U1008" s="1" t="s">
        <v>178</v>
      </c>
      <c r="V1008" s="1" t="s">
        <v>97</v>
      </c>
      <c r="W1008" s="1" t="s">
        <v>48</v>
      </c>
      <c r="X1008" s="1" t="s">
        <v>179</v>
      </c>
      <c r="Y1008" s="1" t="s">
        <v>180</v>
      </c>
      <c r="Z1008" s="1" t="str">
        <f>TRIM(_xlfn.CONCAT(sales_data_sample[[#This Row],[CONTACTFIRSTNAME]],", ",sales_data_sample[[#This Row],[CONTACTLASTNAME]]))</f>
        <v>Jonas, Bergulfsen</v>
      </c>
      <c r="AA1008" s="1" t="s">
        <v>40</v>
      </c>
    </row>
    <row r="1009" spans="1:27" x14ac:dyDescent="0.25">
      <c r="A1009" s="10">
        <v>10336</v>
      </c>
      <c r="B1009" s="9">
        <v>48</v>
      </c>
      <c r="C1009" s="9">
        <v>100</v>
      </c>
      <c r="D1009" s="9">
        <f>PRODUCT(sales_data_sample[[#This Row],[QUANTITYORDERED]],sales_data_sample[[#This Row],[PRICEEACH]])</f>
        <v>4800</v>
      </c>
      <c r="E1009" s="9">
        <f>IF(OR(sales_data_sample[[#This Row],[STATUS]]="Shipped",sales_data_sample[[#This Row],[STATUS]]="Resolved"),sales_data_sample[[#This Row],[SALES]],0)</f>
        <v>4800</v>
      </c>
      <c r="F1009" s="10">
        <v>12</v>
      </c>
      <c r="G1009" s="12" t="s">
        <v>708</v>
      </c>
      <c r="H1009" s="1" t="s">
        <v>26</v>
      </c>
      <c r="I1009">
        <v>4</v>
      </c>
      <c r="J1009">
        <v>11</v>
      </c>
      <c r="K1009">
        <v>2004</v>
      </c>
      <c r="L1009" s="1" t="s">
        <v>799</v>
      </c>
      <c r="M1009">
        <v>136</v>
      </c>
      <c r="N1009" s="1" t="s">
        <v>911</v>
      </c>
      <c r="O1009" s="1" t="s">
        <v>556</v>
      </c>
      <c r="P1009" s="1" t="s">
        <v>557</v>
      </c>
      <c r="Q1009" s="1" t="s">
        <v>558</v>
      </c>
      <c r="R1009" s="1" t="s">
        <v>32</v>
      </c>
      <c r="S1009" s="1" t="s">
        <v>55</v>
      </c>
      <c r="T1009" s="1" t="s">
        <v>32</v>
      </c>
      <c r="U1009" s="1" t="s">
        <v>559</v>
      </c>
      <c r="V1009" s="1" t="s">
        <v>47</v>
      </c>
      <c r="W1009" s="1" t="s">
        <v>48</v>
      </c>
      <c r="X1009" s="1" t="s">
        <v>560</v>
      </c>
      <c r="Y1009" s="1" t="s">
        <v>561</v>
      </c>
      <c r="Z1009" s="1" t="str">
        <f>TRIM(_xlfn.CONCAT(sales_data_sample[[#This Row],[CONTACTFIRSTNAME]],", ",sales_data_sample[[#This Row],[CONTACTLASTNAME]]))</f>
        <v>Marie, Bertrand</v>
      </c>
      <c r="AA1009" s="1" t="s">
        <v>59</v>
      </c>
    </row>
    <row r="1010" spans="1:27" x14ac:dyDescent="0.25">
      <c r="A1010" s="10">
        <v>10350</v>
      </c>
      <c r="B1010" s="9">
        <v>44</v>
      </c>
      <c r="C1010" s="9">
        <v>100</v>
      </c>
      <c r="D1010" s="9">
        <f>PRODUCT(sales_data_sample[[#This Row],[QUANTITYORDERED]],sales_data_sample[[#This Row],[PRICEEACH]])</f>
        <v>4400</v>
      </c>
      <c r="E1010" s="9">
        <f>IF(OR(sales_data_sample[[#This Row],[STATUS]]="Shipped",sales_data_sample[[#This Row],[STATUS]]="Resolved"),sales_data_sample[[#This Row],[SALES]],0)</f>
        <v>4400</v>
      </c>
      <c r="F1010" s="10">
        <v>1</v>
      </c>
      <c r="G1010" s="12" t="s">
        <v>534</v>
      </c>
      <c r="H1010" s="1" t="s">
        <v>26</v>
      </c>
      <c r="I1010">
        <v>4</v>
      </c>
      <c r="J1010">
        <v>12</v>
      </c>
      <c r="K1010">
        <v>2004</v>
      </c>
      <c r="L1010" s="1" t="s">
        <v>799</v>
      </c>
      <c r="M1010">
        <v>136</v>
      </c>
      <c r="N1010" s="1" t="s">
        <v>911</v>
      </c>
      <c r="O1010" s="1" t="s">
        <v>230</v>
      </c>
      <c r="P1010" s="1" t="s">
        <v>231</v>
      </c>
      <c r="Q1010" s="1" t="s">
        <v>232</v>
      </c>
      <c r="R1010" s="1" t="s">
        <v>32</v>
      </c>
      <c r="S1010" s="1" t="s">
        <v>233</v>
      </c>
      <c r="T1010" s="1" t="s">
        <v>32</v>
      </c>
      <c r="U1010" s="1" t="s">
        <v>234</v>
      </c>
      <c r="V1010" s="1" t="s">
        <v>235</v>
      </c>
      <c r="W1010" s="1" t="s">
        <v>48</v>
      </c>
      <c r="X1010" s="1" t="s">
        <v>236</v>
      </c>
      <c r="Y1010" s="1" t="s">
        <v>237</v>
      </c>
      <c r="Z1010" s="1" t="str">
        <f>TRIM(_xlfn.CONCAT(sales_data_sample[[#This Row],[CONTACTFIRSTNAME]],", ",sales_data_sample[[#This Row],[CONTACTLASTNAME]]))</f>
        <v>Diego, Freyre</v>
      </c>
      <c r="AA1010" s="1" t="s">
        <v>59</v>
      </c>
    </row>
    <row r="1011" spans="1:27" x14ac:dyDescent="0.25">
      <c r="A1011" s="10">
        <v>10372</v>
      </c>
      <c r="B1011" s="9">
        <v>28</v>
      </c>
      <c r="C1011" s="9">
        <v>100</v>
      </c>
      <c r="D1011" s="9">
        <f>PRODUCT(sales_data_sample[[#This Row],[QUANTITYORDERED]],sales_data_sample[[#This Row],[PRICEEACH]])</f>
        <v>2800</v>
      </c>
      <c r="E1011" s="9">
        <f>IF(OR(sales_data_sample[[#This Row],[STATUS]]="Shipped",sales_data_sample[[#This Row],[STATUS]]="Resolved"),sales_data_sample[[#This Row],[SALES]],0)</f>
        <v>2800</v>
      </c>
      <c r="F1011" s="10">
        <v>3</v>
      </c>
      <c r="G1011" s="12" t="s">
        <v>726</v>
      </c>
      <c r="H1011" s="1" t="s">
        <v>26</v>
      </c>
      <c r="I1011">
        <v>1</v>
      </c>
      <c r="J1011">
        <v>1</v>
      </c>
      <c r="K1011">
        <v>2005</v>
      </c>
      <c r="L1011" s="1" t="s">
        <v>799</v>
      </c>
      <c r="M1011">
        <v>136</v>
      </c>
      <c r="N1011" s="1" t="s">
        <v>911</v>
      </c>
      <c r="O1011" s="1" t="s">
        <v>328</v>
      </c>
      <c r="P1011" s="1" t="s">
        <v>329</v>
      </c>
      <c r="Q1011" s="1" t="s">
        <v>330</v>
      </c>
      <c r="R1011" s="1" t="s">
        <v>32</v>
      </c>
      <c r="S1011" s="1" t="s">
        <v>331</v>
      </c>
      <c r="T1011" s="1" t="s">
        <v>332</v>
      </c>
      <c r="U1011" s="1" t="s">
        <v>333</v>
      </c>
      <c r="V1011" s="1" t="s">
        <v>264</v>
      </c>
      <c r="W1011" s="1" t="s">
        <v>264</v>
      </c>
      <c r="X1011" s="1" t="s">
        <v>334</v>
      </c>
      <c r="Y1011" s="1" t="s">
        <v>335</v>
      </c>
      <c r="Z1011" s="1" t="str">
        <f>TRIM(_xlfn.CONCAT(sales_data_sample[[#This Row],[CONTACTFIRSTNAME]],", ",sales_data_sample[[#This Row],[CONTACTLASTNAME]]))</f>
        <v>Akiko, Shimamura</v>
      </c>
      <c r="AA1011" s="1" t="s">
        <v>59</v>
      </c>
    </row>
    <row r="1012" spans="1:27" x14ac:dyDescent="0.25">
      <c r="A1012" s="10">
        <v>10383</v>
      </c>
      <c r="B1012" s="9">
        <v>24</v>
      </c>
      <c r="C1012" s="9">
        <v>6152</v>
      </c>
      <c r="D1012" s="9">
        <f>PRODUCT(sales_data_sample[[#This Row],[QUANTITYORDERED]],sales_data_sample[[#This Row],[PRICEEACH]])</f>
        <v>147648</v>
      </c>
      <c r="E1012" s="9">
        <f>IF(OR(sales_data_sample[[#This Row],[STATUS]]="Shipped",sales_data_sample[[#This Row],[STATUS]]="Resolved"),sales_data_sample[[#This Row],[SALES]],0)</f>
        <v>147648</v>
      </c>
      <c r="F1012" s="10">
        <v>9</v>
      </c>
      <c r="G1012" s="12" t="s">
        <v>884</v>
      </c>
      <c r="H1012" s="1" t="s">
        <v>26</v>
      </c>
      <c r="I1012">
        <v>1</v>
      </c>
      <c r="J1012">
        <v>2</v>
      </c>
      <c r="K1012">
        <v>2005</v>
      </c>
      <c r="L1012" s="1" t="s">
        <v>799</v>
      </c>
      <c r="M1012">
        <v>136</v>
      </c>
      <c r="N1012" s="1" t="s">
        <v>911</v>
      </c>
      <c r="O1012" s="1" t="s">
        <v>230</v>
      </c>
      <c r="P1012" s="1" t="s">
        <v>231</v>
      </c>
      <c r="Q1012" s="1" t="s">
        <v>232</v>
      </c>
      <c r="R1012" s="1" t="s">
        <v>32</v>
      </c>
      <c r="S1012" s="1" t="s">
        <v>233</v>
      </c>
      <c r="T1012" s="1" t="s">
        <v>32</v>
      </c>
      <c r="U1012" s="1" t="s">
        <v>234</v>
      </c>
      <c r="V1012" s="1" t="s">
        <v>235</v>
      </c>
      <c r="W1012" s="1" t="s">
        <v>48</v>
      </c>
      <c r="X1012" s="1" t="s">
        <v>236</v>
      </c>
      <c r="Y1012" s="1" t="s">
        <v>237</v>
      </c>
      <c r="Z1012" s="1" t="str">
        <f>TRIM(_xlfn.CONCAT(sales_data_sample[[#This Row],[CONTACTFIRSTNAME]],", ",sales_data_sample[[#This Row],[CONTACTLASTNAME]]))</f>
        <v>Diego, Freyre</v>
      </c>
      <c r="AA1012" s="1" t="s">
        <v>40</v>
      </c>
    </row>
    <row r="1013" spans="1:27" x14ac:dyDescent="0.25">
      <c r="A1013" s="10">
        <v>10396</v>
      </c>
      <c r="B1013" s="9">
        <v>33</v>
      </c>
      <c r="C1013" s="9">
        <v>100</v>
      </c>
      <c r="D1013" s="9">
        <f>PRODUCT(sales_data_sample[[#This Row],[QUANTITYORDERED]],sales_data_sample[[#This Row],[PRICEEACH]])</f>
        <v>3300</v>
      </c>
      <c r="E1013" s="9">
        <f>IF(OR(sales_data_sample[[#This Row],[STATUS]]="Shipped",sales_data_sample[[#This Row],[STATUS]]="Resolved"),sales_data_sample[[#This Row],[SALES]],0)</f>
        <v>3300</v>
      </c>
      <c r="F1013" s="10">
        <v>2</v>
      </c>
      <c r="G1013" s="12" t="s">
        <v>738</v>
      </c>
      <c r="H1013" s="1" t="s">
        <v>26</v>
      </c>
      <c r="I1013">
        <v>1</v>
      </c>
      <c r="J1013">
        <v>3</v>
      </c>
      <c r="K1013">
        <v>2005</v>
      </c>
      <c r="L1013" s="1" t="s">
        <v>799</v>
      </c>
      <c r="M1013">
        <v>136</v>
      </c>
      <c r="N1013" s="1" t="s">
        <v>911</v>
      </c>
      <c r="O1013" s="1" t="s">
        <v>361</v>
      </c>
      <c r="P1013" s="1" t="s">
        <v>362</v>
      </c>
      <c r="Q1013" s="1" t="s">
        <v>363</v>
      </c>
      <c r="R1013" s="1" t="s">
        <v>32</v>
      </c>
      <c r="S1013" s="1" t="s">
        <v>364</v>
      </c>
      <c r="T1013" s="1" t="s">
        <v>65</v>
      </c>
      <c r="U1013" s="1" t="s">
        <v>145</v>
      </c>
      <c r="V1013" s="1" t="s">
        <v>36</v>
      </c>
      <c r="W1013" s="1" t="s">
        <v>37</v>
      </c>
      <c r="X1013" s="1" t="s">
        <v>365</v>
      </c>
      <c r="Y1013" s="1" t="s">
        <v>366</v>
      </c>
      <c r="Z1013" s="1" t="str">
        <f>TRIM(_xlfn.CONCAT(sales_data_sample[[#This Row],[CONTACTFIRSTNAME]],", ",sales_data_sample[[#This Row],[CONTACTLASTNAME]]))</f>
        <v>Valarie, Nelson</v>
      </c>
      <c r="AA1013" s="1" t="s">
        <v>59</v>
      </c>
    </row>
    <row r="1014" spans="1:27" x14ac:dyDescent="0.25">
      <c r="A1014" s="10">
        <v>10414</v>
      </c>
      <c r="B1014" s="9">
        <v>41</v>
      </c>
      <c r="C1014" s="9">
        <v>100</v>
      </c>
      <c r="D1014" s="9">
        <f>PRODUCT(sales_data_sample[[#This Row],[QUANTITYORDERED]],sales_data_sample[[#This Row],[PRICEEACH]])</f>
        <v>4100</v>
      </c>
      <c r="E1014" s="9">
        <f>IF(OR(sales_data_sample[[#This Row],[STATUS]]="Shipped",sales_data_sample[[#This Row],[STATUS]]="Resolved"),sales_data_sample[[#This Row],[SALES]],0)</f>
        <v>0</v>
      </c>
      <c r="F1014" s="10">
        <v>12</v>
      </c>
      <c r="G1014" s="12" t="s">
        <v>552</v>
      </c>
      <c r="H1014" s="1" t="s">
        <v>553</v>
      </c>
      <c r="I1014">
        <v>2</v>
      </c>
      <c r="J1014">
        <v>5</v>
      </c>
      <c r="K1014">
        <v>2005</v>
      </c>
      <c r="L1014" s="1" t="s">
        <v>799</v>
      </c>
      <c r="M1014">
        <v>136</v>
      </c>
      <c r="N1014" s="1" t="s">
        <v>911</v>
      </c>
      <c r="O1014" s="1" t="s">
        <v>516</v>
      </c>
      <c r="P1014" s="1" t="s">
        <v>517</v>
      </c>
      <c r="Q1014" s="1" t="s">
        <v>518</v>
      </c>
      <c r="R1014" s="1" t="s">
        <v>32</v>
      </c>
      <c r="S1014" s="1" t="s">
        <v>519</v>
      </c>
      <c r="T1014" s="1" t="s">
        <v>160</v>
      </c>
      <c r="U1014" s="1" t="s">
        <v>520</v>
      </c>
      <c r="V1014" s="1" t="s">
        <v>36</v>
      </c>
      <c r="W1014" s="1" t="s">
        <v>37</v>
      </c>
      <c r="X1014" s="1" t="s">
        <v>521</v>
      </c>
      <c r="Y1014" s="1" t="s">
        <v>82</v>
      </c>
      <c r="Z1014" s="1" t="str">
        <f>TRIM(_xlfn.CONCAT(sales_data_sample[[#This Row],[CONTACTFIRSTNAME]],", ",sales_data_sample[[#This Row],[CONTACTLASTNAME]]))</f>
        <v>Juri, Yoshido</v>
      </c>
      <c r="AA1014" s="1" t="s">
        <v>59</v>
      </c>
    </row>
    <row r="1015" spans="1:27" x14ac:dyDescent="0.25">
      <c r="A1015" s="10">
        <v>10104</v>
      </c>
      <c r="B1015" s="9">
        <v>23</v>
      </c>
      <c r="C1015" s="9">
        <v>100</v>
      </c>
      <c r="D1015" s="9">
        <f>PRODUCT(sales_data_sample[[#This Row],[QUANTITYORDERED]],sales_data_sample[[#This Row],[PRICEEACH]])</f>
        <v>2300</v>
      </c>
      <c r="E1015" s="9">
        <f>IF(OR(sales_data_sample[[#This Row],[STATUS]]="Shipped",sales_data_sample[[#This Row],[STATUS]]="Resolved"),sales_data_sample[[#This Row],[SALES]],0)</f>
        <v>2300</v>
      </c>
      <c r="F1015" s="10">
        <v>13</v>
      </c>
      <c r="G1015" s="12" t="s">
        <v>723</v>
      </c>
      <c r="H1015" s="1" t="s">
        <v>26</v>
      </c>
      <c r="I1015">
        <v>1</v>
      </c>
      <c r="J1015">
        <v>1</v>
      </c>
      <c r="K1015">
        <v>2003</v>
      </c>
      <c r="L1015" s="1" t="s">
        <v>239</v>
      </c>
      <c r="M1015">
        <v>169</v>
      </c>
      <c r="N1015" s="1" t="s">
        <v>916</v>
      </c>
      <c r="O1015" s="1" t="s">
        <v>230</v>
      </c>
      <c r="P1015" s="1" t="s">
        <v>231</v>
      </c>
      <c r="Q1015" s="1" t="s">
        <v>232</v>
      </c>
      <c r="R1015" s="1" t="s">
        <v>32</v>
      </c>
      <c r="S1015" s="1" t="s">
        <v>233</v>
      </c>
      <c r="T1015" s="1" t="s">
        <v>32</v>
      </c>
      <c r="U1015" s="1" t="s">
        <v>234</v>
      </c>
      <c r="V1015" s="1" t="s">
        <v>235</v>
      </c>
      <c r="W1015" s="1" t="s">
        <v>48</v>
      </c>
      <c r="X1015" s="1" t="s">
        <v>236</v>
      </c>
      <c r="Y1015" s="1" t="s">
        <v>237</v>
      </c>
      <c r="Z1015" s="1" t="str">
        <f>TRIM(_xlfn.CONCAT(sales_data_sample[[#This Row],[CONTACTFIRSTNAME]],", ",sales_data_sample[[#This Row],[CONTACTLASTNAME]]))</f>
        <v>Diego, Freyre</v>
      </c>
      <c r="AA1015" s="1" t="s">
        <v>59</v>
      </c>
    </row>
    <row r="1016" spans="1:27" x14ac:dyDescent="0.25">
      <c r="A1016" s="10">
        <v>10109</v>
      </c>
      <c r="B1016" s="9">
        <v>46</v>
      </c>
      <c r="C1016" s="9">
        <v>100</v>
      </c>
      <c r="D1016" s="9">
        <f>PRODUCT(sales_data_sample[[#This Row],[QUANTITYORDERED]],sales_data_sample[[#This Row],[PRICEEACH]])</f>
        <v>4600</v>
      </c>
      <c r="E1016" s="9">
        <f>IF(OR(sales_data_sample[[#This Row],[STATUS]]="Shipped",sales_data_sample[[#This Row],[STATUS]]="Resolved"),sales_data_sample[[#This Row],[SALES]],0)</f>
        <v>4600</v>
      </c>
      <c r="F1016" s="10">
        <v>5</v>
      </c>
      <c r="G1016" s="12" t="s">
        <v>771</v>
      </c>
      <c r="H1016" s="1" t="s">
        <v>26</v>
      </c>
      <c r="I1016">
        <v>1</v>
      </c>
      <c r="J1016">
        <v>3</v>
      </c>
      <c r="K1016">
        <v>2003</v>
      </c>
      <c r="L1016" s="1" t="s">
        <v>239</v>
      </c>
      <c r="M1016">
        <v>169</v>
      </c>
      <c r="N1016" s="1" t="s">
        <v>916</v>
      </c>
      <c r="O1016" s="1" t="s">
        <v>415</v>
      </c>
      <c r="P1016" s="1" t="s">
        <v>416</v>
      </c>
      <c r="Q1016" s="1" t="s">
        <v>417</v>
      </c>
      <c r="R1016" s="1" t="s">
        <v>32</v>
      </c>
      <c r="S1016" s="1" t="s">
        <v>286</v>
      </c>
      <c r="T1016" s="1" t="s">
        <v>186</v>
      </c>
      <c r="U1016" s="1" t="s">
        <v>287</v>
      </c>
      <c r="V1016" s="1" t="s">
        <v>36</v>
      </c>
      <c r="W1016" s="1" t="s">
        <v>37</v>
      </c>
      <c r="X1016" s="1" t="s">
        <v>162</v>
      </c>
      <c r="Y1016" s="1" t="s">
        <v>418</v>
      </c>
      <c r="Z1016" s="1" t="str">
        <f>TRIM(_xlfn.CONCAT(sales_data_sample[[#This Row],[CONTACTFIRSTNAME]],", ",sales_data_sample[[#This Row],[CONTACTLASTNAME]]))</f>
        <v>Rosa, Hernandez</v>
      </c>
      <c r="AA1016" s="1" t="s">
        <v>199</v>
      </c>
    </row>
    <row r="1017" spans="1:27" x14ac:dyDescent="0.25">
      <c r="A1017" s="10">
        <v>10114</v>
      </c>
      <c r="B1017" s="9">
        <v>48</v>
      </c>
      <c r="C1017" s="9">
        <v>100</v>
      </c>
      <c r="D1017" s="9">
        <f>PRODUCT(sales_data_sample[[#This Row],[QUANTITYORDERED]],sales_data_sample[[#This Row],[PRICEEACH]])</f>
        <v>4800</v>
      </c>
      <c r="E1017" s="9">
        <f>IF(OR(sales_data_sample[[#This Row],[STATUS]]="Shipped",sales_data_sample[[#This Row],[STATUS]]="Resolved"),sales_data_sample[[#This Row],[SALES]],0)</f>
        <v>4800</v>
      </c>
      <c r="F1017" s="10">
        <v>4</v>
      </c>
      <c r="G1017" s="12" t="s">
        <v>555</v>
      </c>
      <c r="H1017" s="1" t="s">
        <v>26</v>
      </c>
      <c r="I1017">
        <v>2</v>
      </c>
      <c r="J1017">
        <v>4</v>
      </c>
      <c r="K1017">
        <v>2003</v>
      </c>
      <c r="L1017" s="1" t="s">
        <v>239</v>
      </c>
      <c r="M1017">
        <v>169</v>
      </c>
      <c r="N1017" s="1" t="s">
        <v>916</v>
      </c>
      <c r="O1017" s="1" t="s">
        <v>556</v>
      </c>
      <c r="P1017" s="1" t="s">
        <v>557</v>
      </c>
      <c r="Q1017" s="1" t="s">
        <v>558</v>
      </c>
      <c r="R1017" s="1" t="s">
        <v>32</v>
      </c>
      <c r="S1017" s="1" t="s">
        <v>55</v>
      </c>
      <c r="T1017" s="1" t="s">
        <v>32</v>
      </c>
      <c r="U1017" s="1" t="s">
        <v>559</v>
      </c>
      <c r="V1017" s="1" t="s">
        <v>47</v>
      </c>
      <c r="W1017" s="1" t="s">
        <v>48</v>
      </c>
      <c r="X1017" s="1" t="s">
        <v>560</v>
      </c>
      <c r="Y1017" s="1" t="s">
        <v>561</v>
      </c>
      <c r="Z1017" s="1" t="str">
        <f>TRIM(_xlfn.CONCAT(sales_data_sample[[#This Row],[CONTACTFIRSTNAME]],", ",sales_data_sample[[#This Row],[CONTACTLASTNAME]]))</f>
        <v>Marie, Bertrand</v>
      </c>
      <c r="AA1017" s="1" t="s">
        <v>199</v>
      </c>
    </row>
    <row r="1018" spans="1:27" x14ac:dyDescent="0.25">
      <c r="A1018" s="10">
        <v>10122</v>
      </c>
      <c r="B1018" s="9">
        <v>25</v>
      </c>
      <c r="C1018" s="9">
        <v>100</v>
      </c>
      <c r="D1018" s="9">
        <f>PRODUCT(sales_data_sample[[#This Row],[QUANTITYORDERED]],sales_data_sample[[#This Row],[PRICEEACH]])</f>
        <v>2500</v>
      </c>
      <c r="E1018" s="9">
        <f>IF(OR(sales_data_sample[[#This Row],[STATUS]]="Shipped",sales_data_sample[[#This Row],[STATUS]]="Resolved"),sales_data_sample[[#This Row],[SALES]],0)</f>
        <v>2500</v>
      </c>
      <c r="F1018" s="10">
        <v>3</v>
      </c>
      <c r="G1018" s="12" t="s">
        <v>599</v>
      </c>
      <c r="H1018" s="1" t="s">
        <v>26</v>
      </c>
      <c r="I1018">
        <v>2</v>
      </c>
      <c r="J1018">
        <v>5</v>
      </c>
      <c r="K1018">
        <v>2003</v>
      </c>
      <c r="L1018" s="1" t="s">
        <v>239</v>
      </c>
      <c r="M1018">
        <v>169</v>
      </c>
      <c r="N1018" s="1" t="s">
        <v>916</v>
      </c>
      <c r="O1018" s="1" t="s">
        <v>600</v>
      </c>
      <c r="P1018" s="1" t="s">
        <v>601</v>
      </c>
      <c r="Q1018" s="1" t="s">
        <v>602</v>
      </c>
      <c r="R1018" s="1" t="s">
        <v>32</v>
      </c>
      <c r="S1018" s="1" t="s">
        <v>603</v>
      </c>
      <c r="T1018" s="1" t="s">
        <v>32</v>
      </c>
      <c r="U1018" s="1" t="s">
        <v>604</v>
      </c>
      <c r="V1018" s="1" t="s">
        <v>47</v>
      </c>
      <c r="W1018" s="1" t="s">
        <v>48</v>
      </c>
      <c r="X1018" s="1" t="s">
        <v>605</v>
      </c>
      <c r="Y1018" s="1" t="s">
        <v>606</v>
      </c>
      <c r="Z1018" s="1" t="str">
        <f>TRIM(_xlfn.CONCAT(sales_data_sample[[#This Row],[CONTACTFIRSTNAME]],", ",sales_data_sample[[#This Row],[CONTACTLASTNAME]]))</f>
        <v>Laurence, Lebihan</v>
      </c>
      <c r="AA1018" s="1" t="s">
        <v>59</v>
      </c>
    </row>
    <row r="1019" spans="1:27" x14ac:dyDescent="0.25">
      <c r="A1019">
        <v>10127</v>
      </c>
      <c r="B1019">
        <v>22</v>
      </c>
      <c r="C1019">
        <v>100</v>
      </c>
      <c r="D1019">
        <f>PRODUCT(sales_data_sample[[#This Row],[QUANTITYORDERED]],sales_data_sample[[#This Row],[PRICEEACH]])</f>
        <v>2200</v>
      </c>
      <c r="E1019" s="9">
        <f>IF(OR(sales_data_sample[[#This Row],[STATUS]]="Shipped",sales_data_sample[[#This Row],[STATUS]]="Resolved"),sales_data_sample[[#This Row],[SALES]],0)</f>
        <v>2200</v>
      </c>
      <c r="F1019">
        <v>15</v>
      </c>
      <c r="G1019" s="12" t="s">
        <v>666</v>
      </c>
      <c r="H1019" s="1" t="s">
        <v>26</v>
      </c>
      <c r="I1019">
        <v>2</v>
      </c>
      <c r="J1019">
        <v>6</v>
      </c>
      <c r="K1019">
        <v>2003</v>
      </c>
      <c r="L1019" s="1" t="s">
        <v>239</v>
      </c>
      <c r="M1019">
        <v>169</v>
      </c>
      <c r="N1019" s="1" t="s">
        <v>916</v>
      </c>
      <c r="O1019" s="1" t="s">
        <v>667</v>
      </c>
      <c r="P1019" s="1" t="s">
        <v>668</v>
      </c>
      <c r="Q1019" s="1" t="s">
        <v>669</v>
      </c>
      <c r="R1019" s="1" t="s">
        <v>670</v>
      </c>
      <c r="S1019" s="1" t="s">
        <v>33</v>
      </c>
      <c r="T1019" s="1" t="s">
        <v>34</v>
      </c>
      <c r="U1019" s="1" t="s">
        <v>35</v>
      </c>
      <c r="V1019" s="1" t="s">
        <v>36</v>
      </c>
      <c r="W1019" s="1" t="s">
        <v>37</v>
      </c>
      <c r="X1019" s="1" t="s">
        <v>67</v>
      </c>
      <c r="Y1019" s="1" t="s">
        <v>671</v>
      </c>
      <c r="Z1019" s="1" t="str">
        <f>TRIM(_xlfn.CONCAT(sales_data_sample[[#This Row],[CONTACTFIRSTNAME]],", ",sales_data_sample[[#This Row],[CONTACTLASTNAME]]))</f>
        <v>Jeff, Young</v>
      </c>
      <c r="AA1019" s="1" t="s">
        <v>59</v>
      </c>
    </row>
    <row r="1020" spans="1:27" x14ac:dyDescent="0.25">
      <c r="A1020" s="10">
        <v>10136</v>
      </c>
      <c r="B1020" s="9">
        <v>41</v>
      </c>
      <c r="C1020" s="9">
        <v>100</v>
      </c>
      <c r="D1020" s="9">
        <f>PRODUCT(sales_data_sample[[#This Row],[QUANTITYORDERED]],sales_data_sample[[#This Row],[PRICEEACH]])</f>
        <v>4100</v>
      </c>
      <c r="E1020" s="9">
        <f>IF(OR(sales_data_sample[[#This Row],[STATUS]]="Shipped",sales_data_sample[[#This Row],[STATUS]]="Resolved"),sales_data_sample[[#This Row],[SALES]],0)</f>
        <v>4100</v>
      </c>
      <c r="F1020" s="10">
        <v>3</v>
      </c>
      <c r="G1020" s="12" t="s">
        <v>773</v>
      </c>
      <c r="H1020" s="1" t="s">
        <v>26</v>
      </c>
      <c r="I1020">
        <v>3</v>
      </c>
      <c r="J1020">
        <v>7</v>
      </c>
      <c r="K1020">
        <v>2003</v>
      </c>
      <c r="L1020" s="1" t="s">
        <v>239</v>
      </c>
      <c r="M1020">
        <v>169</v>
      </c>
      <c r="N1020" s="1" t="s">
        <v>916</v>
      </c>
      <c r="O1020" s="1" t="s">
        <v>463</v>
      </c>
      <c r="P1020" s="1" t="s">
        <v>464</v>
      </c>
      <c r="Q1020" s="1" t="s">
        <v>465</v>
      </c>
      <c r="R1020" s="1" t="s">
        <v>32</v>
      </c>
      <c r="S1020" s="1" t="s">
        <v>466</v>
      </c>
      <c r="T1020" s="1" t="s">
        <v>32</v>
      </c>
      <c r="U1020" s="1" t="s">
        <v>467</v>
      </c>
      <c r="V1020" s="1" t="s">
        <v>47</v>
      </c>
      <c r="W1020" s="1" t="s">
        <v>48</v>
      </c>
      <c r="X1020" s="1" t="s">
        <v>468</v>
      </c>
      <c r="Y1020" s="1" t="s">
        <v>469</v>
      </c>
      <c r="Z1020" s="1" t="str">
        <f>TRIM(_xlfn.CONCAT(sales_data_sample[[#This Row],[CONTACTFIRSTNAME]],", ",sales_data_sample[[#This Row],[CONTACTLASTNAME]]))</f>
        <v>Annette, Roulet</v>
      </c>
      <c r="AA1020" s="1" t="s">
        <v>199</v>
      </c>
    </row>
    <row r="1021" spans="1:27" x14ac:dyDescent="0.25">
      <c r="A1021" s="10">
        <v>10141</v>
      </c>
      <c r="B1021" s="9">
        <v>34</v>
      </c>
      <c r="C1021" s="9">
        <v>100</v>
      </c>
      <c r="D1021" s="9">
        <f>PRODUCT(sales_data_sample[[#This Row],[QUANTITYORDERED]],sales_data_sample[[#This Row],[PRICEEACH]])</f>
        <v>3400</v>
      </c>
      <c r="E1021" s="9">
        <f>IF(OR(sales_data_sample[[#This Row],[STATUS]]="Shipped",sales_data_sample[[#This Row],[STATUS]]="Resolved"),sales_data_sample[[#This Row],[SALES]],0)</f>
        <v>3400</v>
      </c>
      <c r="F1021" s="10">
        <v>9</v>
      </c>
      <c r="G1021" s="12" t="s">
        <v>743</v>
      </c>
      <c r="H1021" s="1" t="s">
        <v>26</v>
      </c>
      <c r="I1021">
        <v>3</v>
      </c>
      <c r="J1021">
        <v>8</v>
      </c>
      <c r="K1021">
        <v>2003</v>
      </c>
      <c r="L1021" s="1" t="s">
        <v>239</v>
      </c>
      <c r="M1021">
        <v>169</v>
      </c>
      <c r="N1021" s="1" t="s">
        <v>916</v>
      </c>
      <c r="O1021" s="1" t="s">
        <v>656</v>
      </c>
      <c r="P1021" s="1" t="s">
        <v>657</v>
      </c>
      <c r="Q1021" s="1" t="s">
        <v>658</v>
      </c>
      <c r="R1021" s="1" t="s">
        <v>32</v>
      </c>
      <c r="S1021" s="1" t="s">
        <v>659</v>
      </c>
      <c r="T1021" s="1" t="s">
        <v>32</v>
      </c>
      <c r="U1021" s="1" t="s">
        <v>660</v>
      </c>
      <c r="V1021" s="1" t="s">
        <v>170</v>
      </c>
      <c r="W1021" s="1" t="s">
        <v>48</v>
      </c>
      <c r="X1021" s="1" t="s">
        <v>661</v>
      </c>
      <c r="Y1021" s="1" t="s">
        <v>662</v>
      </c>
      <c r="Z1021" s="1" t="str">
        <f>TRIM(_xlfn.CONCAT(sales_data_sample[[#This Row],[CONTACTFIRSTNAME]],", ",sales_data_sample[[#This Row],[CONTACTLASTNAME]]))</f>
        <v>Kalle, Suominen</v>
      </c>
      <c r="AA1021" s="1" t="s">
        <v>59</v>
      </c>
    </row>
    <row r="1022" spans="1:27" x14ac:dyDescent="0.25">
      <c r="A1022">
        <v>10148</v>
      </c>
      <c r="B1022">
        <v>32</v>
      </c>
      <c r="C1022">
        <v>100</v>
      </c>
      <c r="D1022">
        <f>PRODUCT(sales_data_sample[[#This Row],[QUANTITYORDERED]],sales_data_sample[[#This Row],[PRICEEACH]])</f>
        <v>3200</v>
      </c>
      <c r="E1022" s="9">
        <f>IF(OR(sales_data_sample[[#This Row],[STATUS]]="Shipped",sales_data_sample[[#This Row],[STATUS]]="Resolved"),sales_data_sample[[#This Row],[SALES]],0)</f>
        <v>3200</v>
      </c>
      <c r="F1022">
        <v>14</v>
      </c>
      <c r="G1022" s="12" t="s">
        <v>774</v>
      </c>
      <c r="H1022" s="1" t="s">
        <v>26</v>
      </c>
      <c r="I1022">
        <v>3</v>
      </c>
      <c r="J1022">
        <v>9</v>
      </c>
      <c r="K1022">
        <v>2003</v>
      </c>
      <c r="L1022" s="1" t="s">
        <v>239</v>
      </c>
      <c r="M1022">
        <v>169</v>
      </c>
      <c r="N1022" s="1" t="s">
        <v>916</v>
      </c>
      <c r="O1022" s="1" t="s">
        <v>385</v>
      </c>
      <c r="P1022" s="1" t="s">
        <v>386</v>
      </c>
      <c r="Q1022" s="1" t="s">
        <v>387</v>
      </c>
      <c r="R1022" s="1" t="s">
        <v>388</v>
      </c>
      <c r="S1022" s="1" t="s">
        <v>389</v>
      </c>
      <c r="T1022" s="1" t="s">
        <v>206</v>
      </c>
      <c r="U1022" s="1" t="s">
        <v>390</v>
      </c>
      <c r="V1022" s="1" t="s">
        <v>120</v>
      </c>
      <c r="W1022" s="1" t="s">
        <v>121</v>
      </c>
      <c r="X1022" s="1" t="s">
        <v>391</v>
      </c>
      <c r="Y1022" s="1" t="s">
        <v>392</v>
      </c>
      <c r="Z1022" s="1" t="str">
        <f>TRIM(_xlfn.CONCAT(sales_data_sample[[#This Row],[CONTACTFIRSTNAME]],", ",sales_data_sample[[#This Row],[CONTACTLASTNAME]]))</f>
        <v>Anna, O'Hara</v>
      </c>
      <c r="AA1022" s="1" t="s">
        <v>59</v>
      </c>
    </row>
    <row r="1023" spans="1:27" x14ac:dyDescent="0.25">
      <c r="A1023" s="10">
        <v>10151</v>
      </c>
      <c r="B1023" s="9">
        <v>21</v>
      </c>
      <c r="C1023" s="9">
        <v>100</v>
      </c>
      <c r="D1023" s="9">
        <f>PRODUCT(sales_data_sample[[#This Row],[QUANTITYORDERED]],sales_data_sample[[#This Row],[PRICEEACH]])</f>
        <v>2100</v>
      </c>
      <c r="E1023" s="9">
        <f>IF(OR(sales_data_sample[[#This Row],[STATUS]]="Shipped",sales_data_sample[[#This Row],[STATUS]]="Resolved"),sales_data_sample[[#This Row],[SALES]],0)</f>
        <v>2100</v>
      </c>
      <c r="F1023" s="10">
        <v>7</v>
      </c>
      <c r="G1023" s="12" t="s">
        <v>744</v>
      </c>
      <c r="H1023" s="1" t="s">
        <v>26</v>
      </c>
      <c r="I1023">
        <v>3</v>
      </c>
      <c r="J1023">
        <v>9</v>
      </c>
      <c r="K1023">
        <v>2003</v>
      </c>
      <c r="L1023" s="1" t="s">
        <v>239</v>
      </c>
      <c r="M1023">
        <v>169</v>
      </c>
      <c r="N1023" s="1" t="s">
        <v>916</v>
      </c>
      <c r="O1023" s="1" t="s">
        <v>537</v>
      </c>
      <c r="P1023" s="1" t="s">
        <v>538</v>
      </c>
      <c r="Q1023" s="1" t="s">
        <v>539</v>
      </c>
      <c r="R1023" s="1" t="s">
        <v>32</v>
      </c>
      <c r="S1023" s="1" t="s">
        <v>540</v>
      </c>
      <c r="T1023" s="1" t="s">
        <v>32</v>
      </c>
      <c r="U1023" s="1" t="s">
        <v>541</v>
      </c>
      <c r="V1023" s="1" t="s">
        <v>170</v>
      </c>
      <c r="W1023" s="1" t="s">
        <v>48</v>
      </c>
      <c r="X1023" s="1" t="s">
        <v>542</v>
      </c>
      <c r="Y1023" s="1" t="s">
        <v>543</v>
      </c>
      <c r="Z1023" s="1" t="str">
        <f>TRIM(_xlfn.CONCAT(sales_data_sample[[#This Row],[CONTACTFIRSTNAME]],", ",sales_data_sample[[#This Row],[CONTACTLASTNAME]]))</f>
        <v>Pirkko, Koskitalo</v>
      </c>
      <c r="AA1023" s="1" t="s">
        <v>59</v>
      </c>
    </row>
    <row r="1024" spans="1:27" x14ac:dyDescent="0.25">
      <c r="A1024" s="10">
        <v>10160</v>
      </c>
      <c r="B1024" s="9">
        <v>20</v>
      </c>
      <c r="C1024" s="9">
        <v>100</v>
      </c>
      <c r="D1024" s="9">
        <f>PRODUCT(sales_data_sample[[#This Row],[QUANTITYORDERED]],sales_data_sample[[#This Row],[PRICEEACH]])</f>
        <v>2000</v>
      </c>
      <c r="E1024" s="9">
        <f>IF(OR(sales_data_sample[[#This Row],[STATUS]]="Shipped",sales_data_sample[[#This Row],[STATUS]]="Resolved"),sales_data_sample[[#This Row],[SALES]],0)</f>
        <v>2000</v>
      </c>
      <c r="F1024" s="10">
        <v>1</v>
      </c>
      <c r="G1024" s="12" t="s">
        <v>728</v>
      </c>
      <c r="H1024" s="1" t="s">
        <v>26</v>
      </c>
      <c r="I1024">
        <v>4</v>
      </c>
      <c r="J1024">
        <v>10</v>
      </c>
      <c r="K1024">
        <v>2003</v>
      </c>
      <c r="L1024" s="1" t="s">
        <v>239</v>
      </c>
      <c r="M1024">
        <v>169</v>
      </c>
      <c r="N1024" s="1" t="s">
        <v>916</v>
      </c>
      <c r="O1024" s="1" t="s">
        <v>486</v>
      </c>
      <c r="P1024" s="1" t="s">
        <v>487</v>
      </c>
      <c r="Q1024" s="1" t="s">
        <v>488</v>
      </c>
      <c r="R1024" s="1" t="s">
        <v>32</v>
      </c>
      <c r="S1024" s="1" t="s">
        <v>489</v>
      </c>
      <c r="T1024" s="1" t="s">
        <v>65</v>
      </c>
      <c r="U1024" s="1" t="s">
        <v>32</v>
      </c>
      <c r="V1024" s="1" t="s">
        <v>36</v>
      </c>
      <c r="W1024" s="1" t="s">
        <v>37</v>
      </c>
      <c r="X1024" s="1" t="s">
        <v>490</v>
      </c>
      <c r="Y1024" s="1" t="s">
        <v>130</v>
      </c>
      <c r="Z1024" s="1" t="str">
        <f>TRIM(_xlfn.CONCAT(sales_data_sample[[#This Row],[CONTACTFIRSTNAME]],", ",sales_data_sample[[#This Row],[CONTACTLASTNAME]]))</f>
        <v>Michael, Chandler</v>
      </c>
      <c r="AA1024" s="1" t="s">
        <v>59</v>
      </c>
    </row>
    <row r="1025" spans="1:27" x14ac:dyDescent="0.25">
      <c r="A1025" s="10">
        <v>10165</v>
      </c>
      <c r="B1025" s="9">
        <v>47</v>
      </c>
      <c r="C1025" s="9">
        <v>100</v>
      </c>
      <c r="D1025" s="9">
        <f>PRODUCT(sales_data_sample[[#This Row],[QUANTITYORDERED]],sales_data_sample[[#This Row],[PRICEEACH]])</f>
        <v>4700</v>
      </c>
      <c r="E1025" s="9">
        <f>IF(OR(sales_data_sample[[#This Row],[STATUS]]="Shipped",sales_data_sample[[#This Row],[STATUS]]="Resolved"),sales_data_sample[[#This Row],[SALES]],0)</f>
        <v>4700</v>
      </c>
      <c r="F1025" s="10">
        <v>16</v>
      </c>
      <c r="G1025" s="12" t="s">
        <v>674</v>
      </c>
      <c r="H1025" s="1" t="s">
        <v>26</v>
      </c>
      <c r="I1025">
        <v>4</v>
      </c>
      <c r="J1025">
        <v>10</v>
      </c>
      <c r="K1025">
        <v>2003</v>
      </c>
      <c r="L1025" s="1" t="s">
        <v>239</v>
      </c>
      <c r="M1025">
        <v>169</v>
      </c>
      <c r="N1025" s="1" t="s">
        <v>916</v>
      </c>
      <c r="O1025" s="1" t="s">
        <v>259</v>
      </c>
      <c r="P1025" s="1" t="s">
        <v>260</v>
      </c>
      <c r="Q1025" s="1" t="s">
        <v>261</v>
      </c>
      <c r="R1025" s="1" t="s">
        <v>32</v>
      </c>
      <c r="S1025" s="1" t="s">
        <v>262</v>
      </c>
      <c r="T1025" s="1" t="s">
        <v>32</v>
      </c>
      <c r="U1025" s="1" t="s">
        <v>263</v>
      </c>
      <c r="V1025" s="1" t="s">
        <v>262</v>
      </c>
      <c r="W1025" s="1" t="s">
        <v>264</v>
      </c>
      <c r="X1025" s="1" t="s">
        <v>265</v>
      </c>
      <c r="Y1025" s="1" t="s">
        <v>266</v>
      </c>
      <c r="Z1025" s="1" t="str">
        <f>TRIM(_xlfn.CONCAT(sales_data_sample[[#This Row],[CONTACTFIRSTNAME]],", ",sales_data_sample[[#This Row],[CONTACTLASTNAME]]))</f>
        <v>Eric, Natividad</v>
      </c>
      <c r="AA1025" s="1" t="s">
        <v>199</v>
      </c>
    </row>
    <row r="1026" spans="1:27" x14ac:dyDescent="0.25">
      <c r="A1026" s="10">
        <v>10171</v>
      </c>
      <c r="B1026" s="9">
        <v>39</v>
      </c>
      <c r="C1026" s="9">
        <v>100</v>
      </c>
      <c r="D1026" s="9">
        <f>PRODUCT(sales_data_sample[[#This Row],[QUANTITYORDERED]],sales_data_sample[[#This Row],[PRICEEACH]])</f>
        <v>3900</v>
      </c>
      <c r="E1026" s="9">
        <f>IF(OR(sales_data_sample[[#This Row],[STATUS]]="Shipped",sales_data_sample[[#This Row],[STATUS]]="Resolved"),sales_data_sample[[#This Row],[SALES]],0)</f>
        <v>3900</v>
      </c>
      <c r="F1026" s="10">
        <v>3</v>
      </c>
      <c r="G1026" s="12" t="s">
        <v>776</v>
      </c>
      <c r="H1026" s="1" t="s">
        <v>26</v>
      </c>
      <c r="I1026">
        <v>4</v>
      </c>
      <c r="J1026">
        <v>11</v>
      </c>
      <c r="K1026">
        <v>2003</v>
      </c>
      <c r="L1026" s="1" t="s">
        <v>239</v>
      </c>
      <c r="M1026">
        <v>169</v>
      </c>
      <c r="N1026" s="1" t="s">
        <v>916</v>
      </c>
      <c r="O1026" s="1" t="s">
        <v>394</v>
      </c>
      <c r="P1026" s="1" t="s">
        <v>395</v>
      </c>
      <c r="Q1026" s="1" t="s">
        <v>396</v>
      </c>
      <c r="R1026" s="1" t="s">
        <v>32</v>
      </c>
      <c r="S1026" s="1" t="s">
        <v>397</v>
      </c>
      <c r="T1026" s="1" t="s">
        <v>398</v>
      </c>
      <c r="U1026" s="1" t="s">
        <v>399</v>
      </c>
      <c r="V1026" s="1" t="s">
        <v>305</v>
      </c>
      <c r="W1026" s="1" t="s">
        <v>37</v>
      </c>
      <c r="X1026" s="1" t="s">
        <v>400</v>
      </c>
      <c r="Y1026" s="1" t="s">
        <v>401</v>
      </c>
      <c r="Z1026" s="1" t="str">
        <f>TRIM(_xlfn.CONCAT(sales_data_sample[[#This Row],[CONTACTFIRSTNAME]],", ",sales_data_sample[[#This Row],[CONTACTLASTNAME]]))</f>
        <v>Jean, Fresnisre</v>
      </c>
      <c r="AA1026" s="1" t="s">
        <v>59</v>
      </c>
    </row>
    <row r="1027" spans="1:27" x14ac:dyDescent="0.25">
      <c r="A1027" s="10">
        <v>10175</v>
      </c>
      <c r="B1027" s="9">
        <v>29</v>
      </c>
      <c r="C1027" s="9">
        <v>100</v>
      </c>
      <c r="D1027" s="9">
        <f>PRODUCT(sales_data_sample[[#This Row],[QUANTITYORDERED]],sales_data_sample[[#This Row],[PRICEEACH]])</f>
        <v>2900</v>
      </c>
      <c r="E1027" s="9">
        <f>IF(OR(sales_data_sample[[#This Row],[STATUS]]="Shipped",sales_data_sample[[#This Row],[STATUS]]="Resolved"),sales_data_sample[[#This Row],[SALES]],0)</f>
        <v>2900</v>
      </c>
      <c r="F1027" s="10">
        <v>5</v>
      </c>
      <c r="G1027" s="12" t="s">
        <v>273</v>
      </c>
      <c r="H1027" s="1" t="s">
        <v>26</v>
      </c>
      <c r="I1027">
        <v>4</v>
      </c>
      <c r="J1027">
        <v>11</v>
      </c>
      <c r="K1027">
        <v>2003</v>
      </c>
      <c r="L1027" s="1" t="s">
        <v>239</v>
      </c>
      <c r="M1027">
        <v>169</v>
      </c>
      <c r="N1027" s="1" t="s">
        <v>916</v>
      </c>
      <c r="O1027" s="1" t="s">
        <v>447</v>
      </c>
      <c r="P1027" s="1" t="s">
        <v>448</v>
      </c>
      <c r="Q1027" s="1" t="s">
        <v>449</v>
      </c>
      <c r="R1027" s="1" t="s">
        <v>32</v>
      </c>
      <c r="S1027" s="1" t="s">
        <v>450</v>
      </c>
      <c r="T1027" s="1" t="s">
        <v>32</v>
      </c>
      <c r="U1027" s="1" t="s">
        <v>451</v>
      </c>
      <c r="V1027" s="1" t="s">
        <v>225</v>
      </c>
      <c r="W1027" s="1" t="s">
        <v>48</v>
      </c>
      <c r="X1027" s="1" t="s">
        <v>74</v>
      </c>
      <c r="Y1027" s="1" t="s">
        <v>452</v>
      </c>
      <c r="Z1027" s="1" t="str">
        <f>TRIM(_xlfn.CONCAT(sales_data_sample[[#This Row],[CONTACTFIRSTNAME]],", ",sales_data_sample[[#This Row],[CONTACTLASTNAME]]))</f>
        <v>Ann, Brown</v>
      </c>
      <c r="AA1027" s="1" t="s">
        <v>59</v>
      </c>
    </row>
    <row r="1028" spans="1:27" x14ac:dyDescent="0.25">
      <c r="A1028" s="10">
        <v>10181</v>
      </c>
      <c r="B1028" s="9">
        <v>45</v>
      </c>
      <c r="C1028" s="9">
        <v>100</v>
      </c>
      <c r="D1028" s="9">
        <f>PRODUCT(sales_data_sample[[#This Row],[QUANTITYORDERED]],sales_data_sample[[#This Row],[PRICEEACH]])</f>
        <v>4500</v>
      </c>
      <c r="E1028" s="9">
        <f>IF(OR(sales_data_sample[[#This Row],[STATUS]]="Shipped",sales_data_sample[[#This Row],[STATUS]]="Resolved"),sales_data_sample[[#This Row],[SALES]],0)</f>
        <v>4500</v>
      </c>
      <c r="F1028" s="10">
        <v>7</v>
      </c>
      <c r="G1028" s="12" t="s">
        <v>610</v>
      </c>
      <c r="H1028" s="1" t="s">
        <v>26</v>
      </c>
      <c r="I1028">
        <v>4</v>
      </c>
      <c r="J1028">
        <v>11</v>
      </c>
      <c r="K1028">
        <v>2003</v>
      </c>
      <c r="L1028" s="1" t="s">
        <v>239</v>
      </c>
      <c r="M1028">
        <v>169</v>
      </c>
      <c r="N1028" s="1" t="s">
        <v>916</v>
      </c>
      <c r="O1028" s="1" t="s">
        <v>92</v>
      </c>
      <c r="P1028" s="1" t="s">
        <v>93</v>
      </c>
      <c r="Q1028" s="1" t="s">
        <v>94</v>
      </c>
      <c r="R1028" s="1" t="s">
        <v>32</v>
      </c>
      <c r="S1028" s="1" t="s">
        <v>95</v>
      </c>
      <c r="T1028" s="1" t="s">
        <v>32</v>
      </c>
      <c r="U1028" s="1" t="s">
        <v>96</v>
      </c>
      <c r="V1028" s="1" t="s">
        <v>97</v>
      </c>
      <c r="W1028" s="1" t="s">
        <v>48</v>
      </c>
      <c r="X1028" s="1" t="s">
        <v>98</v>
      </c>
      <c r="Y1028" s="1" t="s">
        <v>99</v>
      </c>
      <c r="Z1028" s="1" t="str">
        <f>TRIM(_xlfn.CONCAT(sales_data_sample[[#This Row],[CONTACTFIRSTNAME]],", ",sales_data_sample[[#This Row],[CONTACTLASTNAME]]))</f>
        <v>Veysel, Oeztan</v>
      </c>
      <c r="AA1028" s="1" t="s">
        <v>59</v>
      </c>
    </row>
    <row r="1029" spans="1:27" x14ac:dyDescent="0.25">
      <c r="A1029" s="10">
        <v>10184</v>
      </c>
      <c r="B1029" s="9">
        <v>28</v>
      </c>
      <c r="C1029" s="9">
        <v>100</v>
      </c>
      <c r="D1029" s="9">
        <f>PRODUCT(sales_data_sample[[#This Row],[QUANTITYORDERED]],sales_data_sample[[#This Row],[PRICEEACH]])</f>
        <v>2800</v>
      </c>
      <c r="E1029" s="9">
        <f>IF(OR(sales_data_sample[[#This Row],[STATUS]]="Shipped",sales_data_sample[[#This Row],[STATUS]]="Resolved"),sales_data_sample[[#This Row],[SALES]],0)</f>
        <v>2800</v>
      </c>
      <c r="F1029" s="10">
        <v>10</v>
      </c>
      <c r="G1029" s="12" t="s">
        <v>470</v>
      </c>
      <c r="H1029" s="1" t="s">
        <v>26</v>
      </c>
      <c r="I1029">
        <v>4</v>
      </c>
      <c r="J1029">
        <v>11</v>
      </c>
      <c r="K1029">
        <v>2003</v>
      </c>
      <c r="L1029" s="1" t="s">
        <v>239</v>
      </c>
      <c r="M1029">
        <v>169</v>
      </c>
      <c r="N1029" s="1" t="s">
        <v>916</v>
      </c>
      <c r="O1029" s="1" t="s">
        <v>745</v>
      </c>
      <c r="P1029" s="1" t="s">
        <v>746</v>
      </c>
      <c r="Q1029" s="1" t="s">
        <v>747</v>
      </c>
      <c r="R1029" s="1" t="s">
        <v>32</v>
      </c>
      <c r="S1029" s="1" t="s">
        <v>748</v>
      </c>
      <c r="T1029" s="1" t="s">
        <v>32</v>
      </c>
      <c r="U1029" s="1" t="s">
        <v>749</v>
      </c>
      <c r="V1029" s="1" t="s">
        <v>235</v>
      </c>
      <c r="W1029" s="1" t="s">
        <v>48</v>
      </c>
      <c r="X1029" s="1" t="s">
        <v>750</v>
      </c>
      <c r="Y1029" s="1" t="s">
        <v>751</v>
      </c>
      <c r="Z1029" s="1" t="str">
        <f>TRIM(_xlfn.CONCAT(sales_data_sample[[#This Row],[CONTACTFIRSTNAME]],", ",sales_data_sample[[#This Row],[CONTACTLASTNAME]]))</f>
        <v>Jose Pedro, Roel</v>
      </c>
      <c r="AA1029" s="1" t="s">
        <v>59</v>
      </c>
    </row>
    <row r="1030" spans="1:27" x14ac:dyDescent="0.25">
      <c r="A1030" s="10">
        <v>10192</v>
      </c>
      <c r="B1030" s="9">
        <v>26</v>
      </c>
      <c r="C1030" s="9">
        <v>100</v>
      </c>
      <c r="D1030" s="9">
        <f>PRODUCT(sales_data_sample[[#This Row],[QUANTITYORDERED]],sales_data_sample[[#This Row],[PRICEEACH]])</f>
        <v>2600</v>
      </c>
      <c r="E1030" s="9">
        <f>IF(OR(sales_data_sample[[#This Row],[STATUS]]="Shipped",sales_data_sample[[#This Row],[STATUS]]="Resolved"),sales_data_sample[[#This Row],[SALES]],0)</f>
        <v>2600</v>
      </c>
      <c r="F1030" s="10">
        <v>12</v>
      </c>
      <c r="G1030" s="12" t="s">
        <v>611</v>
      </c>
      <c r="H1030" s="1" t="s">
        <v>26</v>
      </c>
      <c r="I1030">
        <v>4</v>
      </c>
      <c r="J1030">
        <v>11</v>
      </c>
      <c r="K1030">
        <v>2003</v>
      </c>
      <c r="L1030" s="1" t="s">
        <v>239</v>
      </c>
      <c r="M1030">
        <v>169</v>
      </c>
      <c r="N1030" s="1" t="s">
        <v>916</v>
      </c>
      <c r="O1030" s="1" t="s">
        <v>368</v>
      </c>
      <c r="P1030" s="1" t="s">
        <v>369</v>
      </c>
      <c r="Q1030" s="1" t="s">
        <v>370</v>
      </c>
      <c r="R1030" s="1" t="s">
        <v>32</v>
      </c>
      <c r="S1030" s="1" t="s">
        <v>371</v>
      </c>
      <c r="T1030" s="1" t="s">
        <v>372</v>
      </c>
      <c r="U1030" s="1" t="s">
        <v>373</v>
      </c>
      <c r="V1030" s="1" t="s">
        <v>36</v>
      </c>
      <c r="W1030" s="1" t="s">
        <v>37</v>
      </c>
      <c r="X1030" s="1" t="s">
        <v>67</v>
      </c>
      <c r="Y1030" s="1" t="s">
        <v>366</v>
      </c>
      <c r="Z1030" s="1" t="str">
        <f>TRIM(_xlfn.CONCAT(sales_data_sample[[#This Row],[CONTACTFIRSTNAME]],", ",sales_data_sample[[#This Row],[CONTACTLASTNAME]]))</f>
        <v>Valarie, Young</v>
      </c>
      <c r="AA1030" s="1" t="s">
        <v>59</v>
      </c>
    </row>
    <row r="1031" spans="1:27" x14ac:dyDescent="0.25">
      <c r="A1031" s="10">
        <v>10195</v>
      </c>
      <c r="B1031" s="9">
        <v>50</v>
      </c>
      <c r="C1031" s="9">
        <v>100</v>
      </c>
      <c r="D1031" s="9">
        <f>PRODUCT(sales_data_sample[[#This Row],[QUANTITYORDERED]],sales_data_sample[[#This Row],[PRICEEACH]])</f>
        <v>5000</v>
      </c>
      <c r="E1031" s="9">
        <f>IF(OR(sales_data_sample[[#This Row],[STATUS]]="Shipped",sales_data_sample[[#This Row],[STATUS]]="Resolved"),sales_data_sample[[#This Row],[SALES]],0)</f>
        <v>5000</v>
      </c>
      <c r="F1031" s="10">
        <v>10</v>
      </c>
      <c r="G1031" s="12" t="s">
        <v>290</v>
      </c>
      <c r="H1031" s="1" t="s">
        <v>26</v>
      </c>
      <c r="I1031">
        <v>4</v>
      </c>
      <c r="J1031">
        <v>11</v>
      </c>
      <c r="K1031">
        <v>2003</v>
      </c>
      <c r="L1031" s="1" t="s">
        <v>239</v>
      </c>
      <c r="M1031">
        <v>169</v>
      </c>
      <c r="N1031" s="1" t="s">
        <v>916</v>
      </c>
      <c r="O1031" s="1" t="s">
        <v>425</v>
      </c>
      <c r="P1031" s="1" t="s">
        <v>426</v>
      </c>
      <c r="Q1031" s="1" t="s">
        <v>427</v>
      </c>
      <c r="R1031" s="1" t="s">
        <v>32</v>
      </c>
      <c r="S1031" s="1" t="s">
        <v>428</v>
      </c>
      <c r="T1031" s="1" t="s">
        <v>34</v>
      </c>
      <c r="U1031" s="1" t="s">
        <v>429</v>
      </c>
      <c r="V1031" s="1" t="s">
        <v>36</v>
      </c>
      <c r="W1031" s="1" t="s">
        <v>37</v>
      </c>
      <c r="X1031" s="1" t="s">
        <v>129</v>
      </c>
      <c r="Y1031" s="1" t="s">
        <v>314</v>
      </c>
      <c r="Z1031" s="1" t="str">
        <f>TRIM(_xlfn.CONCAT(sales_data_sample[[#This Row],[CONTACTFIRSTNAME]],", ",sales_data_sample[[#This Row],[CONTACTLASTNAME]]))</f>
        <v>Steve, Frick</v>
      </c>
      <c r="AA1031" s="1" t="s">
        <v>199</v>
      </c>
    </row>
    <row r="1032" spans="1:27" x14ac:dyDescent="0.25">
      <c r="A1032" s="10">
        <v>10203</v>
      </c>
      <c r="B1032" s="9">
        <v>48</v>
      </c>
      <c r="C1032" s="9">
        <v>100</v>
      </c>
      <c r="D1032" s="9">
        <f>PRODUCT(sales_data_sample[[#This Row],[QUANTITYORDERED]],sales_data_sample[[#This Row],[PRICEEACH]])</f>
        <v>4800</v>
      </c>
      <c r="E1032" s="9">
        <f>IF(OR(sales_data_sample[[#This Row],[STATUS]]="Shipped",sales_data_sample[[#This Row],[STATUS]]="Resolved"),sales_data_sample[[#This Row],[SALES]],0)</f>
        <v>4800</v>
      </c>
      <c r="F1032" s="10">
        <v>1</v>
      </c>
      <c r="G1032" s="12" t="s">
        <v>620</v>
      </c>
      <c r="H1032" s="1" t="s">
        <v>26</v>
      </c>
      <c r="I1032">
        <v>4</v>
      </c>
      <c r="J1032">
        <v>12</v>
      </c>
      <c r="K1032">
        <v>2003</v>
      </c>
      <c r="L1032" s="1" t="s">
        <v>239</v>
      </c>
      <c r="M1032">
        <v>169</v>
      </c>
      <c r="N1032" s="1" t="s">
        <v>916</v>
      </c>
      <c r="O1032" s="1" t="s">
        <v>230</v>
      </c>
      <c r="P1032" s="1" t="s">
        <v>231</v>
      </c>
      <c r="Q1032" s="1" t="s">
        <v>232</v>
      </c>
      <c r="R1032" s="1" t="s">
        <v>32</v>
      </c>
      <c r="S1032" s="1" t="s">
        <v>233</v>
      </c>
      <c r="T1032" s="1" t="s">
        <v>32</v>
      </c>
      <c r="U1032" s="1" t="s">
        <v>234</v>
      </c>
      <c r="V1032" s="1" t="s">
        <v>235</v>
      </c>
      <c r="W1032" s="1" t="s">
        <v>48</v>
      </c>
      <c r="X1032" s="1" t="s">
        <v>236</v>
      </c>
      <c r="Y1032" s="1" t="s">
        <v>237</v>
      </c>
      <c r="Z1032" s="1" t="str">
        <f>TRIM(_xlfn.CONCAT(sales_data_sample[[#This Row],[CONTACTFIRSTNAME]],", ",sales_data_sample[[#This Row],[CONTACTLASTNAME]]))</f>
        <v>Diego, Freyre</v>
      </c>
      <c r="AA1032" s="1" t="s">
        <v>199</v>
      </c>
    </row>
    <row r="1033" spans="1:27" x14ac:dyDescent="0.25">
      <c r="A1033" s="10">
        <v>10207</v>
      </c>
      <c r="B1033" s="9">
        <v>25</v>
      </c>
      <c r="C1033" s="9">
        <v>100</v>
      </c>
      <c r="D1033" s="9">
        <f>PRODUCT(sales_data_sample[[#This Row],[QUANTITYORDERED]],sales_data_sample[[#This Row],[PRICEEACH]])</f>
        <v>2500</v>
      </c>
      <c r="E1033" s="9">
        <f>IF(OR(sales_data_sample[[#This Row],[STATUS]]="Shipped",sales_data_sample[[#This Row],[STATUS]]="Resolved"),sales_data_sample[[#This Row],[SALES]],0)</f>
        <v>2500</v>
      </c>
      <c r="F1033" s="10">
        <v>11</v>
      </c>
      <c r="G1033" s="12" t="s">
        <v>571</v>
      </c>
      <c r="H1033" s="1" t="s">
        <v>26</v>
      </c>
      <c r="I1033">
        <v>4</v>
      </c>
      <c r="J1033">
        <v>12</v>
      </c>
      <c r="K1033">
        <v>2003</v>
      </c>
      <c r="L1033" s="1" t="s">
        <v>239</v>
      </c>
      <c r="M1033">
        <v>169</v>
      </c>
      <c r="N1033" s="1" t="s">
        <v>916</v>
      </c>
      <c r="O1033" s="1" t="s">
        <v>572</v>
      </c>
      <c r="P1033" s="1" t="s">
        <v>573</v>
      </c>
      <c r="Q1033" s="1" t="s">
        <v>574</v>
      </c>
      <c r="R1033" s="1" t="s">
        <v>32</v>
      </c>
      <c r="S1033" s="1" t="s">
        <v>519</v>
      </c>
      <c r="T1033" s="1" t="s">
        <v>160</v>
      </c>
      <c r="U1033" s="1" t="s">
        <v>520</v>
      </c>
      <c r="V1033" s="1" t="s">
        <v>36</v>
      </c>
      <c r="W1033" s="1" t="s">
        <v>37</v>
      </c>
      <c r="X1033" s="1" t="s">
        <v>575</v>
      </c>
      <c r="Y1033" s="1" t="s">
        <v>366</v>
      </c>
      <c r="Z1033" s="1" t="str">
        <f>TRIM(_xlfn.CONCAT(sales_data_sample[[#This Row],[CONTACTFIRSTNAME]],", ",sales_data_sample[[#This Row],[CONTACTLASTNAME]]))</f>
        <v>Valarie, Franco</v>
      </c>
      <c r="AA1033" s="1" t="s">
        <v>59</v>
      </c>
    </row>
    <row r="1034" spans="1:27" x14ac:dyDescent="0.25">
      <c r="A1034" s="10">
        <v>10212</v>
      </c>
      <c r="B1034" s="9">
        <v>40</v>
      </c>
      <c r="C1034" s="9">
        <v>100</v>
      </c>
      <c r="D1034" s="9">
        <f>PRODUCT(sales_data_sample[[#This Row],[QUANTITYORDERED]],sales_data_sample[[#This Row],[PRICEEACH]])</f>
        <v>4000</v>
      </c>
      <c r="E1034" s="9">
        <f>IF(OR(sales_data_sample[[#This Row],[STATUS]]="Shipped",sales_data_sample[[#This Row],[STATUS]]="Resolved"),sales_data_sample[[#This Row],[SALES]],0)</f>
        <v>4000</v>
      </c>
      <c r="F1034" s="10">
        <v>11</v>
      </c>
      <c r="G1034" s="12" t="s">
        <v>729</v>
      </c>
      <c r="H1034" s="1" t="s">
        <v>26</v>
      </c>
      <c r="I1034">
        <v>1</v>
      </c>
      <c r="J1034">
        <v>1</v>
      </c>
      <c r="K1034">
        <v>2004</v>
      </c>
      <c r="L1034" s="1" t="s">
        <v>239</v>
      </c>
      <c r="M1034">
        <v>169</v>
      </c>
      <c r="N1034" s="1" t="s">
        <v>916</v>
      </c>
      <c r="O1034" s="1" t="s">
        <v>230</v>
      </c>
      <c r="P1034" s="1" t="s">
        <v>231</v>
      </c>
      <c r="Q1034" s="1" t="s">
        <v>232</v>
      </c>
      <c r="R1034" s="1" t="s">
        <v>32</v>
      </c>
      <c r="S1034" s="1" t="s">
        <v>233</v>
      </c>
      <c r="T1034" s="1" t="s">
        <v>32</v>
      </c>
      <c r="U1034" s="1" t="s">
        <v>234</v>
      </c>
      <c r="V1034" s="1" t="s">
        <v>235</v>
      </c>
      <c r="W1034" s="1" t="s">
        <v>48</v>
      </c>
      <c r="X1034" s="1" t="s">
        <v>236</v>
      </c>
      <c r="Y1034" s="1" t="s">
        <v>237</v>
      </c>
      <c r="Z1034" s="1" t="str">
        <f>TRIM(_xlfn.CONCAT(sales_data_sample[[#This Row],[CONTACTFIRSTNAME]],", ",sales_data_sample[[#This Row],[CONTACTLASTNAME]]))</f>
        <v>Diego, Freyre</v>
      </c>
      <c r="AA1034" s="1" t="s">
        <v>59</v>
      </c>
    </row>
    <row r="1035" spans="1:27" x14ac:dyDescent="0.25">
      <c r="A1035" s="10">
        <v>10225</v>
      </c>
      <c r="B1035" s="9">
        <v>43</v>
      </c>
      <c r="C1035" s="9">
        <v>100</v>
      </c>
      <c r="D1035" s="9">
        <f>PRODUCT(sales_data_sample[[#This Row],[QUANTITYORDERED]],sales_data_sample[[#This Row],[PRICEEACH]])</f>
        <v>4300</v>
      </c>
      <c r="E1035" s="9">
        <f>IF(OR(sales_data_sample[[#This Row],[STATUS]]="Shipped",sales_data_sample[[#This Row],[STATUS]]="Resolved"),sales_data_sample[[#This Row],[SALES]],0)</f>
        <v>4300</v>
      </c>
      <c r="F1035" s="10">
        <v>2</v>
      </c>
      <c r="G1035" s="12" t="s">
        <v>621</v>
      </c>
      <c r="H1035" s="1" t="s">
        <v>26</v>
      </c>
      <c r="I1035">
        <v>1</v>
      </c>
      <c r="J1035">
        <v>2</v>
      </c>
      <c r="K1035">
        <v>2004</v>
      </c>
      <c r="L1035" s="1" t="s">
        <v>239</v>
      </c>
      <c r="M1035">
        <v>169</v>
      </c>
      <c r="N1035" s="1" t="s">
        <v>916</v>
      </c>
      <c r="O1035" s="1" t="s">
        <v>622</v>
      </c>
      <c r="P1035" s="1" t="s">
        <v>623</v>
      </c>
      <c r="Q1035" s="1" t="s">
        <v>624</v>
      </c>
      <c r="R1035" s="1" t="s">
        <v>32</v>
      </c>
      <c r="S1035" s="1" t="s">
        <v>625</v>
      </c>
      <c r="T1035" s="1" t="s">
        <v>32</v>
      </c>
      <c r="U1035" s="1" t="s">
        <v>626</v>
      </c>
      <c r="V1035" s="1" t="s">
        <v>627</v>
      </c>
      <c r="W1035" s="1" t="s">
        <v>48</v>
      </c>
      <c r="X1035" s="1" t="s">
        <v>628</v>
      </c>
      <c r="Y1035" s="1" t="s">
        <v>130</v>
      </c>
      <c r="Z1035" s="1" t="str">
        <f>TRIM(_xlfn.CONCAT(sales_data_sample[[#This Row],[CONTACTFIRSTNAME]],", ",sales_data_sample[[#This Row],[CONTACTLASTNAME]]))</f>
        <v>Michael, Holz</v>
      </c>
      <c r="AA1035" s="1" t="s">
        <v>59</v>
      </c>
    </row>
    <row r="1036" spans="1:27" x14ac:dyDescent="0.25">
      <c r="A1036" s="10">
        <v>10229</v>
      </c>
      <c r="B1036" s="9">
        <v>22</v>
      </c>
      <c r="C1036" s="9">
        <v>100</v>
      </c>
      <c r="D1036" s="9">
        <f>PRODUCT(sales_data_sample[[#This Row],[QUANTITYORDERED]],sales_data_sample[[#This Row],[PRICEEACH]])</f>
        <v>2200</v>
      </c>
      <c r="E1036" s="9">
        <f>IF(OR(sales_data_sample[[#This Row],[STATUS]]="Shipped",sales_data_sample[[#This Row],[STATUS]]="Resolved"),sales_data_sample[[#This Row],[SALES]],0)</f>
        <v>2200</v>
      </c>
      <c r="F1036" s="10">
        <v>5</v>
      </c>
      <c r="G1036" s="12" t="s">
        <v>584</v>
      </c>
      <c r="H1036" s="1" t="s">
        <v>26</v>
      </c>
      <c r="I1036">
        <v>1</v>
      </c>
      <c r="J1036">
        <v>3</v>
      </c>
      <c r="K1036">
        <v>2004</v>
      </c>
      <c r="L1036" s="1" t="s">
        <v>239</v>
      </c>
      <c r="M1036">
        <v>169</v>
      </c>
      <c r="N1036" s="1" t="s">
        <v>916</v>
      </c>
      <c r="O1036" s="1" t="s">
        <v>361</v>
      </c>
      <c r="P1036" s="1" t="s">
        <v>362</v>
      </c>
      <c r="Q1036" s="1" t="s">
        <v>363</v>
      </c>
      <c r="R1036" s="1" t="s">
        <v>32</v>
      </c>
      <c r="S1036" s="1" t="s">
        <v>364</v>
      </c>
      <c r="T1036" s="1" t="s">
        <v>65</v>
      </c>
      <c r="U1036" s="1" t="s">
        <v>145</v>
      </c>
      <c r="V1036" s="1" t="s">
        <v>36</v>
      </c>
      <c r="W1036" s="1" t="s">
        <v>37</v>
      </c>
      <c r="X1036" s="1" t="s">
        <v>365</v>
      </c>
      <c r="Y1036" s="1" t="s">
        <v>366</v>
      </c>
      <c r="Z1036" s="1" t="str">
        <f>TRIM(_xlfn.CONCAT(sales_data_sample[[#This Row],[CONTACTFIRSTNAME]],", ",sales_data_sample[[#This Row],[CONTACTLASTNAME]]))</f>
        <v>Valarie, Nelson</v>
      </c>
      <c r="AA1036" s="1" t="s">
        <v>59</v>
      </c>
    </row>
    <row r="1037" spans="1:27" x14ac:dyDescent="0.25">
      <c r="A1037" s="10">
        <v>10239</v>
      </c>
      <c r="B1037" s="9">
        <v>47</v>
      </c>
      <c r="C1037" s="9">
        <v>100</v>
      </c>
      <c r="D1037" s="9">
        <f>PRODUCT(sales_data_sample[[#This Row],[QUANTITYORDERED]],sales_data_sample[[#This Row],[PRICEEACH]])</f>
        <v>4700</v>
      </c>
      <c r="E1037" s="9">
        <f>IF(OR(sales_data_sample[[#This Row],[STATUS]]="Shipped",sales_data_sample[[#This Row],[STATUS]]="Resolved"),sales_data_sample[[#This Row],[SALES]],0)</f>
        <v>4700</v>
      </c>
      <c r="F1037" s="10">
        <v>1</v>
      </c>
      <c r="G1037" s="12" t="s">
        <v>760</v>
      </c>
      <c r="H1037" s="1" t="s">
        <v>26</v>
      </c>
      <c r="I1037">
        <v>2</v>
      </c>
      <c r="J1037">
        <v>4</v>
      </c>
      <c r="K1037">
        <v>2004</v>
      </c>
      <c r="L1037" s="1" t="s">
        <v>239</v>
      </c>
      <c r="M1037">
        <v>169</v>
      </c>
      <c r="N1037" s="1" t="s">
        <v>916</v>
      </c>
      <c r="O1037" s="1" t="s">
        <v>537</v>
      </c>
      <c r="P1037" s="1" t="s">
        <v>538</v>
      </c>
      <c r="Q1037" s="1" t="s">
        <v>539</v>
      </c>
      <c r="R1037" s="1" t="s">
        <v>32</v>
      </c>
      <c r="S1037" s="1" t="s">
        <v>540</v>
      </c>
      <c r="T1037" s="1" t="s">
        <v>32</v>
      </c>
      <c r="U1037" s="1" t="s">
        <v>541</v>
      </c>
      <c r="V1037" s="1" t="s">
        <v>170</v>
      </c>
      <c r="W1037" s="1" t="s">
        <v>48</v>
      </c>
      <c r="X1037" s="1" t="s">
        <v>542</v>
      </c>
      <c r="Y1037" s="1" t="s">
        <v>543</v>
      </c>
      <c r="Z1037" s="1" t="str">
        <f>TRIM(_xlfn.CONCAT(sales_data_sample[[#This Row],[CONTACTFIRSTNAME]],", ",sales_data_sample[[#This Row],[CONTACTLASTNAME]]))</f>
        <v>Pirkko, Koskitalo</v>
      </c>
      <c r="AA1037" s="1" t="s">
        <v>199</v>
      </c>
    </row>
    <row r="1038" spans="1:27" x14ac:dyDescent="0.25">
      <c r="A1038" s="10">
        <v>10246</v>
      </c>
      <c r="B1038" s="9">
        <v>36</v>
      </c>
      <c r="C1038" s="9">
        <v>100</v>
      </c>
      <c r="D1038" s="9">
        <f>PRODUCT(sales_data_sample[[#This Row],[QUANTITYORDERED]],sales_data_sample[[#This Row],[PRICEEACH]])</f>
        <v>3600</v>
      </c>
      <c r="E1038" s="9">
        <f>IF(OR(sales_data_sample[[#This Row],[STATUS]]="Shipped",sales_data_sample[[#This Row],[STATUS]]="Resolved"),sales_data_sample[[#This Row],[SALES]],0)</f>
        <v>3600</v>
      </c>
      <c r="F1038" s="10">
        <v>9</v>
      </c>
      <c r="G1038" s="12" t="s">
        <v>692</v>
      </c>
      <c r="H1038" s="1" t="s">
        <v>26</v>
      </c>
      <c r="I1038">
        <v>2</v>
      </c>
      <c r="J1038">
        <v>5</v>
      </c>
      <c r="K1038">
        <v>2004</v>
      </c>
      <c r="L1038" s="1" t="s">
        <v>239</v>
      </c>
      <c r="M1038">
        <v>169</v>
      </c>
      <c r="N1038" s="1" t="s">
        <v>916</v>
      </c>
      <c r="O1038" s="1" t="s">
        <v>230</v>
      </c>
      <c r="P1038" s="1" t="s">
        <v>231</v>
      </c>
      <c r="Q1038" s="1" t="s">
        <v>232</v>
      </c>
      <c r="R1038" s="1" t="s">
        <v>32</v>
      </c>
      <c r="S1038" s="1" t="s">
        <v>233</v>
      </c>
      <c r="T1038" s="1" t="s">
        <v>32</v>
      </c>
      <c r="U1038" s="1" t="s">
        <v>234</v>
      </c>
      <c r="V1038" s="1" t="s">
        <v>235</v>
      </c>
      <c r="W1038" s="1" t="s">
        <v>48</v>
      </c>
      <c r="X1038" s="1" t="s">
        <v>236</v>
      </c>
      <c r="Y1038" s="1" t="s">
        <v>237</v>
      </c>
      <c r="Z1038" s="1" t="str">
        <f>TRIM(_xlfn.CONCAT(sales_data_sample[[#This Row],[CONTACTFIRSTNAME]],", ",sales_data_sample[[#This Row],[CONTACTLASTNAME]]))</f>
        <v>Diego, Freyre</v>
      </c>
      <c r="AA1038" s="1" t="s">
        <v>199</v>
      </c>
    </row>
    <row r="1039" spans="1:27" x14ac:dyDescent="0.25">
      <c r="A1039" s="10">
        <v>10253</v>
      </c>
      <c r="B1039" s="9">
        <v>40</v>
      </c>
      <c r="C1039" s="9">
        <v>100</v>
      </c>
      <c r="D1039" s="9">
        <f>PRODUCT(sales_data_sample[[#This Row],[QUANTITYORDERED]],sales_data_sample[[#This Row],[PRICEEACH]])</f>
        <v>4000</v>
      </c>
      <c r="E1039" s="9">
        <f>IF(OR(sales_data_sample[[#This Row],[STATUS]]="Shipped",sales_data_sample[[#This Row],[STATUS]]="Resolved"),sales_data_sample[[#This Row],[SALES]],0)</f>
        <v>0</v>
      </c>
      <c r="F1039" s="10">
        <v>6</v>
      </c>
      <c r="G1039" s="12" t="s">
        <v>630</v>
      </c>
      <c r="H1039" s="1" t="s">
        <v>461</v>
      </c>
      <c r="I1039">
        <v>2</v>
      </c>
      <c r="J1039">
        <v>6</v>
      </c>
      <c r="K1039">
        <v>2004</v>
      </c>
      <c r="L1039" s="1" t="s">
        <v>239</v>
      </c>
      <c r="M1039">
        <v>169</v>
      </c>
      <c r="N1039" s="1" t="s">
        <v>916</v>
      </c>
      <c r="O1039" s="1" t="s">
        <v>220</v>
      </c>
      <c r="P1039" s="1" t="s">
        <v>221</v>
      </c>
      <c r="Q1039" s="1" t="s">
        <v>222</v>
      </c>
      <c r="R1039" s="1" t="s">
        <v>32</v>
      </c>
      <c r="S1039" s="1" t="s">
        <v>223</v>
      </c>
      <c r="T1039" s="1" t="s">
        <v>32</v>
      </c>
      <c r="U1039" s="1" t="s">
        <v>224</v>
      </c>
      <c r="V1039" s="1" t="s">
        <v>225</v>
      </c>
      <c r="W1039" s="1" t="s">
        <v>48</v>
      </c>
      <c r="X1039" s="1" t="s">
        <v>226</v>
      </c>
      <c r="Y1039" s="1" t="s">
        <v>227</v>
      </c>
      <c r="Z1039" s="1" t="str">
        <f>TRIM(_xlfn.CONCAT(sales_data_sample[[#This Row],[CONTACTFIRSTNAME]],", ",sales_data_sample[[#This Row],[CONTACTLASTNAME]]))</f>
        <v>Elizabeth, Devon</v>
      </c>
      <c r="AA1039" s="1" t="s">
        <v>59</v>
      </c>
    </row>
    <row r="1040" spans="1:27" x14ac:dyDescent="0.25">
      <c r="A1040">
        <v>10259</v>
      </c>
      <c r="B1040">
        <v>27</v>
      </c>
      <c r="C1040">
        <v>100</v>
      </c>
      <c r="D1040">
        <f>PRODUCT(sales_data_sample[[#This Row],[QUANTITYORDERED]],sales_data_sample[[#This Row],[PRICEEACH]])</f>
        <v>2700</v>
      </c>
      <c r="E1040" s="9">
        <f>IF(OR(sales_data_sample[[#This Row],[STATUS]]="Shipped",sales_data_sample[[#This Row],[STATUS]]="Resolved"),sales_data_sample[[#This Row],[SALES]],0)</f>
        <v>2700</v>
      </c>
      <c r="F1040">
        <v>8</v>
      </c>
      <c r="G1040" s="12" t="s">
        <v>327</v>
      </c>
      <c r="H1040" s="1" t="s">
        <v>26</v>
      </c>
      <c r="I1040">
        <v>2</v>
      </c>
      <c r="J1040">
        <v>6</v>
      </c>
      <c r="K1040">
        <v>2004</v>
      </c>
      <c r="L1040" s="1" t="s">
        <v>239</v>
      </c>
      <c r="M1040">
        <v>169</v>
      </c>
      <c r="N1040" s="1" t="s">
        <v>916</v>
      </c>
      <c r="O1040" s="1" t="s">
        <v>577</v>
      </c>
      <c r="P1040" s="1" t="s">
        <v>578</v>
      </c>
      <c r="Q1040" s="1" t="s">
        <v>579</v>
      </c>
      <c r="R1040" s="1" t="s">
        <v>580</v>
      </c>
      <c r="S1040" s="1" t="s">
        <v>262</v>
      </c>
      <c r="T1040" s="1" t="s">
        <v>32</v>
      </c>
      <c r="U1040" s="1" t="s">
        <v>581</v>
      </c>
      <c r="V1040" s="1" t="s">
        <v>262</v>
      </c>
      <c r="W1040" s="1" t="s">
        <v>121</v>
      </c>
      <c r="X1040" s="1" t="s">
        <v>582</v>
      </c>
      <c r="Y1040" s="1" t="s">
        <v>583</v>
      </c>
      <c r="Z1040" s="1" t="str">
        <f>TRIM(_xlfn.CONCAT(sales_data_sample[[#This Row],[CONTACTFIRSTNAME]],", ",sales_data_sample[[#This Row],[CONTACTLASTNAME]]))</f>
        <v>Wendy, Victorino</v>
      </c>
      <c r="AA1040" s="1" t="s">
        <v>59</v>
      </c>
    </row>
    <row r="1041" spans="1:27" x14ac:dyDescent="0.25">
      <c r="A1041" s="10">
        <v>10266</v>
      </c>
      <c r="B1041" s="9">
        <v>29</v>
      </c>
      <c r="C1041" s="9">
        <v>100</v>
      </c>
      <c r="D1041" s="9">
        <f>PRODUCT(sales_data_sample[[#This Row],[QUANTITYORDERED]],sales_data_sample[[#This Row],[PRICEEACH]])</f>
        <v>2900</v>
      </c>
      <c r="E1041" s="9">
        <f>IF(OR(sales_data_sample[[#This Row],[STATUS]]="Shipped",sales_data_sample[[#This Row],[STATUS]]="Resolved"),sales_data_sample[[#This Row],[SALES]],0)</f>
        <v>2900</v>
      </c>
      <c r="F1041" s="10">
        <v>7</v>
      </c>
      <c r="G1041" s="12" t="s">
        <v>631</v>
      </c>
      <c r="H1041" s="1" t="s">
        <v>26</v>
      </c>
      <c r="I1041">
        <v>3</v>
      </c>
      <c r="J1041">
        <v>7</v>
      </c>
      <c r="K1041">
        <v>2004</v>
      </c>
      <c r="L1041" s="1" t="s">
        <v>239</v>
      </c>
      <c r="M1041">
        <v>169</v>
      </c>
      <c r="N1041" s="1" t="s">
        <v>916</v>
      </c>
      <c r="O1041" s="1" t="s">
        <v>632</v>
      </c>
      <c r="P1041" s="1" t="s">
        <v>633</v>
      </c>
      <c r="Q1041" s="1" t="s">
        <v>634</v>
      </c>
      <c r="R1041" s="1" t="s">
        <v>32</v>
      </c>
      <c r="S1041" s="1" t="s">
        <v>635</v>
      </c>
      <c r="T1041" s="1" t="s">
        <v>32</v>
      </c>
      <c r="U1041" s="1" t="s">
        <v>636</v>
      </c>
      <c r="V1041" s="1" t="s">
        <v>343</v>
      </c>
      <c r="W1041" s="1" t="s">
        <v>48</v>
      </c>
      <c r="X1041" s="1" t="s">
        <v>637</v>
      </c>
      <c r="Y1041" s="1" t="s">
        <v>638</v>
      </c>
      <c r="Z1041" s="1" t="str">
        <f>TRIM(_xlfn.CONCAT(sales_data_sample[[#This Row],[CONTACTFIRSTNAME]],", ",sales_data_sample[[#This Row],[CONTACTLASTNAME]]))</f>
        <v>Maurizio, Moroni</v>
      </c>
      <c r="AA1041" s="1" t="s">
        <v>59</v>
      </c>
    </row>
    <row r="1042" spans="1:27" x14ac:dyDescent="0.25">
      <c r="A1042" s="10">
        <v>10271</v>
      </c>
      <c r="B1042" s="9">
        <v>20</v>
      </c>
      <c r="C1042" s="9">
        <v>100</v>
      </c>
      <c r="D1042" s="9">
        <f>PRODUCT(sales_data_sample[[#This Row],[QUANTITYORDERED]],sales_data_sample[[#This Row],[PRICEEACH]])</f>
        <v>2000</v>
      </c>
      <c r="E1042" s="9">
        <f>IF(OR(sales_data_sample[[#This Row],[STATUS]]="Shipped",sales_data_sample[[#This Row],[STATUS]]="Resolved"),sales_data_sample[[#This Row],[SALES]],0)</f>
        <v>2000</v>
      </c>
      <c r="F1042" s="10">
        <v>9</v>
      </c>
      <c r="G1042" s="12" t="s">
        <v>693</v>
      </c>
      <c r="H1042" s="1" t="s">
        <v>26</v>
      </c>
      <c r="I1042">
        <v>3</v>
      </c>
      <c r="J1042">
        <v>7</v>
      </c>
      <c r="K1042">
        <v>2004</v>
      </c>
      <c r="L1042" s="1" t="s">
        <v>239</v>
      </c>
      <c r="M1042">
        <v>169</v>
      </c>
      <c r="N1042" s="1" t="s">
        <v>916</v>
      </c>
      <c r="O1042" s="1" t="s">
        <v>361</v>
      </c>
      <c r="P1042" s="1" t="s">
        <v>362</v>
      </c>
      <c r="Q1042" s="1" t="s">
        <v>363</v>
      </c>
      <c r="R1042" s="1" t="s">
        <v>32</v>
      </c>
      <c r="S1042" s="1" t="s">
        <v>364</v>
      </c>
      <c r="T1042" s="1" t="s">
        <v>65</v>
      </c>
      <c r="U1042" s="1" t="s">
        <v>145</v>
      </c>
      <c r="V1042" s="1" t="s">
        <v>36</v>
      </c>
      <c r="W1042" s="1" t="s">
        <v>37</v>
      </c>
      <c r="X1042" s="1" t="s">
        <v>365</v>
      </c>
      <c r="Y1042" s="1" t="s">
        <v>366</v>
      </c>
      <c r="Z1042" s="1" t="str">
        <f>TRIM(_xlfn.CONCAT(sales_data_sample[[#This Row],[CONTACTFIRSTNAME]],", ",sales_data_sample[[#This Row],[CONTACTLASTNAME]]))</f>
        <v>Valarie, Nelson</v>
      </c>
      <c r="AA1042" s="1" t="s">
        <v>59</v>
      </c>
    </row>
    <row r="1043" spans="1:27" x14ac:dyDescent="0.25">
      <c r="A1043" s="10">
        <v>10278</v>
      </c>
      <c r="B1043" s="9">
        <v>42</v>
      </c>
      <c r="C1043" s="9">
        <v>100</v>
      </c>
      <c r="D1043" s="9">
        <f>PRODUCT(sales_data_sample[[#This Row],[QUANTITYORDERED]],sales_data_sample[[#This Row],[PRICEEACH]])</f>
        <v>4200</v>
      </c>
      <c r="E1043" s="9">
        <f>IF(OR(sales_data_sample[[#This Row],[STATUS]]="Shipped",sales_data_sample[[#This Row],[STATUS]]="Resolved"),sales_data_sample[[#This Row],[SALES]],0)</f>
        <v>4200</v>
      </c>
      <c r="F1043" s="10">
        <v>7</v>
      </c>
      <c r="G1043" s="12" t="s">
        <v>778</v>
      </c>
      <c r="H1043" s="1" t="s">
        <v>26</v>
      </c>
      <c r="I1043">
        <v>3</v>
      </c>
      <c r="J1043">
        <v>8</v>
      </c>
      <c r="K1043">
        <v>2004</v>
      </c>
      <c r="L1043" s="1" t="s">
        <v>239</v>
      </c>
      <c r="M1043">
        <v>169</v>
      </c>
      <c r="N1043" s="1" t="s">
        <v>916</v>
      </c>
      <c r="O1043" s="1" t="s">
        <v>779</v>
      </c>
      <c r="P1043" s="1" t="s">
        <v>780</v>
      </c>
      <c r="Q1043" s="1" t="s">
        <v>781</v>
      </c>
      <c r="R1043" s="1" t="s">
        <v>32</v>
      </c>
      <c r="S1043" s="1" t="s">
        <v>782</v>
      </c>
      <c r="T1043" s="1" t="s">
        <v>783</v>
      </c>
      <c r="U1043" s="1" t="s">
        <v>784</v>
      </c>
      <c r="V1043" s="1" t="s">
        <v>36</v>
      </c>
      <c r="W1043" s="1" t="s">
        <v>37</v>
      </c>
      <c r="X1043" s="1" t="s">
        <v>146</v>
      </c>
      <c r="Y1043" s="1" t="s">
        <v>551</v>
      </c>
      <c r="Z1043" s="1" t="str">
        <f>TRIM(_xlfn.CONCAT(sales_data_sample[[#This Row],[CONTACTFIRSTNAME]],", ",sales_data_sample[[#This Row],[CONTACTLASTNAME]]))</f>
        <v>Sue, King</v>
      </c>
      <c r="AA1043" s="1" t="s">
        <v>59</v>
      </c>
    </row>
    <row r="1044" spans="1:27" x14ac:dyDescent="0.25">
      <c r="A1044" s="10">
        <v>10281</v>
      </c>
      <c r="B1044" s="9">
        <v>25</v>
      </c>
      <c r="C1044" s="9">
        <v>100</v>
      </c>
      <c r="D1044" s="9">
        <f>PRODUCT(sales_data_sample[[#This Row],[QUANTITYORDERED]],sales_data_sample[[#This Row],[PRICEEACH]])</f>
        <v>2500</v>
      </c>
      <c r="E1044" s="9">
        <f>IF(OR(sales_data_sample[[#This Row],[STATUS]]="Shipped",sales_data_sample[[#This Row],[STATUS]]="Resolved"),sales_data_sample[[#This Row],[SALES]],0)</f>
        <v>2500</v>
      </c>
      <c r="F1044" s="10">
        <v>5</v>
      </c>
      <c r="G1044" s="12" t="s">
        <v>585</v>
      </c>
      <c r="H1044" s="1" t="s">
        <v>26</v>
      </c>
      <c r="I1044">
        <v>3</v>
      </c>
      <c r="J1044">
        <v>8</v>
      </c>
      <c r="K1044">
        <v>2004</v>
      </c>
      <c r="L1044" s="1" t="s">
        <v>239</v>
      </c>
      <c r="M1044">
        <v>169</v>
      </c>
      <c r="N1044" s="1" t="s">
        <v>916</v>
      </c>
      <c r="O1044" s="1" t="s">
        <v>182</v>
      </c>
      <c r="P1044" s="1" t="s">
        <v>183</v>
      </c>
      <c r="Q1044" s="1" t="s">
        <v>184</v>
      </c>
      <c r="R1044" s="1" t="s">
        <v>32</v>
      </c>
      <c r="S1044" s="1" t="s">
        <v>185</v>
      </c>
      <c r="T1044" s="1" t="s">
        <v>186</v>
      </c>
      <c r="U1044" s="1" t="s">
        <v>187</v>
      </c>
      <c r="V1044" s="1" t="s">
        <v>36</v>
      </c>
      <c r="W1044" s="1" t="s">
        <v>37</v>
      </c>
      <c r="X1044" s="1" t="s">
        <v>38</v>
      </c>
      <c r="Y1044" s="1" t="s">
        <v>188</v>
      </c>
      <c r="Z1044" s="1" t="str">
        <f>TRIM(_xlfn.CONCAT(sales_data_sample[[#This Row],[CONTACTFIRSTNAME]],", ",sales_data_sample[[#This Row],[CONTACTLASTNAME]]))</f>
        <v>Kyung, Yu</v>
      </c>
      <c r="AA1044" s="1" t="s">
        <v>59</v>
      </c>
    </row>
    <row r="1045" spans="1:27" x14ac:dyDescent="0.25">
      <c r="A1045" s="10">
        <v>10287</v>
      </c>
      <c r="B1045" s="9">
        <v>36</v>
      </c>
      <c r="C1045" s="9">
        <v>100</v>
      </c>
      <c r="D1045" s="9">
        <f>PRODUCT(sales_data_sample[[#This Row],[QUANTITYORDERED]],sales_data_sample[[#This Row],[PRICEEACH]])</f>
        <v>3600</v>
      </c>
      <c r="E1045" s="9">
        <f>IF(OR(sales_data_sample[[#This Row],[STATUS]]="Shipped",sales_data_sample[[#This Row],[STATUS]]="Resolved"),sales_data_sample[[#This Row],[SALES]],0)</f>
        <v>3600</v>
      </c>
      <c r="F1045" s="10">
        <v>5</v>
      </c>
      <c r="G1045" s="12" t="s">
        <v>645</v>
      </c>
      <c r="H1045" s="1" t="s">
        <v>26</v>
      </c>
      <c r="I1045">
        <v>3</v>
      </c>
      <c r="J1045">
        <v>8</v>
      </c>
      <c r="K1045">
        <v>2004</v>
      </c>
      <c r="L1045" s="1" t="s">
        <v>239</v>
      </c>
      <c r="M1045">
        <v>169</v>
      </c>
      <c r="N1045" s="1" t="s">
        <v>916</v>
      </c>
      <c r="O1045" s="1" t="s">
        <v>622</v>
      </c>
      <c r="P1045" s="1" t="s">
        <v>623</v>
      </c>
      <c r="Q1045" s="1" t="s">
        <v>624</v>
      </c>
      <c r="R1045" s="1" t="s">
        <v>32</v>
      </c>
      <c r="S1045" s="1" t="s">
        <v>625</v>
      </c>
      <c r="T1045" s="1" t="s">
        <v>32</v>
      </c>
      <c r="U1045" s="1" t="s">
        <v>626</v>
      </c>
      <c r="V1045" s="1" t="s">
        <v>627</v>
      </c>
      <c r="W1045" s="1" t="s">
        <v>48</v>
      </c>
      <c r="X1045" s="1" t="s">
        <v>628</v>
      </c>
      <c r="Y1045" s="1" t="s">
        <v>130</v>
      </c>
      <c r="Z1045" s="1" t="str">
        <f>TRIM(_xlfn.CONCAT(sales_data_sample[[#This Row],[CONTACTFIRSTNAME]],", ",sales_data_sample[[#This Row],[CONTACTLASTNAME]]))</f>
        <v>Michael, Holz</v>
      </c>
      <c r="AA1045" s="1" t="s">
        <v>59</v>
      </c>
    </row>
    <row r="1046" spans="1:27" x14ac:dyDescent="0.25">
      <c r="A1046" s="10">
        <v>10292</v>
      </c>
      <c r="B1046" s="9">
        <v>21</v>
      </c>
      <c r="C1046" s="9">
        <v>100</v>
      </c>
      <c r="D1046" s="9">
        <f>PRODUCT(sales_data_sample[[#This Row],[QUANTITYORDERED]],sales_data_sample[[#This Row],[PRICEEACH]])</f>
        <v>2100</v>
      </c>
      <c r="E1046" s="9">
        <f>IF(OR(sales_data_sample[[#This Row],[STATUS]]="Shipped",sales_data_sample[[#This Row],[STATUS]]="Resolved"),sales_data_sample[[#This Row],[SALES]],0)</f>
        <v>2100</v>
      </c>
      <c r="F1046" s="10">
        <v>12</v>
      </c>
      <c r="G1046" s="12" t="s">
        <v>346</v>
      </c>
      <c r="H1046" s="1" t="s">
        <v>26</v>
      </c>
      <c r="I1046">
        <v>3</v>
      </c>
      <c r="J1046">
        <v>9</v>
      </c>
      <c r="K1046">
        <v>2004</v>
      </c>
      <c r="L1046" s="1" t="s">
        <v>239</v>
      </c>
      <c r="M1046">
        <v>169</v>
      </c>
      <c r="N1046" s="1" t="s">
        <v>916</v>
      </c>
      <c r="O1046" s="1" t="s">
        <v>29</v>
      </c>
      <c r="P1046" s="1" t="s">
        <v>30</v>
      </c>
      <c r="Q1046" s="1" t="s">
        <v>31</v>
      </c>
      <c r="R1046" s="1" t="s">
        <v>32</v>
      </c>
      <c r="S1046" s="1" t="s">
        <v>33</v>
      </c>
      <c r="T1046" s="1" t="s">
        <v>34</v>
      </c>
      <c r="U1046" s="1" t="s">
        <v>35</v>
      </c>
      <c r="V1046" s="1" t="s">
        <v>36</v>
      </c>
      <c r="W1046" s="1" t="s">
        <v>37</v>
      </c>
      <c r="X1046" s="1" t="s">
        <v>38</v>
      </c>
      <c r="Y1046" s="1" t="s">
        <v>39</v>
      </c>
      <c r="Z1046" s="1" t="str">
        <f>TRIM(_xlfn.CONCAT(sales_data_sample[[#This Row],[CONTACTFIRSTNAME]],", ",sales_data_sample[[#This Row],[CONTACTLASTNAME]]))</f>
        <v>Kwai, Yu</v>
      </c>
      <c r="AA1046" s="1" t="s">
        <v>40</v>
      </c>
    </row>
    <row r="1047" spans="1:27" x14ac:dyDescent="0.25">
      <c r="A1047" s="10">
        <v>10301</v>
      </c>
      <c r="B1047" s="9">
        <v>23</v>
      </c>
      <c r="C1047" s="9">
        <v>100</v>
      </c>
      <c r="D1047" s="9">
        <f>PRODUCT(sales_data_sample[[#This Row],[QUANTITYORDERED]],sales_data_sample[[#This Row],[PRICEEACH]])</f>
        <v>2300</v>
      </c>
      <c r="E1047" s="9">
        <f>IF(OR(sales_data_sample[[#This Row],[STATUS]]="Shipped",sales_data_sample[[#This Row],[STATUS]]="Resolved"),sales_data_sample[[#This Row],[SALES]],0)</f>
        <v>2300</v>
      </c>
      <c r="F1047" s="10">
        <v>9</v>
      </c>
      <c r="G1047" s="12" t="s">
        <v>785</v>
      </c>
      <c r="H1047" s="1" t="s">
        <v>26</v>
      </c>
      <c r="I1047">
        <v>4</v>
      </c>
      <c r="J1047">
        <v>10</v>
      </c>
      <c r="K1047">
        <v>2003</v>
      </c>
      <c r="L1047" s="1" t="s">
        <v>239</v>
      </c>
      <c r="M1047">
        <v>169</v>
      </c>
      <c r="N1047" s="1" t="s">
        <v>916</v>
      </c>
      <c r="O1047" s="1" t="s">
        <v>786</v>
      </c>
      <c r="P1047" s="1" t="s">
        <v>787</v>
      </c>
      <c r="Q1047" s="1" t="s">
        <v>788</v>
      </c>
      <c r="R1047" s="1" t="s">
        <v>32</v>
      </c>
      <c r="S1047" s="1" t="s">
        <v>789</v>
      </c>
      <c r="T1047" s="1" t="s">
        <v>32</v>
      </c>
      <c r="U1047" s="1" t="s">
        <v>790</v>
      </c>
      <c r="V1047" s="1" t="s">
        <v>97</v>
      </c>
      <c r="W1047" s="1" t="s">
        <v>48</v>
      </c>
      <c r="X1047" s="1" t="s">
        <v>791</v>
      </c>
      <c r="Y1047" s="1" t="s">
        <v>792</v>
      </c>
      <c r="Z1047" s="1" t="str">
        <f>TRIM(_xlfn.CONCAT(sales_data_sample[[#This Row],[CONTACTFIRSTNAME]],", ",sales_data_sample[[#This Row],[CONTACTLASTNAME]]))</f>
        <v>Jan, Klaeboe</v>
      </c>
      <c r="AA1047" s="1" t="s">
        <v>59</v>
      </c>
    </row>
    <row r="1048" spans="1:27" x14ac:dyDescent="0.25">
      <c r="A1048" s="10">
        <v>10305</v>
      </c>
      <c r="B1048" s="9">
        <v>37</v>
      </c>
      <c r="C1048" s="9">
        <v>100</v>
      </c>
      <c r="D1048" s="9">
        <f>PRODUCT(sales_data_sample[[#This Row],[QUANTITYORDERED]],sales_data_sample[[#This Row],[PRICEEACH]])</f>
        <v>3700</v>
      </c>
      <c r="E1048" s="9">
        <f>IF(OR(sales_data_sample[[#This Row],[STATUS]]="Shipped",sales_data_sample[[#This Row],[STATUS]]="Resolved"),sales_data_sample[[#This Row],[SALES]],0)</f>
        <v>3700</v>
      </c>
      <c r="F1048" s="10">
        <v>9</v>
      </c>
      <c r="G1048" s="12" t="s">
        <v>586</v>
      </c>
      <c r="H1048" s="1" t="s">
        <v>26</v>
      </c>
      <c r="I1048">
        <v>4</v>
      </c>
      <c r="J1048">
        <v>10</v>
      </c>
      <c r="K1048">
        <v>2004</v>
      </c>
      <c r="L1048" s="1" t="s">
        <v>239</v>
      </c>
      <c r="M1048">
        <v>169</v>
      </c>
      <c r="N1048" s="1" t="s">
        <v>916</v>
      </c>
      <c r="O1048" s="1" t="s">
        <v>156</v>
      </c>
      <c r="P1048" s="1" t="s">
        <v>157</v>
      </c>
      <c r="Q1048" s="1" t="s">
        <v>158</v>
      </c>
      <c r="R1048" s="1" t="s">
        <v>32</v>
      </c>
      <c r="S1048" s="1" t="s">
        <v>159</v>
      </c>
      <c r="T1048" s="1" t="s">
        <v>160</v>
      </c>
      <c r="U1048" s="1" t="s">
        <v>161</v>
      </c>
      <c r="V1048" s="1" t="s">
        <v>36</v>
      </c>
      <c r="W1048" s="1" t="s">
        <v>37</v>
      </c>
      <c r="X1048" s="1" t="s">
        <v>162</v>
      </c>
      <c r="Y1048" s="1" t="s">
        <v>163</v>
      </c>
      <c r="Z1048" s="1" t="str">
        <f>TRIM(_xlfn.CONCAT(sales_data_sample[[#This Row],[CONTACTFIRSTNAME]],", ",sales_data_sample[[#This Row],[CONTACTLASTNAME]]))</f>
        <v>Marta, Hernandez</v>
      </c>
      <c r="AA1048" s="1" t="s">
        <v>199</v>
      </c>
    </row>
    <row r="1049" spans="1:27" x14ac:dyDescent="0.25">
      <c r="A1049" s="10">
        <v>10310</v>
      </c>
      <c r="B1049" s="9">
        <v>48</v>
      </c>
      <c r="C1049" s="9">
        <v>100</v>
      </c>
      <c r="D1049" s="9">
        <f>PRODUCT(sales_data_sample[[#This Row],[QUANTITYORDERED]],sales_data_sample[[#This Row],[PRICEEACH]])</f>
        <v>4800</v>
      </c>
      <c r="E1049" s="9">
        <f>IF(OR(sales_data_sample[[#This Row],[STATUS]]="Shipped",sales_data_sample[[#This Row],[STATUS]]="Resolved"),sales_data_sample[[#This Row],[SALES]],0)</f>
        <v>4800</v>
      </c>
      <c r="F1049" s="10">
        <v>3</v>
      </c>
      <c r="G1049" s="12" t="s">
        <v>653</v>
      </c>
      <c r="H1049" s="1" t="s">
        <v>26</v>
      </c>
      <c r="I1049">
        <v>4</v>
      </c>
      <c r="J1049">
        <v>10</v>
      </c>
      <c r="K1049">
        <v>2004</v>
      </c>
      <c r="L1049" s="1" t="s">
        <v>239</v>
      </c>
      <c r="M1049">
        <v>169</v>
      </c>
      <c r="N1049" s="1" t="s">
        <v>916</v>
      </c>
      <c r="O1049" s="1" t="s">
        <v>612</v>
      </c>
      <c r="P1049" s="1" t="s">
        <v>613</v>
      </c>
      <c r="Q1049" s="1" t="s">
        <v>614</v>
      </c>
      <c r="R1049" s="1" t="s">
        <v>32</v>
      </c>
      <c r="S1049" s="1" t="s">
        <v>615</v>
      </c>
      <c r="T1049" s="1" t="s">
        <v>32</v>
      </c>
      <c r="U1049" s="1" t="s">
        <v>616</v>
      </c>
      <c r="V1049" s="1" t="s">
        <v>617</v>
      </c>
      <c r="W1049" s="1" t="s">
        <v>48</v>
      </c>
      <c r="X1049" s="1" t="s">
        <v>618</v>
      </c>
      <c r="Y1049" s="1" t="s">
        <v>619</v>
      </c>
      <c r="Z1049" s="1" t="str">
        <f>TRIM(_xlfn.CONCAT(sales_data_sample[[#This Row],[CONTACTFIRSTNAME]],", ",sales_data_sample[[#This Row],[CONTACTLASTNAME]]))</f>
        <v>Henriette, Pfalzheim</v>
      </c>
      <c r="AA1049" s="1" t="s">
        <v>199</v>
      </c>
    </row>
    <row r="1050" spans="1:27" x14ac:dyDescent="0.25">
      <c r="A1050" s="10">
        <v>10313</v>
      </c>
      <c r="B1050" s="9">
        <v>25</v>
      </c>
      <c r="C1050" s="9">
        <v>100</v>
      </c>
      <c r="D1050" s="9">
        <f>PRODUCT(sales_data_sample[[#This Row],[QUANTITYORDERED]],sales_data_sample[[#This Row],[PRICEEACH]])</f>
        <v>2500</v>
      </c>
      <c r="E1050" s="9">
        <f>IF(OR(sales_data_sample[[#This Row],[STATUS]]="Shipped",sales_data_sample[[#This Row],[STATUS]]="Resolved"),sales_data_sample[[#This Row],[SALES]],0)</f>
        <v>2500</v>
      </c>
      <c r="F1050" s="10">
        <v>3</v>
      </c>
      <c r="G1050" s="12" t="s">
        <v>587</v>
      </c>
      <c r="H1050" s="1" t="s">
        <v>26</v>
      </c>
      <c r="I1050">
        <v>4</v>
      </c>
      <c r="J1050">
        <v>10</v>
      </c>
      <c r="K1050">
        <v>2004</v>
      </c>
      <c r="L1050" s="1" t="s">
        <v>239</v>
      </c>
      <c r="M1050">
        <v>169</v>
      </c>
      <c r="N1050" s="1" t="s">
        <v>916</v>
      </c>
      <c r="O1050" s="1" t="s">
        <v>299</v>
      </c>
      <c r="P1050" s="1" t="s">
        <v>300</v>
      </c>
      <c r="Q1050" s="1" t="s">
        <v>301</v>
      </c>
      <c r="R1050" s="1" t="s">
        <v>32</v>
      </c>
      <c r="S1050" s="1" t="s">
        <v>302</v>
      </c>
      <c r="T1050" s="1" t="s">
        <v>303</v>
      </c>
      <c r="U1050" s="1" t="s">
        <v>304</v>
      </c>
      <c r="V1050" s="1" t="s">
        <v>305</v>
      </c>
      <c r="W1050" s="1" t="s">
        <v>37</v>
      </c>
      <c r="X1050" s="1" t="s">
        <v>306</v>
      </c>
      <c r="Y1050" s="1" t="s">
        <v>307</v>
      </c>
      <c r="Z1050" s="1" t="str">
        <f>TRIM(_xlfn.CONCAT(sales_data_sample[[#This Row],[CONTACTFIRSTNAME]],", ",sales_data_sample[[#This Row],[CONTACTLASTNAME]]))</f>
        <v>Yoshi, Tannamuri</v>
      </c>
      <c r="AA1050" s="1" t="s">
        <v>59</v>
      </c>
    </row>
    <row r="1051" spans="1:27" x14ac:dyDescent="0.25">
      <c r="A1051" s="10">
        <v>10321</v>
      </c>
      <c r="B1051" s="9">
        <v>33</v>
      </c>
      <c r="C1051" s="9">
        <v>100</v>
      </c>
      <c r="D1051" s="9">
        <f>PRODUCT(sales_data_sample[[#This Row],[QUANTITYORDERED]],sales_data_sample[[#This Row],[PRICEEACH]])</f>
        <v>3300</v>
      </c>
      <c r="E1051" s="9">
        <f>IF(OR(sales_data_sample[[#This Row],[STATUS]]="Shipped",sales_data_sample[[#This Row],[STATUS]]="Resolved"),sales_data_sample[[#This Row],[SALES]],0)</f>
        <v>3300</v>
      </c>
      <c r="F1051" s="10">
        <v>11</v>
      </c>
      <c r="G1051" s="12" t="s">
        <v>367</v>
      </c>
      <c r="H1051" s="1" t="s">
        <v>26</v>
      </c>
      <c r="I1051">
        <v>4</v>
      </c>
      <c r="J1051">
        <v>11</v>
      </c>
      <c r="K1051">
        <v>2004</v>
      </c>
      <c r="L1051" s="1" t="s">
        <v>239</v>
      </c>
      <c r="M1051">
        <v>169</v>
      </c>
      <c r="N1051" s="1" t="s">
        <v>916</v>
      </c>
      <c r="O1051" s="1" t="s">
        <v>212</v>
      </c>
      <c r="P1051" s="1" t="s">
        <v>213</v>
      </c>
      <c r="Q1051" s="1" t="s">
        <v>214</v>
      </c>
      <c r="R1051" s="1" t="s">
        <v>32</v>
      </c>
      <c r="S1051" s="1" t="s">
        <v>215</v>
      </c>
      <c r="T1051" s="1" t="s">
        <v>160</v>
      </c>
      <c r="U1051" s="1" t="s">
        <v>216</v>
      </c>
      <c r="V1051" s="1" t="s">
        <v>36</v>
      </c>
      <c r="W1051" s="1" t="s">
        <v>37</v>
      </c>
      <c r="X1051" s="1" t="s">
        <v>217</v>
      </c>
      <c r="Y1051" s="1" t="s">
        <v>218</v>
      </c>
      <c r="Z1051" s="1" t="str">
        <f>TRIM(_xlfn.CONCAT(sales_data_sample[[#This Row],[CONTACTFIRSTNAME]],", ",sales_data_sample[[#This Row],[CONTACTLASTNAME]]))</f>
        <v>Violeta, Benitez</v>
      </c>
      <c r="AA1051" s="1" t="s">
        <v>59</v>
      </c>
    </row>
    <row r="1052" spans="1:27" x14ac:dyDescent="0.25">
      <c r="A1052">
        <v>10324</v>
      </c>
      <c r="B1052">
        <v>27</v>
      </c>
      <c r="C1052">
        <v>100</v>
      </c>
      <c r="D1052">
        <f>PRODUCT(sales_data_sample[[#This Row],[QUANTITYORDERED]],sales_data_sample[[#This Row],[PRICEEACH]])</f>
        <v>2700</v>
      </c>
      <c r="E1052" s="9">
        <f>IF(OR(sales_data_sample[[#This Row],[STATUS]]="Shipped",sales_data_sample[[#This Row],[STATUS]]="Resolved"),sales_data_sample[[#This Row],[SALES]],0)</f>
        <v>2700</v>
      </c>
      <c r="F1052">
        <v>12</v>
      </c>
      <c r="G1052" s="12" t="s">
        <v>532</v>
      </c>
      <c r="H1052" s="1" t="s">
        <v>26</v>
      </c>
      <c r="I1052">
        <v>4</v>
      </c>
      <c r="J1052">
        <v>11</v>
      </c>
      <c r="K1052">
        <v>2004</v>
      </c>
      <c r="L1052" s="1" t="s">
        <v>239</v>
      </c>
      <c r="M1052">
        <v>169</v>
      </c>
      <c r="N1052" s="1" t="s">
        <v>916</v>
      </c>
      <c r="O1052" s="1" t="s">
        <v>125</v>
      </c>
      <c r="P1052" s="1" t="s">
        <v>126</v>
      </c>
      <c r="Q1052" s="1" t="s">
        <v>127</v>
      </c>
      <c r="R1052" s="1" t="s">
        <v>128</v>
      </c>
      <c r="S1052" s="1" t="s">
        <v>33</v>
      </c>
      <c r="T1052" s="1" t="s">
        <v>34</v>
      </c>
      <c r="U1052" s="1" t="s">
        <v>35</v>
      </c>
      <c r="V1052" s="1" t="s">
        <v>36</v>
      </c>
      <c r="W1052" s="1" t="s">
        <v>37</v>
      </c>
      <c r="X1052" s="1" t="s">
        <v>129</v>
      </c>
      <c r="Y1052" s="1" t="s">
        <v>130</v>
      </c>
      <c r="Z1052" s="1" t="str">
        <f>TRIM(_xlfn.CONCAT(sales_data_sample[[#This Row],[CONTACTFIRSTNAME]],", ",sales_data_sample[[#This Row],[CONTACTLASTNAME]]))</f>
        <v>Michael, Frick</v>
      </c>
      <c r="AA1052" s="1" t="s">
        <v>59</v>
      </c>
    </row>
    <row r="1053" spans="1:27" x14ac:dyDescent="0.25">
      <c r="A1053" s="10">
        <v>10331</v>
      </c>
      <c r="B1053" s="9">
        <v>27</v>
      </c>
      <c r="C1053" s="9">
        <v>100</v>
      </c>
      <c r="D1053" s="9">
        <f>PRODUCT(sales_data_sample[[#This Row],[QUANTITYORDERED]],sales_data_sample[[#This Row],[PRICEEACH]])</f>
        <v>2700</v>
      </c>
      <c r="E1053" s="9">
        <f>IF(OR(sales_data_sample[[#This Row],[STATUS]]="Shipped",sales_data_sample[[#This Row],[STATUS]]="Resolved"),sales_data_sample[[#This Row],[SALES]],0)</f>
        <v>2700</v>
      </c>
      <c r="F1053" s="10">
        <v>11</v>
      </c>
      <c r="G1053" s="12" t="s">
        <v>793</v>
      </c>
      <c r="H1053" s="1" t="s">
        <v>26</v>
      </c>
      <c r="I1053">
        <v>4</v>
      </c>
      <c r="J1053">
        <v>11</v>
      </c>
      <c r="K1053">
        <v>2004</v>
      </c>
      <c r="L1053" s="1" t="s">
        <v>239</v>
      </c>
      <c r="M1053">
        <v>169</v>
      </c>
      <c r="N1053" s="1" t="s">
        <v>916</v>
      </c>
      <c r="O1053" s="1" t="s">
        <v>415</v>
      </c>
      <c r="P1053" s="1" t="s">
        <v>416</v>
      </c>
      <c r="Q1053" s="1" t="s">
        <v>417</v>
      </c>
      <c r="R1053" s="1" t="s">
        <v>32</v>
      </c>
      <c r="S1053" s="1" t="s">
        <v>286</v>
      </c>
      <c r="T1053" s="1" t="s">
        <v>186</v>
      </c>
      <c r="U1053" s="1" t="s">
        <v>287</v>
      </c>
      <c r="V1053" s="1" t="s">
        <v>36</v>
      </c>
      <c r="W1053" s="1" t="s">
        <v>37</v>
      </c>
      <c r="X1053" s="1" t="s">
        <v>162</v>
      </c>
      <c r="Y1053" s="1" t="s">
        <v>418</v>
      </c>
      <c r="Z1053" s="1" t="str">
        <f>TRIM(_xlfn.CONCAT(sales_data_sample[[#This Row],[CONTACTFIRSTNAME]],", ",sales_data_sample[[#This Row],[CONTACTLASTNAME]]))</f>
        <v>Rosa, Hernandez</v>
      </c>
      <c r="AA1053" s="1" t="s">
        <v>59</v>
      </c>
    </row>
    <row r="1054" spans="1:27" x14ac:dyDescent="0.25">
      <c r="A1054" s="10">
        <v>10334</v>
      </c>
      <c r="B1054" s="9">
        <v>20</v>
      </c>
      <c r="C1054" s="9">
        <v>100</v>
      </c>
      <c r="D1054" s="9">
        <f>PRODUCT(sales_data_sample[[#This Row],[QUANTITYORDERED]],sales_data_sample[[#This Row],[PRICEEACH]])</f>
        <v>2000</v>
      </c>
      <c r="E1054" s="9">
        <f>IF(OR(sales_data_sample[[#This Row],[STATUS]]="Shipped",sales_data_sample[[#This Row],[STATUS]]="Resolved"),sales_data_sample[[#This Row],[SALES]],0)</f>
        <v>0</v>
      </c>
      <c r="F1054" s="10">
        <v>3</v>
      </c>
      <c r="G1054" s="12" t="s">
        <v>588</v>
      </c>
      <c r="H1054" s="1" t="s">
        <v>553</v>
      </c>
      <c r="I1054">
        <v>4</v>
      </c>
      <c r="J1054">
        <v>11</v>
      </c>
      <c r="K1054">
        <v>2004</v>
      </c>
      <c r="L1054" s="1" t="s">
        <v>239</v>
      </c>
      <c r="M1054">
        <v>169</v>
      </c>
      <c r="N1054" s="1" t="s">
        <v>916</v>
      </c>
      <c r="O1054" s="1" t="s">
        <v>242</v>
      </c>
      <c r="P1054" s="1" t="s">
        <v>243</v>
      </c>
      <c r="Q1054" s="1" t="s">
        <v>244</v>
      </c>
      <c r="R1054" s="1" t="s">
        <v>32</v>
      </c>
      <c r="S1054" s="1" t="s">
        <v>245</v>
      </c>
      <c r="T1054" s="1" t="s">
        <v>32</v>
      </c>
      <c r="U1054" s="1" t="s">
        <v>246</v>
      </c>
      <c r="V1054" s="1" t="s">
        <v>247</v>
      </c>
      <c r="W1054" s="1" t="s">
        <v>48</v>
      </c>
      <c r="X1054" s="1" t="s">
        <v>248</v>
      </c>
      <c r="Y1054" s="1" t="s">
        <v>249</v>
      </c>
      <c r="Z1054" s="1" t="str">
        <f>TRIM(_xlfn.CONCAT(sales_data_sample[[#This Row],[CONTACTFIRSTNAME]],", ",sales_data_sample[[#This Row],[CONTACTLASTNAME]]))</f>
        <v>Christina, Berglund</v>
      </c>
      <c r="AA1054" s="1" t="s">
        <v>40</v>
      </c>
    </row>
    <row r="1055" spans="1:27" x14ac:dyDescent="0.25">
      <c r="A1055">
        <v>10342</v>
      </c>
      <c r="B1055">
        <v>30</v>
      </c>
      <c r="C1055">
        <v>100</v>
      </c>
      <c r="D1055">
        <f>PRODUCT(sales_data_sample[[#This Row],[QUANTITYORDERED]],sales_data_sample[[#This Row],[PRICEEACH]])</f>
        <v>3000</v>
      </c>
      <c r="E1055" s="9">
        <f>IF(OR(sales_data_sample[[#This Row],[STATUS]]="Shipped",sales_data_sample[[#This Row],[STATUS]]="Resolved"),sales_data_sample[[#This Row],[SALES]],0)</f>
        <v>3000</v>
      </c>
      <c r="F1055">
        <v>4</v>
      </c>
      <c r="G1055" s="12" t="s">
        <v>190</v>
      </c>
      <c r="H1055" s="1" t="s">
        <v>26</v>
      </c>
      <c r="I1055">
        <v>4</v>
      </c>
      <c r="J1055">
        <v>11</v>
      </c>
      <c r="K1055">
        <v>2004</v>
      </c>
      <c r="L1055" s="1" t="s">
        <v>239</v>
      </c>
      <c r="M1055">
        <v>169</v>
      </c>
      <c r="N1055" s="1" t="s">
        <v>916</v>
      </c>
      <c r="O1055" s="1" t="s">
        <v>113</v>
      </c>
      <c r="P1055" s="1" t="s">
        <v>114</v>
      </c>
      <c r="Q1055" s="1" t="s">
        <v>115</v>
      </c>
      <c r="R1055" s="1" t="s">
        <v>116</v>
      </c>
      <c r="S1055" s="1" t="s">
        <v>117</v>
      </c>
      <c r="T1055" s="1" t="s">
        <v>118</v>
      </c>
      <c r="U1055" s="1" t="s">
        <v>119</v>
      </c>
      <c r="V1055" s="1" t="s">
        <v>120</v>
      </c>
      <c r="W1055" s="1" t="s">
        <v>121</v>
      </c>
      <c r="X1055" s="1" t="s">
        <v>122</v>
      </c>
      <c r="Y1055" s="1" t="s">
        <v>123</v>
      </c>
      <c r="Z1055" s="1" t="str">
        <f>TRIM(_xlfn.CONCAT(sales_data_sample[[#This Row],[CONTACTFIRSTNAME]],", ",sales_data_sample[[#This Row],[CONTACTLASTNAME]]))</f>
        <v>Peter, Ferguson</v>
      </c>
      <c r="AA1055" s="1" t="s">
        <v>59</v>
      </c>
    </row>
    <row r="1056" spans="1:27" x14ac:dyDescent="0.25">
      <c r="A1056">
        <v>10349</v>
      </c>
      <c r="B1056">
        <v>48</v>
      </c>
      <c r="C1056">
        <v>100</v>
      </c>
      <c r="D1056">
        <f>PRODUCT(sales_data_sample[[#This Row],[QUANTITYORDERED]],sales_data_sample[[#This Row],[PRICEEACH]])</f>
        <v>4800</v>
      </c>
      <c r="E1056" s="9">
        <f>IF(OR(sales_data_sample[[#This Row],[STATUS]]="Shipped",sales_data_sample[[#This Row],[STATUS]]="Resolved"),sales_data_sample[[#This Row],[SALES]],0)</f>
        <v>4800</v>
      </c>
      <c r="F1056">
        <v>6</v>
      </c>
      <c r="G1056" s="12" t="s">
        <v>737</v>
      </c>
      <c r="H1056" s="1" t="s">
        <v>26</v>
      </c>
      <c r="I1056">
        <v>4</v>
      </c>
      <c r="J1056">
        <v>12</v>
      </c>
      <c r="K1056">
        <v>2004</v>
      </c>
      <c r="L1056" s="1" t="s">
        <v>239</v>
      </c>
      <c r="M1056">
        <v>169</v>
      </c>
      <c r="N1056" s="1" t="s">
        <v>916</v>
      </c>
      <c r="O1056" s="1" t="s">
        <v>667</v>
      </c>
      <c r="P1056" s="1" t="s">
        <v>668</v>
      </c>
      <c r="Q1056" s="1" t="s">
        <v>669</v>
      </c>
      <c r="R1056" s="1" t="s">
        <v>670</v>
      </c>
      <c r="S1056" s="1" t="s">
        <v>33</v>
      </c>
      <c r="T1056" s="1" t="s">
        <v>34</v>
      </c>
      <c r="U1056" s="1" t="s">
        <v>35</v>
      </c>
      <c r="V1056" s="1" t="s">
        <v>36</v>
      </c>
      <c r="W1056" s="1" t="s">
        <v>37</v>
      </c>
      <c r="X1056" s="1" t="s">
        <v>67</v>
      </c>
      <c r="Y1056" s="1" t="s">
        <v>671</v>
      </c>
      <c r="Z1056" s="1" t="str">
        <f>TRIM(_xlfn.CONCAT(sales_data_sample[[#This Row],[CONTACTFIRSTNAME]],", ",sales_data_sample[[#This Row],[CONTACTLASTNAME]]))</f>
        <v>Jeff, Young</v>
      </c>
      <c r="AA1056" s="1" t="s">
        <v>199</v>
      </c>
    </row>
    <row r="1057" spans="1:27" x14ac:dyDescent="0.25">
      <c r="A1057" s="10">
        <v>10358</v>
      </c>
      <c r="B1057" s="9">
        <v>32</v>
      </c>
      <c r="C1057" s="9">
        <v>9349</v>
      </c>
      <c r="D1057" s="9">
        <f>PRODUCT(sales_data_sample[[#This Row],[QUANTITYORDERED]],sales_data_sample[[#This Row],[PRICEEACH]])</f>
        <v>299168</v>
      </c>
      <c r="E1057" s="9">
        <f>IF(OR(sales_data_sample[[#This Row],[STATUS]]="Shipped",sales_data_sample[[#This Row],[STATUS]]="Resolved"),sales_data_sample[[#This Row],[SALES]],0)</f>
        <v>299168</v>
      </c>
      <c r="F1057" s="10">
        <v>12</v>
      </c>
      <c r="G1057" s="12" t="s">
        <v>376</v>
      </c>
      <c r="H1057" s="1" t="s">
        <v>26</v>
      </c>
      <c r="I1057">
        <v>4</v>
      </c>
      <c r="J1057">
        <v>12</v>
      </c>
      <c r="K1057">
        <v>2004</v>
      </c>
      <c r="L1057" s="1" t="s">
        <v>239</v>
      </c>
      <c r="M1057">
        <v>169</v>
      </c>
      <c r="N1057" s="1" t="s">
        <v>916</v>
      </c>
      <c r="O1057" s="1" t="s">
        <v>230</v>
      </c>
      <c r="P1057" s="1" t="s">
        <v>231</v>
      </c>
      <c r="Q1057" s="1" t="s">
        <v>232</v>
      </c>
      <c r="R1057" s="1" t="s">
        <v>32</v>
      </c>
      <c r="S1057" s="1" t="s">
        <v>233</v>
      </c>
      <c r="T1057" s="1" t="s">
        <v>32</v>
      </c>
      <c r="U1057" s="1" t="s">
        <v>234</v>
      </c>
      <c r="V1057" s="1" t="s">
        <v>235</v>
      </c>
      <c r="W1057" s="1" t="s">
        <v>48</v>
      </c>
      <c r="X1057" s="1" t="s">
        <v>236</v>
      </c>
      <c r="Y1057" s="1" t="s">
        <v>237</v>
      </c>
      <c r="Z1057" s="1" t="str">
        <f>TRIM(_xlfn.CONCAT(sales_data_sample[[#This Row],[CONTACTFIRSTNAME]],", ",sales_data_sample[[#This Row],[CONTACTLASTNAME]]))</f>
        <v>Diego, Freyre</v>
      </c>
      <c r="AA1057" s="1" t="s">
        <v>40</v>
      </c>
    </row>
    <row r="1058" spans="1:27" x14ac:dyDescent="0.25">
      <c r="A1058" s="10">
        <v>10366</v>
      </c>
      <c r="B1058" s="9">
        <v>34</v>
      </c>
      <c r="C1058" s="9">
        <v>100</v>
      </c>
      <c r="D1058" s="9">
        <f>PRODUCT(sales_data_sample[[#This Row],[QUANTITYORDERED]],sales_data_sample[[#This Row],[PRICEEACH]])</f>
        <v>3400</v>
      </c>
      <c r="E1058" s="9">
        <f>IF(OR(sales_data_sample[[#This Row],[STATUS]]="Shipped",sales_data_sample[[#This Row],[STATUS]]="Resolved"),sales_data_sample[[#This Row],[SALES]],0)</f>
        <v>3400</v>
      </c>
      <c r="F1058" s="10">
        <v>1</v>
      </c>
      <c r="G1058" s="12" t="s">
        <v>879</v>
      </c>
      <c r="H1058" s="1" t="s">
        <v>26</v>
      </c>
      <c r="I1058">
        <v>1</v>
      </c>
      <c r="J1058">
        <v>1</v>
      </c>
      <c r="K1058">
        <v>2005</v>
      </c>
      <c r="L1058" s="1" t="s">
        <v>239</v>
      </c>
      <c r="M1058">
        <v>169</v>
      </c>
      <c r="N1058" s="1" t="s">
        <v>916</v>
      </c>
      <c r="O1058" s="1" t="s">
        <v>861</v>
      </c>
      <c r="P1058" s="1" t="s">
        <v>862</v>
      </c>
      <c r="Q1058" s="1" t="s">
        <v>863</v>
      </c>
      <c r="R1058" s="1" t="s">
        <v>32</v>
      </c>
      <c r="S1058" s="1" t="s">
        <v>864</v>
      </c>
      <c r="T1058" s="1" t="s">
        <v>32</v>
      </c>
      <c r="U1058" s="1" t="s">
        <v>865</v>
      </c>
      <c r="V1058" s="1" t="s">
        <v>505</v>
      </c>
      <c r="W1058" s="1" t="s">
        <v>48</v>
      </c>
      <c r="X1058" s="1" t="s">
        <v>866</v>
      </c>
      <c r="Y1058" s="1" t="s">
        <v>867</v>
      </c>
      <c r="Z1058" s="1" t="str">
        <f>TRIM(_xlfn.CONCAT(sales_data_sample[[#This Row],[CONTACTFIRSTNAME]],", ",sales_data_sample[[#This Row],[CONTACTLASTNAME]]))</f>
        <v>Pascale, Cartrain</v>
      </c>
      <c r="AA1058" s="1" t="s">
        <v>59</v>
      </c>
    </row>
    <row r="1059" spans="1:27" x14ac:dyDescent="0.25">
      <c r="A1059">
        <v>10370</v>
      </c>
      <c r="B1059">
        <v>27</v>
      </c>
      <c r="C1059">
        <v>5685</v>
      </c>
      <c r="D1059">
        <f>PRODUCT(sales_data_sample[[#This Row],[QUANTITYORDERED]],sales_data_sample[[#This Row],[PRICEEACH]])</f>
        <v>153495</v>
      </c>
      <c r="E1059" s="9">
        <f>IF(OR(sales_data_sample[[#This Row],[STATUS]]="Shipped",sales_data_sample[[#This Row],[STATUS]]="Resolved"),sales_data_sample[[#This Row],[SALES]],0)</f>
        <v>153495</v>
      </c>
      <c r="F1059">
        <v>9</v>
      </c>
      <c r="G1059" s="12" t="s">
        <v>377</v>
      </c>
      <c r="H1059" s="1" t="s">
        <v>26</v>
      </c>
      <c r="I1059">
        <v>1</v>
      </c>
      <c r="J1059">
        <v>1</v>
      </c>
      <c r="K1059">
        <v>2005</v>
      </c>
      <c r="L1059" s="1" t="s">
        <v>239</v>
      </c>
      <c r="M1059">
        <v>169</v>
      </c>
      <c r="N1059" s="1" t="s">
        <v>916</v>
      </c>
      <c r="O1059" s="1" t="s">
        <v>385</v>
      </c>
      <c r="P1059" s="1" t="s">
        <v>386</v>
      </c>
      <c r="Q1059" s="1" t="s">
        <v>387</v>
      </c>
      <c r="R1059" s="1" t="s">
        <v>388</v>
      </c>
      <c r="S1059" s="1" t="s">
        <v>389</v>
      </c>
      <c r="T1059" s="1" t="s">
        <v>206</v>
      </c>
      <c r="U1059" s="1" t="s">
        <v>390</v>
      </c>
      <c r="V1059" s="1" t="s">
        <v>120</v>
      </c>
      <c r="W1059" s="1" t="s">
        <v>121</v>
      </c>
      <c r="X1059" s="1" t="s">
        <v>391</v>
      </c>
      <c r="Y1059" s="1" t="s">
        <v>392</v>
      </c>
      <c r="Z1059" s="1" t="str">
        <f>TRIM(_xlfn.CONCAT(sales_data_sample[[#This Row],[CONTACTFIRSTNAME]],", ",sales_data_sample[[#This Row],[CONTACTLASTNAME]]))</f>
        <v>Anna, O'Hara</v>
      </c>
      <c r="AA1059" s="1" t="s">
        <v>40</v>
      </c>
    </row>
    <row r="1060" spans="1:27" x14ac:dyDescent="0.25">
      <c r="A1060" s="10">
        <v>10377</v>
      </c>
      <c r="B1060" s="9">
        <v>39</v>
      </c>
      <c r="C1060" s="9">
        <v>100</v>
      </c>
      <c r="D1060" s="9">
        <f>PRODUCT(sales_data_sample[[#This Row],[QUANTITYORDERED]],sales_data_sample[[#This Row],[PRICEEACH]])</f>
        <v>3900</v>
      </c>
      <c r="E1060" s="9">
        <f>IF(OR(sales_data_sample[[#This Row],[STATUS]]="Shipped",sales_data_sample[[#This Row],[STATUS]]="Resolved"),sales_data_sample[[#This Row],[SALES]],0)</f>
        <v>3900</v>
      </c>
      <c r="F1060" s="10">
        <v>3</v>
      </c>
      <c r="G1060" s="12" t="s">
        <v>740</v>
      </c>
      <c r="H1060" s="1" t="s">
        <v>26</v>
      </c>
      <c r="I1060">
        <v>1</v>
      </c>
      <c r="J1060">
        <v>2</v>
      </c>
      <c r="K1060">
        <v>2005</v>
      </c>
      <c r="L1060" s="1" t="s">
        <v>239</v>
      </c>
      <c r="M1060">
        <v>169</v>
      </c>
      <c r="N1060" s="1" t="s">
        <v>916</v>
      </c>
      <c r="O1060" s="1" t="s">
        <v>165</v>
      </c>
      <c r="P1060" s="1" t="s">
        <v>166</v>
      </c>
      <c r="Q1060" s="1" t="s">
        <v>167</v>
      </c>
      <c r="R1060" s="1" t="s">
        <v>32</v>
      </c>
      <c r="S1060" s="1" t="s">
        <v>168</v>
      </c>
      <c r="T1060" s="1" t="s">
        <v>32</v>
      </c>
      <c r="U1060" s="1" t="s">
        <v>169</v>
      </c>
      <c r="V1060" s="1" t="s">
        <v>170</v>
      </c>
      <c r="W1060" s="1" t="s">
        <v>48</v>
      </c>
      <c r="X1060" s="1" t="s">
        <v>171</v>
      </c>
      <c r="Y1060" s="1" t="s">
        <v>172</v>
      </c>
      <c r="Z1060" s="1" t="str">
        <f>TRIM(_xlfn.CONCAT(sales_data_sample[[#This Row],[CONTACTFIRSTNAME]],", ",sales_data_sample[[#This Row],[CONTACTLASTNAME]]))</f>
        <v>Matti, Karttunen</v>
      </c>
      <c r="AA1060" s="1" t="s">
        <v>199</v>
      </c>
    </row>
    <row r="1061" spans="1:27" x14ac:dyDescent="0.25">
      <c r="A1061" s="10">
        <v>10383</v>
      </c>
      <c r="B1061" s="9">
        <v>47</v>
      </c>
      <c r="C1061" s="9">
        <v>100</v>
      </c>
      <c r="D1061" s="9">
        <f>PRODUCT(sales_data_sample[[#This Row],[QUANTITYORDERED]],sales_data_sample[[#This Row],[PRICEEACH]])</f>
        <v>4700</v>
      </c>
      <c r="E1061" s="9">
        <f>IF(OR(sales_data_sample[[#This Row],[STATUS]]="Shipped",sales_data_sample[[#This Row],[STATUS]]="Resolved"),sales_data_sample[[#This Row],[SALES]],0)</f>
        <v>4700</v>
      </c>
      <c r="F1061" s="10">
        <v>6</v>
      </c>
      <c r="G1061" s="12" t="s">
        <v>884</v>
      </c>
      <c r="H1061" s="1" t="s">
        <v>26</v>
      </c>
      <c r="I1061">
        <v>1</v>
      </c>
      <c r="J1061">
        <v>2</v>
      </c>
      <c r="K1061">
        <v>2005</v>
      </c>
      <c r="L1061" s="1" t="s">
        <v>239</v>
      </c>
      <c r="M1061">
        <v>169</v>
      </c>
      <c r="N1061" s="1" t="s">
        <v>916</v>
      </c>
      <c r="O1061" s="1" t="s">
        <v>230</v>
      </c>
      <c r="P1061" s="1" t="s">
        <v>231</v>
      </c>
      <c r="Q1061" s="1" t="s">
        <v>232</v>
      </c>
      <c r="R1061" s="1" t="s">
        <v>32</v>
      </c>
      <c r="S1061" s="1" t="s">
        <v>233</v>
      </c>
      <c r="T1061" s="1" t="s">
        <v>32</v>
      </c>
      <c r="U1061" s="1" t="s">
        <v>234</v>
      </c>
      <c r="V1061" s="1" t="s">
        <v>235</v>
      </c>
      <c r="W1061" s="1" t="s">
        <v>48</v>
      </c>
      <c r="X1061" s="1" t="s">
        <v>236</v>
      </c>
      <c r="Y1061" s="1" t="s">
        <v>237</v>
      </c>
      <c r="Z1061" s="1" t="str">
        <f>TRIM(_xlfn.CONCAT(sales_data_sample[[#This Row],[CONTACTFIRSTNAME]],", ",sales_data_sample[[#This Row],[CONTACTLASTNAME]]))</f>
        <v>Diego, Freyre</v>
      </c>
      <c r="AA1061" s="1" t="s">
        <v>59</v>
      </c>
    </row>
    <row r="1062" spans="1:27" x14ac:dyDescent="0.25">
      <c r="A1062" s="10">
        <v>10394</v>
      </c>
      <c r="B1062" s="9">
        <v>22</v>
      </c>
      <c r="C1062" s="9">
        <v>100</v>
      </c>
      <c r="D1062" s="9">
        <f>PRODUCT(sales_data_sample[[#This Row],[QUANTITYORDERED]],sales_data_sample[[#This Row],[PRICEEACH]])</f>
        <v>2200</v>
      </c>
      <c r="E1062" s="9">
        <f>IF(OR(sales_data_sample[[#This Row],[STATUS]]="Shipped",sales_data_sample[[#This Row],[STATUS]]="Resolved"),sales_data_sample[[#This Row],[SALES]],0)</f>
        <v>2200</v>
      </c>
      <c r="F1062" s="10">
        <v>5</v>
      </c>
      <c r="G1062" s="12" t="s">
        <v>917</v>
      </c>
      <c r="H1062" s="1" t="s">
        <v>26</v>
      </c>
      <c r="I1062">
        <v>1</v>
      </c>
      <c r="J1062">
        <v>3</v>
      </c>
      <c r="K1062">
        <v>2005</v>
      </c>
      <c r="L1062" s="1" t="s">
        <v>239</v>
      </c>
      <c r="M1062">
        <v>169</v>
      </c>
      <c r="N1062" s="1" t="s">
        <v>916</v>
      </c>
      <c r="O1062" s="1" t="s">
        <v>230</v>
      </c>
      <c r="P1062" s="1" t="s">
        <v>231</v>
      </c>
      <c r="Q1062" s="1" t="s">
        <v>232</v>
      </c>
      <c r="R1062" s="1" t="s">
        <v>32</v>
      </c>
      <c r="S1062" s="1" t="s">
        <v>233</v>
      </c>
      <c r="T1062" s="1" t="s">
        <v>32</v>
      </c>
      <c r="U1062" s="1" t="s">
        <v>234</v>
      </c>
      <c r="V1062" s="1" t="s">
        <v>235</v>
      </c>
      <c r="W1062" s="1" t="s">
        <v>48</v>
      </c>
      <c r="X1062" s="1" t="s">
        <v>236</v>
      </c>
      <c r="Y1062" s="1" t="s">
        <v>237</v>
      </c>
      <c r="Z1062" s="1" t="str">
        <f>TRIM(_xlfn.CONCAT(sales_data_sample[[#This Row],[CONTACTFIRSTNAME]],", ",sales_data_sample[[#This Row],[CONTACTLASTNAME]]))</f>
        <v>Diego, Freyre</v>
      </c>
      <c r="AA1062" s="1" t="s">
        <v>59</v>
      </c>
    </row>
    <row r="1063" spans="1:27" x14ac:dyDescent="0.25">
      <c r="A1063" s="10">
        <v>10405</v>
      </c>
      <c r="B1063" s="9">
        <v>55</v>
      </c>
      <c r="C1063" s="9">
        <v>100</v>
      </c>
      <c r="D1063" s="9">
        <f>PRODUCT(sales_data_sample[[#This Row],[QUANTITYORDERED]],sales_data_sample[[#This Row],[PRICEEACH]])</f>
        <v>5500</v>
      </c>
      <c r="E1063" s="9">
        <f>IF(OR(sales_data_sample[[#This Row],[STATUS]]="Shipped",sales_data_sample[[#This Row],[STATUS]]="Resolved"),sales_data_sample[[#This Row],[SALES]],0)</f>
        <v>5500</v>
      </c>
      <c r="F1063" s="10">
        <v>1</v>
      </c>
      <c r="G1063" s="12" t="s">
        <v>762</v>
      </c>
      <c r="H1063" s="1" t="s">
        <v>26</v>
      </c>
      <c r="I1063">
        <v>2</v>
      </c>
      <c r="J1063">
        <v>4</v>
      </c>
      <c r="K1063">
        <v>2005</v>
      </c>
      <c r="L1063" s="1" t="s">
        <v>239</v>
      </c>
      <c r="M1063">
        <v>169</v>
      </c>
      <c r="N1063" s="1" t="s">
        <v>916</v>
      </c>
      <c r="O1063" s="1" t="s">
        <v>763</v>
      </c>
      <c r="P1063" s="1" t="s">
        <v>764</v>
      </c>
      <c r="Q1063" s="1" t="s">
        <v>765</v>
      </c>
      <c r="R1063" s="1" t="s">
        <v>32</v>
      </c>
      <c r="S1063" s="1" t="s">
        <v>766</v>
      </c>
      <c r="T1063" s="1" t="s">
        <v>32</v>
      </c>
      <c r="U1063" s="1" t="s">
        <v>767</v>
      </c>
      <c r="V1063" s="1" t="s">
        <v>47</v>
      </c>
      <c r="W1063" s="1" t="s">
        <v>48</v>
      </c>
      <c r="X1063" s="1" t="s">
        <v>768</v>
      </c>
      <c r="Y1063" s="1" t="s">
        <v>769</v>
      </c>
      <c r="Z1063" s="1" t="str">
        <f>TRIM(_xlfn.CONCAT(sales_data_sample[[#This Row],[CONTACTFIRSTNAME]],", ",sales_data_sample[[#This Row],[CONTACTLASTNAME]]))</f>
        <v>Frederique, Citeaux</v>
      </c>
      <c r="AA1063" s="1" t="s">
        <v>199</v>
      </c>
    </row>
    <row r="1064" spans="1:27" x14ac:dyDescent="0.25">
      <c r="A1064" s="10">
        <v>10412</v>
      </c>
      <c r="B1064" s="9">
        <v>60</v>
      </c>
      <c r="C1064" s="9">
        <v>100</v>
      </c>
      <c r="D1064" s="9">
        <f>PRODUCT(sales_data_sample[[#This Row],[QUANTITYORDERED]],sales_data_sample[[#This Row],[PRICEEACH]])</f>
        <v>6000</v>
      </c>
      <c r="E1064" s="9">
        <f>IF(OR(sales_data_sample[[#This Row],[STATUS]]="Shipped",sales_data_sample[[#This Row],[STATUS]]="Resolved"),sales_data_sample[[#This Row],[SALES]],0)</f>
        <v>6000</v>
      </c>
      <c r="F1064" s="10">
        <v>9</v>
      </c>
      <c r="G1064" s="12" t="s">
        <v>758</v>
      </c>
      <c r="H1064" s="1" t="s">
        <v>26</v>
      </c>
      <c r="I1064">
        <v>2</v>
      </c>
      <c r="J1064">
        <v>5</v>
      </c>
      <c r="K1064">
        <v>2005</v>
      </c>
      <c r="L1064" s="1" t="s">
        <v>239</v>
      </c>
      <c r="M1064">
        <v>169</v>
      </c>
      <c r="N1064" s="1" t="s">
        <v>916</v>
      </c>
      <c r="O1064" s="1" t="s">
        <v>230</v>
      </c>
      <c r="P1064" s="1" t="s">
        <v>231</v>
      </c>
      <c r="Q1064" s="1" t="s">
        <v>232</v>
      </c>
      <c r="R1064" s="1" t="s">
        <v>32</v>
      </c>
      <c r="S1064" s="1" t="s">
        <v>233</v>
      </c>
      <c r="T1064" s="1" t="s">
        <v>32</v>
      </c>
      <c r="U1064" s="1" t="s">
        <v>234</v>
      </c>
      <c r="V1064" s="1" t="s">
        <v>235</v>
      </c>
      <c r="W1064" s="1" t="s">
        <v>48</v>
      </c>
      <c r="X1064" s="1" t="s">
        <v>236</v>
      </c>
      <c r="Y1064" s="1" t="s">
        <v>237</v>
      </c>
      <c r="Z1064" s="1" t="str">
        <f>TRIM(_xlfn.CONCAT(sales_data_sample[[#This Row],[CONTACTFIRSTNAME]],", ",sales_data_sample[[#This Row],[CONTACTLASTNAME]]))</f>
        <v>Diego, Freyre</v>
      </c>
      <c r="AA1064" s="1" t="s">
        <v>199</v>
      </c>
    </row>
    <row r="1065" spans="1:27" x14ac:dyDescent="0.25">
      <c r="A1065" s="10">
        <v>10419</v>
      </c>
      <c r="B1065" s="9">
        <v>35</v>
      </c>
      <c r="C1065" s="9">
        <v>100</v>
      </c>
      <c r="D1065" s="9">
        <f>PRODUCT(sales_data_sample[[#This Row],[QUANTITYORDERED]],sales_data_sample[[#This Row],[PRICEEACH]])</f>
        <v>3500</v>
      </c>
      <c r="E1065" s="9">
        <f>IF(OR(sales_data_sample[[#This Row],[STATUS]]="Shipped",sales_data_sample[[#This Row],[STATUS]]="Resolved"),sales_data_sample[[#This Row],[SALES]],0)</f>
        <v>3500</v>
      </c>
      <c r="F1065" s="10">
        <v>6</v>
      </c>
      <c r="G1065" s="12" t="s">
        <v>663</v>
      </c>
      <c r="H1065" s="1" t="s">
        <v>26</v>
      </c>
      <c r="I1065">
        <v>2</v>
      </c>
      <c r="J1065">
        <v>5</v>
      </c>
      <c r="K1065">
        <v>2005</v>
      </c>
      <c r="L1065" s="1" t="s">
        <v>239</v>
      </c>
      <c r="M1065">
        <v>169</v>
      </c>
      <c r="N1065" s="1" t="s">
        <v>916</v>
      </c>
      <c r="O1065" s="1" t="s">
        <v>191</v>
      </c>
      <c r="P1065" s="1" t="s">
        <v>192</v>
      </c>
      <c r="Q1065" s="1" t="s">
        <v>193</v>
      </c>
      <c r="R1065" s="1" t="s">
        <v>32</v>
      </c>
      <c r="S1065" s="1" t="s">
        <v>194</v>
      </c>
      <c r="T1065" s="1" t="s">
        <v>32</v>
      </c>
      <c r="U1065" s="1" t="s">
        <v>195</v>
      </c>
      <c r="V1065" s="1" t="s">
        <v>196</v>
      </c>
      <c r="W1065" s="1" t="s">
        <v>48</v>
      </c>
      <c r="X1065" s="1" t="s">
        <v>197</v>
      </c>
      <c r="Y1065" s="1" t="s">
        <v>198</v>
      </c>
      <c r="Z1065" s="1" t="str">
        <f>TRIM(_xlfn.CONCAT(sales_data_sample[[#This Row],[CONTACTFIRSTNAME]],", ",sales_data_sample[[#This Row],[CONTACTLASTNAME]]))</f>
        <v>Georg, Pipps</v>
      </c>
      <c r="AA1065" s="1" t="s">
        <v>59</v>
      </c>
    </row>
    <row r="1066" spans="1:27" x14ac:dyDescent="0.25">
      <c r="A1066" s="10">
        <v>10425</v>
      </c>
      <c r="B1066" s="9">
        <v>28</v>
      </c>
      <c r="C1066" s="9">
        <v>100</v>
      </c>
      <c r="D1066" s="9">
        <f>PRODUCT(sales_data_sample[[#This Row],[QUANTITYORDERED]],sales_data_sample[[#This Row],[PRICEEACH]])</f>
        <v>2800</v>
      </c>
      <c r="E1066" s="9">
        <f>IF(OR(sales_data_sample[[#This Row],[STATUS]]="Shipped",sales_data_sample[[#This Row],[STATUS]]="Resolved"),sales_data_sample[[#This Row],[SALES]],0)</f>
        <v>0</v>
      </c>
      <c r="F1066" s="10">
        <v>8</v>
      </c>
      <c r="G1066" s="12" t="s">
        <v>402</v>
      </c>
      <c r="H1066" s="1" t="s">
        <v>403</v>
      </c>
      <c r="I1066">
        <v>2</v>
      </c>
      <c r="J1066">
        <v>5</v>
      </c>
      <c r="K1066">
        <v>2005</v>
      </c>
      <c r="L1066" s="1" t="s">
        <v>239</v>
      </c>
      <c r="M1066">
        <v>169</v>
      </c>
      <c r="N1066" s="1" t="s">
        <v>916</v>
      </c>
      <c r="O1066" s="1" t="s">
        <v>148</v>
      </c>
      <c r="P1066" s="1" t="s">
        <v>149</v>
      </c>
      <c r="Q1066" s="1" t="s">
        <v>150</v>
      </c>
      <c r="R1066" s="1" t="s">
        <v>32</v>
      </c>
      <c r="S1066" s="1" t="s">
        <v>151</v>
      </c>
      <c r="T1066" s="1" t="s">
        <v>32</v>
      </c>
      <c r="U1066" s="1" t="s">
        <v>152</v>
      </c>
      <c r="V1066" s="1" t="s">
        <v>47</v>
      </c>
      <c r="W1066" s="1" t="s">
        <v>48</v>
      </c>
      <c r="X1066" s="1" t="s">
        <v>153</v>
      </c>
      <c r="Y1066" s="1" t="s">
        <v>154</v>
      </c>
      <c r="Z1066" s="1" t="str">
        <f>TRIM(_xlfn.CONCAT(sales_data_sample[[#This Row],[CONTACTFIRSTNAME]],", ",sales_data_sample[[#This Row],[CONTACTLASTNAME]]))</f>
        <v>Janine, Labrune</v>
      </c>
      <c r="AA1066" s="1" t="s">
        <v>59</v>
      </c>
    </row>
    <row r="1067" spans="1:27" x14ac:dyDescent="0.25">
      <c r="A1067" s="10">
        <v>10105</v>
      </c>
      <c r="B1067" s="9">
        <v>38</v>
      </c>
      <c r="C1067" s="9">
        <v>100</v>
      </c>
      <c r="D1067" s="9">
        <f>PRODUCT(sales_data_sample[[#This Row],[QUANTITYORDERED]],sales_data_sample[[#This Row],[PRICEEACH]])</f>
        <v>3800</v>
      </c>
      <c r="E1067" s="9">
        <f>IF(OR(sales_data_sample[[#This Row],[STATUS]]="Shipped",sales_data_sample[[#This Row],[STATUS]]="Resolved"),sales_data_sample[[#This Row],[SALES]],0)</f>
        <v>3800</v>
      </c>
      <c r="F1067" s="10">
        <v>13</v>
      </c>
      <c r="G1067" s="12" t="s">
        <v>435</v>
      </c>
      <c r="H1067" s="1" t="s">
        <v>26</v>
      </c>
      <c r="I1067">
        <v>1</v>
      </c>
      <c r="J1067">
        <v>2</v>
      </c>
      <c r="K1067">
        <v>2003</v>
      </c>
      <c r="L1067" s="1" t="s">
        <v>918</v>
      </c>
      <c r="M1067">
        <v>100</v>
      </c>
      <c r="N1067" s="1" t="s">
        <v>919</v>
      </c>
      <c r="O1067" s="1" t="s">
        <v>437</v>
      </c>
      <c r="P1067" s="1" t="s">
        <v>438</v>
      </c>
      <c r="Q1067" s="1" t="s">
        <v>439</v>
      </c>
      <c r="R1067" s="1" t="s">
        <v>32</v>
      </c>
      <c r="S1067" s="1" t="s">
        <v>440</v>
      </c>
      <c r="T1067" s="1" t="s">
        <v>32</v>
      </c>
      <c r="U1067" s="1" t="s">
        <v>441</v>
      </c>
      <c r="V1067" s="1" t="s">
        <v>442</v>
      </c>
      <c r="W1067" s="1" t="s">
        <v>48</v>
      </c>
      <c r="X1067" s="1" t="s">
        <v>443</v>
      </c>
      <c r="Y1067" s="1" t="s">
        <v>444</v>
      </c>
      <c r="Z1067" s="1" t="str">
        <f>TRIM(_xlfn.CONCAT(sales_data_sample[[#This Row],[CONTACTFIRSTNAME]],", ",sales_data_sample[[#This Row],[CONTACTLASTNAME]]))</f>
        <v>Jytte, Petersen</v>
      </c>
      <c r="AA1067" s="1" t="s">
        <v>59</v>
      </c>
    </row>
    <row r="1068" spans="1:27" x14ac:dyDescent="0.25">
      <c r="A1068" s="10">
        <v>10117</v>
      </c>
      <c r="B1068" s="9">
        <v>21</v>
      </c>
      <c r="C1068" s="9">
        <v>958</v>
      </c>
      <c r="D1068" s="9">
        <f>PRODUCT(sales_data_sample[[#This Row],[QUANTITYORDERED]],sales_data_sample[[#This Row],[PRICEEACH]])</f>
        <v>20118</v>
      </c>
      <c r="E1068" s="9">
        <f>IF(OR(sales_data_sample[[#This Row],[STATUS]]="Shipped",sales_data_sample[[#This Row],[STATUS]]="Resolved"),sales_data_sample[[#This Row],[SALES]],0)</f>
        <v>20118</v>
      </c>
      <c r="F1068" s="10">
        <v>7</v>
      </c>
      <c r="G1068" s="12" t="s">
        <v>665</v>
      </c>
      <c r="H1068" s="1" t="s">
        <v>26</v>
      </c>
      <c r="I1068">
        <v>2</v>
      </c>
      <c r="J1068">
        <v>4</v>
      </c>
      <c r="K1068">
        <v>2003</v>
      </c>
      <c r="L1068" s="1" t="s">
        <v>918</v>
      </c>
      <c r="M1068">
        <v>100</v>
      </c>
      <c r="N1068" s="1" t="s">
        <v>919</v>
      </c>
      <c r="O1068" s="1" t="s">
        <v>259</v>
      </c>
      <c r="P1068" s="1" t="s">
        <v>260</v>
      </c>
      <c r="Q1068" s="1" t="s">
        <v>261</v>
      </c>
      <c r="R1068" s="1" t="s">
        <v>32</v>
      </c>
      <c r="S1068" s="1" t="s">
        <v>262</v>
      </c>
      <c r="T1068" s="1" t="s">
        <v>32</v>
      </c>
      <c r="U1068" s="1" t="s">
        <v>263</v>
      </c>
      <c r="V1068" s="1" t="s">
        <v>262</v>
      </c>
      <c r="W1068" s="1" t="s">
        <v>264</v>
      </c>
      <c r="X1068" s="1" t="s">
        <v>265</v>
      </c>
      <c r="Y1068" s="1" t="s">
        <v>266</v>
      </c>
      <c r="Z1068" s="1" t="str">
        <f>TRIM(_xlfn.CONCAT(sales_data_sample[[#This Row],[CONTACTFIRSTNAME]],", ",sales_data_sample[[#This Row],[CONTACTLASTNAME]]))</f>
        <v>Eric, Natividad</v>
      </c>
      <c r="AA1068" s="1" t="s">
        <v>40</v>
      </c>
    </row>
    <row r="1069" spans="1:27" x14ac:dyDescent="0.25">
      <c r="A1069" s="10">
        <v>10128</v>
      </c>
      <c r="B1069" s="9">
        <v>41</v>
      </c>
      <c r="C1069" s="9">
        <v>100</v>
      </c>
      <c r="D1069" s="9">
        <f>PRODUCT(sales_data_sample[[#This Row],[QUANTITYORDERED]],sales_data_sample[[#This Row],[PRICEEACH]])</f>
        <v>4100</v>
      </c>
      <c r="E1069" s="9">
        <f>IF(OR(sales_data_sample[[#This Row],[STATUS]]="Shipped",sales_data_sample[[#This Row],[STATUS]]="Resolved"),sales_data_sample[[#This Row],[SALES]],0)</f>
        <v>4100</v>
      </c>
      <c r="F1069" s="10">
        <v>4</v>
      </c>
      <c r="G1069" s="12" t="s">
        <v>912</v>
      </c>
      <c r="H1069" s="1" t="s">
        <v>26</v>
      </c>
      <c r="I1069">
        <v>2</v>
      </c>
      <c r="J1069">
        <v>6</v>
      </c>
      <c r="K1069">
        <v>2003</v>
      </c>
      <c r="L1069" s="1" t="s">
        <v>918</v>
      </c>
      <c r="M1069">
        <v>100</v>
      </c>
      <c r="N1069" s="1" t="s">
        <v>919</v>
      </c>
      <c r="O1069" s="1" t="s">
        <v>230</v>
      </c>
      <c r="P1069" s="1" t="s">
        <v>231</v>
      </c>
      <c r="Q1069" s="1" t="s">
        <v>232</v>
      </c>
      <c r="R1069" s="1" t="s">
        <v>32</v>
      </c>
      <c r="S1069" s="1" t="s">
        <v>233</v>
      </c>
      <c r="T1069" s="1" t="s">
        <v>32</v>
      </c>
      <c r="U1069" s="1" t="s">
        <v>234</v>
      </c>
      <c r="V1069" s="1" t="s">
        <v>235</v>
      </c>
      <c r="W1069" s="1" t="s">
        <v>48</v>
      </c>
      <c r="X1069" s="1" t="s">
        <v>236</v>
      </c>
      <c r="Y1069" s="1" t="s">
        <v>237</v>
      </c>
      <c r="Z1069" s="1" t="str">
        <f>TRIM(_xlfn.CONCAT(sales_data_sample[[#This Row],[CONTACTFIRSTNAME]],", ",sales_data_sample[[#This Row],[CONTACTLASTNAME]]))</f>
        <v>Diego, Freyre</v>
      </c>
      <c r="AA1069" s="1" t="s">
        <v>59</v>
      </c>
    </row>
    <row r="1070" spans="1:27" x14ac:dyDescent="0.25">
      <c r="A1070" s="10">
        <v>10142</v>
      </c>
      <c r="B1070" s="9">
        <v>22</v>
      </c>
      <c r="C1070" s="9">
        <v>9781</v>
      </c>
      <c r="D1070" s="9">
        <f>PRODUCT(sales_data_sample[[#This Row],[QUANTITYORDERED]],sales_data_sample[[#This Row],[PRICEEACH]])</f>
        <v>215182</v>
      </c>
      <c r="E1070" s="9">
        <f>IF(OR(sales_data_sample[[#This Row],[STATUS]]="Shipped",sales_data_sample[[#This Row],[STATUS]]="Resolved"),sales_data_sample[[#This Row],[SALES]],0)</f>
        <v>215182</v>
      </c>
      <c r="F1070" s="10">
        <v>10</v>
      </c>
      <c r="G1070" s="12" t="s">
        <v>672</v>
      </c>
      <c r="H1070" s="1" t="s">
        <v>26</v>
      </c>
      <c r="I1070">
        <v>3</v>
      </c>
      <c r="J1070">
        <v>8</v>
      </c>
      <c r="K1070">
        <v>2003</v>
      </c>
      <c r="L1070" s="1" t="s">
        <v>918</v>
      </c>
      <c r="M1070">
        <v>100</v>
      </c>
      <c r="N1070" s="1" t="s">
        <v>919</v>
      </c>
      <c r="O1070" s="1" t="s">
        <v>361</v>
      </c>
      <c r="P1070" s="1" t="s">
        <v>362</v>
      </c>
      <c r="Q1070" s="1" t="s">
        <v>363</v>
      </c>
      <c r="R1070" s="1" t="s">
        <v>32</v>
      </c>
      <c r="S1070" s="1" t="s">
        <v>364</v>
      </c>
      <c r="T1070" s="1" t="s">
        <v>65</v>
      </c>
      <c r="U1070" s="1" t="s">
        <v>145</v>
      </c>
      <c r="V1070" s="1" t="s">
        <v>36</v>
      </c>
      <c r="W1070" s="1" t="s">
        <v>37</v>
      </c>
      <c r="X1070" s="1" t="s">
        <v>365</v>
      </c>
      <c r="Y1070" s="1" t="s">
        <v>366</v>
      </c>
      <c r="Z1070" s="1" t="str">
        <f>TRIM(_xlfn.CONCAT(sales_data_sample[[#This Row],[CONTACTFIRSTNAME]],", ",sales_data_sample[[#This Row],[CONTACTLASTNAME]]))</f>
        <v>Valarie, Nelson</v>
      </c>
      <c r="AA1070" s="1" t="s">
        <v>40</v>
      </c>
    </row>
    <row r="1071" spans="1:27" x14ac:dyDescent="0.25">
      <c r="A1071" s="10">
        <v>10153</v>
      </c>
      <c r="B1071" s="9">
        <v>29</v>
      </c>
      <c r="C1071" s="9">
        <v>8874</v>
      </c>
      <c r="D1071" s="9">
        <f>PRODUCT(sales_data_sample[[#This Row],[QUANTITYORDERED]],sales_data_sample[[#This Row],[PRICEEACH]])</f>
        <v>257346</v>
      </c>
      <c r="E1071" s="9">
        <f>IF(OR(sales_data_sample[[#This Row],[STATUS]]="Shipped",sales_data_sample[[#This Row],[STATUS]]="Resolved"),sales_data_sample[[#This Row],[SALES]],0)</f>
        <v>257346</v>
      </c>
      <c r="F1071" s="10">
        <v>9</v>
      </c>
      <c r="G1071" s="12" t="s">
        <v>673</v>
      </c>
      <c r="H1071" s="1" t="s">
        <v>26</v>
      </c>
      <c r="I1071">
        <v>3</v>
      </c>
      <c r="J1071">
        <v>9</v>
      </c>
      <c r="K1071">
        <v>2003</v>
      </c>
      <c r="L1071" s="1" t="s">
        <v>918</v>
      </c>
      <c r="M1071">
        <v>100</v>
      </c>
      <c r="N1071" s="1" t="s">
        <v>919</v>
      </c>
      <c r="O1071" s="1" t="s">
        <v>230</v>
      </c>
      <c r="P1071" s="1" t="s">
        <v>231</v>
      </c>
      <c r="Q1071" s="1" t="s">
        <v>232</v>
      </c>
      <c r="R1071" s="1" t="s">
        <v>32</v>
      </c>
      <c r="S1071" s="1" t="s">
        <v>233</v>
      </c>
      <c r="T1071" s="1" t="s">
        <v>32</v>
      </c>
      <c r="U1071" s="1" t="s">
        <v>234</v>
      </c>
      <c r="V1071" s="1" t="s">
        <v>235</v>
      </c>
      <c r="W1071" s="1" t="s">
        <v>48</v>
      </c>
      <c r="X1071" s="1" t="s">
        <v>236</v>
      </c>
      <c r="Y1071" s="1" t="s">
        <v>237</v>
      </c>
      <c r="Z1071" s="1" t="str">
        <f>TRIM(_xlfn.CONCAT(sales_data_sample[[#This Row],[CONTACTFIRSTNAME]],", ",sales_data_sample[[#This Row],[CONTACTLASTNAME]]))</f>
        <v>Diego, Freyre</v>
      </c>
      <c r="AA1071" s="1" t="s">
        <v>40</v>
      </c>
    </row>
    <row r="1072" spans="1:27" x14ac:dyDescent="0.25">
      <c r="A1072" s="10">
        <v>10165</v>
      </c>
      <c r="B1072" s="9">
        <v>50</v>
      </c>
      <c r="C1072" s="9">
        <v>100</v>
      </c>
      <c r="D1072" s="9">
        <f>PRODUCT(sales_data_sample[[#This Row],[QUANTITYORDERED]],sales_data_sample[[#This Row],[PRICEEACH]])</f>
        <v>5000</v>
      </c>
      <c r="E1072" s="9">
        <f>IF(OR(sales_data_sample[[#This Row],[STATUS]]="Shipped",sales_data_sample[[#This Row],[STATUS]]="Resolved"),sales_data_sample[[#This Row],[SALES]],0)</f>
        <v>5000</v>
      </c>
      <c r="F1072" s="10">
        <v>1</v>
      </c>
      <c r="G1072" s="12" t="s">
        <v>674</v>
      </c>
      <c r="H1072" s="1" t="s">
        <v>26</v>
      </c>
      <c r="I1072">
        <v>4</v>
      </c>
      <c r="J1072">
        <v>10</v>
      </c>
      <c r="K1072">
        <v>2003</v>
      </c>
      <c r="L1072" s="1" t="s">
        <v>918</v>
      </c>
      <c r="M1072">
        <v>100</v>
      </c>
      <c r="N1072" s="1" t="s">
        <v>919</v>
      </c>
      <c r="O1072" s="1" t="s">
        <v>259</v>
      </c>
      <c r="P1072" s="1" t="s">
        <v>260</v>
      </c>
      <c r="Q1072" s="1" t="s">
        <v>261</v>
      </c>
      <c r="R1072" s="1" t="s">
        <v>32</v>
      </c>
      <c r="S1072" s="1" t="s">
        <v>262</v>
      </c>
      <c r="T1072" s="1" t="s">
        <v>32</v>
      </c>
      <c r="U1072" s="1" t="s">
        <v>263</v>
      </c>
      <c r="V1072" s="1" t="s">
        <v>262</v>
      </c>
      <c r="W1072" s="1" t="s">
        <v>264</v>
      </c>
      <c r="X1072" s="1" t="s">
        <v>265</v>
      </c>
      <c r="Y1072" s="1" t="s">
        <v>266</v>
      </c>
      <c r="Z1072" s="1" t="str">
        <f>TRIM(_xlfn.CONCAT(sales_data_sample[[#This Row],[CONTACTFIRSTNAME]],", ",sales_data_sample[[#This Row],[CONTACTLASTNAME]]))</f>
        <v>Eric, Natividad</v>
      </c>
      <c r="AA1072" s="1" t="s">
        <v>59</v>
      </c>
    </row>
    <row r="1073" spans="1:27" x14ac:dyDescent="0.25">
      <c r="A1073" s="10">
        <v>10177</v>
      </c>
      <c r="B1073" s="9">
        <v>29</v>
      </c>
      <c r="C1073" s="9">
        <v>100</v>
      </c>
      <c r="D1073" s="9">
        <f>PRODUCT(sales_data_sample[[#This Row],[QUANTITYORDERED]],sales_data_sample[[#This Row],[PRICEEACH]])</f>
        <v>2900</v>
      </c>
      <c r="E1073" s="9">
        <f>IF(OR(sales_data_sample[[#This Row],[STATUS]]="Shipped",sales_data_sample[[#This Row],[STATUS]]="Resolved"),sales_data_sample[[#This Row],[SALES]],0)</f>
        <v>2900</v>
      </c>
      <c r="F1073" s="10">
        <v>11</v>
      </c>
      <c r="G1073" s="12" t="s">
        <v>913</v>
      </c>
      <c r="H1073" s="1" t="s">
        <v>26</v>
      </c>
      <c r="I1073">
        <v>4</v>
      </c>
      <c r="J1073">
        <v>11</v>
      </c>
      <c r="K1073">
        <v>2003</v>
      </c>
      <c r="L1073" s="1" t="s">
        <v>918</v>
      </c>
      <c r="M1073">
        <v>100</v>
      </c>
      <c r="N1073" s="1" t="s">
        <v>919</v>
      </c>
      <c r="O1073" s="1" t="s">
        <v>687</v>
      </c>
      <c r="P1073" s="1" t="s">
        <v>688</v>
      </c>
      <c r="Q1073" s="1" t="s">
        <v>689</v>
      </c>
      <c r="R1073" s="1" t="s">
        <v>32</v>
      </c>
      <c r="S1073" s="1" t="s">
        <v>233</v>
      </c>
      <c r="T1073" s="1" t="s">
        <v>32</v>
      </c>
      <c r="U1073" s="1" t="s">
        <v>254</v>
      </c>
      <c r="V1073" s="1" t="s">
        <v>235</v>
      </c>
      <c r="W1073" s="1" t="s">
        <v>48</v>
      </c>
      <c r="X1073" s="1" t="s">
        <v>690</v>
      </c>
      <c r="Y1073" s="1" t="s">
        <v>691</v>
      </c>
      <c r="Z1073" s="1" t="str">
        <f>TRIM(_xlfn.CONCAT(sales_data_sample[[#This Row],[CONTACTFIRSTNAME]],", ",sales_data_sample[[#This Row],[CONTACTLASTNAME]]))</f>
        <v>Jesus, Fernandez</v>
      </c>
      <c r="AA1073" s="1" t="s">
        <v>59</v>
      </c>
    </row>
    <row r="1074" spans="1:27" x14ac:dyDescent="0.25">
      <c r="A1074" s="10">
        <v>10185</v>
      </c>
      <c r="B1074" s="9">
        <v>49</v>
      </c>
      <c r="C1074" s="9">
        <v>8067</v>
      </c>
      <c r="D1074" s="9">
        <f>PRODUCT(sales_data_sample[[#This Row],[QUANTITYORDERED]],sales_data_sample[[#This Row],[PRICEEACH]])</f>
        <v>395283</v>
      </c>
      <c r="E1074" s="9">
        <f>IF(OR(sales_data_sample[[#This Row],[STATUS]]="Shipped",sales_data_sample[[#This Row],[STATUS]]="Resolved"),sales_data_sample[[#This Row],[SALES]],0)</f>
        <v>395283</v>
      </c>
      <c r="F1074" s="10">
        <v>11</v>
      </c>
      <c r="G1074" s="12" t="s">
        <v>470</v>
      </c>
      <c r="H1074" s="1" t="s">
        <v>26</v>
      </c>
      <c r="I1074">
        <v>4</v>
      </c>
      <c r="J1074">
        <v>11</v>
      </c>
      <c r="K1074">
        <v>2003</v>
      </c>
      <c r="L1074" s="1" t="s">
        <v>918</v>
      </c>
      <c r="M1074">
        <v>100</v>
      </c>
      <c r="N1074" s="1" t="s">
        <v>919</v>
      </c>
      <c r="O1074" s="1" t="s">
        <v>454</v>
      </c>
      <c r="P1074" s="1" t="s">
        <v>455</v>
      </c>
      <c r="Q1074" s="1" t="s">
        <v>456</v>
      </c>
      <c r="R1074" s="1" t="s">
        <v>32</v>
      </c>
      <c r="S1074" s="1" t="s">
        <v>215</v>
      </c>
      <c r="T1074" s="1" t="s">
        <v>160</v>
      </c>
      <c r="U1074" s="1" t="s">
        <v>216</v>
      </c>
      <c r="V1074" s="1" t="s">
        <v>36</v>
      </c>
      <c r="W1074" s="1" t="s">
        <v>37</v>
      </c>
      <c r="X1074" s="1" t="s">
        <v>457</v>
      </c>
      <c r="Y1074" s="1" t="s">
        <v>458</v>
      </c>
      <c r="Z1074" s="1" t="str">
        <f>TRIM(_xlfn.CONCAT(sales_data_sample[[#This Row],[CONTACTFIRSTNAME]],", ",sales_data_sample[[#This Row],[CONTACTLASTNAME]]))</f>
        <v>Wing C, Tam</v>
      </c>
      <c r="AA1074" s="1" t="s">
        <v>59</v>
      </c>
    </row>
    <row r="1075" spans="1:27" x14ac:dyDescent="0.25">
      <c r="A1075" s="10">
        <v>10196</v>
      </c>
      <c r="B1075" s="9">
        <v>35</v>
      </c>
      <c r="C1075" s="9">
        <v>100</v>
      </c>
      <c r="D1075" s="9">
        <f>PRODUCT(sales_data_sample[[#This Row],[QUANTITYORDERED]],sales_data_sample[[#This Row],[PRICEEACH]])</f>
        <v>3500</v>
      </c>
      <c r="E1075" s="9">
        <f>IF(OR(sales_data_sample[[#This Row],[STATUS]]="Shipped",sales_data_sample[[#This Row],[STATUS]]="Resolved"),sales_data_sample[[#This Row],[SALES]],0)</f>
        <v>3500</v>
      </c>
      <c r="F1075" s="10">
        <v>3</v>
      </c>
      <c r="G1075" s="12" t="s">
        <v>477</v>
      </c>
      <c r="H1075" s="1" t="s">
        <v>26</v>
      </c>
      <c r="I1075">
        <v>4</v>
      </c>
      <c r="J1075">
        <v>11</v>
      </c>
      <c r="K1075">
        <v>2003</v>
      </c>
      <c r="L1075" s="1" t="s">
        <v>918</v>
      </c>
      <c r="M1075">
        <v>100</v>
      </c>
      <c r="N1075" s="1" t="s">
        <v>919</v>
      </c>
      <c r="O1075" s="1" t="s">
        <v>321</v>
      </c>
      <c r="P1075" s="1" t="s">
        <v>322</v>
      </c>
      <c r="Q1075" s="1" t="s">
        <v>323</v>
      </c>
      <c r="R1075" s="1" t="s">
        <v>32</v>
      </c>
      <c r="S1075" s="1" t="s">
        <v>324</v>
      </c>
      <c r="T1075" s="1" t="s">
        <v>144</v>
      </c>
      <c r="U1075" s="1" t="s">
        <v>325</v>
      </c>
      <c r="V1075" s="1" t="s">
        <v>36</v>
      </c>
      <c r="W1075" s="1" t="s">
        <v>37</v>
      </c>
      <c r="X1075" s="1" t="s">
        <v>104</v>
      </c>
      <c r="Y1075" s="1" t="s">
        <v>326</v>
      </c>
      <c r="Z1075" s="1" t="str">
        <f>TRIM(_xlfn.CONCAT(sales_data_sample[[#This Row],[CONTACTFIRSTNAME]],", ",sales_data_sample[[#This Row],[CONTACTLASTNAME]]))</f>
        <v>Leslie, Murphy</v>
      </c>
      <c r="AA1075" s="1" t="s">
        <v>59</v>
      </c>
    </row>
    <row r="1076" spans="1:27" x14ac:dyDescent="0.25">
      <c r="A1076" s="10">
        <v>10208</v>
      </c>
      <c r="B1076" s="9">
        <v>48</v>
      </c>
      <c r="C1076" s="9">
        <v>100</v>
      </c>
      <c r="D1076" s="9">
        <f>PRODUCT(sales_data_sample[[#This Row],[QUANTITYORDERED]],sales_data_sample[[#This Row],[PRICEEACH]])</f>
        <v>4800</v>
      </c>
      <c r="E1076" s="9">
        <f>IF(OR(sales_data_sample[[#This Row],[STATUS]]="Shipped",sales_data_sample[[#This Row],[STATUS]]="Resolved"),sales_data_sample[[#This Row],[SALES]],0)</f>
        <v>4800</v>
      </c>
      <c r="F1076" s="10">
        <v>11</v>
      </c>
      <c r="G1076" s="12" t="s">
        <v>675</v>
      </c>
      <c r="H1076" s="1" t="s">
        <v>26</v>
      </c>
      <c r="I1076">
        <v>1</v>
      </c>
      <c r="J1076">
        <v>1</v>
      </c>
      <c r="K1076">
        <v>2004</v>
      </c>
      <c r="L1076" s="1" t="s">
        <v>918</v>
      </c>
      <c r="M1076">
        <v>100</v>
      </c>
      <c r="N1076" s="1" t="s">
        <v>919</v>
      </c>
      <c r="O1076" s="1" t="s">
        <v>291</v>
      </c>
      <c r="P1076" s="1" t="s">
        <v>292</v>
      </c>
      <c r="Q1076" s="1" t="s">
        <v>293</v>
      </c>
      <c r="R1076" s="1" t="s">
        <v>32</v>
      </c>
      <c r="S1076" s="1" t="s">
        <v>294</v>
      </c>
      <c r="T1076" s="1" t="s">
        <v>32</v>
      </c>
      <c r="U1076" s="1" t="s">
        <v>295</v>
      </c>
      <c r="V1076" s="1" t="s">
        <v>47</v>
      </c>
      <c r="W1076" s="1" t="s">
        <v>48</v>
      </c>
      <c r="X1076" s="1" t="s">
        <v>296</v>
      </c>
      <c r="Y1076" s="1" t="s">
        <v>297</v>
      </c>
      <c r="Z1076" s="1" t="str">
        <f>TRIM(_xlfn.CONCAT(sales_data_sample[[#This Row],[CONTACTFIRSTNAME]],", ",sales_data_sample[[#This Row],[CONTACTLASTNAME]]))</f>
        <v>Mary, Saveley</v>
      </c>
      <c r="AA1076" s="1" t="s">
        <v>59</v>
      </c>
    </row>
    <row r="1077" spans="1:27" x14ac:dyDescent="0.25">
      <c r="A1077" s="10">
        <v>10221</v>
      </c>
      <c r="B1077" s="9">
        <v>23</v>
      </c>
      <c r="C1077" s="9">
        <v>8067</v>
      </c>
      <c r="D1077" s="9">
        <f>PRODUCT(sales_data_sample[[#This Row],[QUANTITYORDERED]],sales_data_sample[[#This Row],[PRICEEACH]])</f>
        <v>185541</v>
      </c>
      <c r="E1077" s="9">
        <f>IF(OR(sales_data_sample[[#This Row],[STATUS]]="Shipped",sales_data_sample[[#This Row],[STATUS]]="Resolved"),sales_data_sample[[#This Row],[SALES]],0)</f>
        <v>185541</v>
      </c>
      <c r="F1077" s="10">
        <v>5</v>
      </c>
      <c r="G1077" s="12" t="s">
        <v>914</v>
      </c>
      <c r="H1077" s="1" t="s">
        <v>26</v>
      </c>
      <c r="I1077">
        <v>1</v>
      </c>
      <c r="J1077">
        <v>2</v>
      </c>
      <c r="K1077">
        <v>2004</v>
      </c>
      <c r="L1077" s="1" t="s">
        <v>918</v>
      </c>
      <c r="M1077">
        <v>100</v>
      </c>
      <c r="N1077" s="1" t="s">
        <v>919</v>
      </c>
      <c r="O1077" s="1" t="s">
        <v>500</v>
      </c>
      <c r="P1077" s="1" t="s">
        <v>501</v>
      </c>
      <c r="Q1077" s="1" t="s">
        <v>502</v>
      </c>
      <c r="R1077" s="1" t="s">
        <v>32</v>
      </c>
      <c r="S1077" s="1" t="s">
        <v>503</v>
      </c>
      <c r="T1077" s="1" t="s">
        <v>32</v>
      </c>
      <c r="U1077" s="1" t="s">
        <v>504</v>
      </c>
      <c r="V1077" s="1" t="s">
        <v>505</v>
      </c>
      <c r="W1077" s="1" t="s">
        <v>48</v>
      </c>
      <c r="X1077" s="1" t="s">
        <v>506</v>
      </c>
      <c r="Y1077" s="1" t="s">
        <v>507</v>
      </c>
      <c r="Z1077" s="1" t="str">
        <f>TRIM(_xlfn.CONCAT(sales_data_sample[[#This Row],[CONTACTFIRSTNAME]],", ",sales_data_sample[[#This Row],[CONTACTLASTNAME]]))</f>
        <v>Catherine, Dewey</v>
      </c>
      <c r="AA1077" s="1" t="s">
        <v>40</v>
      </c>
    </row>
    <row r="1078" spans="1:27" x14ac:dyDescent="0.25">
      <c r="A1078" s="10">
        <v>10232</v>
      </c>
      <c r="B1078" s="9">
        <v>48</v>
      </c>
      <c r="C1078" s="9">
        <v>958</v>
      </c>
      <c r="D1078" s="9">
        <f>PRODUCT(sales_data_sample[[#This Row],[QUANTITYORDERED]],sales_data_sample[[#This Row],[PRICEEACH]])</f>
        <v>45984</v>
      </c>
      <c r="E1078" s="9">
        <f>IF(OR(sales_data_sample[[#This Row],[STATUS]]="Shipped",sales_data_sample[[#This Row],[STATUS]]="Resolved"),sales_data_sample[[#This Row],[SALES]],0)</f>
        <v>45984</v>
      </c>
      <c r="F1078" s="10">
        <v>8</v>
      </c>
      <c r="G1078" s="12" t="s">
        <v>915</v>
      </c>
      <c r="H1078" s="1" t="s">
        <v>26</v>
      </c>
      <c r="I1078">
        <v>1</v>
      </c>
      <c r="J1078">
        <v>3</v>
      </c>
      <c r="K1078">
        <v>2004</v>
      </c>
      <c r="L1078" s="1" t="s">
        <v>918</v>
      </c>
      <c r="M1078">
        <v>100</v>
      </c>
      <c r="N1078" s="1" t="s">
        <v>919</v>
      </c>
      <c r="O1078" s="1" t="s">
        <v>524</v>
      </c>
      <c r="P1078" s="1" t="s">
        <v>525</v>
      </c>
      <c r="Q1078" s="1" t="s">
        <v>526</v>
      </c>
      <c r="R1078" s="1" t="s">
        <v>32</v>
      </c>
      <c r="S1078" s="1" t="s">
        <v>527</v>
      </c>
      <c r="T1078" s="1" t="s">
        <v>528</v>
      </c>
      <c r="U1078" s="1" t="s">
        <v>529</v>
      </c>
      <c r="V1078" s="1" t="s">
        <v>225</v>
      </c>
      <c r="W1078" s="1" t="s">
        <v>48</v>
      </c>
      <c r="X1078" s="1" t="s">
        <v>530</v>
      </c>
      <c r="Y1078" s="1" t="s">
        <v>531</v>
      </c>
      <c r="Z1078" s="1" t="str">
        <f>TRIM(_xlfn.CONCAT(sales_data_sample[[#This Row],[CONTACTFIRSTNAME]],", ",sales_data_sample[[#This Row],[CONTACTLASTNAME]]))</f>
        <v>Helen, Bennett</v>
      </c>
      <c r="AA1078" s="1" t="s">
        <v>59</v>
      </c>
    </row>
    <row r="1079" spans="1:27" x14ac:dyDescent="0.25">
      <c r="A1079" s="10">
        <v>10248</v>
      </c>
      <c r="B1079" s="9">
        <v>42</v>
      </c>
      <c r="C1079" s="9">
        <v>100</v>
      </c>
      <c r="D1079" s="9">
        <f>PRODUCT(sales_data_sample[[#This Row],[QUANTITYORDERED]],sales_data_sample[[#This Row],[PRICEEACH]])</f>
        <v>4200</v>
      </c>
      <c r="E1079" s="9">
        <f>IF(OR(sales_data_sample[[#This Row],[STATUS]]="Shipped",sales_data_sample[[#This Row],[STATUS]]="Resolved"),sales_data_sample[[#This Row],[SALES]],0)</f>
        <v>0</v>
      </c>
      <c r="F1079" s="10">
        <v>14</v>
      </c>
      <c r="G1079" s="12" t="s">
        <v>497</v>
      </c>
      <c r="H1079" s="1" t="s">
        <v>461</v>
      </c>
      <c r="I1079">
        <v>2</v>
      </c>
      <c r="J1079">
        <v>5</v>
      </c>
      <c r="K1079">
        <v>2004</v>
      </c>
      <c r="L1079" s="1" t="s">
        <v>918</v>
      </c>
      <c r="M1079">
        <v>100</v>
      </c>
      <c r="N1079" s="1" t="s">
        <v>919</v>
      </c>
      <c r="O1079" s="1" t="s">
        <v>29</v>
      </c>
      <c r="P1079" s="1" t="s">
        <v>30</v>
      </c>
      <c r="Q1079" s="1" t="s">
        <v>31</v>
      </c>
      <c r="R1079" s="1" t="s">
        <v>32</v>
      </c>
      <c r="S1079" s="1" t="s">
        <v>33</v>
      </c>
      <c r="T1079" s="1" t="s">
        <v>34</v>
      </c>
      <c r="U1079" s="1" t="s">
        <v>35</v>
      </c>
      <c r="V1079" s="1" t="s">
        <v>36</v>
      </c>
      <c r="W1079" s="1" t="s">
        <v>37</v>
      </c>
      <c r="X1079" s="1" t="s">
        <v>38</v>
      </c>
      <c r="Y1079" s="1" t="s">
        <v>39</v>
      </c>
      <c r="Z1079" s="1" t="str">
        <f>TRIM(_xlfn.CONCAT(sales_data_sample[[#This Row],[CONTACTFIRSTNAME]],", ",sales_data_sample[[#This Row],[CONTACTLASTNAME]]))</f>
        <v>Kwai, Yu</v>
      </c>
      <c r="AA1079" s="1" t="s">
        <v>59</v>
      </c>
    </row>
    <row r="1080" spans="1:27" x14ac:dyDescent="0.25">
      <c r="A1080" s="10">
        <v>10273</v>
      </c>
      <c r="B1080" s="9">
        <v>47</v>
      </c>
      <c r="C1080" s="9">
        <v>100</v>
      </c>
      <c r="D1080" s="9">
        <f>PRODUCT(sales_data_sample[[#This Row],[QUANTITYORDERED]],sales_data_sample[[#This Row],[PRICEEACH]])</f>
        <v>4700</v>
      </c>
      <c r="E1080" s="9">
        <f>IF(OR(sales_data_sample[[#This Row],[STATUS]]="Shipped",sales_data_sample[[#This Row],[STATUS]]="Resolved"),sales_data_sample[[#This Row],[SALES]],0)</f>
        <v>4700</v>
      </c>
      <c r="F1080" s="10">
        <v>15</v>
      </c>
      <c r="G1080" s="12" t="s">
        <v>499</v>
      </c>
      <c r="H1080" s="1" t="s">
        <v>26</v>
      </c>
      <c r="I1080">
        <v>3</v>
      </c>
      <c r="J1080">
        <v>7</v>
      </c>
      <c r="K1080">
        <v>2004</v>
      </c>
      <c r="L1080" s="1" t="s">
        <v>918</v>
      </c>
      <c r="M1080">
        <v>100</v>
      </c>
      <c r="N1080" s="1" t="s">
        <v>919</v>
      </c>
      <c r="O1080" s="1" t="s">
        <v>500</v>
      </c>
      <c r="P1080" s="1" t="s">
        <v>501</v>
      </c>
      <c r="Q1080" s="1" t="s">
        <v>502</v>
      </c>
      <c r="R1080" s="1" t="s">
        <v>32</v>
      </c>
      <c r="S1080" s="1" t="s">
        <v>503</v>
      </c>
      <c r="T1080" s="1" t="s">
        <v>32</v>
      </c>
      <c r="U1080" s="1" t="s">
        <v>504</v>
      </c>
      <c r="V1080" s="1" t="s">
        <v>505</v>
      </c>
      <c r="W1080" s="1" t="s">
        <v>48</v>
      </c>
      <c r="X1080" s="1" t="s">
        <v>506</v>
      </c>
      <c r="Y1080" s="1" t="s">
        <v>507</v>
      </c>
      <c r="Z1080" s="1" t="str">
        <f>TRIM(_xlfn.CONCAT(sales_data_sample[[#This Row],[CONTACTFIRSTNAME]],", ",sales_data_sample[[#This Row],[CONTACTLASTNAME]]))</f>
        <v>Catherine, Dewey</v>
      </c>
      <c r="AA1080" s="1" t="s">
        <v>59</v>
      </c>
    </row>
    <row r="1081" spans="1:27" x14ac:dyDescent="0.25">
      <c r="A1081" s="10">
        <v>10282</v>
      </c>
      <c r="B1081" s="9">
        <v>36</v>
      </c>
      <c r="C1081" s="9">
        <v>100</v>
      </c>
      <c r="D1081" s="9">
        <f>PRODUCT(sales_data_sample[[#This Row],[QUANTITYORDERED]],sales_data_sample[[#This Row],[PRICEEACH]])</f>
        <v>3600</v>
      </c>
      <c r="E1081" s="9">
        <f>IF(OR(sales_data_sample[[#This Row],[STATUS]]="Shipped",sales_data_sample[[#This Row],[STATUS]]="Resolved"),sales_data_sample[[#This Row],[SALES]],0)</f>
        <v>3600</v>
      </c>
      <c r="F1081" s="10">
        <v>3</v>
      </c>
      <c r="G1081" s="12" t="s">
        <v>508</v>
      </c>
      <c r="H1081" s="1" t="s">
        <v>26</v>
      </c>
      <c r="I1081">
        <v>3</v>
      </c>
      <c r="J1081">
        <v>8</v>
      </c>
      <c r="K1081">
        <v>2004</v>
      </c>
      <c r="L1081" s="1" t="s">
        <v>918</v>
      </c>
      <c r="M1081">
        <v>100</v>
      </c>
      <c r="N1081" s="1" t="s">
        <v>919</v>
      </c>
      <c r="O1081" s="1" t="s">
        <v>361</v>
      </c>
      <c r="P1081" s="1" t="s">
        <v>362</v>
      </c>
      <c r="Q1081" s="1" t="s">
        <v>363</v>
      </c>
      <c r="R1081" s="1" t="s">
        <v>32</v>
      </c>
      <c r="S1081" s="1" t="s">
        <v>364</v>
      </c>
      <c r="T1081" s="1" t="s">
        <v>65</v>
      </c>
      <c r="U1081" s="1" t="s">
        <v>145</v>
      </c>
      <c r="V1081" s="1" t="s">
        <v>36</v>
      </c>
      <c r="W1081" s="1" t="s">
        <v>37</v>
      </c>
      <c r="X1081" s="1" t="s">
        <v>365</v>
      </c>
      <c r="Y1081" s="1" t="s">
        <v>366</v>
      </c>
      <c r="Z1081" s="1" t="str">
        <f>TRIM(_xlfn.CONCAT(sales_data_sample[[#This Row],[CONTACTFIRSTNAME]],", ",sales_data_sample[[#This Row],[CONTACTLASTNAME]]))</f>
        <v>Valarie, Nelson</v>
      </c>
      <c r="AA1081" s="1" t="s">
        <v>59</v>
      </c>
    </row>
    <row r="1082" spans="1:27" x14ac:dyDescent="0.25">
      <c r="A1082" s="10">
        <v>10293</v>
      </c>
      <c r="B1082" s="9">
        <v>22</v>
      </c>
      <c r="C1082" s="9">
        <v>100</v>
      </c>
      <c r="D1082" s="9">
        <f>PRODUCT(sales_data_sample[[#This Row],[QUANTITYORDERED]],sales_data_sample[[#This Row],[PRICEEACH]])</f>
        <v>2200</v>
      </c>
      <c r="E1082" s="9">
        <f>IF(OR(sales_data_sample[[#This Row],[STATUS]]="Shipped",sales_data_sample[[#This Row],[STATUS]]="Resolved"),sales_data_sample[[#This Row],[SALES]],0)</f>
        <v>2200</v>
      </c>
      <c r="F1082" s="10">
        <v>6</v>
      </c>
      <c r="G1082" s="12" t="s">
        <v>694</v>
      </c>
      <c r="H1082" s="1" t="s">
        <v>26</v>
      </c>
      <c r="I1082">
        <v>3</v>
      </c>
      <c r="J1082">
        <v>9</v>
      </c>
      <c r="K1082">
        <v>2004</v>
      </c>
      <c r="L1082" s="1" t="s">
        <v>918</v>
      </c>
      <c r="M1082">
        <v>100</v>
      </c>
      <c r="N1082" s="1" t="s">
        <v>919</v>
      </c>
      <c r="O1082" s="1" t="s">
        <v>338</v>
      </c>
      <c r="P1082" s="1" t="s">
        <v>339</v>
      </c>
      <c r="Q1082" s="1" t="s">
        <v>340</v>
      </c>
      <c r="R1082" s="1" t="s">
        <v>32</v>
      </c>
      <c r="S1082" s="1" t="s">
        <v>341</v>
      </c>
      <c r="T1082" s="1" t="s">
        <v>32</v>
      </c>
      <c r="U1082" s="1" t="s">
        <v>342</v>
      </c>
      <c r="V1082" s="1" t="s">
        <v>343</v>
      </c>
      <c r="W1082" s="1" t="s">
        <v>48</v>
      </c>
      <c r="X1082" s="1" t="s">
        <v>344</v>
      </c>
      <c r="Y1082" s="1" t="s">
        <v>345</v>
      </c>
      <c r="Z1082" s="1" t="str">
        <f>TRIM(_xlfn.CONCAT(sales_data_sample[[#This Row],[CONTACTFIRSTNAME]],", ",sales_data_sample[[#This Row],[CONTACTLASTNAME]]))</f>
        <v>Paolo, Accorti</v>
      </c>
      <c r="AA1082" s="1" t="s">
        <v>40</v>
      </c>
    </row>
    <row r="1083" spans="1:27" x14ac:dyDescent="0.25">
      <c r="A1083" s="10">
        <v>10306</v>
      </c>
      <c r="B1083" s="9">
        <v>40</v>
      </c>
      <c r="C1083" s="9">
        <v>9176</v>
      </c>
      <c r="D1083" s="9">
        <f>PRODUCT(sales_data_sample[[#This Row],[QUANTITYORDERED]],sales_data_sample[[#This Row],[PRICEEACH]])</f>
        <v>367040</v>
      </c>
      <c r="E1083" s="9">
        <f>IF(OR(sales_data_sample[[#This Row],[STATUS]]="Shipped",sales_data_sample[[#This Row],[STATUS]]="Resolved"),sales_data_sample[[#This Row],[SALES]],0)</f>
        <v>367040</v>
      </c>
      <c r="F1083" s="10">
        <v>11</v>
      </c>
      <c r="G1083" s="12" t="s">
        <v>522</v>
      </c>
      <c r="H1083" s="1" t="s">
        <v>26</v>
      </c>
      <c r="I1083">
        <v>4</v>
      </c>
      <c r="J1083">
        <v>10</v>
      </c>
      <c r="K1083">
        <v>2004</v>
      </c>
      <c r="L1083" s="1" t="s">
        <v>918</v>
      </c>
      <c r="M1083">
        <v>100</v>
      </c>
      <c r="N1083" s="1" t="s">
        <v>919</v>
      </c>
      <c r="O1083" s="1" t="s">
        <v>695</v>
      </c>
      <c r="P1083" s="1" t="s">
        <v>696</v>
      </c>
      <c r="Q1083" s="1" t="s">
        <v>697</v>
      </c>
      <c r="R1083" s="1" t="s">
        <v>32</v>
      </c>
      <c r="S1083" s="1" t="s">
        <v>698</v>
      </c>
      <c r="T1083" s="1" t="s">
        <v>32</v>
      </c>
      <c r="U1083" s="1" t="s">
        <v>699</v>
      </c>
      <c r="V1083" s="1" t="s">
        <v>225</v>
      </c>
      <c r="W1083" s="1" t="s">
        <v>48</v>
      </c>
      <c r="X1083" s="1" t="s">
        <v>700</v>
      </c>
      <c r="Y1083" s="1" t="s">
        <v>118</v>
      </c>
      <c r="Z1083" s="1" t="str">
        <f>TRIM(_xlfn.CONCAT(sales_data_sample[[#This Row],[CONTACTFIRSTNAME]],", ",sales_data_sample[[#This Row],[CONTACTLASTNAME]]))</f>
        <v>Victoria, Ashworth</v>
      </c>
      <c r="AA1083" s="1" t="s">
        <v>59</v>
      </c>
    </row>
    <row r="1084" spans="1:27" x14ac:dyDescent="0.25">
      <c r="A1084" s="10">
        <v>10314</v>
      </c>
      <c r="B1084" s="9">
        <v>23</v>
      </c>
      <c r="C1084" s="9">
        <v>100</v>
      </c>
      <c r="D1084" s="9">
        <f>PRODUCT(sales_data_sample[[#This Row],[QUANTITYORDERED]],sales_data_sample[[#This Row],[PRICEEACH]])</f>
        <v>2300</v>
      </c>
      <c r="E1084" s="9">
        <f>IF(OR(sales_data_sample[[#This Row],[STATUS]]="Shipped",sales_data_sample[[#This Row],[STATUS]]="Resolved"),sales_data_sample[[#This Row],[SALES]],0)</f>
        <v>2300</v>
      </c>
      <c r="F1084" s="10">
        <v>3</v>
      </c>
      <c r="G1084" s="12" t="s">
        <v>587</v>
      </c>
      <c r="H1084" s="1" t="s">
        <v>26</v>
      </c>
      <c r="I1084">
        <v>4</v>
      </c>
      <c r="J1084">
        <v>10</v>
      </c>
      <c r="K1084">
        <v>2004</v>
      </c>
      <c r="L1084" s="1" t="s">
        <v>918</v>
      </c>
      <c r="M1084">
        <v>100</v>
      </c>
      <c r="N1084" s="1" t="s">
        <v>919</v>
      </c>
      <c r="O1084" s="1" t="s">
        <v>701</v>
      </c>
      <c r="P1084" s="1" t="s">
        <v>702</v>
      </c>
      <c r="Q1084" s="1" t="s">
        <v>703</v>
      </c>
      <c r="R1084" s="1" t="s">
        <v>32</v>
      </c>
      <c r="S1084" s="1" t="s">
        <v>704</v>
      </c>
      <c r="T1084" s="1" t="s">
        <v>32</v>
      </c>
      <c r="U1084" s="1" t="s">
        <v>705</v>
      </c>
      <c r="V1084" s="1" t="s">
        <v>442</v>
      </c>
      <c r="W1084" s="1" t="s">
        <v>48</v>
      </c>
      <c r="X1084" s="1" t="s">
        <v>706</v>
      </c>
      <c r="Y1084" s="1" t="s">
        <v>707</v>
      </c>
      <c r="Z1084" s="1" t="str">
        <f>TRIM(_xlfn.CONCAT(sales_data_sample[[#This Row],[CONTACTFIRSTNAME]],", ",sales_data_sample[[#This Row],[CONTACTLASTNAME]]))</f>
        <v>Palle, Ibsen</v>
      </c>
      <c r="AA1084" s="1" t="s">
        <v>40</v>
      </c>
    </row>
    <row r="1085" spans="1:27" x14ac:dyDescent="0.25">
      <c r="A1085" s="10">
        <v>10326</v>
      </c>
      <c r="B1085" s="9">
        <v>32</v>
      </c>
      <c r="C1085" s="9">
        <v>100</v>
      </c>
      <c r="D1085" s="9">
        <f>PRODUCT(sales_data_sample[[#This Row],[QUANTITYORDERED]],sales_data_sample[[#This Row],[PRICEEACH]])</f>
        <v>3200</v>
      </c>
      <c r="E1085" s="9">
        <f>IF(OR(sales_data_sample[[#This Row],[STATUS]]="Shipped",sales_data_sample[[#This Row],[STATUS]]="Resolved"),sales_data_sample[[#This Row],[SALES]],0)</f>
        <v>3200</v>
      </c>
      <c r="F1085" s="10">
        <v>6</v>
      </c>
      <c r="G1085" s="12" t="s">
        <v>920</v>
      </c>
      <c r="H1085" s="1" t="s">
        <v>26</v>
      </c>
      <c r="I1085">
        <v>4</v>
      </c>
      <c r="J1085">
        <v>11</v>
      </c>
      <c r="K1085">
        <v>2004</v>
      </c>
      <c r="L1085" s="1" t="s">
        <v>918</v>
      </c>
      <c r="M1085">
        <v>100</v>
      </c>
      <c r="N1085" s="1" t="s">
        <v>919</v>
      </c>
      <c r="O1085" s="1" t="s">
        <v>242</v>
      </c>
      <c r="P1085" s="1" t="s">
        <v>243</v>
      </c>
      <c r="Q1085" s="1" t="s">
        <v>244</v>
      </c>
      <c r="R1085" s="1" t="s">
        <v>32</v>
      </c>
      <c r="S1085" s="1" t="s">
        <v>245</v>
      </c>
      <c r="T1085" s="1" t="s">
        <v>32</v>
      </c>
      <c r="U1085" s="1" t="s">
        <v>246</v>
      </c>
      <c r="V1085" s="1" t="s">
        <v>247</v>
      </c>
      <c r="W1085" s="1" t="s">
        <v>48</v>
      </c>
      <c r="X1085" s="1" t="s">
        <v>248</v>
      </c>
      <c r="Y1085" s="1" t="s">
        <v>249</v>
      </c>
      <c r="Z1085" s="1" t="str">
        <f>TRIM(_xlfn.CONCAT(sales_data_sample[[#This Row],[CONTACTFIRSTNAME]],", ",sales_data_sample[[#This Row],[CONTACTLASTNAME]]))</f>
        <v>Christina, Berglund</v>
      </c>
      <c r="AA1085" s="1" t="s">
        <v>59</v>
      </c>
    </row>
    <row r="1086" spans="1:27" x14ac:dyDescent="0.25">
      <c r="A1086" s="10">
        <v>10336</v>
      </c>
      <c r="B1086" s="9">
        <v>21</v>
      </c>
      <c r="C1086" s="9">
        <v>100</v>
      </c>
      <c r="D1086" s="9">
        <f>PRODUCT(sales_data_sample[[#This Row],[QUANTITYORDERED]],sales_data_sample[[#This Row],[PRICEEACH]])</f>
        <v>2100</v>
      </c>
      <c r="E1086" s="9">
        <f>IF(OR(sales_data_sample[[#This Row],[STATUS]]="Shipped",sales_data_sample[[#This Row],[STATUS]]="Resolved"),sales_data_sample[[#This Row],[SALES]],0)</f>
        <v>2100</v>
      </c>
      <c r="F1086" s="10">
        <v>7</v>
      </c>
      <c r="G1086" s="12" t="s">
        <v>708</v>
      </c>
      <c r="H1086" s="1" t="s">
        <v>26</v>
      </c>
      <c r="I1086">
        <v>4</v>
      </c>
      <c r="J1086">
        <v>11</v>
      </c>
      <c r="K1086">
        <v>2004</v>
      </c>
      <c r="L1086" s="1" t="s">
        <v>918</v>
      </c>
      <c r="M1086">
        <v>100</v>
      </c>
      <c r="N1086" s="1" t="s">
        <v>919</v>
      </c>
      <c r="O1086" s="1" t="s">
        <v>556</v>
      </c>
      <c r="P1086" s="1" t="s">
        <v>557</v>
      </c>
      <c r="Q1086" s="1" t="s">
        <v>558</v>
      </c>
      <c r="R1086" s="1" t="s">
        <v>32</v>
      </c>
      <c r="S1086" s="1" t="s">
        <v>55</v>
      </c>
      <c r="T1086" s="1" t="s">
        <v>32</v>
      </c>
      <c r="U1086" s="1" t="s">
        <v>559</v>
      </c>
      <c r="V1086" s="1" t="s">
        <v>47</v>
      </c>
      <c r="W1086" s="1" t="s">
        <v>48</v>
      </c>
      <c r="X1086" s="1" t="s">
        <v>560</v>
      </c>
      <c r="Y1086" s="1" t="s">
        <v>561</v>
      </c>
      <c r="Z1086" s="1" t="str">
        <f>TRIM(_xlfn.CONCAT(sales_data_sample[[#This Row],[CONTACTFIRSTNAME]],", ",sales_data_sample[[#This Row],[CONTACTLASTNAME]]))</f>
        <v>Marie, Bertrand</v>
      </c>
      <c r="AA1086" s="1" t="s">
        <v>40</v>
      </c>
    </row>
    <row r="1087" spans="1:27" x14ac:dyDescent="0.25">
      <c r="A1087" s="10">
        <v>10350</v>
      </c>
      <c r="B1087" s="9">
        <v>41</v>
      </c>
      <c r="C1087" s="9">
        <v>9304</v>
      </c>
      <c r="D1087" s="9">
        <f>PRODUCT(sales_data_sample[[#This Row],[QUANTITYORDERED]],sales_data_sample[[#This Row],[PRICEEACH]])</f>
        <v>381464</v>
      </c>
      <c r="E1087" s="9">
        <f>IF(OR(sales_data_sample[[#This Row],[STATUS]]="Shipped",sales_data_sample[[#This Row],[STATUS]]="Resolved"),sales_data_sample[[#This Row],[SALES]],0)</f>
        <v>381464</v>
      </c>
      <c r="F1087" s="10">
        <v>2</v>
      </c>
      <c r="G1087" s="12" t="s">
        <v>534</v>
      </c>
      <c r="H1087" s="1" t="s">
        <v>26</v>
      </c>
      <c r="I1087">
        <v>4</v>
      </c>
      <c r="J1087">
        <v>12</v>
      </c>
      <c r="K1087">
        <v>2004</v>
      </c>
      <c r="L1087" s="1" t="s">
        <v>918</v>
      </c>
      <c r="M1087">
        <v>100</v>
      </c>
      <c r="N1087" s="1" t="s">
        <v>919</v>
      </c>
      <c r="O1087" s="1" t="s">
        <v>230</v>
      </c>
      <c r="P1087" s="1" t="s">
        <v>231</v>
      </c>
      <c r="Q1087" s="1" t="s">
        <v>232</v>
      </c>
      <c r="R1087" s="1" t="s">
        <v>32</v>
      </c>
      <c r="S1087" s="1" t="s">
        <v>233</v>
      </c>
      <c r="T1087" s="1" t="s">
        <v>32</v>
      </c>
      <c r="U1087" s="1" t="s">
        <v>234</v>
      </c>
      <c r="V1087" s="1" t="s">
        <v>235</v>
      </c>
      <c r="W1087" s="1" t="s">
        <v>48</v>
      </c>
      <c r="X1087" s="1" t="s">
        <v>236</v>
      </c>
      <c r="Y1087" s="1" t="s">
        <v>237</v>
      </c>
      <c r="Z1087" s="1" t="str">
        <f>TRIM(_xlfn.CONCAT(sales_data_sample[[#This Row],[CONTACTFIRSTNAME]],", ",sales_data_sample[[#This Row],[CONTACTLASTNAME]]))</f>
        <v>Diego, Freyre</v>
      </c>
      <c r="AA1087" s="1" t="s">
        <v>59</v>
      </c>
    </row>
    <row r="1088" spans="1:27" x14ac:dyDescent="0.25">
      <c r="A1088" s="10">
        <v>10372</v>
      </c>
      <c r="B1088" s="9">
        <v>25</v>
      </c>
      <c r="C1088" s="9">
        <v>8471</v>
      </c>
      <c r="D1088" s="9">
        <f>PRODUCT(sales_data_sample[[#This Row],[QUANTITYORDERED]],sales_data_sample[[#This Row],[PRICEEACH]])</f>
        <v>211775</v>
      </c>
      <c r="E1088" s="9">
        <f>IF(OR(sales_data_sample[[#This Row],[STATUS]]="Shipped",sales_data_sample[[#This Row],[STATUS]]="Resolved"),sales_data_sample[[#This Row],[SALES]],0)</f>
        <v>211775</v>
      </c>
      <c r="F1088" s="10">
        <v>5</v>
      </c>
      <c r="G1088" s="12" t="s">
        <v>726</v>
      </c>
      <c r="H1088" s="1" t="s">
        <v>26</v>
      </c>
      <c r="I1088">
        <v>1</v>
      </c>
      <c r="J1088">
        <v>1</v>
      </c>
      <c r="K1088">
        <v>2005</v>
      </c>
      <c r="L1088" s="1" t="s">
        <v>918</v>
      </c>
      <c r="M1088">
        <v>100</v>
      </c>
      <c r="N1088" s="1" t="s">
        <v>919</v>
      </c>
      <c r="O1088" s="1" t="s">
        <v>328</v>
      </c>
      <c r="P1088" s="1" t="s">
        <v>329</v>
      </c>
      <c r="Q1088" s="1" t="s">
        <v>330</v>
      </c>
      <c r="R1088" s="1" t="s">
        <v>32</v>
      </c>
      <c r="S1088" s="1" t="s">
        <v>331</v>
      </c>
      <c r="T1088" s="1" t="s">
        <v>332</v>
      </c>
      <c r="U1088" s="1" t="s">
        <v>333</v>
      </c>
      <c r="V1088" s="1" t="s">
        <v>264</v>
      </c>
      <c r="W1088" s="1" t="s">
        <v>264</v>
      </c>
      <c r="X1088" s="1" t="s">
        <v>334</v>
      </c>
      <c r="Y1088" s="1" t="s">
        <v>335</v>
      </c>
      <c r="Z1088" s="1" t="str">
        <f>TRIM(_xlfn.CONCAT(sales_data_sample[[#This Row],[CONTACTFIRSTNAME]],", ",sales_data_sample[[#This Row],[CONTACTLASTNAME]]))</f>
        <v>Akiko, Shimamura</v>
      </c>
      <c r="AA1088" s="1" t="s">
        <v>40</v>
      </c>
    </row>
    <row r="1089" spans="1:27" x14ac:dyDescent="0.25">
      <c r="A1089" s="10">
        <v>10383</v>
      </c>
      <c r="B1089" s="9">
        <v>26</v>
      </c>
      <c r="C1089" s="9">
        <v>100</v>
      </c>
      <c r="D1089" s="9">
        <f>PRODUCT(sales_data_sample[[#This Row],[QUANTITYORDERED]],sales_data_sample[[#This Row],[PRICEEACH]])</f>
        <v>2600</v>
      </c>
      <c r="E1089" s="9">
        <f>IF(OR(sales_data_sample[[#This Row],[STATUS]]="Shipped",sales_data_sample[[#This Row],[STATUS]]="Resolved"),sales_data_sample[[#This Row],[SALES]],0)</f>
        <v>2600</v>
      </c>
      <c r="F1089" s="10">
        <v>12</v>
      </c>
      <c r="G1089" s="12" t="s">
        <v>884</v>
      </c>
      <c r="H1089" s="1" t="s">
        <v>26</v>
      </c>
      <c r="I1089">
        <v>1</v>
      </c>
      <c r="J1089">
        <v>2</v>
      </c>
      <c r="K1089">
        <v>2005</v>
      </c>
      <c r="L1089" s="1" t="s">
        <v>918</v>
      </c>
      <c r="M1089">
        <v>100</v>
      </c>
      <c r="N1089" s="1" t="s">
        <v>919</v>
      </c>
      <c r="O1089" s="1" t="s">
        <v>230</v>
      </c>
      <c r="P1089" s="1" t="s">
        <v>231</v>
      </c>
      <c r="Q1089" s="1" t="s">
        <v>232</v>
      </c>
      <c r="R1089" s="1" t="s">
        <v>32</v>
      </c>
      <c r="S1089" s="1" t="s">
        <v>233</v>
      </c>
      <c r="T1089" s="1" t="s">
        <v>32</v>
      </c>
      <c r="U1089" s="1" t="s">
        <v>234</v>
      </c>
      <c r="V1089" s="1" t="s">
        <v>235</v>
      </c>
      <c r="W1089" s="1" t="s">
        <v>48</v>
      </c>
      <c r="X1089" s="1" t="s">
        <v>236</v>
      </c>
      <c r="Y1089" s="1" t="s">
        <v>237</v>
      </c>
      <c r="Z1089" s="1" t="str">
        <f>TRIM(_xlfn.CONCAT(sales_data_sample[[#This Row],[CONTACTFIRSTNAME]],", ",sales_data_sample[[#This Row],[CONTACTLASTNAME]]))</f>
        <v>Diego, Freyre</v>
      </c>
      <c r="AA1089" s="1" t="s">
        <v>59</v>
      </c>
    </row>
    <row r="1090" spans="1:27" x14ac:dyDescent="0.25">
      <c r="A1090" s="10">
        <v>10396</v>
      </c>
      <c r="B1090" s="9">
        <v>24</v>
      </c>
      <c r="C1090" s="9">
        <v>8975</v>
      </c>
      <c r="D1090" s="9">
        <f>PRODUCT(sales_data_sample[[#This Row],[QUANTITYORDERED]],sales_data_sample[[#This Row],[PRICEEACH]])</f>
        <v>215400</v>
      </c>
      <c r="E1090" s="9">
        <f>IF(OR(sales_data_sample[[#This Row],[STATUS]]="Shipped",sales_data_sample[[#This Row],[STATUS]]="Resolved"),sales_data_sample[[#This Row],[SALES]],0)</f>
        <v>215400</v>
      </c>
      <c r="F1090" s="10">
        <v>4</v>
      </c>
      <c r="G1090" s="12" t="s">
        <v>738</v>
      </c>
      <c r="H1090" s="1" t="s">
        <v>26</v>
      </c>
      <c r="I1090">
        <v>1</v>
      </c>
      <c r="J1090">
        <v>3</v>
      </c>
      <c r="K1090">
        <v>2005</v>
      </c>
      <c r="L1090" s="1" t="s">
        <v>918</v>
      </c>
      <c r="M1090">
        <v>100</v>
      </c>
      <c r="N1090" s="1" t="s">
        <v>919</v>
      </c>
      <c r="O1090" s="1" t="s">
        <v>361</v>
      </c>
      <c r="P1090" s="1" t="s">
        <v>362</v>
      </c>
      <c r="Q1090" s="1" t="s">
        <v>363</v>
      </c>
      <c r="R1090" s="1" t="s">
        <v>32</v>
      </c>
      <c r="S1090" s="1" t="s">
        <v>364</v>
      </c>
      <c r="T1090" s="1" t="s">
        <v>65</v>
      </c>
      <c r="U1090" s="1" t="s">
        <v>145</v>
      </c>
      <c r="V1090" s="1" t="s">
        <v>36</v>
      </c>
      <c r="W1090" s="1" t="s">
        <v>37</v>
      </c>
      <c r="X1090" s="1" t="s">
        <v>365</v>
      </c>
      <c r="Y1090" s="1" t="s">
        <v>366</v>
      </c>
      <c r="Z1090" s="1" t="str">
        <f>TRIM(_xlfn.CONCAT(sales_data_sample[[#This Row],[CONTACTFIRSTNAME]],", ",sales_data_sample[[#This Row],[CONTACTLASTNAME]]))</f>
        <v>Valarie, Nelson</v>
      </c>
      <c r="AA1090" s="1" t="s">
        <v>40</v>
      </c>
    </row>
    <row r="1091" spans="1:27" x14ac:dyDescent="0.25">
      <c r="A1091" s="10">
        <v>10414</v>
      </c>
      <c r="B1091" s="9">
        <v>48</v>
      </c>
      <c r="C1091" s="9">
        <v>100</v>
      </c>
      <c r="D1091" s="9">
        <f>PRODUCT(sales_data_sample[[#This Row],[QUANTITYORDERED]],sales_data_sample[[#This Row],[PRICEEACH]])</f>
        <v>4800</v>
      </c>
      <c r="E1091" s="9">
        <f>IF(OR(sales_data_sample[[#This Row],[STATUS]]="Shipped",sales_data_sample[[#This Row],[STATUS]]="Resolved"),sales_data_sample[[#This Row],[SALES]],0)</f>
        <v>0</v>
      </c>
      <c r="F1091" s="10">
        <v>14</v>
      </c>
      <c r="G1091" s="12" t="s">
        <v>552</v>
      </c>
      <c r="H1091" s="1" t="s">
        <v>553</v>
      </c>
      <c r="I1091">
        <v>2</v>
      </c>
      <c r="J1091">
        <v>5</v>
      </c>
      <c r="K1091">
        <v>2005</v>
      </c>
      <c r="L1091" s="1" t="s">
        <v>918</v>
      </c>
      <c r="M1091">
        <v>100</v>
      </c>
      <c r="N1091" s="1" t="s">
        <v>919</v>
      </c>
      <c r="O1091" s="1" t="s">
        <v>516</v>
      </c>
      <c r="P1091" s="1" t="s">
        <v>517</v>
      </c>
      <c r="Q1091" s="1" t="s">
        <v>518</v>
      </c>
      <c r="R1091" s="1" t="s">
        <v>32</v>
      </c>
      <c r="S1091" s="1" t="s">
        <v>519</v>
      </c>
      <c r="T1091" s="1" t="s">
        <v>160</v>
      </c>
      <c r="U1091" s="1" t="s">
        <v>520</v>
      </c>
      <c r="V1091" s="1" t="s">
        <v>36</v>
      </c>
      <c r="W1091" s="1" t="s">
        <v>37</v>
      </c>
      <c r="X1091" s="1" t="s">
        <v>521</v>
      </c>
      <c r="Y1091" s="1" t="s">
        <v>82</v>
      </c>
      <c r="Z1091" s="1" t="str">
        <f>TRIM(_xlfn.CONCAT(sales_data_sample[[#This Row],[CONTACTFIRSTNAME]],", ",sales_data_sample[[#This Row],[CONTACTLASTNAME]]))</f>
        <v>Juri, Yoshido</v>
      </c>
      <c r="AA1091" s="1" t="s">
        <v>59</v>
      </c>
    </row>
    <row r="1092" spans="1:27" x14ac:dyDescent="0.25">
      <c r="A1092" s="10">
        <v>10108</v>
      </c>
      <c r="B1092" s="9">
        <v>26</v>
      </c>
      <c r="C1092" s="9">
        <v>6835</v>
      </c>
      <c r="D1092" s="9">
        <f>PRODUCT(sales_data_sample[[#This Row],[QUANTITYORDERED]],sales_data_sample[[#This Row],[PRICEEACH]])</f>
        <v>177710</v>
      </c>
      <c r="E1092" s="9">
        <f>IF(OR(sales_data_sample[[#This Row],[STATUS]]="Shipped",sales_data_sample[[#This Row],[STATUS]]="Resolved"),sales_data_sample[[#This Row],[SALES]],0)</f>
        <v>177710</v>
      </c>
      <c r="F1092" s="10">
        <v>9</v>
      </c>
      <c r="G1092" s="12" t="s">
        <v>589</v>
      </c>
      <c r="H1092" s="1" t="s">
        <v>26</v>
      </c>
      <c r="I1092">
        <v>1</v>
      </c>
      <c r="J1092">
        <v>3</v>
      </c>
      <c r="K1092">
        <v>2003</v>
      </c>
      <c r="L1092" s="1" t="s">
        <v>239</v>
      </c>
      <c r="M1092">
        <v>80</v>
      </c>
      <c r="N1092" s="1" t="s">
        <v>921</v>
      </c>
      <c r="O1092" s="1" t="s">
        <v>591</v>
      </c>
      <c r="P1092" s="1" t="s">
        <v>592</v>
      </c>
      <c r="Q1092" s="1" t="s">
        <v>593</v>
      </c>
      <c r="R1092" s="1" t="s">
        <v>32</v>
      </c>
      <c r="S1092" s="1" t="s">
        <v>594</v>
      </c>
      <c r="T1092" s="1" t="s">
        <v>32</v>
      </c>
      <c r="U1092" s="1" t="s">
        <v>595</v>
      </c>
      <c r="V1092" s="1" t="s">
        <v>596</v>
      </c>
      <c r="W1092" s="1" t="s">
        <v>264</v>
      </c>
      <c r="X1092" s="1" t="s">
        <v>597</v>
      </c>
      <c r="Y1092" s="1" t="s">
        <v>598</v>
      </c>
      <c r="Z1092" s="1" t="str">
        <f>TRIM(_xlfn.CONCAT(sales_data_sample[[#This Row],[CONTACTFIRSTNAME]],", ",sales_data_sample[[#This Row],[CONTACTLASTNAME]]))</f>
        <v>Arnold, Cruz</v>
      </c>
      <c r="AA1092" s="1" t="s">
        <v>40</v>
      </c>
    </row>
    <row r="1093" spans="1:27" x14ac:dyDescent="0.25">
      <c r="A1093" s="10">
        <v>10122</v>
      </c>
      <c r="B1093" s="9">
        <v>21</v>
      </c>
      <c r="C1093" s="9">
        <v>7317</v>
      </c>
      <c r="D1093" s="9">
        <f>PRODUCT(sales_data_sample[[#This Row],[QUANTITYORDERED]],sales_data_sample[[#This Row],[PRICEEACH]])</f>
        <v>153657</v>
      </c>
      <c r="E1093" s="9">
        <f>IF(OR(sales_data_sample[[#This Row],[STATUS]]="Shipped",sales_data_sample[[#This Row],[STATUS]]="Resolved"),sales_data_sample[[#This Row],[SALES]],0)</f>
        <v>153657</v>
      </c>
      <c r="F1093" s="10">
        <v>13</v>
      </c>
      <c r="G1093" s="12" t="s">
        <v>599</v>
      </c>
      <c r="H1093" s="1" t="s">
        <v>26</v>
      </c>
      <c r="I1093">
        <v>2</v>
      </c>
      <c r="J1093">
        <v>5</v>
      </c>
      <c r="K1093">
        <v>2003</v>
      </c>
      <c r="L1093" s="1" t="s">
        <v>239</v>
      </c>
      <c r="M1093">
        <v>80</v>
      </c>
      <c r="N1093" s="1" t="s">
        <v>921</v>
      </c>
      <c r="O1093" s="1" t="s">
        <v>600</v>
      </c>
      <c r="P1093" s="1" t="s">
        <v>601</v>
      </c>
      <c r="Q1093" s="1" t="s">
        <v>602</v>
      </c>
      <c r="R1093" s="1" t="s">
        <v>32</v>
      </c>
      <c r="S1093" s="1" t="s">
        <v>603</v>
      </c>
      <c r="T1093" s="1" t="s">
        <v>32</v>
      </c>
      <c r="U1093" s="1" t="s">
        <v>604</v>
      </c>
      <c r="V1093" s="1" t="s">
        <v>47</v>
      </c>
      <c r="W1093" s="1" t="s">
        <v>48</v>
      </c>
      <c r="X1093" s="1" t="s">
        <v>605</v>
      </c>
      <c r="Y1093" s="1" t="s">
        <v>606</v>
      </c>
      <c r="Z1093" s="1" t="str">
        <f>TRIM(_xlfn.CONCAT(sales_data_sample[[#This Row],[CONTACTFIRSTNAME]],", ",sales_data_sample[[#This Row],[CONTACTLASTNAME]]))</f>
        <v>Laurence, Lebihan</v>
      </c>
      <c r="AA1093" s="1" t="s">
        <v>40</v>
      </c>
    </row>
    <row r="1094" spans="1:27" x14ac:dyDescent="0.25">
      <c r="A1094" s="10">
        <v>10135</v>
      </c>
      <c r="B1094" s="9">
        <v>45</v>
      </c>
      <c r="C1094" s="9">
        <v>78</v>
      </c>
      <c r="D1094" s="9">
        <f>PRODUCT(sales_data_sample[[#This Row],[QUANTITYORDERED]],sales_data_sample[[#This Row],[PRICEEACH]])</f>
        <v>3510</v>
      </c>
      <c r="E1094" s="9">
        <f>IF(OR(sales_data_sample[[#This Row],[STATUS]]="Shipped",sales_data_sample[[#This Row],[STATUS]]="Resolved"),sales_data_sample[[#This Row],[SALES]],0)</f>
        <v>3510</v>
      </c>
      <c r="F1094" s="10">
        <v>10</v>
      </c>
      <c r="G1094" s="12" t="s">
        <v>607</v>
      </c>
      <c r="H1094" s="1" t="s">
        <v>26</v>
      </c>
      <c r="I1094">
        <v>3</v>
      </c>
      <c r="J1094">
        <v>7</v>
      </c>
      <c r="K1094">
        <v>2003</v>
      </c>
      <c r="L1094" s="1" t="s">
        <v>239</v>
      </c>
      <c r="M1094">
        <v>80</v>
      </c>
      <c r="N1094" s="1" t="s">
        <v>921</v>
      </c>
      <c r="O1094" s="1" t="s">
        <v>361</v>
      </c>
      <c r="P1094" s="1" t="s">
        <v>362</v>
      </c>
      <c r="Q1094" s="1" t="s">
        <v>363</v>
      </c>
      <c r="R1094" s="1" t="s">
        <v>32</v>
      </c>
      <c r="S1094" s="1" t="s">
        <v>364</v>
      </c>
      <c r="T1094" s="1" t="s">
        <v>65</v>
      </c>
      <c r="U1094" s="1" t="s">
        <v>145</v>
      </c>
      <c r="V1094" s="1" t="s">
        <v>36</v>
      </c>
      <c r="W1094" s="1" t="s">
        <v>37</v>
      </c>
      <c r="X1094" s="1" t="s">
        <v>365</v>
      </c>
      <c r="Y1094" s="1" t="s">
        <v>366</v>
      </c>
      <c r="Z1094" s="1" t="str">
        <f>TRIM(_xlfn.CONCAT(sales_data_sample[[#This Row],[CONTACTFIRSTNAME]],", ",sales_data_sample[[#This Row],[CONTACTLASTNAME]]))</f>
        <v>Valarie, Nelson</v>
      </c>
      <c r="AA1094" s="1" t="s">
        <v>59</v>
      </c>
    </row>
    <row r="1095" spans="1:27" x14ac:dyDescent="0.25">
      <c r="A1095" s="10">
        <v>10147</v>
      </c>
      <c r="B1095" s="9">
        <v>36</v>
      </c>
      <c r="C1095" s="9">
        <v>8604</v>
      </c>
      <c r="D1095" s="9">
        <f>PRODUCT(sales_data_sample[[#This Row],[QUANTITYORDERED]],sales_data_sample[[#This Row],[PRICEEACH]])</f>
        <v>309744</v>
      </c>
      <c r="E1095" s="9">
        <f>IF(OR(sales_data_sample[[#This Row],[STATUS]]="Shipped",sales_data_sample[[#This Row],[STATUS]]="Resolved"),sales_data_sample[[#This Row],[SALES]],0)</f>
        <v>309744</v>
      </c>
      <c r="F1095" s="10">
        <v>10</v>
      </c>
      <c r="G1095" s="12" t="s">
        <v>608</v>
      </c>
      <c r="H1095" s="1" t="s">
        <v>26</v>
      </c>
      <c r="I1095">
        <v>3</v>
      </c>
      <c r="J1095">
        <v>9</v>
      </c>
      <c r="K1095">
        <v>2003</v>
      </c>
      <c r="L1095" s="1" t="s">
        <v>239</v>
      </c>
      <c r="M1095">
        <v>80</v>
      </c>
      <c r="N1095" s="1" t="s">
        <v>921</v>
      </c>
      <c r="O1095" s="1" t="s">
        <v>378</v>
      </c>
      <c r="P1095" s="1" t="s">
        <v>157</v>
      </c>
      <c r="Q1095" s="1" t="s">
        <v>379</v>
      </c>
      <c r="R1095" s="1" t="s">
        <v>32</v>
      </c>
      <c r="S1095" s="1" t="s">
        <v>380</v>
      </c>
      <c r="T1095" s="1" t="s">
        <v>160</v>
      </c>
      <c r="U1095" s="1" t="s">
        <v>381</v>
      </c>
      <c r="V1095" s="1" t="s">
        <v>36</v>
      </c>
      <c r="W1095" s="1" t="s">
        <v>37</v>
      </c>
      <c r="X1095" s="1" t="s">
        <v>365</v>
      </c>
      <c r="Y1095" s="1" t="s">
        <v>382</v>
      </c>
      <c r="Z1095" s="1" t="str">
        <f>TRIM(_xlfn.CONCAT(sales_data_sample[[#This Row],[CONTACTFIRSTNAME]],", ",sales_data_sample[[#This Row],[CONTACTLASTNAME]]))</f>
        <v>Allen, Nelson</v>
      </c>
      <c r="AA1095" s="1" t="s">
        <v>59</v>
      </c>
    </row>
    <row r="1096" spans="1:27" x14ac:dyDescent="0.25">
      <c r="A1096" s="10">
        <v>10159</v>
      </c>
      <c r="B1096" s="9">
        <v>21</v>
      </c>
      <c r="C1096" s="9">
        <v>8121</v>
      </c>
      <c r="D1096" s="9">
        <f>PRODUCT(sales_data_sample[[#This Row],[QUANTITYORDERED]],sales_data_sample[[#This Row],[PRICEEACH]])</f>
        <v>170541</v>
      </c>
      <c r="E1096" s="9">
        <f>IF(OR(sales_data_sample[[#This Row],[STATUS]]="Shipped",sales_data_sample[[#This Row],[STATUS]]="Resolved"),sales_data_sample[[#This Row],[SALES]],0)</f>
        <v>170541</v>
      </c>
      <c r="F1096" s="10">
        <v>5</v>
      </c>
      <c r="G1096" s="12" t="s">
        <v>69</v>
      </c>
      <c r="H1096" s="1" t="s">
        <v>26</v>
      </c>
      <c r="I1096">
        <v>4</v>
      </c>
      <c r="J1096">
        <v>10</v>
      </c>
      <c r="K1096">
        <v>2003</v>
      </c>
      <c r="L1096" s="1" t="s">
        <v>239</v>
      </c>
      <c r="M1096">
        <v>80</v>
      </c>
      <c r="N1096" s="1" t="s">
        <v>921</v>
      </c>
      <c r="O1096" s="1" t="s">
        <v>70</v>
      </c>
      <c r="P1096" s="1" t="s">
        <v>71</v>
      </c>
      <c r="Q1096" s="1" t="s">
        <v>72</v>
      </c>
      <c r="R1096" s="1" t="s">
        <v>32</v>
      </c>
      <c r="S1096" s="1" t="s">
        <v>73</v>
      </c>
      <c r="T1096" s="1" t="s">
        <v>65</v>
      </c>
      <c r="U1096" s="1" t="s">
        <v>32</v>
      </c>
      <c r="V1096" s="1" t="s">
        <v>36</v>
      </c>
      <c r="W1096" s="1" t="s">
        <v>37</v>
      </c>
      <c r="X1096" s="1" t="s">
        <v>74</v>
      </c>
      <c r="Y1096" s="1" t="s">
        <v>68</v>
      </c>
      <c r="Z1096" s="1" t="str">
        <f>TRIM(_xlfn.CONCAT(sales_data_sample[[#This Row],[CONTACTFIRSTNAME]],", ",sales_data_sample[[#This Row],[CONTACTLASTNAME]]))</f>
        <v>Julie, Brown</v>
      </c>
      <c r="AA1096" s="1" t="s">
        <v>40</v>
      </c>
    </row>
    <row r="1097" spans="1:27" x14ac:dyDescent="0.25">
      <c r="A1097">
        <v>10169</v>
      </c>
      <c r="B1097">
        <v>32</v>
      </c>
      <c r="C1097">
        <v>7076</v>
      </c>
      <c r="D1097">
        <f>PRODUCT(sales_data_sample[[#This Row],[QUANTITYORDERED]],sales_data_sample[[#This Row],[PRICEEACH]])</f>
        <v>226432</v>
      </c>
      <c r="E1097" s="9">
        <f>IF(OR(sales_data_sample[[#This Row],[STATUS]]="Shipped",sales_data_sample[[#This Row],[STATUS]]="Resolved"),sales_data_sample[[#This Row],[SALES]],0)</f>
        <v>226432</v>
      </c>
      <c r="F1097">
        <v>5</v>
      </c>
      <c r="G1097" s="12" t="s">
        <v>609</v>
      </c>
      <c r="H1097" s="1" t="s">
        <v>26</v>
      </c>
      <c r="I1097">
        <v>4</v>
      </c>
      <c r="J1097">
        <v>11</v>
      </c>
      <c r="K1097">
        <v>2003</v>
      </c>
      <c r="L1097" s="1" t="s">
        <v>239</v>
      </c>
      <c r="M1097">
        <v>80</v>
      </c>
      <c r="N1097" s="1" t="s">
        <v>921</v>
      </c>
      <c r="O1097" s="1" t="s">
        <v>385</v>
      </c>
      <c r="P1097" s="1" t="s">
        <v>386</v>
      </c>
      <c r="Q1097" s="1" t="s">
        <v>387</v>
      </c>
      <c r="R1097" s="1" t="s">
        <v>388</v>
      </c>
      <c r="S1097" s="1" t="s">
        <v>389</v>
      </c>
      <c r="T1097" s="1" t="s">
        <v>206</v>
      </c>
      <c r="U1097" s="1" t="s">
        <v>390</v>
      </c>
      <c r="V1097" s="1" t="s">
        <v>120</v>
      </c>
      <c r="W1097" s="1" t="s">
        <v>121</v>
      </c>
      <c r="X1097" s="1" t="s">
        <v>391</v>
      </c>
      <c r="Y1097" s="1" t="s">
        <v>392</v>
      </c>
      <c r="Z1097" s="1" t="str">
        <f>TRIM(_xlfn.CONCAT(sales_data_sample[[#This Row],[CONTACTFIRSTNAME]],", ",sales_data_sample[[#This Row],[CONTACTLASTNAME]]))</f>
        <v>Anna, O'Hara</v>
      </c>
      <c r="AA1097" s="1" t="s">
        <v>40</v>
      </c>
    </row>
    <row r="1098" spans="1:27" x14ac:dyDescent="0.25">
      <c r="A1098" s="10">
        <v>10181</v>
      </c>
      <c r="B1098" s="9">
        <v>30</v>
      </c>
      <c r="C1098" s="9">
        <v>8282</v>
      </c>
      <c r="D1098" s="9">
        <f>PRODUCT(sales_data_sample[[#This Row],[QUANTITYORDERED]],sales_data_sample[[#This Row],[PRICEEACH]])</f>
        <v>248460</v>
      </c>
      <c r="E1098" s="9">
        <f>IF(OR(sales_data_sample[[#This Row],[STATUS]]="Shipped",sales_data_sample[[#This Row],[STATUS]]="Resolved"),sales_data_sample[[#This Row],[SALES]],0)</f>
        <v>248460</v>
      </c>
      <c r="F1098" s="10">
        <v>17</v>
      </c>
      <c r="G1098" s="12" t="s">
        <v>610</v>
      </c>
      <c r="H1098" s="1" t="s">
        <v>26</v>
      </c>
      <c r="I1098">
        <v>4</v>
      </c>
      <c r="J1098">
        <v>11</v>
      </c>
      <c r="K1098">
        <v>2003</v>
      </c>
      <c r="L1098" s="1" t="s">
        <v>239</v>
      </c>
      <c r="M1098">
        <v>80</v>
      </c>
      <c r="N1098" s="1" t="s">
        <v>921</v>
      </c>
      <c r="O1098" s="1" t="s">
        <v>92</v>
      </c>
      <c r="P1098" s="1" t="s">
        <v>93</v>
      </c>
      <c r="Q1098" s="1" t="s">
        <v>94</v>
      </c>
      <c r="R1098" s="1" t="s">
        <v>32</v>
      </c>
      <c r="S1098" s="1" t="s">
        <v>95</v>
      </c>
      <c r="T1098" s="1" t="s">
        <v>32</v>
      </c>
      <c r="U1098" s="1" t="s">
        <v>96</v>
      </c>
      <c r="V1098" s="1" t="s">
        <v>97</v>
      </c>
      <c r="W1098" s="1" t="s">
        <v>48</v>
      </c>
      <c r="X1098" s="1" t="s">
        <v>98</v>
      </c>
      <c r="Y1098" s="1" t="s">
        <v>99</v>
      </c>
      <c r="Z1098" s="1" t="str">
        <f>TRIM(_xlfn.CONCAT(sales_data_sample[[#This Row],[CONTACTFIRSTNAME]],", ",sales_data_sample[[#This Row],[CONTACTLASTNAME]]))</f>
        <v>Veysel, Oeztan</v>
      </c>
      <c r="AA1098" s="1" t="s">
        <v>40</v>
      </c>
    </row>
    <row r="1099" spans="1:27" x14ac:dyDescent="0.25">
      <c r="A1099" s="10">
        <v>10191</v>
      </c>
      <c r="B1099" s="9">
        <v>36</v>
      </c>
      <c r="C1099" s="9">
        <v>9488</v>
      </c>
      <c r="D1099" s="9">
        <f>PRODUCT(sales_data_sample[[#This Row],[QUANTITYORDERED]],sales_data_sample[[#This Row],[PRICEEACH]])</f>
        <v>341568</v>
      </c>
      <c r="E1099" s="9">
        <f>IF(OR(sales_data_sample[[#This Row],[STATUS]]="Shipped",sales_data_sample[[#This Row],[STATUS]]="Resolved"),sales_data_sample[[#This Row],[SALES]],0)</f>
        <v>341568</v>
      </c>
      <c r="F1099" s="10">
        <v>6</v>
      </c>
      <c r="G1099" s="12" t="s">
        <v>611</v>
      </c>
      <c r="H1099" s="1" t="s">
        <v>26</v>
      </c>
      <c r="I1099">
        <v>4</v>
      </c>
      <c r="J1099">
        <v>11</v>
      </c>
      <c r="K1099">
        <v>2003</v>
      </c>
      <c r="L1099" s="1" t="s">
        <v>239</v>
      </c>
      <c r="M1099">
        <v>80</v>
      </c>
      <c r="N1099" s="1" t="s">
        <v>921</v>
      </c>
      <c r="O1099" s="1" t="s">
        <v>612</v>
      </c>
      <c r="P1099" s="1" t="s">
        <v>613</v>
      </c>
      <c r="Q1099" s="1" t="s">
        <v>614</v>
      </c>
      <c r="R1099" s="1" t="s">
        <v>32</v>
      </c>
      <c r="S1099" s="1" t="s">
        <v>615</v>
      </c>
      <c r="T1099" s="1" t="s">
        <v>32</v>
      </c>
      <c r="U1099" s="1" t="s">
        <v>616</v>
      </c>
      <c r="V1099" s="1" t="s">
        <v>617</v>
      </c>
      <c r="W1099" s="1" t="s">
        <v>48</v>
      </c>
      <c r="X1099" s="1" t="s">
        <v>618</v>
      </c>
      <c r="Y1099" s="1" t="s">
        <v>619</v>
      </c>
      <c r="Z1099" s="1" t="str">
        <f>TRIM(_xlfn.CONCAT(sales_data_sample[[#This Row],[CONTACTFIRSTNAME]],", ",sales_data_sample[[#This Row],[CONTACTLASTNAME]]))</f>
        <v>Henriette, Pfalzheim</v>
      </c>
      <c r="AA1099" s="1" t="s">
        <v>59</v>
      </c>
    </row>
    <row r="1100" spans="1:27" x14ac:dyDescent="0.25">
      <c r="A1100" s="10">
        <v>10203</v>
      </c>
      <c r="B1100" s="9">
        <v>33</v>
      </c>
      <c r="C1100" s="9">
        <v>8604</v>
      </c>
      <c r="D1100" s="9">
        <f>PRODUCT(sales_data_sample[[#This Row],[QUANTITYORDERED]],sales_data_sample[[#This Row],[PRICEEACH]])</f>
        <v>283932</v>
      </c>
      <c r="E1100" s="9">
        <f>IF(OR(sales_data_sample[[#This Row],[STATUS]]="Shipped",sales_data_sample[[#This Row],[STATUS]]="Resolved"),sales_data_sample[[#This Row],[SALES]],0)</f>
        <v>283932</v>
      </c>
      <c r="F1100" s="10">
        <v>11</v>
      </c>
      <c r="G1100" s="12" t="s">
        <v>620</v>
      </c>
      <c r="H1100" s="1" t="s">
        <v>26</v>
      </c>
      <c r="I1100">
        <v>4</v>
      </c>
      <c r="J1100">
        <v>12</v>
      </c>
      <c r="K1100">
        <v>2003</v>
      </c>
      <c r="L1100" s="1" t="s">
        <v>239</v>
      </c>
      <c r="M1100">
        <v>80</v>
      </c>
      <c r="N1100" s="1" t="s">
        <v>921</v>
      </c>
      <c r="O1100" s="1" t="s">
        <v>230</v>
      </c>
      <c r="P1100" s="1" t="s">
        <v>231</v>
      </c>
      <c r="Q1100" s="1" t="s">
        <v>232</v>
      </c>
      <c r="R1100" s="1" t="s">
        <v>32</v>
      </c>
      <c r="S1100" s="1" t="s">
        <v>233</v>
      </c>
      <c r="T1100" s="1" t="s">
        <v>32</v>
      </c>
      <c r="U1100" s="1" t="s">
        <v>234</v>
      </c>
      <c r="V1100" s="1" t="s">
        <v>235</v>
      </c>
      <c r="W1100" s="1" t="s">
        <v>48</v>
      </c>
      <c r="X1100" s="1" t="s">
        <v>236</v>
      </c>
      <c r="Y1100" s="1" t="s">
        <v>237</v>
      </c>
      <c r="Z1100" s="1" t="str">
        <f>TRIM(_xlfn.CONCAT(sales_data_sample[[#This Row],[CONTACTFIRSTNAME]],", ",sales_data_sample[[#This Row],[CONTACTLASTNAME]]))</f>
        <v>Diego, Freyre</v>
      </c>
      <c r="AA1100" s="1" t="s">
        <v>40</v>
      </c>
    </row>
    <row r="1101" spans="1:27" x14ac:dyDescent="0.25">
      <c r="A1101" s="10">
        <v>10211</v>
      </c>
      <c r="B1101" s="9">
        <v>35</v>
      </c>
      <c r="C1101" s="9">
        <v>78</v>
      </c>
      <c r="D1101" s="9">
        <f>PRODUCT(sales_data_sample[[#This Row],[QUANTITYORDERED]],sales_data_sample[[#This Row],[PRICEEACH]])</f>
        <v>2730</v>
      </c>
      <c r="E1101" s="9">
        <f>IF(OR(sales_data_sample[[#This Row],[STATUS]]="Shipped",sales_data_sample[[#This Row],[STATUS]]="Resolved"),sales_data_sample[[#This Row],[SALES]],0)</f>
        <v>2730</v>
      </c>
      <c r="F1101" s="10">
        <v>5</v>
      </c>
      <c r="G1101" s="12" t="s">
        <v>105</v>
      </c>
      <c r="H1101" s="1" t="s">
        <v>26</v>
      </c>
      <c r="I1101">
        <v>1</v>
      </c>
      <c r="J1101">
        <v>1</v>
      </c>
      <c r="K1101">
        <v>2004</v>
      </c>
      <c r="L1101" s="1" t="s">
        <v>239</v>
      </c>
      <c r="M1101">
        <v>80</v>
      </c>
      <c r="N1101" s="1" t="s">
        <v>921</v>
      </c>
      <c r="O1101" s="1" t="s">
        <v>106</v>
      </c>
      <c r="P1101" s="1" t="s">
        <v>107</v>
      </c>
      <c r="Q1101" s="1" t="s">
        <v>108</v>
      </c>
      <c r="R1101" s="1" t="s">
        <v>32</v>
      </c>
      <c r="S1101" s="1" t="s">
        <v>55</v>
      </c>
      <c r="T1101" s="1" t="s">
        <v>32</v>
      </c>
      <c r="U1101" s="1" t="s">
        <v>109</v>
      </c>
      <c r="V1101" s="1" t="s">
        <v>47</v>
      </c>
      <c r="W1101" s="1" t="s">
        <v>48</v>
      </c>
      <c r="X1101" s="1" t="s">
        <v>110</v>
      </c>
      <c r="Y1101" s="1" t="s">
        <v>111</v>
      </c>
      <c r="Z1101" s="1" t="str">
        <f>TRIM(_xlfn.CONCAT(sales_data_sample[[#This Row],[CONTACTFIRSTNAME]],", ",sales_data_sample[[#This Row],[CONTACTLASTNAME]]))</f>
        <v>Dominique, Perrier</v>
      </c>
      <c r="AA1101" s="1" t="s">
        <v>40</v>
      </c>
    </row>
    <row r="1102" spans="1:27" x14ac:dyDescent="0.25">
      <c r="A1102" s="10">
        <v>10225</v>
      </c>
      <c r="B1102" s="9">
        <v>37</v>
      </c>
      <c r="C1102" s="9">
        <v>9569</v>
      </c>
      <c r="D1102" s="9">
        <f>PRODUCT(sales_data_sample[[#This Row],[QUANTITYORDERED]],sales_data_sample[[#This Row],[PRICEEACH]])</f>
        <v>354053</v>
      </c>
      <c r="E1102" s="9">
        <f>IF(OR(sales_data_sample[[#This Row],[STATUS]]="Shipped",sales_data_sample[[#This Row],[STATUS]]="Resolved"),sales_data_sample[[#This Row],[SALES]],0)</f>
        <v>354053</v>
      </c>
      <c r="F1102" s="10">
        <v>12</v>
      </c>
      <c r="G1102" s="12" t="s">
        <v>621</v>
      </c>
      <c r="H1102" s="1" t="s">
        <v>26</v>
      </c>
      <c r="I1102">
        <v>1</v>
      </c>
      <c r="J1102">
        <v>2</v>
      </c>
      <c r="K1102">
        <v>2004</v>
      </c>
      <c r="L1102" s="1" t="s">
        <v>239</v>
      </c>
      <c r="M1102">
        <v>80</v>
      </c>
      <c r="N1102" s="1" t="s">
        <v>921</v>
      </c>
      <c r="O1102" s="1" t="s">
        <v>622</v>
      </c>
      <c r="P1102" s="1" t="s">
        <v>623</v>
      </c>
      <c r="Q1102" s="1" t="s">
        <v>624</v>
      </c>
      <c r="R1102" s="1" t="s">
        <v>32</v>
      </c>
      <c r="S1102" s="1" t="s">
        <v>625</v>
      </c>
      <c r="T1102" s="1" t="s">
        <v>32</v>
      </c>
      <c r="U1102" s="1" t="s">
        <v>626</v>
      </c>
      <c r="V1102" s="1" t="s">
        <v>627</v>
      </c>
      <c r="W1102" s="1" t="s">
        <v>48</v>
      </c>
      <c r="X1102" s="1" t="s">
        <v>628</v>
      </c>
      <c r="Y1102" s="1" t="s">
        <v>130</v>
      </c>
      <c r="Z1102" s="1" t="str">
        <f>TRIM(_xlfn.CONCAT(sales_data_sample[[#This Row],[CONTACTFIRSTNAME]],", ",sales_data_sample[[#This Row],[CONTACTLASTNAME]]))</f>
        <v>Michael, Holz</v>
      </c>
      <c r="AA1102" s="1" t="s">
        <v>59</v>
      </c>
    </row>
    <row r="1103" spans="1:27" x14ac:dyDescent="0.25">
      <c r="A1103" s="10">
        <v>10238</v>
      </c>
      <c r="B1103" s="9">
        <v>41</v>
      </c>
      <c r="C1103" s="9">
        <v>7317</v>
      </c>
      <c r="D1103" s="9">
        <f>PRODUCT(sales_data_sample[[#This Row],[QUANTITYORDERED]],sales_data_sample[[#This Row],[PRICEEACH]])</f>
        <v>299997</v>
      </c>
      <c r="E1103" s="9">
        <f>IF(OR(sales_data_sample[[#This Row],[STATUS]]="Shipped",sales_data_sample[[#This Row],[STATUS]]="Resolved"),sales_data_sample[[#This Row],[SALES]],0)</f>
        <v>299997</v>
      </c>
      <c r="F1103" s="10">
        <v>6</v>
      </c>
      <c r="G1103" s="12" t="s">
        <v>629</v>
      </c>
      <c r="H1103" s="1" t="s">
        <v>26</v>
      </c>
      <c r="I1103">
        <v>2</v>
      </c>
      <c r="J1103">
        <v>4</v>
      </c>
      <c r="K1103">
        <v>2004</v>
      </c>
      <c r="L1103" s="1" t="s">
        <v>239</v>
      </c>
      <c r="M1103">
        <v>80</v>
      </c>
      <c r="N1103" s="1" t="s">
        <v>921</v>
      </c>
      <c r="O1103" s="1" t="s">
        <v>437</v>
      </c>
      <c r="P1103" s="1" t="s">
        <v>438</v>
      </c>
      <c r="Q1103" s="1" t="s">
        <v>439</v>
      </c>
      <c r="R1103" s="1" t="s">
        <v>32</v>
      </c>
      <c r="S1103" s="1" t="s">
        <v>440</v>
      </c>
      <c r="T1103" s="1" t="s">
        <v>32</v>
      </c>
      <c r="U1103" s="1" t="s">
        <v>441</v>
      </c>
      <c r="V1103" s="1" t="s">
        <v>442</v>
      </c>
      <c r="W1103" s="1" t="s">
        <v>48</v>
      </c>
      <c r="X1103" s="1" t="s">
        <v>443</v>
      </c>
      <c r="Y1103" s="1" t="s">
        <v>444</v>
      </c>
      <c r="Z1103" s="1" t="str">
        <f>TRIM(_xlfn.CONCAT(sales_data_sample[[#This Row],[CONTACTFIRSTNAME]],", ",sales_data_sample[[#This Row],[CONTACTLASTNAME]]))</f>
        <v>Jytte, Petersen</v>
      </c>
      <c r="AA1103" s="1" t="s">
        <v>40</v>
      </c>
    </row>
    <row r="1104" spans="1:27" x14ac:dyDescent="0.25">
      <c r="A1104" s="10">
        <v>10252</v>
      </c>
      <c r="B1104" s="9">
        <v>20</v>
      </c>
      <c r="C1104" s="9">
        <v>7639</v>
      </c>
      <c r="D1104" s="9">
        <f>PRODUCT(sales_data_sample[[#This Row],[QUANTITYORDERED]],sales_data_sample[[#This Row],[PRICEEACH]])</f>
        <v>152780</v>
      </c>
      <c r="E1104" s="9">
        <f>IF(OR(sales_data_sample[[#This Row],[STATUS]]="Shipped",sales_data_sample[[#This Row],[STATUS]]="Resolved"),sales_data_sample[[#This Row],[SALES]],0)</f>
        <v>152780</v>
      </c>
      <c r="F1104" s="10">
        <v>2</v>
      </c>
      <c r="G1104" s="12" t="s">
        <v>922</v>
      </c>
      <c r="H1104" s="1" t="s">
        <v>26</v>
      </c>
      <c r="I1104">
        <v>2</v>
      </c>
      <c r="J1104">
        <v>5</v>
      </c>
      <c r="K1104">
        <v>2004</v>
      </c>
      <c r="L1104" s="1" t="s">
        <v>239</v>
      </c>
      <c r="M1104">
        <v>80</v>
      </c>
      <c r="N1104" s="1" t="s">
        <v>921</v>
      </c>
      <c r="O1104" s="1" t="s">
        <v>106</v>
      </c>
      <c r="P1104" s="1" t="s">
        <v>107</v>
      </c>
      <c r="Q1104" s="1" t="s">
        <v>108</v>
      </c>
      <c r="R1104" s="1" t="s">
        <v>32</v>
      </c>
      <c r="S1104" s="1" t="s">
        <v>55</v>
      </c>
      <c r="T1104" s="1" t="s">
        <v>32</v>
      </c>
      <c r="U1104" s="1" t="s">
        <v>109</v>
      </c>
      <c r="V1104" s="1" t="s">
        <v>47</v>
      </c>
      <c r="W1104" s="1" t="s">
        <v>48</v>
      </c>
      <c r="X1104" s="1" t="s">
        <v>110</v>
      </c>
      <c r="Y1104" s="1" t="s">
        <v>111</v>
      </c>
      <c r="Z1104" s="1" t="str">
        <f>TRIM(_xlfn.CONCAT(sales_data_sample[[#This Row],[CONTACTFIRSTNAME]],", ",sales_data_sample[[#This Row],[CONTACTLASTNAME]]))</f>
        <v>Dominique, Perrier</v>
      </c>
      <c r="AA1104" s="1" t="s">
        <v>40</v>
      </c>
    </row>
    <row r="1105" spans="1:27" x14ac:dyDescent="0.25">
      <c r="A1105" s="10">
        <v>10265</v>
      </c>
      <c r="B1105" s="9">
        <v>45</v>
      </c>
      <c r="C1105" s="9">
        <v>8684</v>
      </c>
      <c r="D1105" s="9">
        <f>PRODUCT(sales_data_sample[[#This Row],[QUANTITYORDERED]],sales_data_sample[[#This Row],[PRICEEACH]])</f>
        <v>390780</v>
      </c>
      <c r="E1105" s="9">
        <f>IF(OR(sales_data_sample[[#This Row],[STATUS]]="Shipped",sales_data_sample[[#This Row],[STATUS]]="Resolved"),sales_data_sample[[#This Row],[SALES]],0)</f>
        <v>390780</v>
      </c>
      <c r="F1105" s="10">
        <v>2</v>
      </c>
      <c r="G1105" s="12" t="s">
        <v>923</v>
      </c>
      <c r="H1105" s="1" t="s">
        <v>26</v>
      </c>
      <c r="I1105">
        <v>3</v>
      </c>
      <c r="J1105">
        <v>7</v>
      </c>
      <c r="K1105">
        <v>2004</v>
      </c>
      <c r="L1105" s="1" t="s">
        <v>239</v>
      </c>
      <c r="M1105">
        <v>80</v>
      </c>
      <c r="N1105" s="1" t="s">
        <v>921</v>
      </c>
      <c r="O1105" s="1" t="s">
        <v>814</v>
      </c>
      <c r="P1105" s="1" t="s">
        <v>815</v>
      </c>
      <c r="Q1105" s="1" t="s">
        <v>816</v>
      </c>
      <c r="R1105" s="1" t="s">
        <v>32</v>
      </c>
      <c r="S1105" s="1" t="s">
        <v>817</v>
      </c>
      <c r="T1105" s="1" t="s">
        <v>118</v>
      </c>
      <c r="U1105" s="1" t="s">
        <v>818</v>
      </c>
      <c r="V1105" s="1" t="s">
        <v>120</v>
      </c>
      <c r="W1105" s="1" t="s">
        <v>121</v>
      </c>
      <c r="X1105" s="1" t="s">
        <v>819</v>
      </c>
      <c r="Y1105" s="1" t="s">
        <v>820</v>
      </c>
      <c r="Z1105" s="1" t="str">
        <f>TRIM(_xlfn.CONCAT(sales_data_sample[[#This Row],[CONTACTFIRSTNAME]],", ",sales_data_sample[[#This Row],[CONTACTLASTNAME]]))</f>
        <v>Sean, Connery</v>
      </c>
      <c r="AA1105" s="1" t="s">
        <v>59</v>
      </c>
    </row>
    <row r="1106" spans="1:27" x14ac:dyDescent="0.25">
      <c r="A1106" s="10">
        <v>10276</v>
      </c>
      <c r="B1106" s="9">
        <v>38</v>
      </c>
      <c r="C1106" s="9">
        <v>6996</v>
      </c>
      <c r="D1106" s="9">
        <f>PRODUCT(sales_data_sample[[#This Row],[QUANTITYORDERED]],sales_data_sample[[#This Row],[PRICEEACH]])</f>
        <v>265848</v>
      </c>
      <c r="E1106" s="9">
        <f>IF(OR(sales_data_sample[[#This Row],[STATUS]]="Shipped",sales_data_sample[[#This Row],[STATUS]]="Resolved"),sales_data_sample[[#This Row],[SALES]],0)</f>
        <v>265848</v>
      </c>
      <c r="F1106" s="10">
        <v>6</v>
      </c>
      <c r="G1106" s="12" t="s">
        <v>639</v>
      </c>
      <c r="H1106" s="1" t="s">
        <v>26</v>
      </c>
      <c r="I1106">
        <v>3</v>
      </c>
      <c r="J1106">
        <v>8</v>
      </c>
      <c r="K1106">
        <v>2004</v>
      </c>
      <c r="L1106" s="1" t="s">
        <v>239</v>
      </c>
      <c r="M1106">
        <v>80</v>
      </c>
      <c r="N1106" s="1" t="s">
        <v>921</v>
      </c>
      <c r="O1106" s="1" t="s">
        <v>640</v>
      </c>
      <c r="P1106" s="1" t="s">
        <v>641</v>
      </c>
      <c r="Q1106" s="1" t="s">
        <v>642</v>
      </c>
      <c r="R1106" s="1" t="s">
        <v>32</v>
      </c>
      <c r="S1106" s="1" t="s">
        <v>380</v>
      </c>
      <c r="T1106" s="1" t="s">
        <v>160</v>
      </c>
      <c r="U1106" s="1" t="s">
        <v>381</v>
      </c>
      <c r="V1106" s="1" t="s">
        <v>36</v>
      </c>
      <c r="W1106" s="1" t="s">
        <v>37</v>
      </c>
      <c r="X1106" s="1" t="s">
        <v>643</v>
      </c>
      <c r="Y1106" s="1" t="s">
        <v>644</v>
      </c>
      <c r="Z1106" s="1" t="str">
        <f>TRIM(_xlfn.CONCAT(sales_data_sample[[#This Row],[CONTACTFIRSTNAME]],", ",sales_data_sample[[#This Row],[CONTACTLASTNAME]]))</f>
        <v>Miguel, Barajas</v>
      </c>
      <c r="AA1106" s="1" t="s">
        <v>40</v>
      </c>
    </row>
    <row r="1107" spans="1:27" x14ac:dyDescent="0.25">
      <c r="A1107" s="10">
        <v>10287</v>
      </c>
      <c r="B1107" s="9">
        <v>43</v>
      </c>
      <c r="C1107" s="9">
        <v>7076</v>
      </c>
      <c r="D1107" s="9">
        <f>PRODUCT(sales_data_sample[[#This Row],[QUANTITYORDERED]],sales_data_sample[[#This Row],[PRICEEACH]])</f>
        <v>304268</v>
      </c>
      <c r="E1107" s="9">
        <f>IF(OR(sales_data_sample[[#This Row],[STATUS]]="Shipped",sales_data_sample[[#This Row],[STATUS]]="Resolved"),sales_data_sample[[#This Row],[SALES]],0)</f>
        <v>304268</v>
      </c>
      <c r="F1107" s="10">
        <v>15</v>
      </c>
      <c r="G1107" s="12" t="s">
        <v>645</v>
      </c>
      <c r="H1107" s="1" t="s">
        <v>26</v>
      </c>
      <c r="I1107">
        <v>3</v>
      </c>
      <c r="J1107">
        <v>8</v>
      </c>
      <c r="K1107">
        <v>2004</v>
      </c>
      <c r="L1107" s="1" t="s">
        <v>239</v>
      </c>
      <c r="M1107">
        <v>80</v>
      </c>
      <c r="N1107" s="1" t="s">
        <v>921</v>
      </c>
      <c r="O1107" s="1" t="s">
        <v>622</v>
      </c>
      <c r="P1107" s="1" t="s">
        <v>623</v>
      </c>
      <c r="Q1107" s="1" t="s">
        <v>624</v>
      </c>
      <c r="R1107" s="1" t="s">
        <v>32</v>
      </c>
      <c r="S1107" s="1" t="s">
        <v>625</v>
      </c>
      <c r="T1107" s="1" t="s">
        <v>32</v>
      </c>
      <c r="U1107" s="1" t="s">
        <v>626</v>
      </c>
      <c r="V1107" s="1" t="s">
        <v>627</v>
      </c>
      <c r="W1107" s="1" t="s">
        <v>48</v>
      </c>
      <c r="X1107" s="1" t="s">
        <v>628</v>
      </c>
      <c r="Y1107" s="1" t="s">
        <v>130</v>
      </c>
      <c r="Z1107" s="1" t="str">
        <f>TRIM(_xlfn.CONCAT(sales_data_sample[[#This Row],[CONTACTFIRSTNAME]],", ",sales_data_sample[[#This Row],[CONTACTLASTNAME]]))</f>
        <v>Michael, Holz</v>
      </c>
      <c r="AA1107" s="1" t="s">
        <v>59</v>
      </c>
    </row>
    <row r="1108" spans="1:27" x14ac:dyDescent="0.25">
      <c r="A1108" s="10">
        <v>10300</v>
      </c>
      <c r="B1108" s="9">
        <v>49</v>
      </c>
      <c r="C1108" s="9">
        <v>788</v>
      </c>
      <c r="D1108" s="9">
        <f>PRODUCT(sales_data_sample[[#This Row],[QUANTITYORDERED]],sales_data_sample[[#This Row],[PRICEEACH]])</f>
        <v>38612</v>
      </c>
      <c r="E1108" s="9">
        <f>IF(OR(sales_data_sample[[#This Row],[STATUS]]="Shipped",sales_data_sample[[#This Row],[STATUS]]="Resolved"),sales_data_sample[[#This Row],[SALES]],0)</f>
        <v>38612</v>
      </c>
      <c r="F1108" s="10">
        <v>8</v>
      </c>
      <c r="G1108" s="12" t="s">
        <v>646</v>
      </c>
      <c r="H1108" s="1" t="s">
        <v>26</v>
      </c>
      <c r="I1108">
        <v>4</v>
      </c>
      <c r="J1108">
        <v>10</v>
      </c>
      <c r="K1108">
        <v>2003</v>
      </c>
      <c r="L1108" s="1" t="s">
        <v>239</v>
      </c>
      <c r="M1108">
        <v>80</v>
      </c>
      <c r="N1108" s="1" t="s">
        <v>921</v>
      </c>
      <c r="O1108" s="1" t="s">
        <v>647</v>
      </c>
      <c r="P1108" s="1" t="s">
        <v>648</v>
      </c>
      <c r="Q1108" s="1" t="s">
        <v>649</v>
      </c>
      <c r="R1108" s="1" t="s">
        <v>32</v>
      </c>
      <c r="S1108" s="1" t="s">
        <v>650</v>
      </c>
      <c r="T1108" s="1" t="s">
        <v>32</v>
      </c>
      <c r="U1108" s="1" t="s">
        <v>651</v>
      </c>
      <c r="V1108" s="1" t="s">
        <v>617</v>
      </c>
      <c r="W1108" s="1" t="s">
        <v>48</v>
      </c>
      <c r="X1108" s="1" t="s">
        <v>652</v>
      </c>
      <c r="Y1108" s="1" t="s">
        <v>570</v>
      </c>
      <c r="Z1108" s="1" t="str">
        <f>TRIM(_xlfn.CONCAT(sales_data_sample[[#This Row],[CONTACTFIRSTNAME]],", ",sales_data_sample[[#This Row],[CONTACTLASTNAME]]))</f>
        <v>Roland, Keitel</v>
      </c>
      <c r="AA1108" s="1" t="s">
        <v>59</v>
      </c>
    </row>
    <row r="1109" spans="1:27" x14ac:dyDescent="0.25">
      <c r="A1109" s="10">
        <v>10310</v>
      </c>
      <c r="B1109" s="9">
        <v>27</v>
      </c>
      <c r="C1109" s="9">
        <v>8041</v>
      </c>
      <c r="D1109" s="9">
        <f>PRODUCT(sales_data_sample[[#This Row],[QUANTITYORDERED]],sales_data_sample[[#This Row],[PRICEEACH]])</f>
        <v>217107</v>
      </c>
      <c r="E1109" s="9">
        <f>IF(OR(sales_data_sample[[#This Row],[STATUS]]="Shipped",sales_data_sample[[#This Row],[STATUS]]="Resolved"),sales_data_sample[[#This Row],[SALES]],0)</f>
        <v>217107</v>
      </c>
      <c r="F1109" s="10">
        <v>13</v>
      </c>
      <c r="G1109" s="12" t="s">
        <v>653</v>
      </c>
      <c r="H1109" s="1" t="s">
        <v>26</v>
      </c>
      <c r="I1109">
        <v>4</v>
      </c>
      <c r="J1109">
        <v>10</v>
      </c>
      <c r="K1109">
        <v>2004</v>
      </c>
      <c r="L1109" s="1" t="s">
        <v>239</v>
      </c>
      <c r="M1109">
        <v>80</v>
      </c>
      <c r="N1109" s="1" t="s">
        <v>921</v>
      </c>
      <c r="O1109" s="1" t="s">
        <v>612</v>
      </c>
      <c r="P1109" s="1" t="s">
        <v>613</v>
      </c>
      <c r="Q1109" s="1" t="s">
        <v>614</v>
      </c>
      <c r="R1109" s="1" t="s">
        <v>32</v>
      </c>
      <c r="S1109" s="1" t="s">
        <v>615</v>
      </c>
      <c r="T1109" s="1" t="s">
        <v>32</v>
      </c>
      <c r="U1109" s="1" t="s">
        <v>616</v>
      </c>
      <c r="V1109" s="1" t="s">
        <v>617</v>
      </c>
      <c r="W1109" s="1" t="s">
        <v>48</v>
      </c>
      <c r="X1109" s="1" t="s">
        <v>618</v>
      </c>
      <c r="Y1109" s="1" t="s">
        <v>619</v>
      </c>
      <c r="Z1109" s="1" t="str">
        <f>TRIM(_xlfn.CONCAT(sales_data_sample[[#This Row],[CONTACTFIRSTNAME]],", ",sales_data_sample[[#This Row],[CONTACTLASTNAME]]))</f>
        <v>Henriette, Pfalzheim</v>
      </c>
      <c r="AA1109" s="1" t="s">
        <v>40</v>
      </c>
    </row>
    <row r="1110" spans="1:27" x14ac:dyDescent="0.25">
      <c r="A1110">
        <v>10319</v>
      </c>
      <c r="B1110">
        <v>46</v>
      </c>
      <c r="C1110">
        <v>7398</v>
      </c>
      <c r="D1110">
        <f>PRODUCT(sales_data_sample[[#This Row],[QUANTITYORDERED]],sales_data_sample[[#This Row],[PRICEEACH]])</f>
        <v>340308</v>
      </c>
      <c r="E1110" s="9">
        <f>IF(OR(sales_data_sample[[#This Row],[STATUS]]="Shipped",sales_data_sample[[#This Row],[STATUS]]="Resolved"),sales_data_sample[[#This Row],[SALES]],0)</f>
        <v>340308</v>
      </c>
      <c r="F1110">
        <v>1</v>
      </c>
      <c r="G1110" s="12" t="s">
        <v>654</v>
      </c>
      <c r="H1110" s="1" t="s">
        <v>26</v>
      </c>
      <c r="I1110">
        <v>4</v>
      </c>
      <c r="J1110">
        <v>11</v>
      </c>
      <c r="K1110">
        <v>2004</v>
      </c>
      <c r="L1110" s="1" t="s">
        <v>239</v>
      </c>
      <c r="M1110">
        <v>80</v>
      </c>
      <c r="N1110" s="1" t="s">
        <v>921</v>
      </c>
      <c r="O1110" s="1" t="s">
        <v>717</v>
      </c>
      <c r="P1110" s="1" t="s">
        <v>718</v>
      </c>
      <c r="Q1110" s="1" t="s">
        <v>719</v>
      </c>
      <c r="R1110" s="1" t="s">
        <v>720</v>
      </c>
      <c r="S1110" s="1" t="s">
        <v>33</v>
      </c>
      <c r="T1110" s="1" t="s">
        <v>34</v>
      </c>
      <c r="U1110" s="1" t="s">
        <v>35</v>
      </c>
      <c r="V1110" s="1" t="s">
        <v>36</v>
      </c>
      <c r="W1110" s="1" t="s">
        <v>37</v>
      </c>
      <c r="X1110" s="1" t="s">
        <v>721</v>
      </c>
      <c r="Y1110" s="1" t="s">
        <v>722</v>
      </c>
      <c r="Z1110" s="1" t="str">
        <f>TRIM(_xlfn.CONCAT(sales_data_sample[[#This Row],[CONTACTFIRSTNAME]],", ",sales_data_sample[[#This Row],[CONTACTLASTNAME]]))</f>
        <v>Kee, Kuo</v>
      </c>
      <c r="AA1110" s="1" t="s">
        <v>59</v>
      </c>
    </row>
    <row r="1111" spans="1:27" x14ac:dyDescent="0.25">
      <c r="A1111" s="10">
        <v>10329</v>
      </c>
      <c r="B1111" s="9">
        <v>38</v>
      </c>
      <c r="C1111" s="9">
        <v>591</v>
      </c>
      <c r="D1111" s="9">
        <f>PRODUCT(sales_data_sample[[#This Row],[QUANTITYORDERED]],sales_data_sample[[#This Row],[PRICEEACH]])</f>
        <v>22458</v>
      </c>
      <c r="E1111" s="9">
        <f>IF(OR(sales_data_sample[[#This Row],[STATUS]]="Shipped",sales_data_sample[[#This Row],[STATUS]]="Resolved"),sales_data_sample[[#This Row],[SALES]],0)</f>
        <v>22458</v>
      </c>
      <c r="F1111" s="10">
        <v>10</v>
      </c>
      <c r="G1111" s="12" t="s">
        <v>189</v>
      </c>
      <c r="H1111" s="1" t="s">
        <v>26</v>
      </c>
      <c r="I1111">
        <v>4</v>
      </c>
      <c r="J1111">
        <v>11</v>
      </c>
      <c r="K1111">
        <v>2004</v>
      </c>
      <c r="L1111" s="1" t="s">
        <v>239</v>
      </c>
      <c r="M1111">
        <v>80</v>
      </c>
      <c r="N1111" s="1" t="s">
        <v>921</v>
      </c>
      <c r="O1111" s="1" t="s">
        <v>29</v>
      </c>
      <c r="P1111" s="1" t="s">
        <v>30</v>
      </c>
      <c r="Q1111" s="1" t="s">
        <v>31</v>
      </c>
      <c r="R1111" s="1" t="s">
        <v>32</v>
      </c>
      <c r="S1111" s="1" t="s">
        <v>33</v>
      </c>
      <c r="T1111" s="1" t="s">
        <v>34</v>
      </c>
      <c r="U1111" s="1" t="s">
        <v>35</v>
      </c>
      <c r="V1111" s="1" t="s">
        <v>36</v>
      </c>
      <c r="W1111" s="1" t="s">
        <v>37</v>
      </c>
      <c r="X1111" s="1" t="s">
        <v>38</v>
      </c>
      <c r="Y1111" s="1" t="s">
        <v>39</v>
      </c>
      <c r="Z1111" s="1" t="str">
        <f>TRIM(_xlfn.CONCAT(sales_data_sample[[#This Row],[CONTACTFIRSTNAME]],", ",sales_data_sample[[#This Row],[CONTACTLASTNAME]]))</f>
        <v>Kwai, Yu</v>
      </c>
      <c r="AA1111" s="1" t="s">
        <v>40</v>
      </c>
    </row>
    <row r="1112" spans="1:27" x14ac:dyDescent="0.25">
      <c r="A1112">
        <v>10342</v>
      </c>
      <c r="B1112">
        <v>25</v>
      </c>
      <c r="C1112">
        <v>6674</v>
      </c>
      <c r="D1112">
        <f>PRODUCT(sales_data_sample[[#This Row],[QUANTITYORDERED]],sales_data_sample[[#This Row],[PRICEEACH]])</f>
        <v>166850</v>
      </c>
      <c r="E1112" s="9">
        <f>IF(OR(sales_data_sample[[#This Row],[STATUS]]="Shipped",sales_data_sample[[#This Row],[STATUS]]="Resolved"),sales_data_sample[[#This Row],[SALES]],0)</f>
        <v>166850</v>
      </c>
      <c r="F1112">
        <v>5</v>
      </c>
      <c r="G1112" s="12" t="s">
        <v>190</v>
      </c>
      <c r="H1112" s="1" t="s">
        <v>26</v>
      </c>
      <c r="I1112">
        <v>4</v>
      </c>
      <c r="J1112">
        <v>11</v>
      </c>
      <c r="K1112">
        <v>2004</v>
      </c>
      <c r="L1112" s="1" t="s">
        <v>239</v>
      </c>
      <c r="M1112">
        <v>80</v>
      </c>
      <c r="N1112" s="1" t="s">
        <v>921</v>
      </c>
      <c r="O1112" s="1" t="s">
        <v>113</v>
      </c>
      <c r="P1112" s="1" t="s">
        <v>114</v>
      </c>
      <c r="Q1112" s="1" t="s">
        <v>115</v>
      </c>
      <c r="R1112" s="1" t="s">
        <v>116</v>
      </c>
      <c r="S1112" s="1" t="s">
        <v>117</v>
      </c>
      <c r="T1112" s="1" t="s">
        <v>118</v>
      </c>
      <c r="U1112" s="1" t="s">
        <v>119</v>
      </c>
      <c r="V1112" s="1" t="s">
        <v>120</v>
      </c>
      <c r="W1112" s="1" t="s">
        <v>121</v>
      </c>
      <c r="X1112" s="1" t="s">
        <v>122</v>
      </c>
      <c r="Y1112" s="1" t="s">
        <v>123</v>
      </c>
      <c r="Z1112" s="1" t="str">
        <f>TRIM(_xlfn.CONCAT(sales_data_sample[[#This Row],[CONTACTFIRSTNAME]],", ",sales_data_sample[[#This Row],[CONTACTLASTNAME]]))</f>
        <v>Peter, Ferguson</v>
      </c>
      <c r="AA1112" s="1" t="s">
        <v>40</v>
      </c>
    </row>
    <row r="1113" spans="1:27" x14ac:dyDescent="0.25">
      <c r="A1113" s="10">
        <v>10363</v>
      </c>
      <c r="B1113" s="9">
        <v>46</v>
      </c>
      <c r="C1113" s="9">
        <v>603</v>
      </c>
      <c r="D1113" s="9">
        <f>PRODUCT(sales_data_sample[[#This Row],[QUANTITYORDERED]],sales_data_sample[[#This Row],[PRICEEACH]])</f>
        <v>27738</v>
      </c>
      <c r="E1113" s="9">
        <f>IF(OR(sales_data_sample[[#This Row],[STATUS]]="Shipped",sales_data_sample[[#This Row],[STATUS]]="Resolved"),sales_data_sample[[#This Row],[SALES]],0)</f>
        <v>27738</v>
      </c>
      <c r="F1113" s="10">
        <v>10</v>
      </c>
      <c r="G1113" s="12" t="s">
        <v>655</v>
      </c>
      <c r="H1113" s="1" t="s">
        <v>26</v>
      </c>
      <c r="I1113">
        <v>1</v>
      </c>
      <c r="J1113">
        <v>1</v>
      </c>
      <c r="K1113">
        <v>2005</v>
      </c>
      <c r="L1113" s="1" t="s">
        <v>239</v>
      </c>
      <c r="M1113">
        <v>80</v>
      </c>
      <c r="N1113" s="1" t="s">
        <v>921</v>
      </c>
      <c r="O1113" s="1" t="s">
        <v>656</v>
      </c>
      <c r="P1113" s="1" t="s">
        <v>657</v>
      </c>
      <c r="Q1113" s="1" t="s">
        <v>658</v>
      </c>
      <c r="R1113" s="1" t="s">
        <v>32</v>
      </c>
      <c r="S1113" s="1" t="s">
        <v>659</v>
      </c>
      <c r="T1113" s="1" t="s">
        <v>32</v>
      </c>
      <c r="U1113" s="1" t="s">
        <v>660</v>
      </c>
      <c r="V1113" s="1" t="s">
        <v>170</v>
      </c>
      <c r="W1113" s="1" t="s">
        <v>48</v>
      </c>
      <c r="X1113" s="1" t="s">
        <v>661</v>
      </c>
      <c r="Y1113" s="1" t="s">
        <v>662</v>
      </c>
      <c r="Z1113" s="1" t="str">
        <f>TRIM(_xlfn.CONCAT(sales_data_sample[[#This Row],[CONTACTFIRSTNAME]],", ",sales_data_sample[[#This Row],[CONTACTLASTNAME]]))</f>
        <v>Kalle, Suominen</v>
      </c>
      <c r="AA1113" s="1" t="s">
        <v>40</v>
      </c>
    </row>
    <row r="1114" spans="1:27" x14ac:dyDescent="0.25">
      <c r="A1114" s="10">
        <v>10378</v>
      </c>
      <c r="B1114" s="9">
        <v>22</v>
      </c>
      <c r="C1114" s="9">
        <v>100</v>
      </c>
      <c r="D1114" s="9">
        <f>PRODUCT(sales_data_sample[[#This Row],[QUANTITYORDERED]],sales_data_sample[[#This Row],[PRICEEACH]])</f>
        <v>2200</v>
      </c>
      <c r="E1114" s="9">
        <f>IF(OR(sales_data_sample[[#This Row],[STATUS]]="Shipped",sales_data_sample[[#This Row],[STATUS]]="Resolved"),sales_data_sample[[#This Row],[SALES]],0)</f>
        <v>2200</v>
      </c>
      <c r="F1114" s="10">
        <v>4</v>
      </c>
      <c r="G1114" s="12" t="s">
        <v>836</v>
      </c>
      <c r="H1114" s="1" t="s">
        <v>26</v>
      </c>
      <c r="I1114">
        <v>1</v>
      </c>
      <c r="J1114">
        <v>2</v>
      </c>
      <c r="K1114">
        <v>2005</v>
      </c>
      <c r="L1114" s="1" t="s">
        <v>239</v>
      </c>
      <c r="M1114">
        <v>80</v>
      </c>
      <c r="N1114" s="1" t="s">
        <v>921</v>
      </c>
      <c r="O1114" s="1" t="s">
        <v>230</v>
      </c>
      <c r="P1114" s="1" t="s">
        <v>231</v>
      </c>
      <c r="Q1114" s="1" t="s">
        <v>232</v>
      </c>
      <c r="R1114" s="1" t="s">
        <v>32</v>
      </c>
      <c r="S1114" s="1" t="s">
        <v>233</v>
      </c>
      <c r="T1114" s="1" t="s">
        <v>32</v>
      </c>
      <c r="U1114" s="1" t="s">
        <v>234</v>
      </c>
      <c r="V1114" s="1" t="s">
        <v>235</v>
      </c>
      <c r="W1114" s="1" t="s">
        <v>48</v>
      </c>
      <c r="X1114" s="1" t="s">
        <v>236</v>
      </c>
      <c r="Y1114" s="1" t="s">
        <v>237</v>
      </c>
      <c r="Z1114" s="1" t="str">
        <f>TRIM(_xlfn.CONCAT(sales_data_sample[[#This Row],[CONTACTFIRSTNAME]],", ",sales_data_sample[[#This Row],[CONTACTLASTNAME]]))</f>
        <v>Diego, Freyre</v>
      </c>
      <c r="AA1114" s="1" t="s">
        <v>40</v>
      </c>
    </row>
    <row r="1115" spans="1:27" x14ac:dyDescent="0.25">
      <c r="A1115" s="10">
        <v>10390</v>
      </c>
      <c r="B1115" s="9">
        <v>40</v>
      </c>
      <c r="C1115" s="9">
        <v>100</v>
      </c>
      <c r="D1115" s="9">
        <f>PRODUCT(sales_data_sample[[#This Row],[QUANTITYORDERED]],sales_data_sample[[#This Row],[PRICEEACH]])</f>
        <v>4000</v>
      </c>
      <c r="E1115" s="9">
        <f>IF(OR(sales_data_sample[[#This Row],[STATUS]]="Shipped",sales_data_sample[[#This Row],[STATUS]]="Resolved"),sales_data_sample[[#This Row],[SALES]],0)</f>
        <v>4000</v>
      </c>
      <c r="F1115" s="10">
        <v>9</v>
      </c>
      <c r="G1115" s="12" t="s">
        <v>796</v>
      </c>
      <c r="H1115" s="1" t="s">
        <v>26</v>
      </c>
      <c r="I1115">
        <v>1</v>
      </c>
      <c r="J1115">
        <v>3</v>
      </c>
      <c r="K1115">
        <v>2005</v>
      </c>
      <c r="L1115" s="1" t="s">
        <v>239</v>
      </c>
      <c r="M1115">
        <v>80</v>
      </c>
      <c r="N1115" s="1" t="s">
        <v>921</v>
      </c>
      <c r="O1115" s="1" t="s">
        <v>361</v>
      </c>
      <c r="P1115" s="1" t="s">
        <v>362</v>
      </c>
      <c r="Q1115" s="1" t="s">
        <v>363</v>
      </c>
      <c r="R1115" s="1" t="s">
        <v>32</v>
      </c>
      <c r="S1115" s="1" t="s">
        <v>364</v>
      </c>
      <c r="T1115" s="1" t="s">
        <v>65</v>
      </c>
      <c r="U1115" s="1" t="s">
        <v>145</v>
      </c>
      <c r="V1115" s="1" t="s">
        <v>36</v>
      </c>
      <c r="W1115" s="1" t="s">
        <v>37</v>
      </c>
      <c r="X1115" s="1" t="s">
        <v>365</v>
      </c>
      <c r="Y1115" s="1" t="s">
        <v>366</v>
      </c>
      <c r="Z1115" s="1" t="str">
        <f>TRIM(_xlfn.CONCAT(sales_data_sample[[#This Row],[CONTACTFIRSTNAME]],", ",sales_data_sample[[#This Row],[CONTACTLASTNAME]]))</f>
        <v>Valarie, Nelson</v>
      </c>
      <c r="AA1115" s="1" t="s">
        <v>59</v>
      </c>
    </row>
    <row r="1116" spans="1:27" x14ac:dyDescent="0.25">
      <c r="A1116" s="10">
        <v>10103</v>
      </c>
      <c r="B1116" s="9">
        <v>46</v>
      </c>
      <c r="C1116" s="9">
        <v>100</v>
      </c>
      <c r="D1116" s="9">
        <f>PRODUCT(sales_data_sample[[#This Row],[QUANTITYORDERED]],sales_data_sample[[#This Row],[PRICEEACH]])</f>
        <v>4600</v>
      </c>
      <c r="E1116" s="9">
        <f>IF(OR(sales_data_sample[[#This Row],[STATUS]]="Shipped",sales_data_sample[[#This Row],[STATUS]]="Resolved"),sales_data_sample[[#This Row],[SALES]],0)</f>
        <v>4600</v>
      </c>
      <c r="F1116" s="10">
        <v>16</v>
      </c>
      <c r="G1116" s="12" t="s">
        <v>238</v>
      </c>
      <c r="H1116" s="1" t="s">
        <v>26</v>
      </c>
      <c r="I1116">
        <v>1</v>
      </c>
      <c r="J1116">
        <v>1</v>
      </c>
      <c r="K1116">
        <v>2003</v>
      </c>
      <c r="L1116" s="1" t="s">
        <v>799</v>
      </c>
      <c r="M1116">
        <v>99</v>
      </c>
      <c r="N1116" s="1" t="s">
        <v>924</v>
      </c>
      <c r="O1116" s="1" t="s">
        <v>174</v>
      </c>
      <c r="P1116" s="1" t="s">
        <v>175</v>
      </c>
      <c r="Q1116" s="1" t="s">
        <v>176</v>
      </c>
      <c r="R1116" s="1" t="s">
        <v>32</v>
      </c>
      <c r="S1116" s="1" t="s">
        <v>177</v>
      </c>
      <c r="T1116" s="1" t="s">
        <v>32</v>
      </c>
      <c r="U1116" s="1" t="s">
        <v>178</v>
      </c>
      <c r="V1116" s="1" t="s">
        <v>97</v>
      </c>
      <c r="W1116" s="1" t="s">
        <v>48</v>
      </c>
      <c r="X1116" s="1" t="s">
        <v>179</v>
      </c>
      <c r="Y1116" s="1" t="s">
        <v>180</v>
      </c>
      <c r="Z1116" s="1" t="str">
        <f>TRIM(_xlfn.CONCAT(sales_data_sample[[#This Row],[CONTACTFIRSTNAME]],", ",sales_data_sample[[#This Row],[CONTACTLASTNAME]]))</f>
        <v>Jonas, Bergulfsen</v>
      </c>
      <c r="AA1116" s="1" t="s">
        <v>59</v>
      </c>
    </row>
    <row r="1117" spans="1:27" x14ac:dyDescent="0.25">
      <c r="A1117" s="10">
        <v>10111</v>
      </c>
      <c r="B1117" s="9">
        <v>39</v>
      </c>
      <c r="C1117" s="9">
        <v>100</v>
      </c>
      <c r="D1117" s="9">
        <f>PRODUCT(sales_data_sample[[#This Row],[QUANTITYORDERED]],sales_data_sample[[#This Row],[PRICEEACH]])</f>
        <v>3900</v>
      </c>
      <c r="E1117" s="9">
        <f>IF(OR(sales_data_sample[[#This Row],[STATUS]]="Shipped",sales_data_sample[[#This Row],[STATUS]]="Resolved"),sales_data_sample[[#This Row],[SALES]],0)</f>
        <v>3900</v>
      </c>
      <c r="F1117" s="10">
        <v>4</v>
      </c>
      <c r="G1117" s="12" t="s">
        <v>801</v>
      </c>
      <c r="H1117" s="1" t="s">
        <v>26</v>
      </c>
      <c r="I1117">
        <v>1</v>
      </c>
      <c r="J1117">
        <v>3</v>
      </c>
      <c r="K1117">
        <v>2003</v>
      </c>
      <c r="L1117" s="1" t="s">
        <v>799</v>
      </c>
      <c r="M1117">
        <v>99</v>
      </c>
      <c r="N1117" s="1" t="s">
        <v>924</v>
      </c>
      <c r="O1117" s="1" t="s">
        <v>101</v>
      </c>
      <c r="P1117" s="1" t="s">
        <v>102</v>
      </c>
      <c r="Q1117" s="1" t="s">
        <v>103</v>
      </c>
      <c r="R1117" s="1" t="s">
        <v>32</v>
      </c>
      <c r="S1117" s="1" t="s">
        <v>73</v>
      </c>
      <c r="T1117" s="1" t="s">
        <v>65</v>
      </c>
      <c r="U1117" s="1" t="s">
        <v>32</v>
      </c>
      <c r="V1117" s="1" t="s">
        <v>36</v>
      </c>
      <c r="W1117" s="1" t="s">
        <v>37</v>
      </c>
      <c r="X1117" s="1" t="s">
        <v>104</v>
      </c>
      <c r="Y1117" s="1" t="s">
        <v>68</v>
      </c>
      <c r="Z1117" s="1" t="str">
        <f>TRIM(_xlfn.CONCAT(sales_data_sample[[#This Row],[CONTACTFIRSTNAME]],", ",sales_data_sample[[#This Row],[CONTACTLASTNAME]]))</f>
        <v>Julie, Murphy</v>
      </c>
      <c r="AA1117" s="1" t="s">
        <v>59</v>
      </c>
    </row>
    <row r="1118" spans="1:27" x14ac:dyDescent="0.25">
      <c r="A1118" s="10">
        <v>10126</v>
      </c>
      <c r="B1118" s="9">
        <v>38</v>
      </c>
      <c r="C1118" s="9">
        <v>8234</v>
      </c>
      <c r="D1118" s="9">
        <f>PRODUCT(sales_data_sample[[#This Row],[QUANTITYORDERED]],sales_data_sample[[#This Row],[PRICEEACH]])</f>
        <v>312892</v>
      </c>
      <c r="E1118" s="9">
        <f>IF(OR(sales_data_sample[[#This Row],[STATUS]]="Shipped",sales_data_sample[[#This Row],[STATUS]]="Resolved"),sales_data_sample[[#This Row],[SALES]],0)</f>
        <v>312892</v>
      </c>
      <c r="F1118" s="10">
        <v>16</v>
      </c>
      <c r="G1118" s="12" t="s">
        <v>250</v>
      </c>
      <c r="H1118" s="1" t="s">
        <v>26</v>
      </c>
      <c r="I1118">
        <v>2</v>
      </c>
      <c r="J1118">
        <v>5</v>
      </c>
      <c r="K1118">
        <v>2003</v>
      </c>
      <c r="L1118" s="1" t="s">
        <v>799</v>
      </c>
      <c r="M1118">
        <v>99</v>
      </c>
      <c r="N1118" s="1" t="s">
        <v>924</v>
      </c>
      <c r="O1118" s="1" t="s">
        <v>251</v>
      </c>
      <c r="P1118" s="1" t="s">
        <v>252</v>
      </c>
      <c r="Q1118" s="1" t="s">
        <v>253</v>
      </c>
      <c r="R1118" s="1" t="s">
        <v>32</v>
      </c>
      <c r="S1118" s="1" t="s">
        <v>233</v>
      </c>
      <c r="T1118" s="1" t="s">
        <v>32</v>
      </c>
      <c r="U1118" s="1" t="s">
        <v>254</v>
      </c>
      <c r="V1118" s="1" t="s">
        <v>235</v>
      </c>
      <c r="W1118" s="1" t="s">
        <v>48</v>
      </c>
      <c r="X1118" s="1" t="s">
        <v>255</v>
      </c>
      <c r="Y1118" s="1" t="s">
        <v>256</v>
      </c>
      <c r="Z1118" s="1" t="str">
        <f>TRIM(_xlfn.CONCAT(sales_data_sample[[#This Row],[CONTACTFIRSTNAME]],", ",sales_data_sample[[#This Row],[CONTACTLASTNAME]]))</f>
        <v>Mart¡n, Sommer</v>
      </c>
      <c r="AA1118" s="1" t="s">
        <v>59</v>
      </c>
    </row>
    <row r="1119" spans="1:27" x14ac:dyDescent="0.25">
      <c r="A1119">
        <v>10139</v>
      </c>
      <c r="B1119">
        <v>30</v>
      </c>
      <c r="C1119">
        <v>100</v>
      </c>
      <c r="D1119">
        <f>PRODUCT(sales_data_sample[[#This Row],[QUANTITYORDERED]],sales_data_sample[[#This Row],[PRICEEACH]])</f>
        <v>3000</v>
      </c>
      <c r="E1119" s="9">
        <f>IF(OR(sales_data_sample[[#This Row],[STATUS]]="Shipped",sales_data_sample[[#This Row],[STATUS]]="Resolved"),sales_data_sample[[#This Row],[SALES]],0)</f>
        <v>3000</v>
      </c>
      <c r="F1119">
        <v>5</v>
      </c>
      <c r="G1119" s="12" t="s">
        <v>803</v>
      </c>
      <c r="H1119" s="1" t="s">
        <v>26</v>
      </c>
      <c r="I1119">
        <v>3</v>
      </c>
      <c r="J1119">
        <v>7</v>
      </c>
      <c r="K1119">
        <v>2003</v>
      </c>
      <c r="L1119" s="1" t="s">
        <v>799</v>
      </c>
      <c r="M1119">
        <v>99</v>
      </c>
      <c r="N1119" s="1" t="s">
        <v>924</v>
      </c>
      <c r="O1119" s="1" t="s">
        <v>201</v>
      </c>
      <c r="P1119" s="1" t="s">
        <v>202</v>
      </c>
      <c r="Q1119" s="1" t="s">
        <v>203</v>
      </c>
      <c r="R1119" s="1" t="s">
        <v>204</v>
      </c>
      <c r="S1119" s="1" t="s">
        <v>205</v>
      </c>
      <c r="T1119" s="1" t="s">
        <v>206</v>
      </c>
      <c r="U1119" s="1" t="s">
        <v>207</v>
      </c>
      <c r="V1119" s="1" t="s">
        <v>120</v>
      </c>
      <c r="W1119" s="1" t="s">
        <v>121</v>
      </c>
      <c r="X1119" s="1" t="s">
        <v>208</v>
      </c>
      <c r="Y1119" s="1" t="s">
        <v>209</v>
      </c>
      <c r="Z1119" s="1" t="str">
        <f>TRIM(_xlfn.CONCAT(sales_data_sample[[#This Row],[CONTACTFIRSTNAME]],", ",sales_data_sample[[#This Row],[CONTACTLASTNAME]]))</f>
        <v>Adrian, Huxley</v>
      </c>
      <c r="AA1119" s="1" t="s">
        <v>59</v>
      </c>
    </row>
    <row r="1120" spans="1:27" x14ac:dyDescent="0.25">
      <c r="A1120" s="10">
        <v>10149</v>
      </c>
      <c r="B1120" s="9">
        <v>42</v>
      </c>
      <c r="C1120" s="9">
        <v>9425</v>
      </c>
      <c r="D1120" s="9">
        <f>PRODUCT(sales_data_sample[[#This Row],[QUANTITYORDERED]],sales_data_sample[[#This Row],[PRICEEACH]])</f>
        <v>395850</v>
      </c>
      <c r="E1120" s="9">
        <f>IF(OR(sales_data_sample[[#This Row],[STATUS]]="Shipped",sales_data_sample[[#This Row],[STATUS]]="Resolved"),sales_data_sample[[#This Row],[SALES]],0)</f>
        <v>395850</v>
      </c>
      <c r="F1120" s="10">
        <v>2</v>
      </c>
      <c r="G1120" s="12" t="s">
        <v>804</v>
      </c>
      <c r="H1120" s="1" t="s">
        <v>26</v>
      </c>
      <c r="I1120">
        <v>3</v>
      </c>
      <c r="J1120">
        <v>9</v>
      </c>
      <c r="K1120">
        <v>2003</v>
      </c>
      <c r="L1120" s="1" t="s">
        <v>799</v>
      </c>
      <c r="M1120">
        <v>99</v>
      </c>
      <c r="N1120" s="1" t="s">
        <v>924</v>
      </c>
      <c r="O1120" s="1" t="s">
        <v>753</v>
      </c>
      <c r="P1120" s="1" t="s">
        <v>754</v>
      </c>
      <c r="Q1120" s="1" t="s">
        <v>755</v>
      </c>
      <c r="R1120" s="1" t="s">
        <v>32</v>
      </c>
      <c r="S1120" s="1" t="s">
        <v>756</v>
      </c>
      <c r="T1120" s="1" t="s">
        <v>65</v>
      </c>
      <c r="U1120" s="1" t="s">
        <v>80</v>
      </c>
      <c r="V1120" s="1" t="s">
        <v>36</v>
      </c>
      <c r="W1120" s="1" t="s">
        <v>37</v>
      </c>
      <c r="X1120" s="1" t="s">
        <v>757</v>
      </c>
      <c r="Y1120" s="1" t="s">
        <v>551</v>
      </c>
      <c r="Z1120" s="1" t="str">
        <f>TRIM(_xlfn.CONCAT(sales_data_sample[[#This Row],[CONTACTFIRSTNAME]],", ",sales_data_sample[[#This Row],[CONTACTLASTNAME]]))</f>
        <v>Sue, Taylor</v>
      </c>
      <c r="AA1120" s="1" t="s">
        <v>59</v>
      </c>
    </row>
    <row r="1121" spans="1:27" x14ac:dyDescent="0.25">
      <c r="A1121">
        <v>10163</v>
      </c>
      <c r="B1121">
        <v>43</v>
      </c>
      <c r="C1121">
        <v>100</v>
      </c>
      <c r="D1121">
        <f>PRODUCT(sales_data_sample[[#This Row],[QUANTITYORDERED]],sales_data_sample[[#This Row],[PRICEEACH]])</f>
        <v>4300</v>
      </c>
      <c r="E1121" s="9">
        <f>IF(OR(sales_data_sample[[#This Row],[STATUS]]="Shipped",sales_data_sample[[#This Row],[STATUS]]="Resolved"),sales_data_sample[[#This Row],[SALES]],0)</f>
        <v>4300</v>
      </c>
      <c r="F1121">
        <v>6</v>
      </c>
      <c r="G1121" s="12" t="s">
        <v>267</v>
      </c>
      <c r="H1121" s="1" t="s">
        <v>26</v>
      </c>
      <c r="I1121">
        <v>4</v>
      </c>
      <c r="J1121">
        <v>10</v>
      </c>
      <c r="K1121">
        <v>2003</v>
      </c>
      <c r="L1121" s="1" t="s">
        <v>799</v>
      </c>
      <c r="M1121">
        <v>99</v>
      </c>
      <c r="N1121" s="1" t="s">
        <v>924</v>
      </c>
      <c r="O1121" s="1" t="s">
        <v>268</v>
      </c>
      <c r="P1121" s="1" t="s">
        <v>269</v>
      </c>
      <c r="Q1121" s="1" t="s">
        <v>270</v>
      </c>
      <c r="R1121" s="1" t="s">
        <v>271</v>
      </c>
      <c r="S1121" s="1" t="s">
        <v>33</v>
      </c>
      <c r="T1121" s="1" t="s">
        <v>34</v>
      </c>
      <c r="U1121" s="1" t="s">
        <v>35</v>
      </c>
      <c r="V1121" s="1" t="s">
        <v>36</v>
      </c>
      <c r="W1121" s="1" t="s">
        <v>37</v>
      </c>
      <c r="X1121" s="1" t="s">
        <v>162</v>
      </c>
      <c r="Y1121" s="1" t="s">
        <v>272</v>
      </c>
      <c r="Z1121" s="1" t="str">
        <f>TRIM(_xlfn.CONCAT(sales_data_sample[[#This Row],[CONTACTFIRSTNAME]],", ",sales_data_sample[[#This Row],[CONTACTLASTNAME]]))</f>
        <v>Maria, Hernandez</v>
      </c>
      <c r="AA1121" s="1" t="s">
        <v>59</v>
      </c>
    </row>
    <row r="1122" spans="1:27" x14ac:dyDescent="0.25">
      <c r="A1122" s="10">
        <v>10173</v>
      </c>
      <c r="B1122" s="9">
        <v>29</v>
      </c>
      <c r="C1122" s="9">
        <v>9524</v>
      </c>
      <c r="D1122" s="9">
        <f>PRODUCT(sales_data_sample[[#This Row],[QUANTITYORDERED]],sales_data_sample[[#This Row],[PRICEEACH]])</f>
        <v>276196</v>
      </c>
      <c r="E1122" s="9">
        <f>IF(OR(sales_data_sample[[#This Row],[STATUS]]="Shipped",sales_data_sample[[#This Row],[STATUS]]="Resolved"),sales_data_sample[[#This Row],[SALES]],0)</f>
        <v>276196</v>
      </c>
      <c r="F1122" s="10">
        <v>4</v>
      </c>
      <c r="G1122" s="12" t="s">
        <v>776</v>
      </c>
      <c r="H1122" s="1" t="s">
        <v>26</v>
      </c>
      <c r="I1122">
        <v>4</v>
      </c>
      <c r="J1122">
        <v>11</v>
      </c>
      <c r="K1122">
        <v>2003</v>
      </c>
      <c r="L1122" s="1" t="s">
        <v>799</v>
      </c>
      <c r="M1122">
        <v>99</v>
      </c>
      <c r="N1122" s="1" t="s">
        <v>924</v>
      </c>
      <c r="O1122" s="1" t="s">
        <v>806</v>
      </c>
      <c r="P1122" s="1" t="s">
        <v>807</v>
      </c>
      <c r="Q1122" s="1" t="s">
        <v>808</v>
      </c>
      <c r="R1122" s="1" t="s">
        <v>32</v>
      </c>
      <c r="S1122" s="1" t="s">
        <v>809</v>
      </c>
      <c r="T1122" s="1" t="s">
        <v>32</v>
      </c>
      <c r="U1122" s="1" t="s">
        <v>810</v>
      </c>
      <c r="V1122" s="1" t="s">
        <v>343</v>
      </c>
      <c r="W1122" s="1" t="s">
        <v>48</v>
      </c>
      <c r="X1122" s="1" t="s">
        <v>811</v>
      </c>
      <c r="Y1122" s="1" t="s">
        <v>812</v>
      </c>
      <c r="Z1122" s="1" t="str">
        <f>TRIM(_xlfn.CONCAT(sales_data_sample[[#This Row],[CONTACTFIRSTNAME]],", ",sales_data_sample[[#This Row],[CONTACTLASTNAME]]))</f>
        <v>Giovanni, Rovelli</v>
      </c>
      <c r="AA1122" s="1" t="s">
        <v>40</v>
      </c>
    </row>
    <row r="1123" spans="1:27" x14ac:dyDescent="0.25">
      <c r="A1123" s="10">
        <v>10182</v>
      </c>
      <c r="B1123" s="9">
        <v>33</v>
      </c>
      <c r="C1123" s="9">
        <v>8631</v>
      </c>
      <c r="D1123" s="9">
        <f>PRODUCT(sales_data_sample[[#This Row],[QUANTITYORDERED]],sales_data_sample[[#This Row],[PRICEEACH]])</f>
        <v>284823</v>
      </c>
      <c r="E1123" s="9">
        <f>IF(OR(sales_data_sample[[#This Row],[STATUS]]="Shipped",sales_data_sample[[#This Row],[STATUS]]="Resolved"),sales_data_sample[[#This Row],[SALES]],0)</f>
        <v>284823</v>
      </c>
      <c r="F1123" s="10">
        <v>1</v>
      </c>
      <c r="G1123" s="12" t="s">
        <v>610</v>
      </c>
      <c r="H1123" s="1" t="s">
        <v>26</v>
      </c>
      <c r="I1123">
        <v>4</v>
      </c>
      <c r="J1123">
        <v>11</v>
      </c>
      <c r="K1123">
        <v>2003</v>
      </c>
      <c r="L1123" s="1" t="s">
        <v>799</v>
      </c>
      <c r="M1123">
        <v>99</v>
      </c>
      <c r="N1123" s="1" t="s">
        <v>924</v>
      </c>
      <c r="O1123" s="1" t="s">
        <v>361</v>
      </c>
      <c r="P1123" s="1" t="s">
        <v>362</v>
      </c>
      <c r="Q1123" s="1" t="s">
        <v>363</v>
      </c>
      <c r="R1123" s="1" t="s">
        <v>32</v>
      </c>
      <c r="S1123" s="1" t="s">
        <v>364</v>
      </c>
      <c r="T1123" s="1" t="s">
        <v>65</v>
      </c>
      <c r="U1123" s="1" t="s">
        <v>145</v>
      </c>
      <c r="V1123" s="1" t="s">
        <v>36</v>
      </c>
      <c r="W1123" s="1" t="s">
        <v>37</v>
      </c>
      <c r="X1123" s="1" t="s">
        <v>365</v>
      </c>
      <c r="Y1123" s="1" t="s">
        <v>366</v>
      </c>
      <c r="Z1123" s="1" t="str">
        <f>TRIM(_xlfn.CONCAT(sales_data_sample[[#This Row],[CONTACTFIRSTNAME]],", ",sales_data_sample[[#This Row],[CONTACTLASTNAME]]))</f>
        <v>Valarie, Nelson</v>
      </c>
      <c r="AA1123" s="1" t="s">
        <v>40</v>
      </c>
    </row>
    <row r="1124" spans="1:27" x14ac:dyDescent="0.25">
      <c r="A1124" s="10">
        <v>10193</v>
      </c>
      <c r="B1124" s="9">
        <v>32</v>
      </c>
      <c r="C1124" s="9">
        <v>7937</v>
      </c>
      <c r="D1124" s="9">
        <f>PRODUCT(sales_data_sample[[#This Row],[QUANTITYORDERED]],sales_data_sample[[#This Row],[PRICEEACH]])</f>
        <v>253984</v>
      </c>
      <c r="E1124" s="9">
        <f>IF(OR(sales_data_sample[[#This Row],[STATUS]]="Shipped",sales_data_sample[[#This Row],[STATUS]]="Resolved"),sales_data_sample[[#This Row],[SALES]],0)</f>
        <v>253984</v>
      </c>
      <c r="F1124" s="10">
        <v>5</v>
      </c>
      <c r="G1124" s="12" t="s">
        <v>813</v>
      </c>
      <c r="H1124" s="1" t="s">
        <v>26</v>
      </c>
      <c r="I1124">
        <v>4</v>
      </c>
      <c r="J1124">
        <v>11</v>
      </c>
      <c r="K1124">
        <v>2003</v>
      </c>
      <c r="L1124" s="1" t="s">
        <v>799</v>
      </c>
      <c r="M1124">
        <v>99</v>
      </c>
      <c r="N1124" s="1" t="s">
        <v>924</v>
      </c>
      <c r="O1124" s="1" t="s">
        <v>814</v>
      </c>
      <c r="P1124" s="1" t="s">
        <v>815</v>
      </c>
      <c r="Q1124" s="1" t="s">
        <v>816</v>
      </c>
      <c r="R1124" s="1" t="s">
        <v>32</v>
      </c>
      <c r="S1124" s="1" t="s">
        <v>817</v>
      </c>
      <c r="T1124" s="1" t="s">
        <v>118</v>
      </c>
      <c r="U1124" s="1" t="s">
        <v>818</v>
      </c>
      <c r="V1124" s="1" t="s">
        <v>120</v>
      </c>
      <c r="W1124" s="1" t="s">
        <v>121</v>
      </c>
      <c r="X1124" s="1" t="s">
        <v>819</v>
      </c>
      <c r="Y1124" s="1" t="s">
        <v>820</v>
      </c>
      <c r="Z1124" s="1" t="str">
        <f>TRIM(_xlfn.CONCAT(sales_data_sample[[#This Row],[CONTACTFIRSTNAME]],", ",sales_data_sample[[#This Row],[CONTACTLASTNAME]]))</f>
        <v>Sean, Connery</v>
      </c>
      <c r="AA1124" s="1" t="s">
        <v>40</v>
      </c>
    </row>
    <row r="1125" spans="1:27" x14ac:dyDescent="0.25">
      <c r="A1125" s="10">
        <v>10206</v>
      </c>
      <c r="B1125" s="9">
        <v>28</v>
      </c>
      <c r="C1125" s="9">
        <v>873</v>
      </c>
      <c r="D1125" s="9">
        <f>PRODUCT(sales_data_sample[[#This Row],[QUANTITYORDERED]],sales_data_sample[[#This Row],[PRICEEACH]])</f>
        <v>24444</v>
      </c>
      <c r="E1125" s="9">
        <f>IF(OR(sales_data_sample[[#This Row],[STATUS]]="Shipped",sales_data_sample[[#This Row],[STATUS]]="Resolved"),sales_data_sample[[#This Row],[SALES]],0)</f>
        <v>24444</v>
      </c>
      <c r="F1125" s="10">
        <v>11</v>
      </c>
      <c r="G1125" s="12" t="s">
        <v>298</v>
      </c>
      <c r="H1125" s="1" t="s">
        <v>26</v>
      </c>
      <c r="I1125">
        <v>4</v>
      </c>
      <c r="J1125">
        <v>12</v>
      </c>
      <c r="K1125">
        <v>2003</v>
      </c>
      <c r="L1125" s="1" t="s">
        <v>799</v>
      </c>
      <c r="M1125">
        <v>99</v>
      </c>
      <c r="N1125" s="1" t="s">
        <v>924</v>
      </c>
      <c r="O1125" s="1" t="s">
        <v>299</v>
      </c>
      <c r="P1125" s="1" t="s">
        <v>300</v>
      </c>
      <c r="Q1125" s="1" t="s">
        <v>301</v>
      </c>
      <c r="R1125" s="1" t="s">
        <v>32</v>
      </c>
      <c r="S1125" s="1" t="s">
        <v>302</v>
      </c>
      <c r="T1125" s="1" t="s">
        <v>303</v>
      </c>
      <c r="U1125" s="1" t="s">
        <v>304</v>
      </c>
      <c r="V1125" s="1" t="s">
        <v>305</v>
      </c>
      <c r="W1125" s="1" t="s">
        <v>37</v>
      </c>
      <c r="X1125" s="1" t="s">
        <v>306</v>
      </c>
      <c r="Y1125" s="1" t="s">
        <v>307</v>
      </c>
      <c r="Z1125" s="1" t="str">
        <f>TRIM(_xlfn.CONCAT(sales_data_sample[[#This Row],[CONTACTFIRSTNAME]],", ",sales_data_sample[[#This Row],[CONTACTLASTNAME]]))</f>
        <v>Yoshi, Tannamuri</v>
      </c>
      <c r="AA1125" s="1" t="s">
        <v>40</v>
      </c>
    </row>
    <row r="1126" spans="1:27" x14ac:dyDescent="0.25">
      <c r="A1126" s="10">
        <v>10215</v>
      </c>
      <c r="B1126" s="9">
        <v>41</v>
      </c>
      <c r="C1126" s="9">
        <v>100</v>
      </c>
      <c r="D1126" s="9">
        <f>PRODUCT(sales_data_sample[[#This Row],[QUANTITYORDERED]],sales_data_sample[[#This Row],[PRICEEACH]])</f>
        <v>4100</v>
      </c>
      <c r="E1126" s="9">
        <f>IF(OR(sales_data_sample[[#This Row],[STATUS]]="Shipped",sales_data_sample[[#This Row],[STATUS]]="Resolved"),sales_data_sample[[#This Row],[SALES]],0)</f>
        <v>4100</v>
      </c>
      <c r="F1126" s="10">
        <v>8</v>
      </c>
      <c r="G1126" s="12" t="s">
        <v>308</v>
      </c>
      <c r="H1126" s="1" t="s">
        <v>26</v>
      </c>
      <c r="I1126">
        <v>1</v>
      </c>
      <c r="J1126">
        <v>1</v>
      </c>
      <c r="K1126">
        <v>2004</v>
      </c>
      <c r="L1126" s="1" t="s">
        <v>799</v>
      </c>
      <c r="M1126">
        <v>99</v>
      </c>
      <c r="N1126" s="1" t="s">
        <v>924</v>
      </c>
      <c r="O1126" s="1" t="s">
        <v>309</v>
      </c>
      <c r="P1126" s="1" t="s">
        <v>310</v>
      </c>
      <c r="Q1126" s="1" t="s">
        <v>311</v>
      </c>
      <c r="R1126" s="1" t="s">
        <v>32</v>
      </c>
      <c r="S1126" s="1" t="s">
        <v>312</v>
      </c>
      <c r="T1126" s="1" t="s">
        <v>65</v>
      </c>
      <c r="U1126" s="1" t="s">
        <v>137</v>
      </c>
      <c r="V1126" s="1" t="s">
        <v>36</v>
      </c>
      <c r="W1126" s="1" t="s">
        <v>37</v>
      </c>
      <c r="X1126" s="1" t="s">
        <v>313</v>
      </c>
      <c r="Y1126" s="1" t="s">
        <v>314</v>
      </c>
      <c r="Z1126" s="1" t="str">
        <f>TRIM(_xlfn.CONCAT(sales_data_sample[[#This Row],[CONTACTFIRSTNAME]],", ",sales_data_sample[[#This Row],[CONTACTLASTNAME]]))</f>
        <v>Steve, Thompson</v>
      </c>
      <c r="AA1126" s="1" t="s">
        <v>59</v>
      </c>
    </row>
    <row r="1127" spans="1:27" x14ac:dyDescent="0.25">
      <c r="A1127" s="10">
        <v>10227</v>
      </c>
      <c r="B1127" s="9">
        <v>33</v>
      </c>
      <c r="C1127" s="9">
        <v>100</v>
      </c>
      <c r="D1127" s="9">
        <f>PRODUCT(sales_data_sample[[#This Row],[QUANTITYORDERED]],sales_data_sample[[#This Row],[PRICEEACH]])</f>
        <v>3300</v>
      </c>
      <c r="E1127" s="9">
        <f>IF(OR(sales_data_sample[[#This Row],[STATUS]]="Shipped",sales_data_sample[[#This Row],[STATUS]]="Resolved"),sales_data_sample[[#This Row],[SALES]],0)</f>
        <v>3300</v>
      </c>
      <c r="F1127" s="10">
        <v>1</v>
      </c>
      <c r="G1127" s="12" t="s">
        <v>822</v>
      </c>
      <c r="H1127" s="1" t="s">
        <v>26</v>
      </c>
      <c r="I1127">
        <v>1</v>
      </c>
      <c r="J1127">
        <v>3</v>
      </c>
      <c r="K1127">
        <v>2004</v>
      </c>
      <c r="L1127" s="1" t="s">
        <v>799</v>
      </c>
      <c r="M1127">
        <v>99</v>
      </c>
      <c r="N1127" s="1" t="s">
        <v>924</v>
      </c>
      <c r="O1127" s="1" t="s">
        <v>291</v>
      </c>
      <c r="P1127" s="1" t="s">
        <v>292</v>
      </c>
      <c r="Q1127" s="1" t="s">
        <v>293</v>
      </c>
      <c r="R1127" s="1" t="s">
        <v>32</v>
      </c>
      <c r="S1127" s="1" t="s">
        <v>294</v>
      </c>
      <c r="T1127" s="1" t="s">
        <v>32</v>
      </c>
      <c r="U1127" s="1" t="s">
        <v>295</v>
      </c>
      <c r="V1127" s="1" t="s">
        <v>47</v>
      </c>
      <c r="W1127" s="1" t="s">
        <v>48</v>
      </c>
      <c r="X1127" s="1" t="s">
        <v>296</v>
      </c>
      <c r="Y1127" s="1" t="s">
        <v>297</v>
      </c>
      <c r="Z1127" s="1" t="str">
        <f>TRIM(_xlfn.CONCAT(sales_data_sample[[#This Row],[CONTACTFIRSTNAME]],", ",sales_data_sample[[#This Row],[CONTACTLASTNAME]]))</f>
        <v>Mary, Saveley</v>
      </c>
      <c r="AA1127" s="1" t="s">
        <v>59</v>
      </c>
    </row>
    <row r="1128" spans="1:27" x14ac:dyDescent="0.25">
      <c r="A1128" s="10">
        <v>10244</v>
      </c>
      <c r="B1128" s="9">
        <v>36</v>
      </c>
      <c r="C1128" s="9">
        <v>8433</v>
      </c>
      <c r="D1128" s="9">
        <f>PRODUCT(sales_data_sample[[#This Row],[QUANTITYORDERED]],sales_data_sample[[#This Row],[PRICEEACH]])</f>
        <v>303588</v>
      </c>
      <c r="E1128" s="9">
        <f>IF(OR(sales_data_sample[[#This Row],[STATUS]]="Shipped",sales_data_sample[[#This Row],[STATUS]]="Resolved"),sales_data_sample[[#This Row],[SALES]],0)</f>
        <v>303588</v>
      </c>
      <c r="F1128" s="10">
        <v>5</v>
      </c>
      <c r="G1128" s="12" t="s">
        <v>823</v>
      </c>
      <c r="H1128" s="1" t="s">
        <v>26</v>
      </c>
      <c r="I1128">
        <v>2</v>
      </c>
      <c r="J1128">
        <v>4</v>
      </c>
      <c r="K1128">
        <v>2004</v>
      </c>
      <c r="L1128" s="1" t="s">
        <v>799</v>
      </c>
      <c r="M1128">
        <v>99</v>
      </c>
      <c r="N1128" s="1" t="s">
        <v>924</v>
      </c>
      <c r="O1128" s="1" t="s">
        <v>230</v>
      </c>
      <c r="P1128" s="1" t="s">
        <v>231</v>
      </c>
      <c r="Q1128" s="1" t="s">
        <v>232</v>
      </c>
      <c r="R1128" s="1" t="s">
        <v>32</v>
      </c>
      <c r="S1128" s="1" t="s">
        <v>233</v>
      </c>
      <c r="T1128" s="1" t="s">
        <v>32</v>
      </c>
      <c r="U1128" s="1" t="s">
        <v>234</v>
      </c>
      <c r="V1128" s="1" t="s">
        <v>235</v>
      </c>
      <c r="W1128" s="1" t="s">
        <v>48</v>
      </c>
      <c r="X1128" s="1" t="s">
        <v>236</v>
      </c>
      <c r="Y1128" s="1" t="s">
        <v>237</v>
      </c>
      <c r="Z1128" s="1" t="str">
        <f>TRIM(_xlfn.CONCAT(sales_data_sample[[#This Row],[CONTACTFIRSTNAME]],", ",sales_data_sample[[#This Row],[CONTACTLASTNAME]]))</f>
        <v>Diego, Freyre</v>
      </c>
      <c r="AA1128" s="1" t="s">
        <v>59</v>
      </c>
    </row>
    <row r="1129" spans="1:27" x14ac:dyDescent="0.25">
      <c r="A1129" s="10">
        <v>10257</v>
      </c>
      <c r="B1129" s="9">
        <v>26</v>
      </c>
      <c r="C1129" s="9">
        <v>8929</v>
      </c>
      <c r="D1129" s="9">
        <f>PRODUCT(sales_data_sample[[#This Row],[QUANTITYORDERED]],sales_data_sample[[#This Row],[PRICEEACH]])</f>
        <v>232154</v>
      </c>
      <c r="E1129" s="9">
        <f>IF(OR(sales_data_sample[[#This Row],[STATUS]]="Shipped",sales_data_sample[[#This Row],[STATUS]]="Resolved"),sales_data_sample[[#This Row],[SALES]],0)</f>
        <v>232154</v>
      </c>
      <c r="F1129" s="10">
        <v>5</v>
      </c>
      <c r="G1129" s="12" t="s">
        <v>901</v>
      </c>
      <c r="H1129" s="1" t="s">
        <v>26</v>
      </c>
      <c r="I1129">
        <v>2</v>
      </c>
      <c r="J1129">
        <v>6</v>
      </c>
      <c r="K1129">
        <v>2004</v>
      </c>
      <c r="L1129" s="1" t="s">
        <v>799</v>
      </c>
      <c r="M1129">
        <v>99</v>
      </c>
      <c r="N1129" s="1" t="s">
        <v>924</v>
      </c>
      <c r="O1129" s="1" t="s">
        <v>547</v>
      </c>
      <c r="P1129" s="1" t="s">
        <v>548</v>
      </c>
      <c r="Q1129" s="1" t="s">
        <v>549</v>
      </c>
      <c r="R1129" s="1" t="s">
        <v>32</v>
      </c>
      <c r="S1129" s="1" t="s">
        <v>550</v>
      </c>
      <c r="T1129" s="1" t="s">
        <v>65</v>
      </c>
      <c r="U1129" s="1" t="s">
        <v>80</v>
      </c>
      <c r="V1129" s="1" t="s">
        <v>36</v>
      </c>
      <c r="W1129" s="1" t="s">
        <v>37</v>
      </c>
      <c r="X1129" s="1" t="s">
        <v>129</v>
      </c>
      <c r="Y1129" s="1" t="s">
        <v>551</v>
      </c>
      <c r="Z1129" s="1" t="str">
        <f>TRIM(_xlfn.CONCAT(sales_data_sample[[#This Row],[CONTACTFIRSTNAME]],", ",sales_data_sample[[#This Row],[CONTACTLASTNAME]]))</f>
        <v>Sue, Frick</v>
      </c>
      <c r="AA1129" s="1" t="s">
        <v>40</v>
      </c>
    </row>
    <row r="1130" spans="1:27" x14ac:dyDescent="0.25">
      <c r="A1130" s="10">
        <v>10280</v>
      </c>
      <c r="B1130" s="9">
        <v>34</v>
      </c>
      <c r="C1130" s="9">
        <v>100</v>
      </c>
      <c r="D1130" s="9">
        <f>PRODUCT(sales_data_sample[[#This Row],[QUANTITYORDERED]],sales_data_sample[[#This Row],[PRICEEACH]])</f>
        <v>3400</v>
      </c>
      <c r="E1130" s="9">
        <f>IF(OR(sales_data_sample[[#This Row],[STATUS]]="Shipped",sales_data_sample[[#This Row],[STATUS]]="Resolved"),sales_data_sample[[#This Row],[SALES]],0)</f>
        <v>3400</v>
      </c>
      <c r="F1130" s="10">
        <v>7</v>
      </c>
      <c r="G1130" s="12" t="s">
        <v>337</v>
      </c>
      <c r="H1130" s="1" t="s">
        <v>26</v>
      </c>
      <c r="I1130">
        <v>3</v>
      </c>
      <c r="J1130">
        <v>8</v>
      </c>
      <c r="K1130">
        <v>2004</v>
      </c>
      <c r="L1130" s="1" t="s">
        <v>799</v>
      </c>
      <c r="M1130">
        <v>99</v>
      </c>
      <c r="N1130" s="1" t="s">
        <v>924</v>
      </c>
      <c r="O1130" s="1" t="s">
        <v>338</v>
      </c>
      <c r="P1130" s="1" t="s">
        <v>339</v>
      </c>
      <c r="Q1130" s="1" t="s">
        <v>340</v>
      </c>
      <c r="R1130" s="1" t="s">
        <v>32</v>
      </c>
      <c r="S1130" s="1" t="s">
        <v>341</v>
      </c>
      <c r="T1130" s="1" t="s">
        <v>32</v>
      </c>
      <c r="U1130" s="1" t="s">
        <v>342</v>
      </c>
      <c r="V1130" s="1" t="s">
        <v>343</v>
      </c>
      <c r="W1130" s="1" t="s">
        <v>48</v>
      </c>
      <c r="X1130" s="1" t="s">
        <v>344</v>
      </c>
      <c r="Y1130" s="1" t="s">
        <v>345</v>
      </c>
      <c r="Z1130" s="1" t="str">
        <f>TRIM(_xlfn.CONCAT(sales_data_sample[[#This Row],[CONTACTFIRSTNAME]],", ",sales_data_sample[[#This Row],[CONTACTLASTNAME]]))</f>
        <v>Paolo, Accorti</v>
      </c>
      <c r="AA1130" s="1" t="s">
        <v>59</v>
      </c>
    </row>
    <row r="1131" spans="1:27" x14ac:dyDescent="0.25">
      <c r="A1131" s="10">
        <v>10290</v>
      </c>
      <c r="B1131" s="9">
        <v>26</v>
      </c>
      <c r="C1131" s="9">
        <v>9623</v>
      </c>
      <c r="D1131" s="9">
        <f>PRODUCT(sales_data_sample[[#This Row],[QUANTITYORDERED]],sales_data_sample[[#This Row],[PRICEEACH]])</f>
        <v>250198</v>
      </c>
      <c r="E1131" s="9">
        <f>IF(OR(sales_data_sample[[#This Row],[STATUS]]="Shipped",sales_data_sample[[#This Row],[STATUS]]="Resolved"),sales_data_sample[[#This Row],[SALES]],0)</f>
        <v>250198</v>
      </c>
      <c r="F1131" s="10">
        <v>2</v>
      </c>
      <c r="G1131" s="12" t="s">
        <v>925</v>
      </c>
      <c r="H1131" s="1" t="s">
        <v>26</v>
      </c>
      <c r="I1131">
        <v>3</v>
      </c>
      <c r="J1131">
        <v>9</v>
      </c>
      <c r="K1131">
        <v>2004</v>
      </c>
      <c r="L1131" s="1" t="s">
        <v>799</v>
      </c>
      <c r="M1131">
        <v>99</v>
      </c>
      <c r="N1131" s="1" t="s">
        <v>924</v>
      </c>
      <c r="O1131" s="1" t="s">
        <v>907</v>
      </c>
      <c r="P1131" s="1" t="s">
        <v>908</v>
      </c>
      <c r="Q1131" s="1" t="s">
        <v>909</v>
      </c>
      <c r="R1131" s="1" t="s">
        <v>32</v>
      </c>
      <c r="S1131" s="1" t="s">
        <v>380</v>
      </c>
      <c r="T1131" s="1" t="s">
        <v>160</v>
      </c>
      <c r="U1131" s="1" t="s">
        <v>381</v>
      </c>
      <c r="V1131" s="1" t="s">
        <v>36</v>
      </c>
      <c r="W1131" s="1" t="s">
        <v>37</v>
      </c>
      <c r="X1131" s="1" t="s">
        <v>757</v>
      </c>
      <c r="Y1131" s="1" t="s">
        <v>326</v>
      </c>
      <c r="Z1131" s="1" t="str">
        <f>TRIM(_xlfn.CONCAT(sales_data_sample[[#This Row],[CONTACTFIRSTNAME]],", ",sales_data_sample[[#This Row],[CONTACTLASTNAME]]))</f>
        <v>Leslie, Taylor</v>
      </c>
      <c r="AA1131" s="1" t="s">
        <v>40</v>
      </c>
    </row>
    <row r="1132" spans="1:27" x14ac:dyDescent="0.25">
      <c r="A1132" s="10">
        <v>10304</v>
      </c>
      <c r="B1132" s="9">
        <v>38</v>
      </c>
      <c r="C1132" s="9">
        <v>100</v>
      </c>
      <c r="D1132" s="9">
        <f>PRODUCT(sales_data_sample[[#This Row],[QUANTITYORDERED]],sales_data_sample[[#This Row],[PRICEEACH]])</f>
        <v>3800</v>
      </c>
      <c r="E1132" s="9">
        <f>IF(OR(sales_data_sample[[#This Row],[STATUS]]="Shipped",sales_data_sample[[#This Row],[STATUS]]="Resolved"),sales_data_sample[[#This Row],[SALES]],0)</f>
        <v>3800</v>
      </c>
      <c r="F1132" s="10">
        <v>11</v>
      </c>
      <c r="G1132" s="12" t="s">
        <v>353</v>
      </c>
      <c r="H1132" s="1" t="s">
        <v>26</v>
      </c>
      <c r="I1132">
        <v>4</v>
      </c>
      <c r="J1132">
        <v>10</v>
      </c>
      <c r="K1132">
        <v>2004</v>
      </c>
      <c r="L1132" s="1" t="s">
        <v>799</v>
      </c>
      <c r="M1132">
        <v>99</v>
      </c>
      <c r="N1132" s="1" t="s">
        <v>924</v>
      </c>
      <c r="O1132" s="1" t="s">
        <v>354</v>
      </c>
      <c r="P1132" s="1" t="s">
        <v>355</v>
      </c>
      <c r="Q1132" s="1" t="s">
        <v>356</v>
      </c>
      <c r="R1132" s="1" t="s">
        <v>32</v>
      </c>
      <c r="S1132" s="1" t="s">
        <v>357</v>
      </c>
      <c r="T1132" s="1" t="s">
        <v>32</v>
      </c>
      <c r="U1132" s="1" t="s">
        <v>358</v>
      </c>
      <c r="V1132" s="1" t="s">
        <v>47</v>
      </c>
      <c r="W1132" s="1" t="s">
        <v>48</v>
      </c>
      <c r="X1132" s="1" t="s">
        <v>359</v>
      </c>
      <c r="Y1132" s="1" t="s">
        <v>58</v>
      </c>
      <c r="Z1132" s="1" t="str">
        <f>TRIM(_xlfn.CONCAT(sales_data_sample[[#This Row],[CONTACTFIRSTNAME]],", ",sales_data_sample[[#This Row],[CONTACTLASTNAME]]))</f>
        <v>Daniel, Tonini</v>
      </c>
      <c r="AA1132" s="1" t="s">
        <v>59</v>
      </c>
    </row>
    <row r="1133" spans="1:27" x14ac:dyDescent="0.25">
      <c r="A1133" s="10">
        <v>10312</v>
      </c>
      <c r="B1133" s="9">
        <v>33</v>
      </c>
      <c r="C1133" s="9">
        <v>100</v>
      </c>
      <c r="D1133" s="9">
        <f>PRODUCT(sales_data_sample[[#This Row],[QUANTITYORDERED]],sales_data_sample[[#This Row],[PRICEEACH]])</f>
        <v>3300</v>
      </c>
      <c r="E1133" s="9">
        <f>IF(OR(sales_data_sample[[#This Row],[STATUS]]="Shipped",sales_data_sample[[#This Row],[STATUS]]="Resolved"),sales_data_sample[[#This Row],[SALES]],0)</f>
        <v>3300</v>
      </c>
      <c r="F1133" s="10">
        <v>8</v>
      </c>
      <c r="G1133" s="12" t="s">
        <v>360</v>
      </c>
      <c r="H1133" s="1" t="s">
        <v>26</v>
      </c>
      <c r="I1133">
        <v>4</v>
      </c>
      <c r="J1133">
        <v>10</v>
      </c>
      <c r="K1133">
        <v>2004</v>
      </c>
      <c r="L1133" s="1" t="s">
        <v>799</v>
      </c>
      <c r="M1133">
        <v>99</v>
      </c>
      <c r="N1133" s="1" t="s">
        <v>924</v>
      </c>
      <c r="O1133" s="1" t="s">
        <v>361</v>
      </c>
      <c r="P1133" s="1" t="s">
        <v>362</v>
      </c>
      <c r="Q1133" s="1" t="s">
        <v>363</v>
      </c>
      <c r="R1133" s="1" t="s">
        <v>32</v>
      </c>
      <c r="S1133" s="1" t="s">
        <v>364</v>
      </c>
      <c r="T1133" s="1" t="s">
        <v>65</v>
      </c>
      <c r="U1133" s="1" t="s">
        <v>145</v>
      </c>
      <c r="V1133" s="1" t="s">
        <v>36</v>
      </c>
      <c r="W1133" s="1" t="s">
        <v>37</v>
      </c>
      <c r="X1133" s="1" t="s">
        <v>365</v>
      </c>
      <c r="Y1133" s="1" t="s">
        <v>366</v>
      </c>
      <c r="Z1133" s="1" t="str">
        <f>TRIM(_xlfn.CONCAT(sales_data_sample[[#This Row],[CONTACTFIRSTNAME]],", ",sales_data_sample[[#This Row],[CONTACTLASTNAME]]))</f>
        <v>Valarie, Nelson</v>
      </c>
      <c r="AA1133" s="1" t="s">
        <v>59</v>
      </c>
    </row>
    <row r="1134" spans="1:27" x14ac:dyDescent="0.25">
      <c r="A1134" s="10">
        <v>10323</v>
      </c>
      <c r="B1134" s="9">
        <v>33</v>
      </c>
      <c r="C1134" s="9">
        <v>9127</v>
      </c>
      <c r="D1134" s="9">
        <f>PRODUCT(sales_data_sample[[#This Row],[QUANTITYORDERED]],sales_data_sample[[#This Row],[PRICEEACH]])</f>
        <v>301191</v>
      </c>
      <c r="E1134" s="9">
        <f>IF(OR(sales_data_sample[[#This Row],[STATUS]]="Shipped",sales_data_sample[[#This Row],[STATUS]]="Resolved"),sales_data_sample[[#This Row],[SALES]],0)</f>
        <v>301191</v>
      </c>
      <c r="F1134" s="10">
        <v>2</v>
      </c>
      <c r="G1134" s="12" t="s">
        <v>532</v>
      </c>
      <c r="H1134" s="1" t="s">
        <v>26</v>
      </c>
      <c r="I1134">
        <v>4</v>
      </c>
      <c r="J1134">
        <v>11</v>
      </c>
      <c r="K1134">
        <v>2004</v>
      </c>
      <c r="L1134" s="1" t="s">
        <v>799</v>
      </c>
      <c r="M1134">
        <v>99</v>
      </c>
      <c r="N1134" s="1" t="s">
        <v>924</v>
      </c>
      <c r="O1134" s="1" t="s">
        <v>647</v>
      </c>
      <c r="P1134" s="1" t="s">
        <v>648</v>
      </c>
      <c r="Q1134" s="1" t="s">
        <v>649</v>
      </c>
      <c r="R1134" s="1" t="s">
        <v>32</v>
      </c>
      <c r="S1134" s="1" t="s">
        <v>650</v>
      </c>
      <c r="T1134" s="1" t="s">
        <v>32</v>
      </c>
      <c r="U1134" s="1" t="s">
        <v>651</v>
      </c>
      <c r="V1134" s="1" t="s">
        <v>617</v>
      </c>
      <c r="W1134" s="1" t="s">
        <v>48</v>
      </c>
      <c r="X1134" s="1" t="s">
        <v>652</v>
      </c>
      <c r="Y1134" s="1" t="s">
        <v>570</v>
      </c>
      <c r="Z1134" s="1" t="str">
        <f>TRIM(_xlfn.CONCAT(sales_data_sample[[#This Row],[CONTACTFIRSTNAME]],", ",sales_data_sample[[#This Row],[CONTACTLASTNAME]]))</f>
        <v>Roland, Keitel</v>
      </c>
      <c r="AA1134" s="1" t="s">
        <v>59</v>
      </c>
    </row>
    <row r="1135" spans="1:27" x14ac:dyDescent="0.25">
      <c r="A1135" s="10">
        <v>10333</v>
      </c>
      <c r="B1135" s="9">
        <v>46</v>
      </c>
      <c r="C1135" s="9">
        <v>100</v>
      </c>
      <c r="D1135" s="9">
        <f>PRODUCT(sales_data_sample[[#This Row],[QUANTITYORDERED]],sales_data_sample[[#This Row],[PRICEEACH]])</f>
        <v>4600</v>
      </c>
      <c r="E1135" s="9">
        <f>IF(OR(sales_data_sample[[#This Row],[STATUS]]="Shipped",sales_data_sample[[#This Row],[STATUS]]="Resolved"),sales_data_sample[[#This Row],[SALES]],0)</f>
        <v>4600</v>
      </c>
      <c r="F1135" s="10">
        <v>2</v>
      </c>
      <c r="G1135" s="12" t="s">
        <v>374</v>
      </c>
      <c r="H1135" s="1" t="s">
        <v>26</v>
      </c>
      <c r="I1135">
        <v>4</v>
      </c>
      <c r="J1135">
        <v>11</v>
      </c>
      <c r="K1135">
        <v>2004</v>
      </c>
      <c r="L1135" s="1" t="s">
        <v>799</v>
      </c>
      <c r="M1135">
        <v>99</v>
      </c>
      <c r="N1135" s="1" t="s">
        <v>924</v>
      </c>
      <c r="O1135" s="1" t="s">
        <v>101</v>
      </c>
      <c r="P1135" s="1" t="s">
        <v>102</v>
      </c>
      <c r="Q1135" s="1" t="s">
        <v>103</v>
      </c>
      <c r="R1135" s="1" t="s">
        <v>32</v>
      </c>
      <c r="S1135" s="1" t="s">
        <v>73</v>
      </c>
      <c r="T1135" s="1" t="s">
        <v>65</v>
      </c>
      <c r="U1135" s="1" t="s">
        <v>32</v>
      </c>
      <c r="V1135" s="1" t="s">
        <v>36</v>
      </c>
      <c r="W1135" s="1" t="s">
        <v>37</v>
      </c>
      <c r="X1135" s="1" t="s">
        <v>104</v>
      </c>
      <c r="Y1135" s="1" t="s">
        <v>68</v>
      </c>
      <c r="Z1135" s="1" t="str">
        <f>TRIM(_xlfn.CONCAT(sales_data_sample[[#This Row],[CONTACTFIRSTNAME]],", ",sales_data_sample[[#This Row],[CONTACTLASTNAME]]))</f>
        <v>Julie, Murphy</v>
      </c>
      <c r="AA1135" s="1" t="s">
        <v>199</v>
      </c>
    </row>
    <row r="1136" spans="1:27" x14ac:dyDescent="0.25">
      <c r="A1136">
        <v>10347</v>
      </c>
      <c r="B1136">
        <v>26</v>
      </c>
      <c r="C1136">
        <v>100</v>
      </c>
      <c r="D1136">
        <f>PRODUCT(sales_data_sample[[#This Row],[QUANTITYORDERED]],sales_data_sample[[#This Row],[PRICEEACH]])</f>
        <v>2600</v>
      </c>
      <c r="E1136" s="9">
        <f>IF(OR(sales_data_sample[[#This Row],[STATUS]]="Shipped",sales_data_sample[[#This Row],[STATUS]]="Resolved"),sales_data_sample[[#This Row],[SALES]],0)</f>
        <v>2600</v>
      </c>
      <c r="F1136">
        <v>12</v>
      </c>
      <c r="G1136" s="12" t="s">
        <v>375</v>
      </c>
      <c r="H1136" s="1" t="s">
        <v>26</v>
      </c>
      <c r="I1136">
        <v>4</v>
      </c>
      <c r="J1136">
        <v>11</v>
      </c>
      <c r="K1136">
        <v>2004</v>
      </c>
      <c r="L1136" s="1" t="s">
        <v>799</v>
      </c>
      <c r="M1136">
        <v>99</v>
      </c>
      <c r="N1136" s="1" t="s">
        <v>924</v>
      </c>
      <c r="O1136" s="1" t="s">
        <v>113</v>
      </c>
      <c r="P1136" s="1" t="s">
        <v>114</v>
      </c>
      <c r="Q1136" s="1" t="s">
        <v>115</v>
      </c>
      <c r="R1136" s="1" t="s">
        <v>116</v>
      </c>
      <c r="S1136" s="1" t="s">
        <v>117</v>
      </c>
      <c r="T1136" s="1" t="s">
        <v>118</v>
      </c>
      <c r="U1136" s="1" t="s">
        <v>119</v>
      </c>
      <c r="V1136" s="1" t="s">
        <v>120</v>
      </c>
      <c r="W1136" s="1" t="s">
        <v>121</v>
      </c>
      <c r="X1136" s="1" t="s">
        <v>122</v>
      </c>
      <c r="Y1136" s="1" t="s">
        <v>123</v>
      </c>
      <c r="Z1136" s="1" t="str">
        <f>TRIM(_xlfn.CONCAT(sales_data_sample[[#This Row],[CONTACTFIRSTNAME]],", ",sales_data_sample[[#This Row],[CONTACTLASTNAME]]))</f>
        <v>Peter, Ferguson</v>
      </c>
      <c r="AA1136" s="1" t="s">
        <v>40</v>
      </c>
    </row>
    <row r="1137" spans="1:27" x14ac:dyDescent="0.25">
      <c r="A1137" s="10">
        <v>10357</v>
      </c>
      <c r="B1137" s="9">
        <v>25</v>
      </c>
      <c r="C1137" s="9">
        <v>100</v>
      </c>
      <c r="D1137" s="9">
        <f>PRODUCT(sales_data_sample[[#This Row],[QUANTITYORDERED]],sales_data_sample[[#This Row],[PRICEEACH]])</f>
        <v>2500</v>
      </c>
      <c r="E1137" s="9">
        <f>IF(OR(sales_data_sample[[#This Row],[STATUS]]="Shipped",sales_data_sample[[#This Row],[STATUS]]="Resolved"),sales_data_sample[[#This Row],[SALES]],0)</f>
        <v>2500</v>
      </c>
      <c r="F1137" s="10">
        <v>3</v>
      </c>
      <c r="G1137" s="12" t="s">
        <v>376</v>
      </c>
      <c r="H1137" s="1" t="s">
        <v>26</v>
      </c>
      <c r="I1137">
        <v>4</v>
      </c>
      <c r="J1137">
        <v>12</v>
      </c>
      <c r="K1137">
        <v>2004</v>
      </c>
      <c r="L1137" s="1" t="s">
        <v>799</v>
      </c>
      <c r="M1137">
        <v>99</v>
      </c>
      <c r="N1137" s="1" t="s">
        <v>924</v>
      </c>
      <c r="O1137" s="1" t="s">
        <v>361</v>
      </c>
      <c r="P1137" s="1" t="s">
        <v>362</v>
      </c>
      <c r="Q1137" s="1" t="s">
        <v>363</v>
      </c>
      <c r="R1137" s="1" t="s">
        <v>32</v>
      </c>
      <c r="S1137" s="1" t="s">
        <v>364</v>
      </c>
      <c r="T1137" s="1" t="s">
        <v>65</v>
      </c>
      <c r="U1137" s="1" t="s">
        <v>145</v>
      </c>
      <c r="V1137" s="1" t="s">
        <v>36</v>
      </c>
      <c r="W1137" s="1" t="s">
        <v>37</v>
      </c>
      <c r="X1137" s="1" t="s">
        <v>365</v>
      </c>
      <c r="Y1137" s="1" t="s">
        <v>366</v>
      </c>
      <c r="Z1137" s="1" t="str">
        <f>TRIM(_xlfn.CONCAT(sales_data_sample[[#This Row],[CONTACTFIRSTNAME]],", ",sales_data_sample[[#This Row],[CONTACTLASTNAME]]))</f>
        <v>Valarie, Nelson</v>
      </c>
      <c r="AA1137" s="1" t="s">
        <v>40</v>
      </c>
    </row>
    <row r="1138" spans="1:27" x14ac:dyDescent="0.25">
      <c r="A1138" s="10">
        <v>10369</v>
      </c>
      <c r="B1138" s="9">
        <v>45</v>
      </c>
      <c r="C1138" s="9">
        <v>7308</v>
      </c>
      <c r="D1138" s="9">
        <f>PRODUCT(sales_data_sample[[#This Row],[QUANTITYORDERED]],sales_data_sample[[#This Row],[PRICEEACH]])</f>
        <v>328860</v>
      </c>
      <c r="E1138" s="9">
        <f>IF(OR(sales_data_sample[[#This Row],[STATUS]]="Shipped",sales_data_sample[[#This Row],[STATUS]]="Resolved"),sales_data_sample[[#This Row],[SALES]],0)</f>
        <v>328860</v>
      </c>
      <c r="F1138" s="10">
        <v>4</v>
      </c>
      <c r="G1138" s="12" t="s">
        <v>377</v>
      </c>
      <c r="H1138" s="1" t="s">
        <v>26</v>
      </c>
      <c r="I1138">
        <v>1</v>
      </c>
      <c r="J1138">
        <v>1</v>
      </c>
      <c r="K1138">
        <v>2005</v>
      </c>
      <c r="L1138" s="1" t="s">
        <v>799</v>
      </c>
      <c r="M1138">
        <v>99</v>
      </c>
      <c r="N1138" s="1" t="s">
        <v>924</v>
      </c>
      <c r="O1138" s="1" t="s">
        <v>378</v>
      </c>
      <c r="P1138" s="1" t="s">
        <v>157</v>
      </c>
      <c r="Q1138" s="1" t="s">
        <v>379</v>
      </c>
      <c r="R1138" s="1" t="s">
        <v>32</v>
      </c>
      <c r="S1138" s="1" t="s">
        <v>380</v>
      </c>
      <c r="T1138" s="1" t="s">
        <v>160</v>
      </c>
      <c r="U1138" s="1" t="s">
        <v>381</v>
      </c>
      <c r="V1138" s="1" t="s">
        <v>36</v>
      </c>
      <c r="W1138" s="1" t="s">
        <v>37</v>
      </c>
      <c r="X1138" s="1" t="s">
        <v>365</v>
      </c>
      <c r="Y1138" s="1" t="s">
        <v>382</v>
      </c>
      <c r="Z1138" s="1" t="str">
        <f>TRIM(_xlfn.CONCAT(sales_data_sample[[#This Row],[CONTACTFIRSTNAME]],", ",sales_data_sample[[#This Row],[CONTACTLASTNAME]]))</f>
        <v>Allen, Nelson</v>
      </c>
      <c r="AA1138" s="1" t="s">
        <v>59</v>
      </c>
    </row>
    <row r="1139" spans="1:27" x14ac:dyDescent="0.25">
      <c r="A1139" s="10">
        <v>10382</v>
      </c>
      <c r="B1139" s="9">
        <v>50</v>
      </c>
      <c r="C1139" s="9">
        <v>100</v>
      </c>
      <c r="D1139" s="9">
        <f>PRODUCT(sales_data_sample[[#This Row],[QUANTITYORDERED]],sales_data_sample[[#This Row],[PRICEEACH]])</f>
        <v>5000</v>
      </c>
      <c r="E1139" s="9">
        <f>IF(OR(sales_data_sample[[#This Row],[STATUS]]="Shipped",sales_data_sample[[#This Row],[STATUS]]="Resolved"),sales_data_sample[[#This Row],[SALES]],0)</f>
        <v>5000</v>
      </c>
      <c r="F1139" s="10">
        <v>7</v>
      </c>
      <c r="G1139" s="12" t="s">
        <v>383</v>
      </c>
      <c r="H1139" s="1" t="s">
        <v>26</v>
      </c>
      <c r="I1139">
        <v>1</v>
      </c>
      <c r="J1139">
        <v>2</v>
      </c>
      <c r="K1139">
        <v>2005</v>
      </c>
      <c r="L1139" s="1" t="s">
        <v>799</v>
      </c>
      <c r="M1139">
        <v>99</v>
      </c>
      <c r="N1139" s="1" t="s">
        <v>924</v>
      </c>
      <c r="O1139" s="1" t="s">
        <v>361</v>
      </c>
      <c r="P1139" s="1" t="s">
        <v>362</v>
      </c>
      <c r="Q1139" s="1" t="s">
        <v>363</v>
      </c>
      <c r="R1139" s="1" t="s">
        <v>32</v>
      </c>
      <c r="S1139" s="1" t="s">
        <v>364</v>
      </c>
      <c r="T1139" s="1" t="s">
        <v>65</v>
      </c>
      <c r="U1139" s="1" t="s">
        <v>145</v>
      </c>
      <c r="V1139" s="1" t="s">
        <v>36</v>
      </c>
      <c r="W1139" s="1" t="s">
        <v>37</v>
      </c>
      <c r="X1139" s="1" t="s">
        <v>365</v>
      </c>
      <c r="Y1139" s="1" t="s">
        <v>366</v>
      </c>
      <c r="Z1139" s="1" t="str">
        <f>TRIM(_xlfn.CONCAT(sales_data_sample[[#This Row],[CONTACTFIRSTNAME]],", ",sales_data_sample[[#This Row],[CONTACTLASTNAME]]))</f>
        <v>Valarie, Nelson</v>
      </c>
      <c r="AA1139" s="1" t="s">
        <v>199</v>
      </c>
    </row>
    <row r="1140" spans="1:27" x14ac:dyDescent="0.25">
      <c r="A1140" s="10">
        <v>10392</v>
      </c>
      <c r="B1140" s="9">
        <v>36</v>
      </c>
      <c r="C1140" s="9">
        <v>100</v>
      </c>
      <c r="D1140" s="9">
        <f>PRODUCT(sales_data_sample[[#This Row],[QUANTITYORDERED]],sales_data_sample[[#This Row],[PRICEEACH]])</f>
        <v>3600</v>
      </c>
      <c r="E1140" s="9">
        <f>IF(OR(sales_data_sample[[#This Row],[STATUS]]="Shipped",sales_data_sample[[#This Row],[STATUS]]="Resolved"),sales_data_sample[[#This Row],[SALES]],0)</f>
        <v>3600</v>
      </c>
      <c r="F1140" s="10">
        <v>1</v>
      </c>
      <c r="G1140" s="12" t="s">
        <v>904</v>
      </c>
      <c r="H1140" s="1" t="s">
        <v>26</v>
      </c>
      <c r="I1140">
        <v>1</v>
      </c>
      <c r="J1140">
        <v>3</v>
      </c>
      <c r="K1140">
        <v>2005</v>
      </c>
      <c r="L1140" s="1" t="s">
        <v>799</v>
      </c>
      <c r="M1140">
        <v>99</v>
      </c>
      <c r="N1140" s="1" t="s">
        <v>924</v>
      </c>
      <c r="O1140" s="1" t="s">
        <v>564</v>
      </c>
      <c r="P1140" s="1" t="s">
        <v>565</v>
      </c>
      <c r="Q1140" s="1" t="s">
        <v>566</v>
      </c>
      <c r="R1140" s="1" t="s">
        <v>32</v>
      </c>
      <c r="S1140" s="1" t="s">
        <v>567</v>
      </c>
      <c r="T1140" s="1" t="s">
        <v>32</v>
      </c>
      <c r="U1140" s="1" t="s">
        <v>568</v>
      </c>
      <c r="V1140" s="1" t="s">
        <v>196</v>
      </c>
      <c r="W1140" s="1" t="s">
        <v>48</v>
      </c>
      <c r="X1140" s="1" t="s">
        <v>569</v>
      </c>
      <c r="Y1140" s="1" t="s">
        <v>570</v>
      </c>
      <c r="Z1140" s="1" t="str">
        <f>TRIM(_xlfn.CONCAT(sales_data_sample[[#This Row],[CONTACTFIRSTNAME]],", ",sales_data_sample[[#This Row],[CONTACTLASTNAME]]))</f>
        <v>Roland, Mendel</v>
      </c>
      <c r="AA1140" s="1" t="s">
        <v>59</v>
      </c>
    </row>
    <row r="1141" spans="1:27" x14ac:dyDescent="0.25">
      <c r="A1141" s="10">
        <v>10423</v>
      </c>
      <c r="B1141" s="9">
        <v>21</v>
      </c>
      <c r="C1141" s="9">
        <v>8929</v>
      </c>
      <c r="D1141" s="9">
        <f>PRODUCT(sales_data_sample[[#This Row],[QUANTITYORDERED]],sales_data_sample[[#This Row],[PRICEEACH]])</f>
        <v>187509</v>
      </c>
      <c r="E1141" s="9">
        <f>IF(OR(sales_data_sample[[#This Row],[STATUS]]="Shipped",sales_data_sample[[#This Row],[STATUS]]="Resolved"),sales_data_sample[[#This Row],[SALES]],0)</f>
        <v>0</v>
      </c>
      <c r="F1141" s="10">
        <v>5</v>
      </c>
      <c r="G1141" s="12" t="s">
        <v>827</v>
      </c>
      <c r="H1141" s="1" t="s">
        <v>403</v>
      </c>
      <c r="I1141">
        <v>2</v>
      </c>
      <c r="J1141">
        <v>5</v>
      </c>
      <c r="K1141">
        <v>2005</v>
      </c>
      <c r="L1141" s="1" t="s">
        <v>799</v>
      </c>
      <c r="M1141">
        <v>99</v>
      </c>
      <c r="N1141" s="1" t="s">
        <v>924</v>
      </c>
      <c r="O1141" s="1" t="s">
        <v>500</v>
      </c>
      <c r="P1141" s="1" t="s">
        <v>501</v>
      </c>
      <c r="Q1141" s="1" t="s">
        <v>502</v>
      </c>
      <c r="R1141" s="1" t="s">
        <v>32</v>
      </c>
      <c r="S1141" s="1" t="s">
        <v>503</v>
      </c>
      <c r="T1141" s="1" t="s">
        <v>32</v>
      </c>
      <c r="U1141" s="1" t="s">
        <v>504</v>
      </c>
      <c r="V1141" s="1" t="s">
        <v>505</v>
      </c>
      <c r="W1141" s="1" t="s">
        <v>48</v>
      </c>
      <c r="X1141" s="1" t="s">
        <v>506</v>
      </c>
      <c r="Y1141" s="1" t="s">
        <v>507</v>
      </c>
      <c r="Z1141" s="1" t="str">
        <f>TRIM(_xlfn.CONCAT(sales_data_sample[[#This Row],[CONTACTFIRSTNAME]],", ",sales_data_sample[[#This Row],[CONTACTLASTNAME]]))</f>
        <v>Catherine, Dewey</v>
      </c>
      <c r="AA1141" s="1" t="s">
        <v>40</v>
      </c>
    </row>
    <row r="1142" spans="1:27" x14ac:dyDescent="0.25">
      <c r="A1142" s="10">
        <v>10108</v>
      </c>
      <c r="B1142" s="9">
        <v>29</v>
      </c>
      <c r="C1142" s="9">
        <v>100</v>
      </c>
      <c r="D1142" s="9">
        <f>PRODUCT(sales_data_sample[[#This Row],[QUANTITYORDERED]],sales_data_sample[[#This Row],[PRICEEACH]])</f>
        <v>2900</v>
      </c>
      <c r="E1142" s="9">
        <f>IF(OR(sales_data_sample[[#This Row],[STATUS]]="Shipped",sales_data_sample[[#This Row],[STATUS]]="Resolved"),sales_data_sample[[#This Row],[SALES]],0)</f>
        <v>2900</v>
      </c>
      <c r="F1142" s="10">
        <v>8</v>
      </c>
      <c r="G1142" s="12" t="s">
        <v>589</v>
      </c>
      <c r="H1142" s="1" t="s">
        <v>26</v>
      </c>
      <c r="I1142">
        <v>1</v>
      </c>
      <c r="J1142">
        <v>3</v>
      </c>
      <c r="K1142">
        <v>2003</v>
      </c>
      <c r="L1142" s="1" t="s">
        <v>239</v>
      </c>
      <c r="M1142">
        <v>146</v>
      </c>
      <c r="N1142" s="1" t="s">
        <v>926</v>
      </c>
      <c r="O1142" s="1" t="s">
        <v>591</v>
      </c>
      <c r="P1142" s="1" t="s">
        <v>592</v>
      </c>
      <c r="Q1142" s="1" t="s">
        <v>593</v>
      </c>
      <c r="R1142" s="1" t="s">
        <v>32</v>
      </c>
      <c r="S1142" s="1" t="s">
        <v>594</v>
      </c>
      <c r="T1142" s="1" t="s">
        <v>32</v>
      </c>
      <c r="U1142" s="1" t="s">
        <v>595</v>
      </c>
      <c r="V1142" s="1" t="s">
        <v>596</v>
      </c>
      <c r="W1142" s="1" t="s">
        <v>264</v>
      </c>
      <c r="X1142" s="1" t="s">
        <v>597</v>
      </c>
      <c r="Y1142" s="1" t="s">
        <v>598</v>
      </c>
      <c r="Z1142" s="1" t="str">
        <f>TRIM(_xlfn.CONCAT(sales_data_sample[[#This Row],[CONTACTFIRSTNAME]],", ",sales_data_sample[[#This Row],[CONTACTLASTNAME]]))</f>
        <v>Arnold, Cruz</v>
      </c>
      <c r="AA1142" s="1" t="s">
        <v>59</v>
      </c>
    </row>
    <row r="1143" spans="1:27" x14ac:dyDescent="0.25">
      <c r="A1143" s="10">
        <v>10122</v>
      </c>
      <c r="B1143" s="9">
        <v>21</v>
      </c>
      <c r="C1143" s="9">
        <v>100</v>
      </c>
      <c r="D1143" s="9">
        <f>PRODUCT(sales_data_sample[[#This Row],[QUANTITYORDERED]],sales_data_sample[[#This Row],[PRICEEACH]])</f>
        <v>2100</v>
      </c>
      <c r="E1143" s="9">
        <f>IF(OR(sales_data_sample[[#This Row],[STATUS]]="Shipped",sales_data_sample[[#This Row],[STATUS]]="Resolved"),sales_data_sample[[#This Row],[SALES]],0)</f>
        <v>2100</v>
      </c>
      <c r="F1143" s="10">
        <v>12</v>
      </c>
      <c r="G1143" s="12" t="s">
        <v>599</v>
      </c>
      <c r="H1143" s="1" t="s">
        <v>26</v>
      </c>
      <c r="I1143">
        <v>2</v>
      </c>
      <c r="J1143">
        <v>5</v>
      </c>
      <c r="K1143">
        <v>2003</v>
      </c>
      <c r="L1143" s="1" t="s">
        <v>239</v>
      </c>
      <c r="M1143">
        <v>146</v>
      </c>
      <c r="N1143" s="1" t="s">
        <v>926</v>
      </c>
      <c r="O1143" s="1" t="s">
        <v>600</v>
      </c>
      <c r="P1143" s="1" t="s">
        <v>601</v>
      </c>
      <c r="Q1143" s="1" t="s">
        <v>602</v>
      </c>
      <c r="R1143" s="1" t="s">
        <v>32</v>
      </c>
      <c r="S1143" s="1" t="s">
        <v>603</v>
      </c>
      <c r="T1143" s="1" t="s">
        <v>32</v>
      </c>
      <c r="U1143" s="1" t="s">
        <v>604</v>
      </c>
      <c r="V1143" s="1" t="s">
        <v>47</v>
      </c>
      <c r="W1143" s="1" t="s">
        <v>48</v>
      </c>
      <c r="X1143" s="1" t="s">
        <v>605</v>
      </c>
      <c r="Y1143" s="1" t="s">
        <v>606</v>
      </c>
      <c r="Z1143" s="1" t="str">
        <f>TRIM(_xlfn.CONCAT(sales_data_sample[[#This Row],[CONTACTFIRSTNAME]],", ",sales_data_sample[[#This Row],[CONTACTLASTNAME]]))</f>
        <v>Laurence, Lebihan</v>
      </c>
      <c r="AA1143" s="1" t="s">
        <v>40</v>
      </c>
    </row>
    <row r="1144" spans="1:27" x14ac:dyDescent="0.25">
      <c r="A1144" s="10">
        <v>10135</v>
      </c>
      <c r="B1144" s="9">
        <v>42</v>
      </c>
      <c r="C1144" s="9">
        <v>100</v>
      </c>
      <c r="D1144" s="9">
        <f>PRODUCT(sales_data_sample[[#This Row],[QUANTITYORDERED]],sales_data_sample[[#This Row],[PRICEEACH]])</f>
        <v>4200</v>
      </c>
      <c r="E1144" s="9">
        <f>IF(OR(sales_data_sample[[#This Row],[STATUS]]="Shipped",sales_data_sample[[#This Row],[STATUS]]="Resolved"),sales_data_sample[[#This Row],[SALES]],0)</f>
        <v>4200</v>
      </c>
      <c r="F1144" s="10">
        <v>9</v>
      </c>
      <c r="G1144" s="12" t="s">
        <v>607</v>
      </c>
      <c r="H1144" s="1" t="s">
        <v>26</v>
      </c>
      <c r="I1144">
        <v>3</v>
      </c>
      <c r="J1144">
        <v>7</v>
      </c>
      <c r="K1144">
        <v>2003</v>
      </c>
      <c r="L1144" s="1" t="s">
        <v>239</v>
      </c>
      <c r="M1144">
        <v>146</v>
      </c>
      <c r="N1144" s="1" t="s">
        <v>926</v>
      </c>
      <c r="O1144" s="1" t="s">
        <v>361</v>
      </c>
      <c r="P1144" s="1" t="s">
        <v>362</v>
      </c>
      <c r="Q1144" s="1" t="s">
        <v>363</v>
      </c>
      <c r="R1144" s="1" t="s">
        <v>32</v>
      </c>
      <c r="S1144" s="1" t="s">
        <v>364</v>
      </c>
      <c r="T1144" s="1" t="s">
        <v>65</v>
      </c>
      <c r="U1144" s="1" t="s">
        <v>145</v>
      </c>
      <c r="V1144" s="1" t="s">
        <v>36</v>
      </c>
      <c r="W1144" s="1" t="s">
        <v>37</v>
      </c>
      <c r="X1144" s="1" t="s">
        <v>365</v>
      </c>
      <c r="Y1144" s="1" t="s">
        <v>366</v>
      </c>
      <c r="Z1144" s="1" t="str">
        <f>TRIM(_xlfn.CONCAT(sales_data_sample[[#This Row],[CONTACTFIRSTNAME]],", ",sales_data_sample[[#This Row],[CONTACTLASTNAME]]))</f>
        <v>Valarie, Nelson</v>
      </c>
      <c r="AA1144" s="1" t="s">
        <v>59</v>
      </c>
    </row>
    <row r="1145" spans="1:27" x14ac:dyDescent="0.25">
      <c r="A1145" s="10">
        <v>10147</v>
      </c>
      <c r="B1145" s="9">
        <v>37</v>
      </c>
      <c r="C1145" s="9">
        <v>100</v>
      </c>
      <c r="D1145" s="9">
        <f>PRODUCT(sales_data_sample[[#This Row],[QUANTITYORDERED]],sales_data_sample[[#This Row],[PRICEEACH]])</f>
        <v>3700</v>
      </c>
      <c r="E1145" s="9">
        <f>IF(OR(sales_data_sample[[#This Row],[STATUS]]="Shipped",sales_data_sample[[#This Row],[STATUS]]="Resolved"),sales_data_sample[[#This Row],[SALES]],0)</f>
        <v>3700</v>
      </c>
      <c r="F1145" s="10">
        <v>9</v>
      </c>
      <c r="G1145" s="12" t="s">
        <v>608</v>
      </c>
      <c r="H1145" s="1" t="s">
        <v>26</v>
      </c>
      <c r="I1145">
        <v>3</v>
      </c>
      <c r="J1145">
        <v>9</v>
      </c>
      <c r="K1145">
        <v>2003</v>
      </c>
      <c r="L1145" s="1" t="s">
        <v>239</v>
      </c>
      <c r="M1145">
        <v>146</v>
      </c>
      <c r="N1145" s="1" t="s">
        <v>926</v>
      </c>
      <c r="O1145" s="1" t="s">
        <v>378</v>
      </c>
      <c r="P1145" s="1" t="s">
        <v>157</v>
      </c>
      <c r="Q1145" s="1" t="s">
        <v>379</v>
      </c>
      <c r="R1145" s="1" t="s">
        <v>32</v>
      </c>
      <c r="S1145" s="1" t="s">
        <v>380</v>
      </c>
      <c r="T1145" s="1" t="s">
        <v>160</v>
      </c>
      <c r="U1145" s="1" t="s">
        <v>381</v>
      </c>
      <c r="V1145" s="1" t="s">
        <v>36</v>
      </c>
      <c r="W1145" s="1" t="s">
        <v>37</v>
      </c>
      <c r="X1145" s="1" t="s">
        <v>365</v>
      </c>
      <c r="Y1145" s="1" t="s">
        <v>382</v>
      </c>
      <c r="Z1145" s="1" t="str">
        <f>TRIM(_xlfn.CONCAT(sales_data_sample[[#This Row],[CONTACTFIRSTNAME]],", ",sales_data_sample[[#This Row],[CONTACTLASTNAME]]))</f>
        <v>Allen, Nelson</v>
      </c>
      <c r="AA1145" s="1" t="s">
        <v>59</v>
      </c>
    </row>
    <row r="1146" spans="1:27" x14ac:dyDescent="0.25">
      <c r="A1146" s="10">
        <v>10159</v>
      </c>
      <c r="B1146" s="9">
        <v>25</v>
      </c>
      <c r="C1146" s="9">
        <v>100</v>
      </c>
      <c r="D1146" s="9">
        <f>PRODUCT(sales_data_sample[[#This Row],[QUANTITYORDERED]],sales_data_sample[[#This Row],[PRICEEACH]])</f>
        <v>2500</v>
      </c>
      <c r="E1146" s="9">
        <f>IF(OR(sales_data_sample[[#This Row],[STATUS]]="Shipped",sales_data_sample[[#This Row],[STATUS]]="Resolved"),sales_data_sample[[#This Row],[SALES]],0)</f>
        <v>2500</v>
      </c>
      <c r="F1146" s="10">
        <v>4</v>
      </c>
      <c r="G1146" s="12" t="s">
        <v>69</v>
      </c>
      <c r="H1146" s="1" t="s">
        <v>26</v>
      </c>
      <c r="I1146">
        <v>4</v>
      </c>
      <c r="J1146">
        <v>10</v>
      </c>
      <c r="K1146">
        <v>2003</v>
      </c>
      <c r="L1146" s="1" t="s">
        <v>239</v>
      </c>
      <c r="M1146">
        <v>146</v>
      </c>
      <c r="N1146" s="1" t="s">
        <v>926</v>
      </c>
      <c r="O1146" s="1" t="s">
        <v>70</v>
      </c>
      <c r="P1146" s="1" t="s">
        <v>71</v>
      </c>
      <c r="Q1146" s="1" t="s">
        <v>72</v>
      </c>
      <c r="R1146" s="1" t="s">
        <v>32</v>
      </c>
      <c r="S1146" s="1" t="s">
        <v>73</v>
      </c>
      <c r="T1146" s="1" t="s">
        <v>65</v>
      </c>
      <c r="U1146" s="1" t="s">
        <v>32</v>
      </c>
      <c r="V1146" s="1" t="s">
        <v>36</v>
      </c>
      <c r="W1146" s="1" t="s">
        <v>37</v>
      </c>
      <c r="X1146" s="1" t="s">
        <v>74</v>
      </c>
      <c r="Y1146" s="1" t="s">
        <v>68</v>
      </c>
      <c r="Z1146" s="1" t="str">
        <f>TRIM(_xlfn.CONCAT(sales_data_sample[[#This Row],[CONTACTFIRSTNAME]],", ",sales_data_sample[[#This Row],[CONTACTLASTNAME]]))</f>
        <v>Julie, Brown</v>
      </c>
      <c r="AA1146" s="1" t="s">
        <v>59</v>
      </c>
    </row>
    <row r="1147" spans="1:27" x14ac:dyDescent="0.25">
      <c r="A1147">
        <v>10169</v>
      </c>
      <c r="B1147">
        <v>36</v>
      </c>
      <c r="C1147">
        <v>100</v>
      </c>
      <c r="D1147">
        <f>PRODUCT(sales_data_sample[[#This Row],[QUANTITYORDERED]],sales_data_sample[[#This Row],[PRICEEACH]])</f>
        <v>3600</v>
      </c>
      <c r="E1147" s="9">
        <f>IF(OR(sales_data_sample[[#This Row],[STATUS]]="Shipped",sales_data_sample[[#This Row],[STATUS]]="Resolved"),sales_data_sample[[#This Row],[SALES]],0)</f>
        <v>3600</v>
      </c>
      <c r="F1147">
        <v>4</v>
      </c>
      <c r="G1147" s="12" t="s">
        <v>609</v>
      </c>
      <c r="H1147" s="1" t="s">
        <v>26</v>
      </c>
      <c r="I1147">
        <v>4</v>
      </c>
      <c r="J1147">
        <v>11</v>
      </c>
      <c r="K1147">
        <v>2003</v>
      </c>
      <c r="L1147" s="1" t="s">
        <v>239</v>
      </c>
      <c r="M1147">
        <v>146</v>
      </c>
      <c r="N1147" s="1" t="s">
        <v>926</v>
      </c>
      <c r="O1147" s="1" t="s">
        <v>385</v>
      </c>
      <c r="P1147" s="1" t="s">
        <v>386</v>
      </c>
      <c r="Q1147" s="1" t="s">
        <v>387</v>
      </c>
      <c r="R1147" s="1" t="s">
        <v>388</v>
      </c>
      <c r="S1147" s="1" t="s">
        <v>389</v>
      </c>
      <c r="T1147" s="1" t="s">
        <v>206</v>
      </c>
      <c r="U1147" s="1" t="s">
        <v>390</v>
      </c>
      <c r="V1147" s="1" t="s">
        <v>120</v>
      </c>
      <c r="W1147" s="1" t="s">
        <v>121</v>
      </c>
      <c r="X1147" s="1" t="s">
        <v>391</v>
      </c>
      <c r="Y1147" s="1" t="s">
        <v>392</v>
      </c>
      <c r="Z1147" s="1" t="str">
        <f>TRIM(_xlfn.CONCAT(sales_data_sample[[#This Row],[CONTACTFIRSTNAME]],", ",sales_data_sample[[#This Row],[CONTACTLASTNAME]]))</f>
        <v>Anna, O'Hara</v>
      </c>
      <c r="AA1147" s="1" t="s">
        <v>59</v>
      </c>
    </row>
    <row r="1148" spans="1:27" x14ac:dyDescent="0.25">
      <c r="A1148" s="10">
        <v>10181</v>
      </c>
      <c r="B1148" s="9">
        <v>22</v>
      </c>
      <c r="C1148" s="9">
        <v>100</v>
      </c>
      <c r="D1148" s="9">
        <f>PRODUCT(sales_data_sample[[#This Row],[QUANTITYORDERED]],sales_data_sample[[#This Row],[PRICEEACH]])</f>
        <v>2200</v>
      </c>
      <c r="E1148" s="9">
        <f>IF(OR(sales_data_sample[[#This Row],[STATUS]]="Shipped",sales_data_sample[[#This Row],[STATUS]]="Resolved"),sales_data_sample[[#This Row],[SALES]],0)</f>
        <v>2200</v>
      </c>
      <c r="F1148" s="10">
        <v>16</v>
      </c>
      <c r="G1148" s="12" t="s">
        <v>610</v>
      </c>
      <c r="H1148" s="1" t="s">
        <v>26</v>
      </c>
      <c r="I1148">
        <v>4</v>
      </c>
      <c r="J1148">
        <v>11</v>
      </c>
      <c r="K1148">
        <v>2003</v>
      </c>
      <c r="L1148" s="1" t="s">
        <v>239</v>
      </c>
      <c r="M1148">
        <v>146</v>
      </c>
      <c r="N1148" s="1" t="s">
        <v>926</v>
      </c>
      <c r="O1148" s="1" t="s">
        <v>92</v>
      </c>
      <c r="P1148" s="1" t="s">
        <v>93</v>
      </c>
      <c r="Q1148" s="1" t="s">
        <v>94</v>
      </c>
      <c r="R1148" s="1" t="s">
        <v>32</v>
      </c>
      <c r="S1148" s="1" t="s">
        <v>95</v>
      </c>
      <c r="T1148" s="1" t="s">
        <v>32</v>
      </c>
      <c r="U1148" s="1" t="s">
        <v>96</v>
      </c>
      <c r="V1148" s="1" t="s">
        <v>97</v>
      </c>
      <c r="W1148" s="1" t="s">
        <v>48</v>
      </c>
      <c r="X1148" s="1" t="s">
        <v>98</v>
      </c>
      <c r="Y1148" s="1" t="s">
        <v>99</v>
      </c>
      <c r="Z1148" s="1" t="str">
        <f>TRIM(_xlfn.CONCAT(sales_data_sample[[#This Row],[CONTACTFIRSTNAME]],", ",sales_data_sample[[#This Row],[CONTACTLASTNAME]]))</f>
        <v>Veysel, Oeztan</v>
      </c>
      <c r="AA1148" s="1" t="s">
        <v>59</v>
      </c>
    </row>
    <row r="1149" spans="1:27" x14ac:dyDescent="0.25">
      <c r="A1149" s="10">
        <v>10191</v>
      </c>
      <c r="B1149" s="9">
        <v>23</v>
      </c>
      <c r="C1149" s="9">
        <v>100</v>
      </c>
      <c r="D1149" s="9">
        <f>PRODUCT(sales_data_sample[[#This Row],[QUANTITYORDERED]],sales_data_sample[[#This Row],[PRICEEACH]])</f>
        <v>2300</v>
      </c>
      <c r="E1149" s="9">
        <f>IF(OR(sales_data_sample[[#This Row],[STATUS]]="Shipped",sales_data_sample[[#This Row],[STATUS]]="Resolved"),sales_data_sample[[#This Row],[SALES]],0)</f>
        <v>2300</v>
      </c>
      <c r="F1149" s="10">
        <v>5</v>
      </c>
      <c r="G1149" s="12" t="s">
        <v>611</v>
      </c>
      <c r="H1149" s="1" t="s">
        <v>26</v>
      </c>
      <c r="I1149">
        <v>4</v>
      </c>
      <c r="J1149">
        <v>11</v>
      </c>
      <c r="K1149">
        <v>2003</v>
      </c>
      <c r="L1149" s="1" t="s">
        <v>239</v>
      </c>
      <c r="M1149">
        <v>146</v>
      </c>
      <c r="N1149" s="1" t="s">
        <v>926</v>
      </c>
      <c r="O1149" s="1" t="s">
        <v>612</v>
      </c>
      <c r="P1149" s="1" t="s">
        <v>613</v>
      </c>
      <c r="Q1149" s="1" t="s">
        <v>614</v>
      </c>
      <c r="R1149" s="1" t="s">
        <v>32</v>
      </c>
      <c r="S1149" s="1" t="s">
        <v>615</v>
      </c>
      <c r="T1149" s="1" t="s">
        <v>32</v>
      </c>
      <c r="U1149" s="1" t="s">
        <v>616</v>
      </c>
      <c r="V1149" s="1" t="s">
        <v>617</v>
      </c>
      <c r="W1149" s="1" t="s">
        <v>48</v>
      </c>
      <c r="X1149" s="1" t="s">
        <v>618</v>
      </c>
      <c r="Y1149" s="1" t="s">
        <v>619</v>
      </c>
      <c r="Z1149" s="1" t="str">
        <f>TRIM(_xlfn.CONCAT(sales_data_sample[[#This Row],[CONTACTFIRSTNAME]],", ",sales_data_sample[[#This Row],[CONTACTLASTNAME]]))</f>
        <v>Henriette, Pfalzheim</v>
      </c>
      <c r="AA1149" s="1" t="s">
        <v>59</v>
      </c>
    </row>
    <row r="1150" spans="1:27" x14ac:dyDescent="0.25">
      <c r="A1150" s="10">
        <v>10203</v>
      </c>
      <c r="B1150" s="9">
        <v>32</v>
      </c>
      <c r="C1150" s="9">
        <v>100</v>
      </c>
      <c r="D1150" s="9">
        <f>PRODUCT(sales_data_sample[[#This Row],[QUANTITYORDERED]],sales_data_sample[[#This Row],[PRICEEACH]])</f>
        <v>3200</v>
      </c>
      <c r="E1150" s="9">
        <f>IF(OR(sales_data_sample[[#This Row],[STATUS]]="Shipped",sales_data_sample[[#This Row],[STATUS]]="Resolved"),sales_data_sample[[#This Row],[SALES]],0)</f>
        <v>3200</v>
      </c>
      <c r="F1150" s="10">
        <v>10</v>
      </c>
      <c r="G1150" s="12" t="s">
        <v>620</v>
      </c>
      <c r="H1150" s="1" t="s">
        <v>26</v>
      </c>
      <c r="I1150">
        <v>4</v>
      </c>
      <c r="J1150">
        <v>12</v>
      </c>
      <c r="K1150">
        <v>2003</v>
      </c>
      <c r="L1150" s="1" t="s">
        <v>239</v>
      </c>
      <c r="M1150">
        <v>146</v>
      </c>
      <c r="N1150" s="1" t="s">
        <v>926</v>
      </c>
      <c r="O1150" s="1" t="s">
        <v>230</v>
      </c>
      <c r="P1150" s="1" t="s">
        <v>231</v>
      </c>
      <c r="Q1150" s="1" t="s">
        <v>232</v>
      </c>
      <c r="R1150" s="1" t="s">
        <v>32</v>
      </c>
      <c r="S1150" s="1" t="s">
        <v>233</v>
      </c>
      <c r="T1150" s="1" t="s">
        <v>32</v>
      </c>
      <c r="U1150" s="1" t="s">
        <v>234</v>
      </c>
      <c r="V1150" s="1" t="s">
        <v>235</v>
      </c>
      <c r="W1150" s="1" t="s">
        <v>48</v>
      </c>
      <c r="X1150" s="1" t="s">
        <v>236</v>
      </c>
      <c r="Y1150" s="1" t="s">
        <v>237</v>
      </c>
      <c r="Z1150" s="1" t="str">
        <f>TRIM(_xlfn.CONCAT(sales_data_sample[[#This Row],[CONTACTFIRSTNAME]],", ",sales_data_sample[[#This Row],[CONTACTLASTNAME]]))</f>
        <v>Diego, Freyre</v>
      </c>
      <c r="AA1150" s="1" t="s">
        <v>59</v>
      </c>
    </row>
    <row r="1151" spans="1:27" x14ac:dyDescent="0.25">
      <c r="A1151" s="10">
        <v>10211</v>
      </c>
      <c r="B1151" s="9">
        <v>28</v>
      </c>
      <c r="C1151" s="9">
        <v>100</v>
      </c>
      <c r="D1151" s="9">
        <f>PRODUCT(sales_data_sample[[#This Row],[QUANTITYORDERED]],sales_data_sample[[#This Row],[PRICEEACH]])</f>
        <v>2800</v>
      </c>
      <c r="E1151" s="9">
        <f>IF(OR(sales_data_sample[[#This Row],[STATUS]]="Shipped",sales_data_sample[[#This Row],[STATUS]]="Resolved"),sales_data_sample[[#This Row],[SALES]],0)</f>
        <v>2800</v>
      </c>
      <c r="F1151" s="10">
        <v>4</v>
      </c>
      <c r="G1151" s="12" t="s">
        <v>105</v>
      </c>
      <c r="H1151" s="1" t="s">
        <v>26</v>
      </c>
      <c r="I1151">
        <v>1</v>
      </c>
      <c r="J1151">
        <v>1</v>
      </c>
      <c r="K1151">
        <v>2004</v>
      </c>
      <c r="L1151" s="1" t="s">
        <v>239</v>
      </c>
      <c r="M1151">
        <v>146</v>
      </c>
      <c r="N1151" s="1" t="s">
        <v>926</v>
      </c>
      <c r="O1151" s="1" t="s">
        <v>106</v>
      </c>
      <c r="P1151" s="1" t="s">
        <v>107</v>
      </c>
      <c r="Q1151" s="1" t="s">
        <v>108</v>
      </c>
      <c r="R1151" s="1" t="s">
        <v>32</v>
      </c>
      <c r="S1151" s="1" t="s">
        <v>55</v>
      </c>
      <c r="T1151" s="1" t="s">
        <v>32</v>
      </c>
      <c r="U1151" s="1" t="s">
        <v>109</v>
      </c>
      <c r="V1151" s="1" t="s">
        <v>47</v>
      </c>
      <c r="W1151" s="1" t="s">
        <v>48</v>
      </c>
      <c r="X1151" s="1" t="s">
        <v>110</v>
      </c>
      <c r="Y1151" s="1" t="s">
        <v>111</v>
      </c>
      <c r="Z1151" s="1" t="str">
        <f>TRIM(_xlfn.CONCAT(sales_data_sample[[#This Row],[CONTACTFIRSTNAME]],", ",sales_data_sample[[#This Row],[CONTACTLASTNAME]]))</f>
        <v>Dominique, Perrier</v>
      </c>
      <c r="AA1151" s="1" t="s">
        <v>59</v>
      </c>
    </row>
    <row r="1152" spans="1:27" x14ac:dyDescent="0.25">
      <c r="A1152" s="10">
        <v>10225</v>
      </c>
      <c r="B1152" s="9">
        <v>27</v>
      </c>
      <c r="C1152" s="9">
        <v>100</v>
      </c>
      <c r="D1152" s="9">
        <f>PRODUCT(sales_data_sample[[#This Row],[QUANTITYORDERED]],sales_data_sample[[#This Row],[PRICEEACH]])</f>
        <v>2700</v>
      </c>
      <c r="E1152" s="9">
        <f>IF(OR(sales_data_sample[[#This Row],[STATUS]]="Shipped",sales_data_sample[[#This Row],[STATUS]]="Resolved"),sales_data_sample[[#This Row],[SALES]],0)</f>
        <v>2700</v>
      </c>
      <c r="F1152" s="10">
        <v>11</v>
      </c>
      <c r="G1152" s="12" t="s">
        <v>621</v>
      </c>
      <c r="H1152" s="1" t="s">
        <v>26</v>
      </c>
      <c r="I1152">
        <v>1</v>
      </c>
      <c r="J1152">
        <v>2</v>
      </c>
      <c r="K1152">
        <v>2004</v>
      </c>
      <c r="L1152" s="1" t="s">
        <v>239</v>
      </c>
      <c r="M1152">
        <v>146</v>
      </c>
      <c r="N1152" s="1" t="s">
        <v>926</v>
      </c>
      <c r="O1152" s="1" t="s">
        <v>622</v>
      </c>
      <c r="P1152" s="1" t="s">
        <v>623</v>
      </c>
      <c r="Q1152" s="1" t="s">
        <v>624</v>
      </c>
      <c r="R1152" s="1" t="s">
        <v>32</v>
      </c>
      <c r="S1152" s="1" t="s">
        <v>625</v>
      </c>
      <c r="T1152" s="1" t="s">
        <v>32</v>
      </c>
      <c r="U1152" s="1" t="s">
        <v>626</v>
      </c>
      <c r="V1152" s="1" t="s">
        <v>627</v>
      </c>
      <c r="W1152" s="1" t="s">
        <v>48</v>
      </c>
      <c r="X1152" s="1" t="s">
        <v>628</v>
      </c>
      <c r="Y1152" s="1" t="s">
        <v>130</v>
      </c>
      <c r="Z1152" s="1" t="str">
        <f>TRIM(_xlfn.CONCAT(sales_data_sample[[#This Row],[CONTACTFIRSTNAME]],", ",sales_data_sample[[#This Row],[CONTACTLASTNAME]]))</f>
        <v>Michael, Holz</v>
      </c>
      <c r="AA1152" s="1" t="s">
        <v>59</v>
      </c>
    </row>
    <row r="1153" spans="1:27" x14ac:dyDescent="0.25">
      <c r="A1153" s="10">
        <v>10238</v>
      </c>
      <c r="B1153" s="9">
        <v>49</v>
      </c>
      <c r="C1153" s="9">
        <v>100</v>
      </c>
      <c r="D1153" s="9">
        <f>PRODUCT(sales_data_sample[[#This Row],[QUANTITYORDERED]],sales_data_sample[[#This Row],[PRICEEACH]])</f>
        <v>4900</v>
      </c>
      <c r="E1153" s="9">
        <f>IF(OR(sales_data_sample[[#This Row],[STATUS]]="Shipped",sales_data_sample[[#This Row],[STATUS]]="Resolved"),sales_data_sample[[#This Row],[SALES]],0)</f>
        <v>4900</v>
      </c>
      <c r="F1153" s="10">
        <v>5</v>
      </c>
      <c r="G1153" s="12" t="s">
        <v>629</v>
      </c>
      <c r="H1153" s="1" t="s">
        <v>26</v>
      </c>
      <c r="I1153">
        <v>2</v>
      </c>
      <c r="J1153">
        <v>4</v>
      </c>
      <c r="K1153">
        <v>2004</v>
      </c>
      <c r="L1153" s="1" t="s">
        <v>239</v>
      </c>
      <c r="M1153">
        <v>146</v>
      </c>
      <c r="N1153" s="1" t="s">
        <v>926</v>
      </c>
      <c r="O1153" s="1" t="s">
        <v>437</v>
      </c>
      <c r="P1153" s="1" t="s">
        <v>438</v>
      </c>
      <c r="Q1153" s="1" t="s">
        <v>439</v>
      </c>
      <c r="R1153" s="1" t="s">
        <v>32</v>
      </c>
      <c r="S1153" s="1" t="s">
        <v>440</v>
      </c>
      <c r="T1153" s="1" t="s">
        <v>32</v>
      </c>
      <c r="U1153" s="1" t="s">
        <v>441</v>
      </c>
      <c r="V1153" s="1" t="s">
        <v>442</v>
      </c>
      <c r="W1153" s="1" t="s">
        <v>48</v>
      </c>
      <c r="X1153" s="1" t="s">
        <v>443</v>
      </c>
      <c r="Y1153" s="1" t="s">
        <v>444</v>
      </c>
      <c r="Z1153" s="1" t="str">
        <f>TRIM(_xlfn.CONCAT(sales_data_sample[[#This Row],[CONTACTFIRSTNAME]],", ",sales_data_sample[[#This Row],[CONTACTLASTNAME]]))</f>
        <v>Jytte, Petersen</v>
      </c>
      <c r="AA1153" s="1" t="s">
        <v>59</v>
      </c>
    </row>
    <row r="1154" spans="1:27" x14ac:dyDescent="0.25">
      <c r="A1154" s="10">
        <v>10252</v>
      </c>
      <c r="B1154" s="9">
        <v>41</v>
      </c>
      <c r="C1154" s="9">
        <v>100</v>
      </c>
      <c r="D1154" s="9">
        <f>PRODUCT(sales_data_sample[[#This Row],[QUANTITYORDERED]],sales_data_sample[[#This Row],[PRICEEACH]])</f>
        <v>4100</v>
      </c>
      <c r="E1154" s="9">
        <f>IF(OR(sales_data_sample[[#This Row],[STATUS]]="Shipped",sales_data_sample[[#This Row],[STATUS]]="Resolved"),sales_data_sample[[#This Row],[SALES]],0)</f>
        <v>4100</v>
      </c>
      <c r="F1154" s="10">
        <v>1</v>
      </c>
      <c r="G1154" s="12" t="s">
        <v>922</v>
      </c>
      <c r="H1154" s="1" t="s">
        <v>26</v>
      </c>
      <c r="I1154">
        <v>2</v>
      </c>
      <c r="J1154">
        <v>5</v>
      </c>
      <c r="K1154">
        <v>2004</v>
      </c>
      <c r="L1154" s="1" t="s">
        <v>239</v>
      </c>
      <c r="M1154">
        <v>146</v>
      </c>
      <c r="N1154" s="1" t="s">
        <v>926</v>
      </c>
      <c r="O1154" s="1" t="s">
        <v>106</v>
      </c>
      <c r="P1154" s="1" t="s">
        <v>107</v>
      </c>
      <c r="Q1154" s="1" t="s">
        <v>108</v>
      </c>
      <c r="R1154" s="1" t="s">
        <v>32</v>
      </c>
      <c r="S1154" s="1" t="s">
        <v>55</v>
      </c>
      <c r="T1154" s="1" t="s">
        <v>32</v>
      </c>
      <c r="U1154" s="1" t="s">
        <v>109</v>
      </c>
      <c r="V1154" s="1" t="s">
        <v>47</v>
      </c>
      <c r="W1154" s="1" t="s">
        <v>48</v>
      </c>
      <c r="X1154" s="1" t="s">
        <v>110</v>
      </c>
      <c r="Y1154" s="1" t="s">
        <v>111</v>
      </c>
      <c r="Z1154" s="1" t="str">
        <f>TRIM(_xlfn.CONCAT(sales_data_sample[[#This Row],[CONTACTFIRSTNAME]],", ",sales_data_sample[[#This Row],[CONTACTLASTNAME]]))</f>
        <v>Dominique, Perrier</v>
      </c>
      <c r="AA1154" s="1" t="s">
        <v>59</v>
      </c>
    </row>
    <row r="1155" spans="1:27" x14ac:dyDescent="0.25">
      <c r="A1155" s="10">
        <v>10265</v>
      </c>
      <c r="B1155" s="9">
        <v>49</v>
      </c>
      <c r="C1155" s="9">
        <v>100</v>
      </c>
      <c r="D1155" s="9">
        <f>PRODUCT(sales_data_sample[[#This Row],[QUANTITYORDERED]],sales_data_sample[[#This Row],[PRICEEACH]])</f>
        <v>4900</v>
      </c>
      <c r="E1155" s="9">
        <f>IF(OR(sales_data_sample[[#This Row],[STATUS]]="Shipped",sales_data_sample[[#This Row],[STATUS]]="Resolved"),sales_data_sample[[#This Row],[SALES]],0)</f>
        <v>4900</v>
      </c>
      <c r="F1155" s="10">
        <v>1</v>
      </c>
      <c r="G1155" s="12" t="s">
        <v>923</v>
      </c>
      <c r="H1155" s="1" t="s">
        <v>26</v>
      </c>
      <c r="I1155">
        <v>3</v>
      </c>
      <c r="J1155">
        <v>7</v>
      </c>
      <c r="K1155">
        <v>2004</v>
      </c>
      <c r="L1155" s="1" t="s">
        <v>239</v>
      </c>
      <c r="M1155">
        <v>146</v>
      </c>
      <c r="N1155" s="1" t="s">
        <v>926</v>
      </c>
      <c r="O1155" s="1" t="s">
        <v>814</v>
      </c>
      <c r="P1155" s="1" t="s">
        <v>815</v>
      </c>
      <c r="Q1155" s="1" t="s">
        <v>816</v>
      </c>
      <c r="R1155" s="1" t="s">
        <v>32</v>
      </c>
      <c r="S1155" s="1" t="s">
        <v>817</v>
      </c>
      <c r="T1155" s="1" t="s">
        <v>118</v>
      </c>
      <c r="U1155" s="1" t="s">
        <v>818</v>
      </c>
      <c r="V1155" s="1" t="s">
        <v>120</v>
      </c>
      <c r="W1155" s="1" t="s">
        <v>121</v>
      </c>
      <c r="X1155" s="1" t="s">
        <v>819</v>
      </c>
      <c r="Y1155" s="1" t="s">
        <v>820</v>
      </c>
      <c r="Z1155" s="1" t="str">
        <f>TRIM(_xlfn.CONCAT(sales_data_sample[[#This Row],[CONTACTFIRSTNAME]],", ",sales_data_sample[[#This Row],[CONTACTLASTNAME]]))</f>
        <v>Sean, Connery</v>
      </c>
      <c r="AA1155" s="1" t="s">
        <v>199</v>
      </c>
    </row>
    <row r="1156" spans="1:27" x14ac:dyDescent="0.25">
      <c r="A1156" s="10">
        <v>10276</v>
      </c>
      <c r="B1156" s="9">
        <v>30</v>
      </c>
      <c r="C1156" s="9">
        <v>100</v>
      </c>
      <c r="D1156" s="9">
        <f>PRODUCT(sales_data_sample[[#This Row],[QUANTITYORDERED]],sales_data_sample[[#This Row],[PRICEEACH]])</f>
        <v>3000</v>
      </c>
      <c r="E1156" s="9">
        <f>IF(OR(sales_data_sample[[#This Row],[STATUS]]="Shipped",sales_data_sample[[#This Row],[STATUS]]="Resolved"),sales_data_sample[[#This Row],[SALES]],0)</f>
        <v>3000</v>
      </c>
      <c r="F1156" s="10">
        <v>5</v>
      </c>
      <c r="G1156" s="12" t="s">
        <v>639</v>
      </c>
      <c r="H1156" s="1" t="s">
        <v>26</v>
      </c>
      <c r="I1156">
        <v>3</v>
      </c>
      <c r="J1156">
        <v>8</v>
      </c>
      <c r="K1156">
        <v>2004</v>
      </c>
      <c r="L1156" s="1" t="s">
        <v>239</v>
      </c>
      <c r="M1156">
        <v>146</v>
      </c>
      <c r="N1156" s="1" t="s">
        <v>926</v>
      </c>
      <c r="O1156" s="1" t="s">
        <v>640</v>
      </c>
      <c r="P1156" s="1" t="s">
        <v>641</v>
      </c>
      <c r="Q1156" s="1" t="s">
        <v>642</v>
      </c>
      <c r="R1156" s="1" t="s">
        <v>32</v>
      </c>
      <c r="S1156" s="1" t="s">
        <v>380</v>
      </c>
      <c r="T1156" s="1" t="s">
        <v>160</v>
      </c>
      <c r="U1156" s="1" t="s">
        <v>381</v>
      </c>
      <c r="V1156" s="1" t="s">
        <v>36</v>
      </c>
      <c r="W1156" s="1" t="s">
        <v>37</v>
      </c>
      <c r="X1156" s="1" t="s">
        <v>643</v>
      </c>
      <c r="Y1156" s="1" t="s">
        <v>644</v>
      </c>
      <c r="Z1156" s="1" t="str">
        <f>TRIM(_xlfn.CONCAT(sales_data_sample[[#This Row],[CONTACTFIRSTNAME]],", ",sales_data_sample[[#This Row],[CONTACTLASTNAME]]))</f>
        <v>Miguel, Barajas</v>
      </c>
      <c r="AA1156" s="1" t="s">
        <v>59</v>
      </c>
    </row>
    <row r="1157" spans="1:27" x14ac:dyDescent="0.25">
      <c r="A1157" s="10">
        <v>10287</v>
      </c>
      <c r="B1157" s="9">
        <v>40</v>
      </c>
      <c r="C1157" s="9">
        <v>100</v>
      </c>
      <c r="D1157" s="9">
        <f>PRODUCT(sales_data_sample[[#This Row],[QUANTITYORDERED]],sales_data_sample[[#This Row],[PRICEEACH]])</f>
        <v>4000</v>
      </c>
      <c r="E1157" s="9">
        <f>IF(OR(sales_data_sample[[#This Row],[STATUS]]="Shipped",sales_data_sample[[#This Row],[STATUS]]="Resolved"),sales_data_sample[[#This Row],[SALES]],0)</f>
        <v>4000</v>
      </c>
      <c r="F1157" s="10">
        <v>14</v>
      </c>
      <c r="G1157" s="12" t="s">
        <v>645</v>
      </c>
      <c r="H1157" s="1" t="s">
        <v>26</v>
      </c>
      <c r="I1157">
        <v>3</v>
      </c>
      <c r="J1157">
        <v>8</v>
      </c>
      <c r="K1157">
        <v>2004</v>
      </c>
      <c r="L1157" s="1" t="s">
        <v>239</v>
      </c>
      <c r="M1157">
        <v>146</v>
      </c>
      <c r="N1157" s="1" t="s">
        <v>926</v>
      </c>
      <c r="O1157" s="1" t="s">
        <v>622</v>
      </c>
      <c r="P1157" s="1" t="s">
        <v>623</v>
      </c>
      <c r="Q1157" s="1" t="s">
        <v>624</v>
      </c>
      <c r="R1157" s="1" t="s">
        <v>32</v>
      </c>
      <c r="S1157" s="1" t="s">
        <v>625</v>
      </c>
      <c r="T1157" s="1" t="s">
        <v>32</v>
      </c>
      <c r="U1157" s="1" t="s">
        <v>626</v>
      </c>
      <c r="V1157" s="1" t="s">
        <v>627</v>
      </c>
      <c r="W1157" s="1" t="s">
        <v>48</v>
      </c>
      <c r="X1157" s="1" t="s">
        <v>628</v>
      </c>
      <c r="Y1157" s="1" t="s">
        <v>130</v>
      </c>
      <c r="Z1157" s="1" t="str">
        <f>TRIM(_xlfn.CONCAT(sales_data_sample[[#This Row],[CONTACTFIRSTNAME]],", ",sales_data_sample[[#This Row],[CONTACTLASTNAME]]))</f>
        <v>Michael, Holz</v>
      </c>
      <c r="AA1157" s="1" t="s">
        <v>59</v>
      </c>
    </row>
    <row r="1158" spans="1:27" x14ac:dyDescent="0.25">
      <c r="A1158" s="10">
        <v>10300</v>
      </c>
      <c r="B1158" s="9">
        <v>23</v>
      </c>
      <c r="C1158" s="9">
        <v>100</v>
      </c>
      <c r="D1158" s="9">
        <f>PRODUCT(sales_data_sample[[#This Row],[QUANTITYORDERED]],sales_data_sample[[#This Row],[PRICEEACH]])</f>
        <v>2300</v>
      </c>
      <c r="E1158" s="9">
        <f>IF(OR(sales_data_sample[[#This Row],[STATUS]]="Shipped",sales_data_sample[[#This Row],[STATUS]]="Resolved"),sales_data_sample[[#This Row],[SALES]],0)</f>
        <v>2300</v>
      </c>
      <c r="F1158" s="10">
        <v>7</v>
      </c>
      <c r="G1158" s="12" t="s">
        <v>646</v>
      </c>
      <c r="H1158" s="1" t="s">
        <v>26</v>
      </c>
      <c r="I1158">
        <v>4</v>
      </c>
      <c r="J1158">
        <v>10</v>
      </c>
      <c r="K1158">
        <v>2003</v>
      </c>
      <c r="L1158" s="1" t="s">
        <v>239</v>
      </c>
      <c r="M1158">
        <v>146</v>
      </c>
      <c r="N1158" s="1" t="s">
        <v>926</v>
      </c>
      <c r="O1158" s="1" t="s">
        <v>647</v>
      </c>
      <c r="P1158" s="1" t="s">
        <v>648</v>
      </c>
      <c r="Q1158" s="1" t="s">
        <v>649</v>
      </c>
      <c r="R1158" s="1" t="s">
        <v>32</v>
      </c>
      <c r="S1158" s="1" t="s">
        <v>650</v>
      </c>
      <c r="T1158" s="1" t="s">
        <v>32</v>
      </c>
      <c r="U1158" s="1" t="s">
        <v>651</v>
      </c>
      <c r="V1158" s="1" t="s">
        <v>617</v>
      </c>
      <c r="W1158" s="1" t="s">
        <v>48</v>
      </c>
      <c r="X1158" s="1" t="s">
        <v>652</v>
      </c>
      <c r="Y1158" s="1" t="s">
        <v>570</v>
      </c>
      <c r="Z1158" s="1" t="str">
        <f>TRIM(_xlfn.CONCAT(sales_data_sample[[#This Row],[CONTACTFIRSTNAME]],", ",sales_data_sample[[#This Row],[CONTACTLASTNAME]]))</f>
        <v>Roland, Keitel</v>
      </c>
      <c r="AA1158" s="1" t="s">
        <v>59</v>
      </c>
    </row>
    <row r="1159" spans="1:27" x14ac:dyDescent="0.25">
      <c r="A1159" s="10">
        <v>10310</v>
      </c>
      <c r="B1159" s="9">
        <v>49</v>
      </c>
      <c r="C1159" s="9">
        <v>100</v>
      </c>
      <c r="D1159" s="9">
        <f>PRODUCT(sales_data_sample[[#This Row],[QUANTITYORDERED]],sales_data_sample[[#This Row],[PRICEEACH]])</f>
        <v>4900</v>
      </c>
      <c r="E1159" s="9">
        <f>IF(OR(sales_data_sample[[#This Row],[STATUS]]="Shipped",sales_data_sample[[#This Row],[STATUS]]="Resolved"),sales_data_sample[[#This Row],[SALES]],0)</f>
        <v>4900</v>
      </c>
      <c r="F1159" s="10">
        <v>12</v>
      </c>
      <c r="G1159" s="12" t="s">
        <v>653</v>
      </c>
      <c r="H1159" s="1" t="s">
        <v>26</v>
      </c>
      <c r="I1159">
        <v>4</v>
      </c>
      <c r="J1159">
        <v>10</v>
      </c>
      <c r="K1159">
        <v>2004</v>
      </c>
      <c r="L1159" s="1" t="s">
        <v>239</v>
      </c>
      <c r="M1159">
        <v>146</v>
      </c>
      <c r="N1159" s="1" t="s">
        <v>926</v>
      </c>
      <c r="O1159" s="1" t="s">
        <v>612</v>
      </c>
      <c r="P1159" s="1" t="s">
        <v>613</v>
      </c>
      <c r="Q1159" s="1" t="s">
        <v>614</v>
      </c>
      <c r="R1159" s="1" t="s">
        <v>32</v>
      </c>
      <c r="S1159" s="1" t="s">
        <v>615</v>
      </c>
      <c r="T1159" s="1" t="s">
        <v>32</v>
      </c>
      <c r="U1159" s="1" t="s">
        <v>616</v>
      </c>
      <c r="V1159" s="1" t="s">
        <v>617</v>
      </c>
      <c r="W1159" s="1" t="s">
        <v>48</v>
      </c>
      <c r="X1159" s="1" t="s">
        <v>618</v>
      </c>
      <c r="Y1159" s="1" t="s">
        <v>619</v>
      </c>
      <c r="Z1159" s="1" t="str">
        <f>TRIM(_xlfn.CONCAT(sales_data_sample[[#This Row],[CONTACTFIRSTNAME]],", ",sales_data_sample[[#This Row],[CONTACTLASTNAME]]))</f>
        <v>Henriette, Pfalzheim</v>
      </c>
      <c r="AA1159" s="1" t="s">
        <v>59</v>
      </c>
    </row>
    <row r="1160" spans="1:27" x14ac:dyDescent="0.25">
      <c r="A1160" s="10">
        <v>10320</v>
      </c>
      <c r="B1160" s="9">
        <v>25</v>
      </c>
      <c r="C1160" s="9">
        <v>100</v>
      </c>
      <c r="D1160" s="9">
        <f>PRODUCT(sales_data_sample[[#This Row],[QUANTITYORDERED]],sales_data_sample[[#This Row],[PRICEEACH]])</f>
        <v>2500</v>
      </c>
      <c r="E1160" s="9">
        <f>IF(OR(sales_data_sample[[#This Row],[STATUS]]="Shipped",sales_data_sample[[#This Row],[STATUS]]="Resolved"),sales_data_sample[[#This Row],[SALES]],0)</f>
        <v>2500</v>
      </c>
      <c r="F1160" s="10">
        <v>5</v>
      </c>
      <c r="G1160" s="12" t="s">
        <v>654</v>
      </c>
      <c r="H1160" s="1" t="s">
        <v>26</v>
      </c>
      <c r="I1160">
        <v>4</v>
      </c>
      <c r="J1160">
        <v>11</v>
      </c>
      <c r="K1160">
        <v>2004</v>
      </c>
      <c r="L1160" s="1" t="s">
        <v>239</v>
      </c>
      <c r="M1160">
        <v>146</v>
      </c>
      <c r="N1160" s="1" t="s">
        <v>926</v>
      </c>
      <c r="O1160" s="1" t="s">
        <v>242</v>
      </c>
      <c r="P1160" s="1" t="s">
        <v>243</v>
      </c>
      <c r="Q1160" s="1" t="s">
        <v>244</v>
      </c>
      <c r="R1160" s="1" t="s">
        <v>32</v>
      </c>
      <c r="S1160" s="1" t="s">
        <v>245</v>
      </c>
      <c r="T1160" s="1" t="s">
        <v>32</v>
      </c>
      <c r="U1160" s="1" t="s">
        <v>246</v>
      </c>
      <c r="V1160" s="1" t="s">
        <v>247</v>
      </c>
      <c r="W1160" s="1" t="s">
        <v>48</v>
      </c>
      <c r="X1160" s="1" t="s">
        <v>248</v>
      </c>
      <c r="Y1160" s="1" t="s">
        <v>249</v>
      </c>
      <c r="Z1160" s="1" t="str">
        <f>TRIM(_xlfn.CONCAT(sales_data_sample[[#This Row],[CONTACTFIRSTNAME]],", ",sales_data_sample[[#This Row],[CONTACTLASTNAME]]))</f>
        <v>Christina, Berglund</v>
      </c>
      <c r="AA1160" s="1" t="s">
        <v>59</v>
      </c>
    </row>
    <row r="1161" spans="1:27" x14ac:dyDescent="0.25">
      <c r="A1161" s="10">
        <v>10330</v>
      </c>
      <c r="B1161" s="9">
        <v>37</v>
      </c>
      <c r="C1161" s="9">
        <v>100</v>
      </c>
      <c r="D1161" s="9">
        <f>PRODUCT(sales_data_sample[[#This Row],[QUANTITYORDERED]],sales_data_sample[[#This Row],[PRICEEACH]])</f>
        <v>3700</v>
      </c>
      <c r="E1161" s="9">
        <f>IF(OR(sales_data_sample[[#This Row],[STATUS]]="Shipped",sales_data_sample[[#This Row],[STATUS]]="Resolved"),sales_data_sample[[#This Row],[SALES]],0)</f>
        <v>3700</v>
      </c>
      <c r="F1161" s="10">
        <v>3</v>
      </c>
      <c r="G1161" s="12" t="s">
        <v>927</v>
      </c>
      <c r="H1161" s="1" t="s">
        <v>26</v>
      </c>
      <c r="I1161">
        <v>4</v>
      </c>
      <c r="J1161">
        <v>11</v>
      </c>
      <c r="K1161">
        <v>2004</v>
      </c>
      <c r="L1161" s="1" t="s">
        <v>239</v>
      </c>
      <c r="M1161">
        <v>146</v>
      </c>
      <c r="N1161" s="1" t="s">
        <v>926</v>
      </c>
      <c r="O1161" s="1" t="s">
        <v>591</v>
      </c>
      <c r="P1161" s="1" t="s">
        <v>592</v>
      </c>
      <c r="Q1161" s="1" t="s">
        <v>593</v>
      </c>
      <c r="R1161" s="1" t="s">
        <v>32</v>
      </c>
      <c r="S1161" s="1" t="s">
        <v>594</v>
      </c>
      <c r="T1161" s="1" t="s">
        <v>32</v>
      </c>
      <c r="U1161" s="1" t="s">
        <v>595</v>
      </c>
      <c r="V1161" s="1" t="s">
        <v>596</v>
      </c>
      <c r="W1161" s="1" t="s">
        <v>264</v>
      </c>
      <c r="X1161" s="1" t="s">
        <v>597</v>
      </c>
      <c r="Y1161" s="1" t="s">
        <v>598</v>
      </c>
      <c r="Z1161" s="1" t="str">
        <f>TRIM(_xlfn.CONCAT(sales_data_sample[[#This Row],[CONTACTFIRSTNAME]],", ",sales_data_sample[[#This Row],[CONTACTLASTNAME]]))</f>
        <v>Arnold, Cruz</v>
      </c>
      <c r="AA1161" s="1" t="s">
        <v>59</v>
      </c>
    </row>
    <row r="1162" spans="1:27" x14ac:dyDescent="0.25">
      <c r="A1162">
        <v>10342</v>
      </c>
      <c r="B1162">
        <v>55</v>
      </c>
      <c r="C1162">
        <v>100</v>
      </c>
      <c r="D1162">
        <f>PRODUCT(sales_data_sample[[#This Row],[QUANTITYORDERED]],sales_data_sample[[#This Row],[PRICEEACH]])</f>
        <v>5500</v>
      </c>
      <c r="E1162" s="9">
        <f>IF(OR(sales_data_sample[[#This Row],[STATUS]]="Shipped",sales_data_sample[[#This Row],[STATUS]]="Resolved"),sales_data_sample[[#This Row],[SALES]],0)</f>
        <v>5500</v>
      </c>
      <c r="F1162">
        <v>7</v>
      </c>
      <c r="G1162" s="12" t="s">
        <v>190</v>
      </c>
      <c r="H1162" s="1" t="s">
        <v>26</v>
      </c>
      <c r="I1162">
        <v>4</v>
      </c>
      <c r="J1162">
        <v>11</v>
      </c>
      <c r="K1162">
        <v>2004</v>
      </c>
      <c r="L1162" s="1" t="s">
        <v>239</v>
      </c>
      <c r="M1162">
        <v>146</v>
      </c>
      <c r="N1162" s="1" t="s">
        <v>926</v>
      </c>
      <c r="O1162" s="1" t="s">
        <v>113</v>
      </c>
      <c r="P1162" s="1" t="s">
        <v>114</v>
      </c>
      <c r="Q1162" s="1" t="s">
        <v>115</v>
      </c>
      <c r="R1162" s="1" t="s">
        <v>116</v>
      </c>
      <c r="S1162" s="1" t="s">
        <v>117</v>
      </c>
      <c r="T1162" s="1" t="s">
        <v>118</v>
      </c>
      <c r="U1162" s="1" t="s">
        <v>119</v>
      </c>
      <c r="V1162" s="1" t="s">
        <v>120</v>
      </c>
      <c r="W1162" s="1" t="s">
        <v>121</v>
      </c>
      <c r="X1162" s="1" t="s">
        <v>122</v>
      </c>
      <c r="Y1162" s="1" t="s">
        <v>123</v>
      </c>
      <c r="Z1162" s="1" t="str">
        <f>TRIM(_xlfn.CONCAT(sales_data_sample[[#This Row],[CONTACTFIRSTNAME]],", ",sales_data_sample[[#This Row],[CONTACTLASTNAME]]))</f>
        <v>Peter, Ferguson</v>
      </c>
      <c r="AA1162" s="1" t="s">
        <v>59</v>
      </c>
    </row>
    <row r="1163" spans="1:27" x14ac:dyDescent="0.25">
      <c r="A1163" s="10">
        <v>10355</v>
      </c>
      <c r="B1163" s="9">
        <v>23</v>
      </c>
      <c r="C1163" s="9">
        <v>100</v>
      </c>
      <c r="D1163" s="9">
        <f>PRODUCT(sales_data_sample[[#This Row],[QUANTITYORDERED]],sales_data_sample[[#This Row],[PRICEEACH]])</f>
        <v>2300</v>
      </c>
      <c r="E1163" s="9">
        <f>IF(OR(sales_data_sample[[#This Row],[STATUS]]="Shipped",sales_data_sample[[#This Row],[STATUS]]="Resolved"),sales_data_sample[[#This Row],[SALES]],0)</f>
        <v>2300</v>
      </c>
      <c r="F1163" s="10">
        <v>7</v>
      </c>
      <c r="G1163" s="12" t="s">
        <v>928</v>
      </c>
      <c r="H1163" s="1" t="s">
        <v>26</v>
      </c>
      <c r="I1163">
        <v>4</v>
      </c>
      <c r="J1163">
        <v>12</v>
      </c>
      <c r="K1163">
        <v>2004</v>
      </c>
      <c r="L1163" s="1" t="s">
        <v>239</v>
      </c>
      <c r="M1163">
        <v>146</v>
      </c>
      <c r="N1163" s="1" t="s">
        <v>926</v>
      </c>
      <c r="O1163" s="1" t="s">
        <v>230</v>
      </c>
      <c r="P1163" s="1" t="s">
        <v>231</v>
      </c>
      <c r="Q1163" s="1" t="s">
        <v>232</v>
      </c>
      <c r="R1163" s="1" t="s">
        <v>32</v>
      </c>
      <c r="S1163" s="1" t="s">
        <v>233</v>
      </c>
      <c r="T1163" s="1" t="s">
        <v>32</v>
      </c>
      <c r="U1163" s="1" t="s">
        <v>234</v>
      </c>
      <c r="V1163" s="1" t="s">
        <v>235</v>
      </c>
      <c r="W1163" s="1" t="s">
        <v>48</v>
      </c>
      <c r="X1163" s="1" t="s">
        <v>236</v>
      </c>
      <c r="Y1163" s="1" t="s">
        <v>237</v>
      </c>
      <c r="Z1163" s="1" t="str">
        <f>TRIM(_xlfn.CONCAT(sales_data_sample[[#This Row],[CONTACTFIRSTNAME]],", ",sales_data_sample[[#This Row],[CONTACTLASTNAME]]))</f>
        <v>Diego, Freyre</v>
      </c>
      <c r="AA1163" s="1" t="s">
        <v>59</v>
      </c>
    </row>
    <row r="1164" spans="1:27" x14ac:dyDescent="0.25">
      <c r="A1164" s="10">
        <v>10363</v>
      </c>
      <c r="B1164" s="9">
        <v>24</v>
      </c>
      <c r="C1164" s="9">
        <v>100</v>
      </c>
      <c r="D1164" s="9">
        <f>PRODUCT(sales_data_sample[[#This Row],[QUANTITYORDERED]],sales_data_sample[[#This Row],[PRICEEACH]])</f>
        <v>2400</v>
      </c>
      <c r="E1164" s="9">
        <f>IF(OR(sales_data_sample[[#This Row],[STATUS]]="Shipped",sales_data_sample[[#This Row],[STATUS]]="Resolved"),sales_data_sample[[#This Row],[SALES]],0)</f>
        <v>2400</v>
      </c>
      <c r="F1164" s="10">
        <v>11</v>
      </c>
      <c r="G1164" s="12" t="s">
        <v>655</v>
      </c>
      <c r="H1164" s="1" t="s">
        <v>26</v>
      </c>
      <c r="I1164">
        <v>1</v>
      </c>
      <c r="J1164">
        <v>1</v>
      </c>
      <c r="K1164">
        <v>2005</v>
      </c>
      <c r="L1164" s="1" t="s">
        <v>239</v>
      </c>
      <c r="M1164">
        <v>146</v>
      </c>
      <c r="N1164" s="1" t="s">
        <v>926</v>
      </c>
      <c r="O1164" s="1" t="s">
        <v>656</v>
      </c>
      <c r="P1164" s="1" t="s">
        <v>657</v>
      </c>
      <c r="Q1164" s="1" t="s">
        <v>658</v>
      </c>
      <c r="R1164" s="1" t="s">
        <v>32</v>
      </c>
      <c r="S1164" s="1" t="s">
        <v>659</v>
      </c>
      <c r="T1164" s="1" t="s">
        <v>32</v>
      </c>
      <c r="U1164" s="1" t="s">
        <v>660</v>
      </c>
      <c r="V1164" s="1" t="s">
        <v>170</v>
      </c>
      <c r="W1164" s="1" t="s">
        <v>48</v>
      </c>
      <c r="X1164" s="1" t="s">
        <v>661</v>
      </c>
      <c r="Y1164" s="1" t="s">
        <v>662</v>
      </c>
      <c r="Z1164" s="1" t="str">
        <f>TRIM(_xlfn.CONCAT(sales_data_sample[[#This Row],[CONTACTFIRSTNAME]],", ",sales_data_sample[[#This Row],[CONTACTLASTNAME]]))</f>
        <v>Kalle, Suominen</v>
      </c>
      <c r="AA1164" s="1" t="s">
        <v>59</v>
      </c>
    </row>
    <row r="1165" spans="1:27" x14ac:dyDescent="0.25">
      <c r="A1165" s="10">
        <v>10378</v>
      </c>
      <c r="B1165" s="9">
        <v>43</v>
      </c>
      <c r="C1165" s="9">
        <v>9649</v>
      </c>
      <c r="D1165" s="9">
        <f>PRODUCT(sales_data_sample[[#This Row],[QUANTITYORDERED]],sales_data_sample[[#This Row],[PRICEEACH]])</f>
        <v>414907</v>
      </c>
      <c r="E1165" s="9">
        <f>IF(OR(sales_data_sample[[#This Row],[STATUS]]="Shipped",sales_data_sample[[#This Row],[STATUS]]="Resolved"),sales_data_sample[[#This Row],[SALES]],0)</f>
        <v>414907</v>
      </c>
      <c r="F1165" s="10">
        <v>10</v>
      </c>
      <c r="G1165" s="12" t="s">
        <v>836</v>
      </c>
      <c r="H1165" s="1" t="s">
        <v>26</v>
      </c>
      <c r="I1165">
        <v>1</v>
      </c>
      <c r="J1165">
        <v>2</v>
      </c>
      <c r="K1165">
        <v>2005</v>
      </c>
      <c r="L1165" s="1" t="s">
        <v>239</v>
      </c>
      <c r="M1165">
        <v>146</v>
      </c>
      <c r="N1165" s="1" t="s">
        <v>926</v>
      </c>
      <c r="O1165" s="1" t="s">
        <v>230</v>
      </c>
      <c r="P1165" s="1" t="s">
        <v>231</v>
      </c>
      <c r="Q1165" s="1" t="s">
        <v>232</v>
      </c>
      <c r="R1165" s="1" t="s">
        <v>32</v>
      </c>
      <c r="S1165" s="1" t="s">
        <v>233</v>
      </c>
      <c r="T1165" s="1" t="s">
        <v>32</v>
      </c>
      <c r="U1165" s="1" t="s">
        <v>234</v>
      </c>
      <c r="V1165" s="1" t="s">
        <v>235</v>
      </c>
      <c r="W1165" s="1" t="s">
        <v>48</v>
      </c>
      <c r="X1165" s="1" t="s">
        <v>236</v>
      </c>
      <c r="Y1165" s="1" t="s">
        <v>237</v>
      </c>
      <c r="Z1165" s="1" t="str">
        <f>TRIM(_xlfn.CONCAT(sales_data_sample[[#This Row],[CONTACTFIRSTNAME]],", ",sales_data_sample[[#This Row],[CONTACTLASTNAME]]))</f>
        <v>Diego, Freyre</v>
      </c>
      <c r="AA1165" s="1" t="s">
        <v>59</v>
      </c>
    </row>
    <row r="1166" spans="1:27" x14ac:dyDescent="0.25">
      <c r="A1166" s="10">
        <v>10390</v>
      </c>
      <c r="B1166" s="9">
        <v>50</v>
      </c>
      <c r="C1166" s="9">
        <v>100</v>
      </c>
      <c r="D1166" s="9">
        <f>PRODUCT(sales_data_sample[[#This Row],[QUANTITYORDERED]],sales_data_sample[[#This Row],[PRICEEACH]])</f>
        <v>5000</v>
      </c>
      <c r="E1166" s="9">
        <f>IF(OR(sales_data_sample[[#This Row],[STATUS]]="Shipped",sales_data_sample[[#This Row],[STATUS]]="Resolved"),sales_data_sample[[#This Row],[SALES]],0)</f>
        <v>5000</v>
      </c>
      <c r="F1166" s="10">
        <v>1</v>
      </c>
      <c r="G1166" s="12" t="s">
        <v>796</v>
      </c>
      <c r="H1166" s="1" t="s">
        <v>26</v>
      </c>
      <c r="I1166">
        <v>1</v>
      </c>
      <c r="J1166">
        <v>3</v>
      </c>
      <c r="K1166">
        <v>2005</v>
      </c>
      <c r="L1166" s="1" t="s">
        <v>239</v>
      </c>
      <c r="M1166">
        <v>146</v>
      </c>
      <c r="N1166" s="1" t="s">
        <v>926</v>
      </c>
      <c r="O1166" s="1" t="s">
        <v>361</v>
      </c>
      <c r="P1166" s="1" t="s">
        <v>362</v>
      </c>
      <c r="Q1166" s="1" t="s">
        <v>363</v>
      </c>
      <c r="R1166" s="1" t="s">
        <v>32</v>
      </c>
      <c r="S1166" s="1" t="s">
        <v>364</v>
      </c>
      <c r="T1166" s="1" t="s">
        <v>65</v>
      </c>
      <c r="U1166" s="1" t="s">
        <v>145</v>
      </c>
      <c r="V1166" s="1" t="s">
        <v>36</v>
      </c>
      <c r="W1166" s="1" t="s">
        <v>37</v>
      </c>
      <c r="X1166" s="1" t="s">
        <v>365</v>
      </c>
      <c r="Y1166" s="1" t="s">
        <v>366</v>
      </c>
      <c r="Z1166" s="1" t="str">
        <f>TRIM(_xlfn.CONCAT(sales_data_sample[[#This Row],[CONTACTFIRSTNAME]],", ",sales_data_sample[[#This Row],[CONTACTLASTNAME]]))</f>
        <v>Valarie, Nelson</v>
      </c>
      <c r="AA1166" s="1" t="s">
        <v>199</v>
      </c>
    </row>
    <row r="1167" spans="1:27" x14ac:dyDescent="0.25">
      <c r="A1167" s="10">
        <v>10109</v>
      </c>
      <c r="B1167" s="9">
        <v>47</v>
      </c>
      <c r="C1167" s="9">
        <v>100</v>
      </c>
      <c r="D1167" s="9">
        <f>PRODUCT(sales_data_sample[[#This Row],[QUANTITYORDERED]],sales_data_sample[[#This Row],[PRICEEACH]])</f>
        <v>4700</v>
      </c>
      <c r="E1167" s="9">
        <f>IF(OR(sales_data_sample[[#This Row],[STATUS]]="Shipped",sales_data_sample[[#This Row],[STATUS]]="Resolved"),sales_data_sample[[#This Row],[SALES]],0)</f>
        <v>4700</v>
      </c>
      <c r="F1167" s="10">
        <v>2</v>
      </c>
      <c r="G1167" s="12" t="s">
        <v>771</v>
      </c>
      <c r="H1167" s="1" t="s">
        <v>26</v>
      </c>
      <c r="I1167">
        <v>1</v>
      </c>
      <c r="J1167">
        <v>3</v>
      </c>
      <c r="K1167">
        <v>2003</v>
      </c>
      <c r="L1167" s="1" t="s">
        <v>239</v>
      </c>
      <c r="M1167">
        <v>141</v>
      </c>
      <c r="N1167" s="1" t="s">
        <v>929</v>
      </c>
      <c r="O1167" s="1" t="s">
        <v>415</v>
      </c>
      <c r="P1167" s="1" t="s">
        <v>416</v>
      </c>
      <c r="Q1167" s="1" t="s">
        <v>417</v>
      </c>
      <c r="R1167" s="1" t="s">
        <v>32</v>
      </c>
      <c r="S1167" s="1" t="s">
        <v>286</v>
      </c>
      <c r="T1167" s="1" t="s">
        <v>186</v>
      </c>
      <c r="U1167" s="1" t="s">
        <v>287</v>
      </c>
      <c r="V1167" s="1" t="s">
        <v>36</v>
      </c>
      <c r="W1167" s="1" t="s">
        <v>37</v>
      </c>
      <c r="X1167" s="1" t="s">
        <v>162</v>
      </c>
      <c r="Y1167" s="1" t="s">
        <v>418</v>
      </c>
      <c r="Z1167" s="1" t="str">
        <f>TRIM(_xlfn.CONCAT(sales_data_sample[[#This Row],[CONTACTFIRSTNAME]],", ",sales_data_sample[[#This Row],[CONTACTLASTNAME]]))</f>
        <v>Rosa, Hernandez</v>
      </c>
      <c r="AA1167" s="1" t="s">
        <v>59</v>
      </c>
    </row>
    <row r="1168" spans="1:27" x14ac:dyDescent="0.25">
      <c r="A1168" s="10">
        <v>10123</v>
      </c>
      <c r="B1168" s="9">
        <v>34</v>
      </c>
      <c r="C1168" s="9">
        <v>100</v>
      </c>
      <c r="D1168" s="9">
        <f>PRODUCT(sales_data_sample[[#This Row],[QUANTITYORDERED]],sales_data_sample[[#This Row],[PRICEEACH]])</f>
        <v>3400</v>
      </c>
      <c r="E1168" s="9">
        <f>IF(OR(sales_data_sample[[#This Row],[STATUS]]="Shipped",sales_data_sample[[#This Row],[STATUS]]="Resolved"),sales_data_sample[[#This Row],[SALES]],0)</f>
        <v>3400</v>
      </c>
      <c r="F1168" s="10">
        <v>4</v>
      </c>
      <c r="G1168" s="12" t="s">
        <v>831</v>
      </c>
      <c r="H1168" s="1" t="s">
        <v>26</v>
      </c>
      <c r="I1168">
        <v>2</v>
      </c>
      <c r="J1168">
        <v>5</v>
      </c>
      <c r="K1168">
        <v>2003</v>
      </c>
      <c r="L1168" s="1" t="s">
        <v>239</v>
      </c>
      <c r="M1168">
        <v>141</v>
      </c>
      <c r="N1168" s="1" t="s">
        <v>929</v>
      </c>
      <c r="O1168" s="1" t="s">
        <v>420</v>
      </c>
      <c r="P1168" s="1" t="s">
        <v>421</v>
      </c>
      <c r="Q1168" s="1" t="s">
        <v>422</v>
      </c>
      <c r="R1168" s="1" t="s">
        <v>32</v>
      </c>
      <c r="S1168" s="1" t="s">
        <v>151</v>
      </c>
      <c r="T1168" s="1" t="s">
        <v>32</v>
      </c>
      <c r="U1168" s="1" t="s">
        <v>152</v>
      </c>
      <c r="V1168" s="1" t="s">
        <v>47</v>
      </c>
      <c r="W1168" s="1" t="s">
        <v>48</v>
      </c>
      <c r="X1168" s="1" t="s">
        <v>423</v>
      </c>
      <c r="Y1168" s="1" t="s">
        <v>424</v>
      </c>
      <c r="Z1168" s="1" t="str">
        <f>TRIM(_xlfn.CONCAT(sales_data_sample[[#This Row],[CONTACTFIRSTNAME]],", ",sales_data_sample[[#This Row],[CONTACTLASTNAME]]))</f>
        <v>Carine, Schmitt</v>
      </c>
      <c r="AA1168" s="1" t="s">
        <v>59</v>
      </c>
    </row>
    <row r="1169" spans="1:27" x14ac:dyDescent="0.25">
      <c r="A1169" s="10">
        <v>10137</v>
      </c>
      <c r="B1169" s="9">
        <v>31</v>
      </c>
      <c r="C1169" s="9">
        <v>100</v>
      </c>
      <c r="D1169" s="9">
        <f>PRODUCT(sales_data_sample[[#This Row],[QUANTITYORDERED]],sales_data_sample[[#This Row],[PRICEEACH]])</f>
        <v>3100</v>
      </c>
      <c r="E1169" s="9">
        <f>IF(OR(sales_data_sample[[#This Row],[STATUS]]="Shipped",sales_data_sample[[#This Row],[STATUS]]="Resolved"),sales_data_sample[[#This Row],[SALES]],0)</f>
        <v>3100</v>
      </c>
      <c r="F1169" s="10">
        <v>4</v>
      </c>
      <c r="G1169" s="12" t="s">
        <v>832</v>
      </c>
      <c r="H1169" s="1" t="s">
        <v>26</v>
      </c>
      <c r="I1169">
        <v>3</v>
      </c>
      <c r="J1169">
        <v>7</v>
      </c>
      <c r="K1169">
        <v>2003</v>
      </c>
      <c r="L1169" s="1" t="s">
        <v>239</v>
      </c>
      <c r="M1169">
        <v>141</v>
      </c>
      <c r="N1169" s="1" t="s">
        <v>929</v>
      </c>
      <c r="O1169" s="1" t="s">
        <v>42</v>
      </c>
      <c r="P1169" s="1" t="s">
        <v>43</v>
      </c>
      <c r="Q1169" s="1" t="s">
        <v>44</v>
      </c>
      <c r="R1169" s="1" t="s">
        <v>32</v>
      </c>
      <c r="S1169" s="1" t="s">
        <v>45</v>
      </c>
      <c r="T1169" s="1" t="s">
        <v>32</v>
      </c>
      <c r="U1169" s="1" t="s">
        <v>46</v>
      </c>
      <c r="V1169" s="1" t="s">
        <v>47</v>
      </c>
      <c r="W1169" s="1" t="s">
        <v>48</v>
      </c>
      <c r="X1169" s="1" t="s">
        <v>49</v>
      </c>
      <c r="Y1169" s="1" t="s">
        <v>50</v>
      </c>
      <c r="Z1169" s="1" t="str">
        <f>TRIM(_xlfn.CONCAT(sales_data_sample[[#This Row],[CONTACTFIRSTNAME]],", ",sales_data_sample[[#This Row],[CONTACTLASTNAME]]))</f>
        <v>Paul, Henriot</v>
      </c>
      <c r="AA1169" s="1" t="s">
        <v>59</v>
      </c>
    </row>
    <row r="1170" spans="1:27" x14ac:dyDescent="0.25">
      <c r="A1170">
        <v>10148</v>
      </c>
      <c r="B1170">
        <v>28</v>
      </c>
      <c r="C1170">
        <v>100</v>
      </c>
      <c r="D1170">
        <f>PRODUCT(sales_data_sample[[#This Row],[QUANTITYORDERED]],sales_data_sample[[#This Row],[PRICEEACH]])</f>
        <v>2800</v>
      </c>
      <c r="E1170" s="9">
        <f>IF(OR(sales_data_sample[[#This Row],[STATUS]]="Shipped",sales_data_sample[[#This Row],[STATUS]]="Resolved"),sales_data_sample[[#This Row],[SALES]],0)</f>
        <v>2800</v>
      </c>
      <c r="F1170">
        <v>11</v>
      </c>
      <c r="G1170" s="12" t="s">
        <v>774</v>
      </c>
      <c r="H1170" s="1" t="s">
        <v>26</v>
      </c>
      <c r="I1170">
        <v>3</v>
      </c>
      <c r="J1170">
        <v>9</v>
      </c>
      <c r="K1170">
        <v>2003</v>
      </c>
      <c r="L1170" s="1" t="s">
        <v>239</v>
      </c>
      <c r="M1170">
        <v>141</v>
      </c>
      <c r="N1170" s="1" t="s">
        <v>929</v>
      </c>
      <c r="O1170" s="1" t="s">
        <v>385</v>
      </c>
      <c r="P1170" s="1" t="s">
        <v>386</v>
      </c>
      <c r="Q1170" s="1" t="s">
        <v>387</v>
      </c>
      <c r="R1170" s="1" t="s">
        <v>388</v>
      </c>
      <c r="S1170" s="1" t="s">
        <v>389</v>
      </c>
      <c r="T1170" s="1" t="s">
        <v>206</v>
      </c>
      <c r="U1170" s="1" t="s">
        <v>390</v>
      </c>
      <c r="V1170" s="1" t="s">
        <v>120</v>
      </c>
      <c r="W1170" s="1" t="s">
        <v>121</v>
      </c>
      <c r="X1170" s="1" t="s">
        <v>391</v>
      </c>
      <c r="Y1170" s="1" t="s">
        <v>392</v>
      </c>
      <c r="Z1170" s="1" t="str">
        <f>TRIM(_xlfn.CONCAT(sales_data_sample[[#This Row],[CONTACTFIRSTNAME]],", ",sales_data_sample[[#This Row],[CONTACTLASTNAME]]))</f>
        <v>Anna, O'Hara</v>
      </c>
      <c r="AA1170" s="1" t="s">
        <v>59</v>
      </c>
    </row>
    <row r="1171" spans="1:27" x14ac:dyDescent="0.25">
      <c r="A1171" s="10">
        <v>10161</v>
      </c>
      <c r="B1171" s="9">
        <v>36</v>
      </c>
      <c r="C1171" s="9">
        <v>100</v>
      </c>
      <c r="D1171" s="9">
        <f>PRODUCT(sales_data_sample[[#This Row],[QUANTITYORDERED]],sales_data_sample[[#This Row],[PRICEEACH]])</f>
        <v>3600</v>
      </c>
      <c r="E1171" s="9">
        <f>IF(OR(sales_data_sample[[#This Row],[STATUS]]="Shipped",sales_data_sample[[#This Row],[STATUS]]="Resolved"),sales_data_sample[[#This Row],[SALES]],0)</f>
        <v>3600</v>
      </c>
      <c r="F1171" s="10">
        <v>10</v>
      </c>
      <c r="G1171" s="12" t="s">
        <v>775</v>
      </c>
      <c r="H1171" s="1" t="s">
        <v>26</v>
      </c>
      <c r="I1171">
        <v>4</v>
      </c>
      <c r="J1171">
        <v>10</v>
      </c>
      <c r="K1171">
        <v>2003</v>
      </c>
      <c r="L1171" s="1" t="s">
        <v>239</v>
      </c>
      <c r="M1171">
        <v>141</v>
      </c>
      <c r="N1171" s="1" t="s">
        <v>929</v>
      </c>
      <c r="O1171" s="1" t="s">
        <v>701</v>
      </c>
      <c r="P1171" s="1" t="s">
        <v>702</v>
      </c>
      <c r="Q1171" s="1" t="s">
        <v>703</v>
      </c>
      <c r="R1171" s="1" t="s">
        <v>32</v>
      </c>
      <c r="S1171" s="1" t="s">
        <v>704</v>
      </c>
      <c r="T1171" s="1" t="s">
        <v>32</v>
      </c>
      <c r="U1171" s="1" t="s">
        <v>705</v>
      </c>
      <c r="V1171" s="1" t="s">
        <v>442</v>
      </c>
      <c r="W1171" s="1" t="s">
        <v>48</v>
      </c>
      <c r="X1171" s="1" t="s">
        <v>706</v>
      </c>
      <c r="Y1171" s="1" t="s">
        <v>707</v>
      </c>
      <c r="Z1171" s="1" t="str">
        <f>TRIM(_xlfn.CONCAT(sales_data_sample[[#This Row],[CONTACTFIRSTNAME]],", ",sales_data_sample[[#This Row],[CONTACTLASTNAME]]))</f>
        <v>Palle, Ibsen</v>
      </c>
      <c r="AA1171" s="1" t="s">
        <v>59</v>
      </c>
    </row>
    <row r="1172" spans="1:27" x14ac:dyDescent="0.25">
      <c r="A1172" s="10">
        <v>10172</v>
      </c>
      <c r="B1172" s="9">
        <v>48</v>
      </c>
      <c r="C1172" s="9">
        <v>100</v>
      </c>
      <c r="D1172" s="9">
        <f>PRODUCT(sales_data_sample[[#This Row],[QUANTITYORDERED]],sales_data_sample[[#This Row],[PRICEEACH]])</f>
        <v>4800</v>
      </c>
      <c r="E1172" s="9">
        <f>IF(OR(sales_data_sample[[#This Row],[STATUS]]="Shipped",sales_data_sample[[#This Row],[STATUS]]="Resolved"),sales_data_sample[[#This Row],[SALES]],0)</f>
        <v>4800</v>
      </c>
      <c r="F1172" s="10">
        <v>8</v>
      </c>
      <c r="G1172" s="12" t="s">
        <v>776</v>
      </c>
      <c r="H1172" s="1" t="s">
        <v>26</v>
      </c>
      <c r="I1172">
        <v>4</v>
      </c>
      <c r="J1172">
        <v>11</v>
      </c>
      <c r="K1172">
        <v>2003</v>
      </c>
      <c r="L1172" s="1" t="s">
        <v>239</v>
      </c>
      <c r="M1172">
        <v>141</v>
      </c>
      <c r="N1172" s="1" t="s">
        <v>929</v>
      </c>
      <c r="O1172" s="1" t="s">
        <v>140</v>
      </c>
      <c r="P1172" s="1" t="s">
        <v>141</v>
      </c>
      <c r="Q1172" s="1" t="s">
        <v>142</v>
      </c>
      <c r="R1172" s="1" t="s">
        <v>32</v>
      </c>
      <c r="S1172" s="1" t="s">
        <v>143</v>
      </c>
      <c r="T1172" s="1" t="s">
        <v>144</v>
      </c>
      <c r="U1172" s="1" t="s">
        <v>145</v>
      </c>
      <c r="V1172" s="1" t="s">
        <v>36</v>
      </c>
      <c r="W1172" s="1" t="s">
        <v>37</v>
      </c>
      <c r="X1172" s="1" t="s">
        <v>146</v>
      </c>
      <c r="Y1172" s="1" t="s">
        <v>68</v>
      </c>
      <c r="Z1172" s="1" t="str">
        <f>TRIM(_xlfn.CONCAT(sales_data_sample[[#This Row],[CONTACTFIRSTNAME]],", ",sales_data_sample[[#This Row],[CONTACTLASTNAME]]))</f>
        <v>Julie, King</v>
      </c>
      <c r="AA1172" s="1" t="s">
        <v>59</v>
      </c>
    </row>
    <row r="1173" spans="1:27" x14ac:dyDescent="0.25">
      <c r="A1173" s="10">
        <v>10181</v>
      </c>
      <c r="B1173" s="9">
        <v>39</v>
      </c>
      <c r="C1173" s="9">
        <v>100</v>
      </c>
      <c r="D1173" s="9">
        <f>PRODUCT(sales_data_sample[[#This Row],[QUANTITYORDERED]],sales_data_sample[[#This Row],[PRICEEACH]])</f>
        <v>3900</v>
      </c>
      <c r="E1173" s="9">
        <f>IF(OR(sales_data_sample[[#This Row],[STATUS]]="Shipped",sales_data_sample[[#This Row],[STATUS]]="Resolved"),sales_data_sample[[#This Row],[SALES]],0)</f>
        <v>3900</v>
      </c>
      <c r="F1173" s="10">
        <v>4</v>
      </c>
      <c r="G1173" s="12" t="s">
        <v>610</v>
      </c>
      <c r="H1173" s="1" t="s">
        <v>26</v>
      </c>
      <c r="I1173">
        <v>4</v>
      </c>
      <c r="J1173">
        <v>11</v>
      </c>
      <c r="K1173">
        <v>2003</v>
      </c>
      <c r="L1173" s="1" t="s">
        <v>239</v>
      </c>
      <c r="M1173">
        <v>141</v>
      </c>
      <c r="N1173" s="1" t="s">
        <v>929</v>
      </c>
      <c r="O1173" s="1" t="s">
        <v>92</v>
      </c>
      <c r="P1173" s="1" t="s">
        <v>93</v>
      </c>
      <c r="Q1173" s="1" t="s">
        <v>94</v>
      </c>
      <c r="R1173" s="1" t="s">
        <v>32</v>
      </c>
      <c r="S1173" s="1" t="s">
        <v>95</v>
      </c>
      <c r="T1173" s="1" t="s">
        <v>32</v>
      </c>
      <c r="U1173" s="1" t="s">
        <v>96</v>
      </c>
      <c r="V1173" s="1" t="s">
        <v>97</v>
      </c>
      <c r="W1173" s="1" t="s">
        <v>48</v>
      </c>
      <c r="X1173" s="1" t="s">
        <v>98</v>
      </c>
      <c r="Y1173" s="1" t="s">
        <v>99</v>
      </c>
      <c r="Z1173" s="1" t="str">
        <f>TRIM(_xlfn.CONCAT(sales_data_sample[[#This Row],[CONTACTFIRSTNAME]],", ",sales_data_sample[[#This Row],[CONTACTLASTNAME]]))</f>
        <v>Veysel, Oeztan</v>
      </c>
      <c r="AA1173" s="1" t="s">
        <v>59</v>
      </c>
    </row>
    <row r="1174" spans="1:27" x14ac:dyDescent="0.25">
      <c r="A1174" s="10">
        <v>10192</v>
      </c>
      <c r="B1174" s="9">
        <v>45</v>
      </c>
      <c r="C1174" s="9">
        <v>100</v>
      </c>
      <c r="D1174" s="9">
        <f>PRODUCT(sales_data_sample[[#This Row],[QUANTITYORDERED]],sales_data_sample[[#This Row],[PRICEEACH]])</f>
        <v>4500</v>
      </c>
      <c r="E1174" s="9">
        <f>IF(OR(sales_data_sample[[#This Row],[STATUS]]="Shipped",sales_data_sample[[#This Row],[STATUS]]="Resolved"),sales_data_sample[[#This Row],[SALES]],0)</f>
        <v>4500</v>
      </c>
      <c r="F1174" s="10">
        <v>9</v>
      </c>
      <c r="G1174" s="12" t="s">
        <v>611</v>
      </c>
      <c r="H1174" s="1" t="s">
        <v>26</v>
      </c>
      <c r="I1174">
        <v>4</v>
      </c>
      <c r="J1174">
        <v>11</v>
      </c>
      <c r="K1174">
        <v>2003</v>
      </c>
      <c r="L1174" s="1" t="s">
        <v>239</v>
      </c>
      <c r="M1174">
        <v>141</v>
      </c>
      <c r="N1174" s="1" t="s">
        <v>929</v>
      </c>
      <c r="O1174" s="1" t="s">
        <v>368</v>
      </c>
      <c r="P1174" s="1" t="s">
        <v>369</v>
      </c>
      <c r="Q1174" s="1" t="s">
        <v>370</v>
      </c>
      <c r="R1174" s="1" t="s">
        <v>32</v>
      </c>
      <c r="S1174" s="1" t="s">
        <v>371</v>
      </c>
      <c r="T1174" s="1" t="s">
        <v>372</v>
      </c>
      <c r="U1174" s="1" t="s">
        <v>373</v>
      </c>
      <c r="V1174" s="1" t="s">
        <v>36</v>
      </c>
      <c r="W1174" s="1" t="s">
        <v>37</v>
      </c>
      <c r="X1174" s="1" t="s">
        <v>67</v>
      </c>
      <c r="Y1174" s="1" t="s">
        <v>366</v>
      </c>
      <c r="Z1174" s="1" t="str">
        <f>TRIM(_xlfn.CONCAT(sales_data_sample[[#This Row],[CONTACTFIRSTNAME]],", ",sales_data_sample[[#This Row],[CONTACTLASTNAME]]))</f>
        <v>Valarie, Young</v>
      </c>
      <c r="AA1174" s="1" t="s">
        <v>59</v>
      </c>
    </row>
    <row r="1175" spans="1:27" x14ac:dyDescent="0.25">
      <c r="A1175">
        <v>10204</v>
      </c>
      <c r="B1175">
        <v>35</v>
      </c>
      <c r="C1175">
        <v>100</v>
      </c>
      <c r="D1175">
        <f>PRODUCT(sales_data_sample[[#This Row],[QUANTITYORDERED]],sales_data_sample[[#This Row],[PRICEEACH]])</f>
        <v>3500</v>
      </c>
      <c r="E1175" s="9">
        <f>IF(OR(sales_data_sample[[#This Row],[STATUS]]="Shipped",sales_data_sample[[#This Row],[STATUS]]="Resolved"),sales_data_sample[[#This Row],[SALES]],0)</f>
        <v>3500</v>
      </c>
      <c r="F1175">
        <v>15</v>
      </c>
      <c r="G1175" s="12" t="s">
        <v>620</v>
      </c>
      <c r="H1175" s="1" t="s">
        <v>26</v>
      </c>
      <c r="I1175">
        <v>4</v>
      </c>
      <c r="J1175">
        <v>12</v>
      </c>
      <c r="K1175">
        <v>2003</v>
      </c>
      <c r="L1175" s="1" t="s">
        <v>239</v>
      </c>
      <c r="M1175">
        <v>141</v>
      </c>
      <c r="N1175" s="1" t="s">
        <v>929</v>
      </c>
      <c r="O1175" s="1" t="s">
        <v>667</v>
      </c>
      <c r="P1175" s="1" t="s">
        <v>668</v>
      </c>
      <c r="Q1175" s="1" t="s">
        <v>669</v>
      </c>
      <c r="R1175" s="1" t="s">
        <v>670</v>
      </c>
      <c r="S1175" s="1" t="s">
        <v>33</v>
      </c>
      <c r="T1175" s="1" t="s">
        <v>34</v>
      </c>
      <c r="U1175" s="1" t="s">
        <v>35</v>
      </c>
      <c r="V1175" s="1" t="s">
        <v>36</v>
      </c>
      <c r="W1175" s="1" t="s">
        <v>37</v>
      </c>
      <c r="X1175" s="1" t="s">
        <v>67</v>
      </c>
      <c r="Y1175" s="1" t="s">
        <v>671</v>
      </c>
      <c r="Z1175" s="1" t="str">
        <f>TRIM(_xlfn.CONCAT(sales_data_sample[[#This Row],[CONTACTFIRSTNAME]],", ",sales_data_sample[[#This Row],[CONTACTLASTNAME]]))</f>
        <v>Jeff, Young</v>
      </c>
      <c r="AA1175" s="1" t="s">
        <v>59</v>
      </c>
    </row>
    <row r="1176" spans="1:27" x14ac:dyDescent="0.25">
      <c r="A1176" s="10">
        <v>10212</v>
      </c>
      <c r="B1176" s="9">
        <v>45</v>
      </c>
      <c r="C1176" s="9">
        <v>100</v>
      </c>
      <c r="D1176" s="9">
        <f>PRODUCT(sales_data_sample[[#This Row],[QUANTITYORDERED]],sales_data_sample[[#This Row],[PRICEEACH]])</f>
        <v>4500</v>
      </c>
      <c r="E1176" s="9">
        <f>IF(OR(sales_data_sample[[#This Row],[STATUS]]="Shipped",sales_data_sample[[#This Row],[STATUS]]="Resolved"),sales_data_sample[[#This Row],[SALES]],0)</f>
        <v>4500</v>
      </c>
      <c r="F1176" s="10">
        <v>8</v>
      </c>
      <c r="G1176" s="12" t="s">
        <v>729</v>
      </c>
      <c r="H1176" s="1" t="s">
        <v>26</v>
      </c>
      <c r="I1176">
        <v>1</v>
      </c>
      <c r="J1176">
        <v>1</v>
      </c>
      <c r="K1176">
        <v>2004</v>
      </c>
      <c r="L1176" s="1" t="s">
        <v>239</v>
      </c>
      <c r="M1176">
        <v>141</v>
      </c>
      <c r="N1176" s="1" t="s">
        <v>929</v>
      </c>
      <c r="O1176" s="1" t="s">
        <v>230</v>
      </c>
      <c r="P1176" s="1" t="s">
        <v>231</v>
      </c>
      <c r="Q1176" s="1" t="s">
        <v>232</v>
      </c>
      <c r="R1176" s="1" t="s">
        <v>32</v>
      </c>
      <c r="S1176" s="1" t="s">
        <v>233</v>
      </c>
      <c r="T1176" s="1" t="s">
        <v>32</v>
      </c>
      <c r="U1176" s="1" t="s">
        <v>234</v>
      </c>
      <c r="V1176" s="1" t="s">
        <v>235</v>
      </c>
      <c r="W1176" s="1" t="s">
        <v>48</v>
      </c>
      <c r="X1176" s="1" t="s">
        <v>236</v>
      </c>
      <c r="Y1176" s="1" t="s">
        <v>237</v>
      </c>
      <c r="Z1176" s="1" t="str">
        <f>TRIM(_xlfn.CONCAT(sales_data_sample[[#This Row],[CONTACTFIRSTNAME]],", ",sales_data_sample[[#This Row],[CONTACTLASTNAME]]))</f>
        <v>Diego, Freyre</v>
      </c>
      <c r="AA1176" s="1" t="s">
        <v>59</v>
      </c>
    </row>
    <row r="1177" spans="1:27" x14ac:dyDescent="0.25">
      <c r="A1177" s="10">
        <v>10226</v>
      </c>
      <c r="B1177" s="9">
        <v>46</v>
      </c>
      <c r="C1177" s="9">
        <v>100</v>
      </c>
      <c r="D1177" s="9">
        <f>PRODUCT(sales_data_sample[[#This Row],[QUANTITYORDERED]],sales_data_sample[[#This Row],[PRICEEACH]])</f>
        <v>4600</v>
      </c>
      <c r="E1177" s="9">
        <f>IF(OR(sales_data_sample[[#This Row],[STATUS]]="Shipped",sales_data_sample[[#This Row],[STATUS]]="Resolved"),sales_data_sample[[#This Row],[SALES]],0)</f>
        <v>4600</v>
      </c>
      <c r="F1177" s="10">
        <v>6</v>
      </c>
      <c r="G1177" s="12" t="s">
        <v>833</v>
      </c>
      <c r="H1177" s="1" t="s">
        <v>26</v>
      </c>
      <c r="I1177">
        <v>1</v>
      </c>
      <c r="J1177">
        <v>2</v>
      </c>
      <c r="K1177">
        <v>2004</v>
      </c>
      <c r="L1177" s="1" t="s">
        <v>239</v>
      </c>
      <c r="M1177">
        <v>141</v>
      </c>
      <c r="N1177" s="1" t="s">
        <v>929</v>
      </c>
      <c r="O1177" s="1" t="s">
        <v>492</v>
      </c>
      <c r="P1177" s="1" t="s">
        <v>493</v>
      </c>
      <c r="Q1177" s="1" t="s">
        <v>494</v>
      </c>
      <c r="R1177" s="1" t="s">
        <v>32</v>
      </c>
      <c r="S1177" s="1" t="s">
        <v>495</v>
      </c>
      <c r="T1177" s="1" t="s">
        <v>65</v>
      </c>
      <c r="U1177" s="1" t="s">
        <v>496</v>
      </c>
      <c r="V1177" s="1" t="s">
        <v>36</v>
      </c>
      <c r="W1177" s="1" t="s">
        <v>37</v>
      </c>
      <c r="X1177" s="1" t="s">
        <v>313</v>
      </c>
      <c r="Y1177" s="1" t="s">
        <v>366</v>
      </c>
      <c r="Z1177" s="1" t="str">
        <f>TRIM(_xlfn.CONCAT(sales_data_sample[[#This Row],[CONTACTFIRSTNAME]],", ",sales_data_sample[[#This Row],[CONTACTLASTNAME]]))</f>
        <v>Valarie, Thompson</v>
      </c>
      <c r="AA1177" s="1" t="s">
        <v>199</v>
      </c>
    </row>
    <row r="1178" spans="1:27" x14ac:dyDescent="0.25">
      <c r="A1178" s="10">
        <v>10240</v>
      </c>
      <c r="B1178" s="9">
        <v>37</v>
      </c>
      <c r="C1178" s="9">
        <v>100</v>
      </c>
      <c r="D1178" s="9">
        <f>PRODUCT(sales_data_sample[[#This Row],[QUANTITYORDERED]],sales_data_sample[[#This Row],[PRICEEACH]])</f>
        <v>3700</v>
      </c>
      <c r="E1178" s="9">
        <f>IF(OR(sales_data_sample[[#This Row],[STATUS]]="Shipped",sales_data_sample[[#This Row],[STATUS]]="Resolved"),sales_data_sample[[#This Row],[SALES]],0)</f>
        <v>3700</v>
      </c>
      <c r="F1178" s="10">
        <v>1</v>
      </c>
      <c r="G1178" s="12" t="s">
        <v>777</v>
      </c>
      <c r="H1178" s="1" t="s">
        <v>26</v>
      </c>
      <c r="I1178">
        <v>2</v>
      </c>
      <c r="J1178">
        <v>4</v>
      </c>
      <c r="K1178">
        <v>2004</v>
      </c>
      <c r="L1178" s="1" t="s">
        <v>239</v>
      </c>
      <c r="M1178">
        <v>141</v>
      </c>
      <c r="N1178" s="1" t="s">
        <v>929</v>
      </c>
      <c r="O1178" s="1" t="s">
        <v>407</v>
      </c>
      <c r="P1178" s="1" t="s">
        <v>408</v>
      </c>
      <c r="Q1178" s="1" t="s">
        <v>409</v>
      </c>
      <c r="R1178" s="1" t="s">
        <v>32</v>
      </c>
      <c r="S1178" s="1" t="s">
        <v>410</v>
      </c>
      <c r="T1178" s="1" t="s">
        <v>410</v>
      </c>
      <c r="U1178" s="1" t="s">
        <v>411</v>
      </c>
      <c r="V1178" s="1" t="s">
        <v>264</v>
      </c>
      <c r="W1178" s="1" t="s">
        <v>264</v>
      </c>
      <c r="X1178" s="1" t="s">
        <v>412</v>
      </c>
      <c r="Y1178" s="1" t="s">
        <v>413</v>
      </c>
      <c r="Z1178" s="1" t="str">
        <f>TRIM(_xlfn.CONCAT(sales_data_sample[[#This Row],[CONTACTFIRSTNAME]],", ",sales_data_sample[[#This Row],[CONTACTLASTNAME]]))</f>
        <v>Mory, Kentary</v>
      </c>
      <c r="AA1178" s="1" t="s">
        <v>59</v>
      </c>
    </row>
    <row r="1179" spans="1:27" x14ac:dyDescent="0.25">
      <c r="A1179" s="10">
        <v>10253</v>
      </c>
      <c r="B1179" s="9">
        <v>31</v>
      </c>
      <c r="C1179" s="9">
        <v>100</v>
      </c>
      <c r="D1179" s="9">
        <f>PRODUCT(sales_data_sample[[#This Row],[QUANTITYORDERED]],sales_data_sample[[#This Row],[PRICEEACH]])</f>
        <v>3100</v>
      </c>
      <c r="E1179" s="9">
        <f>IF(OR(sales_data_sample[[#This Row],[STATUS]]="Shipped",sales_data_sample[[#This Row],[STATUS]]="Resolved"),sales_data_sample[[#This Row],[SALES]],0)</f>
        <v>0</v>
      </c>
      <c r="F1179" s="10">
        <v>3</v>
      </c>
      <c r="G1179" s="12" t="s">
        <v>630</v>
      </c>
      <c r="H1179" s="1" t="s">
        <v>461</v>
      </c>
      <c r="I1179">
        <v>2</v>
      </c>
      <c r="J1179">
        <v>6</v>
      </c>
      <c r="K1179">
        <v>2004</v>
      </c>
      <c r="L1179" s="1" t="s">
        <v>239</v>
      </c>
      <c r="M1179">
        <v>141</v>
      </c>
      <c r="N1179" s="1" t="s">
        <v>929</v>
      </c>
      <c r="O1179" s="1" t="s">
        <v>220</v>
      </c>
      <c r="P1179" s="1" t="s">
        <v>221</v>
      </c>
      <c r="Q1179" s="1" t="s">
        <v>222</v>
      </c>
      <c r="R1179" s="1" t="s">
        <v>32</v>
      </c>
      <c r="S1179" s="1" t="s">
        <v>223</v>
      </c>
      <c r="T1179" s="1" t="s">
        <v>32</v>
      </c>
      <c r="U1179" s="1" t="s">
        <v>224</v>
      </c>
      <c r="V1179" s="1" t="s">
        <v>225</v>
      </c>
      <c r="W1179" s="1" t="s">
        <v>48</v>
      </c>
      <c r="X1179" s="1" t="s">
        <v>226</v>
      </c>
      <c r="Y1179" s="1" t="s">
        <v>227</v>
      </c>
      <c r="Z1179" s="1" t="str">
        <f>TRIM(_xlfn.CONCAT(sales_data_sample[[#This Row],[CONTACTFIRSTNAME]],", ",sales_data_sample[[#This Row],[CONTACTLASTNAME]]))</f>
        <v>Elizabeth, Devon</v>
      </c>
      <c r="AA1179" s="1" t="s">
        <v>59</v>
      </c>
    </row>
    <row r="1180" spans="1:27" x14ac:dyDescent="0.25">
      <c r="A1180" s="10">
        <v>10266</v>
      </c>
      <c r="B1180" s="9">
        <v>33</v>
      </c>
      <c r="C1180" s="9">
        <v>100</v>
      </c>
      <c r="D1180" s="9">
        <f>PRODUCT(sales_data_sample[[#This Row],[QUANTITYORDERED]],sales_data_sample[[#This Row],[PRICEEACH]])</f>
        <v>3300</v>
      </c>
      <c r="E1180" s="9">
        <f>IF(OR(sales_data_sample[[#This Row],[STATUS]]="Shipped",sales_data_sample[[#This Row],[STATUS]]="Resolved"),sales_data_sample[[#This Row],[SALES]],0)</f>
        <v>3300</v>
      </c>
      <c r="F1180" s="10">
        <v>4</v>
      </c>
      <c r="G1180" s="12" t="s">
        <v>631</v>
      </c>
      <c r="H1180" s="1" t="s">
        <v>26</v>
      </c>
      <c r="I1180">
        <v>3</v>
      </c>
      <c r="J1180">
        <v>7</v>
      </c>
      <c r="K1180">
        <v>2004</v>
      </c>
      <c r="L1180" s="1" t="s">
        <v>239</v>
      </c>
      <c r="M1180">
        <v>141</v>
      </c>
      <c r="N1180" s="1" t="s">
        <v>929</v>
      </c>
      <c r="O1180" s="1" t="s">
        <v>632</v>
      </c>
      <c r="P1180" s="1" t="s">
        <v>633</v>
      </c>
      <c r="Q1180" s="1" t="s">
        <v>634</v>
      </c>
      <c r="R1180" s="1" t="s">
        <v>32</v>
      </c>
      <c r="S1180" s="1" t="s">
        <v>635</v>
      </c>
      <c r="T1180" s="1" t="s">
        <v>32</v>
      </c>
      <c r="U1180" s="1" t="s">
        <v>636</v>
      </c>
      <c r="V1180" s="1" t="s">
        <v>343</v>
      </c>
      <c r="W1180" s="1" t="s">
        <v>48</v>
      </c>
      <c r="X1180" s="1" t="s">
        <v>637</v>
      </c>
      <c r="Y1180" s="1" t="s">
        <v>638</v>
      </c>
      <c r="Z1180" s="1" t="str">
        <f>TRIM(_xlfn.CONCAT(sales_data_sample[[#This Row],[CONTACTFIRSTNAME]],", ",sales_data_sample[[#This Row],[CONTACTLASTNAME]]))</f>
        <v>Maurizio, Moroni</v>
      </c>
      <c r="AA1180" s="1" t="s">
        <v>59</v>
      </c>
    </row>
    <row r="1181" spans="1:27" x14ac:dyDescent="0.25">
      <c r="A1181" s="10">
        <v>10278</v>
      </c>
      <c r="B1181" s="9">
        <v>31</v>
      </c>
      <c r="C1181" s="9">
        <v>100</v>
      </c>
      <c r="D1181" s="9">
        <f>PRODUCT(sales_data_sample[[#This Row],[QUANTITYORDERED]],sales_data_sample[[#This Row],[PRICEEACH]])</f>
        <v>3100</v>
      </c>
      <c r="E1181" s="9">
        <f>IF(OR(sales_data_sample[[#This Row],[STATUS]]="Shipped",sales_data_sample[[#This Row],[STATUS]]="Resolved"),sales_data_sample[[#This Row],[SALES]],0)</f>
        <v>3100</v>
      </c>
      <c r="F1181" s="10">
        <v>4</v>
      </c>
      <c r="G1181" s="12" t="s">
        <v>778</v>
      </c>
      <c r="H1181" s="1" t="s">
        <v>26</v>
      </c>
      <c r="I1181">
        <v>3</v>
      </c>
      <c r="J1181">
        <v>8</v>
      </c>
      <c r="K1181">
        <v>2004</v>
      </c>
      <c r="L1181" s="1" t="s">
        <v>239</v>
      </c>
      <c r="M1181">
        <v>141</v>
      </c>
      <c r="N1181" s="1" t="s">
        <v>929</v>
      </c>
      <c r="O1181" s="1" t="s">
        <v>779</v>
      </c>
      <c r="P1181" s="1" t="s">
        <v>780</v>
      </c>
      <c r="Q1181" s="1" t="s">
        <v>781</v>
      </c>
      <c r="R1181" s="1" t="s">
        <v>32</v>
      </c>
      <c r="S1181" s="1" t="s">
        <v>782</v>
      </c>
      <c r="T1181" s="1" t="s">
        <v>783</v>
      </c>
      <c r="U1181" s="1" t="s">
        <v>784</v>
      </c>
      <c r="V1181" s="1" t="s">
        <v>36</v>
      </c>
      <c r="W1181" s="1" t="s">
        <v>37</v>
      </c>
      <c r="X1181" s="1" t="s">
        <v>146</v>
      </c>
      <c r="Y1181" s="1" t="s">
        <v>551</v>
      </c>
      <c r="Z1181" s="1" t="str">
        <f>TRIM(_xlfn.CONCAT(sales_data_sample[[#This Row],[CONTACTFIRSTNAME]],", ",sales_data_sample[[#This Row],[CONTACTLASTNAME]]))</f>
        <v>Sue, King</v>
      </c>
      <c r="AA1181" s="1" t="s">
        <v>59</v>
      </c>
    </row>
    <row r="1182" spans="1:27" x14ac:dyDescent="0.25">
      <c r="A1182" s="10">
        <v>10287</v>
      </c>
      <c r="B1182" s="9">
        <v>27</v>
      </c>
      <c r="C1182" s="9">
        <v>100</v>
      </c>
      <c r="D1182" s="9">
        <f>PRODUCT(sales_data_sample[[#This Row],[QUANTITYORDERED]],sales_data_sample[[#This Row],[PRICEEACH]])</f>
        <v>2700</v>
      </c>
      <c r="E1182" s="9">
        <f>IF(OR(sales_data_sample[[#This Row],[STATUS]]="Shipped",sales_data_sample[[#This Row],[STATUS]]="Resolved"),sales_data_sample[[#This Row],[SALES]],0)</f>
        <v>2700</v>
      </c>
      <c r="F1182" s="10">
        <v>2</v>
      </c>
      <c r="G1182" s="12" t="s">
        <v>645</v>
      </c>
      <c r="H1182" s="1" t="s">
        <v>26</v>
      </c>
      <c r="I1182">
        <v>3</v>
      </c>
      <c r="J1182">
        <v>8</v>
      </c>
      <c r="K1182">
        <v>2004</v>
      </c>
      <c r="L1182" s="1" t="s">
        <v>239</v>
      </c>
      <c r="M1182">
        <v>141</v>
      </c>
      <c r="N1182" s="1" t="s">
        <v>929</v>
      </c>
      <c r="O1182" s="1" t="s">
        <v>622</v>
      </c>
      <c r="P1182" s="1" t="s">
        <v>623</v>
      </c>
      <c r="Q1182" s="1" t="s">
        <v>624</v>
      </c>
      <c r="R1182" s="1" t="s">
        <v>32</v>
      </c>
      <c r="S1182" s="1" t="s">
        <v>625</v>
      </c>
      <c r="T1182" s="1" t="s">
        <v>32</v>
      </c>
      <c r="U1182" s="1" t="s">
        <v>626</v>
      </c>
      <c r="V1182" s="1" t="s">
        <v>627</v>
      </c>
      <c r="W1182" s="1" t="s">
        <v>48</v>
      </c>
      <c r="X1182" s="1" t="s">
        <v>628</v>
      </c>
      <c r="Y1182" s="1" t="s">
        <v>130</v>
      </c>
      <c r="Z1182" s="1" t="str">
        <f>TRIM(_xlfn.CONCAT(sales_data_sample[[#This Row],[CONTACTFIRSTNAME]],", ",sales_data_sample[[#This Row],[CONTACTLASTNAME]]))</f>
        <v>Michael, Holz</v>
      </c>
      <c r="AA1182" s="1" t="s">
        <v>59</v>
      </c>
    </row>
    <row r="1183" spans="1:27" x14ac:dyDescent="0.25">
      <c r="A1183" s="10">
        <v>10301</v>
      </c>
      <c r="B1183" s="9">
        <v>39</v>
      </c>
      <c r="C1183" s="9">
        <v>100</v>
      </c>
      <c r="D1183" s="9">
        <f>PRODUCT(sales_data_sample[[#This Row],[QUANTITYORDERED]],sales_data_sample[[#This Row],[PRICEEACH]])</f>
        <v>3900</v>
      </c>
      <c r="E1183" s="9">
        <f>IF(OR(sales_data_sample[[#This Row],[STATUS]]="Shipped",sales_data_sample[[#This Row],[STATUS]]="Resolved"),sales_data_sample[[#This Row],[SALES]],0)</f>
        <v>3900</v>
      </c>
      <c r="F1183" s="10">
        <v>6</v>
      </c>
      <c r="G1183" s="12" t="s">
        <v>785</v>
      </c>
      <c r="H1183" s="1" t="s">
        <v>26</v>
      </c>
      <c r="I1183">
        <v>4</v>
      </c>
      <c r="J1183">
        <v>10</v>
      </c>
      <c r="K1183">
        <v>2003</v>
      </c>
      <c r="L1183" s="1" t="s">
        <v>239</v>
      </c>
      <c r="M1183">
        <v>141</v>
      </c>
      <c r="N1183" s="1" t="s">
        <v>929</v>
      </c>
      <c r="O1183" s="1" t="s">
        <v>786</v>
      </c>
      <c r="P1183" s="1" t="s">
        <v>787</v>
      </c>
      <c r="Q1183" s="1" t="s">
        <v>788</v>
      </c>
      <c r="R1183" s="1" t="s">
        <v>32</v>
      </c>
      <c r="S1183" s="1" t="s">
        <v>789</v>
      </c>
      <c r="T1183" s="1" t="s">
        <v>32</v>
      </c>
      <c r="U1183" s="1" t="s">
        <v>790</v>
      </c>
      <c r="V1183" s="1" t="s">
        <v>97</v>
      </c>
      <c r="W1183" s="1" t="s">
        <v>48</v>
      </c>
      <c r="X1183" s="1" t="s">
        <v>791</v>
      </c>
      <c r="Y1183" s="1" t="s">
        <v>792</v>
      </c>
      <c r="Z1183" s="1" t="str">
        <f>TRIM(_xlfn.CONCAT(sales_data_sample[[#This Row],[CONTACTFIRSTNAME]],", ",sales_data_sample[[#This Row],[CONTACTLASTNAME]]))</f>
        <v>Jan, Klaeboe</v>
      </c>
      <c r="AA1183" s="1" t="s">
        <v>59</v>
      </c>
    </row>
    <row r="1184" spans="1:27" x14ac:dyDescent="0.25">
      <c r="A1184" s="10">
        <v>10311</v>
      </c>
      <c r="B1184" s="9">
        <v>32</v>
      </c>
      <c r="C1184" s="9">
        <v>100</v>
      </c>
      <c r="D1184" s="9">
        <f>PRODUCT(sales_data_sample[[#This Row],[QUANTITYORDERED]],sales_data_sample[[#This Row],[PRICEEACH]])</f>
        <v>3200</v>
      </c>
      <c r="E1184" s="9">
        <f>IF(OR(sales_data_sample[[#This Row],[STATUS]]="Shipped",sales_data_sample[[#This Row],[STATUS]]="Resolved"),sales_data_sample[[#This Row],[SALES]],0)</f>
        <v>3200</v>
      </c>
      <c r="F1184" s="10">
        <v>11</v>
      </c>
      <c r="G1184" s="12" t="s">
        <v>653</v>
      </c>
      <c r="H1184" s="1" t="s">
        <v>26</v>
      </c>
      <c r="I1184">
        <v>4</v>
      </c>
      <c r="J1184">
        <v>10</v>
      </c>
      <c r="K1184">
        <v>2004</v>
      </c>
      <c r="L1184" s="1" t="s">
        <v>239</v>
      </c>
      <c r="M1184">
        <v>141</v>
      </c>
      <c r="N1184" s="1" t="s">
        <v>929</v>
      </c>
      <c r="O1184" s="1" t="s">
        <v>230</v>
      </c>
      <c r="P1184" s="1" t="s">
        <v>231</v>
      </c>
      <c r="Q1184" s="1" t="s">
        <v>232</v>
      </c>
      <c r="R1184" s="1" t="s">
        <v>32</v>
      </c>
      <c r="S1184" s="1" t="s">
        <v>233</v>
      </c>
      <c r="T1184" s="1" t="s">
        <v>32</v>
      </c>
      <c r="U1184" s="1" t="s">
        <v>234</v>
      </c>
      <c r="V1184" s="1" t="s">
        <v>235</v>
      </c>
      <c r="W1184" s="1" t="s">
        <v>48</v>
      </c>
      <c r="X1184" s="1" t="s">
        <v>236</v>
      </c>
      <c r="Y1184" s="1" t="s">
        <v>237</v>
      </c>
      <c r="Z1184" s="1" t="str">
        <f>TRIM(_xlfn.CONCAT(sales_data_sample[[#This Row],[CONTACTFIRSTNAME]],", ",sales_data_sample[[#This Row],[CONTACTLASTNAME]]))</f>
        <v>Diego, Freyre</v>
      </c>
      <c r="AA1184" s="1" t="s">
        <v>59</v>
      </c>
    </row>
    <row r="1185" spans="1:27" x14ac:dyDescent="0.25">
      <c r="A1185" s="10">
        <v>10321</v>
      </c>
      <c r="B1185" s="9">
        <v>28</v>
      </c>
      <c r="C1185" s="9">
        <v>100</v>
      </c>
      <c r="D1185" s="9">
        <f>PRODUCT(sales_data_sample[[#This Row],[QUANTITYORDERED]],sales_data_sample[[#This Row],[PRICEEACH]])</f>
        <v>2800</v>
      </c>
      <c r="E1185" s="9">
        <f>IF(OR(sales_data_sample[[#This Row],[STATUS]]="Shipped",sales_data_sample[[#This Row],[STATUS]]="Resolved"),sales_data_sample[[#This Row],[SALES]],0)</f>
        <v>2800</v>
      </c>
      <c r="F1185" s="10">
        <v>8</v>
      </c>
      <c r="G1185" s="12" t="s">
        <v>367</v>
      </c>
      <c r="H1185" s="1" t="s">
        <v>26</v>
      </c>
      <c r="I1185">
        <v>4</v>
      </c>
      <c r="J1185">
        <v>11</v>
      </c>
      <c r="K1185">
        <v>2004</v>
      </c>
      <c r="L1185" s="1" t="s">
        <v>239</v>
      </c>
      <c r="M1185">
        <v>141</v>
      </c>
      <c r="N1185" s="1" t="s">
        <v>929</v>
      </c>
      <c r="O1185" s="1" t="s">
        <v>212</v>
      </c>
      <c r="P1185" s="1" t="s">
        <v>213</v>
      </c>
      <c r="Q1185" s="1" t="s">
        <v>214</v>
      </c>
      <c r="R1185" s="1" t="s">
        <v>32</v>
      </c>
      <c r="S1185" s="1" t="s">
        <v>215</v>
      </c>
      <c r="T1185" s="1" t="s">
        <v>160</v>
      </c>
      <c r="U1185" s="1" t="s">
        <v>216</v>
      </c>
      <c r="V1185" s="1" t="s">
        <v>36</v>
      </c>
      <c r="W1185" s="1" t="s">
        <v>37</v>
      </c>
      <c r="X1185" s="1" t="s">
        <v>217</v>
      </c>
      <c r="Y1185" s="1" t="s">
        <v>218</v>
      </c>
      <c r="Z1185" s="1" t="str">
        <f>TRIM(_xlfn.CONCAT(sales_data_sample[[#This Row],[CONTACTFIRSTNAME]],", ",sales_data_sample[[#This Row],[CONTACTLASTNAME]]))</f>
        <v>Violeta, Benitez</v>
      </c>
      <c r="AA1185" s="1" t="s">
        <v>59</v>
      </c>
    </row>
    <row r="1186" spans="1:27" x14ac:dyDescent="0.25">
      <c r="A1186" s="10">
        <v>10331</v>
      </c>
      <c r="B1186" s="9">
        <v>26</v>
      </c>
      <c r="C1186" s="9">
        <v>6791</v>
      </c>
      <c r="D1186" s="9">
        <f>PRODUCT(sales_data_sample[[#This Row],[QUANTITYORDERED]],sales_data_sample[[#This Row],[PRICEEACH]])</f>
        <v>176566</v>
      </c>
      <c r="E1186" s="9">
        <f>IF(OR(sales_data_sample[[#This Row],[STATUS]]="Shipped",sales_data_sample[[#This Row],[STATUS]]="Resolved"),sales_data_sample[[#This Row],[SALES]],0)</f>
        <v>176566</v>
      </c>
      <c r="F1186" s="10">
        <v>12</v>
      </c>
      <c r="G1186" s="12" t="s">
        <v>793</v>
      </c>
      <c r="H1186" s="1" t="s">
        <v>26</v>
      </c>
      <c r="I1186">
        <v>4</v>
      </c>
      <c r="J1186">
        <v>11</v>
      </c>
      <c r="K1186">
        <v>2004</v>
      </c>
      <c r="L1186" s="1" t="s">
        <v>239</v>
      </c>
      <c r="M1186">
        <v>141</v>
      </c>
      <c r="N1186" s="1" t="s">
        <v>929</v>
      </c>
      <c r="O1186" s="1" t="s">
        <v>415</v>
      </c>
      <c r="P1186" s="1" t="s">
        <v>416</v>
      </c>
      <c r="Q1186" s="1" t="s">
        <v>417</v>
      </c>
      <c r="R1186" s="1" t="s">
        <v>32</v>
      </c>
      <c r="S1186" s="1" t="s">
        <v>286</v>
      </c>
      <c r="T1186" s="1" t="s">
        <v>186</v>
      </c>
      <c r="U1186" s="1" t="s">
        <v>287</v>
      </c>
      <c r="V1186" s="1" t="s">
        <v>36</v>
      </c>
      <c r="W1186" s="1" t="s">
        <v>37</v>
      </c>
      <c r="X1186" s="1" t="s">
        <v>162</v>
      </c>
      <c r="Y1186" s="1" t="s">
        <v>418</v>
      </c>
      <c r="Z1186" s="1" t="str">
        <f>TRIM(_xlfn.CONCAT(sales_data_sample[[#This Row],[CONTACTFIRSTNAME]],", ",sales_data_sample[[#This Row],[CONTACTLASTNAME]]))</f>
        <v>Rosa, Hernandez</v>
      </c>
      <c r="AA1186" s="1" t="s">
        <v>40</v>
      </c>
    </row>
    <row r="1187" spans="1:27" x14ac:dyDescent="0.25">
      <c r="A1187" s="10">
        <v>10343</v>
      </c>
      <c r="B1187" s="9">
        <v>44</v>
      </c>
      <c r="C1187" s="9">
        <v>8488</v>
      </c>
      <c r="D1187" s="9">
        <f>PRODUCT(sales_data_sample[[#This Row],[QUANTITYORDERED]],sales_data_sample[[#This Row],[PRICEEACH]])</f>
        <v>373472</v>
      </c>
      <c r="E1187" s="9">
        <f>IF(OR(sales_data_sample[[#This Row],[STATUS]]="Shipped",sales_data_sample[[#This Row],[STATUS]]="Resolved"),sales_data_sample[[#This Row],[SALES]],0)</f>
        <v>373472</v>
      </c>
      <c r="F1187" s="10">
        <v>2</v>
      </c>
      <c r="G1187" s="12" t="s">
        <v>190</v>
      </c>
      <c r="H1187" s="1" t="s">
        <v>26</v>
      </c>
      <c r="I1187">
        <v>4</v>
      </c>
      <c r="J1187">
        <v>11</v>
      </c>
      <c r="K1187">
        <v>2004</v>
      </c>
      <c r="L1187" s="1" t="s">
        <v>239</v>
      </c>
      <c r="M1187">
        <v>141</v>
      </c>
      <c r="N1187" s="1" t="s">
        <v>929</v>
      </c>
      <c r="O1187" s="1" t="s">
        <v>42</v>
      </c>
      <c r="P1187" s="1" t="s">
        <v>43</v>
      </c>
      <c r="Q1187" s="1" t="s">
        <v>44</v>
      </c>
      <c r="R1187" s="1" t="s">
        <v>32</v>
      </c>
      <c r="S1187" s="1" t="s">
        <v>45</v>
      </c>
      <c r="T1187" s="1" t="s">
        <v>32</v>
      </c>
      <c r="U1187" s="1" t="s">
        <v>46</v>
      </c>
      <c r="V1187" s="1" t="s">
        <v>47</v>
      </c>
      <c r="W1187" s="1" t="s">
        <v>48</v>
      </c>
      <c r="X1187" s="1" t="s">
        <v>49</v>
      </c>
      <c r="Y1187" s="1" t="s">
        <v>50</v>
      </c>
      <c r="Z1187" s="1" t="str">
        <f>TRIM(_xlfn.CONCAT(sales_data_sample[[#This Row],[CONTACTFIRSTNAME]],", ",sales_data_sample[[#This Row],[CONTACTLASTNAME]]))</f>
        <v>Paul, Henriot</v>
      </c>
      <c r="AA1187" s="1" t="s">
        <v>59</v>
      </c>
    </row>
    <row r="1188" spans="1:27" x14ac:dyDescent="0.25">
      <c r="A1188" s="10">
        <v>10367</v>
      </c>
      <c r="B1188" s="9">
        <v>46</v>
      </c>
      <c r="C1188" s="9">
        <v>100</v>
      </c>
      <c r="D1188" s="9">
        <f>PRODUCT(sales_data_sample[[#This Row],[QUANTITYORDERED]],sales_data_sample[[#This Row],[PRICEEACH]])</f>
        <v>4600</v>
      </c>
      <c r="E1188" s="9">
        <f>IF(OR(sales_data_sample[[#This Row],[STATUS]]="Shipped",sales_data_sample[[#This Row],[STATUS]]="Resolved"),sales_data_sample[[#This Row],[SALES]],0)</f>
        <v>4600</v>
      </c>
      <c r="F1188" s="10">
        <v>6</v>
      </c>
      <c r="G1188" s="12" t="s">
        <v>835</v>
      </c>
      <c r="H1188" s="1" t="s">
        <v>563</v>
      </c>
      <c r="I1188">
        <v>1</v>
      </c>
      <c r="J1188">
        <v>1</v>
      </c>
      <c r="K1188">
        <v>2005</v>
      </c>
      <c r="L1188" s="1" t="s">
        <v>239</v>
      </c>
      <c r="M1188">
        <v>141</v>
      </c>
      <c r="N1188" s="1" t="s">
        <v>929</v>
      </c>
      <c r="O1188" s="1" t="s">
        <v>61</v>
      </c>
      <c r="P1188" s="1" t="s">
        <v>62</v>
      </c>
      <c r="Q1188" s="1" t="s">
        <v>63</v>
      </c>
      <c r="R1188" s="1" t="s">
        <v>32</v>
      </c>
      <c r="S1188" s="1" t="s">
        <v>64</v>
      </c>
      <c r="T1188" s="1" t="s">
        <v>65</v>
      </c>
      <c r="U1188" s="1" t="s">
        <v>66</v>
      </c>
      <c r="V1188" s="1" t="s">
        <v>36</v>
      </c>
      <c r="W1188" s="1" t="s">
        <v>37</v>
      </c>
      <c r="X1188" s="1" t="s">
        <v>67</v>
      </c>
      <c r="Y1188" s="1" t="s">
        <v>68</v>
      </c>
      <c r="Z1188" s="1" t="str">
        <f>TRIM(_xlfn.CONCAT(sales_data_sample[[#This Row],[CONTACTFIRSTNAME]],", ",sales_data_sample[[#This Row],[CONTACTLASTNAME]]))</f>
        <v>Julie, Young</v>
      </c>
      <c r="AA1188" s="1" t="s">
        <v>59</v>
      </c>
    </row>
    <row r="1189" spans="1:27" x14ac:dyDescent="0.25">
      <c r="A1189" s="10">
        <v>10379</v>
      </c>
      <c r="B1189" s="9">
        <v>32</v>
      </c>
      <c r="C1189" s="9">
        <v>7083</v>
      </c>
      <c r="D1189" s="9">
        <f>PRODUCT(sales_data_sample[[#This Row],[QUANTITYORDERED]],sales_data_sample[[#This Row],[PRICEEACH]])</f>
        <v>226656</v>
      </c>
      <c r="E1189" s="9">
        <f>IF(OR(sales_data_sample[[#This Row],[STATUS]]="Shipped",sales_data_sample[[#This Row],[STATUS]]="Resolved"),sales_data_sample[[#This Row],[SALES]],0)</f>
        <v>226656</v>
      </c>
      <c r="F1189" s="10">
        <v>4</v>
      </c>
      <c r="G1189" s="12" t="s">
        <v>836</v>
      </c>
      <c r="H1189" s="1" t="s">
        <v>26</v>
      </c>
      <c r="I1189">
        <v>1</v>
      </c>
      <c r="J1189">
        <v>2</v>
      </c>
      <c r="K1189">
        <v>2005</v>
      </c>
      <c r="L1189" s="1" t="s">
        <v>239</v>
      </c>
      <c r="M1189">
        <v>141</v>
      </c>
      <c r="N1189" s="1" t="s">
        <v>929</v>
      </c>
      <c r="O1189" s="1" t="s">
        <v>230</v>
      </c>
      <c r="P1189" s="1" t="s">
        <v>231</v>
      </c>
      <c r="Q1189" s="1" t="s">
        <v>232</v>
      </c>
      <c r="R1189" s="1" t="s">
        <v>32</v>
      </c>
      <c r="S1189" s="1" t="s">
        <v>233</v>
      </c>
      <c r="T1189" s="1" t="s">
        <v>32</v>
      </c>
      <c r="U1189" s="1" t="s">
        <v>234</v>
      </c>
      <c r="V1189" s="1" t="s">
        <v>235</v>
      </c>
      <c r="W1189" s="1" t="s">
        <v>48</v>
      </c>
      <c r="X1189" s="1" t="s">
        <v>236</v>
      </c>
      <c r="Y1189" s="1" t="s">
        <v>237</v>
      </c>
      <c r="Z1189" s="1" t="str">
        <f>TRIM(_xlfn.CONCAT(sales_data_sample[[#This Row],[CONTACTFIRSTNAME]],", ",sales_data_sample[[#This Row],[CONTACTLASTNAME]]))</f>
        <v>Diego, Freyre</v>
      </c>
      <c r="AA1189" s="1" t="s">
        <v>40</v>
      </c>
    </row>
    <row r="1190" spans="1:27" x14ac:dyDescent="0.25">
      <c r="A1190" s="10">
        <v>10406</v>
      </c>
      <c r="B1190" s="9">
        <v>65</v>
      </c>
      <c r="C1190" s="9">
        <v>100</v>
      </c>
      <c r="D1190" s="9">
        <f>PRODUCT(sales_data_sample[[#This Row],[QUANTITYORDERED]],sales_data_sample[[#This Row],[PRICEEACH]])</f>
        <v>6500</v>
      </c>
      <c r="E1190" s="9">
        <f>IF(OR(sales_data_sample[[#This Row],[STATUS]]="Shipped",sales_data_sample[[#This Row],[STATUS]]="Resolved"),sales_data_sample[[#This Row],[SALES]],0)</f>
        <v>0</v>
      </c>
      <c r="F1190" s="10">
        <v>1</v>
      </c>
      <c r="G1190" s="12" t="s">
        <v>797</v>
      </c>
      <c r="H1190" s="1" t="s">
        <v>229</v>
      </c>
      <c r="I1190">
        <v>2</v>
      </c>
      <c r="J1190">
        <v>4</v>
      </c>
      <c r="K1190">
        <v>2005</v>
      </c>
      <c r="L1190" s="1" t="s">
        <v>239</v>
      </c>
      <c r="M1190">
        <v>141</v>
      </c>
      <c r="N1190" s="1" t="s">
        <v>929</v>
      </c>
      <c r="O1190" s="1" t="s">
        <v>437</v>
      </c>
      <c r="P1190" s="1" t="s">
        <v>438</v>
      </c>
      <c r="Q1190" s="1" t="s">
        <v>439</v>
      </c>
      <c r="R1190" s="1" t="s">
        <v>32</v>
      </c>
      <c r="S1190" s="1" t="s">
        <v>440</v>
      </c>
      <c r="T1190" s="1" t="s">
        <v>32</v>
      </c>
      <c r="U1190" s="1" t="s">
        <v>441</v>
      </c>
      <c r="V1190" s="1" t="s">
        <v>442</v>
      </c>
      <c r="W1190" s="1" t="s">
        <v>48</v>
      </c>
      <c r="X1190" s="1" t="s">
        <v>443</v>
      </c>
      <c r="Y1190" s="1" t="s">
        <v>444</v>
      </c>
      <c r="Z1190" s="1" t="str">
        <f>TRIM(_xlfn.CONCAT(sales_data_sample[[#This Row],[CONTACTFIRSTNAME]],", ",sales_data_sample[[#This Row],[CONTACTLASTNAME]]))</f>
        <v>Jytte, Petersen</v>
      </c>
      <c r="AA1190" s="1" t="s">
        <v>199</v>
      </c>
    </row>
    <row r="1191" spans="1:27" x14ac:dyDescent="0.25">
      <c r="A1191" s="10">
        <v>10419</v>
      </c>
      <c r="B1191" s="9">
        <v>43</v>
      </c>
      <c r="C1191" s="9">
        <v>100</v>
      </c>
      <c r="D1191" s="9">
        <f>PRODUCT(sales_data_sample[[#This Row],[QUANTITYORDERED]],sales_data_sample[[#This Row],[PRICEEACH]])</f>
        <v>4300</v>
      </c>
      <c r="E1191" s="9">
        <f>IF(OR(sales_data_sample[[#This Row],[STATUS]]="Shipped",sales_data_sample[[#This Row],[STATUS]]="Resolved"),sales_data_sample[[#This Row],[SALES]],0)</f>
        <v>4300</v>
      </c>
      <c r="F1191" s="10">
        <v>3</v>
      </c>
      <c r="G1191" s="12" t="s">
        <v>663</v>
      </c>
      <c r="H1191" s="1" t="s">
        <v>26</v>
      </c>
      <c r="I1191">
        <v>2</v>
      </c>
      <c r="J1191">
        <v>5</v>
      </c>
      <c r="K1191">
        <v>2005</v>
      </c>
      <c r="L1191" s="1" t="s">
        <v>239</v>
      </c>
      <c r="M1191">
        <v>141</v>
      </c>
      <c r="N1191" s="1" t="s">
        <v>929</v>
      </c>
      <c r="O1191" s="1" t="s">
        <v>191</v>
      </c>
      <c r="P1191" s="1" t="s">
        <v>192</v>
      </c>
      <c r="Q1191" s="1" t="s">
        <v>193</v>
      </c>
      <c r="R1191" s="1" t="s">
        <v>32</v>
      </c>
      <c r="S1191" s="1" t="s">
        <v>194</v>
      </c>
      <c r="T1191" s="1" t="s">
        <v>32</v>
      </c>
      <c r="U1191" s="1" t="s">
        <v>195</v>
      </c>
      <c r="V1191" s="1" t="s">
        <v>196</v>
      </c>
      <c r="W1191" s="1" t="s">
        <v>48</v>
      </c>
      <c r="X1191" s="1" t="s">
        <v>197</v>
      </c>
      <c r="Y1191" s="1" t="s">
        <v>198</v>
      </c>
      <c r="Z1191" s="1" t="str">
        <f>TRIM(_xlfn.CONCAT(sales_data_sample[[#This Row],[CONTACTFIRSTNAME]],", ",sales_data_sample[[#This Row],[CONTACTLASTNAME]]))</f>
        <v>Georg, Pipps</v>
      </c>
      <c r="AA1191" s="1" t="s">
        <v>59</v>
      </c>
    </row>
    <row r="1192" spans="1:27" x14ac:dyDescent="0.25">
      <c r="A1192" s="10">
        <v>10108</v>
      </c>
      <c r="B1192" s="9">
        <v>43</v>
      </c>
      <c r="C1192" s="9">
        <v>6777</v>
      </c>
      <c r="D1192" s="9">
        <f>PRODUCT(sales_data_sample[[#This Row],[QUANTITYORDERED]],sales_data_sample[[#This Row],[PRICEEACH]])</f>
        <v>291411</v>
      </c>
      <c r="E1192" s="9">
        <f>IF(OR(sales_data_sample[[#This Row],[STATUS]]="Shipped",sales_data_sample[[#This Row],[STATUS]]="Resolved"),sales_data_sample[[#This Row],[SALES]],0)</f>
        <v>291411</v>
      </c>
      <c r="F1192" s="10">
        <v>12</v>
      </c>
      <c r="G1192" s="12" t="s">
        <v>589</v>
      </c>
      <c r="H1192" s="1" t="s">
        <v>26</v>
      </c>
      <c r="I1192">
        <v>1</v>
      </c>
      <c r="J1192">
        <v>3</v>
      </c>
      <c r="K1192">
        <v>2003</v>
      </c>
      <c r="L1192" s="1" t="s">
        <v>27</v>
      </c>
      <c r="M1192">
        <v>62</v>
      </c>
      <c r="N1192" s="1" t="s">
        <v>930</v>
      </c>
      <c r="O1192" s="1" t="s">
        <v>591</v>
      </c>
      <c r="P1192" s="1" t="s">
        <v>592</v>
      </c>
      <c r="Q1192" s="1" t="s">
        <v>593</v>
      </c>
      <c r="R1192" s="1" t="s">
        <v>32</v>
      </c>
      <c r="S1192" s="1" t="s">
        <v>594</v>
      </c>
      <c r="T1192" s="1" t="s">
        <v>32</v>
      </c>
      <c r="U1192" s="1" t="s">
        <v>595</v>
      </c>
      <c r="V1192" s="1" t="s">
        <v>596</v>
      </c>
      <c r="W1192" s="1" t="s">
        <v>264</v>
      </c>
      <c r="X1192" s="1" t="s">
        <v>597</v>
      </c>
      <c r="Y1192" s="1" t="s">
        <v>598</v>
      </c>
      <c r="Z1192" s="1" t="str">
        <f>TRIM(_xlfn.CONCAT(sales_data_sample[[#This Row],[CONTACTFIRSTNAME]],", ",sales_data_sample[[#This Row],[CONTACTLASTNAME]]))</f>
        <v>Arnold, Cruz</v>
      </c>
      <c r="AA1192" s="1" t="s">
        <v>40</v>
      </c>
    </row>
    <row r="1193" spans="1:27" x14ac:dyDescent="0.25">
      <c r="A1193" s="10">
        <v>10122</v>
      </c>
      <c r="B1193" s="9">
        <v>35</v>
      </c>
      <c r="C1193" s="9">
        <v>4974</v>
      </c>
      <c r="D1193" s="9">
        <f>PRODUCT(sales_data_sample[[#This Row],[QUANTITYORDERED]],sales_data_sample[[#This Row],[PRICEEACH]])</f>
        <v>174090</v>
      </c>
      <c r="E1193" s="9">
        <f>IF(OR(sales_data_sample[[#This Row],[STATUS]]="Shipped",sales_data_sample[[#This Row],[STATUS]]="Resolved"),sales_data_sample[[#This Row],[SALES]],0)</f>
        <v>174090</v>
      </c>
      <c r="F1193" s="10">
        <v>16</v>
      </c>
      <c r="G1193" s="12" t="s">
        <v>599</v>
      </c>
      <c r="H1193" s="1" t="s">
        <v>26</v>
      </c>
      <c r="I1193">
        <v>2</v>
      </c>
      <c r="J1193">
        <v>5</v>
      </c>
      <c r="K1193">
        <v>2003</v>
      </c>
      <c r="L1193" s="1" t="s">
        <v>27</v>
      </c>
      <c r="M1193">
        <v>62</v>
      </c>
      <c r="N1193" s="1" t="s">
        <v>930</v>
      </c>
      <c r="O1193" s="1" t="s">
        <v>600</v>
      </c>
      <c r="P1193" s="1" t="s">
        <v>601</v>
      </c>
      <c r="Q1193" s="1" t="s">
        <v>602</v>
      </c>
      <c r="R1193" s="1" t="s">
        <v>32</v>
      </c>
      <c r="S1193" s="1" t="s">
        <v>603</v>
      </c>
      <c r="T1193" s="1" t="s">
        <v>32</v>
      </c>
      <c r="U1193" s="1" t="s">
        <v>604</v>
      </c>
      <c r="V1193" s="1" t="s">
        <v>47</v>
      </c>
      <c r="W1193" s="1" t="s">
        <v>48</v>
      </c>
      <c r="X1193" s="1" t="s">
        <v>605</v>
      </c>
      <c r="Y1193" s="1" t="s">
        <v>606</v>
      </c>
      <c r="Z1193" s="1" t="str">
        <f>TRIM(_xlfn.CONCAT(sales_data_sample[[#This Row],[CONTACTFIRSTNAME]],", ",sales_data_sample[[#This Row],[CONTACTLASTNAME]]))</f>
        <v>Laurence, Lebihan</v>
      </c>
      <c r="AA1193" s="1" t="s">
        <v>40</v>
      </c>
    </row>
    <row r="1194" spans="1:27" x14ac:dyDescent="0.25">
      <c r="A1194" s="10">
        <v>10135</v>
      </c>
      <c r="B1194" s="9">
        <v>45</v>
      </c>
      <c r="C1194" s="9">
        <v>5036</v>
      </c>
      <c r="D1194" s="9">
        <f>PRODUCT(sales_data_sample[[#This Row],[QUANTITYORDERED]],sales_data_sample[[#This Row],[PRICEEACH]])</f>
        <v>226620</v>
      </c>
      <c r="E1194" s="9">
        <f>IF(OR(sales_data_sample[[#This Row],[STATUS]]="Shipped",sales_data_sample[[#This Row],[STATUS]]="Resolved"),sales_data_sample[[#This Row],[SALES]],0)</f>
        <v>226620</v>
      </c>
      <c r="F1194" s="10">
        <v>13</v>
      </c>
      <c r="G1194" s="12" t="s">
        <v>607</v>
      </c>
      <c r="H1194" s="1" t="s">
        <v>26</v>
      </c>
      <c r="I1194">
        <v>3</v>
      </c>
      <c r="J1194">
        <v>7</v>
      </c>
      <c r="K1194">
        <v>2003</v>
      </c>
      <c r="L1194" s="1" t="s">
        <v>27</v>
      </c>
      <c r="M1194">
        <v>62</v>
      </c>
      <c r="N1194" s="1" t="s">
        <v>930</v>
      </c>
      <c r="O1194" s="1" t="s">
        <v>361</v>
      </c>
      <c r="P1194" s="1" t="s">
        <v>362</v>
      </c>
      <c r="Q1194" s="1" t="s">
        <v>363</v>
      </c>
      <c r="R1194" s="1" t="s">
        <v>32</v>
      </c>
      <c r="S1194" s="1" t="s">
        <v>364</v>
      </c>
      <c r="T1194" s="1" t="s">
        <v>65</v>
      </c>
      <c r="U1194" s="1" t="s">
        <v>145</v>
      </c>
      <c r="V1194" s="1" t="s">
        <v>36</v>
      </c>
      <c r="W1194" s="1" t="s">
        <v>37</v>
      </c>
      <c r="X1194" s="1" t="s">
        <v>365</v>
      </c>
      <c r="Y1194" s="1" t="s">
        <v>366</v>
      </c>
      <c r="Z1194" s="1" t="str">
        <f>TRIM(_xlfn.CONCAT(sales_data_sample[[#This Row],[CONTACTFIRSTNAME]],", ",sales_data_sample[[#This Row],[CONTACTLASTNAME]]))</f>
        <v>Valarie, Nelson</v>
      </c>
      <c r="AA1194" s="1" t="s">
        <v>40</v>
      </c>
    </row>
    <row r="1195" spans="1:27" x14ac:dyDescent="0.25">
      <c r="A1195" s="10">
        <v>10146</v>
      </c>
      <c r="B1195" s="9">
        <v>47</v>
      </c>
      <c r="C1195" s="9">
        <v>6714</v>
      </c>
      <c r="D1195" s="9">
        <f>PRODUCT(sales_data_sample[[#This Row],[QUANTITYORDERED]],sales_data_sample[[#This Row],[PRICEEACH]])</f>
        <v>315558</v>
      </c>
      <c r="E1195" s="9">
        <f>IF(OR(sales_data_sample[[#This Row],[STATUS]]="Shipped",sales_data_sample[[#This Row],[STATUS]]="Resolved"),sales_data_sample[[#This Row],[SALES]],0)</f>
        <v>315558</v>
      </c>
      <c r="F1195" s="10">
        <v>2</v>
      </c>
      <c r="G1195" s="12" t="s">
        <v>931</v>
      </c>
      <c r="H1195" s="1" t="s">
        <v>26</v>
      </c>
      <c r="I1195">
        <v>3</v>
      </c>
      <c r="J1195">
        <v>9</v>
      </c>
      <c r="K1195">
        <v>2003</v>
      </c>
      <c r="L1195" s="1" t="s">
        <v>27</v>
      </c>
      <c r="M1195">
        <v>62</v>
      </c>
      <c r="N1195" s="1" t="s">
        <v>930</v>
      </c>
      <c r="O1195" s="1" t="s">
        <v>842</v>
      </c>
      <c r="P1195" s="1" t="s">
        <v>843</v>
      </c>
      <c r="Q1195" s="1" t="s">
        <v>844</v>
      </c>
      <c r="R1195" s="1" t="s">
        <v>32</v>
      </c>
      <c r="S1195" s="1" t="s">
        <v>734</v>
      </c>
      <c r="T1195" s="1" t="s">
        <v>144</v>
      </c>
      <c r="U1195" s="1" t="s">
        <v>845</v>
      </c>
      <c r="V1195" s="1" t="s">
        <v>36</v>
      </c>
      <c r="W1195" s="1" t="s">
        <v>37</v>
      </c>
      <c r="X1195" s="1" t="s">
        <v>846</v>
      </c>
      <c r="Y1195" s="1" t="s">
        <v>847</v>
      </c>
      <c r="Z1195" s="1" t="str">
        <f>TRIM(_xlfn.CONCAT(sales_data_sample[[#This Row],[CONTACTFIRSTNAME]],", ",sales_data_sample[[#This Row],[CONTACTLASTNAME]]))</f>
        <v>Dan, Lewis</v>
      </c>
      <c r="AA1195" s="1" t="s">
        <v>59</v>
      </c>
    </row>
    <row r="1196" spans="1:27" x14ac:dyDescent="0.25">
      <c r="A1196" s="10">
        <v>10159</v>
      </c>
      <c r="B1196" s="9">
        <v>21</v>
      </c>
      <c r="C1196" s="9">
        <v>6466</v>
      </c>
      <c r="D1196" s="9">
        <f>PRODUCT(sales_data_sample[[#This Row],[QUANTITYORDERED]],sales_data_sample[[#This Row],[PRICEEACH]])</f>
        <v>135786</v>
      </c>
      <c r="E1196" s="9">
        <f>IF(OR(sales_data_sample[[#This Row],[STATUS]]="Shipped",sales_data_sample[[#This Row],[STATUS]]="Resolved"),sales_data_sample[[#This Row],[SALES]],0)</f>
        <v>135786</v>
      </c>
      <c r="F1196" s="10">
        <v>8</v>
      </c>
      <c r="G1196" s="12" t="s">
        <v>69</v>
      </c>
      <c r="H1196" s="1" t="s">
        <v>26</v>
      </c>
      <c r="I1196">
        <v>4</v>
      </c>
      <c r="J1196">
        <v>10</v>
      </c>
      <c r="K1196">
        <v>2003</v>
      </c>
      <c r="L1196" s="1" t="s">
        <v>27</v>
      </c>
      <c r="M1196">
        <v>62</v>
      </c>
      <c r="N1196" s="1" t="s">
        <v>930</v>
      </c>
      <c r="O1196" s="1" t="s">
        <v>70</v>
      </c>
      <c r="P1196" s="1" t="s">
        <v>71</v>
      </c>
      <c r="Q1196" s="1" t="s">
        <v>72</v>
      </c>
      <c r="R1196" s="1" t="s">
        <v>32</v>
      </c>
      <c r="S1196" s="1" t="s">
        <v>73</v>
      </c>
      <c r="T1196" s="1" t="s">
        <v>65</v>
      </c>
      <c r="U1196" s="1" t="s">
        <v>32</v>
      </c>
      <c r="V1196" s="1" t="s">
        <v>36</v>
      </c>
      <c r="W1196" s="1" t="s">
        <v>37</v>
      </c>
      <c r="X1196" s="1" t="s">
        <v>74</v>
      </c>
      <c r="Y1196" s="1" t="s">
        <v>68</v>
      </c>
      <c r="Z1196" s="1" t="str">
        <f>TRIM(_xlfn.CONCAT(sales_data_sample[[#This Row],[CONTACTFIRSTNAME]],", ",sales_data_sample[[#This Row],[CONTACTLASTNAME]]))</f>
        <v>Julie, Brown</v>
      </c>
      <c r="AA1196" s="1" t="s">
        <v>40</v>
      </c>
    </row>
    <row r="1197" spans="1:27" x14ac:dyDescent="0.25">
      <c r="A1197">
        <v>10169</v>
      </c>
      <c r="B1197">
        <v>38</v>
      </c>
      <c r="C1197">
        <v>6839</v>
      </c>
      <c r="D1197">
        <f>PRODUCT(sales_data_sample[[#This Row],[QUANTITYORDERED]],sales_data_sample[[#This Row],[PRICEEACH]])</f>
        <v>259882</v>
      </c>
      <c r="E1197" s="9">
        <f>IF(OR(sales_data_sample[[#This Row],[STATUS]]="Shipped",sales_data_sample[[#This Row],[STATUS]]="Resolved"),sales_data_sample[[#This Row],[SALES]],0)</f>
        <v>259882</v>
      </c>
      <c r="F1197">
        <v>8</v>
      </c>
      <c r="G1197" s="12" t="s">
        <v>609</v>
      </c>
      <c r="H1197" s="1" t="s">
        <v>26</v>
      </c>
      <c r="I1197">
        <v>4</v>
      </c>
      <c r="J1197">
        <v>11</v>
      </c>
      <c r="K1197">
        <v>2003</v>
      </c>
      <c r="L1197" s="1" t="s">
        <v>27</v>
      </c>
      <c r="M1197">
        <v>62</v>
      </c>
      <c r="N1197" s="1" t="s">
        <v>930</v>
      </c>
      <c r="O1197" s="1" t="s">
        <v>385</v>
      </c>
      <c r="P1197" s="1" t="s">
        <v>386</v>
      </c>
      <c r="Q1197" s="1" t="s">
        <v>387</v>
      </c>
      <c r="R1197" s="1" t="s">
        <v>388</v>
      </c>
      <c r="S1197" s="1" t="s">
        <v>389</v>
      </c>
      <c r="T1197" s="1" t="s">
        <v>206</v>
      </c>
      <c r="U1197" s="1" t="s">
        <v>390</v>
      </c>
      <c r="V1197" s="1" t="s">
        <v>120</v>
      </c>
      <c r="W1197" s="1" t="s">
        <v>121</v>
      </c>
      <c r="X1197" s="1" t="s">
        <v>391</v>
      </c>
      <c r="Y1197" s="1" t="s">
        <v>392</v>
      </c>
      <c r="Z1197" s="1" t="str">
        <f>TRIM(_xlfn.CONCAT(sales_data_sample[[#This Row],[CONTACTFIRSTNAME]],", ",sales_data_sample[[#This Row],[CONTACTLASTNAME]]))</f>
        <v>Anna, O'Hara</v>
      </c>
      <c r="AA1197" s="1" t="s">
        <v>40</v>
      </c>
    </row>
    <row r="1198" spans="1:27" x14ac:dyDescent="0.25">
      <c r="A1198" s="10">
        <v>10180</v>
      </c>
      <c r="B1198" s="9">
        <v>21</v>
      </c>
      <c r="C1198" s="9">
        <v>5036</v>
      </c>
      <c r="D1198" s="9">
        <f>PRODUCT(sales_data_sample[[#This Row],[QUANTITYORDERED]],sales_data_sample[[#This Row],[PRICEEACH]])</f>
        <v>105756</v>
      </c>
      <c r="E1198" s="9">
        <f>IF(OR(sales_data_sample[[#This Row],[STATUS]]="Shipped",sales_data_sample[[#This Row],[STATUS]]="Resolved"),sales_data_sample[[#This Row],[SALES]],0)</f>
        <v>105756</v>
      </c>
      <c r="F1198" s="10">
        <v>3</v>
      </c>
      <c r="G1198" s="12" t="s">
        <v>83</v>
      </c>
      <c r="H1198" s="1" t="s">
        <v>26</v>
      </c>
      <c r="I1198">
        <v>4</v>
      </c>
      <c r="J1198">
        <v>11</v>
      </c>
      <c r="K1198">
        <v>2003</v>
      </c>
      <c r="L1198" s="1" t="s">
        <v>27</v>
      </c>
      <c r="M1198">
        <v>62</v>
      </c>
      <c r="N1198" s="1" t="s">
        <v>930</v>
      </c>
      <c r="O1198" s="1" t="s">
        <v>84</v>
      </c>
      <c r="P1198" s="1" t="s">
        <v>85</v>
      </c>
      <c r="Q1198" s="1" t="s">
        <v>86</v>
      </c>
      <c r="R1198" s="1" t="s">
        <v>32</v>
      </c>
      <c r="S1198" s="1" t="s">
        <v>87</v>
      </c>
      <c r="T1198" s="1" t="s">
        <v>32</v>
      </c>
      <c r="U1198" s="1" t="s">
        <v>88</v>
      </c>
      <c r="V1198" s="1" t="s">
        <v>47</v>
      </c>
      <c r="W1198" s="1" t="s">
        <v>48</v>
      </c>
      <c r="X1198" s="1" t="s">
        <v>89</v>
      </c>
      <c r="Y1198" s="1" t="s">
        <v>90</v>
      </c>
      <c r="Z1198" s="1" t="str">
        <f>TRIM(_xlfn.CONCAT(sales_data_sample[[#This Row],[CONTACTFIRSTNAME]],", ",sales_data_sample[[#This Row],[CONTACTLASTNAME]]))</f>
        <v>Martine, Rance</v>
      </c>
      <c r="AA1198" s="1" t="s">
        <v>40</v>
      </c>
    </row>
    <row r="1199" spans="1:27" x14ac:dyDescent="0.25">
      <c r="A1199" s="10">
        <v>10191</v>
      </c>
      <c r="B1199" s="9">
        <v>43</v>
      </c>
      <c r="C1199" s="9">
        <v>7274</v>
      </c>
      <c r="D1199" s="9">
        <f>PRODUCT(sales_data_sample[[#This Row],[QUANTITYORDERED]],sales_data_sample[[#This Row],[PRICEEACH]])</f>
        <v>312782</v>
      </c>
      <c r="E1199" s="9">
        <f>IF(OR(sales_data_sample[[#This Row],[STATUS]]="Shipped",sales_data_sample[[#This Row],[STATUS]]="Resolved"),sales_data_sample[[#This Row],[SALES]],0)</f>
        <v>312782</v>
      </c>
      <c r="F1199" s="10">
        <v>9</v>
      </c>
      <c r="G1199" s="12" t="s">
        <v>611</v>
      </c>
      <c r="H1199" s="1" t="s">
        <v>26</v>
      </c>
      <c r="I1199">
        <v>4</v>
      </c>
      <c r="J1199">
        <v>11</v>
      </c>
      <c r="K1199">
        <v>2003</v>
      </c>
      <c r="L1199" s="1" t="s">
        <v>27</v>
      </c>
      <c r="M1199">
        <v>62</v>
      </c>
      <c r="N1199" s="1" t="s">
        <v>930</v>
      </c>
      <c r="O1199" s="1" t="s">
        <v>612</v>
      </c>
      <c r="P1199" s="1" t="s">
        <v>613</v>
      </c>
      <c r="Q1199" s="1" t="s">
        <v>614</v>
      </c>
      <c r="R1199" s="1" t="s">
        <v>32</v>
      </c>
      <c r="S1199" s="1" t="s">
        <v>615</v>
      </c>
      <c r="T1199" s="1" t="s">
        <v>32</v>
      </c>
      <c r="U1199" s="1" t="s">
        <v>616</v>
      </c>
      <c r="V1199" s="1" t="s">
        <v>617</v>
      </c>
      <c r="W1199" s="1" t="s">
        <v>48</v>
      </c>
      <c r="X1199" s="1" t="s">
        <v>618</v>
      </c>
      <c r="Y1199" s="1" t="s">
        <v>619</v>
      </c>
      <c r="Z1199" s="1" t="str">
        <f>TRIM(_xlfn.CONCAT(sales_data_sample[[#This Row],[CONTACTFIRSTNAME]],", ",sales_data_sample[[#This Row],[CONTACTLASTNAME]]))</f>
        <v>Henriette, Pfalzheim</v>
      </c>
      <c r="AA1199" s="1" t="s">
        <v>59</v>
      </c>
    </row>
    <row r="1200" spans="1:27" x14ac:dyDescent="0.25">
      <c r="A1200" s="10">
        <v>10211</v>
      </c>
      <c r="B1200" s="9">
        <v>46</v>
      </c>
      <c r="C1200" s="9">
        <v>5409</v>
      </c>
      <c r="D1200" s="9">
        <f>PRODUCT(sales_data_sample[[#This Row],[QUANTITYORDERED]],sales_data_sample[[#This Row],[PRICEEACH]])</f>
        <v>248814</v>
      </c>
      <c r="E1200" s="9">
        <f>IF(OR(sales_data_sample[[#This Row],[STATUS]]="Shipped",sales_data_sample[[#This Row],[STATUS]]="Resolved"),sales_data_sample[[#This Row],[SALES]],0)</f>
        <v>248814</v>
      </c>
      <c r="F1200" s="10">
        <v>8</v>
      </c>
      <c r="G1200" s="12" t="s">
        <v>105</v>
      </c>
      <c r="H1200" s="1" t="s">
        <v>26</v>
      </c>
      <c r="I1200">
        <v>1</v>
      </c>
      <c r="J1200">
        <v>1</v>
      </c>
      <c r="K1200">
        <v>2004</v>
      </c>
      <c r="L1200" s="1" t="s">
        <v>27</v>
      </c>
      <c r="M1200">
        <v>62</v>
      </c>
      <c r="N1200" s="1" t="s">
        <v>930</v>
      </c>
      <c r="O1200" s="1" t="s">
        <v>106</v>
      </c>
      <c r="P1200" s="1" t="s">
        <v>107</v>
      </c>
      <c r="Q1200" s="1" t="s">
        <v>108</v>
      </c>
      <c r="R1200" s="1" t="s">
        <v>32</v>
      </c>
      <c r="S1200" s="1" t="s">
        <v>55</v>
      </c>
      <c r="T1200" s="1" t="s">
        <v>32</v>
      </c>
      <c r="U1200" s="1" t="s">
        <v>109</v>
      </c>
      <c r="V1200" s="1" t="s">
        <v>47</v>
      </c>
      <c r="W1200" s="1" t="s">
        <v>48</v>
      </c>
      <c r="X1200" s="1" t="s">
        <v>110</v>
      </c>
      <c r="Y1200" s="1" t="s">
        <v>111</v>
      </c>
      <c r="Z1200" s="1" t="str">
        <f>TRIM(_xlfn.CONCAT(sales_data_sample[[#This Row],[CONTACTFIRSTNAME]],", ",sales_data_sample[[#This Row],[CONTACTLASTNAME]]))</f>
        <v>Dominique, Perrier</v>
      </c>
      <c r="AA1200" s="1" t="s">
        <v>40</v>
      </c>
    </row>
    <row r="1201" spans="1:27" x14ac:dyDescent="0.25">
      <c r="A1201" s="10">
        <v>10224</v>
      </c>
      <c r="B1201" s="9">
        <v>38</v>
      </c>
      <c r="C1201" s="9">
        <v>5844</v>
      </c>
      <c r="D1201" s="9">
        <f>PRODUCT(sales_data_sample[[#This Row],[QUANTITYORDERED]],sales_data_sample[[#This Row],[PRICEEACH]])</f>
        <v>222072</v>
      </c>
      <c r="E1201" s="9">
        <f>IF(OR(sales_data_sample[[#This Row],[STATUS]]="Shipped",sales_data_sample[[#This Row],[STATUS]]="Resolved"),sales_data_sample[[#This Row],[SALES]],0)</f>
        <v>222072</v>
      </c>
      <c r="F1201" s="10">
        <v>1</v>
      </c>
      <c r="G1201" s="12" t="s">
        <v>716</v>
      </c>
      <c r="H1201" s="1" t="s">
        <v>26</v>
      </c>
      <c r="I1201">
        <v>1</v>
      </c>
      <c r="J1201">
        <v>2</v>
      </c>
      <c r="K1201">
        <v>2004</v>
      </c>
      <c r="L1201" s="1" t="s">
        <v>27</v>
      </c>
      <c r="M1201">
        <v>62</v>
      </c>
      <c r="N1201" s="1" t="s">
        <v>930</v>
      </c>
      <c r="O1201" s="1" t="s">
        <v>84</v>
      </c>
      <c r="P1201" s="1" t="s">
        <v>85</v>
      </c>
      <c r="Q1201" s="1" t="s">
        <v>86</v>
      </c>
      <c r="R1201" s="1" t="s">
        <v>32</v>
      </c>
      <c r="S1201" s="1" t="s">
        <v>87</v>
      </c>
      <c r="T1201" s="1" t="s">
        <v>32</v>
      </c>
      <c r="U1201" s="1" t="s">
        <v>88</v>
      </c>
      <c r="V1201" s="1" t="s">
        <v>47</v>
      </c>
      <c r="W1201" s="1" t="s">
        <v>48</v>
      </c>
      <c r="X1201" s="1" t="s">
        <v>89</v>
      </c>
      <c r="Y1201" s="1" t="s">
        <v>90</v>
      </c>
      <c r="Z1201" s="1" t="str">
        <f>TRIM(_xlfn.CONCAT(sales_data_sample[[#This Row],[CONTACTFIRSTNAME]],", ",sales_data_sample[[#This Row],[CONTACTLASTNAME]]))</f>
        <v>Martine, Rance</v>
      </c>
      <c r="AA1201" s="1" t="s">
        <v>40</v>
      </c>
    </row>
    <row r="1202" spans="1:27" x14ac:dyDescent="0.25">
      <c r="A1202">
        <v>10237</v>
      </c>
      <c r="B1202">
        <v>26</v>
      </c>
      <c r="C1202">
        <v>5222</v>
      </c>
      <c r="D1202">
        <f>PRODUCT(sales_data_sample[[#This Row],[QUANTITYORDERED]],sales_data_sample[[#This Row],[PRICEEACH]])</f>
        <v>135772</v>
      </c>
      <c r="E1202" s="9">
        <f>IF(OR(sales_data_sample[[#This Row],[STATUS]]="Shipped",sales_data_sample[[#This Row],[STATUS]]="Resolved"),sales_data_sample[[#This Row],[SALES]],0)</f>
        <v>135772</v>
      </c>
      <c r="F1202">
        <v>1</v>
      </c>
      <c r="G1202" s="12" t="s">
        <v>124</v>
      </c>
      <c r="H1202" s="1" t="s">
        <v>26</v>
      </c>
      <c r="I1202">
        <v>2</v>
      </c>
      <c r="J1202">
        <v>4</v>
      </c>
      <c r="K1202">
        <v>2004</v>
      </c>
      <c r="L1202" s="1" t="s">
        <v>27</v>
      </c>
      <c r="M1202">
        <v>62</v>
      </c>
      <c r="N1202" s="1" t="s">
        <v>930</v>
      </c>
      <c r="O1202" s="1" t="s">
        <v>125</v>
      </c>
      <c r="P1202" s="1" t="s">
        <v>126</v>
      </c>
      <c r="Q1202" s="1" t="s">
        <v>127</v>
      </c>
      <c r="R1202" s="1" t="s">
        <v>128</v>
      </c>
      <c r="S1202" s="1" t="s">
        <v>33</v>
      </c>
      <c r="T1202" s="1" t="s">
        <v>34</v>
      </c>
      <c r="U1202" s="1" t="s">
        <v>35</v>
      </c>
      <c r="V1202" s="1" t="s">
        <v>36</v>
      </c>
      <c r="W1202" s="1" t="s">
        <v>37</v>
      </c>
      <c r="X1202" s="1" t="s">
        <v>129</v>
      </c>
      <c r="Y1202" s="1" t="s">
        <v>130</v>
      </c>
      <c r="Z1202" s="1" t="str">
        <f>TRIM(_xlfn.CONCAT(sales_data_sample[[#This Row],[CONTACTFIRSTNAME]],", ",sales_data_sample[[#This Row],[CONTACTLASTNAME]]))</f>
        <v>Michael, Frick</v>
      </c>
      <c r="AA1202" s="1" t="s">
        <v>40</v>
      </c>
    </row>
    <row r="1203" spans="1:27" x14ac:dyDescent="0.25">
      <c r="A1203" s="10">
        <v>10252</v>
      </c>
      <c r="B1203" s="9">
        <v>31</v>
      </c>
      <c r="C1203" s="9">
        <v>5284</v>
      </c>
      <c r="D1203" s="9">
        <f>PRODUCT(sales_data_sample[[#This Row],[QUANTITYORDERED]],sales_data_sample[[#This Row],[PRICEEACH]])</f>
        <v>163804</v>
      </c>
      <c r="E1203" s="9">
        <f>IF(OR(sales_data_sample[[#This Row],[STATUS]]="Shipped",sales_data_sample[[#This Row],[STATUS]]="Resolved"),sales_data_sample[[#This Row],[SALES]],0)</f>
        <v>163804</v>
      </c>
      <c r="F1203" s="10">
        <v>5</v>
      </c>
      <c r="G1203" s="12" t="s">
        <v>922</v>
      </c>
      <c r="H1203" s="1" t="s">
        <v>26</v>
      </c>
      <c r="I1203">
        <v>2</v>
      </c>
      <c r="J1203">
        <v>5</v>
      </c>
      <c r="K1203">
        <v>2004</v>
      </c>
      <c r="L1203" s="1" t="s">
        <v>27</v>
      </c>
      <c r="M1203">
        <v>62</v>
      </c>
      <c r="N1203" s="1" t="s">
        <v>930</v>
      </c>
      <c r="O1203" s="1" t="s">
        <v>106</v>
      </c>
      <c r="P1203" s="1" t="s">
        <v>107</v>
      </c>
      <c r="Q1203" s="1" t="s">
        <v>108</v>
      </c>
      <c r="R1203" s="1" t="s">
        <v>32</v>
      </c>
      <c r="S1203" s="1" t="s">
        <v>55</v>
      </c>
      <c r="T1203" s="1" t="s">
        <v>32</v>
      </c>
      <c r="U1203" s="1" t="s">
        <v>109</v>
      </c>
      <c r="V1203" s="1" t="s">
        <v>47</v>
      </c>
      <c r="W1203" s="1" t="s">
        <v>48</v>
      </c>
      <c r="X1203" s="1" t="s">
        <v>110</v>
      </c>
      <c r="Y1203" s="1" t="s">
        <v>111</v>
      </c>
      <c r="Z1203" s="1" t="str">
        <f>TRIM(_xlfn.CONCAT(sales_data_sample[[#This Row],[CONTACTFIRSTNAME]],", ",sales_data_sample[[#This Row],[CONTACTLASTNAME]]))</f>
        <v>Dominique, Perrier</v>
      </c>
      <c r="AA1203" s="1" t="s">
        <v>40</v>
      </c>
    </row>
    <row r="1204" spans="1:27" x14ac:dyDescent="0.25">
      <c r="A1204" s="10">
        <v>10264</v>
      </c>
      <c r="B1204" s="9">
        <v>48</v>
      </c>
      <c r="C1204" s="9">
        <v>5471</v>
      </c>
      <c r="D1204" s="9">
        <f>PRODUCT(sales_data_sample[[#This Row],[QUANTITYORDERED]],sales_data_sample[[#This Row],[PRICEEACH]])</f>
        <v>262608</v>
      </c>
      <c r="E1204" s="9">
        <f>IF(OR(sales_data_sample[[#This Row],[STATUS]]="Shipped",sales_data_sample[[#This Row],[STATUS]]="Resolved"),sales_data_sample[[#This Row],[SALES]],0)</f>
        <v>262608</v>
      </c>
      <c r="F1204" s="10">
        <v>3</v>
      </c>
      <c r="G1204" s="12" t="s">
        <v>932</v>
      </c>
      <c r="H1204" s="1" t="s">
        <v>26</v>
      </c>
      <c r="I1204">
        <v>2</v>
      </c>
      <c r="J1204">
        <v>6</v>
      </c>
      <c r="K1204">
        <v>2004</v>
      </c>
      <c r="L1204" s="1" t="s">
        <v>27</v>
      </c>
      <c r="M1204">
        <v>62</v>
      </c>
      <c r="N1204" s="1" t="s">
        <v>930</v>
      </c>
      <c r="O1204" s="1" t="s">
        <v>516</v>
      </c>
      <c r="P1204" s="1" t="s">
        <v>517</v>
      </c>
      <c r="Q1204" s="1" t="s">
        <v>518</v>
      </c>
      <c r="R1204" s="1" t="s">
        <v>32</v>
      </c>
      <c r="S1204" s="1" t="s">
        <v>519</v>
      </c>
      <c r="T1204" s="1" t="s">
        <v>160</v>
      </c>
      <c r="U1204" s="1" t="s">
        <v>520</v>
      </c>
      <c r="V1204" s="1" t="s">
        <v>36</v>
      </c>
      <c r="W1204" s="1" t="s">
        <v>37</v>
      </c>
      <c r="X1204" s="1" t="s">
        <v>521</v>
      </c>
      <c r="Y1204" s="1" t="s">
        <v>82</v>
      </c>
      <c r="Z1204" s="1" t="str">
        <f>TRIM(_xlfn.CONCAT(sales_data_sample[[#This Row],[CONTACTFIRSTNAME]],", ",sales_data_sample[[#This Row],[CONTACTLASTNAME]]))</f>
        <v>Juri, Yoshido</v>
      </c>
      <c r="AA1204" s="1" t="s">
        <v>40</v>
      </c>
    </row>
    <row r="1205" spans="1:27" x14ac:dyDescent="0.25">
      <c r="A1205" s="10">
        <v>10276</v>
      </c>
      <c r="B1205" s="9">
        <v>33</v>
      </c>
      <c r="C1205" s="9">
        <v>5036</v>
      </c>
      <c r="D1205" s="9">
        <f>PRODUCT(sales_data_sample[[#This Row],[QUANTITYORDERED]],sales_data_sample[[#This Row],[PRICEEACH]])</f>
        <v>166188</v>
      </c>
      <c r="E1205" s="9">
        <f>IF(OR(sales_data_sample[[#This Row],[STATUS]]="Shipped",sales_data_sample[[#This Row],[STATUS]]="Resolved"),sales_data_sample[[#This Row],[SALES]],0)</f>
        <v>166188</v>
      </c>
      <c r="F1205" s="10">
        <v>9</v>
      </c>
      <c r="G1205" s="12" t="s">
        <v>639</v>
      </c>
      <c r="H1205" s="1" t="s">
        <v>26</v>
      </c>
      <c r="I1205">
        <v>3</v>
      </c>
      <c r="J1205">
        <v>8</v>
      </c>
      <c r="K1205">
        <v>2004</v>
      </c>
      <c r="L1205" s="1" t="s">
        <v>27</v>
      </c>
      <c r="M1205">
        <v>62</v>
      </c>
      <c r="N1205" s="1" t="s">
        <v>930</v>
      </c>
      <c r="O1205" s="1" t="s">
        <v>640</v>
      </c>
      <c r="P1205" s="1" t="s">
        <v>641</v>
      </c>
      <c r="Q1205" s="1" t="s">
        <v>642</v>
      </c>
      <c r="R1205" s="1" t="s">
        <v>32</v>
      </c>
      <c r="S1205" s="1" t="s">
        <v>380</v>
      </c>
      <c r="T1205" s="1" t="s">
        <v>160</v>
      </c>
      <c r="U1205" s="1" t="s">
        <v>381</v>
      </c>
      <c r="V1205" s="1" t="s">
        <v>36</v>
      </c>
      <c r="W1205" s="1" t="s">
        <v>37</v>
      </c>
      <c r="X1205" s="1" t="s">
        <v>643</v>
      </c>
      <c r="Y1205" s="1" t="s">
        <v>644</v>
      </c>
      <c r="Z1205" s="1" t="str">
        <f>TRIM(_xlfn.CONCAT(sales_data_sample[[#This Row],[CONTACTFIRSTNAME]],", ",sales_data_sample[[#This Row],[CONTACTLASTNAME]]))</f>
        <v>Miguel, Barajas</v>
      </c>
      <c r="AA1205" s="1" t="s">
        <v>40</v>
      </c>
    </row>
    <row r="1206" spans="1:27" x14ac:dyDescent="0.25">
      <c r="A1206" s="10">
        <v>10286</v>
      </c>
      <c r="B1206" s="9">
        <v>38</v>
      </c>
      <c r="C1206" s="9">
        <v>572</v>
      </c>
      <c r="D1206" s="9">
        <f>PRODUCT(sales_data_sample[[#This Row],[QUANTITYORDERED]],sales_data_sample[[#This Row],[PRICEEACH]])</f>
        <v>21736</v>
      </c>
      <c r="E1206" s="9">
        <f>IF(OR(sales_data_sample[[#This Row],[STATUS]]="Shipped",sales_data_sample[[#This Row],[STATUS]]="Resolved"),sales_data_sample[[#This Row],[SALES]],0)</f>
        <v>21736</v>
      </c>
      <c r="F1206" s="10">
        <v>1</v>
      </c>
      <c r="G1206" s="12" t="s">
        <v>933</v>
      </c>
      <c r="H1206" s="1" t="s">
        <v>26</v>
      </c>
      <c r="I1206">
        <v>3</v>
      </c>
      <c r="J1206">
        <v>8</v>
      </c>
      <c r="K1206">
        <v>2004</v>
      </c>
      <c r="L1206" s="1" t="s">
        <v>27</v>
      </c>
      <c r="M1206">
        <v>62</v>
      </c>
      <c r="N1206" s="1" t="s">
        <v>930</v>
      </c>
      <c r="O1206" s="1" t="s">
        <v>556</v>
      </c>
      <c r="P1206" s="1" t="s">
        <v>557</v>
      </c>
      <c r="Q1206" s="1" t="s">
        <v>558</v>
      </c>
      <c r="R1206" s="1" t="s">
        <v>32</v>
      </c>
      <c r="S1206" s="1" t="s">
        <v>55</v>
      </c>
      <c r="T1206" s="1" t="s">
        <v>32</v>
      </c>
      <c r="U1206" s="1" t="s">
        <v>559</v>
      </c>
      <c r="V1206" s="1" t="s">
        <v>47</v>
      </c>
      <c r="W1206" s="1" t="s">
        <v>48</v>
      </c>
      <c r="X1206" s="1" t="s">
        <v>560</v>
      </c>
      <c r="Y1206" s="1" t="s">
        <v>561</v>
      </c>
      <c r="Z1206" s="1" t="str">
        <f>TRIM(_xlfn.CONCAT(sales_data_sample[[#This Row],[CONTACTFIRSTNAME]],", ",sales_data_sample[[#This Row],[CONTACTLASTNAME]]))</f>
        <v>Marie, Bertrand</v>
      </c>
      <c r="AA1206" s="1" t="s">
        <v>40</v>
      </c>
    </row>
    <row r="1207" spans="1:27" x14ac:dyDescent="0.25">
      <c r="A1207" s="10">
        <v>10299</v>
      </c>
      <c r="B1207" s="9">
        <v>39</v>
      </c>
      <c r="C1207" s="9">
        <v>5595</v>
      </c>
      <c r="D1207" s="9">
        <f>PRODUCT(sales_data_sample[[#This Row],[QUANTITYORDERED]],sales_data_sample[[#This Row],[PRICEEACH]])</f>
        <v>218205</v>
      </c>
      <c r="E1207" s="9">
        <f>IF(OR(sales_data_sample[[#This Row],[STATUS]]="Shipped",sales_data_sample[[#This Row],[STATUS]]="Resolved"),sales_data_sample[[#This Row],[SALES]],0)</f>
        <v>218205</v>
      </c>
      <c r="F1207" s="10">
        <v>3</v>
      </c>
      <c r="G1207" s="12" t="s">
        <v>164</v>
      </c>
      <c r="H1207" s="1" t="s">
        <v>26</v>
      </c>
      <c r="I1207">
        <v>3</v>
      </c>
      <c r="J1207">
        <v>9</v>
      </c>
      <c r="K1207">
        <v>2004</v>
      </c>
      <c r="L1207" s="1" t="s">
        <v>27</v>
      </c>
      <c r="M1207">
        <v>62</v>
      </c>
      <c r="N1207" s="1" t="s">
        <v>930</v>
      </c>
      <c r="O1207" s="1" t="s">
        <v>165</v>
      </c>
      <c r="P1207" s="1" t="s">
        <v>166</v>
      </c>
      <c r="Q1207" s="1" t="s">
        <v>167</v>
      </c>
      <c r="R1207" s="1" t="s">
        <v>32</v>
      </c>
      <c r="S1207" s="1" t="s">
        <v>168</v>
      </c>
      <c r="T1207" s="1" t="s">
        <v>32</v>
      </c>
      <c r="U1207" s="1" t="s">
        <v>169</v>
      </c>
      <c r="V1207" s="1" t="s">
        <v>170</v>
      </c>
      <c r="W1207" s="1" t="s">
        <v>48</v>
      </c>
      <c r="X1207" s="1" t="s">
        <v>171</v>
      </c>
      <c r="Y1207" s="1" t="s">
        <v>172</v>
      </c>
      <c r="Z1207" s="1" t="str">
        <f>TRIM(_xlfn.CONCAT(sales_data_sample[[#This Row],[CONTACTFIRSTNAME]],", ",sales_data_sample[[#This Row],[CONTACTLASTNAME]]))</f>
        <v>Matti, Karttunen</v>
      </c>
      <c r="AA1207" s="1" t="s">
        <v>40</v>
      </c>
    </row>
    <row r="1208" spans="1:27" x14ac:dyDescent="0.25">
      <c r="A1208" s="10">
        <v>10310</v>
      </c>
      <c r="B1208" s="9">
        <v>42</v>
      </c>
      <c r="C1208" s="9">
        <v>6714</v>
      </c>
      <c r="D1208" s="9">
        <f>PRODUCT(sales_data_sample[[#This Row],[QUANTITYORDERED]],sales_data_sample[[#This Row],[PRICEEACH]])</f>
        <v>281988</v>
      </c>
      <c r="E1208" s="9">
        <f>IF(OR(sales_data_sample[[#This Row],[STATUS]]="Shipped",sales_data_sample[[#This Row],[STATUS]]="Resolved"),sales_data_sample[[#This Row],[SALES]],0)</f>
        <v>281988</v>
      </c>
      <c r="F1208" s="10">
        <v>16</v>
      </c>
      <c r="G1208" s="12" t="s">
        <v>653</v>
      </c>
      <c r="H1208" s="1" t="s">
        <v>26</v>
      </c>
      <c r="I1208">
        <v>4</v>
      </c>
      <c r="J1208">
        <v>10</v>
      </c>
      <c r="K1208">
        <v>2004</v>
      </c>
      <c r="L1208" s="1" t="s">
        <v>27</v>
      </c>
      <c r="M1208">
        <v>62</v>
      </c>
      <c r="N1208" s="1" t="s">
        <v>930</v>
      </c>
      <c r="O1208" s="1" t="s">
        <v>612</v>
      </c>
      <c r="P1208" s="1" t="s">
        <v>613</v>
      </c>
      <c r="Q1208" s="1" t="s">
        <v>614</v>
      </c>
      <c r="R1208" s="1" t="s">
        <v>32</v>
      </c>
      <c r="S1208" s="1" t="s">
        <v>615</v>
      </c>
      <c r="T1208" s="1" t="s">
        <v>32</v>
      </c>
      <c r="U1208" s="1" t="s">
        <v>616</v>
      </c>
      <c r="V1208" s="1" t="s">
        <v>617</v>
      </c>
      <c r="W1208" s="1" t="s">
        <v>48</v>
      </c>
      <c r="X1208" s="1" t="s">
        <v>618</v>
      </c>
      <c r="Y1208" s="1" t="s">
        <v>619</v>
      </c>
      <c r="Z1208" s="1" t="str">
        <f>TRIM(_xlfn.CONCAT(sales_data_sample[[#This Row],[CONTACTFIRSTNAME]],", ",sales_data_sample[[#This Row],[CONTACTLASTNAME]]))</f>
        <v>Henriette, Pfalzheim</v>
      </c>
      <c r="AA1208" s="1" t="s">
        <v>40</v>
      </c>
    </row>
    <row r="1209" spans="1:27" x14ac:dyDescent="0.25">
      <c r="A1209">
        <v>10319</v>
      </c>
      <c r="B1209">
        <v>44</v>
      </c>
      <c r="C1209">
        <v>5906</v>
      </c>
      <c r="D1209">
        <f>PRODUCT(sales_data_sample[[#This Row],[QUANTITYORDERED]],sales_data_sample[[#This Row],[PRICEEACH]])</f>
        <v>259864</v>
      </c>
      <c r="E1209" s="9">
        <f>IF(OR(sales_data_sample[[#This Row],[STATUS]]="Shipped",sales_data_sample[[#This Row],[STATUS]]="Resolved"),sales_data_sample[[#This Row],[SALES]],0)</f>
        <v>259864</v>
      </c>
      <c r="F1209">
        <v>4</v>
      </c>
      <c r="G1209" s="12" t="s">
        <v>654</v>
      </c>
      <c r="H1209" s="1" t="s">
        <v>26</v>
      </c>
      <c r="I1209">
        <v>4</v>
      </c>
      <c r="J1209">
        <v>11</v>
      </c>
      <c r="K1209">
        <v>2004</v>
      </c>
      <c r="L1209" s="1" t="s">
        <v>27</v>
      </c>
      <c r="M1209">
        <v>62</v>
      </c>
      <c r="N1209" s="1" t="s">
        <v>930</v>
      </c>
      <c r="O1209" s="1" t="s">
        <v>717</v>
      </c>
      <c r="P1209" s="1" t="s">
        <v>718</v>
      </c>
      <c r="Q1209" s="1" t="s">
        <v>719</v>
      </c>
      <c r="R1209" s="1" t="s">
        <v>720</v>
      </c>
      <c r="S1209" s="1" t="s">
        <v>33</v>
      </c>
      <c r="T1209" s="1" t="s">
        <v>34</v>
      </c>
      <c r="U1209" s="1" t="s">
        <v>35</v>
      </c>
      <c r="V1209" s="1" t="s">
        <v>36</v>
      </c>
      <c r="W1209" s="1" t="s">
        <v>37</v>
      </c>
      <c r="X1209" s="1" t="s">
        <v>721</v>
      </c>
      <c r="Y1209" s="1" t="s">
        <v>722</v>
      </c>
      <c r="Z1209" s="1" t="str">
        <f>TRIM(_xlfn.CONCAT(sales_data_sample[[#This Row],[CONTACTFIRSTNAME]],", ",sales_data_sample[[#This Row],[CONTACTLASTNAME]]))</f>
        <v>Kee, Kuo</v>
      </c>
      <c r="AA1209" s="1" t="s">
        <v>40</v>
      </c>
    </row>
    <row r="1210" spans="1:27" x14ac:dyDescent="0.25">
      <c r="A1210" s="10">
        <v>10330</v>
      </c>
      <c r="B1210" s="9">
        <v>29</v>
      </c>
      <c r="C1210" s="9">
        <v>6963</v>
      </c>
      <c r="D1210" s="9">
        <f>PRODUCT(sales_data_sample[[#This Row],[QUANTITYORDERED]],sales_data_sample[[#This Row],[PRICEEACH]])</f>
        <v>201927</v>
      </c>
      <c r="E1210" s="9">
        <f>IF(OR(sales_data_sample[[#This Row],[STATUS]]="Shipped",sales_data_sample[[#This Row],[STATUS]]="Resolved"),sales_data_sample[[#This Row],[SALES]],0)</f>
        <v>201927</v>
      </c>
      <c r="F1210" s="10">
        <v>2</v>
      </c>
      <c r="G1210" s="12" t="s">
        <v>927</v>
      </c>
      <c r="H1210" s="1" t="s">
        <v>26</v>
      </c>
      <c r="I1210">
        <v>4</v>
      </c>
      <c r="J1210">
        <v>11</v>
      </c>
      <c r="K1210">
        <v>2004</v>
      </c>
      <c r="L1210" s="1" t="s">
        <v>27</v>
      </c>
      <c r="M1210">
        <v>62</v>
      </c>
      <c r="N1210" s="1" t="s">
        <v>930</v>
      </c>
      <c r="O1210" s="1" t="s">
        <v>591</v>
      </c>
      <c r="P1210" s="1" t="s">
        <v>592</v>
      </c>
      <c r="Q1210" s="1" t="s">
        <v>593</v>
      </c>
      <c r="R1210" s="1" t="s">
        <v>32</v>
      </c>
      <c r="S1210" s="1" t="s">
        <v>594</v>
      </c>
      <c r="T1210" s="1" t="s">
        <v>32</v>
      </c>
      <c r="U1210" s="1" t="s">
        <v>595</v>
      </c>
      <c r="V1210" s="1" t="s">
        <v>596</v>
      </c>
      <c r="W1210" s="1" t="s">
        <v>264</v>
      </c>
      <c r="X1210" s="1" t="s">
        <v>597</v>
      </c>
      <c r="Y1210" s="1" t="s">
        <v>598</v>
      </c>
      <c r="Z1210" s="1" t="str">
        <f>TRIM(_xlfn.CONCAT(sales_data_sample[[#This Row],[CONTACTFIRSTNAME]],", ",sales_data_sample[[#This Row],[CONTACTLASTNAME]]))</f>
        <v>Arnold, Cruz</v>
      </c>
      <c r="AA1210" s="1" t="s">
        <v>40</v>
      </c>
    </row>
    <row r="1211" spans="1:27" x14ac:dyDescent="0.25">
      <c r="A1211">
        <v>10342</v>
      </c>
      <c r="B1211">
        <v>26</v>
      </c>
      <c r="C1211">
        <v>5595</v>
      </c>
      <c r="D1211">
        <f>PRODUCT(sales_data_sample[[#This Row],[QUANTITYORDERED]],sales_data_sample[[#This Row],[PRICEEACH]])</f>
        <v>145470</v>
      </c>
      <c r="E1211" s="9">
        <f>IF(OR(sales_data_sample[[#This Row],[STATUS]]="Shipped",sales_data_sample[[#This Row],[STATUS]]="Resolved"),sales_data_sample[[#This Row],[SALES]],0)</f>
        <v>145470</v>
      </c>
      <c r="F1211">
        <v>8</v>
      </c>
      <c r="G1211" s="12" t="s">
        <v>190</v>
      </c>
      <c r="H1211" s="1" t="s">
        <v>26</v>
      </c>
      <c r="I1211">
        <v>4</v>
      </c>
      <c r="J1211">
        <v>11</v>
      </c>
      <c r="K1211">
        <v>2004</v>
      </c>
      <c r="L1211" s="1" t="s">
        <v>27</v>
      </c>
      <c r="M1211">
        <v>62</v>
      </c>
      <c r="N1211" s="1" t="s">
        <v>930</v>
      </c>
      <c r="O1211" s="1" t="s">
        <v>113</v>
      </c>
      <c r="P1211" s="1" t="s">
        <v>114</v>
      </c>
      <c r="Q1211" s="1" t="s">
        <v>115</v>
      </c>
      <c r="R1211" s="1" t="s">
        <v>116</v>
      </c>
      <c r="S1211" s="1" t="s">
        <v>117</v>
      </c>
      <c r="T1211" s="1" t="s">
        <v>118</v>
      </c>
      <c r="U1211" s="1" t="s">
        <v>119</v>
      </c>
      <c r="V1211" s="1" t="s">
        <v>120</v>
      </c>
      <c r="W1211" s="1" t="s">
        <v>121</v>
      </c>
      <c r="X1211" s="1" t="s">
        <v>122</v>
      </c>
      <c r="Y1211" s="1" t="s">
        <v>123</v>
      </c>
      <c r="Z1211" s="1" t="str">
        <f>TRIM(_xlfn.CONCAT(sales_data_sample[[#This Row],[CONTACTFIRSTNAME]],", ",sales_data_sample[[#This Row],[CONTACTLASTNAME]]))</f>
        <v>Peter, Ferguson</v>
      </c>
      <c r="AA1211" s="1" t="s">
        <v>40</v>
      </c>
    </row>
    <row r="1212" spans="1:27" x14ac:dyDescent="0.25">
      <c r="A1212" s="10">
        <v>10355</v>
      </c>
      <c r="B1212" s="9">
        <v>31</v>
      </c>
      <c r="C1212" s="9">
        <v>5347</v>
      </c>
      <c r="D1212" s="9">
        <f>PRODUCT(sales_data_sample[[#This Row],[QUANTITYORDERED]],sales_data_sample[[#This Row],[PRICEEACH]])</f>
        <v>165757</v>
      </c>
      <c r="E1212" s="9">
        <f>IF(OR(sales_data_sample[[#This Row],[STATUS]]="Shipped",sales_data_sample[[#This Row],[STATUS]]="Resolved"),sales_data_sample[[#This Row],[SALES]],0)</f>
        <v>165757</v>
      </c>
      <c r="F1212" s="10">
        <v>1</v>
      </c>
      <c r="G1212" s="12" t="s">
        <v>928</v>
      </c>
      <c r="H1212" s="1" t="s">
        <v>26</v>
      </c>
      <c r="I1212">
        <v>4</v>
      </c>
      <c r="J1212">
        <v>12</v>
      </c>
      <c r="K1212">
        <v>2004</v>
      </c>
      <c r="L1212" s="1" t="s">
        <v>27</v>
      </c>
      <c r="M1212">
        <v>62</v>
      </c>
      <c r="N1212" s="1" t="s">
        <v>930</v>
      </c>
      <c r="O1212" s="1" t="s">
        <v>230</v>
      </c>
      <c r="P1212" s="1" t="s">
        <v>231</v>
      </c>
      <c r="Q1212" s="1" t="s">
        <v>232</v>
      </c>
      <c r="R1212" s="1" t="s">
        <v>32</v>
      </c>
      <c r="S1212" s="1" t="s">
        <v>233</v>
      </c>
      <c r="T1212" s="1" t="s">
        <v>32</v>
      </c>
      <c r="U1212" s="1" t="s">
        <v>234</v>
      </c>
      <c r="V1212" s="1" t="s">
        <v>235</v>
      </c>
      <c r="W1212" s="1" t="s">
        <v>48</v>
      </c>
      <c r="X1212" s="1" t="s">
        <v>236</v>
      </c>
      <c r="Y1212" s="1" t="s">
        <v>237</v>
      </c>
      <c r="Z1212" s="1" t="str">
        <f>TRIM(_xlfn.CONCAT(sales_data_sample[[#This Row],[CONTACTFIRSTNAME]],", ",sales_data_sample[[#This Row],[CONTACTLASTNAME]]))</f>
        <v>Diego, Freyre</v>
      </c>
      <c r="AA1212" s="1" t="s">
        <v>40</v>
      </c>
    </row>
    <row r="1213" spans="1:27" x14ac:dyDescent="0.25">
      <c r="A1213" s="10">
        <v>10363</v>
      </c>
      <c r="B1213" s="9">
        <v>32</v>
      </c>
      <c r="C1213" s="9">
        <v>8912</v>
      </c>
      <c r="D1213" s="9">
        <f>PRODUCT(sales_data_sample[[#This Row],[QUANTITYORDERED]],sales_data_sample[[#This Row],[PRICEEACH]])</f>
        <v>285184</v>
      </c>
      <c r="E1213" s="9">
        <f>IF(OR(sales_data_sample[[#This Row],[STATUS]]="Shipped",sales_data_sample[[#This Row],[STATUS]]="Resolved"),sales_data_sample[[#This Row],[SALES]],0)</f>
        <v>285184</v>
      </c>
      <c r="F1213" s="10">
        <v>12</v>
      </c>
      <c r="G1213" s="12" t="s">
        <v>655</v>
      </c>
      <c r="H1213" s="1" t="s">
        <v>26</v>
      </c>
      <c r="I1213">
        <v>1</v>
      </c>
      <c r="J1213">
        <v>1</v>
      </c>
      <c r="K1213">
        <v>2005</v>
      </c>
      <c r="L1213" s="1" t="s">
        <v>27</v>
      </c>
      <c r="M1213">
        <v>62</v>
      </c>
      <c r="N1213" s="1" t="s">
        <v>930</v>
      </c>
      <c r="O1213" s="1" t="s">
        <v>656</v>
      </c>
      <c r="P1213" s="1" t="s">
        <v>657</v>
      </c>
      <c r="Q1213" s="1" t="s">
        <v>658</v>
      </c>
      <c r="R1213" s="1" t="s">
        <v>32</v>
      </c>
      <c r="S1213" s="1" t="s">
        <v>659</v>
      </c>
      <c r="T1213" s="1" t="s">
        <v>32</v>
      </c>
      <c r="U1213" s="1" t="s">
        <v>660</v>
      </c>
      <c r="V1213" s="1" t="s">
        <v>170</v>
      </c>
      <c r="W1213" s="1" t="s">
        <v>48</v>
      </c>
      <c r="X1213" s="1" t="s">
        <v>661</v>
      </c>
      <c r="Y1213" s="1" t="s">
        <v>662</v>
      </c>
      <c r="Z1213" s="1" t="str">
        <f>TRIM(_xlfn.CONCAT(sales_data_sample[[#This Row],[CONTACTFIRSTNAME]],", ",sales_data_sample[[#This Row],[CONTACTLASTNAME]]))</f>
        <v>Kalle, Suominen</v>
      </c>
      <c r="AA1213" s="1" t="s">
        <v>40</v>
      </c>
    </row>
    <row r="1214" spans="1:27" x14ac:dyDescent="0.25">
      <c r="A1214" s="10">
        <v>10378</v>
      </c>
      <c r="B1214" s="9">
        <v>28</v>
      </c>
      <c r="C1214" s="9">
        <v>100</v>
      </c>
      <c r="D1214" s="9">
        <f>PRODUCT(sales_data_sample[[#This Row],[QUANTITYORDERED]],sales_data_sample[[#This Row],[PRICEEACH]])</f>
        <v>2800</v>
      </c>
      <c r="E1214" s="9">
        <f>IF(OR(sales_data_sample[[#This Row],[STATUS]]="Shipped",sales_data_sample[[#This Row],[STATUS]]="Resolved"),sales_data_sample[[#This Row],[SALES]],0)</f>
        <v>2800</v>
      </c>
      <c r="F1214" s="10">
        <v>9</v>
      </c>
      <c r="G1214" s="12" t="s">
        <v>836</v>
      </c>
      <c r="H1214" s="1" t="s">
        <v>26</v>
      </c>
      <c r="I1214">
        <v>1</v>
      </c>
      <c r="J1214">
        <v>2</v>
      </c>
      <c r="K1214">
        <v>2005</v>
      </c>
      <c r="L1214" s="1" t="s">
        <v>27</v>
      </c>
      <c r="M1214">
        <v>62</v>
      </c>
      <c r="N1214" s="1" t="s">
        <v>930</v>
      </c>
      <c r="O1214" s="1" t="s">
        <v>230</v>
      </c>
      <c r="P1214" s="1" t="s">
        <v>231</v>
      </c>
      <c r="Q1214" s="1" t="s">
        <v>232</v>
      </c>
      <c r="R1214" s="1" t="s">
        <v>32</v>
      </c>
      <c r="S1214" s="1" t="s">
        <v>233</v>
      </c>
      <c r="T1214" s="1" t="s">
        <v>32</v>
      </c>
      <c r="U1214" s="1" t="s">
        <v>234</v>
      </c>
      <c r="V1214" s="1" t="s">
        <v>235</v>
      </c>
      <c r="W1214" s="1" t="s">
        <v>48</v>
      </c>
      <c r="X1214" s="1" t="s">
        <v>236</v>
      </c>
      <c r="Y1214" s="1" t="s">
        <v>237</v>
      </c>
      <c r="Z1214" s="1" t="str">
        <f>TRIM(_xlfn.CONCAT(sales_data_sample[[#This Row],[CONTACTFIRSTNAME]],", ",sales_data_sample[[#This Row],[CONTACTLASTNAME]]))</f>
        <v>Diego, Freyre</v>
      </c>
      <c r="AA1214" s="1" t="s">
        <v>59</v>
      </c>
    </row>
    <row r="1215" spans="1:27" x14ac:dyDescent="0.25">
      <c r="A1215" s="10">
        <v>10390</v>
      </c>
      <c r="B1215" s="9">
        <v>36</v>
      </c>
      <c r="C1215" s="9">
        <v>100</v>
      </c>
      <c r="D1215" s="9">
        <f>PRODUCT(sales_data_sample[[#This Row],[QUANTITYORDERED]],sales_data_sample[[#This Row],[PRICEEACH]])</f>
        <v>3600</v>
      </c>
      <c r="E1215" s="9">
        <f>IF(OR(sales_data_sample[[#This Row],[STATUS]]="Shipped",sales_data_sample[[#This Row],[STATUS]]="Resolved"),sales_data_sample[[#This Row],[SALES]],0)</f>
        <v>3600</v>
      </c>
      <c r="F1215" s="10">
        <v>2</v>
      </c>
      <c r="G1215" s="12" t="s">
        <v>796</v>
      </c>
      <c r="H1215" s="1" t="s">
        <v>26</v>
      </c>
      <c r="I1215">
        <v>1</v>
      </c>
      <c r="J1215">
        <v>3</v>
      </c>
      <c r="K1215">
        <v>2005</v>
      </c>
      <c r="L1215" s="1" t="s">
        <v>27</v>
      </c>
      <c r="M1215">
        <v>62</v>
      </c>
      <c r="N1215" s="1" t="s">
        <v>930</v>
      </c>
      <c r="O1215" s="1" t="s">
        <v>361</v>
      </c>
      <c r="P1215" s="1" t="s">
        <v>362</v>
      </c>
      <c r="Q1215" s="1" t="s">
        <v>363</v>
      </c>
      <c r="R1215" s="1" t="s">
        <v>32</v>
      </c>
      <c r="S1215" s="1" t="s">
        <v>364</v>
      </c>
      <c r="T1215" s="1" t="s">
        <v>65</v>
      </c>
      <c r="U1215" s="1" t="s">
        <v>145</v>
      </c>
      <c r="V1215" s="1" t="s">
        <v>36</v>
      </c>
      <c r="W1215" s="1" t="s">
        <v>37</v>
      </c>
      <c r="X1215" s="1" t="s">
        <v>365</v>
      </c>
      <c r="Y1215" s="1" t="s">
        <v>366</v>
      </c>
      <c r="Z1215" s="1" t="str">
        <f>TRIM(_xlfn.CONCAT(sales_data_sample[[#This Row],[CONTACTFIRSTNAME]],", ",sales_data_sample[[#This Row],[CONTACTLASTNAME]]))</f>
        <v>Valarie, Nelson</v>
      </c>
      <c r="AA1215" s="1" t="s">
        <v>59</v>
      </c>
    </row>
    <row r="1216" spans="1:27" x14ac:dyDescent="0.25">
      <c r="A1216" s="10">
        <v>10403</v>
      </c>
      <c r="B1216" s="9">
        <v>36</v>
      </c>
      <c r="C1216" s="9">
        <v>5222</v>
      </c>
      <c r="D1216" s="9">
        <f>PRODUCT(sales_data_sample[[#This Row],[QUANTITYORDERED]],sales_data_sample[[#This Row],[PRICEEACH]])</f>
        <v>187992</v>
      </c>
      <c r="E1216" s="9">
        <f>IF(OR(sales_data_sample[[#This Row],[STATUS]]="Shipped",sales_data_sample[[#This Row],[STATUS]]="Resolved"),sales_data_sample[[#This Row],[SALES]],0)</f>
        <v>187992</v>
      </c>
      <c r="F1216" s="10">
        <v>1</v>
      </c>
      <c r="G1216" s="12" t="s">
        <v>219</v>
      </c>
      <c r="H1216" s="1" t="s">
        <v>26</v>
      </c>
      <c r="I1216">
        <v>2</v>
      </c>
      <c r="J1216">
        <v>4</v>
      </c>
      <c r="K1216">
        <v>2005</v>
      </c>
      <c r="L1216" s="1" t="s">
        <v>27</v>
      </c>
      <c r="M1216">
        <v>62</v>
      </c>
      <c r="N1216" s="1" t="s">
        <v>930</v>
      </c>
      <c r="O1216" s="1" t="s">
        <v>220</v>
      </c>
      <c r="P1216" s="1" t="s">
        <v>221</v>
      </c>
      <c r="Q1216" s="1" t="s">
        <v>222</v>
      </c>
      <c r="R1216" s="1" t="s">
        <v>32</v>
      </c>
      <c r="S1216" s="1" t="s">
        <v>223</v>
      </c>
      <c r="T1216" s="1" t="s">
        <v>32</v>
      </c>
      <c r="U1216" s="1" t="s">
        <v>224</v>
      </c>
      <c r="V1216" s="1" t="s">
        <v>225</v>
      </c>
      <c r="W1216" s="1" t="s">
        <v>48</v>
      </c>
      <c r="X1216" s="1" t="s">
        <v>226</v>
      </c>
      <c r="Y1216" s="1" t="s">
        <v>227</v>
      </c>
      <c r="Z1216" s="1" t="str">
        <f>TRIM(_xlfn.CONCAT(sales_data_sample[[#This Row],[CONTACTFIRSTNAME]],", ",sales_data_sample[[#This Row],[CONTACTLASTNAME]]))</f>
        <v>Elizabeth, Devon</v>
      </c>
      <c r="AA1216" s="1" t="s">
        <v>40</v>
      </c>
    </row>
    <row r="1217" spans="1:27" x14ac:dyDescent="0.25">
      <c r="A1217" s="10">
        <v>10106</v>
      </c>
      <c r="B1217" s="9">
        <v>41</v>
      </c>
      <c r="C1217" s="9">
        <v>100</v>
      </c>
      <c r="D1217" s="9">
        <f>PRODUCT(sales_data_sample[[#This Row],[QUANTITYORDERED]],sales_data_sample[[#This Row],[PRICEEACH]])</f>
        <v>4100</v>
      </c>
      <c r="E1217" s="9">
        <f>IF(OR(sales_data_sample[[#This Row],[STATUS]]="Shipped",sales_data_sample[[#This Row],[STATUS]]="Resolved"),sales_data_sample[[#This Row],[SALES]],0)</f>
        <v>4100</v>
      </c>
      <c r="F1217" s="10">
        <v>17</v>
      </c>
      <c r="G1217" s="12" t="s">
        <v>838</v>
      </c>
      <c r="H1217" s="1" t="s">
        <v>26</v>
      </c>
      <c r="I1217">
        <v>1</v>
      </c>
      <c r="J1217">
        <v>2</v>
      </c>
      <c r="K1217">
        <v>2003</v>
      </c>
      <c r="L1217" s="1" t="s">
        <v>799</v>
      </c>
      <c r="M1217">
        <v>105</v>
      </c>
      <c r="N1217" s="1" t="s">
        <v>934</v>
      </c>
      <c r="O1217" s="1" t="s">
        <v>806</v>
      </c>
      <c r="P1217" s="1" t="s">
        <v>807</v>
      </c>
      <c r="Q1217" s="1" t="s">
        <v>808</v>
      </c>
      <c r="R1217" s="1" t="s">
        <v>32</v>
      </c>
      <c r="S1217" s="1" t="s">
        <v>809</v>
      </c>
      <c r="T1217" s="1" t="s">
        <v>32</v>
      </c>
      <c r="U1217" s="1" t="s">
        <v>810</v>
      </c>
      <c r="V1217" s="1" t="s">
        <v>343</v>
      </c>
      <c r="W1217" s="1" t="s">
        <v>48</v>
      </c>
      <c r="X1217" s="1" t="s">
        <v>811</v>
      </c>
      <c r="Y1217" s="1" t="s">
        <v>812</v>
      </c>
      <c r="Z1217" s="1" t="str">
        <f>TRIM(_xlfn.CONCAT(sales_data_sample[[#This Row],[CONTACTFIRSTNAME]],", ",sales_data_sample[[#This Row],[CONTACTLASTNAME]]))</f>
        <v>Giovanni, Rovelli</v>
      </c>
      <c r="AA1217" s="1" t="s">
        <v>59</v>
      </c>
    </row>
    <row r="1218" spans="1:27" x14ac:dyDescent="0.25">
      <c r="A1218" s="10">
        <v>10119</v>
      </c>
      <c r="B1218" s="9">
        <v>27</v>
      </c>
      <c r="C1218" s="9">
        <v>9952</v>
      </c>
      <c r="D1218" s="9">
        <f>PRODUCT(sales_data_sample[[#This Row],[QUANTITYORDERED]],sales_data_sample[[#This Row],[PRICEEACH]])</f>
        <v>268704</v>
      </c>
      <c r="E1218" s="9">
        <f>IF(OR(sales_data_sample[[#This Row],[STATUS]]="Shipped",sales_data_sample[[#This Row],[STATUS]]="Resolved"),sales_data_sample[[#This Row],[SALES]],0)</f>
        <v>268704</v>
      </c>
      <c r="F1218" s="10">
        <v>8</v>
      </c>
      <c r="G1218" s="12" t="s">
        <v>445</v>
      </c>
      <c r="H1218" s="1" t="s">
        <v>26</v>
      </c>
      <c r="I1218">
        <v>2</v>
      </c>
      <c r="J1218">
        <v>4</v>
      </c>
      <c r="K1218">
        <v>2003</v>
      </c>
      <c r="L1218" s="1" t="s">
        <v>799</v>
      </c>
      <c r="M1218">
        <v>105</v>
      </c>
      <c r="N1218" s="1" t="s">
        <v>934</v>
      </c>
      <c r="O1218" s="1" t="s">
        <v>191</v>
      </c>
      <c r="P1218" s="1" t="s">
        <v>192</v>
      </c>
      <c r="Q1218" s="1" t="s">
        <v>193</v>
      </c>
      <c r="R1218" s="1" t="s">
        <v>32</v>
      </c>
      <c r="S1218" s="1" t="s">
        <v>194</v>
      </c>
      <c r="T1218" s="1" t="s">
        <v>32</v>
      </c>
      <c r="U1218" s="1" t="s">
        <v>195</v>
      </c>
      <c r="V1218" s="1" t="s">
        <v>196</v>
      </c>
      <c r="W1218" s="1" t="s">
        <v>48</v>
      </c>
      <c r="X1218" s="1" t="s">
        <v>197</v>
      </c>
      <c r="Y1218" s="1" t="s">
        <v>198</v>
      </c>
      <c r="Z1218" s="1" t="str">
        <f>TRIM(_xlfn.CONCAT(sales_data_sample[[#This Row],[CONTACTFIRSTNAME]],", ",sales_data_sample[[#This Row],[CONTACTLASTNAME]]))</f>
        <v>Georg, Pipps</v>
      </c>
      <c r="AA1218" s="1" t="s">
        <v>40</v>
      </c>
    </row>
    <row r="1219" spans="1:27" x14ac:dyDescent="0.25">
      <c r="A1219" s="10">
        <v>10130</v>
      </c>
      <c r="B1219" s="9">
        <v>33</v>
      </c>
      <c r="C1219" s="9">
        <v>100</v>
      </c>
      <c r="D1219" s="9">
        <f>PRODUCT(sales_data_sample[[#This Row],[QUANTITYORDERED]],sales_data_sample[[#This Row],[PRICEEACH]])</f>
        <v>3300</v>
      </c>
      <c r="E1219" s="9">
        <f>IF(OR(sales_data_sample[[#This Row],[STATUS]]="Shipped",sales_data_sample[[#This Row],[STATUS]]="Resolved"),sales_data_sample[[#This Row],[SALES]],0)</f>
        <v>3300</v>
      </c>
      <c r="F1219" s="10">
        <v>1</v>
      </c>
      <c r="G1219" s="12" t="s">
        <v>841</v>
      </c>
      <c r="H1219" s="1" t="s">
        <v>26</v>
      </c>
      <c r="I1219">
        <v>2</v>
      </c>
      <c r="J1219">
        <v>6</v>
      </c>
      <c r="K1219">
        <v>2003</v>
      </c>
      <c r="L1219" s="1" t="s">
        <v>799</v>
      </c>
      <c r="M1219">
        <v>105</v>
      </c>
      <c r="N1219" s="1" t="s">
        <v>934</v>
      </c>
      <c r="O1219" s="1" t="s">
        <v>907</v>
      </c>
      <c r="P1219" s="1" t="s">
        <v>908</v>
      </c>
      <c r="Q1219" s="1" t="s">
        <v>909</v>
      </c>
      <c r="R1219" s="1" t="s">
        <v>32</v>
      </c>
      <c r="S1219" s="1" t="s">
        <v>380</v>
      </c>
      <c r="T1219" s="1" t="s">
        <v>160</v>
      </c>
      <c r="U1219" s="1" t="s">
        <v>381</v>
      </c>
      <c r="V1219" s="1" t="s">
        <v>36</v>
      </c>
      <c r="W1219" s="1" t="s">
        <v>37</v>
      </c>
      <c r="X1219" s="1" t="s">
        <v>757</v>
      </c>
      <c r="Y1219" s="1" t="s">
        <v>326</v>
      </c>
      <c r="Z1219" s="1" t="str">
        <f>TRIM(_xlfn.CONCAT(sales_data_sample[[#This Row],[CONTACTFIRSTNAME]],", ",sales_data_sample[[#This Row],[CONTACTLASTNAME]]))</f>
        <v>Leslie, Taylor</v>
      </c>
      <c r="AA1219" s="1" t="s">
        <v>59</v>
      </c>
    </row>
    <row r="1220" spans="1:27" x14ac:dyDescent="0.25">
      <c r="A1220" s="10">
        <v>10143</v>
      </c>
      <c r="B1220" s="9">
        <v>34</v>
      </c>
      <c r="C1220" s="9">
        <v>100</v>
      </c>
      <c r="D1220" s="9">
        <f>PRODUCT(sales_data_sample[[#This Row],[QUANTITYORDERED]],sales_data_sample[[#This Row],[PRICEEACH]])</f>
        <v>3400</v>
      </c>
      <c r="E1220" s="9">
        <f>IF(OR(sales_data_sample[[#This Row],[STATUS]]="Shipped",sales_data_sample[[#This Row],[STATUS]]="Resolved"),sales_data_sample[[#This Row],[SALES]],0)</f>
        <v>3400</v>
      </c>
      <c r="F1220" s="10">
        <v>12</v>
      </c>
      <c r="G1220" s="12" t="s">
        <v>453</v>
      </c>
      <c r="H1220" s="1" t="s">
        <v>26</v>
      </c>
      <c r="I1220">
        <v>3</v>
      </c>
      <c r="J1220">
        <v>8</v>
      </c>
      <c r="K1220">
        <v>2003</v>
      </c>
      <c r="L1220" s="1" t="s">
        <v>799</v>
      </c>
      <c r="M1220">
        <v>105</v>
      </c>
      <c r="N1220" s="1" t="s">
        <v>934</v>
      </c>
      <c r="O1220" s="1" t="s">
        <v>454</v>
      </c>
      <c r="P1220" s="1" t="s">
        <v>455</v>
      </c>
      <c r="Q1220" s="1" t="s">
        <v>456</v>
      </c>
      <c r="R1220" s="1" t="s">
        <v>32</v>
      </c>
      <c r="S1220" s="1" t="s">
        <v>215</v>
      </c>
      <c r="T1220" s="1" t="s">
        <v>160</v>
      </c>
      <c r="U1220" s="1" t="s">
        <v>216</v>
      </c>
      <c r="V1220" s="1" t="s">
        <v>36</v>
      </c>
      <c r="W1220" s="1" t="s">
        <v>37</v>
      </c>
      <c r="X1220" s="1" t="s">
        <v>457</v>
      </c>
      <c r="Y1220" s="1" t="s">
        <v>458</v>
      </c>
      <c r="Z1220" s="1" t="str">
        <f>TRIM(_xlfn.CONCAT(sales_data_sample[[#This Row],[CONTACTFIRSTNAME]],", ",sales_data_sample[[#This Row],[CONTACTLASTNAME]]))</f>
        <v>Wing C, Tam</v>
      </c>
      <c r="AA1220" s="1" t="s">
        <v>59</v>
      </c>
    </row>
    <row r="1221" spans="1:27" x14ac:dyDescent="0.25">
      <c r="A1221" s="10">
        <v>10155</v>
      </c>
      <c r="B1221" s="9">
        <v>29</v>
      </c>
      <c r="C1221" s="9">
        <v>100</v>
      </c>
      <c r="D1221" s="9">
        <f>PRODUCT(sales_data_sample[[#This Row],[QUANTITYORDERED]],sales_data_sample[[#This Row],[PRICEEACH]])</f>
        <v>2900</v>
      </c>
      <c r="E1221" s="9">
        <f>IF(OR(sales_data_sample[[#This Row],[STATUS]]="Shipped",sales_data_sample[[#This Row],[STATUS]]="Resolved"),sales_data_sample[[#This Row],[SALES]],0)</f>
        <v>2900</v>
      </c>
      <c r="F1221" s="10">
        <v>10</v>
      </c>
      <c r="G1221" s="12" t="s">
        <v>459</v>
      </c>
      <c r="H1221" s="1" t="s">
        <v>26</v>
      </c>
      <c r="I1221">
        <v>4</v>
      </c>
      <c r="J1221">
        <v>10</v>
      </c>
      <c r="K1221">
        <v>2003</v>
      </c>
      <c r="L1221" s="1" t="s">
        <v>799</v>
      </c>
      <c r="M1221">
        <v>105</v>
      </c>
      <c r="N1221" s="1" t="s">
        <v>934</v>
      </c>
      <c r="O1221" s="1" t="s">
        <v>165</v>
      </c>
      <c r="P1221" s="1" t="s">
        <v>166</v>
      </c>
      <c r="Q1221" s="1" t="s">
        <v>167</v>
      </c>
      <c r="R1221" s="1" t="s">
        <v>32</v>
      </c>
      <c r="S1221" s="1" t="s">
        <v>168</v>
      </c>
      <c r="T1221" s="1" t="s">
        <v>32</v>
      </c>
      <c r="U1221" s="1" t="s">
        <v>169</v>
      </c>
      <c r="V1221" s="1" t="s">
        <v>170</v>
      </c>
      <c r="W1221" s="1" t="s">
        <v>48</v>
      </c>
      <c r="X1221" s="1" t="s">
        <v>171</v>
      </c>
      <c r="Y1221" s="1" t="s">
        <v>172</v>
      </c>
      <c r="Z1221" s="1" t="str">
        <f>TRIM(_xlfn.CONCAT(sales_data_sample[[#This Row],[CONTACTFIRSTNAME]],", ",sales_data_sample[[#This Row],[CONTACTLASTNAME]]))</f>
        <v>Matti, Karttunen</v>
      </c>
      <c r="AA1221" s="1" t="s">
        <v>59</v>
      </c>
    </row>
    <row r="1222" spans="1:27" x14ac:dyDescent="0.25">
      <c r="A1222" s="10">
        <v>10167</v>
      </c>
      <c r="B1222" s="9">
        <v>34</v>
      </c>
      <c r="C1222" s="9">
        <v>100</v>
      </c>
      <c r="D1222" s="9">
        <f>PRODUCT(sales_data_sample[[#This Row],[QUANTITYORDERED]],sales_data_sample[[#This Row],[PRICEEACH]])</f>
        <v>3400</v>
      </c>
      <c r="E1222" s="9">
        <f>IF(OR(sales_data_sample[[#This Row],[STATUS]]="Shipped",sales_data_sample[[#This Row],[STATUS]]="Resolved"),sales_data_sample[[#This Row],[SALES]],0)</f>
        <v>0</v>
      </c>
      <c r="F1222" s="10">
        <v>6</v>
      </c>
      <c r="G1222" s="12" t="s">
        <v>460</v>
      </c>
      <c r="H1222" s="1" t="s">
        <v>461</v>
      </c>
      <c r="I1222">
        <v>4</v>
      </c>
      <c r="J1222">
        <v>10</v>
      </c>
      <c r="K1222">
        <v>2003</v>
      </c>
      <c r="L1222" s="1" t="s">
        <v>799</v>
      </c>
      <c r="M1222">
        <v>105</v>
      </c>
      <c r="N1222" s="1" t="s">
        <v>934</v>
      </c>
      <c r="O1222" s="1" t="s">
        <v>347</v>
      </c>
      <c r="P1222" s="1" t="s">
        <v>348</v>
      </c>
      <c r="Q1222" s="1" t="s">
        <v>349</v>
      </c>
      <c r="R1222" s="1" t="s">
        <v>32</v>
      </c>
      <c r="S1222" s="1" t="s">
        <v>350</v>
      </c>
      <c r="T1222" s="1" t="s">
        <v>32</v>
      </c>
      <c r="U1222" s="1" t="s">
        <v>351</v>
      </c>
      <c r="V1222" s="1" t="s">
        <v>247</v>
      </c>
      <c r="W1222" s="1" t="s">
        <v>48</v>
      </c>
      <c r="X1222" s="1" t="s">
        <v>352</v>
      </c>
      <c r="Y1222" s="1" t="s">
        <v>272</v>
      </c>
      <c r="Z1222" s="1" t="str">
        <f>TRIM(_xlfn.CONCAT(sales_data_sample[[#This Row],[CONTACTFIRSTNAME]],", ",sales_data_sample[[#This Row],[CONTACTLASTNAME]]))</f>
        <v>Maria, Larsson</v>
      </c>
      <c r="AA1222" s="1" t="s">
        <v>59</v>
      </c>
    </row>
    <row r="1223" spans="1:27" x14ac:dyDescent="0.25">
      <c r="A1223" s="10">
        <v>10178</v>
      </c>
      <c r="B1223" s="9">
        <v>48</v>
      </c>
      <c r="C1223" s="9">
        <v>100</v>
      </c>
      <c r="D1223" s="9">
        <f>PRODUCT(sales_data_sample[[#This Row],[QUANTITYORDERED]],sales_data_sample[[#This Row],[PRICEEACH]])</f>
        <v>4800</v>
      </c>
      <c r="E1223" s="9">
        <f>IF(OR(sales_data_sample[[#This Row],[STATUS]]="Shipped",sales_data_sample[[#This Row],[STATUS]]="Resolved"),sales_data_sample[[#This Row],[SALES]],0)</f>
        <v>4800</v>
      </c>
      <c r="F1223" s="10">
        <v>9</v>
      </c>
      <c r="G1223" s="12" t="s">
        <v>462</v>
      </c>
      <c r="H1223" s="1" t="s">
        <v>26</v>
      </c>
      <c r="I1223">
        <v>4</v>
      </c>
      <c r="J1223">
        <v>11</v>
      </c>
      <c r="K1223">
        <v>2003</v>
      </c>
      <c r="L1223" s="1" t="s">
        <v>799</v>
      </c>
      <c r="M1223">
        <v>105</v>
      </c>
      <c r="N1223" s="1" t="s">
        <v>934</v>
      </c>
      <c r="O1223" s="1" t="s">
        <v>463</v>
      </c>
      <c r="P1223" s="1" t="s">
        <v>464</v>
      </c>
      <c r="Q1223" s="1" t="s">
        <v>465</v>
      </c>
      <c r="R1223" s="1" t="s">
        <v>32</v>
      </c>
      <c r="S1223" s="1" t="s">
        <v>466</v>
      </c>
      <c r="T1223" s="1" t="s">
        <v>32</v>
      </c>
      <c r="U1223" s="1" t="s">
        <v>467</v>
      </c>
      <c r="V1223" s="1" t="s">
        <v>47</v>
      </c>
      <c r="W1223" s="1" t="s">
        <v>48</v>
      </c>
      <c r="X1223" s="1" t="s">
        <v>468</v>
      </c>
      <c r="Y1223" s="1" t="s">
        <v>469</v>
      </c>
      <c r="Z1223" s="1" t="str">
        <f>TRIM(_xlfn.CONCAT(sales_data_sample[[#This Row],[CONTACTFIRSTNAME]],", ",sales_data_sample[[#This Row],[CONTACTLASTNAME]]))</f>
        <v>Annette, Roulet</v>
      </c>
      <c r="AA1223" s="1" t="s">
        <v>59</v>
      </c>
    </row>
    <row r="1224" spans="1:27" x14ac:dyDescent="0.25">
      <c r="A1224" s="10">
        <v>10186</v>
      </c>
      <c r="B1224" s="9">
        <v>46</v>
      </c>
      <c r="C1224" s="9">
        <v>100</v>
      </c>
      <c r="D1224" s="9">
        <f>PRODUCT(sales_data_sample[[#This Row],[QUANTITYORDERED]],sales_data_sample[[#This Row],[PRICEEACH]])</f>
        <v>4600</v>
      </c>
      <c r="E1224" s="9">
        <f>IF(OR(sales_data_sample[[#This Row],[STATUS]]="Shipped",sales_data_sample[[#This Row],[STATUS]]="Resolved"),sales_data_sample[[#This Row],[SALES]],0)</f>
        <v>4600</v>
      </c>
      <c r="F1224" s="10">
        <v>6</v>
      </c>
      <c r="G1224" s="12" t="s">
        <v>470</v>
      </c>
      <c r="H1224" s="1" t="s">
        <v>26</v>
      </c>
      <c r="I1224">
        <v>4</v>
      </c>
      <c r="J1224">
        <v>11</v>
      </c>
      <c r="K1224">
        <v>2003</v>
      </c>
      <c r="L1224" s="1" t="s">
        <v>799</v>
      </c>
      <c r="M1224">
        <v>105</v>
      </c>
      <c r="N1224" s="1" t="s">
        <v>934</v>
      </c>
      <c r="O1224" s="1" t="s">
        <v>471</v>
      </c>
      <c r="P1224" s="1" t="s">
        <v>472</v>
      </c>
      <c r="Q1224" s="1" t="s">
        <v>473</v>
      </c>
      <c r="R1224" s="1" t="s">
        <v>32</v>
      </c>
      <c r="S1224" s="1" t="s">
        <v>450</v>
      </c>
      <c r="T1224" s="1" t="s">
        <v>32</v>
      </c>
      <c r="U1224" s="1" t="s">
        <v>474</v>
      </c>
      <c r="V1224" s="1" t="s">
        <v>225</v>
      </c>
      <c r="W1224" s="1" t="s">
        <v>48</v>
      </c>
      <c r="X1224" s="1" t="s">
        <v>475</v>
      </c>
      <c r="Y1224" s="1" t="s">
        <v>476</v>
      </c>
      <c r="Z1224" s="1" t="str">
        <f>TRIM(_xlfn.CONCAT(sales_data_sample[[#This Row],[CONTACTFIRSTNAME]],", ",sales_data_sample[[#This Row],[CONTACTLASTNAME]]))</f>
        <v>Thomas, Hardy</v>
      </c>
      <c r="AA1224" s="1" t="s">
        <v>59</v>
      </c>
    </row>
    <row r="1225" spans="1:27" x14ac:dyDescent="0.25">
      <c r="A1225" s="10">
        <v>10197</v>
      </c>
      <c r="B1225" s="9">
        <v>22</v>
      </c>
      <c r="C1225" s="9">
        <v>100</v>
      </c>
      <c r="D1225" s="9">
        <f>PRODUCT(sales_data_sample[[#This Row],[QUANTITYORDERED]],sales_data_sample[[#This Row],[PRICEEACH]])</f>
        <v>2200</v>
      </c>
      <c r="E1225" s="9">
        <f>IF(OR(sales_data_sample[[#This Row],[STATUS]]="Shipped",sales_data_sample[[#This Row],[STATUS]]="Resolved"),sales_data_sample[[#This Row],[SALES]],0)</f>
        <v>2200</v>
      </c>
      <c r="F1225" s="10">
        <v>3</v>
      </c>
      <c r="G1225" s="12" t="s">
        <v>477</v>
      </c>
      <c r="H1225" s="1" t="s">
        <v>26</v>
      </c>
      <c r="I1225">
        <v>4</v>
      </c>
      <c r="J1225">
        <v>11</v>
      </c>
      <c r="K1225">
        <v>2003</v>
      </c>
      <c r="L1225" s="1" t="s">
        <v>799</v>
      </c>
      <c r="M1225">
        <v>105</v>
      </c>
      <c r="N1225" s="1" t="s">
        <v>934</v>
      </c>
      <c r="O1225" s="1" t="s">
        <v>478</v>
      </c>
      <c r="P1225" s="1" t="s">
        <v>479</v>
      </c>
      <c r="Q1225" s="1" t="s">
        <v>480</v>
      </c>
      <c r="R1225" s="1" t="s">
        <v>32</v>
      </c>
      <c r="S1225" s="1" t="s">
        <v>481</v>
      </c>
      <c r="T1225" s="1" t="s">
        <v>32</v>
      </c>
      <c r="U1225" s="1" t="s">
        <v>482</v>
      </c>
      <c r="V1225" s="1" t="s">
        <v>235</v>
      </c>
      <c r="W1225" s="1" t="s">
        <v>48</v>
      </c>
      <c r="X1225" s="1" t="s">
        <v>483</v>
      </c>
      <c r="Y1225" s="1" t="s">
        <v>484</v>
      </c>
      <c r="Z1225" s="1" t="str">
        <f>TRIM(_xlfn.CONCAT(sales_data_sample[[#This Row],[CONTACTFIRSTNAME]],", ",sales_data_sample[[#This Row],[CONTACTLASTNAME]]))</f>
        <v>Eduardo, Saavedra</v>
      </c>
      <c r="AA1225" s="1" t="s">
        <v>40</v>
      </c>
    </row>
    <row r="1226" spans="1:27" x14ac:dyDescent="0.25">
      <c r="A1226" s="10">
        <v>10209</v>
      </c>
      <c r="B1226" s="9">
        <v>20</v>
      </c>
      <c r="C1226" s="9">
        <v>100</v>
      </c>
      <c r="D1226" s="9">
        <f>PRODUCT(sales_data_sample[[#This Row],[QUANTITYORDERED]],sales_data_sample[[#This Row],[PRICEEACH]])</f>
        <v>2000</v>
      </c>
      <c r="E1226" s="9">
        <f>IF(OR(sales_data_sample[[#This Row],[STATUS]]="Shipped",sales_data_sample[[#This Row],[STATUS]]="Resolved"),sales_data_sample[[#This Row],[SALES]],0)</f>
        <v>2000</v>
      </c>
      <c r="F1226" s="10">
        <v>5</v>
      </c>
      <c r="G1226" s="12" t="s">
        <v>485</v>
      </c>
      <c r="H1226" s="1" t="s">
        <v>26</v>
      </c>
      <c r="I1226">
        <v>1</v>
      </c>
      <c r="J1226">
        <v>1</v>
      </c>
      <c r="K1226">
        <v>2004</v>
      </c>
      <c r="L1226" s="1" t="s">
        <v>799</v>
      </c>
      <c r="M1226">
        <v>105</v>
      </c>
      <c r="N1226" s="1" t="s">
        <v>934</v>
      </c>
      <c r="O1226" s="1" t="s">
        <v>486</v>
      </c>
      <c r="P1226" s="1" t="s">
        <v>487</v>
      </c>
      <c r="Q1226" s="1" t="s">
        <v>488</v>
      </c>
      <c r="R1226" s="1" t="s">
        <v>32</v>
      </c>
      <c r="S1226" s="1" t="s">
        <v>489</v>
      </c>
      <c r="T1226" s="1" t="s">
        <v>65</v>
      </c>
      <c r="U1226" s="1" t="s">
        <v>32</v>
      </c>
      <c r="V1226" s="1" t="s">
        <v>36</v>
      </c>
      <c r="W1226" s="1" t="s">
        <v>37</v>
      </c>
      <c r="X1226" s="1" t="s">
        <v>490</v>
      </c>
      <c r="Y1226" s="1" t="s">
        <v>130</v>
      </c>
      <c r="Z1226" s="1" t="str">
        <f>TRIM(_xlfn.CONCAT(sales_data_sample[[#This Row],[CONTACTFIRSTNAME]],", ",sales_data_sample[[#This Row],[CONTACTLASTNAME]]))</f>
        <v>Michael, Chandler</v>
      </c>
      <c r="AA1226" s="1" t="s">
        <v>40</v>
      </c>
    </row>
    <row r="1227" spans="1:27" x14ac:dyDescent="0.25">
      <c r="A1227" s="10">
        <v>10222</v>
      </c>
      <c r="B1227" s="9">
        <v>45</v>
      </c>
      <c r="C1227" s="9">
        <v>8575</v>
      </c>
      <c r="D1227" s="9">
        <f>PRODUCT(sales_data_sample[[#This Row],[QUANTITYORDERED]],sales_data_sample[[#This Row],[PRICEEACH]])</f>
        <v>385875</v>
      </c>
      <c r="E1227" s="9">
        <f>IF(OR(sales_data_sample[[#This Row],[STATUS]]="Shipped",sales_data_sample[[#This Row],[STATUS]]="Resolved"),sales_data_sample[[#This Row],[SALES]],0)</f>
        <v>385875</v>
      </c>
      <c r="F1227" s="10">
        <v>9</v>
      </c>
      <c r="G1227" s="12" t="s">
        <v>491</v>
      </c>
      <c r="H1227" s="1" t="s">
        <v>26</v>
      </c>
      <c r="I1227">
        <v>1</v>
      </c>
      <c r="J1227">
        <v>2</v>
      </c>
      <c r="K1227">
        <v>2004</v>
      </c>
      <c r="L1227" s="1" t="s">
        <v>799</v>
      </c>
      <c r="M1227">
        <v>105</v>
      </c>
      <c r="N1227" s="1" t="s">
        <v>934</v>
      </c>
      <c r="O1227" s="1" t="s">
        <v>492</v>
      </c>
      <c r="P1227" s="1" t="s">
        <v>493</v>
      </c>
      <c r="Q1227" s="1" t="s">
        <v>494</v>
      </c>
      <c r="R1227" s="1" t="s">
        <v>32</v>
      </c>
      <c r="S1227" s="1" t="s">
        <v>495</v>
      </c>
      <c r="T1227" s="1" t="s">
        <v>65</v>
      </c>
      <c r="U1227" s="1" t="s">
        <v>496</v>
      </c>
      <c r="V1227" s="1" t="s">
        <v>36</v>
      </c>
      <c r="W1227" s="1" t="s">
        <v>37</v>
      </c>
      <c r="X1227" s="1" t="s">
        <v>313</v>
      </c>
      <c r="Y1227" s="1" t="s">
        <v>366</v>
      </c>
      <c r="Z1227" s="1" t="str">
        <f>TRIM(_xlfn.CONCAT(sales_data_sample[[#This Row],[CONTACTFIRSTNAME]],", ",sales_data_sample[[#This Row],[CONTACTLASTNAME]]))</f>
        <v>Valarie, Thompson</v>
      </c>
      <c r="AA1227" s="1" t="s">
        <v>59</v>
      </c>
    </row>
    <row r="1228" spans="1:27" x14ac:dyDescent="0.25">
      <c r="A1228" s="10">
        <v>10249</v>
      </c>
      <c r="B1228" s="9">
        <v>46</v>
      </c>
      <c r="C1228" s="9">
        <v>100</v>
      </c>
      <c r="D1228" s="9">
        <f>PRODUCT(sales_data_sample[[#This Row],[QUANTITYORDERED]],sales_data_sample[[#This Row],[PRICEEACH]])</f>
        <v>4600</v>
      </c>
      <c r="E1228" s="9">
        <f>IF(OR(sales_data_sample[[#This Row],[STATUS]]="Shipped",sales_data_sample[[#This Row],[STATUS]]="Resolved"),sales_data_sample[[#This Row],[SALES]],0)</f>
        <v>4600</v>
      </c>
      <c r="F1228" s="10">
        <v>5</v>
      </c>
      <c r="G1228" s="12" t="s">
        <v>935</v>
      </c>
      <c r="H1228" s="1" t="s">
        <v>26</v>
      </c>
      <c r="I1228">
        <v>2</v>
      </c>
      <c r="J1228">
        <v>5</v>
      </c>
      <c r="K1228">
        <v>2004</v>
      </c>
      <c r="L1228" s="1" t="s">
        <v>799</v>
      </c>
      <c r="M1228">
        <v>105</v>
      </c>
      <c r="N1228" s="1" t="s">
        <v>934</v>
      </c>
      <c r="O1228" s="1" t="s">
        <v>316</v>
      </c>
      <c r="P1228" s="1" t="s">
        <v>317</v>
      </c>
      <c r="Q1228" s="1" t="s">
        <v>318</v>
      </c>
      <c r="R1228" s="1" t="s">
        <v>32</v>
      </c>
      <c r="S1228" s="1" t="s">
        <v>159</v>
      </c>
      <c r="T1228" s="1" t="s">
        <v>160</v>
      </c>
      <c r="U1228" s="1" t="s">
        <v>161</v>
      </c>
      <c r="V1228" s="1" t="s">
        <v>36</v>
      </c>
      <c r="W1228" s="1" t="s">
        <v>37</v>
      </c>
      <c r="X1228" s="1" t="s">
        <v>319</v>
      </c>
      <c r="Y1228" s="1" t="s">
        <v>188</v>
      </c>
      <c r="Z1228" s="1" t="str">
        <f>TRIM(_xlfn.CONCAT(sales_data_sample[[#This Row],[CONTACTFIRSTNAME]],", ",sales_data_sample[[#This Row],[CONTACTLASTNAME]]))</f>
        <v>Kyung, Tseng</v>
      </c>
      <c r="AA1228" s="1" t="s">
        <v>59</v>
      </c>
    </row>
    <row r="1229" spans="1:27" x14ac:dyDescent="0.25">
      <c r="A1229" s="10">
        <v>10262</v>
      </c>
      <c r="B1229" s="9">
        <v>34</v>
      </c>
      <c r="C1229" s="9">
        <v>100</v>
      </c>
      <c r="D1229" s="9">
        <f>PRODUCT(sales_data_sample[[#This Row],[QUANTITYORDERED]],sales_data_sample[[#This Row],[PRICEEACH]])</f>
        <v>3400</v>
      </c>
      <c r="E1229" s="9">
        <f>IF(OR(sales_data_sample[[#This Row],[STATUS]]="Shipped",sales_data_sample[[#This Row],[STATUS]]="Resolved"),sales_data_sample[[#This Row],[SALES]],0)</f>
        <v>0</v>
      </c>
      <c r="F1229" s="10">
        <v>14</v>
      </c>
      <c r="G1229" s="12" t="s">
        <v>850</v>
      </c>
      <c r="H1229" s="1" t="s">
        <v>461</v>
      </c>
      <c r="I1229">
        <v>2</v>
      </c>
      <c r="J1229">
        <v>6</v>
      </c>
      <c r="K1229">
        <v>2004</v>
      </c>
      <c r="L1229" s="1" t="s">
        <v>799</v>
      </c>
      <c r="M1229">
        <v>105</v>
      </c>
      <c r="N1229" s="1" t="s">
        <v>934</v>
      </c>
      <c r="O1229" s="1" t="s">
        <v>230</v>
      </c>
      <c r="P1229" s="1" t="s">
        <v>231</v>
      </c>
      <c r="Q1229" s="1" t="s">
        <v>232</v>
      </c>
      <c r="R1229" s="1" t="s">
        <v>32</v>
      </c>
      <c r="S1229" s="1" t="s">
        <v>233</v>
      </c>
      <c r="T1229" s="1" t="s">
        <v>32</v>
      </c>
      <c r="U1229" s="1" t="s">
        <v>234</v>
      </c>
      <c r="V1229" s="1" t="s">
        <v>235</v>
      </c>
      <c r="W1229" s="1" t="s">
        <v>48</v>
      </c>
      <c r="X1229" s="1" t="s">
        <v>236</v>
      </c>
      <c r="Y1229" s="1" t="s">
        <v>237</v>
      </c>
      <c r="Z1229" s="1" t="str">
        <f>TRIM(_xlfn.CONCAT(sales_data_sample[[#This Row],[CONTACTFIRSTNAME]],", ",sales_data_sample[[#This Row],[CONTACTLASTNAME]]))</f>
        <v>Diego, Freyre</v>
      </c>
      <c r="AA1229" s="1" t="s">
        <v>59</v>
      </c>
    </row>
    <row r="1230" spans="1:27" x14ac:dyDescent="0.25">
      <c r="A1230" s="10">
        <v>10273</v>
      </c>
      <c r="B1230" s="9">
        <v>50</v>
      </c>
      <c r="C1230" s="9">
        <v>8575</v>
      </c>
      <c r="D1230" s="9">
        <f>PRODUCT(sales_data_sample[[#This Row],[QUANTITYORDERED]],sales_data_sample[[#This Row],[PRICEEACH]])</f>
        <v>428750</v>
      </c>
      <c r="E1230" s="9">
        <f>IF(OR(sales_data_sample[[#This Row],[STATUS]]="Shipped",sales_data_sample[[#This Row],[STATUS]]="Resolved"),sales_data_sample[[#This Row],[SALES]],0)</f>
        <v>428750</v>
      </c>
      <c r="F1230" s="10">
        <v>1</v>
      </c>
      <c r="G1230" s="12" t="s">
        <v>499</v>
      </c>
      <c r="H1230" s="1" t="s">
        <v>26</v>
      </c>
      <c r="I1230">
        <v>3</v>
      </c>
      <c r="J1230">
        <v>7</v>
      </c>
      <c r="K1230">
        <v>2004</v>
      </c>
      <c r="L1230" s="1" t="s">
        <v>799</v>
      </c>
      <c r="M1230">
        <v>105</v>
      </c>
      <c r="N1230" s="1" t="s">
        <v>934</v>
      </c>
      <c r="O1230" s="1" t="s">
        <v>500</v>
      </c>
      <c r="P1230" s="1" t="s">
        <v>501</v>
      </c>
      <c r="Q1230" s="1" t="s">
        <v>502</v>
      </c>
      <c r="R1230" s="1" t="s">
        <v>32</v>
      </c>
      <c r="S1230" s="1" t="s">
        <v>503</v>
      </c>
      <c r="T1230" s="1" t="s">
        <v>32</v>
      </c>
      <c r="U1230" s="1" t="s">
        <v>504</v>
      </c>
      <c r="V1230" s="1" t="s">
        <v>505</v>
      </c>
      <c r="W1230" s="1" t="s">
        <v>48</v>
      </c>
      <c r="X1230" s="1" t="s">
        <v>506</v>
      </c>
      <c r="Y1230" s="1" t="s">
        <v>507</v>
      </c>
      <c r="Z1230" s="1" t="str">
        <f>TRIM(_xlfn.CONCAT(sales_data_sample[[#This Row],[CONTACTFIRSTNAME]],", ",sales_data_sample[[#This Row],[CONTACTLASTNAME]]))</f>
        <v>Catherine, Dewey</v>
      </c>
      <c r="AA1230" s="1" t="s">
        <v>59</v>
      </c>
    </row>
    <row r="1231" spans="1:27" x14ac:dyDescent="0.25">
      <c r="A1231" s="10">
        <v>10283</v>
      </c>
      <c r="B1231" s="9">
        <v>46</v>
      </c>
      <c r="C1231" s="9">
        <v>100</v>
      </c>
      <c r="D1231" s="9">
        <f>PRODUCT(sales_data_sample[[#This Row],[QUANTITYORDERED]],sales_data_sample[[#This Row],[PRICEEACH]])</f>
        <v>4600</v>
      </c>
      <c r="E1231" s="9">
        <f>IF(OR(sales_data_sample[[#This Row],[STATUS]]="Shipped",sales_data_sample[[#This Row],[STATUS]]="Resolved"),sales_data_sample[[#This Row],[SALES]],0)</f>
        <v>4600</v>
      </c>
      <c r="F1231" s="10">
        <v>3</v>
      </c>
      <c r="G1231" s="12" t="s">
        <v>508</v>
      </c>
      <c r="H1231" s="1" t="s">
        <v>26</v>
      </c>
      <c r="I1231">
        <v>3</v>
      </c>
      <c r="J1231">
        <v>8</v>
      </c>
      <c r="K1231">
        <v>2004</v>
      </c>
      <c r="L1231" s="1" t="s">
        <v>799</v>
      </c>
      <c r="M1231">
        <v>105</v>
      </c>
      <c r="N1231" s="1" t="s">
        <v>934</v>
      </c>
      <c r="O1231" s="1" t="s">
        <v>509</v>
      </c>
      <c r="P1231" s="1" t="s">
        <v>510</v>
      </c>
      <c r="Q1231" s="1" t="s">
        <v>511</v>
      </c>
      <c r="R1231" s="1" t="s">
        <v>32</v>
      </c>
      <c r="S1231" s="1" t="s">
        <v>512</v>
      </c>
      <c r="T1231" s="1" t="s">
        <v>303</v>
      </c>
      <c r="U1231" s="1" t="s">
        <v>513</v>
      </c>
      <c r="V1231" s="1" t="s">
        <v>305</v>
      </c>
      <c r="W1231" s="1" t="s">
        <v>37</v>
      </c>
      <c r="X1231" s="1" t="s">
        <v>514</v>
      </c>
      <c r="Y1231" s="1" t="s">
        <v>227</v>
      </c>
      <c r="Z1231" s="1" t="str">
        <f>TRIM(_xlfn.CONCAT(sales_data_sample[[#This Row],[CONTACTFIRSTNAME]],", ",sales_data_sample[[#This Row],[CONTACTLASTNAME]]))</f>
        <v>Elizabeth, Lincoln</v>
      </c>
      <c r="AA1231" s="1" t="s">
        <v>59</v>
      </c>
    </row>
    <row r="1232" spans="1:27" x14ac:dyDescent="0.25">
      <c r="A1232" s="10">
        <v>10296</v>
      </c>
      <c r="B1232" s="9">
        <v>22</v>
      </c>
      <c r="C1232" s="9">
        <v>847</v>
      </c>
      <c r="D1232" s="9">
        <f>PRODUCT(sales_data_sample[[#This Row],[QUANTITYORDERED]],sales_data_sample[[#This Row],[PRICEEACH]])</f>
        <v>18634</v>
      </c>
      <c r="E1232" s="9">
        <f>IF(OR(sales_data_sample[[#This Row],[STATUS]]="Shipped",sales_data_sample[[#This Row],[STATUS]]="Resolved"),sales_data_sample[[#This Row],[SALES]],0)</f>
        <v>18634</v>
      </c>
      <c r="F1232" s="10">
        <v>12</v>
      </c>
      <c r="G1232" s="12" t="s">
        <v>852</v>
      </c>
      <c r="H1232" s="1" t="s">
        <v>26</v>
      </c>
      <c r="I1232">
        <v>3</v>
      </c>
      <c r="J1232">
        <v>9</v>
      </c>
      <c r="K1232">
        <v>2004</v>
      </c>
      <c r="L1232" s="1" t="s">
        <v>799</v>
      </c>
      <c r="M1232">
        <v>105</v>
      </c>
      <c r="N1232" s="1" t="s">
        <v>934</v>
      </c>
      <c r="O1232" s="1" t="s">
        <v>853</v>
      </c>
      <c r="P1232" s="1" t="s">
        <v>854</v>
      </c>
      <c r="Q1232" s="1" t="s">
        <v>855</v>
      </c>
      <c r="R1232" s="1" t="s">
        <v>32</v>
      </c>
      <c r="S1232" s="1" t="s">
        <v>856</v>
      </c>
      <c r="T1232" s="1" t="s">
        <v>32</v>
      </c>
      <c r="U1232" s="1" t="s">
        <v>857</v>
      </c>
      <c r="V1232" s="1" t="s">
        <v>617</v>
      </c>
      <c r="W1232" s="1" t="s">
        <v>48</v>
      </c>
      <c r="X1232" s="1" t="s">
        <v>858</v>
      </c>
      <c r="Y1232" s="1" t="s">
        <v>130</v>
      </c>
      <c r="Z1232" s="1" t="str">
        <f>TRIM(_xlfn.CONCAT(sales_data_sample[[#This Row],[CONTACTFIRSTNAME]],", ",sales_data_sample[[#This Row],[CONTACTLASTNAME]]))</f>
        <v>Michael, Donnermeyer</v>
      </c>
      <c r="AA1232" s="1" t="s">
        <v>40</v>
      </c>
    </row>
    <row r="1233" spans="1:27" x14ac:dyDescent="0.25">
      <c r="A1233" s="10">
        <v>10307</v>
      </c>
      <c r="B1233" s="9">
        <v>48</v>
      </c>
      <c r="C1233" s="9">
        <v>8681</v>
      </c>
      <c r="D1233" s="9">
        <f>PRODUCT(sales_data_sample[[#This Row],[QUANTITYORDERED]],sales_data_sample[[#This Row],[PRICEEACH]])</f>
        <v>416688</v>
      </c>
      <c r="E1233" s="9">
        <f>IF(OR(sales_data_sample[[#This Row],[STATUS]]="Shipped",sales_data_sample[[#This Row],[STATUS]]="Resolved"),sales_data_sample[[#This Row],[SALES]],0)</f>
        <v>416688</v>
      </c>
      <c r="F1233" s="10">
        <v>6</v>
      </c>
      <c r="G1233" s="12" t="s">
        <v>522</v>
      </c>
      <c r="H1233" s="1" t="s">
        <v>26</v>
      </c>
      <c r="I1233">
        <v>4</v>
      </c>
      <c r="J1233">
        <v>10</v>
      </c>
      <c r="K1233">
        <v>2004</v>
      </c>
      <c r="L1233" s="1" t="s">
        <v>799</v>
      </c>
      <c r="M1233">
        <v>105</v>
      </c>
      <c r="N1233" s="1" t="s">
        <v>934</v>
      </c>
      <c r="O1233" s="1" t="s">
        <v>283</v>
      </c>
      <c r="P1233" s="1" t="s">
        <v>284</v>
      </c>
      <c r="Q1233" s="1" t="s">
        <v>285</v>
      </c>
      <c r="R1233" s="1" t="s">
        <v>32</v>
      </c>
      <c r="S1233" s="1" t="s">
        <v>286</v>
      </c>
      <c r="T1233" s="1" t="s">
        <v>186</v>
      </c>
      <c r="U1233" s="1" t="s">
        <v>287</v>
      </c>
      <c r="V1233" s="1" t="s">
        <v>36</v>
      </c>
      <c r="W1233" s="1" t="s">
        <v>37</v>
      </c>
      <c r="X1233" s="1" t="s">
        <v>288</v>
      </c>
      <c r="Y1233" s="1" t="s">
        <v>289</v>
      </c>
      <c r="Z1233" s="1" t="str">
        <f>TRIM(_xlfn.CONCAT(sales_data_sample[[#This Row],[CONTACTFIRSTNAME]],", ",sales_data_sample[[#This Row],[CONTACTLASTNAME]]))</f>
        <v>Francisca, Cervantes</v>
      </c>
      <c r="AA1233" s="1" t="s">
        <v>59</v>
      </c>
    </row>
    <row r="1234" spans="1:27" x14ac:dyDescent="0.25">
      <c r="A1234" s="10">
        <v>10316</v>
      </c>
      <c r="B1234" s="9">
        <v>47</v>
      </c>
      <c r="C1234" s="9">
        <v>8681</v>
      </c>
      <c r="D1234" s="9">
        <f>PRODUCT(sales_data_sample[[#This Row],[QUANTITYORDERED]],sales_data_sample[[#This Row],[PRICEEACH]])</f>
        <v>408007</v>
      </c>
      <c r="E1234" s="9">
        <f>IF(OR(sales_data_sample[[#This Row],[STATUS]]="Shipped",sales_data_sample[[#This Row],[STATUS]]="Resolved"),sales_data_sample[[#This Row],[SALES]],0)</f>
        <v>408007</v>
      </c>
      <c r="F1234" s="10">
        <v>14</v>
      </c>
      <c r="G1234" s="12" t="s">
        <v>523</v>
      </c>
      <c r="H1234" s="1" t="s">
        <v>26</v>
      </c>
      <c r="I1234">
        <v>4</v>
      </c>
      <c r="J1234">
        <v>11</v>
      </c>
      <c r="K1234">
        <v>2004</v>
      </c>
      <c r="L1234" s="1" t="s">
        <v>799</v>
      </c>
      <c r="M1234">
        <v>105</v>
      </c>
      <c r="N1234" s="1" t="s">
        <v>934</v>
      </c>
      <c r="O1234" s="1" t="s">
        <v>524</v>
      </c>
      <c r="P1234" s="1" t="s">
        <v>525</v>
      </c>
      <c r="Q1234" s="1" t="s">
        <v>526</v>
      </c>
      <c r="R1234" s="1" t="s">
        <v>32</v>
      </c>
      <c r="S1234" s="1" t="s">
        <v>527</v>
      </c>
      <c r="T1234" s="1" t="s">
        <v>528</v>
      </c>
      <c r="U1234" s="1" t="s">
        <v>529</v>
      </c>
      <c r="V1234" s="1" t="s">
        <v>225</v>
      </c>
      <c r="W1234" s="1" t="s">
        <v>48</v>
      </c>
      <c r="X1234" s="1" t="s">
        <v>530</v>
      </c>
      <c r="Y1234" s="1" t="s">
        <v>531</v>
      </c>
      <c r="Z1234" s="1" t="str">
        <f>TRIM(_xlfn.CONCAT(sales_data_sample[[#This Row],[CONTACTFIRSTNAME]],", ",sales_data_sample[[#This Row],[CONTACTLASTNAME]]))</f>
        <v>Helen, Bennett</v>
      </c>
      <c r="AA1234" s="1" t="s">
        <v>59</v>
      </c>
    </row>
    <row r="1235" spans="1:27" x14ac:dyDescent="0.25">
      <c r="A1235" s="10">
        <v>10328</v>
      </c>
      <c r="B1235" s="9">
        <v>34</v>
      </c>
      <c r="C1235" s="9">
        <v>100</v>
      </c>
      <c r="D1235" s="9">
        <f>PRODUCT(sales_data_sample[[#This Row],[QUANTITYORDERED]],sales_data_sample[[#This Row],[PRICEEACH]])</f>
        <v>3400</v>
      </c>
      <c r="E1235" s="9">
        <f>IF(OR(sales_data_sample[[#This Row],[STATUS]]="Shipped",sales_data_sample[[#This Row],[STATUS]]="Resolved"),sales_data_sample[[#This Row],[SALES]],0)</f>
        <v>3400</v>
      </c>
      <c r="F1235" s="10">
        <v>6</v>
      </c>
      <c r="G1235" s="12" t="s">
        <v>936</v>
      </c>
      <c r="H1235" s="1" t="s">
        <v>26</v>
      </c>
      <c r="I1235">
        <v>4</v>
      </c>
      <c r="J1235">
        <v>11</v>
      </c>
      <c r="K1235">
        <v>2004</v>
      </c>
      <c r="L1235" s="1" t="s">
        <v>799</v>
      </c>
      <c r="M1235">
        <v>105</v>
      </c>
      <c r="N1235" s="1" t="s">
        <v>934</v>
      </c>
      <c r="O1235" s="1" t="s">
        <v>806</v>
      </c>
      <c r="P1235" s="1" t="s">
        <v>807</v>
      </c>
      <c r="Q1235" s="1" t="s">
        <v>808</v>
      </c>
      <c r="R1235" s="1" t="s">
        <v>32</v>
      </c>
      <c r="S1235" s="1" t="s">
        <v>809</v>
      </c>
      <c r="T1235" s="1" t="s">
        <v>32</v>
      </c>
      <c r="U1235" s="1" t="s">
        <v>810</v>
      </c>
      <c r="V1235" s="1" t="s">
        <v>343</v>
      </c>
      <c r="W1235" s="1" t="s">
        <v>48</v>
      </c>
      <c r="X1235" s="1" t="s">
        <v>811</v>
      </c>
      <c r="Y1235" s="1" t="s">
        <v>812</v>
      </c>
      <c r="Z1235" s="1" t="str">
        <f>TRIM(_xlfn.CONCAT(sales_data_sample[[#This Row],[CONTACTFIRSTNAME]],", ",sales_data_sample[[#This Row],[CONTACTLASTNAME]]))</f>
        <v>Giovanni, Rovelli</v>
      </c>
      <c r="AA1235" s="1" t="s">
        <v>59</v>
      </c>
    </row>
    <row r="1236" spans="1:27" x14ac:dyDescent="0.25">
      <c r="A1236" s="10">
        <v>10338</v>
      </c>
      <c r="B1236" s="9">
        <v>45</v>
      </c>
      <c r="C1236" s="9">
        <v>100</v>
      </c>
      <c r="D1236" s="9">
        <f>PRODUCT(sales_data_sample[[#This Row],[QUANTITYORDERED]],sales_data_sample[[#This Row],[PRICEEACH]])</f>
        <v>4500</v>
      </c>
      <c r="E1236" s="9">
        <f>IF(OR(sales_data_sample[[#This Row],[STATUS]]="Shipped",sales_data_sample[[#This Row],[STATUS]]="Resolved"),sales_data_sample[[#This Row],[SALES]],0)</f>
        <v>4500</v>
      </c>
      <c r="F1236" s="10">
        <v>2</v>
      </c>
      <c r="G1236" s="12" t="s">
        <v>860</v>
      </c>
      <c r="H1236" s="1" t="s">
        <v>26</v>
      </c>
      <c r="I1236">
        <v>4</v>
      </c>
      <c r="J1236">
        <v>11</v>
      </c>
      <c r="K1236">
        <v>2004</v>
      </c>
      <c r="L1236" s="1" t="s">
        <v>799</v>
      </c>
      <c r="M1236">
        <v>105</v>
      </c>
      <c r="N1236" s="1" t="s">
        <v>934</v>
      </c>
      <c r="O1236" s="1" t="s">
        <v>861</v>
      </c>
      <c r="P1236" s="1" t="s">
        <v>862</v>
      </c>
      <c r="Q1236" s="1" t="s">
        <v>863</v>
      </c>
      <c r="R1236" s="1" t="s">
        <v>32</v>
      </c>
      <c r="S1236" s="1" t="s">
        <v>864</v>
      </c>
      <c r="T1236" s="1" t="s">
        <v>32</v>
      </c>
      <c r="U1236" s="1" t="s">
        <v>865</v>
      </c>
      <c r="V1236" s="1" t="s">
        <v>505</v>
      </c>
      <c r="W1236" s="1" t="s">
        <v>48</v>
      </c>
      <c r="X1236" s="1" t="s">
        <v>866</v>
      </c>
      <c r="Y1236" s="1" t="s">
        <v>867</v>
      </c>
      <c r="Z1236" s="1" t="str">
        <f>TRIM(_xlfn.CONCAT(sales_data_sample[[#This Row],[CONTACTFIRSTNAME]],", ",sales_data_sample[[#This Row],[CONTACTLASTNAME]]))</f>
        <v>Pascale, Cartrain</v>
      </c>
      <c r="AA1236" s="1" t="s">
        <v>59</v>
      </c>
    </row>
    <row r="1237" spans="1:27" x14ac:dyDescent="0.25">
      <c r="A1237" s="10">
        <v>10351</v>
      </c>
      <c r="B1237" s="9">
        <v>20</v>
      </c>
      <c r="C1237" s="9">
        <v>100</v>
      </c>
      <c r="D1237" s="9">
        <f>PRODUCT(sales_data_sample[[#This Row],[QUANTITYORDERED]],sales_data_sample[[#This Row],[PRICEEACH]])</f>
        <v>2000</v>
      </c>
      <c r="E1237" s="9">
        <f>IF(OR(sales_data_sample[[#This Row],[STATUS]]="Shipped",sales_data_sample[[#This Row],[STATUS]]="Resolved"),sales_data_sample[[#This Row],[SALES]],0)</f>
        <v>2000</v>
      </c>
      <c r="F1237" s="10">
        <v>2</v>
      </c>
      <c r="G1237" s="12" t="s">
        <v>868</v>
      </c>
      <c r="H1237" s="1" t="s">
        <v>26</v>
      </c>
      <c r="I1237">
        <v>4</v>
      </c>
      <c r="J1237">
        <v>12</v>
      </c>
      <c r="K1237">
        <v>2004</v>
      </c>
      <c r="L1237" s="1" t="s">
        <v>799</v>
      </c>
      <c r="M1237">
        <v>105</v>
      </c>
      <c r="N1237" s="1" t="s">
        <v>934</v>
      </c>
      <c r="O1237" s="1" t="s">
        <v>447</v>
      </c>
      <c r="P1237" s="1" t="s">
        <v>448</v>
      </c>
      <c r="Q1237" s="1" t="s">
        <v>449</v>
      </c>
      <c r="R1237" s="1" t="s">
        <v>32</v>
      </c>
      <c r="S1237" s="1" t="s">
        <v>450</v>
      </c>
      <c r="T1237" s="1" t="s">
        <v>32</v>
      </c>
      <c r="U1237" s="1" t="s">
        <v>451</v>
      </c>
      <c r="V1237" s="1" t="s">
        <v>225</v>
      </c>
      <c r="W1237" s="1" t="s">
        <v>48</v>
      </c>
      <c r="X1237" s="1" t="s">
        <v>74</v>
      </c>
      <c r="Y1237" s="1" t="s">
        <v>452</v>
      </c>
      <c r="Z1237" s="1" t="str">
        <f>TRIM(_xlfn.CONCAT(sales_data_sample[[#This Row],[CONTACTFIRSTNAME]],", ",sales_data_sample[[#This Row],[CONTACTLASTNAME]]))</f>
        <v>Ann, Brown</v>
      </c>
      <c r="AA1237" s="1" t="s">
        <v>59</v>
      </c>
    </row>
    <row r="1238" spans="1:27" x14ac:dyDescent="0.25">
      <c r="A1238" s="10">
        <v>10373</v>
      </c>
      <c r="B1238" s="9">
        <v>50</v>
      </c>
      <c r="C1238" s="9">
        <v>6049</v>
      </c>
      <c r="D1238" s="9">
        <f>PRODUCT(sales_data_sample[[#This Row],[QUANTITYORDERED]],sales_data_sample[[#This Row],[PRICEEACH]])</f>
        <v>302450</v>
      </c>
      <c r="E1238" s="9">
        <f>IF(OR(sales_data_sample[[#This Row],[STATUS]]="Shipped",sales_data_sample[[#This Row],[STATUS]]="Resolved"),sales_data_sample[[#This Row],[SALES]],0)</f>
        <v>302450</v>
      </c>
      <c r="F1238" s="10">
        <v>6</v>
      </c>
      <c r="G1238" s="12" t="s">
        <v>536</v>
      </c>
      <c r="H1238" s="1" t="s">
        <v>26</v>
      </c>
      <c r="I1238">
        <v>1</v>
      </c>
      <c r="J1238">
        <v>1</v>
      </c>
      <c r="K1238">
        <v>2005</v>
      </c>
      <c r="L1238" s="1" t="s">
        <v>799</v>
      </c>
      <c r="M1238">
        <v>105</v>
      </c>
      <c r="N1238" s="1" t="s">
        <v>934</v>
      </c>
      <c r="O1238" s="1" t="s">
        <v>537</v>
      </c>
      <c r="P1238" s="1" t="s">
        <v>538</v>
      </c>
      <c r="Q1238" s="1" t="s">
        <v>539</v>
      </c>
      <c r="R1238" s="1" t="s">
        <v>32</v>
      </c>
      <c r="S1238" s="1" t="s">
        <v>540</v>
      </c>
      <c r="T1238" s="1" t="s">
        <v>32</v>
      </c>
      <c r="U1238" s="1" t="s">
        <v>541</v>
      </c>
      <c r="V1238" s="1" t="s">
        <v>170</v>
      </c>
      <c r="W1238" s="1" t="s">
        <v>48</v>
      </c>
      <c r="X1238" s="1" t="s">
        <v>542</v>
      </c>
      <c r="Y1238" s="1" t="s">
        <v>543</v>
      </c>
      <c r="Z1238" s="1" t="str">
        <f>TRIM(_xlfn.CONCAT(sales_data_sample[[#This Row],[CONTACTFIRSTNAME]],", ",sales_data_sample[[#This Row],[CONTACTLASTNAME]]))</f>
        <v>Pirkko, Koskitalo</v>
      </c>
      <c r="AA1238" s="1" t="s">
        <v>59</v>
      </c>
    </row>
    <row r="1239" spans="1:27" x14ac:dyDescent="0.25">
      <c r="A1239" s="10">
        <v>10386</v>
      </c>
      <c r="B1239" s="9">
        <v>22</v>
      </c>
      <c r="C1239" s="9">
        <v>5755</v>
      </c>
      <c r="D1239" s="9">
        <f>PRODUCT(sales_data_sample[[#This Row],[QUANTITYORDERED]],sales_data_sample[[#This Row],[PRICEEACH]])</f>
        <v>126610</v>
      </c>
      <c r="E1239" s="9">
        <f>IF(OR(sales_data_sample[[#This Row],[STATUS]]="Shipped",sales_data_sample[[#This Row],[STATUS]]="Resolved"),sales_data_sample[[#This Row],[SALES]],0)</f>
        <v>126610</v>
      </c>
      <c r="F1239" s="10">
        <v>6</v>
      </c>
      <c r="G1239" s="12" t="s">
        <v>869</v>
      </c>
      <c r="H1239" s="1" t="s">
        <v>563</v>
      </c>
      <c r="I1239">
        <v>1</v>
      </c>
      <c r="J1239">
        <v>3</v>
      </c>
      <c r="K1239">
        <v>2005</v>
      </c>
      <c r="L1239" s="1" t="s">
        <v>799</v>
      </c>
      <c r="M1239">
        <v>105</v>
      </c>
      <c r="N1239" s="1" t="s">
        <v>934</v>
      </c>
      <c r="O1239" s="1" t="s">
        <v>230</v>
      </c>
      <c r="P1239" s="1" t="s">
        <v>231</v>
      </c>
      <c r="Q1239" s="1" t="s">
        <v>232</v>
      </c>
      <c r="R1239" s="1" t="s">
        <v>32</v>
      </c>
      <c r="S1239" s="1" t="s">
        <v>233</v>
      </c>
      <c r="T1239" s="1" t="s">
        <v>32</v>
      </c>
      <c r="U1239" s="1" t="s">
        <v>234</v>
      </c>
      <c r="V1239" s="1" t="s">
        <v>235</v>
      </c>
      <c r="W1239" s="1" t="s">
        <v>48</v>
      </c>
      <c r="X1239" s="1" t="s">
        <v>236</v>
      </c>
      <c r="Y1239" s="1" t="s">
        <v>237</v>
      </c>
      <c r="Z1239" s="1" t="str">
        <f>TRIM(_xlfn.CONCAT(sales_data_sample[[#This Row],[CONTACTFIRSTNAME]],", ",sales_data_sample[[#This Row],[CONTACTLASTNAME]]))</f>
        <v>Diego, Freyre</v>
      </c>
      <c r="AA1239" s="1" t="s">
        <v>40</v>
      </c>
    </row>
    <row r="1240" spans="1:27" x14ac:dyDescent="0.25">
      <c r="A1240" s="10">
        <v>10398</v>
      </c>
      <c r="B1240" s="9">
        <v>45</v>
      </c>
      <c r="C1240" s="9">
        <v>100</v>
      </c>
      <c r="D1240" s="9">
        <f>PRODUCT(sales_data_sample[[#This Row],[QUANTITYORDERED]],sales_data_sample[[#This Row],[PRICEEACH]])</f>
        <v>4500</v>
      </c>
      <c r="E1240" s="9">
        <f>IF(OR(sales_data_sample[[#This Row],[STATUS]]="Shipped",sales_data_sample[[#This Row],[STATUS]]="Resolved"),sales_data_sample[[#This Row],[SALES]],0)</f>
        <v>4500</v>
      </c>
      <c r="F1240" s="10">
        <v>17</v>
      </c>
      <c r="G1240" s="12" t="s">
        <v>870</v>
      </c>
      <c r="H1240" s="1" t="s">
        <v>26</v>
      </c>
      <c r="I1240">
        <v>1</v>
      </c>
      <c r="J1240">
        <v>3</v>
      </c>
      <c r="K1240">
        <v>2005</v>
      </c>
      <c r="L1240" s="1" t="s">
        <v>799</v>
      </c>
      <c r="M1240">
        <v>105</v>
      </c>
      <c r="N1240" s="1" t="s">
        <v>934</v>
      </c>
      <c r="O1240" s="1" t="s">
        <v>42</v>
      </c>
      <c r="P1240" s="1" t="s">
        <v>43</v>
      </c>
      <c r="Q1240" s="1" t="s">
        <v>44</v>
      </c>
      <c r="R1240" s="1" t="s">
        <v>32</v>
      </c>
      <c r="S1240" s="1" t="s">
        <v>45</v>
      </c>
      <c r="T1240" s="1" t="s">
        <v>32</v>
      </c>
      <c r="U1240" s="1" t="s">
        <v>46</v>
      </c>
      <c r="V1240" s="1" t="s">
        <v>47</v>
      </c>
      <c r="W1240" s="1" t="s">
        <v>48</v>
      </c>
      <c r="X1240" s="1" t="s">
        <v>49</v>
      </c>
      <c r="Y1240" s="1" t="s">
        <v>50</v>
      </c>
      <c r="Z1240" s="1" t="str">
        <f>TRIM(_xlfn.CONCAT(sales_data_sample[[#This Row],[CONTACTFIRSTNAME]],", ",sales_data_sample[[#This Row],[CONTACTLASTNAME]]))</f>
        <v>Paul, Henriot</v>
      </c>
      <c r="AA1240" s="1" t="s">
        <v>59</v>
      </c>
    </row>
    <row r="1241" spans="1:27" x14ac:dyDescent="0.25">
      <c r="A1241" s="10">
        <v>10400</v>
      </c>
      <c r="B1241" s="9">
        <v>58</v>
      </c>
      <c r="C1241" s="9">
        <v>100</v>
      </c>
      <c r="D1241" s="9">
        <f>PRODUCT(sales_data_sample[[#This Row],[QUANTITYORDERED]],sales_data_sample[[#This Row],[PRICEEACH]])</f>
        <v>5800</v>
      </c>
      <c r="E1241" s="9">
        <f>IF(OR(sales_data_sample[[#This Row],[STATUS]]="Shipped",sales_data_sample[[#This Row],[STATUS]]="Resolved"),sales_data_sample[[#This Row],[SALES]],0)</f>
        <v>5800</v>
      </c>
      <c r="F1241" s="10">
        <v>6</v>
      </c>
      <c r="G1241" s="12" t="s">
        <v>546</v>
      </c>
      <c r="H1241" s="1" t="s">
        <v>26</v>
      </c>
      <c r="I1241">
        <v>2</v>
      </c>
      <c r="J1241">
        <v>4</v>
      </c>
      <c r="K1241">
        <v>2005</v>
      </c>
      <c r="L1241" s="1" t="s">
        <v>799</v>
      </c>
      <c r="M1241">
        <v>105</v>
      </c>
      <c r="N1241" s="1" t="s">
        <v>934</v>
      </c>
      <c r="O1241" s="1" t="s">
        <v>547</v>
      </c>
      <c r="P1241" s="1" t="s">
        <v>548</v>
      </c>
      <c r="Q1241" s="1" t="s">
        <v>549</v>
      </c>
      <c r="R1241" s="1" t="s">
        <v>32</v>
      </c>
      <c r="S1241" s="1" t="s">
        <v>550</v>
      </c>
      <c r="T1241" s="1" t="s">
        <v>65</v>
      </c>
      <c r="U1241" s="1" t="s">
        <v>80</v>
      </c>
      <c r="V1241" s="1" t="s">
        <v>36</v>
      </c>
      <c r="W1241" s="1" t="s">
        <v>37</v>
      </c>
      <c r="X1241" s="1" t="s">
        <v>129</v>
      </c>
      <c r="Y1241" s="1" t="s">
        <v>551</v>
      </c>
      <c r="Z1241" s="1" t="str">
        <f>TRIM(_xlfn.CONCAT(sales_data_sample[[#This Row],[CONTACTFIRSTNAME]],", ",sales_data_sample[[#This Row],[CONTACTLASTNAME]]))</f>
        <v>Sue, Frick</v>
      </c>
      <c r="AA1241" s="1" t="s">
        <v>199</v>
      </c>
    </row>
    <row r="1242" spans="1:27" x14ac:dyDescent="0.25">
      <c r="A1242" s="10">
        <v>10415</v>
      </c>
      <c r="B1242" s="9">
        <v>51</v>
      </c>
      <c r="C1242" s="9">
        <v>100</v>
      </c>
      <c r="D1242" s="9">
        <f>PRODUCT(sales_data_sample[[#This Row],[QUANTITYORDERED]],sales_data_sample[[#This Row],[PRICEEACH]])</f>
        <v>5100</v>
      </c>
      <c r="E1242" s="9">
        <f>IF(OR(sales_data_sample[[#This Row],[STATUS]]="Shipped",sales_data_sample[[#This Row],[STATUS]]="Resolved"),sales_data_sample[[#This Row],[SALES]],0)</f>
        <v>0</v>
      </c>
      <c r="F1242" s="10">
        <v>5</v>
      </c>
      <c r="G1242" s="12" t="s">
        <v>937</v>
      </c>
      <c r="H1242" s="1" t="s">
        <v>229</v>
      </c>
      <c r="I1242">
        <v>2</v>
      </c>
      <c r="J1242">
        <v>5</v>
      </c>
      <c r="K1242">
        <v>2005</v>
      </c>
      <c r="L1242" s="1" t="s">
        <v>799</v>
      </c>
      <c r="M1242">
        <v>105</v>
      </c>
      <c r="N1242" s="1" t="s">
        <v>934</v>
      </c>
      <c r="O1242" s="1" t="s">
        <v>814</v>
      </c>
      <c r="P1242" s="1" t="s">
        <v>815</v>
      </c>
      <c r="Q1242" s="1" t="s">
        <v>816</v>
      </c>
      <c r="R1242" s="1" t="s">
        <v>32</v>
      </c>
      <c r="S1242" s="1" t="s">
        <v>817</v>
      </c>
      <c r="T1242" s="1" t="s">
        <v>118</v>
      </c>
      <c r="U1242" s="1" t="s">
        <v>818</v>
      </c>
      <c r="V1242" s="1" t="s">
        <v>120</v>
      </c>
      <c r="W1242" s="1" t="s">
        <v>121</v>
      </c>
      <c r="X1242" s="1" t="s">
        <v>819</v>
      </c>
      <c r="Y1242" s="1" t="s">
        <v>820</v>
      </c>
      <c r="Z1242" s="1" t="str">
        <f>TRIM(_xlfn.CONCAT(sales_data_sample[[#This Row],[CONTACTFIRSTNAME]],", ",sales_data_sample[[#This Row],[CONTACTLASTNAME]]))</f>
        <v>Sean, Connery</v>
      </c>
      <c r="AA1242" s="1" t="s">
        <v>59</v>
      </c>
    </row>
    <row r="1243" spans="1:27" x14ac:dyDescent="0.25">
      <c r="A1243" s="10">
        <v>10104</v>
      </c>
      <c r="B1243" s="9">
        <v>38</v>
      </c>
      <c r="C1243" s="9">
        <v>100</v>
      </c>
      <c r="D1243" s="9">
        <f>PRODUCT(sales_data_sample[[#This Row],[QUANTITYORDERED]],sales_data_sample[[#This Row],[PRICEEACH]])</f>
        <v>3800</v>
      </c>
      <c r="E1243" s="9">
        <f>IF(OR(sales_data_sample[[#This Row],[STATUS]]="Shipped",sales_data_sample[[#This Row],[STATUS]]="Resolved"),sales_data_sample[[#This Row],[SALES]],0)</f>
        <v>3800</v>
      </c>
      <c r="F1243" s="10">
        <v>3</v>
      </c>
      <c r="G1243" s="12" t="s">
        <v>723</v>
      </c>
      <c r="H1243" s="1" t="s">
        <v>26</v>
      </c>
      <c r="I1243">
        <v>1</v>
      </c>
      <c r="J1243">
        <v>1</v>
      </c>
      <c r="K1243">
        <v>2003</v>
      </c>
      <c r="L1243" s="1" t="s">
        <v>239</v>
      </c>
      <c r="M1243">
        <v>143</v>
      </c>
      <c r="N1243" s="1" t="s">
        <v>938</v>
      </c>
      <c r="O1243" s="1" t="s">
        <v>230</v>
      </c>
      <c r="P1243" s="1" t="s">
        <v>231</v>
      </c>
      <c r="Q1243" s="1" t="s">
        <v>232</v>
      </c>
      <c r="R1243" s="1" t="s">
        <v>32</v>
      </c>
      <c r="S1243" s="1" t="s">
        <v>233</v>
      </c>
      <c r="T1243" s="1" t="s">
        <v>32</v>
      </c>
      <c r="U1243" s="1" t="s">
        <v>234</v>
      </c>
      <c r="V1243" s="1" t="s">
        <v>235</v>
      </c>
      <c r="W1243" s="1" t="s">
        <v>48</v>
      </c>
      <c r="X1243" s="1" t="s">
        <v>236</v>
      </c>
      <c r="Y1243" s="1" t="s">
        <v>237</v>
      </c>
      <c r="Z1243" s="1" t="str">
        <f>TRIM(_xlfn.CONCAT(sales_data_sample[[#This Row],[CONTACTFIRSTNAME]],", ",sales_data_sample[[#This Row],[CONTACTLASTNAME]]))</f>
        <v>Diego, Freyre</v>
      </c>
      <c r="AA1243" s="1" t="s">
        <v>59</v>
      </c>
    </row>
    <row r="1244" spans="1:27" x14ac:dyDescent="0.25">
      <c r="A1244" s="10">
        <v>10117</v>
      </c>
      <c r="B1244" s="9">
        <v>22</v>
      </c>
      <c r="C1244" s="9">
        <v>100</v>
      </c>
      <c r="D1244" s="9">
        <f>PRODUCT(sales_data_sample[[#This Row],[QUANTITYORDERED]],sales_data_sample[[#This Row],[PRICEEACH]])</f>
        <v>2200</v>
      </c>
      <c r="E1244" s="9">
        <f>IF(OR(sales_data_sample[[#This Row],[STATUS]]="Shipped",sales_data_sample[[#This Row],[STATUS]]="Resolved"),sales_data_sample[[#This Row],[SALES]],0)</f>
        <v>2200</v>
      </c>
      <c r="F1244" s="10">
        <v>12</v>
      </c>
      <c r="G1244" s="12" t="s">
        <v>665</v>
      </c>
      <c r="H1244" s="1" t="s">
        <v>26</v>
      </c>
      <c r="I1244">
        <v>2</v>
      </c>
      <c r="J1244">
        <v>4</v>
      </c>
      <c r="K1244">
        <v>2003</v>
      </c>
      <c r="L1244" s="1" t="s">
        <v>239</v>
      </c>
      <c r="M1244">
        <v>143</v>
      </c>
      <c r="N1244" s="1" t="s">
        <v>938</v>
      </c>
      <c r="O1244" s="1" t="s">
        <v>259</v>
      </c>
      <c r="P1244" s="1" t="s">
        <v>260</v>
      </c>
      <c r="Q1244" s="1" t="s">
        <v>261</v>
      </c>
      <c r="R1244" s="1" t="s">
        <v>32</v>
      </c>
      <c r="S1244" s="1" t="s">
        <v>262</v>
      </c>
      <c r="T1244" s="1" t="s">
        <v>32</v>
      </c>
      <c r="U1244" s="1" t="s">
        <v>263</v>
      </c>
      <c r="V1244" s="1" t="s">
        <v>262</v>
      </c>
      <c r="W1244" s="1" t="s">
        <v>264</v>
      </c>
      <c r="X1244" s="1" t="s">
        <v>265</v>
      </c>
      <c r="Y1244" s="1" t="s">
        <v>266</v>
      </c>
      <c r="Z1244" s="1" t="str">
        <f>TRIM(_xlfn.CONCAT(sales_data_sample[[#This Row],[CONTACTFIRSTNAME]],", ",sales_data_sample[[#This Row],[CONTACTLASTNAME]]))</f>
        <v>Eric, Natividad</v>
      </c>
      <c r="AA1244" s="1" t="s">
        <v>40</v>
      </c>
    </row>
    <row r="1245" spans="1:27" x14ac:dyDescent="0.25">
      <c r="A1245">
        <v>10127</v>
      </c>
      <c r="B1245">
        <v>25</v>
      </c>
      <c r="C1245">
        <v>100</v>
      </c>
      <c r="D1245">
        <f>PRODUCT(sales_data_sample[[#This Row],[QUANTITYORDERED]],sales_data_sample[[#This Row],[PRICEEACH]])</f>
        <v>2500</v>
      </c>
      <c r="E1245" s="9">
        <f>IF(OR(sales_data_sample[[#This Row],[STATUS]]="Shipped",sales_data_sample[[#This Row],[STATUS]]="Resolved"),sales_data_sample[[#This Row],[SALES]],0)</f>
        <v>2500</v>
      </c>
      <c r="F1245">
        <v>5</v>
      </c>
      <c r="G1245" s="12" t="s">
        <v>666</v>
      </c>
      <c r="H1245" s="1" t="s">
        <v>26</v>
      </c>
      <c r="I1245">
        <v>2</v>
      </c>
      <c r="J1245">
        <v>6</v>
      </c>
      <c r="K1245">
        <v>2003</v>
      </c>
      <c r="L1245" s="1" t="s">
        <v>239</v>
      </c>
      <c r="M1245">
        <v>143</v>
      </c>
      <c r="N1245" s="1" t="s">
        <v>938</v>
      </c>
      <c r="O1245" s="1" t="s">
        <v>667</v>
      </c>
      <c r="P1245" s="1" t="s">
        <v>668</v>
      </c>
      <c r="Q1245" s="1" t="s">
        <v>669</v>
      </c>
      <c r="R1245" s="1" t="s">
        <v>670</v>
      </c>
      <c r="S1245" s="1" t="s">
        <v>33</v>
      </c>
      <c r="T1245" s="1" t="s">
        <v>34</v>
      </c>
      <c r="U1245" s="1" t="s">
        <v>35</v>
      </c>
      <c r="V1245" s="1" t="s">
        <v>36</v>
      </c>
      <c r="W1245" s="1" t="s">
        <v>37</v>
      </c>
      <c r="X1245" s="1" t="s">
        <v>67</v>
      </c>
      <c r="Y1245" s="1" t="s">
        <v>671</v>
      </c>
      <c r="Z1245" s="1" t="str">
        <f>TRIM(_xlfn.CONCAT(sales_data_sample[[#This Row],[CONTACTFIRSTNAME]],", ",sales_data_sample[[#This Row],[CONTACTLASTNAME]]))</f>
        <v>Jeff, Young</v>
      </c>
      <c r="AA1245" s="1" t="s">
        <v>59</v>
      </c>
    </row>
    <row r="1246" spans="1:27" x14ac:dyDescent="0.25">
      <c r="A1246" s="10">
        <v>10142</v>
      </c>
      <c r="B1246" s="9">
        <v>24</v>
      </c>
      <c r="C1246" s="9">
        <v>100</v>
      </c>
      <c r="D1246" s="9">
        <f>PRODUCT(sales_data_sample[[#This Row],[QUANTITYORDERED]],sales_data_sample[[#This Row],[PRICEEACH]])</f>
        <v>2400</v>
      </c>
      <c r="E1246" s="9">
        <f>IF(OR(sales_data_sample[[#This Row],[STATUS]]="Shipped",sales_data_sample[[#This Row],[STATUS]]="Resolved"),sales_data_sample[[#This Row],[SALES]],0)</f>
        <v>2400</v>
      </c>
      <c r="F1246" s="10">
        <v>15</v>
      </c>
      <c r="G1246" s="12" t="s">
        <v>672</v>
      </c>
      <c r="H1246" s="1" t="s">
        <v>26</v>
      </c>
      <c r="I1246">
        <v>3</v>
      </c>
      <c r="J1246">
        <v>8</v>
      </c>
      <c r="K1246">
        <v>2003</v>
      </c>
      <c r="L1246" s="1" t="s">
        <v>239</v>
      </c>
      <c r="M1246">
        <v>143</v>
      </c>
      <c r="N1246" s="1" t="s">
        <v>938</v>
      </c>
      <c r="O1246" s="1" t="s">
        <v>361</v>
      </c>
      <c r="P1246" s="1" t="s">
        <v>362</v>
      </c>
      <c r="Q1246" s="1" t="s">
        <v>363</v>
      </c>
      <c r="R1246" s="1" t="s">
        <v>32</v>
      </c>
      <c r="S1246" s="1" t="s">
        <v>364</v>
      </c>
      <c r="T1246" s="1" t="s">
        <v>65</v>
      </c>
      <c r="U1246" s="1" t="s">
        <v>145</v>
      </c>
      <c r="V1246" s="1" t="s">
        <v>36</v>
      </c>
      <c r="W1246" s="1" t="s">
        <v>37</v>
      </c>
      <c r="X1246" s="1" t="s">
        <v>365</v>
      </c>
      <c r="Y1246" s="1" t="s">
        <v>366</v>
      </c>
      <c r="Z1246" s="1" t="str">
        <f>TRIM(_xlfn.CONCAT(sales_data_sample[[#This Row],[CONTACTFIRSTNAME]],", ",sales_data_sample[[#This Row],[CONTACTLASTNAME]]))</f>
        <v>Valarie, Nelson</v>
      </c>
      <c r="AA1246" s="1" t="s">
        <v>59</v>
      </c>
    </row>
    <row r="1247" spans="1:27" x14ac:dyDescent="0.25">
      <c r="A1247" s="10">
        <v>10152</v>
      </c>
      <c r="B1247" s="9">
        <v>35</v>
      </c>
      <c r="C1247" s="9">
        <v>100</v>
      </c>
      <c r="D1247" s="9">
        <f>PRODUCT(sales_data_sample[[#This Row],[QUANTITYORDERED]],sales_data_sample[[#This Row],[PRICEEACH]])</f>
        <v>3500</v>
      </c>
      <c r="E1247" s="9">
        <f>IF(OR(sales_data_sample[[#This Row],[STATUS]]="Shipped",sales_data_sample[[#This Row],[STATUS]]="Resolved"),sales_data_sample[[#This Row],[SALES]],0)</f>
        <v>3500</v>
      </c>
      <c r="F1247" s="10">
        <v>1</v>
      </c>
      <c r="G1247" s="12" t="s">
        <v>939</v>
      </c>
      <c r="H1247" s="1" t="s">
        <v>26</v>
      </c>
      <c r="I1247">
        <v>3</v>
      </c>
      <c r="J1247">
        <v>9</v>
      </c>
      <c r="K1247">
        <v>2003</v>
      </c>
      <c r="L1247" s="1" t="s">
        <v>239</v>
      </c>
      <c r="M1247">
        <v>143</v>
      </c>
      <c r="N1247" s="1" t="s">
        <v>938</v>
      </c>
      <c r="O1247" s="1" t="s">
        <v>274</v>
      </c>
      <c r="P1247" s="1" t="s">
        <v>275</v>
      </c>
      <c r="Q1247" s="1" t="s">
        <v>276</v>
      </c>
      <c r="R1247" s="1" t="s">
        <v>32</v>
      </c>
      <c r="S1247" s="1" t="s">
        <v>277</v>
      </c>
      <c r="T1247" s="1" t="s">
        <v>278</v>
      </c>
      <c r="U1247" s="1" t="s">
        <v>279</v>
      </c>
      <c r="V1247" s="1" t="s">
        <v>120</v>
      </c>
      <c r="W1247" s="1" t="s">
        <v>121</v>
      </c>
      <c r="X1247" s="1" t="s">
        <v>280</v>
      </c>
      <c r="Y1247" s="1" t="s">
        <v>281</v>
      </c>
      <c r="Z1247" s="1" t="str">
        <f>TRIM(_xlfn.CONCAT(sales_data_sample[[#This Row],[CONTACTFIRSTNAME]],", ",sales_data_sample[[#This Row],[CONTACTLASTNAME]]))</f>
        <v>Tony, Calaghan</v>
      </c>
      <c r="AA1247" s="1" t="s">
        <v>59</v>
      </c>
    </row>
    <row r="1248" spans="1:27" x14ac:dyDescent="0.25">
      <c r="A1248" s="10">
        <v>10165</v>
      </c>
      <c r="B1248" s="9">
        <v>28</v>
      </c>
      <c r="C1248" s="9">
        <v>100</v>
      </c>
      <c r="D1248" s="9">
        <f>PRODUCT(sales_data_sample[[#This Row],[QUANTITYORDERED]],sales_data_sample[[#This Row],[PRICEEACH]])</f>
        <v>2800</v>
      </c>
      <c r="E1248" s="9">
        <f>IF(OR(sales_data_sample[[#This Row],[STATUS]]="Shipped",sales_data_sample[[#This Row],[STATUS]]="Resolved"),sales_data_sample[[#This Row],[SALES]],0)</f>
        <v>2800</v>
      </c>
      <c r="F1248" s="10">
        <v>6</v>
      </c>
      <c r="G1248" s="12" t="s">
        <v>674</v>
      </c>
      <c r="H1248" s="1" t="s">
        <v>26</v>
      </c>
      <c r="I1248">
        <v>4</v>
      </c>
      <c r="J1248">
        <v>10</v>
      </c>
      <c r="K1248">
        <v>2003</v>
      </c>
      <c r="L1248" s="1" t="s">
        <v>239</v>
      </c>
      <c r="M1248">
        <v>143</v>
      </c>
      <c r="N1248" s="1" t="s">
        <v>938</v>
      </c>
      <c r="O1248" s="1" t="s">
        <v>259</v>
      </c>
      <c r="P1248" s="1" t="s">
        <v>260</v>
      </c>
      <c r="Q1248" s="1" t="s">
        <v>261</v>
      </c>
      <c r="R1248" s="1" t="s">
        <v>32</v>
      </c>
      <c r="S1248" s="1" t="s">
        <v>262</v>
      </c>
      <c r="T1248" s="1" t="s">
        <v>32</v>
      </c>
      <c r="U1248" s="1" t="s">
        <v>263</v>
      </c>
      <c r="V1248" s="1" t="s">
        <v>262</v>
      </c>
      <c r="W1248" s="1" t="s">
        <v>264</v>
      </c>
      <c r="X1248" s="1" t="s">
        <v>265</v>
      </c>
      <c r="Y1248" s="1" t="s">
        <v>266</v>
      </c>
      <c r="Z1248" s="1" t="str">
        <f>TRIM(_xlfn.CONCAT(sales_data_sample[[#This Row],[CONTACTFIRSTNAME]],", ",sales_data_sample[[#This Row],[CONTACTLASTNAME]]))</f>
        <v>Eric, Natividad</v>
      </c>
      <c r="AA1248" s="1" t="s">
        <v>59</v>
      </c>
    </row>
    <row r="1249" spans="1:27" x14ac:dyDescent="0.25">
      <c r="A1249" s="10">
        <v>10176</v>
      </c>
      <c r="B1249" s="9">
        <v>36</v>
      </c>
      <c r="C1249" s="9">
        <v>100</v>
      </c>
      <c r="D1249" s="9">
        <f>PRODUCT(sales_data_sample[[#This Row],[QUANTITYORDERED]],sales_data_sample[[#This Row],[PRICEEACH]])</f>
        <v>3600</v>
      </c>
      <c r="E1249" s="9">
        <f>IF(OR(sales_data_sample[[#This Row],[STATUS]]="Shipped",sales_data_sample[[#This Row],[STATUS]]="Resolved"),sales_data_sample[[#This Row],[SALES]],0)</f>
        <v>3600</v>
      </c>
      <c r="F1249" s="10">
        <v>5</v>
      </c>
      <c r="G1249" s="12" t="s">
        <v>273</v>
      </c>
      <c r="H1249" s="1" t="s">
        <v>26</v>
      </c>
      <c r="I1249">
        <v>4</v>
      </c>
      <c r="J1249">
        <v>11</v>
      </c>
      <c r="K1249">
        <v>2003</v>
      </c>
      <c r="L1249" s="1" t="s">
        <v>239</v>
      </c>
      <c r="M1249">
        <v>143</v>
      </c>
      <c r="N1249" s="1" t="s">
        <v>938</v>
      </c>
      <c r="O1249" s="1" t="s">
        <v>632</v>
      </c>
      <c r="P1249" s="1" t="s">
        <v>633</v>
      </c>
      <c r="Q1249" s="1" t="s">
        <v>634</v>
      </c>
      <c r="R1249" s="1" t="s">
        <v>32</v>
      </c>
      <c r="S1249" s="1" t="s">
        <v>635</v>
      </c>
      <c r="T1249" s="1" t="s">
        <v>32</v>
      </c>
      <c r="U1249" s="1" t="s">
        <v>636</v>
      </c>
      <c r="V1249" s="1" t="s">
        <v>343</v>
      </c>
      <c r="W1249" s="1" t="s">
        <v>48</v>
      </c>
      <c r="X1249" s="1" t="s">
        <v>637</v>
      </c>
      <c r="Y1249" s="1" t="s">
        <v>638</v>
      </c>
      <c r="Z1249" s="1" t="str">
        <f>TRIM(_xlfn.CONCAT(sales_data_sample[[#This Row],[CONTACTFIRSTNAME]],", ",sales_data_sample[[#This Row],[CONTACTLASTNAME]]))</f>
        <v>Maurizio, Moroni</v>
      </c>
      <c r="AA1249" s="1" t="s">
        <v>59</v>
      </c>
    </row>
    <row r="1250" spans="1:27" x14ac:dyDescent="0.25">
      <c r="A1250" s="10">
        <v>10185</v>
      </c>
      <c r="B1250" s="9">
        <v>39</v>
      </c>
      <c r="C1250" s="9">
        <v>100</v>
      </c>
      <c r="D1250" s="9">
        <f>PRODUCT(sales_data_sample[[#This Row],[QUANTITYORDERED]],sales_data_sample[[#This Row],[PRICEEACH]])</f>
        <v>3900</v>
      </c>
      <c r="E1250" s="9">
        <f>IF(OR(sales_data_sample[[#This Row],[STATUS]]="Shipped",sales_data_sample[[#This Row],[STATUS]]="Resolved"),sales_data_sample[[#This Row],[SALES]],0)</f>
        <v>3900</v>
      </c>
      <c r="F1250" s="10">
        <v>16</v>
      </c>
      <c r="G1250" s="12" t="s">
        <v>470</v>
      </c>
      <c r="H1250" s="1" t="s">
        <v>26</v>
      </c>
      <c r="I1250">
        <v>4</v>
      </c>
      <c r="J1250">
        <v>11</v>
      </c>
      <c r="K1250">
        <v>2003</v>
      </c>
      <c r="L1250" s="1" t="s">
        <v>239</v>
      </c>
      <c r="M1250">
        <v>143</v>
      </c>
      <c r="N1250" s="1" t="s">
        <v>938</v>
      </c>
      <c r="O1250" s="1" t="s">
        <v>454</v>
      </c>
      <c r="P1250" s="1" t="s">
        <v>455</v>
      </c>
      <c r="Q1250" s="1" t="s">
        <v>456</v>
      </c>
      <c r="R1250" s="1" t="s">
        <v>32</v>
      </c>
      <c r="S1250" s="1" t="s">
        <v>215</v>
      </c>
      <c r="T1250" s="1" t="s">
        <v>160</v>
      </c>
      <c r="U1250" s="1" t="s">
        <v>216</v>
      </c>
      <c r="V1250" s="1" t="s">
        <v>36</v>
      </c>
      <c r="W1250" s="1" t="s">
        <v>37</v>
      </c>
      <c r="X1250" s="1" t="s">
        <v>457</v>
      </c>
      <c r="Y1250" s="1" t="s">
        <v>458</v>
      </c>
      <c r="Z1250" s="1" t="str">
        <f>TRIM(_xlfn.CONCAT(sales_data_sample[[#This Row],[CONTACTFIRSTNAME]],", ",sales_data_sample[[#This Row],[CONTACTLASTNAME]]))</f>
        <v>Wing C, Tam</v>
      </c>
      <c r="AA1250" s="1" t="s">
        <v>59</v>
      </c>
    </row>
    <row r="1251" spans="1:27" x14ac:dyDescent="0.25">
      <c r="A1251" s="10">
        <v>10196</v>
      </c>
      <c r="B1251" s="9">
        <v>27</v>
      </c>
      <c r="C1251" s="9">
        <v>100</v>
      </c>
      <c r="D1251" s="9">
        <f>PRODUCT(sales_data_sample[[#This Row],[QUANTITYORDERED]],sales_data_sample[[#This Row],[PRICEEACH]])</f>
        <v>2700</v>
      </c>
      <c r="E1251" s="9">
        <f>IF(OR(sales_data_sample[[#This Row],[STATUS]]="Shipped",sales_data_sample[[#This Row],[STATUS]]="Resolved"),sales_data_sample[[#This Row],[SALES]],0)</f>
        <v>2700</v>
      </c>
      <c r="F1251" s="10">
        <v>8</v>
      </c>
      <c r="G1251" s="12" t="s">
        <v>477</v>
      </c>
      <c r="H1251" s="1" t="s">
        <v>26</v>
      </c>
      <c r="I1251">
        <v>4</v>
      </c>
      <c r="J1251">
        <v>11</v>
      </c>
      <c r="K1251">
        <v>2003</v>
      </c>
      <c r="L1251" s="1" t="s">
        <v>239</v>
      </c>
      <c r="M1251">
        <v>143</v>
      </c>
      <c r="N1251" s="1" t="s">
        <v>938</v>
      </c>
      <c r="O1251" s="1" t="s">
        <v>321</v>
      </c>
      <c r="P1251" s="1" t="s">
        <v>322</v>
      </c>
      <c r="Q1251" s="1" t="s">
        <v>323</v>
      </c>
      <c r="R1251" s="1" t="s">
        <v>32</v>
      </c>
      <c r="S1251" s="1" t="s">
        <v>324</v>
      </c>
      <c r="T1251" s="1" t="s">
        <v>144</v>
      </c>
      <c r="U1251" s="1" t="s">
        <v>325</v>
      </c>
      <c r="V1251" s="1" t="s">
        <v>36</v>
      </c>
      <c r="W1251" s="1" t="s">
        <v>37</v>
      </c>
      <c r="X1251" s="1" t="s">
        <v>104</v>
      </c>
      <c r="Y1251" s="1" t="s">
        <v>326</v>
      </c>
      <c r="Z1251" s="1" t="str">
        <f>TRIM(_xlfn.CONCAT(sales_data_sample[[#This Row],[CONTACTFIRSTNAME]],", ",sales_data_sample[[#This Row],[CONTACTLASTNAME]]))</f>
        <v>Leslie, Murphy</v>
      </c>
      <c r="AA1251" s="1" t="s">
        <v>59</v>
      </c>
    </row>
    <row r="1252" spans="1:27" x14ac:dyDescent="0.25">
      <c r="A1252" s="10">
        <v>10207</v>
      </c>
      <c r="B1252" s="9">
        <v>40</v>
      </c>
      <c r="C1252" s="9">
        <v>100</v>
      </c>
      <c r="D1252" s="9">
        <f>PRODUCT(sales_data_sample[[#This Row],[QUANTITYORDERED]],sales_data_sample[[#This Row],[PRICEEACH]])</f>
        <v>4000</v>
      </c>
      <c r="E1252" s="9">
        <f>IF(OR(sales_data_sample[[#This Row],[STATUS]]="Shipped",sales_data_sample[[#This Row],[STATUS]]="Resolved"),sales_data_sample[[#This Row],[SALES]],0)</f>
        <v>4000</v>
      </c>
      <c r="F1252" s="10">
        <v>1</v>
      </c>
      <c r="G1252" s="12" t="s">
        <v>571</v>
      </c>
      <c r="H1252" s="1" t="s">
        <v>26</v>
      </c>
      <c r="I1252">
        <v>4</v>
      </c>
      <c r="J1252">
        <v>12</v>
      </c>
      <c r="K1252">
        <v>2003</v>
      </c>
      <c r="L1252" s="1" t="s">
        <v>239</v>
      </c>
      <c r="M1252">
        <v>143</v>
      </c>
      <c r="N1252" s="1" t="s">
        <v>938</v>
      </c>
      <c r="O1252" s="1" t="s">
        <v>572</v>
      </c>
      <c r="P1252" s="1" t="s">
        <v>573</v>
      </c>
      <c r="Q1252" s="1" t="s">
        <v>574</v>
      </c>
      <c r="R1252" s="1" t="s">
        <v>32</v>
      </c>
      <c r="S1252" s="1" t="s">
        <v>519</v>
      </c>
      <c r="T1252" s="1" t="s">
        <v>160</v>
      </c>
      <c r="U1252" s="1" t="s">
        <v>520</v>
      </c>
      <c r="V1252" s="1" t="s">
        <v>36</v>
      </c>
      <c r="W1252" s="1" t="s">
        <v>37</v>
      </c>
      <c r="X1252" s="1" t="s">
        <v>575</v>
      </c>
      <c r="Y1252" s="1" t="s">
        <v>366</v>
      </c>
      <c r="Z1252" s="1" t="str">
        <f>TRIM(_xlfn.CONCAT(sales_data_sample[[#This Row],[CONTACTFIRSTNAME]],", ",sales_data_sample[[#This Row],[CONTACTLASTNAME]]))</f>
        <v>Valarie, Franco</v>
      </c>
      <c r="AA1252" s="1" t="s">
        <v>59</v>
      </c>
    </row>
    <row r="1253" spans="1:27" x14ac:dyDescent="0.25">
      <c r="A1253">
        <v>10220</v>
      </c>
      <c r="B1253">
        <v>50</v>
      </c>
      <c r="C1253">
        <v>100</v>
      </c>
      <c r="D1253">
        <f>PRODUCT(sales_data_sample[[#This Row],[QUANTITYORDERED]],sales_data_sample[[#This Row],[PRICEEACH]])</f>
        <v>5000</v>
      </c>
      <c r="E1253" s="9">
        <f>IF(OR(sales_data_sample[[#This Row],[STATUS]]="Shipped",sales_data_sample[[#This Row],[STATUS]]="Resolved"),sales_data_sample[[#This Row],[SALES]],0)</f>
        <v>5000</v>
      </c>
      <c r="F1253">
        <v>5</v>
      </c>
      <c r="G1253" s="12" t="s">
        <v>676</v>
      </c>
      <c r="H1253" s="1" t="s">
        <v>26</v>
      </c>
      <c r="I1253">
        <v>1</v>
      </c>
      <c r="J1253">
        <v>2</v>
      </c>
      <c r="K1253">
        <v>2004</v>
      </c>
      <c r="L1253" s="1" t="s">
        <v>239</v>
      </c>
      <c r="M1253">
        <v>143</v>
      </c>
      <c r="N1253" s="1" t="s">
        <v>938</v>
      </c>
      <c r="O1253" s="1" t="s">
        <v>677</v>
      </c>
      <c r="P1253" s="1" t="s">
        <v>678</v>
      </c>
      <c r="Q1253" s="1" t="s">
        <v>679</v>
      </c>
      <c r="R1253" s="1" t="s">
        <v>680</v>
      </c>
      <c r="S1253" s="1" t="s">
        <v>681</v>
      </c>
      <c r="T1253" s="1" t="s">
        <v>32</v>
      </c>
      <c r="U1253" s="1" t="s">
        <v>682</v>
      </c>
      <c r="V1253" s="1" t="s">
        <v>683</v>
      </c>
      <c r="W1253" s="1" t="s">
        <v>48</v>
      </c>
      <c r="X1253" s="1" t="s">
        <v>684</v>
      </c>
      <c r="Y1253" s="1" t="s">
        <v>685</v>
      </c>
      <c r="Z1253" s="1" t="str">
        <f>TRIM(_xlfn.CONCAT(sales_data_sample[[#This Row],[CONTACTFIRSTNAME]],", ",sales_data_sample[[#This Row],[CONTACTLASTNAME]]))</f>
        <v>Dean, Cassidy</v>
      </c>
      <c r="AA1253" s="1" t="s">
        <v>199</v>
      </c>
    </row>
    <row r="1254" spans="1:27" x14ac:dyDescent="0.25">
      <c r="A1254" s="10">
        <v>10230</v>
      </c>
      <c r="B1254" s="9">
        <v>42</v>
      </c>
      <c r="C1254" s="9">
        <v>100</v>
      </c>
      <c r="D1254" s="9">
        <f>PRODUCT(sales_data_sample[[#This Row],[QUANTITYORDERED]],sales_data_sample[[#This Row],[PRICEEACH]])</f>
        <v>4200</v>
      </c>
      <c r="E1254" s="9">
        <f>IF(OR(sales_data_sample[[#This Row],[STATUS]]="Shipped",sales_data_sample[[#This Row],[STATUS]]="Resolved"),sales_data_sample[[#This Row],[SALES]],0)</f>
        <v>4200</v>
      </c>
      <c r="F1254" s="10">
        <v>3</v>
      </c>
      <c r="G1254" s="12" t="s">
        <v>725</v>
      </c>
      <c r="H1254" s="1" t="s">
        <v>26</v>
      </c>
      <c r="I1254">
        <v>1</v>
      </c>
      <c r="J1254">
        <v>3</v>
      </c>
      <c r="K1254">
        <v>2004</v>
      </c>
      <c r="L1254" s="1" t="s">
        <v>239</v>
      </c>
      <c r="M1254">
        <v>143</v>
      </c>
      <c r="N1254" s="1" t="s">
        <v>938</v>
      </c>
      <c r="O1254" s="1" t="s">
        <v>647</v>
      </c>
      <c r="P1254" s="1" t="s">
        <v>648</v>
      </c>
      <c r="Q1254" s="1" t="s">
        <v>649</v>
      </c>
      <c r="R1254" s="1" t="s">
        <v>32</v>
      </c>
      <c r="S1254" s="1" t="s">
        <v>650</v>
      </c>
      <c r="T1254" s="1" t="s">
        <v>32</v>
      </c>
      <c r="U1254" s="1" t="s">
        <v>651</v>
      </c>
      <c r="V1254" s="1" t="s">
        <v>617</v>
      </c>
      <c r="W1254" s="1" t="s">
        <v>48</v>
      </c>
      <c r="X1254" s="1" t="s">
        <v>652</v>
      </c>
      <c r="Y1254" s="1" t="s">
        <v>570</v>
      </c>
      <c r="Z1254" s="1" t="str">
        <f>TRIM(_xlfn.CONCAT(sales_data_sample[[#This Row],[CONTACTFIRSTNAME]],", ",sales_data_sample[[#This Row],[CONTACTLASTNAME]]))</f>
        <v>Roland, Keitel</v>
      </c>
      <c r="AA1254" s="1" t="s">
        <v>199</v>
      </c>
    </row>
    <row r="1255" spans="1:27" x14ac:dyDescent="0.25">
      <c r="A1255" s="10">
        <v>10247</v>
      </c>
      <c r="B1255" s="9">
        <v>48</v>
      </c>
      <c r="C1255" s="9">
        <v>100</v>
      </c>
      <c r="D1255" s="9">
        <f>PRODUCT(sales_data_sample[[#This Row],[QUANTITYORDERED]],sales_data_sample[[#This Row],[PRICEEACH]])</f>
        <v>4800</v>
      </c>
      <c r="E1255" s="9">
        <f>IF(OR(sales_data_sample[[#This Row],[STATUS]]="Shipped",sales_data_sample[[#This Row],[STATUS]]="Resolved"),sales_data_sample[[#This Row],[SALES]],0)</f>
        <v>4800</v>
      </c>
      <c r="F1255" s="10">
        <v>5</v>
      </c>
      <c r="G1255" s="12" t="s">
        <v>692</v>
      </c>
      <c r="H1255" s="1" t="s">
        <v>26</v>
      </c>
      <c r="I1255">
        <v>2</v>
      </c>
      <c r="J1255">
        <v>5</v>
      </c>
      <c r="K1255">
        <v>2004</v>
      </c>
      <c r="L1255" s="1" t="s">
        <v>239</v>
      </c>
      <c r="M1255">
        <v>143</v>
      </c>
      <c r="N1255" s="1" t="s">
        <v>938</v>
      </c>
      <c r="O1255" s="1" t="s">
        <v>656</v>
      </c>
      <c r="P1255" s="1" t="s">
        <v>657</v>
      </c>
      <c r="Q1255" s="1" t="s">
        <v>658</v>
      </c>
      <c r="R1255" s="1" t="s">
        <v>32</v>
      </c>
      <c r="S1255" s="1" t="s">
        <v>659</v>
      </c>
      <c r="T1255" s="1" t="s">
        <v>32</v>
      </c>
      <c r="U1255" s="1" t="s">
        <v>660</v>
      </c>
      <c r="V1255" s="1" t="s">
        <v>170</v>
      </c>
      <c r="W1255" s="1" t="s">
        <v>48</v>
      </c>
      <c r="X1255" s="1" t="s">
        <v>661</v>
      </c>
      <c r="Y1255" s="1" t="s">
        <v>662</v>
      </c>
      <c r="Z1255" s="1" t="str">
        <f>TRIM(_xlfn.CONCAT(sales_data_sample[[#This Row],[CONTACTFIRSTNAME]],", ",sales_data_sample[[#This Row],[CONTACTLASTNAME]]))</f>
        <v>Kalle, Suominen</v>
      </c>
      <c r="AA1255" s="1" t="s">
        <v>59</v>
      </c>
    </row>
    <row r="1256" spans="1:27" x14ac:dyDescent="0.25">
      <c r="A1256" s="10">
        <v>10272</v>
      </c>
      <c r="B1256" s="9">
        <v>25</v>
      </c>
      <c r="C1256" s="9">
        <v>100</v>
      </c>
      <c r="D1256" s="9">
        <f>PRODUCT(sales_data_sample[[#This Row],[QUANTITYORDERED]],sales_data_sample[[#This Row],[PRICEEACH]])</f>
        <v>2500</v>
      </c>
      <c r="E1256" s="9">
        <f>IF(OR(sales_data_sample[[#This Row],[STATUS]]="Shipped",sales_data_sample[[#This Row],[STATUS]]="Resolved"),sales_data_sample[[#This Row],[SALES]],0)</f>
        <v>2500</v>
      </c>
      <c r="F1256" s="10">
        <v>5</v>
      </c>
      <c r="G1256" s="12" t="s">
        <v>693</v>
      </c>
      <c r="H1256" s="1" t="s">
        <v>26</v>
      </c>
      <c r="I1256">
        <v>3</v>
      </c>
      <c r="J1256">
        <v>7</v>
      </c>
      <c r="K1256">
        <v>2004</v>
      </c>
      <c r="L1256" s="1" t="s">
        <v>239</v>
      </c>
      <c r="M1256">
        <v>143</v>
      </c>
      <c r="N1256" s="1" t="s">
        <v>938</v>
      </c>
      <c r="O1256" s="1" t="s">
        <v>182</v>
      </c>
      <c r="P1256" s="1" t="s">
        <v>183</v>
      </c>
      <c r="Q1256" s="1" t="s">
        <v>184</v>
      </c>
      <c r="R1256" s="1" t="s">
        <v>32</v>
      </c>
      <c r="S1256" s="1" t="s">
        <v>185</v>
      </c>
      <c r="T1256" s="1" t="s">
        <v>186</v>
      </c>
      <c r="U1256" s="1" t="s">
        <v>187</v>
      </c>
      <c r="V1256" s="1" t="s">
        <v>36</v>
      </c>
      <c r="W1256" s="1" t="s">
        <v>37</v>
      </c>
      <c r="X1256" s="1" t="s">
        <v>38</v>
      </c>
      <c r="Y1256" s="1" t="s">
        <v>188</v>
      </c>
      <c r="Z1256" s="1" t="str">
        <f>TRIM(_xlfn.CONCAT(sales_data_sample[[#This Row],[CONTACTFIRSTNAME]],", ",sales_data_sample[[#This Row],[CONTACTLASTNAME]]))</f>
        <v>Kyung, Yu</v>
      </c>
      <c r="AA1256" s="1" t="s">
        <v>59</v>
      </c>
    </row>
    <row r="1257" spans="1:27" x14ac:dyDescent="0.25">
      <c r="A1257" s="10">
        <v>10282</v>
      </c>
      <c r="B1257" s="9">
        <v>31</v>
      </c>
      <c r="C1257" s="9">
        <v>100</v>
      </c>
      <c r="D1257" s="9">
        <f>PRODUCT(sales_data_sample[[#This Row],[QUANTITYORDERED]],sales_data_sample[[#This Row],[PRICEEACH]])</f>
        <v>3100</v>
      </c>
      <c r="E1257" s="9">
        <f>IF(OR(sales_data_sample[[#This Row],[STATUS]]="Shipped",sales_data_sample[[#This Row],[STATUS]]="Resolved"),sales_data_sample[[#This Row],[SALES]],0)</f>
        <v>3100</v>
      </c>
      <c r="F1257" s="10">
        <v>8</v>
      </c>
      <c r="G1257" s="12" t="s">
        <v>508</v>
      </c>
      <c r="H1257" s="1" t="s">
        <v>26</v>
      </c>
      <c r="I1257">
        <v>3</v>
      </c>
      <c r="J1257">
        <v>8</v>
      </c>
      <c r="K1257">
        <v>2004</v>
      </c>
      <c r="L1257" s="1" t="s">
        <v>239</v>
      </c>
      <c r="M1257">
        <v>143</v>
      </c>
      <c r="N1257" s="1" t="s">
        <v>938</v>
      </c>
      <c r="O1257" s="1" t="s">
        <v>361</v>
      </c>
      <c r="P1257" s="1" t="s">
        <v>362</v>
      </c>
      <c r="Q1257" s="1" t="s">
        <v>363</v>
      </c>
      <c r="R1257" s="1" t="s">
        <v>32</v>
      </c>
      <c r="S1257" s="1" t="s">
        <v>364</v>
      </c>
      <c r="T1257" s="1" t="s">
        <v>65</v>
      </c>
      <c r="U1257" s="1" t="s">
        <v>145</v>
      </c>
      <c r="V1257" s="1" t="s">
        <v>36</v>
      </c>
      <c r="W1257" s="1" t="s">
        <v>37</v>
      </c>
      <c r="X1257" s="1" t="s">
        <v>365</v>
      </c>
      <c r="Y1257" s="1" t="s">
        <v>366</v>
      </c>
      <c r="Z1257" s="1" t="str">
        <f>TRIM(_xlfn.CONCAT(sales_data_sample[[#This Row],[CONTACTFIRSTNAME]],", ",sales_data_sample[[#This Row],[CONTACTLASTNAME]]))</f>
        <v>Valarie, Nelson</v>
      </c>
      <c r="AA1257" s="1" t="s">
        <v>59</v>
      </c>
    </row>
    <row r="1258" spans="1:27" x14ac:dyDescent="0.25">
      <c r="A1258" s="10">
        <v>10292</v>
      </c>
      <c r="B1258" s="9">
        <v>44</v>
      </c>
      <c r="C1258" s="9">
        <v>100</v>
      </c>
      <c r="D1258" s="9">
        <f>PRODUCT(sales_data_sample[[#This Row],[QUANTITYORDERED]],sales_data_sample[[#This Row],[PRICEEACH]])</f>
        <v>4400</v>
      </c>
      <c r="E1258" s="9">
        <f>IF(OR(sales_data_sample[[#This Row],[STATUS]]="Shipped",sales_data_sample[[#This Row],[STATUS]]="Resolved"),sales_data_sample[[#This Row],[SALES]],0)</f>
        <v>4400</v>
      </c>
      <c r="F1258" s="10">
        <v>2</v>
      </c>
      <c r="G1258" s="12" t="s">
        <v>346</v>
      </c>
      <c r="H1258" s="1" t="s">
        <v>26</v>
      </c>
      <c r="I1258">
        <v>3</v>
      </c>
      <c r="J1258">
        <v>9</v>
      </c>
      <c r="K1258">
        <v>2004</v>
      </c>
      <c r="L1258" s="1" t="s">
        <v>239</v>
      </c>
      <c r="M1258">
        <v>143</v>
      </c>
      <c r="N1258" s="1" t="s">
        <v>938</v>
      </c>
      <c r="O1258" s="1" t="s">
        <v>29</v>
      </c>
      <c r="P1258" s="1" t="s">
        <v>30</v>
      </c>
      <c r="Q1258" s="1" t="s">
        <v>31</v>
      </c>
      <c r="R1258" s="1" t="s">
        <v>32</v>
      </c>
      <c r="S1258" s="1" t="s">
        <v>33</v>
      </c>
      <c r="T1258" s="1" t="s">
        <v>34</v>
      </c>
      <c r="U1258" s="1" t="s">
        <v>35</v>
      </c>
      <c r="V1258" s="1" t="s">
        <v>36</v>
      </c>
      <c r="W1258" s="1" t="s">
        <v>37</v>
      </c>
      <c r="X1258" s="1" t="s">
        <v>38</v>
      </c>
      <c r="Y1258" s="1" t="s">
        <v>39</v>
      </c>
      <c r="Z1258" s="1" t="str">
        <f>TRIM(_xlfn.CONCAT(sales_data_sample[[#This Row],[CONTACTFIRSTNAME]],", ",sales_data_sample[[#This Row],[CONTACTLASTNAME]]))</f>
        <v>Kwai, Yu</v>
      </c>
      <c r="AA1258" s="1" t="s">
        <v>199</v>
      </c>
    </row>
    <row r="1259" spans="1:27" x14ac:dyDescent="0.25">
      <c r="A1259" s="10">
        <v>10306</v>
      </c>
      <c r="B1259" s="9">
        <v>23</v>
      </c>
      <c r="C1259" s="9">
        <v>100</v>
      </c>
      <c r="D1259" s="9">
        <f>PRODUCT(sales_data_sample[[#This Row],[QUANTITYORDERED]],sales_data_sample[[#This Row],[PRICEEACH]])</f>
        <v>2300</v>
      </c>
      <c r="E1259" s="9">
        <f>IF(OR(sales_data_sample[[#This Row],[STATUS]]="Shipped",sales_data_sample[[#This Row],[STATUS]]="Resolved"),sales_data_sample[[#This Row],[SALES]],0)</f>
        <v>2300</v>
      </c>
      <c r="F1259" s="10">
        <v>16</v>
      </c>
      <c r="G1259" s="12" t="s">
        <v>522</v>
      </c>
      <c r="H1259" s="1" t="s">
        <v>26</v>
      </c>
      <c r="I1259">
        <v>4</v>
      </c>
      <c r="J1259">
        <v>10</v>
      </c>
      <c r="K1259">
        <v>2004</v>
      </c>
      <c r="L1259" s="1" t="s">
        <v>239</v>
      </c>
      <c r="M1259">
        <v>143</v>
      </c>
      <c r="N1259" s="1" t="s">
        <v>938</v>
      </c>
      <c r="O1259" s="1" t="s">
        <v>695</v>
      </c>
      <c r="P1259" s="1" t="s">
        <v>696</v>
      </c>
      <c r="Q1259" s="1" t="s">
        <v>697</v>
      </c>
      <c r="R1259" s="1" t="s">
        <v>32</v>
      </c>
      <c r="S1259" s="1" t="s">
        <v>698</v>
      </c>
      <c r="T1259" s="1" t="s">
        <v>32</v>
      </c>
      <c r="U1259" s="1" t="s">
        <v>699</v>
      </c>
      <c r="V1259" s="1" t="s">
        <v>225</v>
      </c>
      <c r="W1259" s="1" t="s">
        <v>48</v>
      </c>
      <c r="X1259" s="1" t="s">
        <v>700</v>
      </c>
      <c r="Y1259" s="1" t="s">
        <v>118</v>
      </c>
      <c r="Z1259" s="1" t="str">
        <f>TRIM(_xlfn.CONCAT(sales_data_sample[[#This Row],[CONTACTFIRSTNAME]],", ",sales_data_sample[[#This Row],[CONTACTLASTNAME]]))</f>
        <v>Victoria, Ashworth</v>
      </c>
      <c r="AA1259" s="1" t="s">
        <v>59</v>
      </c>
    </row>
    <row r="1260" spans="1:27" x14ac:dyDescent="0.25">
      <c r="A1260" s="10">
        <v>10314</v>
      </c>
      <c r="B1260" s="9">
        <v>29</v>
      </c>
      <c r="C1260" s="9">
        <v>100</v>
      </c>
      <c r="D1260" s="9">
        <f>PRODUCT(sales_data_sample[[#This Row],[QUANTITYORDERED]],sales_data_sample[[#This Row],[PRICEEACH]])</f>
        <v>2900</v>
      </c>
      <c r="E1260" s="9">
        <f>IF(OR(sales_data_sample[[#This Row],[STATUS]]="Shipped",sales_data_sample[[#This Row],[STATUS]]="Resolved"),sales_data_sample[[#This Row],[SALES]],0)</f>
        <v>2900</v>
      </c>
      <c r="F1260" s="10">
        <v>8</v>
      </c>
      <c r="G1260" s="12" t="s">
        <v>587</v>
      </c>
      <c r="H1260" s="1" t="s">
        <v>26</v>
      </c>
      <c r="I1260">
        <v>4</v>
      </c>
      <c r="J1260">
        <v>10</v>
      </c>
      <c r="K1260">
        <v>2004</v>
      </c>
      <c r="L1260" s="1" t="s">
        <v>239</v>
      </c>
      <c r="M1260">
        <v>143</v>
      </c>
      <c r="N1260" s="1" t="s">
        <v>938</v>
      </c>
      <c r="O1260" s="1" t="s">
        <v>701</v>
      </c>
      <c r="P1260" s="1" t="s">
        <v>702</v>
      </c>
      <c r="Q1260" s="1" t="s">
        <v>703</v>
      </c>
      <c r="R1260" s="1" t="s">
        <v>32</v>
      </c>
      <c r="S1260" s="1" t="s">
        <v>704</v>
      </c>
      <c r="T1260" s="1" t="s">
        <v>32</v>
      </c>
      <c r="U1260" s="1" t="s">
        <v>705</v>
      </c>
      <c r="V1260" s="1" t="s">
        <v>442</v>
      </c>
      <c r="W1260" s="1" t="s">
        <v>48</v>
      </c>
      <c r="X1260" s="1" t="s">
        <v>706</v>
      </c>
      <c r="Y1260" s="1" t="s">
        <v>707</v>
      </c>
      <c r="Z1260" s="1" t="str">
        <f>TRIM(_xlfn.CONCAT(sales_data_sample[[#This Row],[CONTACTFIRSTNAME]],", ",sales_data_sample[[#This Row],[CONTACTLASTNAME]]))</f>
        <v>Palle, Ibsen</v>
      </c>
      <c r="AA1260" s="1" t="s">
        <v>59</v>
      </c>
    </row>
    <row r="1261" spans="1:27" x14ac:dyDescent="0.25">
      <c r="A1261">
        <v>10324</v>
      </c>
      <c r="B1261">
        <v>49</v>
      </c>
      <c r="C1261">
        <v>100</v>
      </c>
      <c r="D1261">
        <f>PRODUCT(sales_data_sample[[#This Row],[QUANTITYORDERED]],sales_data_sample[[#This Row],[PRICEEACH]])</f>
        <v>4900</v>
      </c>
      <c r="E1261" s="9">
        <f>IF(OR(sales_data_sample[[#This Row],[STATUS]]="Shipped",sales_data_sample[[#This Row],[STATUS]]="Resolved"),sales_data_sample[[#This Row],[SALES]],0)</f>
        <v>4900</v>
      </c>
      <c r="F1261">
        <v>13</v>
      </c>
      <c r="G1261" s="12" t="s">
        <v>532</v>
      </c>
      <c r="H1261" s="1" t="s">
        <v>26</v>
      </c>
      <c r="I1261">
        <v>4</v>
      </c>
      <c r="J1261">
        <v>11</v>
      </c>
      <c r="K1261">
        <v>2004</v>
      </c>
      <c r="L1261" s="1" t="s">
        <v>239</v>
      </c>
      <c r="M1261">
        <v>143</v>
      </c>
      <c r="N1261" s="1" t="s">
        <v>938</v>
      </c>
      <c r="O1261" s="1" t="s">
        <v>125</v>
      </c>
      <c r="P1261" s="1" t="s">
        <v>126</v>
      </c>
      <c r="Q1261" s="1" t="s">
        <v>127</v>
      </c>
      <c r="R1261" s="1" t="s">
        <v>128</v>
      </c>
      <c r="S1261" s="1" t="s">
        <v>33</v>
      </c>
      <c r="T1261" s="1" t="s">
        <v>34</v>
      </c>
      <c r="U1261" s="1" t="s">
        <v>35</v>
      </c>
      <c r="V1261" s="1" t="s">
        <v>36</v>
      </c>
      <c r="W1261" s="1" t="s">
        <v>37</v>
      </c>
      <c r="X1261" s="1" t="s">
        <v>129</v>
      </c>
      <c r="Y1261" s="1" t="s">
        <v>130</v>
      </c>
      <c r="Z1261" s="1" t="str">
        <f>TRIM(_xlfn.CONCAT(sales_data_sample[[#This Row],[CONTACTFIRSTNAME]],", ",sales_data_sample[[#This Row],[CONTACTLASTNAME]]))</f>
        <v>Michael, Frick</v>
      </c>
      <c r="AA1261" s="1" t="s">
        <v>59</v>
      </c>
    </row>
    <row r="1262" spans="1:27" x14ac:dyDescent="0.25">
      <c r="A1262">
        <v>10337</v>
      </c>
      <c r="B1262">
        <v>36</v>
      </c>
      <c r="C1262">
        <v>100</v>
      </c>
      <c r="D1262">
        <f>PRODUCT(sales_data_sample[[#This Row],[QUANTITYORDERED]],sales_data_sample[[#This Row],[PRICEEACH]])</f>
        <v>3600</v>
      </c>
      <c r="E1262" s="9">
        <f>IF(OR(sales_data_sample[[#This Row],[STATUS]]="Shipped",sales_data_sample[[#This Row],[STATUS]]="Resolved"),sales_data_sample[[#This Row],[SALES]],0)</f>
        <v>3600</v>
      </c>
      <c r="F1262">
        <v>3</v>
      </c>
      <c r="G1262" s="12" t="s">
        <v>533</v>
      </c>
      <c r="H1262" s="1" t="s">
        <v>26</v>
      </c>
      <c r="I1262">
        <v>4</v>
      </c>
      <c r="J1262">
        <v>11</v>
      </c>
      <c r="K1262">
        <v>2004</v>
      </c>
      <c r="L1262" s="1" t="s">
        <v>239</v>
      </c>
      <c r="M1262">
        <v>143</v>
      </c>
      <c r="N1262" s="1" t="s">
        <v>938</v>
      </c>
      <c r="O1262" s="1" t="s">
        <v>268</v>
      </c>
      <c r="P1262" s="1" t="s">
        <v>269</v>
      </c>
      <c r="Q1262" s="1" t="s">
        <v>270</v>
      </c>
      <c r="R1262" s="1" t="s">
        <v>271</v>
      </c>
      <c r="S1262" s="1" t="s">
        <v>33</v>
      </c>
      <c r="T1262" s="1" t="s">
        <v>34</v>
      </c>
      <c r="U1262" s="1" t="s">
        <v>35</v>
      </c>
      <c r="V1262" s="1" t="s">
        <v>36</v>
      </c>
      <c r="W1262" s="1" t="s">
        <v>37</v>
      </c>
      <c r="X1262" s="1" t="s">
        <v>162</v>
      </c>
      <c r="Y1262" s="1" t="s">
        <v>272</v>
      </c>
      <c r="Z1262" s="1" t="str">
        <f>TRIM(_xlfn.CONCAT(sales_data_sample[[#This Row],[CONTACTFIRSTNAME]],", ",sales_data_sample[[#This Row],[CONTACTLASTNAME]]))</f>
        <v>Maria, Hernandez</v>
      </c>
      <c r="AA1262" s="1" t="s">
        <v>59</v>
      </c>
    </row>
    <row r="1263" spans="1:27" x14ac:dyDescent="0.25">
      <c r="A1263">
        <v>10349</v>
      </c>
      <c r="B1263">
        <v>34</v>
      </c>
      <c r="C1263">
        <v>100</v>
      </c>
      <c r="D1263">
        <f>PRODUCT(sales_data_sample[[#This Row],[QUANTITYORDERED]],sales_data_sample[[#This Row],[PRICEEACH]])</f>
        <v>3400</v>
      </c>
      <c r="E1263" s="9">
        <f>IF(OR(sales_data_sample[[#This Row],[STATUS]]="Shipped",sales_data_sample[[#This Row],[STATUS]]="Resolved"),sales_data_sample[[#This Row],[SALES]],0)</f>
        <v>3400</v>
      </c>
      <c r="F1263">
        <v>5</v>
      </c>
      <c r="G1263" s="12" t="s">
        <v>737</v>
      </c>
      <c r="H1263" s="1" t="s">
        <v>26</v>
      </c>
      <c r="I1263">
        <v>4</v>
      </c>
      <c r="J1263">
        <v>12</v>
      </c>
      <c r="K1263">
        <v>2004</v>
      </c>
      <c r="L1263" s="1" t="s">
        <v>239</v>
      </c>
      <c r="M1263">
        <v>143</v>
      </c>
      <c r="N1263" s="1" t="s">
        <v>938</v>
      </c>
      <c r="O1263" s="1" t="s">
        <v>667</v>
      </c>
      <c r="P1263" s="1" t="s">
        <v>668</v>
      </c>
      <c r="Q1263" s="1" t="s">
        <v>669</v>
      </c>
      <c r="R1263" s="1" t="s">
        <v>670</v>
      </c>
      <c r="S1263" s="1" t="s">
        <v>33</v>
      </c>
      <c r="T1263" s="1" t="s">
        <v>34</v>
      </c>
      <c r="U1263" s="1" t="s">
        <v>35</v>
      </c>
      <c r="V1263" s="1" t="s">
        <v>36</v>
      </c>
      <c r="W1263" s="1" t="s">
        <v>37</v>
      </c>
      <c r="X1263" s="1" t="s">
        <v>67</v>
      </c>
      <c r="Y1263" s="1" t="s">
        <v>671</v>
      </c>
      <c r="Z1263" s="1" t="str">
        <f>TRIM(_xlfn.CONCAT(sales_data_sample[[#This Row],[CONTACTFIRSTNAME]],", ",sales_data_sample[[#This Row],[CONTACTLASTNAME]]))</f>
        <v>Jeff, Young</v>
      </c>
      <c r="AA1263" s="1" t="s">
        <v>59</v>
      </c>
    </row>
    <row r="1264" spans="1:27" x14ac:dyDescent="0.25">
      <c r="A1264" s="10">
        <v>10358</v>
      </c>
      <c r="B1264" s="9">
        <v>25</v>
      </c>
      <c r="C1264" s="9">
        <v>100</v>
      </c>
      <c r="D1264" s="9">
        <f>PRODUCT(sales_data_sample[[#This Row],[QUANTITYORDERED]],sales_data_sample[[#This Row],[PRICEEACH]])</f>
        <v>2500</v>
      </c>
      <c r="E1264" s="9">
        <f>IF(OR(sales_data_sample[[#This Row],[STATUS]]="Shipped",sales_data_sample[[#This Row],[STATUS]]="Resolved"),sales_data_sample[[#This Row],[SALES]],0)</f>
        <v>2500</v>
      </c>
      <c r="F1264" s="10">
        <v>13</v>
      </c>
      <c r="G1264" s="12" t="s">
        <v>376</v>
      </c>
      <c r="H1264" s="1" t="s">
        <v>26</v>
      </c>
      <c r="I1264">
        <v>4</v>
      </c>
      <c r="J1264">
        <v>12</v>
      </c>
      <c r="K1264">
        <v>2004</v>
      </c>
      <c r="L1264" s="1" t="s">
        <v>239</v>
      </c>
      <c r="M1264">
        <v>143</v>
      </c>
      <c r="N1264" s="1" t="s">
        <v>938</v>
      </c>
      <c r="O1264" s="1" t="s">
        <v>230</v>
      </c>
      <c r="P1264" s="1" t="s">
        <v>231</v>
      </c>
      <c r="Q1264" s="1" t="s">
        <v>232</v>
      </c>
      <c r="R1264" s="1" t="s">
        <v>32</v>
      </c>
      <c r="S1264" s="1" t="s">
        <v>233</v>
      </c>
      <c r="T1264" s="1" t="s">
        <v>32</v>
      </c>
      <c r="U1264" s="1" t="s">
        <v>234</v>
      </c>
      <c r="V1264" s="1" t="s">
        <v>235</v>
      </c>
      <c r="W1264" s="1" t="s">
        <v>48</v>
      </c>
      <c r="X1264" s="1" t="s">
        <v>236</v>
      </c>
      <c r="Y1264" s="1" t="s">
        <v>237</v>
      </c>
      <c r="Z1264" s="1" t="str">
        <f>TRIM(_xlfn.CONCAT(sales_data_sample[[#This Row],[CONTACTFIRSTNAME]],", ",sales_data_sample[[#This Row],[CONTACTLASTNAME]]))</f>
        <v>Diego, Freyre</v>
      </c>
      <c r="AA1264" s="1" t="s">
        <v>40</v>
      </c>
    </row>
    <row r="1265" spans="1:27" x14ac:dyDescent="0.25">
      <c r="A1265" s="10">
        <v>10372</v>
      </c>
      <c r="B1265" s="9">
        <v>48</v>
      </c>
      <c r="C1265" s="9">
        <v>100</v>
      </c>
      <c r="D1265" s="9">
        <f>PRODUCT(sales_data_sample[[#This Row],[QUANTITYORDERED]],sales_data_sample[[#This Row],[PRICEEACH]])</f>
        <v>4800</v>
      </c>
      <c r="E1265" s="9">
        <f>IF(OR(sales_data_sample[[#This Row],[STATUS]]="Shipped",sales_data_sample[[#This Row],[STATUS]]="Resolved"),sales_data_sample[[#This Row],[SALES]],0)</f>
        <v>4800</v>
      </c>
      <c r="F1265" s="10">
        <v>6</v>
      </c>
      <c r="G1265" s="12" t="s">
        <v>726</v>
      </c>
      <c r="H1265" s="1" t="s">
        <v>26</v>
      </c>
      <c r="I1265">
        <v>1</v>
      </c>
      <c r="J1265">
        <v>1</v>
      </c>
      <c r="K1265">
        <v>2005</v>
      </c>
      <c r="L1265" s="1" t="s">
        <v>239</v>
      </c>
      <c r="M1265">
        <v>143</v>
      </c>
      <c r="N1265" s="1" t="s">
        <v>938</v>
      </c>
      <c r="O1265" s="1" t="s">
        <v>328</v>
      </c>
      <c r="P1265" s="1" t="s">
        <v>329</v>
      </c>
      <c r="Q1265" s="1" t="s">
        <v>330</v>
      </c>
      <c r="R1265" s="1" t="s">
        <v>32</v>
      </c>
      <c r="S1265" s="1" t="s">
        <v>331</v>
      </c>
      <c r="T1265" s="1" t="s">
        <v>332</v>
      </c>
      <c r="U1265" s="1" t="s">
        <v>333</v>
      </c>
      <c r="V1265" s="1" t="s">
        <v>264</v>
      </c>
      <c r="W1265" s="1" t="s">
        <v>264</v>
      </c>
      <c r="X1265" s="1" t="s">
        <v>334</v>
      </c>
      <c r="Y1265" s="1" t="s">
        <v>335</v>
      </c>
      <c r="Z1265" s="1" t="str">
        <f>TRIM(_xlfn.CONCAT(sales_data_sample[[#This Row],[CONTACTFIRSTNAME]],", ",sales_data_sample[[#This Row],[CONTACTLASTNAME]]))</f>
        <v>Akiko, Shimamura</v>
      </c>
      <c r="AA1265" s="1" t="s">
        <v>199</v>
      </c>
    </row>
    <row r="1266" spans="1:27" x14ac:dyDescent="0.25">
      <c r="A1266" s="10">
        <v>10383</v>
      </c>
      <c r="B1266" s="9">
        <v>38</v>
      </c>
      <c r="C1266" s="9">
        <v>100</v>
      </c>
      <c r="D1266" s="9">
        <f>PRODUCT(sales_data_sample[[#This Row],[QUANTITYORDERED]],sales_data_sample[[#This Row],[PRICEEACH]])</f>
        <v>3800</v>
      </c>
      <c r="E1266" s="9">
        <f>IF(OR(sales_data_sample[[#This Row],[STATUS]]="Shipped",sales_data_sample[[#This Row],[STATUS]]="Resolved"),sales_data_sample[[#This Row],[SALES]],0)</f>
        <v>3800</v>
      </c>
      <c r="F1266" s="10">
        <v>1</v>
      </c>
      <c r="G1266" s="12" t="s">
        <v>884</v>
      </c>
      <c r="H1266" s="1" t="s">
        <v>26</v>
      </c>
      <c r="I1266">
        <v>1</v>
      </c>
      <c r="J1266">
        <v>2</v>
      </c>
      <c r="K1266">
        <v>2005</v>
      </c>
      <c r="L1266" s="1" t="s">
        <v>239</v>
      </c>
      <c r="M1266">
        <v>143</v>
      </c>
      <c r="N1266" s="1" t="s">
        <v>938</v>
      </c>
      <c r="O1266" s="1" t="s">
        <v>230</v>
      </c>
      <c r="P1266" s="1" t="s">
        <v>231</v>
      </c>
      <c r="Q1266" s="1" t="s">
        <v>232</v>
      </c>
      <c r="R1266" s="1" t="s">
        <v>32</v>
      </c>
      <c r="S1266" s="1" t="s">
        <v>233</v>
      </c>
      <c r="T1266" s="1" t="s">
        <v>32</v>
      </c>
      <c r="U1266" s="1" t="s">
        <v>234</v>
      </c>
      <c r="V1266" s="1" t="s">
        <v>235</v>
      </c>
      <c r="W1266" s="1" t="s">
        <v>48</v>
      </c>
      <c r="X1266" s="1" t="s">
        <v>236</v>
      </c>
      <c r="Y1266" s="1" t="s">
        <v>237</v>
      </c>
      <c r="Z1266" s="1" t="str">
        <f>TRIM(_xlfn.CONCAT(sales_data_sample[[#This Row],[CONTACTFIRSTNAME]],", ",sales_data_sample[[#This Row],[CONTACTLASTNAME]]))</f>
        <v>Diego, Freyre</v>
      </c>
      <c r="AA1266" s="1" t="s">
        <v>59</v>
      </c>
    </row>
    <row r="1267" spans="1:27" x14ac:dyDescent="0.25">
      <c r="A1267" s="10">
        <v>10394</v>
      </c>
      <c r="B1267" s="9">
        <v>37</v>
      </c>
      <c r="C1267" s="9">
        <v>100</v>
      </c>
      <c r="D1267" s="9">
        <f>PRODUCT(sales_data_sample[[#This Row],[QUANTITYORDERED]],sales_data_sample[[#This Row],[PRICEEACH]])</f>
        <v>3700</v>
      </c>
      <c r="E1267" s="9">
        <f>IF(OR(sales_data_sample[[#This Row],[STATUS]]="Shipped",sales_data_sample[[#This Row],[STATUS]]="Resolved"),sales_data_sample[[#This Row],[SALES]],0)</f>
        <v>3700</v>
      </c>
      <c r="F1267" s="10">
        <v>1</v>
      </c>
      <c r="G1267" s="12" t="s">
        <v>917</v>
      </c>
      <c r="H1267" s="1" t="s">
        <v>26</v>
      </c>
      <c r="I1267">
        <v>1</v>
      </c>
      <c r="J1267">
        <v>3</v>
      </c>
      <c r="K1267">
        <v>2005</v>
      </c>
      <c r="L1267" s="1" t="s">
        <v>239</v>
      </c>
      <c r="M1267">
        <v>143</v>
      </c>
      <c r="N1267" s="1" t="s">
        <v>938</v>
      </c>
      <c r="O1267" s="1" t="s">
        <v>230</v>
      </c>
      <c r="P1267" s="1" t="s">
        <v>231</v>
      </c>
      <c r="Q1267" s="1" t="s">
        <v>232</v>
      </c>
      <c r="R1267" s="1" t="s">
        <v>32</v>
      </c>
      <c r="S1267" s="1" t="s">
        <v>233</v>
      </c>
      <c r="T1267" s="1" t="s">
        <v>32</v>
      </c>
      <c r="U1267" s="1" t="s">
        <v>234</v>
      </c>
      <c r="V1267" s="1" t="s">
        <v>235</v>
      </c>
      <c r="W1267" s="1" t="s">
        <v>48</v>
      </c>
      <c r="X1267" s="1" t="s">
        <v>236</v>
      </c>
      <c r="Y1267" s="1" t="s">
        <v>237</v>
      </c>
      <c r="Z1267" s="1" t="str">
        <f>TRIM(_xlfn.CONCAT(sales_data_sample[[#This Row],[CONTACTFIRSTNAME]],", ",sales_data_sample[[#This Row],[CONTACTLASTNAME]]))</f>
        <v>Diego, Freyre</v>
      </c>
      <c r="AA1267" s="1" t="s">
        <v>59</v>
      </c>
    </row>
    <row r="1268" spans="1:27" x14ac:dyDescent="0.25">
      <c r="A1268" s="10">
        <v>10413</v>
      </c>
      <c r="B1268" s="9">
        <v>49</v>
      </c>
      <c r="C1268" s="9">
        <v>100</v>
      </c>
      <c r="D1268" s="9">
        <f>PRODUCT(sales_data_sample[[#This Row],[QUANTITYORDERED]],sales_data_sample[[#This Row],[PRICEEACH]])</f>
        <v>4900</v>
      </c>
      <c r="E1268" s="9">
        <f>IF(OR(sales_data_sample[[#This Row],[STATUS]]="Shipped",sales_data_sample[[#This Row],[STATUS]]="Resolved"),sales_data_sample[[#This Row],[SALES]],0)</f>
        <v>4900</v>
      </c>
      <c r="F1268" s="10">
        <v>5</v>
      </c>
      <c r="G1268" s="12" t="s">
        <v>710</v>
      </c>
      <c r="H1268" s="1" t="s">
        <v>26</v>
      </c>
      <c r="I1268">
        <v>2</v>
      </c>
      <c r="J1268">
        <v>5</v>
      </c>
      <c r="K1268">
        <v>2005</v>
      </c>
      <c r="L1268" s="1" t="s">
        <v>239</v>
      </c>
      <c r="M1268">
        <v>143</v>
      </c>
      <c r="N1268" s="1" t="s">
        <v>938</v>
      </c>
      <c r="O1268" s="1" t="s">
        <v>140</v>
      </c>
      <c r="P1268" s="1" t="s">
        <v>141</v>
      </c>
      <c r="Q1268" s="1" t="s">
        <v>142</v>
      </c>
      <c r="R1268" s="1" t="s">
        <v>32</v>
      </c>
      <c r="S1268" s="1" t="s">
        <v>143</v>
      </c>
      <c r="T1268" s="1" t="s">
        <v>144</v>
      </c>
      <c r="U1268" s="1" t="s">
        <v>145</v>
      </c>
      <c r="V1268" s="1" t="s">
        <v>36</v>
      </c>
      <c r="W1268" s="1" t="s">
        <v>37</v>
      </c>
      <c r="X1268" s="1" t="s">
        <v>146</v>
      </c>
      <c r="Y1268" s="1" t="s">
        <v>68</v>
      </c>
      <c r="Z1268" s="1" t="str">
        <f>TRIM(_xlfn.CONCAT(sales_data_sample[[#This Row],[CONTACTFIRSTNAME]],", ",sales_data_sample[[#This Row],[CONTACTLASTNAME]]))</f>
        <v>Julie, King</v>
      </c>
      <c r="AA1268" s="1" t="s">
        <v>59</v>
      </c>
    </row>
    <row r="1269" spans="1:27" x14ac:dyDescent="0.25">
      <c r="A1269" s="10">
        <v>10100</v>
      </c>
      <c r="B1269" s="9">
        <v>22</v>
      </c>
      <c r="C1269" s="9">
        <v>8651</v>
      </c>
      <c r="D1269" s="9">
        <f>PRODUCT(sales_data_sample[[#This Row],[QUANTITYORDERED]],sales_data_sample[[#This Row],[PRICEEACH]])</f>
        <v>190322</v>
      </c>
      <c r="E1269" s="9">
        <f>IF(OR(sales_data_sample[[#This Row],[STATUS]]="Shipped",sales_data_sample[[#This Row],[STATUS]]="Resolved"),sales_data_sample[[#This Row],[SALES]],0)</f>
        <v>190322</v>
      </c>
      <c r="F1269" s="10">
        <v>4</v>
      </c>
      <c r="G1269" s="12" t="s">
        <v>872</v>
      </c>
      <c r="H1269" s="1" t="s">
        <v>26</v>
      </c>
      <c r="I1269">
        <v>1</v>
      </c>
      <c r="J1269">
        <v>1</v>
      </c>
      <c r="K1269">
        <v>2003</v>
      </c>
      <c r="L1269" s="1" t="s">
        <v>799</v>
      </c>
      <c r="M1269">
        <v>92</v>
      </c>
      <c r="N1269" s="1" t="s">
        <v>940</v>
      </c>
      <c r="O1269" s="1" t="s">
        <v>368</v>
      </c>
      <c r="P1269" s="1" t="s">
        <v>369</v>
      </c>
      <c r="Q1269" s="1" t="s">
        <v>370</v>
      </c>
      <c r="R1269" s="1" t="s">
        <v>32</v>
      </c>
      <c r="S1269" s="1" t="s">
        <v>371</v>
      </c>
      <c r="T1269" s="1" t="s">
        <v>372</v>
      </c>
      <c r="U1269" s="1" t="s">
        <v>373</v>
      </c>
      <c r="V1269" s="1" t="s">
        <v>36</v>
      </c>
      <c r="W1269" s="1" t="s">
        <v>37</v>
      </c>
      <c r="X1269" s="1" t="s">
        <v>67</v>
      </c>
      <c r="Y1269" s="1" t="s">
        <v>366</v>
      </c>
      <c r="Z1269" s="1" t="str">
        <f>TRIM(_xlfn.CONCAT(sales_data_sample[[#This Row],[CONTACTFIRSTNAME]],", ",sales_data_sample[[#This Row],[CONTACTLASTNAME]]))</f>
        <v>Valarie, Young</v>
      </c>
      <c r="AA1269" s="1" t="s">
        <v>40</v>
      </c>
    </row>
    <row r="1270" spans="1:27" x14ac:dyDescent="0.25">
      <c r="A1270" s="10">
        <v>10110</v>
      </c>
      <c r="B1270" s="9">
        <v>28</v>
      </c>
      <c r="C1270" s="9">
        <v>8927</v>
      </c>
      <c r="D1270" s="9">
        <f>PRODUCT(sales_data_sample[[#This Row],[QUANTITYORDERED]],sales_data_sample[[#This Row],[PRICEEACH]])</f>
        <v>249956</v>
      </c>
      <c r="E1270" s="9">
        <f>IF(OR(sales_data_sample[[#This Row],[STATUS]]="Shipped",sales_data_sample[[#This Row],[STATUS]]="Resolved"),sales_data_sample[[#This Row],[SALES]],0)</f>
        <v>249956</v>
      </c>
      <c r="F1270" s="10">
        <v>8</v>
      </c>
      <c r="G1270" s="12" t="s">
        <v>829</v>
      </c>
      <c r="H1270" s="1" t="s">
        <v>26</v>
      </c>
      <c r="I1270">
        <v>1</v>
      </c>
      <c r="J1270">
        <v>3</v>
      </c>
      <c r="K1270">
        <v>2003</v>
      </c>
      <c r="L1270" s="1" t="s">
        <v>799</v>
      </c>
      <c r="M1270">
        <v>92</v>
      </c>
      <c r="N1270" s="1" t="s">
        <v>940</v>
      </c>
      <c r="O1270" s="1" t="s">
        <v>695</v>
      </c>
      <c r="P1270" s="1" t="s">
        <v>696</v>
      </c>
      <c r="Q1270" s="1" t="s">
        <v>697</v>
      </c>
      <c r="R1270" s="1" t="s">
        <v>32</v>
      </c>
      <c r="S1270" s="1" t="s">
        <v>698</v>
      </c>
      <c r="T1270" s="1" t="s">
        <v>32</v>
      </c>
      <c r="U1270" s="1" t="s">
        <v>699</v>
      </c>
      <c r="V1270" s="1" t="s">
        <v>225</v>
      </c>
      <c r="W1270" s="1" t="s">
        <v>48</v>
      </c>
      <c r="X1270" s="1" t="s">
        <v>700</v>
      </c>
      <c r="Y1270" s="1" t="s">
        <v>118</v>
      </c>
      <c r="Z1270" s="1" t="str">
        <f>TRIM(_xlfn.CONCAT(sales_data_sample[[#This Row],[CONTACTFIRSTNAME]],", ",sales_data_sample[[#This Row],[CONTACTLASTNAME]]))</f>
        <v>Victoria, Ashworth</v>
      </c>
      <c r="AA1270" s="1" t="s">
        <v>40</v>
      </c>
    </row>
    <row r="1271" spans="1:27" x14ac:dyDescent="0.25">
      <c r="A1271" s="10">
        <v>10124</v>
      </c>
      <c r="B1271" s="9">
        <v>36</v>
      </c>
      <c r="C1271" s="9">
        <v>8559</v>
      </c>
      <c r="D1271" s="9">
        <f>PRODUCT(sales_data_sample[[#This Row],[QUANTITYORDERED]],sales_data_sample[[#This Row],[PRICEEACH]])</f>
        <v>308124</v>
      </c>
      <c r="E1271" s="9">
        <f>IF(OR(sales_data_sample[[#This Row],[STATUS]]="Shipped",sales_data_sample[[#This Row],[STATUS]]="Resolved"),sales_data_sample[[#This Row],[SALES]],0)</f>
        <v>308124</v>
      </c>
      <c r="F1271" s="10">
        <v>7</v>
      </c>
      <c r="G1271" s="12" t="s">
        <v>802</v>
      </c>
      <c r="H1271" s="1" t="s">
        <v>26</v>
      </c>
      <c r="I1271">
        <v>2</v>
      </c>
      <c r="J1271">
        <v>5</v>
      </c>
      <c r="K1271">
        <v>2003</v>
      </c>
      <c r="L1271" s="1" t="s">
        <v>799</v>
      </c>
      <c r="M1271">
        <v>92</v>
      </c>
      <c r="N1271" s="1" t="s">
        <v>940</v>
      </c>
      <c r="O1271" s="1" t="s">
        <v>779</v>
      </c>
      <c r="P1271" s="1" t="s">
        <v>780</v>
      </c>
      <c r="Q1271" s="1" t="s">
        <v>781</v>
      </c>
      <c r="R1271" s="1" t="s">
        <v>32</v>
      </c>
      <c r="S1271" s="1" t="s">
        <v>782</v>
      </c>
      <c r="T1271" s="1" t="s">
        <v>783</v>
      </c>
      <c r="U1271" s="1" t="s">
        <v>784</v>
      </c>
      <c r="V1271" s="1" t="s">
        <v>36</v>
      </c>
      <c r="W1271" s="1" t="s">
        <v>37</v>
      </c>
      <c r="X1271" s="1" t="s">
        <v>146</v>
      </c>
      <c r="Y1271" s="1" t="s">
        <v>551</v>
      </c>
      <c r="Z1271" s="1" t="str">
        <f>TRIM(_xlfn.CONCAT(sales_data_sample[[#This Row],[CONTACTFIRSTNAME]],", ",sales_data_sample[[#This Row],[CONTACTLASTNAME]]))</f>
        <v>Sue, King</v>
      </c>
      <c r="AA1271" s="1" t="s">
        <v>59</v>
      </c>
    </row>
    <row r="1272" spans="1:27" x14ac:dyDescent="0.25">
      <c r="A1272">
        <v>10148</v>
      </c>
      <c r="B1272">
        <v>34</v>
      </c>
      <c r="C1272">
        <v>100</v>
      </c>
      <c r="D1272">
        <f>PRODUCT(sales_data_sample[[#This Row],[QUANTITYORDERED]],sales_data_sample[[#This Row],[PRICEEACH]])</f>
        <v>3400</v>
      </c>
      <c r="E1272" s="9">
        <f>IF(OR(sales_data_sample[[#This Row],[STATUS]]="Shipped",sales_data_sample[[#This Row],[STATUS]]="Resolved"),sales_data_sample[[#This Row],[SALES]],0)</f>
        <v>3400</v>
      </c>
      <c r="F1272">
        <v>1</v>
      </c>
      <c r="G1272" s="12" t="s">
        <v>774</v>
      </c>
      <c r="H1272" s="1" t="s">
        <v>26</v>
      </c>
      <c r="I1272">
        <v>3</v>
      </c>
      <c r="J1272">
        <v>9</v>
      </c>
      <c r="K1272">
        <v>2003</v>
      </c>
      <c r="L1272" s="1" t="s">
        <v>799</v>
      </c>
      <c r="M1272">
        <v>92</v>
      </c>
      <c r="N1272" s="1" t="s">
        <v>940</v>
      </c>
      <c r="O1272" s="1" t="s">
        <v>385</v>
      </c>
      <c r="P1272" s="1" t="s">
        <v>386</v>
      </c>
      <c r="Q1272" s="1" t="s">
        <v>387</v>
      </c>
      <c r="R1272" s="1" t="s">
        <v>388</v>
      </c>
      <c r="S1272" s="1" t="s">
        <v>389</v>
      </c>
      <c r="T1272" s="1" t="s">
        <v>206</v>
      </c>
      <c r="U1272" s="1" t="s">
        <v>390</v>
      </c>
      <c r="V1272" s="1" t="s">
        <v>120</v>
      </c>
      <c r="W1272" s="1" t="s">
        <v>121</v>
      </c>
      <c r="X1272" s="1" t="s">
        <v>391</v>
      </c>
      <c r="Y1272" s="1" t="s">
        <v>392</v>
      </c>
      <c r="Z1272" s="1" t="str">
        <f>TRIM(_xlfn.CONCAT(sales_data_sample[[#This Row],[CONTACTFIRSTNAME]],", ",sales_data_sample[[#This Row],[CONTACTLASTNAME]]))</f>
        <v>Anna, O'Hara</v>
      </c>
      <c r="AA1272" s="1" t="s">
        <v>59</v>
      </c>
    </row>
    <row r="1273" spans="1:27" x14ac:dyDescent="0.25">
      <c r="A1273" s="10">
        <v>10162</v>
      </c>
      <c r="B1273" s="9">
        <v>39</v>
      </c>
      <c r="C1273" s="9">
        <v>100</v>
      </c>
      <c r="D1273" s="9">
        <f>PRODUCT(sales_data_sample[[#This Row],[QUANTITYORDERED]],sales_data_sample[[#This Row],[PRICEEACH]])</f>
        <v>3900</v>
      </c>
      <c r="E1273" s="9">
        <f>IF(OR(sales_data_sample[[#This Row],[STATUS]]="Shipped",sales_data_sample[[#This Row],[STATUS]]="Resolved"),sales_data_sample[[#This Row],[SALES]],0)</f>
        <v>3900</v>
      </c>
      <c r="F1273" s="10">
        <v>10</v>
      </c>
      <c r="G1273" s="12" t="s">
        <v>805</v>
      </c>
      <c r="H1273" s="1" t="s">
        <v>26</v>
      </c>
      <c r="I1273">
        <v>4</v>
      </c>
      <c r="J1273">
        <v>10</v>
      </c>
      <c r="K1273">
        <v>2003</v>
      </c>
      <c r="L1273" s="1" t="s">
        <v>799</v>
      </c>
      <c r="M1273">
        <v>92</v>
      </c>
      <c r="N1273" s="1" t="s">
        <v>940</v>
      </c>
      <c r="O1273" s="1" t="s">
        <v>70</v>
      </c>
      <c r="P1273" s="1" t="s">
        <v>71</v>
      </c>
      <c r="Q1273" s="1" t="s">
        <v>72</v>
      </c>
      <c r="R1273" s="1" t="s">
        <v>32</v>
      </c>
      <c r="S1273" s="1" t="s">
        <v>73</v>
      </c>
      <c r="T1273" s="1" t="s">
        <v>65</v>
      </c>
      <c r="U1273" s="1" t="s">
        <v>32</v>
      </c>
      <c r="V1273" s="1" t="s">
        <v>36</v>
      </c>
      <c r="W1273" s="1" t="s">
        <v>37</v>
      </c>
      <c r="X1273" s="1" t="s">
        <v>74</v>
      </c>
      <c r="Y1273" s="1" t="s">
        <v>68</v>
      </c>
      <c r="Z1273" s="1" t="str">
        <f>TRIM(_xlfn.CONCAT(sales_data_sample[[#This Row],[CONTACTFIRSTNAME]],", ",sales_data_sample[[#This Row],[CONTACTLASTNAME]]))</f>
        <v>Julie, Brown</v>
      </c>
      <c r="AA1273" s="1" t="s">
        <v>59</v>
      </c>
    </row>
    <row r="1274" spans="1:27" x14ac:dyDescent="0.25">
      <c r="A1274" s="10">
        <v>10173</v>
      </c>
      <c r="B1274" s="9">
        <v>21</v>
      </c>
      <c r="C1274" s="9">
        <v>7546</v>
      </c>
      <c r="D1274" s="9">
        <f>PRODUCT(sales_data_sample[[#This Row],[QUANTITYORDERED]],sales_data_sample[[#This Row],[PRICEEACH]])</f>
        <v>158466</v>
      </c>
      <c r="E1274" s="9">
        <f>IF(OR(sales_data_sample[[#This Row],[STATUS]]="Shipped",sales_data_sample[[#This Row],[STATUS]]="Resolved"),sales_data_sample[[#This Row],[SALES]],0)</f>
        <v>158466</v>
      </c>
      <c r="F1274" s="10">
        <v>14</v>
      </c>
      <c r="G1274" s="12" t="s">
        <v>776</v>
      </c>
      <c r="H1274" s="1" t="s">
        <v>26</v>
      </c>
      <c r="I1274">
        <v>4</v>
      </c>
      <c r="J1274">
        <v>11</v>
      </c>
      <c r="K1274">
        <v>2003</v>
      </c>
      <c r="L1274" s="1" t="s">
        <v>799</v>
      </c>
      <c r="M1274">
        <v>92</v>
      </c>
      <c r="N1274" s="1" t="s">
        <v>940</v>
      </c>
      <c r="O1274" s="1" t="s">
        <v>806</v>
      </c>
      <c r="P1274" s="1" t="s">
        <v>807</v>
      </c>
      <c r="Q1274" s="1" t="s">
        <v>808</v>
      </c>
      <c r="R1274" s="1" t="s">
        <v>32</v>
      </c>
      <c r="S1274" s="1" t="s">
        <v>809</v>
      </c>
      <c r="T1274" s="1" t="s">
        <v>32</v>
      </c>
      <c r="U1274" s="1" t="s">
        <v>810</v>
      </c>
      <c r="V1274" s="1" t="s">
        <v>343</v>
      </c>
      <c r="W1274" s="1" t="s">
        <v>48</v>
      </c>
      <c r="X1274" s="1" t="s">
        <v>811</v>
      </c>
      <c r="Y1274" s="1" t="s">
        <v>812</v>
      </c>
      <c r="Z1274" s="1" t="str">
        <f>TRIM(_xlfn.CONCAT(sales_data_sample[[#This Row],[CONTACTFIRSTNAME]],", ",sales_data_sample[[#This Row],[CONTACTLASTNAME]]))</f>
        <v>Giovanni, Rovelli</v>
      </c>
      <c r="AA1274" s="1" t="s">
        <v>40</v>
      </c>
    </row>
    <row r="1275" spans="1:27" x14ac:dyDescent="0.25">
      <c r="A1275" s="10">
        <v>10182</v>
      </c>
      <c r="B1275" s="9">
        <v>36</v>
      </c>
      <c r="C1275" s="9">
        <v>100</v>
      </c>
      <c r="D1275" s="9">
        <f>PRODUCT(sales_data_sample[[#This Row],[QUANTITYORDERED]],sales_data_sample[[#This Row],[PRICEEACH]])</f>
        <v>3600</v>
      </c>
      <c r="E1275" s="9">
        <f>IF(OR(sales_data_sample[[#This Row],[STATUS]]="Shipped",sales_data_sample[[#This Row],[STATUS]]="Resolved"),sales_data_sample[[#This Row],[SALES]],0)</f>
        <v>3600</v>
      </c>
      <c r="F1275" s="10">
        <v>11</v>
      </c>
      <c r="G1275" s="12" t="s">
        <v>610</v>
      </c>
      <c r="H1275" s="1" t="s">
        <v>26</v>
      </c>
      <c r="I1275">
        <v>4</v>
      </c>
      <c r="J1275">
        <v>11</v>
      </c>
      <c r="K1275">
        <v>2003</v>
      </c>
      <c r="L1275" s="1" t="s">
        <v>799</v>
      </c>
      <c r="M1275">
        <v>92</v>
      </c>
      <c r="N1275" s="1" t="s">
        <v>940</v>
      </c>
      <c r="O1275" s="1" t="s">
        <v>361</v>
      </c>
      <c r="P1275" s="1" t="s">
        <v>362</v>
      </c>
      <c r="Q1275" s="1" t="s">
        <v>363</v>
      </c>
      <c r="R1275" s="1" t="s">
        <v>32</v>
      </c>
      <c r="S1275" s="1" t="s">
        <v>364</v>
      </c>
      <c r="T1275" s="1" t="s">
        <v>65</v>
      </c>
      <c r="U1275" s="1" t="s">
        <v>145</v>
      </c>
      <c r="V1275" s="1" t="s">
        <v>36</v>
      </c>
      <c r="W1275" s="1" t="s">
        <v>37</v>
      </c>
      <c r="X1275" s="1" t="s">
        <v>365</v>
      </c>
      <c r="Y1275" s="1" t="s">
        <v>366</v>
      </c>
      <c r="Z1275" s="1" t="str">
        <f>TRIM(_xlfn.CONCAT(sales_data_sample[[#This Row],[CONTACTFIRSTNAME]],", ",sales_data_sample[[#This Row],[CONTACTLASTNAME]]))</f>
        <v>Valarie, Nelson</v>
      </c>
      <c r="AA1275" s="1" t="s">
        <v>59</v>
      </c>
    </row>
    <row r="1276" spans="1:27" x14ac:dyDescent="0.25">
      <c r="A1276" s="10">
        <v>10193</v>
      </c>
      <c r="B1276" s="9">
        <v>24</v>
      </c>
      <c r="C1276" s="9">
        <v>9755</v>
      </c>
      <c r="D1276" s="9">
        <f>PRODUCT(sales_data_sample[[#This Row],[QUANTITYORDERED]],sales_data_sample[[#This Row],[PRICEEACH]])</f>
        <v>234120</v>
      </c>
      <c r="E1276" s="9">
        <f>IF(OR(sales_data_sample[[#This Row],[STATUS]]="Shipped",sales_data_sample[[#This Row],[STATUS]]="Resolved"),sales_data_sample[[#This Row],[SALES]],0)</f>
        <v>234120</v>
      </c>
      <c r="F1276" s="10">
        <v>15</v>
      </c>
      <c r="G1276" s="12" t="s">
        <v>813</v>
      </c>
      <c r="H1276" s="1" t="s">
        <v>26</v>
      </c>
      <c r="I1276">
        <v>4</v>
      </c>
      <c r="J1276">
        <v>11</v>
      </c>
      <c r="K1276">
        <v>2003</v>
      </c>
      <c r="L1276" s="1" t="s">
        <v>799</v>
      </c>
      <c r="M1276">
        <v>92</v>
      </c>
      <c r="N1276" s="1" t="s">
        <v>940</v>
      </c>
      <c r="O1276" s="1" t="s">
        <v>814</v>
      </c>
      <c r="P1276" s="1" t="s">
        <v>815</v>
      </c>
      <c r="Q1276" s="1" t="s">
        <v>816</v>
      </c>
      <c r="R1276" s="1" t="s">
        <v>32</v>
      </c>
      <c r="S1276" s="1" t="s">
        <v>817</v>
      </c>
      <c r="T1276" s="1" t="s">
        <v>118</v>
      </c>
      <c r="U1276" s="1" t="s">
        <v>818</v>
      </c>
      <c r="V1276" s="1" t="s">
        <v>120</v>
      </c>
      <c r="W1276" s="1" t="s">
        <v>121</v>
      </c>
      <c r="X1276" s="1" t="s">
        <v>819</v>
      </c>
      <c r="Y1276" s="1" t="s">
        <v>820</v>
      </c>
      <c r="Z1276" s="1" t="str">
        <f>TRIM(_xlfn.CONCAT(sales_data_sample[[#This Row],[CONTACTFIRSTNAME]],", ",sales_data_sample[[#This Row],[CONTACTLASTNAME]]))</f>
        <v>Sean, Connery</v>
      </c>
      <c r="AA1276" s="1" t="s">
        <v>40</v>
      </c>
    </row>
    <row r="1277" spans="1:27" x14ac:dyDescent="0.25">
      <c r="A1277">
        <v>10204</v>
      </c>
      <c r="B1277">
        <v>29</v>
      </c>
      <c r="C1277">
        <v>8559</v>
      </c>
      <c r="D1277">
        <f>PRODUCT(sales_data_sample[[#This Row],[QUANTITYORDERED]],sales_data_sample[[#This Row],[PRICEEACH]])</f>
        <v>248211</v>
      </c>
      <c r="E1277" s="9">
        <f>IF(OR(sales_data_sample[[#This Row],[STATUS]]="Shipped",sales_data_sample[[#This Row],[STATUS]]="Resolved"),sales_data_sample[[#This Row],[SALES]],0)</f>
        <v>248211</v>
      </c>
      <c r="F1277">
        <v>5</v>
      </c>
      <c r="G1277" s="12" t="s">
        <v>620</v>
      </c>
      <c r="H1277" s="1" t="s">
        <v>26</v>
      </c>
      <c r="I1277">
        <v>4</v>
      </c>
      <c r="J1277">
        <v>12</v>
      </c>
      <c r="K1277">
        <v>2003</v>
      </c>
      <c r="L1277" s="1" t="s">
        <v>799</v>
      </c>
      <c r="M1277">
        <v>92</v>
      </c>
      <c r="N1277" s="1" t="s">
        <v>940</v>
      </c>
      <c r="O1277" s="1" t="s">
        <v>667</v>
      </c>
      <c r="P1277" s="1" t="s">
        <v>668</v>
      </c>
      <c r="Q1277" s="1" t="s">
        <v>669</v>
      </c>
      <c r="R1277" s="1" t="s">
        <v>670</v>
      </c>
      <c r="S1277" s="1" t="s">
        <v>33</v>
      </c>
      <c r="T1277" s="1" t="s">
        <v>34</v>
      </c>
      <c r="U1277" s="1" t="s">
        <v>35</v>
      </c>
      <c r="V1277" s="1" t="s">
        <v>36</v>
      </c>
      <c r="W1277" s="1" t="s">
        <v>37</v>
      </c>
      <c r="X1277" s="1" t="s">
        <v>67</v>
      </c>
      <c r="Y1277" s="1" t="s">
        <v>671</v>
      </c>
      <c r="Z1277" s="1" t="str">
        <f>TRIM(_xlfn.CONCAT(sales_data_sample[[#This Row],[CONTACTFIRSTNAME]],", ",sales_data_sample[[#This Row],[CONTACTLASTNAME]]))</f>
        <v>Jeff, Young</v>
      </c>
      <c r="AA1277" s="1" t="s">
        <v>40</v>
      </c>
    </row>
    <row r="1278" spans="1:27" x14ac:dyDescent="0.25">
      <c r="A1278" s="10">
        <v>10213</v>
      </c>
      <c r="B1278" s="9">
        <v>38</v>
      </c>
      <c r="C1278" s="9">
        <v>9479</v>
      </c>
      <c r="D1278" s="9">
        <f>PRODUCT(sales_data_sample[[#This Row],[QUANTITYORDERED]],sales_data_sample[[#This Row],[PRICEEACH]])</f>
        <v>360202</v>
      </c>
      <c r="E1278" s="9">
        <f>IF(OR(sales_data_sample[[#This Row],[STATUS]]="Shipped",sales_data_sample[[#This Row],[STATUS]]="Resolved"),sales_data_sample[[#This Row],[SALES]],0)</f>
        <v>360202</v>
      </c>
      <c r="F1278" s="10">
        <v>1</v>
      </c>
      <c r="G1278" s="12" t="s">
        <v>941</v>
      </c>
      <c r="H1278" s="1" t="s">
        <v>26</v>
      </c>
      <c r="I1278">
        <v>1</v>
      </c>
      <c r="J1278">
        <v>1</v>
      </c>
      <c r="K1278">
        <v>2004</v>
      </c>
      <c r="L1278" s="1" t="s">
        <v>799</v>
      </c>
      <c r="M1278">
        <v>92</v>
      </c>
      <c r="N1278" s="1" t="s">
        <v>940</v>
      </c>
      <c r="O1278" s="1" t="s">
        <v>471</v>
      </c>
      <c r="P1278" s="1" t="s">
        <v>472</v>
      </c>
      <c r="Q1278" s="1" t="s">
        <v>473</v>
      </c>
      <c r="R1278" s="1" t="s">
        <v>32</v>
      </c>
      <c r="S1278" s="1" t="s">
        <v>450</v>
      </c>
      <c r="T1278" s="1" t="s">
        <v>32</v>
      </c>
      <c r="U1278" s="1" t="s">
        <v>474</v>
      </c>
      <c r="V1278" s="1" t="s">
        <v>225</v>
      </c>
      <c r="W1278" s="1" t="s">
        <v>48</v>
      </c>
      <c r="X1278" s="1" t="s">
        <v>475</v>
      </c>
      <c r="Y1278" s="1" t="s">
        <v>476</v>
      </c>
      <c r="Z1278" s="1" t="str">
        <f>TRIM(_xlfn.CONCAT(sales_data_sample[[#This Row],[CONTACTFIRSTNAME]],", ",sales_data_sample[[#This Row],[CONTACTLASTNAME]]))</f>
        <v>Thomas, Hardy</v>
      </c>
      <c r="AA1278" s="1" t="s">
        <v>59</v>
      </c>
    </row>
    <row r="1279" spans="1:27" x14ac:dyDescent="0.25">
      <c r="A1279" s="10">
        <v>10227</v>
      </c>
      <c r="B1279" s="9">
        <v>34</v>
      </c>
      <c r="C1279" s="9">
        <v>100</v>
      </c>
      <c r="D1279" s="9">
        <f>PRODUCT(sales_data_sample[[#This Row],[QUANTITYORDERED]],sales_data_sample[[#This Row],[PRICEEACH]])</f>
        <v>3400</v>
      </c>
      <c r="E1279" s="9">
        <f>IF(OR(sales_data_sample[[#This Row],[STATUS]]="Shipped",sales_data_sample[[#This Row],[STATUS]]="Resolved"),sales_data_sample[[#This Row],[SALES]],0)</f>
        <v>3400</v>
      </c>
      <c r="F1279" s="10">
        <v>11</v>
      </c>
      <c r="G1279" s="12" t="s">
        <v>822</v>
      </c>
      <c r="H1279" s="1" t="s">
        <v>26</v>
      </c>
      <c r="I1279">
        <v>1</v>
      </c>
      <c r="J1279">
        <v>3</v>
      </c>
      <c r="K1279">
        <v>2004</v>
      </c>
      <c r="L1279" s="1" t="s">
        <v>799</v>
      </c>
      <c r="M1279">
        <v>92</v>
      </c>
      <c r="N1279" s="1" t="s">
        <v>940</v>
      </c>
      <c r="O1279" s="1" t="s">
        <v>291</v>
      </c>
      <c r="P1279" s="1" t="s">
        <v>292</v>
      </c>
      <c r="Q1279" s="1" t="s">
        <v>293</v>
      </c>
      <c r="R1279" s="1" t="s">
        <v>32</v>
      </c>
      <c r="S1279" s="1" t="s">
        <v>294</v>
      </c>
      <c r="T1279" s="1" t="s">
        <v>32</v>
      </c>
      <c r="U1279" s="1" t="s">
        <v>295</v>
      </c>
      <c r="V1279" s="1" t="s">
        <v>47</v>
      </c>
      <c r="W1279" s="1" t="s">
        <v>48</v>
      </c>
      <c r="X1279" s="1" t="s">
        <v>296</v>
      </c>
      <c r="Y1279" s="1" t="s">
        <v>297</v>
      </c>
      <c r="Z1279" s="1" t="str">
        <f>TRIM(_xlfn.CONCAT(sales_data_sample[[#This Row],[CONTACTFIRSTNAME]],", ",sales_data_sample[[#This Row],[CONTACTLASTNAME]]))</f>
        <v>Mary, Saveley</v>
      </c>
      <c r="AA1279" s="1" t="s">
        <v>59</v>
      </c>
    </row>
    <row r="1280" spans="1:27" x14ac:dyDescent="0.25">
      <c r="A1280" s="10">
        <v>10241</v>
      </c>
      <c r="B1280" s="9">
        <v>42</v>
      </c>
      <c r="C1280" s="9">
        <v>9019</v>
      </c>
      <c r="D1280" s="9">
        <f>PRODUCT(sales_data_sample[[#This Row],[QUANTITYORDERED]],sales_data_sample[[#This Row],[PRICEEACH]])</f>
        <v>378798</v>
      </c>
      <c r="E1280" s="9">
        <f>IF(OR(sales_data_sample[[#This Row],[STATUS]]="Shipped",sales_data_sample[[#This Row],[STATUS]]="Resolved"),sales_data_sample[[#This Row],[SALES]],0)</f>
        <v>378798</v>
      </c>
      <c r="F1280" s="10">
        <v>3</v>
      </c>
      <c r="G1280" s="12" t="s">
        <v>777</v>
      </c>
      <c r="H1280" s="1" t="s">
        <v>26</v>
      </c>
      <c r="I1280">
        <v>2</v>
      </c>
      <c r="J1280">
        <v>4</v>
      </c>
      <c r="K1280">
        <v>2004</v>
      </c>
      <c r="L1280" s="1" t="s">
        <v>799</v>
      </c>
      <c r="M1280">
        <v>92</v>
      </c>
      <c r="N1280" s="1" t="s">
        <v>940</v>
      </c>
      <c r="O1280" s="1" t="s">
        <v>763</v>
      </c>
      <c r="P1280" s="1" t="s">
        <v>764</v>
      </c>
      <c r="Q1280" s="1" t="s">
        <v>765</v>
      </c>
      <c r="R1280" s="1" t="s">
        <v>32</v>
      </c>
      <c r="S1280" s="1" t="s">
        <v>766</v>
      </c>
      <c r="T1280" s="1" t="s">
        <v>32</v>
      </c>
      <c r="U1280" s="1" t="s">
        <v>767</v>
      </c>
      <c r="V1280" s="1" t="s">
        <v>47</v>
      </c>
      <c r="W1280" s="1" t="s">
        <v>48</v>
      </c>
      <c r="X1280" s="1" t="s">
        <v>768</v>
      </c>
      <c r="Y1280" s="1" t="s">
        <v>769</v>
      </c>
      <c r="Z1280" s="1" t="str">
        <f>TRIM(_xlfn.CONCAT(sales_data_sample[[#This Row],[CONTACTFIRSTNAME]],", ",sales_data_sample[[#This Row],[CONTACTLASTNAME]]))</f>
        <v>Frederique, Citeaux</v>
      </c>
      <c r="AA1280" s="1" t="s">
        <v>59</v>
      </c>
    </row>
    <row r="1281" spans="1:27" x14ac:dyDescent="0.25">
      <c r="A1281" s="10">
        <v>10280</v>
      </c>
      <c r="B1281" s="9">
        <v>35</v>
      </c>
      <c r="C1281" s="9">
        <v>100</v>
      </c>
      <c r="D1281" s="9">
        <f>PRODUCT(sales_data_sample[[#This Row],[QUANTITYORDERED]],sales_data_sample[[#This Row],[PRICEEACH]])</f>
        <v>3500</v>
      </c>
      <c r="E1281" s="9">
        <f>IF(OR(sales_data_sample[[#This Row],[STATUS]]="Shipped",sales_data_sample[[#This Row],[STATUS]]="Resolved"),sales_data_sample[[#This Row],[SALES]],0)</f>
        <v>3500</v>
      </c>
      <c r="F1281" s="10">
        <v>17</v>
      </c>
      <c r="G1281" s="12" t="s">
        <v>337</v>
      </c>
      <c r="H1281" s="1" t="s">
        <v>26</v>
      </c>
      <c r="I1281">
        <v>3</v>
      </c>
      <c r="J1281">
        <v>8</v>
      </c>
      <c r="K1281">
        <v>2004</v>
      </c>
      <c r="L1281" s="1" t="s">
        <v>799</v>
      </c>
      <c r="M1281">
        <v>92</v>
      </c>
      <c r="N1281" s="1" t="s">
        <v>940</v>
      </c>
      <c r="O1281" s="1" t="s">
        <v>338</v>
      </c>
      <c r="P1281" s="1" t="s">
        <v>339</v>
      </c>
      <c r="Q1281" s="1" t="s">
        <v>340</v>
      </c>
      <c r="R1281" s="1" t="s">
        <v>32</v>
      </c>
      <c r="S1281" s="1" t="s">
        <v>341</v>
      </c>
      <c r="T1281" s="1" t="s">
        <v>32</v>
      </c>
      <c r="U1281" s="1" t="s">
        <v>342</v>
      </c>
      <c r="V1281" s="1" t="s">
        <v>343</v>
      </c>
      <c r="W1281" s="1" t="s">
        <v>48</v>
      </c>
      <c r="X1281" s="1" t="s">
        <v>344</v>
      </c>
      <c r="Y1281" s="1" t="s">
        <v>345</v>
      </c>
      <c r="Z1281" s="1" t="str">
        <f>TRIM(_xlfn.CONCAT(sales_data_sample[[#This Row],[CONTACTFIRSTNAME]],", ",sales_data_sample[[#This Row],[CONTACTLASTNAME]]))</f>
        <v>Paolo, Accorti</v>
      </c>
      <c r="AA1281" s="1" t="s">
        <v>59</v>
      </c>
    </row>
    <row r="1282" spans="1:27" x14ac:dyDescent="0.25">
      <c r="A1282">
        <v>10288</v>
      </c>
      <c r="B1282">
        <v>35</v>
      </c>
      <c r="C1282">
        <v>8099</v>
      </c>
      <c r="D1282">
        <f>PRODUCT(sales_data_sample[[#This Row],[QUANTITYORDERED]],sales_data_sample[[#This Row],[PRICEEACH]])</f>
        <v>283465</v>
      </c>
      <c r="E1282" s="9">
        <f>IF(OR(sales_data_sample[[#This Row],[STATUS]]="Shipped",sales_data_sample[[#This Row],[STATUS]]="Resolved"),sales_data_sample[[#This Row],[SALES]],0)</f>
        <v>283465</v>
      </c>
      <c r="F1282">
        <v>6</v>
      </c>
      <c r="G1282" s="12" t="s">
        <v>834</v>
      </c>
      <c r="H1282" s="1" t="s">
        <v>26</v>
      </c>
      <c r="I1282">
        <v>3</v>
      </c>
      <c r="J1282">
        <v>9</v>
      </c>
      <c r="K1282">
        <v>2004</v>
      </c>
      <c r="L1282" s="1" t="s">
        <v>799</v>
      </c>
      <c r="M1282">
        <v>92</v>
      </c>
      <c r="N1282" s="1" t="s">
        <v>940</v>
      </c>
      <c r="O1282" s="1" t="s">
        <v>577</v>
      </c>
      <c r="P1282" s="1" t="s">
        <v>578</v>
      </c>
      <c r="Q1282" s="1" t="s">
        <v>579</v>
      </c>
      <c r="R1282" s="1" t="s">
        <v>580</v>
      </c>
      <c r="S1282" s="1" t="s">
        <v>262</v>
      </c>
      <c r="T1282" s="1" t="s">
        <v>32</v>
      </c>
      <c r="U1282" s="1" t="s">
        <v>581</v>
      </c>
      <c r="V1282" s="1" t="s">
        <v>262</v>
      </c>
      <c r="W1282" s="1" t="s">
        <v>121</v>
      </c>
      <c r="X1282" s="1" t="s">
        <v>582</v>
      </c>
      <c r="Y1282" s="1" t="s">
        <v>583</v>
      </c>
      <c r="Z1282" s="1" t="str">
        <f>TRIM(_xlfn.CONCAT(sales_data_sample[[#This Row],[CONTACTFIRSTNAME]],", ",sales_data_sample[[#This Row],[CONTACTLASTNAME]]))</f>
        <v>Wendy, Victorino</v>
      </c>
      <c r="AA1282" s="1" t="s">
        <v>40</v>
      </c>
    </row>
    <row r="1283" spans="1:27" x14ac:dyDescent="0.25">
      <c r="A1283" s="10">
        <v>10302</v>
      </c>
      <c r="B1283" s="9">
        <v>38</v>
      </c>
      <c r="C1283" s="9">
        <v>8927</v>
      </c>
      <c r="D1283" s="9">
        <f>PRODUCT(sales_data_sample[[#This Row],[QUANTITYORDERED]],sales_data_sample[[#This Row],[PRICEEACH]])</f>
        <v>339226</v>
      </c>
      <c r="E1283" s="9">
        <f>IF(OR(sales_data_sample[[#This Row],[STATUS]]="Shipped",sales_data_sample[[#This Row],[STATUS]]="Resolved"),sales_data_sample[[#This Row],[SALES]],0)</f>
        <v>339226</v>
      </c>
      <c r="F1283" s="10">
        <v>2</v>
      </c>
      <c r="G1283" s="12" t="s">
        <v>459</v>
      </c>
      <c r="H1283" s="1" t="s">
        <v>26</v>
      </c>
      <c r="I1283">
        <v>4</v>
      </c>
      <c r="J1283">
        <v>10</v>
      </c>
      <c r="K1283">
        <v>2003</v>
      </c>
      <c r="L1283" s="1" t="s">
        <v>799</v>
      </c>
      <c r="M1283">
        <v>92</v>
      </c>
      <c r="N1283" s="1" t="s">
        <v>940</v>
      </c>
      <c r="O1283" s="1" t="s">
        <v>220</v>
      </c>
      <c r="P1283" s="1" t="s">
        <v>221</v>
      </c>
      <c r="Q1283" s="1" t="s">
        <v>222</v>
      </c>
      <c r="R1283" s="1" t="s">
        <v>32</v>
      </c>
      <c r="S1283" s="1" t="s">
        <v>223</v>
      </c>
      <c r="T1283" s="1" t="s">
        <v>32</v>
      </c>
      <c r="U1283" s="1" t="s">
        <v>224</v>
      </c>
      <c r="V1283" s="1" t="s">
        <v>225</v>
      </c>
      <c r="W1283" s="1" t="s">
        <v>48</v>
      </c>
      <c r="X1283" s="1" t="s">
        <v>226</v>
      </c>
      <c r="Y1283" s="1" t="s">
        <v>227</v>
      </c>
      <c r="Z1283" s="1" t="str">
        <f>TRIM(_xlfn.CONCAT(sales_data_sample[[#This Row],[CONTACTFIRSTNAME]],", ",sales_data_sample[[#This Row],[CONTACTLASTNAME]]))</f>
        <v>Elizabeth, Devon</v>
      </c>
      <c r="AA1283" s="1" t="s">
        <v>59</v>
      </c>
    </row>
    <row r="1284" spans="1:27" x14ac:dyDescent="0.25">
      <c r="A1284" s="10">
        <v>10311</v>
      </c>
      <c r="B1284" s="9">
        <v>41</v>
      </c>
      <c r="C1284" s="9">
        <v>8191</v>
      </c>
      <c r="D1284" s="9">
        <f>PRODUCT(sales_data_sample[[#This Row],[QUANTITYORDERED]],sales_data_sample[[#This Row],[PRICEEACH]])</f>
        <v>335831</v>
      </c>
      <c r="E1284" s="9">
        <f>IF(OR(sales_data_sample[[#This Row],[STATUS]]="Shipped",sales_data_sample[[#This Row],[STATUS]]="Resolved"),sales_data_sample[[#This Row],[SALES]],0)</f>
        <v>335831</v>
      </c>
      <c r="F1284" s="10">
        <v>1</v>
      </c>
      <c r="G1284" s="12" t="s">
        <v>653</v>
      </c>
      <c r="H1284" s="1" t="s">
        <v>26</v>
      </c>
      <c r="I1284">
        <v>4</v>
      </c>
      <c r="J1284">
        <v>10</v>
      </c>
      <c r="K1284">
        <v>2004</v>
      </c>
      <c r="L1284" s="1" t="s">
        <v>799</v>
      </c>
      <c r="M1284">
        <v>92</v>
      </c>
      <c r="N1284" s="1" t="s">
        <v>940</v>
      </c>
      <c r="O1284" s="1" t="s">
        <v>230</v>
      </c>
      <c r="P1284" s="1" t="s">
        <v>231</v>
      </c>
      <c r="Q1284" s="1" t="s">
        <v>232</v>
      </c>
      <c r="R1284" s="1" t="s">
        <v>32</v>
      </c>
      <c r="S1284" s="1" t="s">
        <v>233</v>
      </c>
      <c r="T1284" s="1" t="s">
        <v>32</v>
      </c>
      <c r="U1284" s="1" t="s">
        <v>234</v>
      </c>
      <c r="V1284" s="1" t="s">
        <v>235</v>
      </c>
      <c r="W1284" s="1" t="s">
        <v>48</v>
      </c>
      <c r="X1284" s="1" t="s">
        <v>236</v>
      </c>
      <c r="Y1284" s="1" t="s">
        <v>237</v>
      </c>
      <c r="Z1284" s="1" t="str">
        <f>TRIM(_xlfn.CONCAT(sales_data_sample[[#This Row],[CONTACTFIRSTNAME]],", ",sales_data_sample[[#This Row],[CONTACTLASTNAME]]))</f>
        <v>Diego, Freyre</v>
      </c>
      <c r="AA1284" s="1" t="s">
        <v>59</v>
      </c>
    </row>
    <row r="1285" spans="1:27" x14ac:dyDescent="0.25">
      <c r="A1285" s="10">
        <v>10332</v>
      </c>
      <c r="B1285" s="9">
        <v>50</v>
      </c>
      <c r="C1285" s="9">
        <v>100</v>
      </c>
      <c r="D1285" s="9">
        <f>PRODUCT(sales_data_sample[[#This Row],[QUANTITYORDERED]],sales_data_sample[[#This Row],[PRICEEACH]])</f>
        <v>5000</v>
      </c>
      <c r="E1285" s="9">
        <f>IF(OR(sales_data_sample[[#This Row],[STATUS]]="Shipped",sales_data_sample[[#This Row],[STATUS]]="Resolved"),sales_data_sample[[#This Row],[SALES]],0)</f>
        <v>5000</v>
      </c>
      <c r="F1285" s="10">
        <v>2</v>
      </c>
      <c r="G1285" s="12" t="s">
        <v>793</v>
      </c>
      <c r="H1285" s="1" t="s">
        <v>26</v>
      </c>
      <c r="I1285">
        <v>4</v>
      </c>
      <c r="J1285">
        <v>11</v>
      </c>
      <c r="K1285">
        <v>2004</v>
      </c>
      <c r="L1285" s="1" t="s">
        <v>799</v>
      </c>
      <c r="M1285">
        <v>92</v>
      </c>
      <c r="N1285" s="1" t="s">
        <v>940</v>
      </c>
      <c r="O1285" s="1" t="s">
        <v>695</v>
      </c>
      <c r="P1285" s="1" t="s">
        <v>696</v>
      </c>
      <c r="Q1285" s="1" t="s">
        <v>697</v>
      </c>
      <c r="R1285" s="1" t="s">
        <v>32</v>
      </c>
      <c r="S1285" s="1" t="s">
        <v>698</v>
      </c>
      <c r="T1285" s="1" t="s">
        <v>32</v>
      </c>
      <c r="U1285" s="1" t="s">
        <v>699</v>
      </c>
      <c r="V1285" s="1" t="s">
        <v>225</v>
      </c>
      <c r="W1285" s="1" t="s">
        <v>48</v>
      </c>
      <c r="X1285" s="1" t="s">
        <v>700</v>
      </c>
      <c r="Y1285" s="1" t="s">
        <v>118</v>
      </c>
      <c r="Z1285" s="1" t="str">
        <f>TRIM(_xlfn.CONCAT(sales_data_sample[[#This Row],[CONTACTFIRSTNAME]],", ",sales_data_sample[[#This Row],[CONTACTLASTNAME]]))</f>
        <v>Victoria, Ashworth</v>
      </c>
      <c r="AA1285" s="1" t="s">
        <v>199</v>
      </c>
    </row>
    <row r="1286" spans="1:27" x14ac:dyDescent="0.25">
      <c r="A1286" s="10">
        <v>10344</v>
      </c>
      <c r="B1286" s="9">
        <v>21</v>
      </c>
      <c r="C1286" s="9">
        <v>100</v>
      </c>
      <c r="D1286" s="9">
        <f>PRODUCT(sales_data_sample[[#This Row],[QUANTITYORDERED]],sales_data_sample[[#This Row],[PRICEEACH]])</f>
        <v>2100</v>
      </c>
      <c r="E1286" s="9">
        <f>IF(OR(sales_data_sample[[#This Row],[STATUS]]="Shipped",sales_data_sample[[#This Row],[STATUS]]="Resolved"),sales_data_sample[[#This Row],[SALES]],0)</f>
        <v>2100</v>
      </c>
      <c r="F1286" s="10">
        <v>4</v>
      </c>
      <c r="G1286" s="12" t="s">
        <v>875</v>
      </c>
      <c r="H1286" s="1" t="s">
        <v>26</v>
      </c>
      <c r="I1286">
        <v>4</v>
      </c>
      <c r="J1286">
        <v>11</v>
      </c>
      <c r="K1286">
        <v>2004</v>
      </c>
      <c r="L1286" s="1" t="s">
        <v>799</v>
      </c>
      <c r="M1286">
        <v>92</v>
      </c>
      <c r="N1286" s="1" t="s">
        <v>940</v>
      </c>
      <c r="O1286" s="1" t="s">
        <v>600</v>
      </c>
      <c r="P1286" s="1" t="s">
        <v>601</v>
      </c>
      <c r="Q1286" s="1" t="s">
        <v>602</v>
      </c>
      <c r="R1286" s="1" t="s">
        <v>32</v>
      </c>
      <c r="S1286" s="1" t="s">
        <v>603</v>
      </c>
      <c r="T1286" s="1" t="s">
        <v>32</v>
      </c>
      <c r="U1286" s="1" t="s">
        <v>604</v>
      </c>
      <c r="V1286" s="1" t="s">
        <v>47</v>
      </c>
      <c r="W1286" s="1" t="s">
        <v>48</v>
      </c>
      <c r="X1286" s="1" t="s">
        <v>605</v>
      </c>
      <c r="Y1286" s="1" t="s">
        <v>606</v>
      </c>
      <c r="Z1286" s="1" t="str">
        <f>TRIM(_xlfn.CONCAT(sales_data_sample[[#This Row],[CONTACTFIRSTNAME]],", ",sales_data_sample[[#This Row],[CONTACTLASTNAME]]))</f>
        <v>Laurence, Lebihan</v>
      </c>
      <c r="AA1286" s="1" t="s">
        <v>40</v>
      </c>
    </row>
    <row r="1287" spans="1:27" x14ac:dyDescent="0.25">
      <c r="A1287" s="10">
        <v>10367</v>
      </c>
      <c r="B1287" s="9">
        <v>43</v>
      </c>
      <c r="C1287" s="9">
        <v>6272</v>
      </c>
      <c r="D1287" s="9">
        <f>PRODUCT(sales_data_sample[[#This Row],[QUANTITYORDERED]],sales_data_sample[[#This Row],[PRICEEACH]])</f>
        <v>269696</v>
      </c>
      <c r="E1287" s="9">
        <f>IF(OR(sales_data_sample[[#This Row],[STATUS]]="Shipped",sales_data_sample[[#This Row],[STATUS]]="Resolved"),sales_data_sample[[#This Row],[SALES]],0)</f>
        <v>269696</v>
      </c>
      <c r="F1287" s="10">
        <v>8</v>
      </c>
      <c r="G1287" s="12" t="s">
        <v>835</v>
      </c>
      <c r="H1287" s="1" t="s">
        <v>563</v>
      </c>
      <c r="I1287">
        <v>1</v>
      </c>
      <c r="J1287">
        <v>1</v>
      </c>
      <c r="K1287">
        <v>2005</v>
      </c>
      <c r="L1287" s="1" t="s">
        <v>799</v>
      </c>
      <c r="M1287">
        <v>92</v>
      </c>
      <c r="N1287" s="1" t="s">
        <v>940</v>
      </c>
      <c r="O1287" s="1" t="s">
        <v>61</v>
      </c>
      <c r="P1287" s="1" t="s">
        <v>62</v>
      </c>
      <c r="Q1287" s="1" t="s">
        <v>63</v>
      </c>
      <c r="R1287" s="1" t="s">
        <v>32</v>
      </c>
      <c r="S1287" s="1" t="s">
        <v>64</v>
      </c>
      <c r="T1287" s="1" t="s">
        <v>65</v>
      </c>
      <c r="U1287" s="1" t="s">
        <v>66</v>
      </c>
      <c r="V1287" s="1" t="s">
        <v>36</v>
      </c>
      <c r="W1287" s="1" t="s">
        <v>37</v>
      </c>
      <c r="X1287" s="1" t="s">
        <v>67</v>
      </c>
      <c r="Y1287" s="1" t="s">
        <v>68</v>
      </c>
      <c r="Z1287" s="1" t="str">
        <f>TRIM(_xlfn.CONCAT(sales_data_sample[[#This Row],[CONTACTFIRSTNAME]],", ",sales_data_sample[[#This Row],[CONTACTLASTNAME]]))</f>
        <v>Julie, Young</v>
      </c>
      <c r="AA1287" s="1" t="s">
        <v>40</v>
      </c>
    </row>
    <row r="1288" spans="1:27" x14ac:dyDescent="0.25">
      <c r="A1288" s="10">
        <v>10380</v>
      </c>
      <c r="B1288" s="9">
        <v>32</v>
      </c>
      <c r="C1288" s="9">
        <v>100</v>
      </c>
      <c r="D1288" s="9">
        <f>PRODUCT(sales_data_sample[[#This Row],[QUANTITYORDERED]],sales_data_sample[[#This Row],[PRICEEACH]])</f>
        <v>3200</v>
      </c>
      <c r="E1288" s="9">
        <f>IF(OR(sales_data_sample[[#This Row],[STATUS]]="Shipped",sales_data_sample[[#This Row],[STATUS]]="Resolved"),sales_data_sample[[#This Row],[SALES]],0)</f>
        <v>3200</v>
      </c>
      <c r="F1288" s="10">
        <v>1</v>
      </c>
      <c r="G1288" s="12" t="s">
        <v>826</v>
      </c>
      <c r="H1288" s="1" t="s">
        <v>26</v>
      </c>
      <c r="I1288">
        <v>1</v>
      </c>
      <c r="J1288">
        <v>2</v>
      </c>
      <c r="K1288">
        <v>2005</v>
      </c>
      <c r="L1288" s="1" t="s">
        <v>799</v>
      </c>
      <c r="M1288">
        <v>92</v>
      </c>
      <c r="N1288" s="1" t="s">
        <v>940</v>
      </c>
      <c r="O1288" s="1" t="s">
        <v>230</v>
      </c>
      <c r="P1288" s="1" t="s">
        <v>231</v>
      </c>
      <c r="Q1288" s="1" t="s">
        <v>232</v>
      </c>
      <c r="R1288" s="1" t="s">
        <v>32</v>
      </c>
      <c r="S1288" s="1" t="s">
        <v>233</v>
      </c>
      <c r="T1288" s="1" t="s">
        <v>32</v>
      </c>
      <c r="U1288" s="1" t="s">
        <v>234</v>
      </c>
      <c r="V1288" s="1" t="s">
        <v>235</v>
      </c>
      <c r="W1288" s="1" t="s">
        <v>48</v>
      </c>
      <c r="X1288" s="1" t="s">
        <v>236</v>
      </c>
      <c r="Y1288" s="1" t="s">
        <v>237</v>
      </c>
      <c r="Z1288" s="1" t="str">
        <f>TRIM(_xlfn.CONCAT(sales_data_sample[[#This Row],[CONTACTFIRSTNAME]],", ",sales_data_sample[[#This Row],[CONTACTLASTNAME]]))</f>
        <v>Diego, Freyre</v>
      </c>
      <c r="AA1288" s="1" t="s">
        <v>59</v>
      </c>
    </row>
    <row r="1289" spans="1:27" x14ac:dyDescent="0.25">
      <c r="A1289" s="10">
        <v>10407</v>
      </c>
      <c r="B1289" s="9">
        <v>6</v>
      </c>
      <c r="C1289" s="9">
        <v>9019</v>
      </c>
      <c r="D1289" s="9">
        <f>PRODUCT(sales_data_sample[[#This Row],[QUANTITYORDERED]],sales_data_sample[[#This Row],[PRICEEACH]])</f>
        <v>54114</v>
      </c>
      <c r="E1289" s="9">
        <f>IF(OR(sales_data_sample[[#This Row],[STATUS]]="Shipped",sales_data_sample[[#This Row],[STATUS]]="Resolved"),sales_data_sample[[#This Row],[SALES]],0)</f>
        <v>0</v>
      </c>
      <c r="F1289" s="10">
        <v>3</v>
      </c>
      <c r="G1289" s="12" t="s">
        <v>837</v>
      </c>
      <c r="H1289" s="1" t="s">
        <v>553</v>
      </c>
      <c r="I1289">
        <v>2</v>
      </c>
      <c r="J1289">
        <v>4</v>
      </c>
      <c r="K1289">
        <v>2005</v>
      </c>
      <c r="L1289" s="1" t="s">
        <v>799</v>
      </c>
      <c r="M1289">
        <v>92</v>
      </c>
      <c r="N1289" s="1" t="s">
        <v>940</v>
      </c>
      <c r="O1289" s="1" t="s">
        <v>547</v>
      </c>
      <c r="P1289" s="1" t="s">
        <v>548</v>
      </c>
      <c r="Q1289" s="1" t="s">
        <v>549</v>
      </c>
      <c r="R1289" s="1" t="s">
        <v>32</v>
      </c>
      <c r="S1289" s="1" t="s">
        <v>550</v>
      </c>
      <c r="T1289" s="1" t="s">
        <v>65</v>
      </c>
      <c r="U1289" s="1" t="s">
        <v>80</v>
      </c>
      <c r="V1289" s="1" t="s">
        <v>36</v>
      </c>
      <c r="W1289" s="1" t="s">
        <v>37</v>
      </c>
      <c r="X1289" s="1" t="s">
        <v>129</v>
      </c>
      <c r="Y1289" s="1" t="s">
        <v>551</v>
      </c>
      <c r="Z1289" s="1" t="str">
        <f>TRIM(_xlfn.CONCAT(sales_data_sample[[#This Row],[CONTACTFIRSTNAME]],", ",sales_data_sample[[#This Row],[CONTACTLASTNAME]]))</f>
        <v>Sue, Frick</v>
      </c>
      <c r="AA1289" s="1" t="s">
        <v>40</v>
      </c>
    </row>
    <row r="1290" spans="1:27" x14ac:dyDescent="0.25">
      <c r="A1290">
        <v>10420</v>
      </c>
      <c r="B1290">
        <v>66</v>
      </c>
      <c r="C1290">
        <v>9295</v>
      </c>
      <c r="D1290">
        <f>PRODUCT(sales_data_sample[[#This Row],[QUANTITYORDERED]],sales_data_sample[[#This Row],[PRICEEACH]])</f>
        <v>613470</v>
      </c>
      <c r="E1290" s="9">
        <f>IF(OR(sales_data_sample[[#This Row],[STATUS]]="Shipped",sales_data_sample[[#This Row],[STATUS]]="Resolved"),sales_data_sample[[#This Row],[SALES]],0)</f>
        <v>0</v>
      </c>
      <c r="F1290">
        <v>6</v>
      </c>
      <c r="G1290" s="12" t="s">
        <v>876</v>
      </c>
      <c r="H1290" s="1" t="s">
        <v>403</v>
      </c>
      <c r="I1290">
        <v>2</v>
      </c>
      <c r="J1290">
        <v>5</v>
      </c>
      <c r="K1290">
        <v>2005</v>
      </c>
      <c r="L1290" s="1" t="s">
        <v>799</v>
      </c>
      <c r="M1290">
        <v>92</v>
      </c>
      <c r="N1290" s="1" t="s">
        <v>940</v>
      </c>
      <c r="O1290" s="1" t="s">
        <v>201</v>
      </c>
      <c r="P1290" s="1" t="s">
        <v>202</v>
      </c>
      <c r="Q1290" s="1" t="s">
        <v>203</v>
      </c>
      <c r="R1290" s="1" t="s">
        <v>204</v>
      </c>
      <c r="S1290" s="1" t="s">
        <v>205</v>
      </c>
      <c r="T1290" s="1" t="s">
        <v>206</v>
      </c>
      <c r="U1290" s="1" t="s">
        <v>207</v>
      </c>
      <c r="V1290" s="1" t="s">
        <v>120</v>
      </c>
      <c r="W1290" s="1" t="s">
        <v>121</v>
      </c>
      <c r="X1290" s="1" t="s">
        <v>208</v>
      </c>
      <c r="Y1290" s="1" t="s">
        <v>209</v>
      </c>
      <c r="Z1290" s="1" t="str">
        <f>TRIM(_xlfn.CONCAT(sales_data_sample[[#This Row],[CONTACTFIRSTNAME]],", ",sales_data_sample[[#This Row],[CONTACTLASTNAME]]))</f>
        <v>Adrian, Huxley</v>
      </c>
      <c r="AA1290" s="1" t="s">
        <v>59</v>
      </c>
    </row>
    <row r="1291" spans="1:27" x14ac:dyDescent="0.25">
      <c r="A1291" s="10">
        <v>10105</v>
      </c>
      <c r="B1291" s="9">
        <v>41</v>
      </c>
      <c r="C1291" s="9">
        <v>825</v>
      </c>
      <c r="D1291" s="9">
        <f>PRODUCT(sales_data_sample[[#This Row],[QUANTITYORDERED]],sales_data_sample[[#This Row],[PRICEEACH]])</f>
        <v>33825</v>
      </c>
      <c r="E1291" s="9">
        <f>IF(OR(sales_data_sample[[#This Row],[STATUS]]="Shipped",sales_data_sample[[#This Row],[STATUS]]="Resolved"),sales_data_sample[[#This Row],[SALES]],0)</f>
        <v>33825</v>
      </c>
      <c r="F1291" s="10">
        <v>10</v>
      </c>
      <c r="G1291" s="12" t="s">
        <v>435</v>
      </c>
      <c r="H1291" s="1" t="s">
        <v>26</v>
      </c>
      <c r="I1291">
        <v>1</v>
      </c>
      <c r="J1291">
        <v>2</v>
      </c>
      <c r="K1291">
        <v>2003</v>
      </c>
      <c r="L1291" s="1" t="s">
        <v>799</v>
      </c>
      <c r="M1291">
        <v>87</v>
      </c>
      <c r="N1291" s="1" t="s">
        <v>942</v>
      </c>
      <c r="O1291" s="1" t="s">
        <v>437</v>
      </c>
      <c r="P1291" s="1" t="s">
        <v>438</v>
      </c>
      <c r="Q1291" s="1" t="s">
        <v>439</v>
      </c>
      <c r="R1291" s="1" t="s">
        <v>32</v>
      </c>
      <c r="S1291" s="1" t="s">
        <v>440</v>
      </c>
      <c r="T1291" s="1" t="s">
        <v>32</v>
      </c>
      <c r="U1291" s="1" t="s">
        <v>441</v>
      </c>
      <c r="V1291" s="1" t="s">
        <v>442</v>
      </c>
      <c r="W1291" s="1" t="s">
        <v>48</v>
      </c>
      <c r="X1291" s="1" t="s">
        <v>443</v>
      </c>
      <c r="Y1291" s="1" t="s">
        <v>444</v>
      </c>
      <c r="Z1291" s="1" t="str">
        <f>TRIM(_xlfn.CONCAT(sales_data_sample[[#This Row],[CONTACTFIRSTNAME]],", ",sales_data_sample[[#This Row],[CONTACTLASTNAME]]))</f>
        <v>Jytte, Petersen</v>
      </c>
      <c r="AA1291" s="1" t="s">
        <v>59</v>
      </c>
    </row>
    <row r="1292" spans="1:27" x14ac:dyDescent="0.25">
      <c r="A1292" s="10">
        <v>10117</v>
      </c>
      <c r="B1292" s="9">
        <v>23</v>
      </c>
      <c r="C1292" s="9">
        <v>9742</v>
      </c>
      <c r="D1292" s="9">
        <f>PRODUCT(sales_data_sample[[#This Row],[QUANTITYORDERED]],sales_data_sample[[#This Row],[PRICEEACH]])</f>
        <v>224066</v>
      </c>
      <c r="E1292" s="9">
        <f>IF(OR(sales_data_sample[[#This Row],[STATUS]]="Shipped",sales_data_sample[[#This Row],[STATUS]]="Resolved"),sales_data_sample[[#This Row],[SALES]],0)</f>
        <v>224066</v>
      </c>
      <c r="F1292" s="10">
        <v>4</v>
      </c>
      <c r="G1292" s="12" t="s">
        <v>665</v>
      </c>
      <c r="H1292" s="1" t="s">
        <v>26</v>
      </c>
      <c r="I1292">
        <v>2</v>
      </c>
      <c r="J1292">
        <v>4</v>
      </c>
      <c r="K1292">
        <v>2003</v>
      </c>
      <c r="L1292" s="1" t="s">
        <v>799</v>
      </c>
      <c r="M1292">
        <v>87</v>
      </c>
      <c r="N1292" s="1" t="s">
        <v>942</v>
      </c>
      <c r="O1292" s="1" t="s">
        <v>259</v>
      </c>
      <c r="P1292" s="1" t="s">
        <v>260</v>
      </c>
      <c r="Q1292" s="1" t="s">
        <v>261</v>
      </c>
      <c r="R1292" s="1" t="s">
        <v>32</v>
      </c>
      <c r="S1292" s="1" t="s">
        <v>262</v>
      </c>
      <c r="T1292" s="1" t="s">
        <v>32</v>
      </c>
      <c r="U1292" s="1" t="s">
        <v>263</v>
      </c>
      <c r="V1292" s="1" t="s">
        <v>262</v>
      </c>
      <c r="W1292" s="1" t="s">
        <v>264</v>
      </c>
      <c r="X1292" s="1" t="s">
        <v>265</v>
      </c>
      <c r="Y1292" s="1" t="s">
        <v>266</v>
      </c>
      <c r="Z1292" s="1" t="str">
        <f>TRIM(_xlfn.CONCAT(sales_data_sample[[#This Row],[CONTACTFIRSTNAME]],", ",sales_data_sample[[#This Row],[CONTACTLASTNAME]]))</f>
        <v>Eric, Natividad</v>
      </c>
      <c r="AA1292" s="1" t="s">
        <v>40</v>
      </c>
    </row>
    <row r="1293" spans="1:27" x14ac:dyDescent="0.25">
      <c r="A1293" s="10">
        <v>10128</v>
      </c>
      <c r="B1293" s="9">
        <v>43</v>
      </c>
      <c r="C1293" s="9">
        <v>9216</v>
      </c>
      <c r="D1293" s="9">
        <f>PRODUCT(sales_data_sample[[#This Row],[QUANTITYORDERED]],sales_data_sample[[#This Row],[PRICEEACH]])</f>
        <v>396288</v>
      </c>
      <c r="E1293" s="9">
        <f>IF(OR(sales_data_sample[[#This Row],[STATUS]]="Shipped",sales_data_sample[[#This Row],[STATUS]]="Resolved"),sales_data_sample[[#This Row],[SALES]],0)</f>
        <v>396288</v>
      </c>
      <c r="F1293" s="10">
        <v>1</v>
      </c>
      <c r="G1293" s="12" t="s">
        <v>912</v>
      </c>
      <c r="H1293" s="1" t="s">
        <v>26</v>
      </c>
      <c r="I1293">
        <v>2</v>
      </c>
      <c r="J1293">
        <v>6</v>
      </c>
      <c r="K1293">
        <v>2003</v>
      </c>
      <c r="L1293" s="1" t="s">
        <v>799</v>
      </c>
      <c r="M1293">
        <v>87</v>
      </c>
      <c r="N1293" s="1" t="s">
        <v>942</v>
      </c>
      <c r="O1293" s="1" t="s">
        <v>230</v>
      </c>
      <c r="P1293" s="1" t="s">
        <v>231</v>
      </c>
      <c r="Q1293" s="1" t="s">
        <v>232</v>
      </c>
      <c r="R1293" s="1" t="s">
        <v>32</v>
      </c>
      <c r="S1293" s="1" t="s">
        <v>233</v>
      </c>
      <c r="T1293" s="1" t="s">
        <v>32</v>
      </c>
      <c r="U1293" s="1" t="s">
        <v>234</v>
      </c>
      <c r="V1293" s="1" t="s">
        <v>235</v>
      </c>
      <c r="W1293" s="1" t="s">
        <v>48</v>
      </c>
      <c r="X1293" s="1" t="s">
        <v>236</v>
      </c>
      <c r="Y1293" s="1" t="s">
        <v>237</v>
      </c>
      <c r="Z1293" s="1" t="str">
        <f>TRIM(_xlfn.CONCAT(sales_data_sample[[#This Row],[CONTACTFIRSTNAME]],", ",sales_data_sample[[#This Row],[CONTACTLASTNAME]]))</f>
        <v>Diego, Freyre</v>
      </c>
      <c r="AA1293" s="1" t="s">
        <v>59</v>
      </c>
    </row>
    <row r="1294" spans="1:27" x14ac:dyDescent="0.25">
      <c r="A1294" s="10">
        <v>10142</v>
      </c>
      <c r="B1294" s="9">
        <v>24</v>
      </c>
      <c r="C1294" s="9">
        <v>7022</v>
      </c>
      <c r="D1294" s="9">
        <f>PRODUCT(sales_data_sample[[#This Row],[QUANTITYORDERED]],sales_data_sample[[#This Row],[PRICEEACH]])</f>
        <v>168528</v>
      </c>
      <c r="E1294" s="9">
        <f>IF(OR(sales_data_sample[[#This Row],[STATUS]]="Shipped",sales_data_sample[[#This Row],[STATUS]]="Resolved"),sales_data_sample[[#This Row],[SALES]],0)</f>
        <v>168528</v>
      </c>
      <c r="F1294" s="10">
        <v>7</v>
      </c>
      <c r="G1294" s="12" t="s">
        <v>672</v>
      </c>
      <c r="H1294" s="1" t="s">
        <v>26</v>
      </c>
      <c r="I1294">
        <v>3</v>
      </c>
      <c r="J1294">
        <v>8</v>
      </c>
      <c r="K1294">
        <v>2003</v>
      </c>
      <c r="L1294" s="1" t="s">
        <v>799</v>
      </c>
      <c r="M1294">
        <v>87</v>
      </c>
      <c r="N1294" s="1" t="s">
        <v>942</v>
      </c>
      <c r="O1294" s="1" t="s">
        <v>361</v>
      </c>
      <c r="P1294" s="1" t="s">
        <v>362</v>
      </c>
      <c r="Q1294" s="1" t="s">
        <v>363</v>
      </c>
      <c r="R1294" s="1" t="s">
        <v>32</v>
      </c>
      <c r="S1294" s="1" t="s">
        <v>364</v>
      </c>
      <c r="T1294" s="1" t="s">
        <v>65</v>
      </c>
      <c r="U1294" s="1" t="s">
        <v>145</v>
      </c>
      <c r="V1294" s="1" t="s">
        <v>36</v>
      </c>
      <c r="W1294" s="1" t="s">
        <v>37</v>
      </c>
      <c r="X1294" s="1" t="s">
        <v>365</v>
      </c>
      <c r="Y1294" s="1" t="s">
        <v>366</v>
      </c>
      <c r="Z1294" s="1" t="str">
        <f>TRIM(_xlfn.CONCAT(sales_data_sample[[#This Row],[CONTACTFIRSTNAME]],", ",sales_data_sample[[#This Row],[CONTACTLASTNAME]]))</f>
        <v>Valarie, Nelson</v>
      </c>
      <c r="AA1294" s="1" t="s">
        <v>40</v>
      </c>
    </row>
    <row r="1295" spans="1:27" x14ac:dyDescent="0.25">
      <c r="A1295" s="10">
        <v>10153</v>
      </c>
      <c r="B1295" s="9">
        <v>22</v>
      </c>
      <c r="C1295" s="9">
        <v>8338</v>
      </c>
      <c r="D1295" s="9">
        <f>PRODUCT(sales_data_sample[[#This Row],[QUANTITYORDERED]],sales_data_sample[[#This Row],[PRICEEACH]])</f>
        <v>183436</v>
      </c>
      <c r="E1295" s="9">
        <f>IF(OR(sales_data_sample[[#This Row],[STATUS]]="Shipped",sales_data_sample[[#This Row],[STATUS]]="Resolved"),sales_data_sample[[#This Row],[SALES]],0)</f>
        <v>183436</v>
      </c>
      <c r="F1295" s="10">
        <v>6</v>
      </c>
      <c r="G1295" s="12" t="s">
        <v>673</v>
      </c>
      <c r="H1295" s="1" t="s">
        <v>26</v>
      </c>
      <c r="I1295">
        <v>3</v>
      </c>
      <c r="J1295">
        <v>9</v>
      </c>
      <c r="K1295">
        <v>2003</v>
      </c>
      <c r="L1295" s="1" t="s">
        <v>799</v>
      </c>
      <c r="M1295">
        <v>87</v>
      </c>
      <c r="N1295" s="1" t="s">
        <v>942</v>
      </c>
      <c r="O1295" s="1" t="s">
        <v>230</v>
      </c>
      <c r="P1295" s="1" t="s">
        <v>231</v>
      </c>
      <c r="Q1295" s="1" t="s">
        <v>232</v>
      </c>
      <c r="R1295" s="1" t="s">
        <v>32</v>
      </c>
      <c r="S1295" s="1" t="s">
        <v>233</v>
      </c>
      <c r="T1295" s="1" t="s">
        <v>32</v>
      </c>
      <c r="U1295" s="1" t="s">
        <v>234</v>
      </c>
      <c r="V1295" s="1" t="s">
        <v>235</v>
      </c>
      <c r="W1295" s="1" t="s">
        <v>48</v>
      </c>
      <c r="X1295" s="1" t="s">
        <v>236</v>
      </c>
      <c r="Y1295" s="1" t="s">
        <v>237</v>
      </c>
      <c r="Z1295" s="1" t="str">
        <f>TRIM(_xlfn.CONCAT(sales_data_sample[[#This Row],[CONTACTFIRSTNAME]],", ",sales_data_sample[[#This Row],[CONTACTLASTNAME]]))</f>
        <v>Diego, Freyre</v>
      </c>
      <c r="AA1295" s="1" t="s">
        <v>40</v>
      </c>
    </row>
    <row r="1296" spans="1:27" x14ac:dyDescent="0.25">
      <c r="A1296" s="10">
        <v>10166</v>
      </c>
      <c r="B1296" s="9">
        <v>26</v>
      </c>
      <c r="C1296" s="9">
        <v>7373</v>
      </c>
      <c r="D1296" s="9">
        <f>PRODUCT(sales_data_sample[[#This Row],[QUANTITYORDERED]],sales_data_sample[[#This Row],[PRICEEACH]])</f>
        <v>191698</v>
      </c>
      <c r="E1296" s="9">
        <f>IF(OR(sales_data_sample[[#This Row],[STATUS]]="Shipped",sales_data_sample[[#This Row],[STATUS]]="Resolved"),sales_data_sample[[#This Row],[SALES]],0)</f>
        <v>191698</v>
      </c>
      <c r="F1296" s="10">
        <v>1</v>
      </c>
      <c r="G1296" s="12" t="s">
        <v>562</v>
      </c>
      <c r="H1296" s="1" t="s">
        <v>26</v>
      </c>
      <c r="I1296">
        <v>4</v>
      </c>
      <c r="J1296">
        <v>10</v>
      </c>
      <c r="K1296">
        <v>2003</v>
      </c>
      <c r="L1296" s="1" t="s">
        <v>799</v>
      </c>
      <c r="M1296">
        <v>87</v>
      </c>
      <c r="N1296" s="1" t="s">
        <v>942</v>
      </c>
      <c r="O1296" s="1" t="s">
        <v>212</v>
      </c>
      <c r="P1296" s="1" t="s">
        <v>213</v>
      </c>
      <c r="Q1296" s="1" t="s">
        <v>214</v>
      </c>
      <c r="R1296" s="1" t="s">
        <v>32</v>
      </c>
      <c r="S1296" s="1" t="s">
        <v>215</v>
      </c>
      <c r="T1296" s="1" t="s">
        <v>160</v>
      </c>
      <c r="U1296" s="1" t="s">
        <v>216</v>
      </c>
      <c r="V1296" s="1" t="s">
        <v>36</v>
      </c>
      <c r="W1296" s="1" t="s">
        <v>37</v>
      </c>
      <c r="X1296" s="1" t="s">
        <v>217</v>
      </c>
      <c r="Y1296" s="1" t="s">
        <v>218</v>
      </c>
      <c r="Z1296" s="1" t="str">
        <f>TRIM(_xlfn.CONCAT(sales_data_sample[[#This Row],[CONTACTFIRSTNAME]],", ",sales_data_sample[[#This Row],[CONTACTLASTNAME]]))</f>
        <v>Violeta, Benitez</v>
      </c>
      <c r="AA1296" s="1" t="s">
        <v>40</v>
      </c>
    </row>
    <row r="1297" spans="1:27" x14ac:dyDescent="0.25">
      <c r="A1297" s="10">
        <v>10177</v>
      </c>
      <c r="B1297" s="9">
        <v>35</v>
      </c>
      <c r="C1297" s="9">
        <v>746</v>
      </c>
      <c r="D1297" s="9">
        <f>PRODUCT(sales_data_sample[[#This Row],[QUANTITYORDERED]],sales_data_sample[[#This Row],[PRICEEACH]])</f>
        <v>26110</v>
      </c>
      <c r="E1297" s="9">
        <f>IF(OR(sales_data_sample[[#This Row],[STATUS]]="Shipped",sales_data_sample[[#This Row],[STATUS]]="Resolved"),sales_data_sample[[#This Row],[SALES]],0)</f>
        <v>26110</v>
      </c>
      <c r="F1297" s="10">
        <v>8</v>
      </c>
      <c r="G1297" s="12" t="s">
        <v>913</v>
      </c>
      <c r="H1297" s="1" t="s">
        <v>26</v>
      </c>
      <c r="I1297">
        <v>4</v>
      </c>
      <c r="J1297">
        <v>11</v>
      </c>
      <c r="K1297">
        <v>2003</v>
      </c>
      <c r="L1297" s="1" t="s">
        <v>799</v>
      </c>
      <c r="M1297">
        <v>87</v>
      </c>
      <c r="N1297" s="1" t="s">
        <v>942</v>
      </c>
      <c r="O1297" s="1" t="s">
        <v>687</v>
      </c>
      <c r="P1297" s="1" t="s">
        <v>688</v>
      </c>
      <c r="Q1297" s="1" t="s">
        <v>689</v>
      </c>
      <c r="R1297" s="1" t="s">
        <v>32</v>
      </c>
      <c r="S1297" s="1" t="s">
        <v>233</v>
      </c>
      <c r="T1297" s="1" t="s">
        <v>32</v>
      </c>
      <c r="U1297" s="1" t="s">
        <v>254</v>
      </c>
      <c r="V1297" s="1" t="s">
        <v>235</v>
      </c>
      <c r="W1297" s="1" t="s">
        <v>48</v>
      </c>
      <c r="X1297" s="1" t="s">
        <v>690</v>
      </c>
      <c r="Y1297" s="1" t="s">
        <v>691</v>
      </c>
      <c r="Z1297" s="1" t="str">
        <f>TRIM(_xlfn.CONCAT(sales_data_sample[[#This Row],[CONTACTFIRSTNAME]],", ",sales_data_sample[[#This Row],[CONTACTLASTNAME]]))</f>
        <v>Jesus, Fernandez</v>
      </c>
      <c r="AA1297" s="1" t="s">
        <v>40</v>
      </c>
    </row>
    <row r="1298" spans="1:27" x14ac:dyDescent="0.25">
      <c r="A1298" s="10">
        <v>10185</v>
      </c>
      <c r="B1298" s="9">
        <v>47</v>
      </c>
      <c r="C1298" s="9">
        <v>7724</v>
      </c>
      <c r="D1298" s="9">
        <f>PRODUCT(sales_data_sample[[#This Row],[QUANTITYORDERED]],sales_data_sample[[#This Row],[PRICEEACH]])</f>
        <v>363028</v>
      </c>
      <c r="E1298" s="9">
        <f>IF(OR(sales_data_sample[[#This Row],[STATUS]]="Shipped",sales_data_sample[[#This Row],[STATUS]]="Resolved"),sales_data_sample[[#This Row],[SALES]],0)</f>
        <v>363028</v>
      </c>
      <c r="F1298" s="10">
        <v>8</v>
      </c>
      <c r="G1298" s="12" t="s">
        <v>470</v>
      </c>
      <c r="H1298" s="1" t="s">
        <v>26</v>
      </c>
      <c r="I1298">
        <v>4</v>
      </c>
      <c r="J1298">
        <v>11</v>
      </c>
      <c r="K1298">
        <v>2003</v>
      </c>
      <c r="L1298" s="1" t="s">
        <v>799</v>
      </c>
      <c r="M1298">
        <v>87</v>
      </c>
      <c r="N1298" s="1" t="s">
        <v>942</v>
      </c>
      <c r="O1298" s="1" t="s">
        <v>454</v>
      </c>
      <c r="P1298" s="1" t="s">
        <v>455</v>
      </c>
      <c r="Q1298" s="1" t="s">
        <v>456</v>
      </c>
      <c r="R1298" s="1" t="s">
        <v>32</v>
      </c>
      <c r="S1298" s="1" t="s">
        <v>215</v>
      </c>
      <c r="T1298" s="1" t="s">
        <v>160</v>
      </c>
      <c r="U1298" s="1" t="s">
        <v>216</v>
      </c>
      <c r="V1298" s="1" t="s">
        <v>36</v>
      </c>
      <c r="W1298" s="1" t="s">
        <v>37</v>
      </c>
      <c r="X1298" s="1" t="s">
        <v>457</v>
      </c>
      <c r="Y1298" s="1" t="s">
        <v>458</v>
      </c>
      <c r="Z1298" s="1" t="str">
        <f>TRIM(_xlfn.CONCAT(sales_data_sample[[#This Row],[CONTACTFIRSTNAME]],", ",sales_data_sample[[#This Row],[CONTACTLASTNAME]]))</f>
        <v>Wing C, Tam</v>
      </c>
      <c r="AA1298" s="1" t="s">
        <v>59</v>
      </c>
    </row>
    <row r="1299" spans="1:27" x14ac:dyDescent="0.25">
      <c r="A1299" s="10">
        <v>10197</v>
      </c>
      <c r="B1299" s="9">
        <v>50</v>
      </c>
      <c r="C1299" s="9">
        <v>100</v>
      </c>
      <c r="D1299" s="9">
        <f>PRODUCT(sales_data_sample[[#This Row],[QUANTITYORDERED]],sales_data_sample[[#This Row],[PRICEEACH]])</f>
        <v>5000</v>
      </c>
      <c r="E1299" s="9">
        <f>IF(OR(sales_data_sample[[#This Row],[STATUS]]="Shipped",sales_data_sample[[#This Row],[STATUS]]="Resolved"),sales_data_sample[[#This Row],[SALES]],0)</f>
        <v>5000</v>
      </c>
      <c r="F1299" s="10">
        <v>14</v>
      </c>
      <c r="G1299" s="12" t="s">
        <v>477</v>
      </c>
      <c r="H1299" s="1" t="s">
        <v>26</v>
      </c>
      <c r="I1299">
        <v>4</v>
      </c>
      <c r="J1299">
        <v>11</v>
      </c>
      <c r="K1299">
        <v>2003</v>
      </c>
      <c r="L1299" s="1" t="s">
        <v>799</v>
      </c>
      <c r="M1299">
        <v>87</v>
      </c>
      <c r="N1299" s="1" t="s">
        <v>942</v>
      </c>
      <c r="O1299" s="1" t="s">
        <v>478</v>
      </c>
      <c r="P1299" s="1" t="s">
        <v>479</v>
      </c>
      <c r="Q1299" s="1" t="s">
        <v>480</v>
      </c>
      <c r="R1299" s="1" t="s">
        <v>32</v>
      </c>
      <c r="S1299" s="1" t="s">
        <v>481</v>
      </c>
      <c r="T1299" s="1" t="s">
        <v>32</v>
      </c>
      <c r="U1299" s="1" t="s">
        <v>482</v>
      </c>
      <c r="V1299" s="1" t="s">
        <v>235</v>
      </c>
      <c r="W1299" s="1" t="s">
        <v>48</v>
      </c>
      <c r="X1299" s="1" t="s">
        <v>483</v>
      </c>
      <c r="Y1299" s="1" t="s">
        <v>484</v>
      </c>
      <c r="Z1299" s="1" t="str">
        <f>TRIM(_xlfn.CONCAT(sales_data_sample[[#This Row],[CONTACTFIRSTNAME]],", ",sales_data_sample[[#This Row],[CONTACTLASTNAME]]))</f>
        <v>Eduardo, Saavedra</v>
      </c>
      <c r="AA1299" s="1" t="s">
        <v>59</v>
      </c>
    </row>
    <row r="1300" spans="1:27" x14ac:dyDescent="0.25">
      <c r="A1300" s="10">
        <v>10208</v>
      </c>
      <c r="B1300" s="9">
        <v>45</v>
      </c>
      <c r="C1300" s="9">
        <v>8777</v>
      </c>
      <c r="D1300" s="9">
        <f>PRODUCT(sales_data_sample[[#This Row],[QUANTITYORDERED]],sales_data_sample[[#This Row],[PRICEEACH]])</f>
        <v>394965</v>
      </c>
      <c r="E1300" s="9">
        <f>IF(OR(sales_data_sample[[#This Row],[STATUS]]="Shipped",sales_data_sample[[#This Row],[STATUS]]="Resolved"),sales_data_sample[[#This Row],[SALES]],0)</f>
        <v>394965</v>
      </c>
      <c r="F1300" s="10">
        <v>8</v>
      </c>
      <c r="G1300" s="12" t="s">
        <v>675</v>
      </c>
      <c r="H1300" s="1" t="s">
        <v>26</v>
      </c>
      <c r="I1300">
        <v>1</v>
      </c>
      <c r="J1300">
        <v>1</v>
      </c>
      <c r="K1300">
        <v>2004</v>
      </c>
      <c r="L1300" s="1" t="s">
        <v>799</v>
      </c>
      <c r="M1300">
        <v>87</v>
      </c>
      <c r="N1300" s="1" t="s">
        <v>942</v>
      </c>
      <c r="O1300" s="1" t="s">
        <v>291</v>
      </c>
      <c r="P1300" s="1" t="s">
        <v>292</v>
      </c>
      <c r="Q1300" s="1" t="s">
        <v>293</v>
      </c>
      <c r="R1300" s="1" t="s">
        <v>32</v>
      </c>
      <c r="S1300" s="1" t="s">
        <v>294</v>
      </c>
      <c r="T1300" s="1" t="s">
        <v>32</v>
      </c>
      <c r="U1300" s="1" t="s">
        <v>295</v>
      </c>
      <c r="V1300" s="1" t="s">
        <v>47</v>
      </c>
      <c r="W1300" s="1" t="s">
        <v>48</v>
      </c>
      <c r="X1300" s="1" t="s">
        <v>296</v>
      </c>
      <c r="Y1300" s="1" t="s">
        <v>297</v>
      </c>
      <c r="Z1300" s="1" t="str">
        <f>TRIM(_xlfn.CONCAT(sales_data_sample[[#This Row],[CONTACTFIRSTNAME]],", ",sales_data_sample[[#This Row],[CONTACTLASTNAME]]))</f>
        <v>Mary, Saveley</v>
      </c>
      <c r="AA1300" s="1" t="s">
        <v>59</v>
      </c>
    </row>
    <row r="1301" spans="1:27" x14ac:dyDescent="0.25">
      <c r="A1301" s="10">
        <v>10221</v>
      </c>
      <c r="B1301" s="9">
        <v>39</v>
      </c>
      <c r="C1301" s="9">
        <v>8953</v>
      </c>
      <c r="D1301" s="9">
        <f>PRODUCT(sales_data_sample[[#This Row],[QUANTITYORDERED]],sales_data_sample[[#This Row],[PRICEEACH]])</f>
        <v>349167</v>
      </c>
      <c r="E1301" s="9">
        <f>IF(OR(sales_data_sample[[#This Row],[STATUS]]="Shipped",sales_data_sample[[#This Row],[STATUS]]="Resolved"),sales_data_sample[[#This Row],[SALES]],0)</f>
        <v>349167</v>
      </c>
      <c r="F1301" s="10">
        <v>2</v>
      </c>
      <c r="G1301" s="12" t="s">
        <v>914</v>
      </c>
      <c r="H1301" s="1" t="s">
        <v>26</v>
      </c>
      <c r="I1301">
        <v>1</v>
      </c>
      <c r="J1301">
        <v>2</v>
      </c>
      <c r="K1301">
        <v>2004</v>
      </c>
      <c r="L1301" s="1" t="s">
        <v>799</v>
      </c>
      <c r="M1301">
        <v>87</v>
      </c>
      <c r="N1301" s="1" t="s">
        <v>942</v>
      </c>
      <c r="O1301" s="1" t="s">
        <v>500</v>
      </c>
      <c r="P1301" s="1" t="s">
        <v>501</v>
      </c>
      <c r="Q1301" s="1" t="s">
        <v>502</v>
      </c>
      <c r="R1301" s="1" t="s">
        <v>32</v>
      </c>
      <c r="S1301" s="1" t="s">
        <v>503</v>
      </c>
      <c r="T1301" s="1" t="s">
        <v>32</v>
      </c>
      <c r="U1301" s="1" t="s">
        <v>504</v>
      </c>
      <c r="V1301" s="1" t="s">
        <v>505</v>
      </c>
      <c r="W1301" s="1" t="s">
        <v>48</v>
      </c>
      <c r="X1301" s="1" t="s">
        <v>506</v>
      </c>
      <c r="Y1301" s="1" t="s">
        <v>507</v>
      </c>
      <c r="Z1301" s="1" t="str">
        <f>TRIM(_xlfn.CONCAT(sales_data_sample[[#This Row],[CONTACTFIRSTNAME]],", ",sales_data_sample[[#This Row],[CONTACTLASTNAME]]))</f>
        <v>Catherine, Dewey</v>
      </c>
      <c r="AA1301" s="1" t="s">
        <v>59</v>
      </c>
    </row>
    <row r="1302" spans="1:27" x14ac:dyDescent="0.25">
      <c r="A1302" s="10">
        <v>10232</v>
      </c>
      <c r="B1302" s="9">
        <v>23</v>
      </c>
      <c r="C1302" s="9">
        <v>8953</v>
      </c>
      <c r="D1302" s="9">
        <f>PRODUCT(sales_data_sample[[#This Row],[QUANTITYORDERED]],sales_data_sample[[#This Row],[PRICEEACH]])</f>
        <v>205919</v>
      </c>
      <c r="E1302" s="9">
        <f>IF(OR(sales_data_sample[[#This Row],[STATUS]]="Shipped",sales_data_sample[[#This Row],[STATUS]]="Resolved"),sales_data_sample[[#This Row],[SALES]],0)</f>
        <v>205919</v>
      </c>
      <c r="F1302" s="10">
        <v>5</v>
      </c>
      <c r="G1302" s="12" t="s">
        <v>915</v>
      </c>
      <c r="H1302" s="1" t="s">
        <v>26</v>
      </c>
      <c r="I1302">
        <v>1</v>
      </c>
      <c r="J1302">
        <v>3</v>
      </c>
      <c r="K1302">
        <v>2004</v>
      </c>
      <c r="L1302" s="1" t="s">
        <v>799</v>
      </c>
      <c r="M1302">
        <v>87</v>
      </c>
      <c r="N1302" s="1" t="s">
        <v>942</v>
      </c>
      <c r="O1302" s="1" t="s">
        <v>524</v>
      </c>
      <c r="P1302" s="1" t="s">
        <v>525</v>
      </c>
      <c r="Q1302" s="1" t="s">
        <v>526</v>
      </c>
      <c r="R1302" s="1" t="s">
        <v>32</v>
      </c>
      <c r="S1302" s="1" t="s">
        <v>527</v>
      </c>
      <c r="T1302" s="1" t="s">
        <v>528</v>
      </c>
      <c r="U1302" s="1" t="s">
        <v>529</v>
      </c>
      <c r="V1302" s="1" t="s">
        <v>225</v>
      </c>
      <c r="W1302" s="1" t="s">
        <v>48</v>
      </c>
      <c r="X1302" s="1" t="s">
        <v>530</v>
      </c>
      <c r="Y1302" s="1" t="s">
        <v>531</v>
      </c>
      <c r="Z1302" s="1" t="str">
        <f>TRIM(_xlfn.CONCAT(sales_data_sample[[#This Row],[CONTACTFIRSTNAME]],", ",sales_data_sample[[#This Row],[CONTACTLASTNAME]]))</f>
        <v>Helen, Bennett</v>
      </c>
      <c r="AA1302" s="1" t="s">
        <v>40</v>
      </c>
    </row>
    <row r="1303" spans="1:27" x14ac:dyDescent="0.25">
      <c r="A1303" s="10">
        <v>10248</v>
      </c>
      <c r="B1303" s="9">
        <v>42</v>
      </c>
      <c r="C1303" s="9">
        <v>7548</v>
      </c>
      <c r="D1303" s="9">
        <f>PRODUCT(sales_data_sample[[#This Row],[QUANTITYORDERED]],sales_data_sample[[#This Row],[PRICEEACH]])</f>
        <v>317016</v>
      </c>
      <c r="E1303" s="9">
        <f>IF(OR(sales_data_sample[[#This Row],[STATUS]]="Shipped",sales_data_sample[[#This Row],[STATUS]]="Resolved"),sales_data_sample[[#This Row],[SALES]],0)</f>
        <v>0</v>
      </c>
      <c r="F1303" s="10">
        <v>11</v>
      </c>
      <c r="G1303" s="12" t="s">
        <v>497</v>
      </c>
      <c r="H1303" s="1" t="s">
        <v>461</v>
      </c>
      <c r="I1303">
        <v>2</v>
      </c>
      <c r="J1303">
        <v>5</v>
      </c>
      <c r="K1303">
        <v>2004</v>
      </c>
      <c r="L1303" s="1" t="s">
        <v>799</v>
      </c>
      <c r="M1303">
        <v>87</v>
      </c>
      <c r="N1303" s="1" t="s">
        <v>942</v>
      </c>
      <c r="O1303" s="1" t="s">
        <v>29</v>
      </c>
      <c r="P1303" s="1" t="s">
        <v>30</v>
      </c>
      <c r="Q1303" s="1" t="s">
        <v>31</v>
      </c>
      <c r="R1303" s="1" t="s">
        <v>32</v>
      </c>
      <c r="S1303" s="1" t="s">
        <v>33</v>
      </c>
      <c r="T1303" s="1" t="s">
        <v>34</v>
      </c>
      <c r="U1303" s="1" t="s">
        <v>35</v>
      </c>
      <c r="V1303" s="1" t="s">
        <v>36</v>
      </c>
      <c r="W1303" s="1" t="s">
        <v>37</v>
      </c>
      <c r="X1303" s="1" t="s">
        <v>38</v>
      </c>
      <c r="Y1303" s="1" t="s">
        <v>39</v>
      </c>
      <c r="Z1303" s="1" t="str">
        <f>TRIM(_xlfn.CONCAT(sales_data_sample[[#This Row],[CONTACTFIRSTNAME]],", ",sales_data_sample[[#This Row],[CONTACTLASTNAME]]))</f>
        <v>Kwai, Yu</v>
      </c>
      <c r="AA1303" s="1" t="s">
        <v>59</v>
      </c>
    </row>
    <row r="1304" spans="1:27" x14ac:dyDescent="0.25">
      <c r="A1304" s="10">
        <v>10261</v>
      </c>
      <c r="B1304" s="9">
        <v>20</v>
      </c>
      <c r="C1304" s="9">
        <v>8953</v>
      </c>
      <c r="D1304" s="9">
        <f>PRODUCT(sales_data_sample[[#This Row],[QUANTITYORDERED]],sales_data_sample[[#This Row],[PRICEEACH]])</f>
        <v>179060</v>
      </c>
      <c r="E1304" s="9">
        <f>IF(OR(sales_data_sample[[#This Row],[STATUS]]="Shipped",sales_data_sample[[#This Row],[STATUS]]="Resolved"),sales_data_sample[[#This Row],[SALES]],0)</f>
        <v>179060</v>
      </c>
      <c r="F1304" s="10">
        <v>9</v>
      </c>
      <c r="G1304" s="12" t="s">
        <v>498</v>
      </c>
      <c r="H1304" s="1" t="s">
        <v>26</v>
      </c>
      <c r="I1304">
        <v>2</v>
      </c>
      <c r="J1304">
        <v>6</v>
      </c>
      <c r="K1304">
        <v>2004</v>
      </c>
      <c r="L1304" s="1" t="s">
        <v>799</v>
      </c>
      <c r="M1304">
        <v>87</v>
      </c>
      <c r="N1304" s="1" t="s">
        <v>942</v>
      </c>
      <c r="O1304" s="1" t="s">
        <v>394</v>
      </c>
      <c r="P1304" s="1" t="s">
        <v>395</v>
      </c>
      <c r="Q1304" s="1" t="s">
        <v>396</v>
      </c>
      <c r="R1304" s="1" t="s">
        <v>32</v>
      </c>
      <c r="S1304" s="1" t="s">
        <v>397</v>
      </c>
      <c r="T1304" s="1" t="s">
        <v>398</v>
      </c>
      <c r="U1304" s="1" t="s">
        <v>399</v>
      </c>
      <c r="V1304" s="1" t="s">
        <v>305</v>
      </c>
      <c r="W1304" s="1" t="s">
        <v>37</v>
      </c>
      <c r="X1304" s="1" t="s">
        <v>400</v>
      </c>
      <c r="Y1304" s="1" t="s">
        <v>401</v>
      </c>
      <c r="Z1304" s="1" t="str">
        <f>TRIM(_xlfn.CONCAT(sales_data_sample[[#This Row],[CONTACTFIRSTNAME]],", ",sales_data_sample[[#This Row],[CONTACTLASTNAME]]))</f>
        <v>Jean, Fresnisre</v>
      </c>
      <c r="AA1304" s="1" t="s">
        <v>40</v>
      </c>
    </row>
    <row r="1305" spans="1:27" x14ac:dyDescent="0.25">
      <c r="A1305" s="10">
        <v>10273</v>
      </c>
      <c r="B1305" s="9">
        <v>33</v>
      </c>
      <c r="C1305" s="9">
        <v>7109</v>
      </c>
      <c r="D1305" s="9">
        <f>PRODUCT(sales_data_sample[[#This Row],[QUANTITYORDERED]],sales_data_sample[[#This Row],[PRICEEACH]])</f>
        <v>234597</v>
      </c>
      <c r="E1305" s="9">
        <f>IF(OR(sales_data_sample[[#This Row],[STATUS]]="Shipped",sales_data_sample[[#This Row],[STATUS]]="Resolved"),sales_data_sample[[#This Row],[SALES]],0)</f>
        <v>234597</v>
      </c>
      <c r="F1305" s="10">
        <v>12</v>
      </c>
      <c r="G1305" s="12" t="s">
        <v>499</v>
      </c>
      <c r="H1305" s="1" t="s">
        <v>26</v>
      </c>
      <c r="I1305">
        <v>3</v>
      </c>
      <c r="J1305">
        <v>7</v>
      </c>
      <c r="K1305">
        <v>2004</v>
      </c>
      <c r="L1305" s="1" t="s">
        <v>799</v>
      </c>
      <c r="M1305">
        <v>87</v>
      </c>
      <c r="N1305" s="1" t="s">
        <v>942</v>
      </c>
      <c r="O1305" s="1" t="s">
        <v>500</v>
      </c>
      <c r="P1305" s="1" t="s">
        <v>501</v>
      </c>
      <c r="Q1305" s="1" t="s">
        <v>502</v>
      </c>
      <c r="R1305" s="1" t="s">
        <v>32</v>
      </c>
      <c r="S1305" s="1" t="s">
        <v>503</v>
      </c>
      <c r="T1305" s="1" t="s">
        <v>32</v>
      </c>
      <c r="U1305" s="1" t="s">
        <v>504</v>
      </c>
      <c r="V1305" s="1" t="s">
        <v>505</v>
      </c>
      <c r="W1305" s="1" t="s">
        <v>48</v>
      </c>
      <c r="X1305" s="1" t="s">
        <v>506</v>
      </c>
      <c r="Y1305" s="1" t="s">
        <v>507</v>
      </c>
      <c r="Z1305" s="1" t="str">
        <f>TRIM(_xlfn.CONCAT(sales_data_sample[[#This Row],[CONTACTFIRSTNAME]],", ",sales_data_sample[[#This Row],[CONTACTLASTNAME]]))</f>
        <v>Catherine, Dewey</v>
      </c>
      <c r="AA1305" s="1" t="s">
        <v>40</v>
      </c>
    </row>
    <row r="1306" spans="1:27" x14ac:dyDescent="0.25">
      <c r="A1306" s="10">
        <v>10283</v>
      </c>
      <c r="B1306" s="9">
        <v>34</v>
      </c>
      <c r="C1306" s="9">
        <v>100</v>
      </c>
      <c r="D1306" s="9">
        <f>PRODUCT(sales_data_sample[[#This Row],[QUANTITYORDERED]],sales_data_sample[[#This Row],[PRICEEACH]])</f>
        <v>3400</v>
      </c>
      <c r="E1306" s="9">
        <f>IF(OR(sales_data_sample[[#This Row],[STATUS]]="Shipped",sales_data_sample[[#This Row],[STATUS]]="Resolved"),sales_data_sample[[#This Row],[SALES]],0)</f>
        <v>3400</v>
      </c>
      <c r="F1306" s="10">
        <v>14</v>
      </c>
      <c r="G1306" s="12" t="s">
        <v>508</v>
      </c>
      <c r="H1306" s="1" t="s">
        <v>26</v>
      </c>
      <c r="I1306">
        <v>3</v>
      </c>
      <c r="J1306">
        <v>8</v>
      </c>
      <c r="K1306">
        <v>2004</v>
      </c>
      <c r="L1306" s="1" t="s">
        <v>799</v>
      </c>
      <c r="M1306">
        <v>87</v>
      </c>
      <c r="N1306" s="1" t="s">
        <v>942</v>
      </c>
      <c r="O1306" s="1" t="s">
        <v>509</v>
      </c>
      <c r="P1306" s="1" t="s">
        <v>510</v>
      </c>
      <c r="Q1306" s="1" t="s">
        <v>511</v>
      </c>
      <c r="R1306" s="1" t="s">
        <v>32</v>
      </c>
      <c r="S1306" s="1" t="s">
        <v>512</v>
      </c>
      <c r="T1306" s="1" t="s">
        <v>303</v>
      </c>
      <c r="U1306" s="1" t="s">
        <v>513</v>
      </c>
      <c r="V1306" s="1" t="s">
        <v>305</v>
      </c>
      <c r="W1306" s="1" t="s">
        <v>37</v>
      </c>
      <c r="X1306" s="1" t="s">
        <v>514</v>
      </c>
      <c r="Y1306" s="1" t="s">
        <v>227</v>
      </c>
      <c r="Z1306" s="1" t="str">
        <f>TRIM(_xlfn.CONCAT(sales_data_sample[[#This Row],[CONTACTFIRSTNAME]],", ",sales_data_sample[[#This Row],[CONTACTLASTNAME]]))</f>
        <v>Elizabeth, Lincoln</v>
      </c>
      <c r="AA1306" s="1" t="s">
        <v>59</v>
      </c>
    </row>
    <row r="1307" spans="1:27" x14ac:dyDescent="0.25">
      <c r="A1307" s="10">
        <v>10293</v>
      </c>
      <c r="B1307" s="9">
        <v>49</v>
      </c>
      <c r="C1307" s="9">
        <v>100</v>
      </c>
      <c r="D1307" s="9">
        <f>PRODUCT(sales_data_sample[[#This Row],[QUANTITYORDERED]],sales_data_sample[[#This Row],[PRICEEACH]])</f>
        <v>4900</v>
      </c>
      <c r="E1307" s="9">
        <f>IF(OR(sales_data_sample[[#This Row],[STATUS]]="Shipped",sales_data_sample[[#This Row],[STATUS]]="Resolved"),sales_data_sample[[#This Row],[SALES]],0)</f>
        <v>4900</v>
      </c>
      <c r="F1307" s="10">
        <v>3</v>
      </c>
      <c r="G1307" s="12" t="s">
        <v>694</v>
      </c>
      <c r="H1307" s="1" t="s">
        <v>26</v>
      </c>
      <c r="I1307">
        <v>3</v>
      </c>
      <c r="J1307">
        <v>9</v>
      </c>
      <c r="K1307">
        <v>2004</v>
      </c>
      <c r="L1307" s="1" t="s">
        <v>799</v>
      </c>
      <c r="M1307">
        <v>87</v>
      </c>
      <c r="N1307" s="1" t="s">
        <v>942</v>
      </c>
      <c r="O1307" s="1" t="s">
        <v>338</v>
      </c>
      <c r="P1307" s="1" t="s">
        <v>339</v>
      </c>
      <c r="Q1307" s="1" t="s">
        <v>340</v>
      </c>
      <c r="R1307" s="1" t="s">
        <v>32</v>
      </c>
      <c r="S1307" s="1" t="s">
        <v>341</v>
      </c>
      <c r="T1307" s="1" t="s">
        <v>32</v>
      </c>
      <c r="U1307" s="1" t="s">
        <v>342</v>
      </c>
      <c r="V1307" s="1" t="s">
        <v>343</v>
      </c>
      <c r="W1307" s="1" t="s">
        <v>48</v>
      </c>
      <c r="X1307" s="1" t="s">
        <v>344</v>
      </c>
      <c r="Y1307" s="1" t="s">
        <v>345</v>
      </c>
      <c r="Z1307" s="1" t="str">
        <f>TRIM(_xlfn.CONCAT(sales_data_sample[[#This Row],[CONTACTFIRSTNAME]],", ",sales_data_sample[[#This Row],[CONTACTLASTNAME]]))</f>
        <v>Paolo, Accorti</v>
      </c>
      <c r="AA1307" s="1" t="s">
        <v>59</v>
      </c>
    </row>
    <row r="1308" spans="1:27" x14ac:dyDescent="0.25">
      <c r="A1308" s="10">
        <v>10306</v>
      </c>
      <c r="B1308" s="9">
        <v>39</v>
      </c>
      <c r="C1308" s="9">
        <v>904</v>
      </c>
      <c r="D1308" s="9">
        <f>PRODUCT(sales_data_sample[[#This Row],[QUANTITYORDERED]],sales_data_sample[[#This Row],[PRICEEACH]])</f>
        <v>35256</v>
      </c>
      <c r="E1308" s="9">
        <f>IF(OR(sales_data_sample[[#This Row],[STATUS]]="Shipped",sales_data_sample[[#This Row],[STATUS]]="Resolved"),sales_data_sample[[#This Row],[SALES]],0)</f>
        <v>35256</v>
      </c>
      <c r="F1308" s="10">
        <v>8</v>
      </c>
      <c r="G1308" s="12" t="s">
        <v>522</v>
      </c>
      <c r="H1308" s="1" t="s">
        <v>26</v>
      </c>
      <c r="I1308">
        <v>4</v>
      </c>
      <c r="J1308">
        <v>10</v>
      </c>
      <c r="K1308">
        <v>2004</v>
      </c>
      <c r="L1308" s="1" t="s">
        <v>799</v>
      </c>
      <c r="M1308">
        <v>87</v>
      </c>
      <c r="N1308" s="1" t="s">
        <v>942</v>
      </c>
      <c r="O1308" s="1" t="s">
        <v>695</v>
      </c>
      <c r="P1308" s="1" t="s">
        <v>696</v>
      </c>
      <c r="Q1308" s="1" t="s">
        <v>697</v>
      </c>
      <c r="R1308" s="1" t="s">
        <v>32</v>
      </c>
      <c r="S1308" s="1" t="s">
        <v>698</v>
      </c>
      <c r="T1308" s="1" t="s">
        <v>32</v>
      </c>
      <c r="U1308" s="1" t="s">
        <v>699</v>
      </c>
      <c r="V1308" s="1" t="s">
        <v>225</v>
      </c>
      <c r="W1308" s="1" t="s">
        <v>48</v>
      </c>
      <c r="X1308" s="1" t="s">
        <v>700</v>
      </c>
      <c r="Y1308" s="1" t="s">
        <v>118</v>
      </c>
      <c r="Z1308" s="1" t="str">
        <f>TRIM(_xlfn.CONCAT(sales_data_sample[[#This Row],[CONTACTFIRSTNAME]],", ",sales_data_sample[[#This Row],[CONTACTLASTNAME]]))</f>
        <v>Victoria, Ashworth</v>
      </c>
      <c r="AA1308" s="1" t="s">
        <v>59</v>
      </c>
    </row>
    <row r="1309" spans="1:27" x14ac:dyDescent="0.25">
      <c r="A1309" s="10">
        <v>10315</v>
      </c>
      <c r="B1309" s="9">
        <v>36</v>
      </c>
      <c r="C1309" s="9">
        <v>100</v>
      </c>
      <c r="D1309" s="9">
        <f>PRODUCT(sales_data_sample[[#This Row],[QUANTITYORDERED]],sales_data_sample[[#This Row],[PRICEEACH]])</f>
        <v>3600</v>
      </c>
      <c r="E1309" s="9">
        <f>IF(OR(sales_data_sample[[#This Row],[STATUS]]="Shipped",sales_data_sample[[#This Row],[STATUS]]="Resolved"),sales_data_sample[[#This Row],[SALES]],0)</f>
        <v>3600</v>
      </c>
      <c r="F1309" s="10">
        <v>7</v>
      </c>
      <c r="G1309" s="12" t="s">
        <v>943</v>
      </c>
      <c r="H1309" s="1" t="s">
        <v>26</v>
      </c>
      <c r="I1309">
        <v>4</v>
      </c>
      <c r="J1309">
        <v>10</v>
      </c>
      <c r="K1309">
        <v>2004</v>
      </c>
      <c r="L1309" s="1" t="s">
        <v>799</v>
      </c>
      <c r="M1309">
        <v>87</v>
      </c>
      <c r="N1309" s="1" t="s">
        <v>942</v>
      </c>
      <c r="O1309" s="1" t="s">
        <v>148</v>
      </c>
      <c r="P1309" s="1" t="s">
        <v>149</v>
      </c>
      <c r="Q1309" s="1" t="s">
        <v>150</v>
      </c>
      <c r="R1309" s="1" t="s">
        <v>32</v>
      </c>
      <c r="S1309" s="1" t="s">
        <v>151</v>
      </c>
      <c r="T1309" s="1" t="s">
        <v>32</v>
      </c>
      <c r="U1309" s="1" t="s">
        <v>152</v>
      </c>
      <c r="V1309" s="1" t="s">
        <v>47</v>
      </c>
      <c r="W1309" s="1" t="s">
        <v>48</v>
      </c>
      <c r="X1309" s="1" t="s">
        <v>153</v>
      </c>
      <c r="Y1309" s="1" t="s">
        <v>154</v>
      </c>
      <c r="Z1309" s="1" t="str">
        <f>TRIM(_xlfn.CONCAT(sales_data_sample[[#This Row],[CONTACTFIRSTNAME]],", ",sales_data_sample[[#This Row],[CONTACTLASTNAME]]))</f>
        <v>Janine, Labrune</v>
      </c>
      <c r="AA1309" s="1" t="s">
        <v>59</v>
      </c>
    </row>
    <row r="1310" spans="1:27" x14ac:dyDescent="0.25">
      <c r="A1310" s="10">
        <v>10326</v>
      </c>
      <c r="B1310" s="9">
        <v>50</v>
      </c>
      <c r="C1310" s="9">
        <v>8601</v>
      </c>
      <c r="D1310" s="9">
        <f>PRODUCT(sales_data_sample[[#This Row],[QUANTITYORDERED]],sales_data_sample[[#This Row],[PRICEEACH]])</f>
        <v>430050</v>
      </c>
      <c r="E1310" s="9">
        <f>IF(OR(sales_data_sample[[#This Row],[STATUS]]="Shipped",sales_data_sample[[#This Row],[STATUS]]="Resolved"),sales_data_sample[[#This Row],[SALES]],0)</f>
        <v>430050</v>
      </c>
      <c r="F1310" s="10">
        <v>5</v>
      </c>
      <c r="G1310" s="12" t="s">
        <v>920</v>
      </c>
      <c r="H1310" s="1" t="s">
        <v>26</v>
      </c>
      <c r="I1310">
        <v>4</v>
      </c>
      <c r="J1310">
        <v>11</v>
      </c>
      <c r="K1310">
        <v>2004</v>
      </c>
      <c r="L1310" s="1" t="s">
        <v>799</v>
      </c>
      <c r="M1310">
        <v>87</v>
      </c>
      <c r="N1310" s="1" t="s">
        <v>942</v>
      </c>
      <c r="O1310" s="1" t="s">
        <v>242</v>
      </c>
      <c r="P1310" s="1" t="s">
        <v>243</v>
      </c>
      <c r="Q1310" s="1" t="s">
        <v>244</v>
      </c>
      <c r="R1310" s="1" t="s">
        <v>32</v>
      </c>
      <c r="S1310" s="1" t="s">
        <v>245</v>
      </c>
      <c r="T1310" s="1" t="s">
        <v>32</v>
      </c>
      <c r="U1310" s="1" t="s">
        <v>246</v>
      </c>
      <c r="V1310" s="1" t="s">
        <v>247</v>
      </c>
      <c r="W1310" s="1" t="s">
        <v>48</v>
      </c>
      <c r="X1310" s="1" t="s">
        <v>248</v>
      </c>
      <c r="Y1310" s="1" t="s">
        <v>249</v>
      </c>
      <c r="Z1310" s="1" t="str">
        <f>TRIM(_xlfn.CONCAT(sales_data_sample[[#This Row],[CONTACTFIRSTNAME]],", ",sales_data_sample[[#This Row],[CONTACTLASTNAME]]))</f>
        <v>Christina, Berglund</v>
      </c>
      <c r="AA1310" s="1" t="s">
        <v>59</v>
      </c>
    </row>
    <row r="1311" spans="1:27" x14ac:dyDescent="0.25">
      <c r="A1311">
        <v>10337</v>
      </c>
      <c r="B1311">
        <v>29</v>
      </c>
      <c r="C1311">
        <v>100</v>
      </c>
      <c r="D1311">
        <f>PRODUCT(sales_data_sample[[#This Row],[QUANTITYORDERED]],sales_data_sample[[#This Row],[PRICEEACH]])</f>
        <v>2900</v>
      </c>
      <c r="E1311" s="9">
        <f>IF(OR(sales_data_sample[[#This Row],[STATUS]]="Shipped",sales_data_sample[[#This Row],[STATUS]]="Resolved"),sales_data_sample[[#This Row],[SALES]],0)</f>
        <v>2900</v>
      </c>
      <c r="F1311">
        <v>2</v>
      </c>
      <c r="G1311" s="12" t="s">
        <v>533</v>
      </c>
      <c r="H1311" s="1" t="s">
        <v>26</v>
      </c>
      <c r="I1311">
        <v>4</v>
      </c>
      <c r="J1311">
        <v>11</v>
      </c>
      <c r="K1311">
        <v>2004</v>
      </c>
      <c r="L1311" s="1" t="s">
        <v>799</v>
      </c>
      <c r="M1311">
        <v>87</v>
      </c>
      <c r="N1311" s="1" t="s">
        <v>942</v>
      </c>
      <c r="O1311" s="1" t="s">
        <v>268</v>
      </c>
      <c r="P1311" s="1" t="s">
        <v>269</v>
      </c>
      <c r="Q1311" s="1" t="s">
        <v>270</v>
      </c>
      <c r="R1311" s="1" t="s">
        <v>271</v>
      </c>
      <c r="S1311" s="1" t="s">
        <v>33</v>
      </c>
      <c r="T1311" s="1" t="s">
        <v>34</v>
      </c>
      <c r="U1311" s="1" t="s">
        <v>35</v>
      </c>
      <c r="V1311" s="1" t="s">
        <v>36</v>
      </c>
      <c r="W1311" s="1" t="s">
        <v>37</v>
      </c>
      <c r="X1311" s="1" t="s">
        <v>162</v>
      </c>
      <c r="Y1311" s="1" t="s">
        <v>272</v>
      </c>
      <c r="Z1311" s="1" t="str">
        <f>TRIM(_xlfn.CONCAT(sales_data_sample[[#This Row],[CONTACTFIRSTNAME]],", ",sales_data_sample[[#This Row],[CONTACTLASTNAME]]))</f>
        <v>Maria, Hernandez</v>
      </c>
      <c r="AA1311" s="1" t="s">
        <v>59</v>
      </c>
    </row>
    <row r="1312" spans="1:27" x14ac:dyDescent="0.25">
      <c r="A1312" s="10">
        <v>10350</v>
      </c>
      <c r="B1312" s="9">
        <v>30</v>
      </c>
      <c r="C1312" s="9">
        <v>100</v>
      </c>
      <c r="D1312" s="9">
        <f>PRODUCT(sales_data_sample[[#This Row],[QUANTITYORDERED]],sales_data_sample[[#This Row],[PRICEEACH]])</f>
        <v>3000</v>
      </c>
      <c r="E1312" s="9">
        <f>IF(OR(sales_data_sample[[#This Row],[STATUS]]="Shipped",sales_data_sample[[#This Row],[STATUS]]="Resolved"),sales_data_sample[[#This Row],[SALES]],0)</f>
        <v>3000</v>
      </c>
      <c r="F1312" s="10">
        <v>3</v>
      </c>
      <c r="G1312" s="12" t="s">
        <v>534</v>
      </c>
      <c r="H1312" s="1" t="s">
        <v>26</v>
      </c>
      <c r="I1312">
        <v>4</v>
      </c>
      <c r="J1312">
        <v>12</v>
      </c>
      <c r="K1312">
        <v>2004</v>
      </c>
      <c r="L1312" s="1" t="s">
        <v>799</v>
      </c>
      <c r="M1312">
        <v>87</v>
      </c>
      <c r="N1312" s="1" t="s">
        <v>942</v>
      </c>
      <c r="O1312" s="1" t="s">
        <v>230</v>
      </c>
      <c r="P1312" s="1" t="s">
        <v>231</v>
      </c>
      <c r="Q1312" s="1" t="s">
        <v>232</v>
      </c>
      <c r="R1312" s="1" t="s">
        <v>32</v>
      </c>
      <c r="S1312" s="1" t="s">
        <v>233</v>
      </c>
      <c r="T1312" s="1" t="s">
        <v>32</v>
      </c>
      <c r="U1312" s="1" t="s">
        <v>234</v>
      </c>
      <c r="V1312" s="1" t="s">
        <v>235</v>
      </c>
      <c r="W1312" s="1" t="s">
        <v>48</v>
      </c>
      <c r="X1312" s="1" t="s">
        <v>236</v>
      </c>
      <c r="Y1312" s="1" t="s">
        <v>237</v>
      </c>
      <c r="Z1312" s="1" t="str">
        <f>TRIM(_xlfn.CONCAT(sales_data_sample[[#This Row],[CONTACTFIRSTNAME]],", ",sales_data_sample[[#This Row],[CONTACTLASTNAME]]))</f>
        <v>Diego, Freyre</v>
      </c>
      <c r="AA1312" s="1" t="s">
        <v>59</v>
      </c>
    </row>
    <row r="1313" spans="1:27" x14ac:dyDescent="0.25">
      <c r="A1313" s="10">
        <v>10372</v>
      </c>
      <c r="B1313" s="9">
        <v>41</v>
      </c>
      <c r="C1313" s="9">
        <v>8689</v>
      </c>
      <c r="D1313" s="9">
        <f>PRODUCT(sales_data_sample[[#This Row],[QUANTITYORDERED]],sales_data_sample[[#This Row],[PRICEEACH]])</f>
        <v>356249</v>
      </c>
      <c r="E1313" s="9">
        <f>IF(OR(sales_data_sample[[#This Row],[STATUS]]="Shipped",sales_data_sample[[#This Row],[STATUS]]="Resolved"),sales_data_sample[[#This Row],[SALES]],0)</f>
        <v>356249</v>
      </c>
      <c r="F1313" s="10">
        <v>7</v>
      </c>
      <c r="G1313" s="12" t="s">
        <v>726</v>
      </c>
      <c r="H1313" s="1" t="s">
        <v>26</v>
      </c>
      <c r="I1313">
        <v>1</v>
      </c>
      <c r="J1313">
        <v>1</v>
      </c>
      <c r="K1313">
        <v>2005</v>
      </c>
      <c r="L1313" s="1" t="s">
        <v>799</v>
      </c>
      <c r="M1313">
        <v>87</v>
      </c>
      <c r="N1313" s="1" t="s">
        <v>942</v>
      </c>
      <c r="O1313" s="1" t="s">
        <v>328</v>
      </c>
      <c r="P1313" s="1" t="s">
        <v>329</v>
      </c>
      <c r="Q1313" s="1" t="s">
        <v>330</v>
      </c>
      <c r="R1313" s="1" t="s">
        <v>32</v>
      </c>
      <c r="S1313" s="1" t="s">
        <v>331</v>
      </c>
      <c r="T1313" s="1" t="s">
        <v>332</v>
      </c>
      <c r="U1313" s="1" t="s">
        <v>333</v>
      </c>
      <c r="V1313" s="1" t="s">
        <v>264</v>
      </c>
      <c r="W1313" s="1" t="s">
        <v>264</v>
      </c>
      <c r="X1313" s="1" t="s">
        <v>334</v>
      </c>
      <c r="Y1313" s="1" t="s">
        <v>335</v>
      </c>
      <c r="Z1313" s="1" t="str">
        <f>TRIM(_xlfn.CONCAT(sales_data_sample[[#This Row],[CONTACTFIRSTNAME]],", ",sales_data_sample[[#This Row],[CONTACTLASTNAME]]))</f>
        <v>Akiko, Shimamura</v>
      </c>
      <c r="AA1313" s="1" t="s">
        <v>59</v>
      </c>
    </row>
    <row r="1314" spans="1:27" x14ac:dyDescent="0.25">
      <c r="A1314" s="10">
        <v>10383</v>
      </c>
      <c r="B1314" s="9">
        <v>28</v>
      </c>
      <c r="C1314" s="9">
        <v>5858</v>
      </c>
      <c r="D1314" s="9">
        <f>PRODUCT(sales_data_sample[[#This Row],[QUANTITYORDERED]],sales_data_sample[[#This Row],[PRICEEACH]])</f>
        <v>164024</v>
      </c>
      <c r="E1314" s="9">
        <f>IF(OR(sales_data_sample[[#This Row],[STATUS]]="Shipped",sales_data_sample[[#This Row],[STATUS]]="Resolved"),sales_data_sample[[#This Row],[SALES]],0)</f>
        <v>164024</v>
      </c>
      <c r="F1314" s="10">
        <v>7</v>
      </c>
      <c r="G1314" s="12" t="s">
        <v>884</v>
      </c>
      <c r="H1314" s="1" t="s">
        <v>26</v>
      </c>
      <c r="I1314">
        <v>1</v>
      </c>
      <c r="J1314">
        <v>2</v>
      </c>
      <c r="K1314">
        <v>2005</v>
      </c>
      <c r="L1314" s="1" t="s">
        <v>799</v>
      </c>
      <c r="M1314">
        <v>87</v>
      </c>
      <c r="N1314" s="1" t="s">
        <v>942</v>
      </c>
      <c r="O1314" s="1" t="s">
        <v>230</v>
      </c>
      <c r="P1314" s="1" t="s">
        <v>231</v>
      </c>
      <c r="Q1314" s="1" t="s">
        <v>232</v>
      </c>
      <c r="R1314" s="1" t="s">
        <v>32</v>
      </c>
      <c r="S1314" s="1" t="s">
        <v>233</v>
      </c>
      <c r="T1314" s="1" t="s">
        <v>32</v>
      </c>
      <c r="U1314" s="1" t="s">
        <v>234</v>
      </c>
      <c r="V1314" s="1" t="s">
        <v>235</v>
      </c>
      <c r="W1314" s="1" t="s">
        <v>48</v>
      </c>
      <c r="X1314" s="1" t="s">
        <v>236</v>
      </c>
      <c r="Y1314" s="1" t="s">
        <v>237</v>
      </c>
      <c r="Z1314" s="1" t="str">
        <f>TRIM(_xlfn.CONCAT(sales_data_sample[[#This Row],[CONTACTFIRSTNAME]],", ",sales_data_sample[[#This Row],[CONTACTLASTNAME]]))</f>
        <v>Diego, Freyre</v>
      </c>
      <c r="AA1314" s="1" t="s">
        <v>40</v>
      </c>
    </row>
    <row r="1315" spans="1:27" x14ac:dyDescent="0.25">
      <c r="A1315" s="10">
        <v>10396</v>
      </c>
      <c r="B1315" s="9">
        <v>45</v>
      </c>
      <c r="C1315" s="9">
        <v>100</v>
      </c>
      <c r="D1315" s="9">
        <f>PRODUCT(sales_data_sample[[#This Row],[QUANTITYORDERED]],sales_data_sample[[#This Row],[PRICEEACH]])</f>
        <v>4500</v>
      </c>
      <c r="E1315" s="9">
        <f>IF(OR(sales_data_sample[[#This Row],[STATUS]]="Shipped",sales_data_sample[[#This Row],[STATUS]]="Resolved"),sales_data_sample[[#This Row],[SALES]],0)</f>
        <v>4500</v>
      </c>
      <c r="F1315" s="10">
        <v>5</v>
      </c>
      <c r="G1315" s="12" t="s">
        <v>738</v>
      </c>
      <c r="H1315" s="1" t="s">
        <v>26</v>
      </c>
      <c r="I1315">
        <v>1</v>
      </c>
      <c r="J1315">
        <v>3</v>
      </c>
      <c r="K1315">
        <v>2005</v>
      </c>
      <c r="L1315" s="1" t="s">
        <v>799</v>
      </c>
      <c r="M1315">
        <v>87</v>
      </c>
      <c r="N1315" s="1" t="s">
        <v>942</v>
      </c>
      <c r="O1315" s="1" t="s">
        <v>361</v>
      </c>
      <c r="P1315" s="1" t="s">
        <v>362</v>
      </c>
      <c r="Q1315" s="1" t="s">
        <v>363</v>
      </c>
      <c r="R1315" s="1" t="s">
        <v>32</v>
      </c>
      <c r="S1315" s="1" t="s">
        <v>364</v>
      </c>
      <c r="T1315" s="1" t="s">
        <v>65</v>
      </c>
      <c r="U1315" s="1" t="s">
        <v>145</v>
      </c>
      <c r="V1315" s="1" t="s">
        <v>36</v>
      </c>
      <c r="W1315" s="1" t="s">
        <v>37</v>
      </c>
      <c r="X1315" s="1" t="s">
        <v>365</v>
      </c>
      <c r="Y1315" s="1" t="s">
        <v>366</v>
      </c>
      <c r="Z1315" s="1" t="str">
        <f>TRIM(_xlfn.CONCAT(sales_data_sample[[#This Row],[CONTACTFIRSTNAME]],", ",sales_data_sample[[#This Row],[CONTACTLASTNAME]]))</f>
        <v>Valarie, Nelson</v>
      </c>
      <c r="AA1315" s="1" t="s">
        <v>59</v>
      </c>
    </row>
    <row r="1316" spans="1:27" x14ac:dyDescent="0.25">
      <c r="A1316" s="10">
        <v>10414</v>
      </c>
      <c r="B1316" s="9">
        <v>16</v>
      </c>
      <c r="C1316" s="9">
        <v>7548</v>
      </c>
      <c r="D1316" s="9">
        <f>PRODUCT(sales_data_sample[[#This Row],[QUANTITYORDERED]],sales_data_sample[[#This Row],[PRICEEACH]])</f>
        <v>120768</v>
      </c>
      <c r="E1316" s="9">
        <f>IF(OR(sales_data_sample[[#This Row],[STATUS]]="Shipped",sales_data_sample[[#This Row],[STATUS]]="Resolved"),sales_data_sample[[#This Row],[SALES]],0)</f>
        <v>0</v>
      </c>
      <c r="F1316" s="10">
        <v>11</v>
      </c>
      <c r="G1316" s="12" t="s">
        <v>552</v>
      </c>
      <c r="H1316" s="1" t="s">
        <v>553</v>
      </c>
      <c r="I1316">
        <v>2</v>
      </c>
      <c r="J1316">
        <v>5</v>
      </c>
      <c r="K1316">
        <v>2005</v>
      </c>
      <c r="L1316" s="1" t="s">
        <v>799</v>
      </c>
      <c r="M1316">
        <v>87</v>
      </c>
      <c r="N1316" s="1" t="s">
        <v>942</v>
      </c>
      <c r="O1316" s="1" t="s">
        <v>516</v>
      </c>
      <c r="P1316" s="1" t="s">
        <v>517</v>
      </c>
      <c r="Q1316" s="1" t="s">
        <v>518</v>
      </c>
      <c r="R1316" s="1" t="s">
        <v>32</v>
      </c>
      <c r="S1316" s="1" t="s">
        <v>519</v>
      </c>
      <c r="T1316" s="1" t="s">
        <v>160</v>
      </c>
      <c r="U1316" s="1" t="s">
        <v>520</v>
      </c>
      <c r="V1316" s="1" t="s">
        <v>36</v>
      </c>
      <c r="W1316" s="1" t="s">
        <v>37</v>
      </c>
      <c r="X1316" s="1" t="s">
        <v>521</v>
      </c>
      <c r="Y1316" s="1" t="s">
        <v>82</v>
      </c>
      <c r="Z1316" s="1" t="str">
        <f>TRIM(_xlfn.CONCAT(sales_data_sample[[#This Row],[CONTACTFIRSTNAME]],", ",sales_data_sample[[#This Row],[CONTACTLASTNAME]]))</f>
        <v>Juri, Yoshido</v>
      </c>
      <c r="AA1316" s="1" t="s">
        <v>40</v>
      </c>
    </row>
    <row r="1317" spans="1:27" x14ac:dyDescent="0.25">
      <c r="A1317" s="10">
        <v>10103</v>
      </c>
      <c r="B1317" s="9">
        <v>36</v>
      </c>
      <c r="C1317" s="9">
        <v>100</v>
      </c>
      <c r="D1317" s="9">
        <f>PRODUCT(sales_data_sample[[#This Row],[QUANTITYORDERED]],sales_data_sample[[#This Row],[PRICEEACH]])</f>
        <v>3600</v>
      </c>
      <c r="E1317" s="9">
        <f>IF(OR(sales_data_sample[[#This Row],[STATUS]]="Shipped",sales_data_sample[[#This Row],[STATUS]]="Resolved"),sales_data_sample[[#This Row],[SALES]],0)</f>
        <v>3600</v>
      </c>
      <c r="F1317" s="10">
        <v>5</v>
      </c>
      <c r="G1317" s="12" t="s">
        <v>238</v>
      </c>
      <c r="H1317" s="1" t="s">
        <v>26</v>
      </c>
      <c r="I1317">
        <v>1</v>
      </c>
      <c r="J1317">
        <v>1</v>
      </c>
      <c r="K1317">
        <v>2003</v>
      </c>
      <c r="L1317" s="1" t="s">
        <v>711</v>
      </c>
      <c r="M1317">
        <v>121</v>
      </c>
      <c r="N1317" s="1" t="s">
        <v>944</v>
      </c>
      <c r="O1317" s="1" t="s">
        <v>174</v>
      </c>
      <c r="P1317" s="1" t="s">
        <v>175</v>
      </c>
      <c r="Q1317" s="1" t="s">
        <v>176</v>
      </c>
      <c r="R1317" s="1" t="s">
        <v>32</v>
      </c>
      <c r="S1317" s="1" t="s">
        <v>177</v>
      </c>
      <c r="T1317" s="1" t="s">
        <v>32</v>
      </c>
      <c r="U1317" s="1" t="s">
        <v>178</v>
      </c>
      <c r="V1317" s="1" t="s">
        <v>97</v>
      </c>
      <c r="W1317" s="1" t="s">
        <v>48</v>
      </c>
      <c r="X1317" s="1" t="s">
        <v>179</v>
      </c>
      <c r="Y1317" s="1" t="s">
        <v>180</v>
      </c>
      <c r="Z1317" s="1" t="str">
        <f>TRIM(_xlfn.CONCAT(sales_data_sample[[#This Row],[CONTACTFIRSTNAME]],", ",sales_data_sample[[#This Row],[CONTACTLASTNAME]]))</f>
        <v>Jonas, Bergulfsen</v>
      </c>
      <c r="AA1317" s="1" t="s">
        <v>59</v>
      </c>
    </row>
    <row r="1318" spans="1:27" x14ac:dyDescent="0.25">
      <c r="A1318" s="10">
        <v>10114</v>
      </c>
      <c r="B1318" s="9">
        <v>41</v>
      </c>
      <c r="C1318" s="9">
        <v>100</v>
      </c>
      <c r="D1318" s="9">
        <f>PRODUCT(sales_data_sample[[#This Row],[QUANTITYORDERED]],sales_data_sample[[#This Row],[PRICEEACH]])</f>
        <v>4100</v>
      </c>
      <c r="E1318" s="9">
        <f>IF(OR(sales_data_sample[[#This Row],[STATUS]]="Shipped",sales_data_sample[[#This Row],[STATUS]]="Resolved"),sales_data_sample[[#This Row],[SALES]],0)</f>
        <v>4100</v>
      </c>
      <c r="F1318" s="10">
        <v>9</v>
      </c>
      <c r="G1318" s="12" t="s">
        <v>555</v>
      </c>
      <c r="H1318" s="1" t="s">
        <v>26</v>
      </c>
      <c r="I1318">
        <v>2</v>
      </c>
      <c r="J1318">
        <v>4</v>
      </c>
      <c r="K1318">
        <v>2003</v>
      </c>
      <c r="L1318" s="1" t="s">
        <v>711</v>
      </c>
      <c r="M1318">
        <v>121</v>
      </c>
      <c r="N1318" s="1" t="s">
        <v>944</v>
      </c>
      <c r="O1318" s="1" t="s">
        <v>556</v>
      </c>
      <c r="P1318" s="1" t="s">
        <v>557</v>
      </c>
      <c r="Q1318" s="1" t="s">
        <v>558</v>
      </c>
      <c r="R1318" s="1" t="s">
        <v>32</v>
      </c>
      <c r="S1318" s="1" t="s">
        <v>55</v>
      </c>
      <c r="T1318" s="1" t="s">
        <v>32</v>
      </c>
      <c r="U1318" s="1" t="s">
        <v>559</v>
      </c>
      <c r="V1318" s="1" t="s">
        <v>47</v>
      </c>
      <c r="W1318" s="1" t="s">
        <v>48</v>
      </c>
      <c r="X1318" s="1" t="s">
        <v>560</v>
      </c>
      <c r="Y1318" s="1" t="s">
        <v>561</v>
      </c>
      <c r="Z1318" s="1" t="str">
        <f>TRIM(_xlfn.CONCAT(sales_data_sample[[#This Row],[CONTACTFIRSTNAME]],", ",sales_data_sample[[#This Row],[CONTACTLASTNAME]]))</f>
        <v>Marie, Bertrand</v>
      </c>
      <c r="AA1318" s="1" t="s">
        <v>59</v>
      </c>
    </row>
    <row r="1319" spans="1:27" x14ac:dyDescent="0.25">
      <c r="A1319" s="10">
        <v>10126</v>
      </c>
      <c r="B1319" s="9">
        <v>50</v>
      </c>
      <c r="C1319" s="9">
        <v>100</v>
      </c>
      <c r="D1319" s="9">
        <f>PRODUCT(sales_data_sample[[#This Row],[QUANTITYORDERED]],sales_data_sample[[#This Row],[PRICEEACH]])</f>
        <v>5000</v>
      </c>
      <c r="E1319" s="9">
        <f>IF(OR(sales_data_sample[[#This Row],[STATUS]]="Shipped",sales_data_sample[[#This Row],[STATUS]]="Resolved"),sales_data_sample[[#This Row],[SALES]],0)</f>
        <v>5000</v>
      </c>
      <c r="F1319" s="10">
        <v>5</v>
      </c>
      <c r="G1319" s="12" t="s">
        <v>250</v>
      </c>
      <c r="H1319" s="1" t="s">
        <v>26</v>
      </c>
      <c r="I1319">
        <v>2</v>
      </c>
      <c r="J1319">
        <v>5</v>
      </c>
      <c r="K1319">
        <v>2003</v>
      </c>
      <c r="L1319" s="1" t="s">
        <v>711</v>
      </c>
      <c r="M1319">
        <v>121</v>
      </c>
      <c r="N1319" s="1" t="s">
        <v>944</v>
      </c>
      <c r="O1319" s="1" t="s">
        <v>251</v>
      </c>
      <c r="P1319" s="1" t="s">
        <v>252</v>
      </c>
      <c r="Q1319" s="1" t="s">
        <v>253</v>
      </c>
      <c r="R1319" s="1" t="s">
        <v>32</v>
      </c>
      <c r="S1319" s="1" t="s">
        <v>233</v>
      </c>
      <c r="T1319" s="1" t="s">
        <v>32</v>
      </c>
      <c r="U1319" s="1" t="s">
        <v>254</v>
      </c>
      <c r="V1319" s="1" t="s">
        <v>235</v>
      </c>
      <c r="W1319" s="1" t="s">
        <v>48</v>
      </c>
      <c r="X1319" s="1" t="s">
        <v>255</v>
      </c>
      <c r="Y1319" s="1" t="s">
        <v>256</v>
      </c>
      <c r="Z1319" s="1" t="str">
        <f>TRIM(_xlfn.CONCAT(sales_data_sample[[#This Row],[CONTACTFIRSTNAME]],", ",sales_data_sample[[#This Row],[CONTACTLASTNAME]]))</f>
        <v>Mart¡n, Sommer</v>
      </c>
      <c r="AA1319" s="1" t="s">
        <v>199</v>
      </c>
    </row>
    <row r="1320" spans="1:27" x14ac:dyDescent="0.25">
      <c r="A1320" s="10">
        <v>10140</v>
      </c>
      <c r="B1320" s="9">
        <v>40</v>
      </c>
      <c r="C1320" s="9">
        <v>100</v>
      </c>
      <c r="D1320" s="9">
        <f>PRODUCT(sales_data_sample[[#This Row],[QUANTITYORDERED]],sales_data_sample[[#This Row],[PRICEEACH]])</f>
        <v>4000</v>
      </c>
      <c r="E1320" s="9">
        <f>IF(OR(sales_data_sample[[#This Row],[STATUS]]="Shipped",sales_data_sample[[#This Row],[STATUS]]="Resolved"),sales_data_sample[[#This Row],[SALES]],0)</f>
        <v>4000</v>
      </c>
      <c r="F1320" s="10">
        <v>5</v>
      </c>
      <c r="G1320" s="12" t="s">
        <v>257</v>
      </c>
      <c r="H1320" s="1" t="s">
        <v>26</v>
      </c>
      <c r="I1320">
        <v>3</v>
      </c>
      <c r="J1320">
        <v>7</v>
      </c>
      <c r="K1320">
        <v>2003</v>
      </c>
      <c r="L1320" s="1" t="s">
        <v>711</v>
      </c>
      <c r="M1320">
        <v>121</v>
      </c>
      <c r="N1320" s="1" t="s">
        <v>944</v>
      </c>
      <c r="O1320" s="1" t="s">
        <v>76</v>
      </c>
      <c r="P1320" s="1" t="s">
        <v>77</v>
      </c>
      <c r="Q1320" s="1" t="s">
        <v>78</v>
      </c>
      <c r="R1320" s="1" t="s">
        <v>32</v>
      </c>
      <c r="S1320" s="1" t="s">
        <v>79</v>
      </c>
      <c r="T1320" s="1" t="s">
        <v>65</v>
      </c>
      <c r="U1320" s="1" t="s">
        <v>80</v>
      </c>
      <c r="V1320" s="1" t="s">
        <v>36</v>
      </c>
      <c r="W1320" s="1" t="s">
        <v>37</v>
      </c>
      <c r="X1320" s="1" t="s">
        <v>81</v>
      </c>
      <c r="Y1320" s="1" t="s">
        <v>82</v>
      </c>
      <c r="Z1320" s="1" t="str">
        <f>TRIM(_xlfn.CONCAT(sales_data_sample[[#This Row],[CONTACTFIRSTNAME]],", ",sales_data_sample[[#This Row],[CONTACTLASTNAME]]))</f>
        <v>Juri, Hirano</v>
      </c>
      <c r="AA1320" s="1" t="s">
        <v>59</v>
      </c>
    </row>
    <row r="1321" spans="1:27" x14ac:dyDescent="0.25">
      <c r="A1321" s="10">
        <v>10150</v>
      </c>
      <c r="B1321" s="9">
        <v>49</v>
      </c>
      <c r="C1321" s="9">
        <v>100</v>
      </c>
      <c r="D1321" s="9">
        <f>PRODUCT(sales_data_sample[[#This Row],[QUANTITYORDERED]],sales_data_sample[[#This Row],[PRICEEACH]])</f>
        <v>4900</v>
      </c>
      <c r="E1321" s="9">
        <f>IF(OR(sales_data_sample[[#This Row],[STATUS]]="Shipped",sales_data_sample[[#This Row],[STATUS]]="Resolved"),sales_data_sample[[#This Row],[SALES]],0)</f>
        <v>4900</v>
      </c>
      <c r="F1321" s="10">
        <v>2</v>
      </c>
      <c r="G1321" s="12" t="s">
        <v>258</v>
      </c>
      <c r="H1321" s="1" t="s">
        <v>26</v>
      </c>
      <c r="I1321">
        <v>3</v>
      </c>
      <c r="J1321">
        <v>9</v>
      </c>
      <c r="K1321">
        <v>2003</v>
      </c>
      <c r="L1321" s="1" t="s">
        <v>711</v>
      </c>
      <c r="M1321">
        <v>121</v>
      </c>
      <c r="N1321" s="1" t="s">
        <v>944</v>
      </c>
      <c r="O1321" s="1" t="s">
        <v>259</v>
      </c>
      <c r="P1321" s="1" t="s">
        <v>260</v>
      </c>
      <c r="Q1321" s="1" t="s">
        <v>261</v>
      </c>
      <c r="R1321" s="1" t="s">
        <v>32</v>
      </c>
      <c r="S1321" s="1" t="s">
        <v>262</v>
      </c>
      <c r="T1321" s="1" t="s">
        <v>32</v>
      </c>
      <c r="U1321" s="1" t="s">
        <v>263</v>
      </c>
      <c r="V1321" s="1" t="s">
        <v>262</v>
      </c>
      <c r="W1321" s="1" t="s">
        <v>264</v>
      </c>
      <c r="X1321" s="1" t="s">
        <v>265</v>
      </c>
      <c r="Y1321" s="1" t="s">
        <v>266</v>
      </c>
      <c r="Z1321" s="1" t="str">
        <f>TRIM(_xlfn.CONCAT(sales_data_sample[[#This Row],[CONTACTFIRSTNAME]],", ",sales_data_sample[[#This Row],[CONTACTLASTNAME]]))</f>
        <v>Eric, Natividad</v>
      </c>
      <c r="AA1321" s="1" t="s">
        <v>59</v>
      </c>
    </row>
    <row r="1322" spans="1:27" x14ac:dyDescent="0.25">
      <c r="A1322" s="10">
        <v>10164</v>
      </c>
      <c r="B1322" s="9">
        <v>45</v>
      </c>
      <c r="C1322" s="9">
        <v>100</v>
      </c>
      <c r="D1322" s="9">
        <f>PRODUCT(sales_data_sample[[#This Row],[QUANTITYORDERED]],sales_data_sample[[#This Row],[PRICEEACH]])</f>
        <v>4500</v>
      </c>
      <c r="E1322" s="9">
        <f>IF(OR(sales_data_sample[[#This Row],[STATUS]]="Shipped",sales_data_sample[[#This Row],[STATUS]]="Resolved"),sales_data_sample[[#This Row],[SALES]],0)</f>
        <v>4500</v>
      </c>
      <c r="F1322" s="10">
        <v>3</v>
      </c>
      <c r="G1322" s="12" t="s">
        <v>562</v>
      </c>
      <c r="H1322" s="1" t="s">
        <v>563</v>
      </c>
      <c r="I1322">
        <v>4</v>
      </c>
      <c r="J1322">
        <v>10</v>
      </c>
      <c r="K1322">
        <v>2003</v>
      </c>
      <c r="L1322" s="1" t="s">
        <v>711</v>
      </c>
      <c r="M1322">
        <v>121</v>
      </c>
      <c r="N1322" s="1" t="s">
        <v>944</v>
      </c>
      <c r="O1322" s="1" t="s">
        <v>564</v>
      </c>
      <c r="P1322" s="1" t="s">
        <v>565</v>
      </c>
      <c r="Q1322" s="1" t="s">
        <v>566</v>
      </c>
      <c r="R1322" s="1" t="s">
        <v>32</v>
      </c>
      <c r="S1322" s="1" t="s">
        <v>567</v>
      </c>
      <c r="T1322" s="1" t="s">
        <v>32</v>
      </c>
      <c r="U1322" s="1" t="s">
        <v>568</v>
      </c>
      <c r="V1322" s="1" t="s">
        <v>196</v>
      </c>
      <c r="W1322" s="1" t="s">
        <v>48</v>
      </c>
      <c r="X1322" s="1" t="s">
        <v>569</v>
      </c>
      <c r="Y1322" s="1" t="s">
        <v>570</v>
      </c>
      <c r="Z1322" s="1" t="str">
        <f>TRIM(_xlfn.CONCAT(sales_data_sample[[#This Row],[CONTACTFIRSTNAME]],", ",sales_data_sample[[#This Row],[CONTACTLASTNAME]]))</f>
        <v>Roland, Mendel</v>
      </c>
      <c r="AA1322" s="1" t="s">
        <v>59</v>
      </c>
    </row>
    <row r="1323" spans="1:27" x14ac:dyDescent="0.25">
      <c r="A1323" s="10">
        <v>10175</v>
      </c>
      <c r="B1323" s="9">
        <v>47</v>
      </c>
      <c r="C1323" s="9">
        <v>100</v>
      </c>
      <c r="D1323" s="9">
        <f>PRODUCT(sales_data_sample[[#This Row],[QUANTITYORDERED]],sales_data_sample[[#This Row],[PRICEEACH]])</f>
        <v>4700</v>
      </c>
      <c r="E1323" s="9">
        <f>IF(OR(sales_data_sample[[#This Row],[STATUS]]="Shipped",sales_data_sample[[#This Row],[STATUS]]="Resolved"),sales_data_sample[[#This Row],[SALES]],0)</f>
        <v>4700</v>
      </c>
      <c r="F1323" s="10">
        <v>10</v>
      </c>
      <c r="G1323" s="12" t="s">
        <v>273</v>
      </c>
      <c r="H1323" s="1" t="s">
        <v>26</v>
      </c>
      <c r="I1323">
        <v>4</v>
      </c>
      <c r="J1323">
        <v>11</v>
      </c>
      <c r="K1323">
        <v>2003</v>
      </c>
      <c r="L1323" s="1" t="s">
        <v>711</v>
      </c>
      <c r="M1323">
        <v>121</v>
      </c>
      <c r="N1323" s="1" t="s">
        <v>944</v>
      </c>
      <c r="O1323" s="1" t="s">
        <v>447</v>
      </c>
      <c r="P1323" s="1" t="s">
        <v>448</v>
      </c>
      <c r="Q1323" s="1" t="s">
        <v>449</v>
      </c>
      <c r="R1323" s="1" t="s">
        <v>32</v>
      </c>
      <c r="S1323" s="1" t="s">
        <v>450</v>
      </c>
      <c r="T1323" s="1" t="s">
        <v>32</v>
      </c>
      <c r="U1323" s="1" t="s">
        <v>451</v>
      </c>
      <c r="V1323" s="1" t="s">
        <v>225</v>
      </c>
      <c r="W1323" s="1" t="s">
        <v>48</v>
      </c>
      <c r="X1323" s="1" t="s">
        <v>74</v>
      </c>
      <c r="Y1323" s="1" t="s">
        <v>452</v>
      </c>
      <c r="Z1323" s="1" t="str">
        <f>TRIM(_xlfn.CONCAT(sales_data_sample[[#This Row],[CONTACTFIRSTNAME]],", ",sales_data_sample[[#This Row],[CONTACTLASTNAME]]))</f>
        <v>Ann, Brown</v>
      </c>
      <c r="AA1323" s="1" t="s">
        <v>59</v>
      </c>
    </row>
    <row r="1324" spans="1:27" x14ac:dyDescent="0.25">
      <c r="A1324" s="10">
        <v>10183</v>
      </c>
      <c r="B1324" s="9">
        <v>21</v>
      </c>
      <c r="C1324" s="9">
        <v>100</v>
      </c>
      <c r="D1324" s="9">
        <f>PRODUCT(sales_data_sample[[#This Row],[QUANTITYORDERED]],sales_data_sample[[#This Row],[PRICEEACH]])</f>
        <v>2100</v>
      </c>
      <c r="E1324" s="9">
        <f>IF(OR(sales_data_sample[[#This Row],[STATUS]]="Shipped",sales_data_sample[[#This Row],[STATUS]]="Resolved"),sales_data_sample[[#This Row],[SALES]],0)</f>
        <v>2100</v>
      </c>
      <c r="F1324" s="10">
        <v>2</v>
      </c>
      <c r="G1324" s="12" t="s">
        <v>282</v>
      </c>
      <c r="H1324" s="1" t="s">
        <v>26</v>
      </c>
      <c r="I1324">
        <v>4</v>
      </c>
      <c r="J1324">
        <v>11</v>
      </c>
      <c r="K1324">
        <v>2003</v>
      </c>
      <c r="L1324" s="1" t="s">
        <v>711</v>
      </c>
      <c r="M1324">
        <v>121</v>
      </c>
      <c r="N1324" s="1" t="s">
        <v>944</v>
      </c>
      <c r="O1324" s="1" t="s">
        <v>283</v>
      </c>
      <c r="P1324" s="1" t="s">
        <v>284</v>
      </c>
      <c r="Q1324" s="1" t="s">
        <v>285</v>
      </c>
      <c r="R1324" s="1" t="s">
        <v>32</v>
      </c>
      <c r="S1324" s="1" t="s">
        <v>286</v>
      </c>
      <c r="T1324" s="1" t="s">
        <v>186</v>
      </c>
      <c r="U1324" s="1" t="s">
        <v>287</v>
      </c>
      <c r="V1324" s="1" t="s">
        <v>36</v>
      </c>
      <c r="W1324" s="1" t="s">
        <v>37</v>
      </c>
      <c r="X1324" s="1" t="s">
        <v>288</v>
      </c>
      <c r="Y1324" s="1" t="s">
        <v>289</v>
      </c>
      <c r="Z1324" s="1" t="str">
        <f>TRIM(_xlfn.CONCAT(sales_data_sample[[#This Row],[CONTACTFIRSTNAME]],", ",sales_data_sample[[#This Row],[CONTACTLASTNAME]]))</f>
        <v>Francisca, Cervantes</v>
      </c>
      <c r="AA1324" s="1" t="s">
        <v>40</v>
      </c>
    </row>
    <row r="1325" spans="1:27" x14ac:dyDescent="0.25">
      <c r="A1325" s="10">
        <v>10194</v>
      </c>
      <c r="B1325" s="9">
        <v>32</v>
      </c>
      <c r="C1325" s="9">
        <v>100</v>
      </c>
      <c r="D1325" s="9">
        <f>PRODUCT(sales_data_sample[[#This Row],[QUANTITYORDERED]],sales_data_sample[[#This Row],[PRICEEACH]])</f>
        <v>3200</v>
      </c>
      <c r="E1325" s="9">
        <f>IF(OR(sales_data_sample[[#This Row],[STATUS]]="Shipped",sales_data_sample[[#This Row],[STATUS]]="Resolved"),sales_data_sample[[#This Row],[SALES]],0)</f>
        <v>3200</v>
      </c>
      <c r="F1325" s="10">
        <v>5</v>
      </c>
      <c r="G1325" s="12" t="s">
        <v>290</v>
      </c>
      <c r="H1325" s="1" t="s">
        <v>26</v>
      </c>
      <c r="I1325">
        <v>4</v>
      </c>
      <c r="J1325">
        <v>11</v>
      </c>
      <c r="K1325">
        <v>2003</v>
      </c>
      <c r="L1325" s="1" t="s">
        <v>711</v>
      </c>
      <c r="M1325">
        <v>121</v>
      </c>
      <c r="N1325" s="1" t="s">
        <v>944</v>
      </c>
      <c r="O1325" s="1" t="s">
        <v>291</v>
      </c>
      <c r="P1325" s="1" t="s">
        <v>292</v>
      </c>
      <c r="Q1325" s="1" t="s">
        <v>293</v>
      </c>
      <c r="R1325" s="1" t="s">
        <v>32</v>
      </c>
      <c r="S1325" s="1" t="s">
        <v>294</v>
      </c>
      <c r="T1325" s="1" t="s">
        <v>32</v>
      </c>
      <c r="U1325" s="1" t="s">
        <v>295</v>
      </c>
      <c r="V1325" s="1" t="s">
        <v>47</v>
      </c>
      <c r="W1325" s="1" t="s">
        <v>48</v>
      </c>
      <c r="X1325" s="1" t="s">
        <v>296</v>
      </c>
      <c r="Y1325" s="1" t="s">
        <v>297</v>
      </c>
      <c r="Z1325" s="1" t="str">
        <f>TRIM(_xlfn.CONCAT(sales_data_sample[[#This Row],[CONTACTFIRSTNAME]],", ",sales_data_sample[[#This Row],[CONTACTLASTNAME]]))</f>
        <v>Mary, Saveley</v>
      </c>
      <c r="AA1325" s="1" t="s">
        <v>59</v>
      </c>
    </row>
    <row r="1326" spans="1:27" x14ac:dyDescent="0.25">
      <c r="A1326" s="10">
        <v>10207</v>
      </c>
      <c r="B1326" s="9">
        <v>47</v>
      </c>
      <c r="C1326" s="9">
        <v>100</v>
      </c>
      <c r="D1326" s="9">
        <f>PRODUCT(sales_data_sample[[#This Row],[QUANTITYORDERED]],sales_data_sample[[#This Row],[PRICEEACH]])</f>
        <v>4700</v>
      </c>
      <c r="E1326" s="9">
        <f>IF(OR(sales_data_sample[[#This Row],[STATUS]]="Shipped",sales_data_sample[[#This Row],[STATUS]]="Resolved"),sales_data_sample[[#This Row],[SALES]],0)</f>
        <v>4700</v>
      </c>
      <c r="F1326" s="10">
        <v>16</v>
      </c>
      <c r="G1326" s="12" t="s">
        <v>571</v>
      </c>
      <c r="H1326" s="1" t="s">
        <v>26</v>
      </c>
      <c r="I1326">
        <v>4</v>
      </c>
      <c r="J1326">
        <v>12</v>
      </c>
      <c r="K1326">
        <v>2003</v>
      </c>
      <c r="L1326" s="1" t="s">
        <v>711</v>
      </c>
      <c r="M1326">
        <v>121</v>
      </c>
      <c r="N1326" s="1" t="s">
        <v>944</v>
      </c>
      <c r="O1326" s="1" t="s">
        <v>572</v>
      </c>
      <c r="P1326" s="1" t="s">
        <v>573</v>
      </c>
      <c r="Q1326" s="1" t="s">
        <v>574</v>
      </c>
      <c r="R1326" s="1" t="s">
        <v>32</v>
      </c>
      <c r="S1326" s="1" t="s">
        <v>519</v>
      </c>
      <c r="T1326" s="1" t="s">
        <v>160</v>
      </c>
      <c r="U1326" s="1" t="s">
        <v>520</v>
      </c>
      <c r="V1326" s="1" t="s">
        <v>36</v>
      </c>
      <c r="W1326" s="1" t="s">
        <v>37</v>
      </c>
      <c r="X1326" s="1" t="s">
        <v>575</v>
      </c>
      <c r="Y1326" s="1" t="s">
        <v>366</v>
      </c>
      <c r="Z1326" s="1" t="str">
        <f>TRIM(_xlfn.CONCAT(sales_data_sample[[#This Row],[CONTACTFIRSTNAME]],", ",sales_data_sample[[#This Row],[CONTACTLASTNAME]]))</f>
        <v>Valarie, Franco</v>
      </c>
      <c r="AA1326" s="1" t="s">
        <v>59</v>
      </c>
    </row>
    <row r="1327" spans="1:27" x14ac:dyDescent="0.25">
      <c r="A1327">
        <v>10217</v>
      </c>
      <c r="B1327">
        <v>38</v>
      </c>
      <c r="C1327">
        <v>100</v>
      </c>
      <c r="D1327">
        <f>PRODUCT(sales_data_sample[[#This Row],[QUANTITYORDERED]],sales_data_sample[[#This Row],[PRICEEACH]])</f>
        <v>3800</v>
      </c>
      <c r="E1327" s="9">
        <f>IF(OR(sales_data_sample[[#This Row],[STATUS]]="Shipped",sales_data_sample[[#This Row],[STATUS]]="Resolved"),sales_data_sample[[#This Row],[SALES]],0)</f>
        <v>3800</v>
      </c>
      <c r="F1327">
        <v>5</v>
      </c>
      <c r="G1327" s="12" t="s">
        <v>576</v>
      </c>
      <c r="H1327" s="1" t="s">
        <v>26</v>
      </c>
      <c r="I1327">
        <v>1</v>
      </c>
      <c r="J1327">
        <v>2</v>
      </c>
      <c r="K1327">
        <v>2004</v>
      </c>
      <c r="L1327" s="1" t="s">
        <v>711</v>
      </c>
      <c r="M1327">
        <v>121</v>
      </c>
      <c r="N1327" s="1" t="s">
        <v>944</v>
      </c>
      <c r="O1327" s="1" t="s">
        <v>577</v>
      </c>
      <c r="P1327" s="1" t="s">
        <v>578</v>
      </c>
      <c r="Q1327" s="1" t="s">
        <v>579</v>
      </c>
      <c r="R1327" s="1" t="s">
        <v>580</v>
      </c>
      <c r="S1327" s="1" t="s">
        <v>262</v>
      </c>
      <c r="T1327" s="1" t="s">
        <v>32</v>
      </c>
      <c r="U1327" s="1" t="s">
        <v>581</v>
      </c>
      <c r="V1327" s="1" t="s">
        <v>262</v>
      </c>
      <c r="W1327" s="1" t="s">
        <v>121</v>
      </c>
      <c r="X1327" s="1" t="s">
        <v>582</v>
      </c>
      <c r="Y1327" s="1" t="s">
        <v>583</v>
      </c>
      <c r="Z1327" s="1" t="str">
        <f>TRIM(_xlfn.CONCAT(sales_data_sample[[#This Row],[CONTACTFIRSTNAME]],", ",sales_data_sample[[#This Row],[CONTACTLASTNAME]]))</f>
        <v>Wendy, Victorino</v>
      </c>
      <c r="AA1327" s="1" t="s">
        <v>59</v>
      </c>
    </row>
    <row r="1328" spans="1:27" x14ac:dyDescent="0.25">
      <c r="A1328" s="10">
        <v>10229</v>
      </c>
      <c r="B1328" s="9">
        <v>41</v>
      </c>
      <c r="C1328" s="9">
        <v>100</v>
      </c>
      <c r="D1328" s="9">
        <f>PRODUCT(sales_data_sample[[#This Row],[QUANTITYORDERED]],sales_data_sample[[#This Row],[PRICEEACH]])</f>
        <v>4100</v>
      </c>
      <c r="E1328" s="9">
        <f>IF(OR(sales_data_sample[[#This Row],[STATUS]]="Shipped",sales_data_sample[[#This Row],[STATUS]]="Resolved"),sales_data_sample[[#This Row],[SALES]],0)</f>
        <v>4100</v>
      </c>
      <c r="F1328" s="10">
        <v>10</v>
      </c>
      <c r="G1328" s="12" t="s">
        <v>584</v>
      </c>
      <c r="H1328" s="1" t="s">
        <v>26</v>
      </c>
      <c r="I1328">
        <v>1</v>
      </c>
      <c r="J1328">
        <v>3</v>
      </c>
      <c r="K1328">
        <v>2004</v>
      </c>
      <c r="L1328" s="1" t="s">
        <v>711</v>
      </c>
      <c r="M1328">
        <v>121</v>
      </c>
      <c r="N1328" s="1" t="s">
        <v>944</v>
      </c>
      <c r="O1328" s="1" t="s">
        <v>361</v>
      </c>
      <c r="P1328" s="1" t="s">
        <v>362</v>
      </c>
      <c r="Q1328" s="1" t="s">
        <v>363</v>
      </c>
      <c r="R1328" s="1" t="s">
        <v>32</v>
      </c>
      <c r="S1328" s="1" t="s">
        <v>364</v>
      </c>
      <c r="T1328" s="1" t="s">
        <v>65</v>
      </c>
      <c r="U1328" s="1" t="s">
        <v>145</v>
      </c>
      <c r="V1328" s="1" t="s">
        <v>36</v>
      </c>
      <c r="W1328" s="1" t="s">
        <v>37</v>
      </c>
      <c r="X1328" s="1" t="s">
        <v>365</v>
      </c>
      <c r="Y1328" s="1" t="s">
        <v>366</v>
      </c>
      <c r="Z1328" s="1" t="str">
        <f>TRIM(_xlfn.CONCAT(sales_data_sample[[#This Row],[CONTACTFIRSTNAME]],", ",sales_data_sample[[#This Row],[CONTACTLASTNAME]]))</f>
        <v>Valarie, Nelson</v>
      </c>
      <c r="AA1328" s="1" t="s">
        <v>59</v>
      </c>
    </row>
    <row r="1329" spans="1:27" x14ac:dyDescent="0.25">
      <c r="A1329" s="10">
        <v>10245</v>
      </c>
      <c r="B1329" s="9">
        <v>21</v>
      </c>
      <c r="C1329" s="9">
        <v>100</v>
      </c>
      <c r="D1329" s="9">
        <f>PRODUCT(sales_data_sample[[#This Row],[QUANTITYORDERED]],sales_data_sample[[#This Row],[PRICEEACH]])</f>
        <v>2100</v>
      </c>
      <c r="E1329" s="9">
        <f>IF(OR(sales_data_sample[[#This Row],[STATUS]]="Shipped",sales_data_sample[[#This Row],[STATUS]]="Resolved"),sales_data_sample[[#This Row],[SALES]],0)</f>
        <v>2100</v>
      </c>
      <c r="F1329" s="10">
        <v>3</v>
      </c>
      <c r="G1329" s="12" t="s">
        <v>320</v>
      </c>
      <c r="H1329" s="1" t="s">
        <v>26</v>
      </c>
      <c r="I1329">
        <v>2</v>
      </c>
      <c r="J1329">
        <v>5</v>
      </c>
      <c r="K1329">
        <v>2004</v>
      </c>
      <c r="L1329" s="1" t="s">
        <v>711</v>
      </c>
      <c r="M1329">
        <v>121</v>
      </c>
      <c r="N1329" s="1" t="s">
        <v>944</v>
      </c>
      <c r="O1329" s="1" t="s">
        <v>321</v>
      </c>
      <c r="P1329" s="1" t="s">
        <v>322</v>
      </c>
      <c r="Q1329" s="1" t="s">
        <v>323</v>
      </c>
      <c r="R1329" s="1" t="s">
        <v>32</v>
      </c>
      <c r="S1329" s="1" t="s">
        <v>324</v>
      </c>
      <c r="T1329" s="1" t="s">
        <v>144</v>
      </c>
      <c r="U1329" s="1" t="s">
        <v>325</v>
      </c>
      <c r="V1329" s="1" t="s">
        <v>36</v>
      </c>
      <c r="W1329" s="1" t="s">
        <v>37</v>
      </c>
      <c r="X1329" s="1" t="s">
        <v>104</v>
      </c>
      <c r="Y1329" s="1" t="s">
        <v>326</v>
      </c>
      <c r="Z1329" s="1" t="str">
        <f>TRIM(_xlfn.CONCAT(sales_data_sample[[#This Row],[CONTACTFIRSTNAME]],", ",sales_data_sample[[#This Row],[CONTACTLASTNAME]]))</f>
        <v>Leslie, Murphy</v>
      </c>
      <c r="AA1329" s="1" t="s">
        <v>40</v>
      </c>
    </row>
    <row r="1330" spans="1:27" x14ac:dyDescent="0.25">
      <c r="A1330">
        <v>10259</v>
      </c>
      <c r="B1330">
        <v>41</v>
      </c>
      <c r="C1330">
        <v>100</v>
      </c>
      <c r="D1330">
        <f>PRODUCT(sales_data_sample[[#This Row],[QUANTITYORDERED]],sales_data_sample[[#This Row],[PRICEEACH]])</f>
        <v>4100</v>
      </c>
      <c r="E1330" s="9">
        <f>IF(OR(sales_data_sample[[#This Row],[STATUS]]="Shipped",sales_data_sample[[#This Row],[STATUS]]="Resolved"),sales_data_sample[[#This Row],[SALES]],0)</f>
        <v>4100</v>
      </c>
      <c r="F1330">
        <v>13</v>
      </c>
      <c r="G1330" s="12" t="s">
        <v>327</v>
      </c>
      <c r="H1330" s="1" t="s">
        <v>26</v>
      </c>
      <c r="I1330">
        <v>2</v>
      </c>
      <c r="J1330">
        <v>6</v>
      </c>
      <c r="K1330">
        <v>2004</v>
      </c>
      <c r="L1330" s="1" t="s">
        <v>711</v>
      </c>
      <c r="M1330">
        <v>121</v>
      </c>
      <c r="N1330" s="1" t="s">
        <v>944</v>
      </c>
      <c r="O1330" s="1" t="s">
        <v>577</v>
      </c>
      <c r="P1330" s="1" t="s">
        <v>578</v>
      </c>
      <c r="Q1330" s="1" t="s">
        <v>579</v>
      </c>
      <c r="R1330" s="1" t="s">
        <v>580</v>
      </c>
      <c r="S1330" s="1" t="s">
        <v>262</v>
      </c>
      <c r="T1330" s="1" t="s">
        <v>32</v>
      </c>
      <c r="U1330" s="1" t="s">
        <v>581</v>
      </c>
      <c r="V1330" s="1" t="s">
        <v>262</v>
      </c>
      <c r="W1330" s="1" t="s">
        <v>121</v>
      </c>
      <c r="X1330" s="1" t="s">
        <v>582</v>
      </c>
      <c r="Y1330" s="1" t="s">
        <v>583</v>
      </c>
      <c r="Z1330" s="1" t="str">
        <f>TRIM(_xlfn.CONCAT(sales_data_sample[[#This Row],[CONTACTFIRSTNAME]],", ",sales_data_sample[[#This Row],[CONTACTLASTNAME]]))</f>
        <v>Wendy, Victorino</v>
      </c>
      <c r="AA1330" s="1" t="s">
        <v>59</v>
      </c>
    </row>
    <row r="1331" spans="1:27" x14ac:dyDescent="0.25">
      <c r="A1331">
        <v>10270</v>
      </c>
      <c r="B1331">
        <v>38</v>
      </c>
      <c r="C1331">
        <v>100</v>
      </c>
      <c r="D1331">
        <f>PRODUCT(sales_data_sample[[#This Row],[QUANTITYORDERED]],sales_data_sample[[#This Row],[PRICEEACH]])</f>
        <v>3800</v>
      </c>
      <c r="E1331" s="9">
        <f>IF(OR(sales_data_sample[[#This Row],[STATUS]]="Shipped",sales_data_sample[[#This Row],[STATUS]]="Resolved"),sales_data_sample[[#This Row],[SALES]],0)</f>
        <v>3800</v>
      </c>
      <c r="F1331">
        <v>3</v>
      </c>
      <c r="G1331" s="12" t="s">
        <v>336</v>
      </c>
      <c r="H1331" s="1" t="s">
        <v>26</v>
      </c>
      <c r="I1331">
        <v>3</v>
      </c>
      <c r="J1331">
        <v>7</v>
      </c>
      <c r="K1331">
        <v>2004</v>
      </c>
      <c r="L1331" s="1" t="s">
        <v>711</v>
      </c>
      <c r="M1331">
        <v>121</v>
      </c>
      <c r="N1331" s="1" t="s">
        <v>944</v>
      </c>
      <c r="O1331" s="1" t="s">
        <v>201</v>
      </c>
      <c r="P1331" s="1" t="s">
        <v>202</v>
      </c>
      <c r="Q1331" s="1" t="s">
        <v>203</v>
      </c>
      <c r="R1331" s="1" t="s">
        <v>204</v>
      </c>
      <c r="S1331" s="1" t="s">
        <v>205</v>
      </c>
      <c r="T1331" s="1" t="s">
        <v>206</v>
      </c>
      <c r="U1331" s="1" t="s">
        <v>207</v>
      </c>
      <c r="V1331" s="1" t="s">
        <v>120</v>
      </c>
      <c r="W1331" s="1" t="s">
        <v>121</v>
      </c>
      <c r="X1331" s="1" t="s">
        <v>208</v>
      </c>
      <c r="Y1331" s="1" t="s">
        <v>209</v>
      </c>
      <c r="Z1331" s="1" t="str">
        <f>TRIM(_xlfn.CONCAT(sales_data_sample[[#This Row],[CONTACTFIRSTNAME]],", ",sales_data_sample[[#This Row],[CONTACTLASTNAME]]))</f>
        <v>Adrian, Huxley</v>
      </c>
      <c r="AA1331" s="1" t="s">
        <v>59</v>
      </c>
    </row>
    <row r="1332" spans="1:27" x14ac:dyDescent="0.25">
      <c r="A1332" s="10">
        <v>10281</v>
      </c>
      <c r="B1332" s="9">
        <v>25</v>
      </c>
      <c r="C1332" s="9">
        <v>9929</v>
      </c>
      <c r="D1332" s="9">
        <f>PRODUCT(sales_data_sample[[#This Row],[QUANTITYORDERED]],sales_data_sample[[#This Row],[PRICEEACH]])</f>
        <v>248225</v>
      </c>
      <c r="E1332" s="9">
        <f>IF(OR(sales_data_sample[[#This Row],[STATUS]]="Shipped",sales_data_sample[[#This Row],[STATUS]]="Resolved"),sales_data_sample[[#This Row],[SALES]],0)</f>
        <v>248225</v>
      </c>
      <c r="F1332" s="10">
        <v>10</v>
      </c>
      <c r="G1332" s="12" t="s">
        <v>585</v>
      </c>
      <c r="H1332" s="1" t="s">
        <v>26</v>
      </c>
      <c r="I1332">
        <v>3</v>
      </c>
      <c r="J1332">
        <v>8</v>
      </c>
      <c r="K1332">
        <v>2004</v>
      </c>
      <c r="L1332" s="1" t="s">
        <v>711</v>
      </c>
      <c r="M1332">
        <v>121</v>
      </c>
      <c r="N1332" s="1" t="s">
        <v>944</v>
      </c>
      <c r="O1332" s="1" t="s">
        <v>182</v>
      </c>
      <c r="P1332" s="1" t="s">
        <v>183</v>
      </c>
      <c r="Q1332" s="1" t="s">
        <v>184</v>
      </c>
      <c r="R1332" s="1" t="s">
        <v>32</v>
      </c>
      <c r="S1332" s="1" t="s">
        <v>185</v>
      </c>
      <c r="T1332" s="1" t="s">
        <v>186</v>
      </c>
      <c r="U1332" s="1" t="s">
        <v>187</v>
      </c>
      <c r="V1332" s="1" t="s">
        <v>36</v>
      </c>
      <c r="W1332" s="1" t="s">
        <v>37</v>
      </c>
      <c r="X1332" s="1" t="s">
        <v>38</v>
      </c>
      <c r="Y1332" s="1" t="s">
        <v>188</v>
      </c>
      <c r="Z1332" s="1" t="str">
        <f>TRIM(_xlfn.CONCAT(sales_data_sample[[#This Row],[CONTACTFIRSTNAME]],", ",sales_data_sample[[#This Row],[CONTACTLASTNAME]]))</f>
        <v>Kyung, Yu</v>
      </c>
      <c r="AA1332" s="1" t="s">
        <v>40</v>
      </c>
    </row>
    <row r="1333" spans="1:27" x14ac:dyDescent="0.25">
      <c r="A1333" s="10">
        <v>10291</v>
      </c>
      <c r="B1333" s="9">
        <v>48</v>
      </c>
      <c r="C1333" s="9">
        <v>100</v>
      </c>
      <c r="D1333" s="9">
        <f>PRODUCT(sales_data_sample[[#This Row],[QUANTITYORDERED]],sales_data_sample[[#This Row],[PRICEEACH]])</f>
        <v>4800</v>
      </c>
      <c r="E1333" s="9">
        <f>IF(OR(sales_data_sample[[#This Row],[STATUS]]="Shipped",sales_data_sample[[#This Row],[STATUS]]="Resolved"),sales_data_sample[[#This Row],[SALES]],0)</f>
        <v>4800</v>
      </c>
      <c r="F1333" s="10">
        <v>5</v>
      </c>
      <c r="G1333" s="12" t="s">
        <v>346</v>
      </c>
      <c r="H1333" s="1" t="s">
        <v>26</v>
      </c>
      <c r="I1333">
        <v>3</v>
      </c>
      <c r="J1333">
        <v>9</v>
      </c>
      <c r="K1333">
        <v>2004</v>
      </c>
      <c r="L1333" s="1" t="s">
        <v>711</v>
      </c>
      <c r="M1333">
        <v>121</v>
      </c>
      <c r="N1333" s="1" t="s">
        <v>944</v>
      </c>
      <c r="O1333" s="1" t="s">
        <v>347</v>
      </c>
      <c r="P1333" s="1" t="s">
        <v>348</v>
      </c>
      <c r="Q1333" s="1" t="s">
        <v>349</v>
      </c>
      <c r="R1333" s="1" t="s">
        <v>32</v>
      </c>
      <c r="S1333" s="1" t="s">
        <v>350</v>
      </c>
      <c r="T1333" s="1" t="s">
        <v>32</v>
      </c>
      <c r="U1333" s="1" t="s">
        <v>351</v>
      </c>
      <c r="V1333" s="1" t="s">
        <v>247</v>
      </c>
      <c r="W1333" s="1" t="s">
        <v>48</v>
      </c>
      <c r="X1333" s="1" t="s">
        <v>352</v>
      </c>
      <c r="Y1333" s="1" t="s">
        <v>272</v>
      </c>
      <c r="Z1333" s="1" t="str">
        <f>TRIM(_xlfn.CONCAT(sales_data_sample[[#This Row],[CONTACTFIRSTNAME]],", ",sales_data_sample[[#This Row],[CONTACTLASTNAME]]))</f>
        <v>Maria, Larsson</v>
      </c>
      <c r="AA1333" s="1" t="s">
        <v>59</v>
      </c>
    </row>
    <row r="1334" spans="1:27" x14ac:dyDescent="0.25">
      <c r="A1334" s="10">
        <v>10305</v>
      </c>
      <c r="B1334" s="9">
        <v>22</v>
      </c>
      <c r="C1334" s="9">
        <v>9929</v>
      </c>
      <c r="D1334" s="9">
        <f>PRODUCT(sales_data_sample[[#This Row],[QUANTITYORDERED]],sales_data_sample[[#This Row],[PRICEEACH]])</f>
        <v>218438</v>
      </c>
      <c r="E1334" s="9">
        <f>IF(OR(sales_data_sample[[#This Row],[STATUS]]="Shipped",sales_data_sample[[#This Row],[STATUS]]="Resolved"),sales_data_sample[[#This Row],[SALES]],0)</f>
        <v>218438</v>
      </c>
      <c r="F1334" s="10">
        <v>14</v>
      </c>
      <c r="G1334" s="12" t="s">
        <v>586</v>
      </c>
      <c r="H1334" s="1" t="s">
        <v>26</v>
      </c>
      <c r="I1334">
        <v>4</v>
      </c>
      <c r="J1334">
        <v>10</v>
      </c>
      <c r="K1334">
        <v>2004</v>
      </c>
      <c r="L1334" s="1" t="s">
        <v>711</v>
      </c>
      <c r="M1334">
        <v>121</v>
      </c>
      <c r="N1334" s="1" t="s">
        <v>944</v>
      </c>
      <c r="O1334" s="1" t="s">
        <v>156</v>
      </c>
      <c r="P1334" s="1" t="s">
        <v>157</v>
      </c>
      <c r="Q1334" s="1" t="s">
        <v>158</v>
      </c>
      <c r="R1334" s="1" t="s">
        <v>32</v>
      </c>
      <c r="S1334" s="1" t="s">
        <v>159</v>
      </c>
      <c r="T1334" s="1" t="s">
        <v>160</v>
      </c>
      <c r="U1334" s="1" t="s">
        <v>161</v>
      </c>
      <c r="V1334" s="1" t="s">
        <v>36</v>
      </c>
      <c r="W1334" s="1" t="s">
        <v>37</v>
      </c>
      <c r="X1334" s="1" t="s">
        <v>162</v>
      </c>
      <c r="Y1334" s="1" t="s">
        <v>163</v>
      </c>
      <c r="Z1334" s="1" t="str">
        <f>TRIM(_xlfn.CONCAT(sales_data_sample[[#This Row],[CONTACTFIRSTNAME]],", ",sales_data_sample[[#This Row],[CONTACTLASTNAME]]))</f>
        <v>Marta, Hernandez</v>
      </c>
      <c r="AA1334" s="1" t="s">
        <v>40</v>
      </c>
    </row>
    <row r="1335" spans="1:27" x14ac:dyDescent="0.25">
      <c r="A1335" s="10">
        <v>10313</v>
      </c>
      <c r="B1335" s="9">
        <v>28</v>
      </c>
      <c r="C1335" s="9">
        <v>100</v>
      </c>
      <c r="D1335" s="9">
        <f>PRODUCT(sales_data_sample[[#This Row],[QUANTITYORDERED]],sales_data_sample[[#This Row],[PRICEEACH]])</f>
        <v>2800</v>
      </c>
      <c r="E1335" s="9">
        <f>IF(OR(sales_data_sample[[#This Row],[STATUS]]="Shipped",sales_data_sample[[#This Row],[STATUS]]="Resolved"),sales_data_sample[[#This Row],[SALES]],0)</f>
        <v>2800</v>
      </c>
      <c r="F1335" s="10">
        <v>8</v>
      </c>
      <c r="G1335" s="12" t="s">
        <v>587</v>
      </c>
      <c r="H1335" s="1" t="s">
        <v>26</v>
      </c>
      <c r="I1335">
        <v>4</v>
      </c>
      <c r="J1335">
        <v>10</v>
      </c>
      <c r="K1335">
        <v>2004</v>
      </c>
      <c r="L1335" s="1" t="s">
        <v>711</v>
      </c>
      <c r="M1335">
        <v>121</v>
      </c>
      <c r="N1335" s="1" t="s">
        <v>944</v>
      </c>
      <c r="O1335" s="1" t="s">
        <v>299</v>
      </c>
      <c r="P1335" s="1" t="s">
        <v>300</v>
      </c>
      <c r="Q1335" s="1" t="s">
        <v>301</v>
      </c>
      <c r="R1335" s="1" t="s">
        <v>32</v>
      </c>
      <c r="S1335" s="1" t="s">
        <v>302</v>
      </c>
      <c r="T1335" s="1" t="s">
        <v>303</v>
      </c>
      <c r="U1335" s="1" t="s">
        <v>304</v>
      </c>
      <c r="V1335" s="1" t="s">
        <v>305</v>
      </c>
      <c r="W1335" s="1" t="s">
        <v>37</v>
      </c>
      <c r="X1335" s="1" t="s">
        <v>306</v>
      </c>
      <c r="Y1335" s="1" t="s">
        <v>307</v>
      </c>
      <c r="Z1335" s="1" t="str">
        <f>TRIM(_xlfn.CONCAT(sales_data_sample[[#This Row],[CONTACTFIRSTNAME]],", ",sales_data_sample[[#This Row],[CONTACTLASTNAME]]))</f>
        <v>Yoshi, Tannamuri</v>
      </c>
      <c r="AA1335" s="1" t="s">
        <v>40</v>
      </c>
    </row>
    <row r="1336" spans="1:27" x14ac:dyDescent="0.25">
      <c r="A1336" s="10">
        <v>10323</v>
      </c>
      <c r="B1336" s="9">
        <v>47</v>
      </c>
      <c r="C1336" s="9">
        <v>100</v>
      </c>
      <c r="D1336" s="9">
        <f>PRODUCT(sales_data_sample[[#This Row],[QUANTITYORDERED]],sales_data_sample[[#This Row],[PRICEEACH]])</f>
        <v>4700</v>
      </c>
      <c r="E1336" s="9">
        <f>IF(OR(sales_data_sample[[#This Row],[STATUS]]="Shipped",sales_data_sample[[#This Row],[STATUS]]="Resolved"),sales_data_sample[[#This Row],[SALES]],0)</f>
        <v>4700</v>
      </c>
      <c r="F1336" s="10">
        <v>1</v>
      </c>
      <c r="G1336" s="12" t="s">
        <v>532</v>
      </c>
      <c r="H1336" s="1" t="s">
        <v>26</v>
      </c>
      <c r="I1336">
        <v>4</v>
      </c>
      <c r="J1336">
        <v>11</v>
      </c>
      <c r="K1336">
        <v>2004</v>
      </c>
      <c r="L1336" s="1" t="s">
        <v>711</v>
      </c>
      <c r="M1336">
        <v>121</v>
      </c>
      <c r="N1336" s="1" t="s">
        <v>944</v>
      </c>
      <c r="O1336" s="1" t="s">
        <v>647</v>
      </c>
      <c r="P1336" s="1" t="s">
        <v>648</v>
      </c>
      <c r="Q1336" s="1" t="s">
        <v>649</v>
      </c>
      <c r="R1336" s="1" t="s">
        <v>32</v>
      </c>
      <c r="S1336" s="1" t="s">
        <v>650</v>
      </c>
      <c r="T1336" s="1" t="s">
        <v>32</v>
      </c>
      <c r="U1336" s="1" t="s">
        <v>651</v>
      </c>
      <c r="V1336" s="1" t="s">
        <v>617</v>
      </c>
      <c r="W1336" s="1" t="s">
        <v>48</v>
      </c>
      <c r="X1336" s="1" t="s">
        <v>652</v>
      </c>
      <c r="Y1336" s="1" t="s">
        <v>570</v>
      </c>
      <c r="Z1336" s="1" t="str">
        <f>TRIM(_xlfn.CONCAT(sales_data_sample[[#This Row],[CONTACTFIRSTNAME]],", ",sales_data_sample[[#This Row],[CONTACTLASTNAME]]))</f>
        <v>Roland, Keitel</v>
      </c>
      <c r="AA1336" s="1" t="s">
        <v>59</v>
      </c>
    </row>
    <row r="1337" spans="1:27" x14ac:dyDescent="0.25">
      <c r="A1337" s="10">
        <v>10334</v>
      </c>
      <c r="B1337" s="9">
        <v>49</v>
      </c>
      <c r="C1337" s="9">
        <v>100</v>
      </c>
      <c r="D1337" s="9">
        <f>PRODUCT(sales_data_sample[[#This Row],[QUANTITYORDERED]],sales_data_sample[[#This Row],[PRICEEACH]])</f>
        <v>4900</v>
      </c>
      <c r="E1337" s="9">
        <f>IF(OR(sales_data_sample[[#This Row],[STATUS]]="Shipped",sales_data_sample[[#This Row],[STATUS]]="Resolved"),sales_data_sample[[#This Row],[SALES]],0)</f>
        <v>0</v>
      </c>
      <c r="F1337" s="10">
        <v>4</v>
      </c>
      <c r="G1337" s="12" t="s">
        <v>588</v>
      </c>
      <c r="H1337" s="1" t="s">
        <v>553</v>
      </c>
      <c r="I1337">
        <v>4</v>
      </c>
      <c r="J1337">
        <v>11</v>
      </c>
      <c r="K1337">
        <v>2004</v>
      </c>
      <c r="L1337" s="1" t="s">
        <v>711</v>
      </c>
      <c r="M1337">
        <v>121</v>
      </c>
      <c r="N1337" s="1" t="s">
        <v>944</v>
      </c>
      <c r="O1337" s="1" t="s">
        <v>242</v>
      </c>
      <c r="P1337" s="1" t="s">
        <v>243</v>
      </c>
      <c r="Q1337" s="1" t="s">
        <v>244</v>
      </c>
      <c r="R1337" s="1" t="s">
        <v>32</v>
      </c>
      <c r="S1337" s="1" t="s">
        <v>245</v>
      </c>
      <c r="T1337" s="1" t="s">
        <v>32</v>
      </c>
      <c r="U1337" s="1" t="s">
        <v>246</v>
      </c>
      <c r="V1337" s="1" t="s">
        <v>247</v>
      </c>
      <c r="W1337" s="1" t="s">
        <v>48</v>
      </c>
      <c r="X1337" s="1" t="s">
        <v>248</v>
      </c>
      <c r="Y1337" s="1" t="s">
        <v>249</v>
      </c>
      <c r="Z1337" s="1" t="str">
        <f>TRIM(_xlfn.CONCAT(sales_data_sample[[#This Row],[CONTACTFIRSTNAME]],", ",sales_data_sample[[#This Row],[CONTACTLASTNAME]]))</f>
        <v>Christina, Berglund</v>
      </c>
      <c r="AA1337" s="1" t="s">
        <v>59</v>
      </c>
    </row>
    <row r="1338" spans="1:27" x14ac:dyDescent="0.25">
      <c r="A1338">
        <v>10347</v>
      </c>
      <c r="B1338">
        <v>45</v>
      </c>
      <c r="C1338">
        <v>100</v>
      </c>
      <c r="D1338">
        <f>PRODUCT(sales_data_sample[[#This Row],[QUANTITYORDERED]],sales_data_sample[[#This Row],[PRICEEACH]])</f>
        <v>4500</v>
      </c>
      <c r="E1338" s="9">
        <f>IF(OR(sales_data_sample[[#This Row],[STATUS]]="Shipped",sales_data_sample[[#This Row],[STATUS]]="Resolved"),sales_data_sample[[#This Row],[SALES]],0)</f>
        <v>4500</v>
      </c>
      <c r="F1338">
        <v>4</v>
      </c>
      <c r="G1338" s="12" t="s">
        <v>375</v>
      </c>
      <c r="H1338" s="1" t="s">
        <v>26</v>
      </c>
      <c r="I1338">
        <v>4</v>
      </c>
      <c r="J1338">
        <v>11</v>
      </c>
      <c r="K1338">
        <v>2004</v>
      </c>
      <c r="L1338" s="1" t="s">
        <v>711</v>
      </c>
      <c r="M1338">
        <v>121</v>
      </c>
      <c r="N1338" s="1" t="s">
        <v>944</v>
      </c>
      <c r="O1338" s="1" t="s">
        <v>113</v>
      </c>
      <c r="P1338" s="1" t="s">
        <v>114</v>
      </c>
      <c r="Q1338" s="1" t="s">
        <v>115</v>
      </c>
      <c r="R1338" s="1" t="s">
        <v>116</v>
      </c>
      <c r="S1338" s="1" t="s">
        <v>117</v>
      </c>
      <c r="T1338" s="1" t="s">
        <v>118</v>
      </c>
      <c r="U1338" s="1" t="s">
        <v>119</v>
      </c>
      <c r="V1338" s="1" t="s">
        <v>120</v>
      </c>
      <c r="W1338" s="1" t="s">
        <v>121</v>
      </c>
      <c r="X1338" s="1" t="s">
        <v>122</v>
      </c>
      <c r="Y1338" s="1" t="s">
        <v>123</v>
      </c>
      <c r="Z1338" s="1" t="str">
        <f>TRIM(_xlfn.CONCAT(sales_data_sample[[#This Row],[CONTACTFIRSTNAME]],", ",sales_data_sample[[#This Row],[CONTACTLASTNAME]]))</f>
        <v>Peter, Ferguson</v>
      </c>
      <c r="AA1338" s="1" t="s">
        <v>59</v>
      </c>
    </row>
    <row r="1339" spans="1:27" x14ac:dyDescent="0.25">
      <c r="A1339" s="10">
        <v>10357</v>
      </c>
      <c r="B1339" s="9">
        <v>28</v>
      </c>
      <c r="C1339" s="9">
        <v>100</v>
      </c>
      <c r="D1339" s="9">
        <f>PRODUCT(sales_data_sample[[#This Row],[QUANTITYORDERED]],sales_data_sample[[#This Row],[PRICEEACH]])</f>
        <v>2800</v>
      </c>
      <c r="E1339" s="9">
        <f>IF(OR(sales_data_sample[[#This Row],[STATUS]]="Shipped",sales_data_sample[[#This Row],[STATUS]]="Resolved"),sales_data_sample[[#This Row],[SALES]],0)</f>
        <v>2800</v>
      </c>
      <c r="F1339" s="10">
        <v>2</v>
      </c>
      <c r="G1339" s="12" t="s">
        <v>376</v>
      </c>
      <c r="H1339" s="1" t="s">
        <v>26</v>
      </c>
      <c r="I1339">
        <v>4</v>
      </c>
      <c r="J1339">
        <v>12</v>
      </c>
      <c r="K1339">
        <v>2004</v>
      </c>
      <c r="L1339" s="1" t="s">
        <v>711</v>
      </c>
      <c r="M1339">
        <v>121</v>
      </c>
      <c r="N1339" s="1" t="s">
        <v>944</v>
      </c>
      <c r="O1339" s="1" t="s">
        <v>361</v>
      </c>
      <c r="P1339" s="1" t="s">
        <v>362</v>
      </c>
      <c r="Q1339" s="1" t="s">
        <v>363</v>
      </c>
      <c r="R1339" s="1" t="s">
        <v>32</v>
      </c>
      <c r="S1339" s="1" t="s">
        <v>364</v>
      </c>
      <c r="T1339" s="1" t="s">
        <v>65</v>
      </c>
      <c r="U1339" s="1" t="s">
        <v>145</v>
      </c>
      <c r="V1339" s="1" t="s">
        <v>36</v>
      </c>
      <c r="W1339" s="1" t="s">
        <v>37</v>
      </c>
      <c r="X1339" s="1" t="s">
        <v>365</v>
      </c>
      <c r="Y1339" s="1" t="s">
        <v>366</v>
      </c>
      <c r="Z1339" s="1" t="str">
        <f>TRIM(_xlfn.CONCAT(sales_data_sample[[#This Row],[CONTACTFIRSTNAME]],", ",sales_data_sample[[#This Row],[CONTACTLASTNAME]]))</f>
        <v>Valarie, Nelson</v>
      </c>
      <c r="AA1339" s="1" t="s">
        <v>59</v>
      </c>
    </row>
    <row r="1340" spans="1:27" x14ac:dyDescent="0.25">
      <c r="A1340">
        <v>10370</v>
      </c>
      <c r="B1340">
        <v>29</v>
      </c>
      <c r="C1340">
        <v>5753</v>
      </c>
      <c r="D1340">
        <f>PRODUCT(sales_data_sample[[#This Row],[QUANTITYORDERED]],sales_data_sample[[#This Row],[PRICEEACH]])</f>
        <v>166837</v>
      </c>
      <c r="E1340" s="9">
        <f>IF(OR(sales_data_sample[[#This Row],[STATUS]]="Shipped",sales_data_sample[[#This Row],[STATUS]]="Resolved"),sales_data_sample[[#This Row],[SALES]],0)</f>
        <v>166837</v>
      </c>
      <c r="F1340">
        <v>6</v>
      </c>
      <c r="G1340" s="12" t="s">
        <v>377</v>
      </c>
      <c r="H1340" s="1" t="s">
        <v>26</v>
      </c>
      <c r="I1340">
        <v>1</v>
      </c>
      <c r="J1340">
        <v>1</v>
      </c>
      <c r="K1340">
        <v>2005</v>
      </c>
      <c r="L1340" s="1" t="s">
        <v>711</v>
      </c>
      <c r="M1340">
        <v>121</v>
      </c>
      <c r="N1340" s="1" t="s">
        <v>944</v>
      </c>
      <c r="O1340" s="1" t="s">
        <v>385</v>
      </c>
      <c r="P1340" s="1" t="s">
        <v>386</v>
      </c>
      <c r="Q1340" s="1" t="s">
        <v>387</v>
      </c>
      <c r="R1340" s="1" t="s">
        <v>388</v>
      </c>
      <c r="S1340" s="1" t="s">
        <v>389</v>
      </c>
      <c r="T1340" s="1" t="s">
        <v>206</v>
      </c>
      <c r="U1340" s="1" t="s">
        <v>390</v>
      </c>
      <c r="V1340" s="1" t="s">
        <v>120</v>
      </c>
      <c r="W1340" s="1" t="s">
        <v>121</v>
      </c>
      <c r="X1340" s="1" t="s">
        <v>391</v>
      </c>
      <c r="Y1340" s="1" t="s">
        <v>392</v>
      </c>
      <c r="Z1340" s="1" t="str">
        <f>TRIM(_xlfn.CONCAT(sales_data_sample[[#This Row],[CONTACTFIRSTNAME]],", ",sales_data_sample[[#This Row],[CONTACTLASTNAME]]))</f>
        <v>Anna, O'Hara</v>
      </c>
      <c r="AA1340" s="1" t="s">
        <v>40</v>
      </c>
    </row>
    <row r="1341" spans="1:27" x14ac:dyDescent="0.25">
      <c r="A1341" s="10">
        <v>10382</v>
      </c>
      <c r="B1341" s="9">
        <v>39</v>
      </c>
      <c r="C1341" s="9">
        <v>100</v>
      </c>
      <c r="D1341" s="9">
        <f>PRODUCT(sales_data_sample[[#This Row],[QUANTITYORDERED]],sales_data_sample[[#This Row],[PRICEEACH]])</f>
        <v>3900</v>
      </c>
      <c r="E1341" s="9">
        <f>IF(OR(sales_data_sample[[#This Row],[STATUS]]="Shipped",sales_data_sample[[#This Row],[STATUS]]="Resolved"),sales_data_sample[[#This Row],[SALES]],0)</f>
        <v>3900</v>
      </c>
      <c r="F1341" s="10">
        <v>1</v>
      </c>
      <c r="G1341" s="12" t="s">
        <v>383</v>
      </c>
      <c r="H1341" s="1" t="s">
        <v>26</v>
      </c>
      <c r="I1341">
        <v>1</v>
      </c>
      <c r="J1341">
        <v>2</v>
      </c>
      <c r="K1341">
        <v>2005</v>
      </c>
      <c r="L1341" s="1" t="s">
        <v>711</v>
      </c>
      <c r="M1341">
        <v>121</v>
      </c>
      <c r="N1341" s="1" t="s">
        <v>944</v>
      </c>
      <c r="O1341" s="1" t="s">
        <v>361</v>
      </c>
      <c r="P1341" s="1" t="s">
        <v>362</v>
      </c>
      <c r="Q1341" s="1" t="s">
        <v>363</v>
      </c>
      <c r="R1341" s="1" t="s">
        <v>32</v>
      </c>
      <c r="S1341" s="1" t="s">
        <v>364</v>
      </c>
      <c r="T1341" s="1" t="s">
        <v>65</v>
      </c>
      <c r="U1341" s="1" t="s">
        <v>145</v>
      </c>
      <c r="V1341" s="1" t="s">
        <v>36</v>
      </c>
      <c r="W1341" s="1" t="s">
        <v>37</v>
      </c>
      <c r="X1341" s="1" t="s">
        <v>365</v>
      </c>
      <c r="Y1341" s="1" t="s">
        <v>366</v>
      </c>
      <c r="Z1341" s="1" t="str">
        <f>TRIM(_xlfn.CONCAT(sales_data_sample[[#This Row],[CONTACTFIRSTNAME]],", ",sales_data_sample[[#This Row],[CONTACTLASTNAME]]))</f>
        <v>Valarie, Nelson</v>
      </c>
      <c r="AA1341" s="1" t="s">
        <v>59</v>
      </c>
    </row>
    <row r="1342" spans="1:27" x14ac:dyDescent="0.25">
      <c r="A1342" s="10">
        <v>10411</v>
      </c>
      <c r="B1342" s="9">
        <v>46</v>
      </c>
      <c r="C1342" s="9">
        <v>100</v>
      </c>
      <c r="D1342" s="9">
        <f>PRODUCT(sales_data_sample[[#This Row],[QUANTITYORDERED]],sales_data_sample[[#This Row],[PRICEEACH]])</f>
        <v>4600</v>
      </c>
      <c r="E1342" s="9">
        <f>IF(OR(sales_data_sample[[#This Row],[STATUS]]="Shipped",sales_data_sample[[#This Row],[STATUS]]="Resolved"),sales_data_sample[[#This Row],[SALES]],0)</f>
        <v>4600</v>
      </c>
      <c r="F1342" s="10">
        <v>3</v>
      </c>
      <c r="G1342" s="12" t="s">
        <v>393</v>
      </c>
      <c r="H1342" s="1" t="s">
        <v>26</v>
      </c>
      <c r="I1342">
        <v>2</v>
      </c>
      <c r="J1342">
        <v>5</v>
      </c>
      <c r="K1342">
        <v>2005</v>
      </c>
      <c r="L1342" s="1" t="s">
        <v>711</v>
      </c>
      <c r="M1342">
        <v>121</v>
      </c>
      <c r="N1342" s="1" t="s">
        <v>944</v>
      </c>
      <c r="O1342" s="1" t="s">
        <v>394</v>
      </c>
      <c r="P1342" s="1" t="s">
        <v>395</v>
      </c>
      <c r="Q1342" s="1" t="s">
        <v>396</v>
      </c>
      <c r="R1342" s="1" t="s">
        <v>32</v>
      </c>
      <c r="S1342" s="1" t="s">
        <v>397</v>
      </c>
      <c r="T1342" s="1" t="s">
        <v>398</v>
      </c>
      <c r="U1342" s="1" t="s">
        <v>399</v>
      </c>
      <c r="V1342" s="1" t="s">
        <v>305</v>
      </c>
      <c r="W1342" s="1" t="s">
        <v>37</v>
      </c>
      <c r="X1342" s="1" t="s">
        <v>400</v>
      </c>
      <c r="Y1342" s="1" t="s">
        <v>401</v>
      </c>
      <c r="Z1342" s="1" t="str">
        <f>TRIM(_xlfn.CONCAT(sales_data_sample[[#This Row],[CONTACTFIRSTNAME]],", ",sales_data_sample[[#This Row],[CONTACTLASTNAME]]))</f>
        <v>Jean, Fresnisre</v>
      </c>
      <c r="AA1342" s="1" t="s">
        <v>59</v>
      </c>
    </row>
    <row r="1343" spans="1:27" x14ac:dyDescent="0.25">
      <c r="A1343" s="10">
        <v>10425</v>
      </c>
      <c r="B1343" s="9">
        <v>38</v>
      </c>
      <c r="C1343" s="9">
        <v>100</v>
      </c>
      <c r="D1343" s="9">
        <f>PRODUCT(sales_data_sample[[#This Row],[QUANTITYORDERED]],sales_data_sample[[#This Row],[PRICEEACH]])</f>
        <v>3800</v>
      </c>
      <c r="E1343" s="9">
        <f>IF(OR(sales_data_sample[[#This Row],[STATUS]]="Shipped",sales_data_sample[[#This Row],[STATUS]]="Resolved"),sales_data_sample[[#This Row],[SALES]],0)</f>
        <v>0</v>
      </c>
      <c r="F1343" s="10">
        <v>13</v>
      </c>
      <c r="G1343" s="12" t="s">
        <v>402</v>
      </c>
      <c r="H1343" s="1" t="s">
        <v>403</v>
      </c>
      <c r="I1343">
        <v>2</v>
      </c>
      <c r="J1343">
        <v>5</v>
      </c>
      <c r="K1343">
        <v>2005</v>
      </c>
      <c r="L1343" s="1" t="s">
        <v>711</v>
      </c>
      <c r="M1343">
        <v>121</v>
      </c>
      <c r="N1343" s="1" t="s">
        <v>944</v>
      </c>
      <c r="O1343" s="1" t="s">
        <v>148</v>
      </c>
      <c r="P1343" s="1" t="s">
        <v>149</v>
      </c>
      <c r="Q1343" s="1" t="s">
        <v>150</v>
      </c>
      <c r="R1343" s="1" t="s">
        <v>32</v>
      </c>
      <c r="S1343" s="1" t="s">
        <v>151</v>
      </c>
      <c r="T1343" s="1" t="s">
        <v>32</v>
      </c>
      <c r="U1343" s="1" t="s">
        <v>152</v>
      </c>
      <c r="V1343" s="1" t="s">
        <v>47</v>
      </c>
      <c r="W1343" s="1" t="s">
        <v>48</v>
      </c>
      <c r="X1343" s="1" t="s">
        <v>153</v>
      </c>
      <c r="Y1343" s="1" t="s">
        <v>154</v>
      </c>
      <c r="Z1343" s="1" t="str">
        <f>TRIM(_xlfn.CONCAT(sales_data_sample[[#This Row],[CONTACTFIRSTNAME]],", ",sales_data_sample[[#This Row],[CONTACTLASTNAME]]))</f>
        <v>Janine, Labrune</v>
      </c>
      <c r="AA1343" s="1" t="s">
        <v>59</v>
      </c>
    </row>
    <row r="1344" spans="1:27" x14ac:dyDescent="0.25">
      <c r="A1344" s="10">
        <v>10103</v>
      </c>
      <c r="B1344" s="9">
        <v>41</v>
      </c>
      <c r="C1344" s="9">
        <v>4729</v>
      </c>
      <c r="D1344" s="9">
        <f>PRODUCT(sales_data_sample[[#This Row],[QUANTITYORDERED]],sales_data_sample[[#This Row],[PRICEEACH]])</f>
        <v>193889</v>
      </c>
      <c r="E1344" s="9">
        <f>IF(OR(sales_data_sample[[#This Row],[STATUS]]="Shipped",sales_data_sample[[#This Row],[STATUS]]="Resolved"),sales_data_sample[[#This Row],[SALES]],0)</f>
        <v>193889</v>
      </c>
      <c r="F1344" s="10">
        <v>9</v>
      </c>
      <c r="G1344" s="12" t="s">
        <v>238</v>
      </c>
      <c r="H1344" s="1" t="s">
        <v>26</v>
      </c>
      <c r="I1344">
        <v>1</v>
      </c>
      <c r="J1344">
        <v>1</v>
      </c>
      <c r="K1344">
        <v>2003</v>
      </c>
      <c r="L1344" s="1" t="s">
        <v>799</v>
      </c>
      <c r="M1344">
        <v>50</v>
      </c>
      <c r="N1344" s="1" t="s">
        <v>945</v>
      </c>
      <c r="O1344" s="1" t="s">
        <v>174</v>
      </c>
      <c r="P1344" s="1" t="s">
        <v>175</v>
      </c>
      <c r="Q1344" s="1" t="s">
        <v>176</v>
      </c>
      <c r="R1344" s="1" t="s">
        <v>32</v>
      </c>
      <c r="S1344" s="1" t="s">
        <v>177</v>
      </c>
      <c r="T1344" s="1" t="s">
        <v>32</v>
      </c>
      <c r="U1344" s="1" t="s">
        <v>178</v>
      </c>
      <c r="V1344" s="1" t="s">
        <v>97</v>
      </c>
      <c r="W1344" s="1" t="s">
        <v>48</v>
      </c>
      <c r="X1344" s="1" t="s">
        <v>179</v>
      </c>
      <c r="Y1344" s="1" t="s">
        <v>180</v>
      </c>
      <c r="Z1344" s="1" t="str">
        <f>TRIM(_xlfn.CONCAT(sales_data_sample[[#This Row],[CONTACTFIRSTNAME]],", ",sales_data_sample[[#This Row],[CONTACTLASTNAME]]))</f>
        <v>Jonas, Bergulfsen</v>
      </c>
      <c r="AA1344" s="1" t="s">
        <v>40</v>
      </c>
    </row>
    <row r="1345" spans="1:27" x14ac:dyDescent="0.25">
      <c r="A1345" s="10">
        <v>10113</v>
      </c>
      <c r="B1345" s="9">
        <v>50</v>
      </c>
      <c r="C1345" s="9">
        <v>4981</v>
      </c>
      <c r="D1345" s="9">
        <f>PRODUCT(sales_data_sample[[#This Row],[QUANTITYORDERED]],sales_data_sample[[#This Row],[PRICEEACH]])</f>
        <v>249050</v>
      </c>
      <c r="E1345" s="9">
        <f>IF(OR(sales_data_sample[[#This Row],[STATUS]]="Shipped",sales_data_sample[[#This Row],[STATUS]]="Resolved"),sales_data_sample[[#This Row],[SALES]],0)</f>
        <v>249050</v>
      </c>
      <c r="F1345" s="10">
        <v>3</v>
      </c>
      <c r="G1345" s="12" t="s">
        <v>713</v>
      </c>
      <c r="H1345" s="1" t="s">
        <v>26</v>
      </c>
      <c r="I1345">
        <v>1</v>
      </c>
      <c r="J1345">
        <v>3</v>
      </c>
      <c r="K1345">
        <v>2003</v>
      </c>
      <c r="L1345" s="1" t="s">
        <v>799</v>
      </c>
      <c r="M1345">
        <v>50</v>
      </c>
      <c r="N1345" s="1" t="s">
        <v>945</v>
      </c>
      <c r="O1345" s="1" t="s">
        <v>361</v>
      </c>
      <c r="P1345" s="1" t="s">
        <v>362</v>
      </c>
      <c r="Q1345" s="1" t="s">
        <v>363</v>
      </c>
      <c r="R1345" s="1" t="s">
        <v>32</v>
      </c>
      <c r="S1345" s="1" t="s">
        <v>364</v>
      </c>
      <c r="T1345" s="1" t="s">
        <v>65</v>
      </c>
      <c r="U1345" s="1" t="s">
        <v>145</v>
      </c>
      <c r="V1345" s="1" t="s">
        <v>36</v>
      </c>
      <c r="W1345" s="1" t="s">
        <v>37</v>
      </c>
      <c r="X1345" s="1" t="s">
        <v>365</v>
      </c>
      <c r="Y1345" s="1" t="s">
        <v>366</v>
      </c>
      <c r="Z1345" s="1" t="str">
        <f>TRIM(_xlfn.CONCAT(sales_data_sample[[#This Row],[CONTACTFIRSTNAME]],", ",sales_data_sample[[#This Row],[CONTACTLASTNAME]]))</f>
        <v>Valarie, Nelson</v>
      </c>
      <c r="AA1345" s="1" t="s">
        <v>40</v>
      </c>
    </row>
    <row r="1346" spans="1:27" x14ac:dyDescent="0.25">
      <c r="A1346" s="10">
        <v>10126</v>
      </c>
      <c r="B1346" s="9">
        <v>43</v>
      </c>
      <c r="C1346" s="9">
        <v>5383</v>
      </c>
      <c r="D1346" s="9">
        <f>PRODUCT(sales_data_sample[[#This Row],[QUANTITYORDERED]],sales_data_sample[[#This Row],[PRICEEACH]])</f>
        <v>231469</v>
      </c>
      <c r="E1346" s="9">
        <f>IF(OR(sales_data_sample[[#This Row],[STATUS]]="Shipped",sales_data_sample[[#This Row],[STATUS]]="Resolved"),sales_data_sample[[#This Row],[SALES]],0)</f>
        <v>231469</v>
      </c>
      <c r="F1346" s="10">
        <v>9</v>
      </c>
      <c r="G1346" s="12" t="s">
        <v>250</v>
      </c>
      <c r="H1346" s="1" t="s">
        <v>26</v>
      </c>
      <c r="I1346">
        <v>2</v>
      </c>
      <c r="J1346">
        <v>5</v>
      </c>
      <c r="K1346">
        <v>2003</v>
      </c>
      <c r="L1346" s="1" t="s">
        <v>799</v>
      </c>
      <c r="M1346">
        <v>50</v>
      </c>
      <c r="N1346" s="1" t="s">
        <v>945</v>
      </c>
      <c r="O1346" s="1" t="s">
        <v>251</v>
      </c>
      <c r="P1346" s="1" t="s">
        <v>252</v>
      </c>
      <c r="Q1346" s="1" t="s">
        <v>253</v>
      </c>
      <c r="R1346" s="1" t="s">
        <v>32</v>
      </c>
      <c r="S1346" s="1" t="s">
        <v>233</v>
      </c>
      <c r="T1346" s="1" t="s">
        <v>32</v>
      </c>
      <c r="U1346" s="1" t="s">
        <v>254</v>
      </c>
      <c r="V1346" s="1" t="s">
        <v>235</v>
      </c>
      <c r="W1346" s="1" t="s">
        <v>48</v>
      </c>
      <c r="X1346" s="1" t="s">
        <v>255</v>
      </c>
      <c r="Y1346" s="1" t="s">
        <v>256</v>
      </c>
      <c r="Z1346" s="1" t="str">
        <f>TRIM(_xlfn.CONCAT(sales_data_sample[[#This Row],[CONTACTFIRSTNAME]],", ",sales_data_sample[[#This Row],[CONTACTLASTNAME]]))</f>
        <v>Mart¡n, Sommer</v>
      </c>
      <c r="AA1346" s="1" t="s">
        <v>40</v>
      </c>
    </row>
    <row r="1347" spans="1:27" x14ac:dyDescent="0.25">
      <c r="A1347" s="10">
        <v>10140</v>
      </c>
      <c r="B1347" s="9">
        <v>29</v>
      </c>
      <c r="C1347" s="9">
        <v>4327</v>
      </c>
      <c r="D1347" s="9">
        <f>PRODUCT(sales_data_sample[[#This Row],[QUANTITYORDERED]],sales_data_sample[[#This Row],[PRICEEACH]])</f>
        <v>125483</v>
      </c>
      <c r="E1347" s="9">
        <f>IF(OR(sales_data_sample[[#This Row],[STATUS]]="Shipped",sales_data_sample[[#This Row],[STATUS]]="Resolved"),sales_data_sample[[#This Row],[SALES]],0)</f>
        <v>125483</v>
      </c>
      <c r="F1347" s="10">
        <v>9</v>
      </c>
      <c r="G1347" s="12" t="s">
        <v>257</v>
      </c>
      <c r="H1347" s="1" t="s">
        <v>26</v>
      </c>
      <c r="I1347">
        <v>3</v>
      </c>
      <c r="J1347">
        <v>7</v>
      </c>
      <c r="K1347">
        <v>2003</v>
      </c>
      <c r="L1347" s="1" t="s">
        <v>799</v>
      </c>
      <c r="M1347">
        <v>50</v>
      </c>
      <c r="N1347" s="1" t="s">
        <v>945</v>
      </c>
      <c r="O1347" s="1" t="s">
        <v>76</v>
      </c>
      <c r="P1347" s="1" t="s">
        <v>77</v>
      </c>
      <c r="Q1347" s="1" t="s">
        <v>78</v>
      </c>
      <c r="R1347" s="1" t="s">
        <v>32</v>
      </c>
      <c r="S1347" s="1" t="s">
        <v>79</v>
      </c>
      <c r="T1347" s="1" t="s">
        <v>65</v>
      </c>
      <c r="U1347" s="1" t="s">
        <v>80</v>
      </c>
      <c r="V1347" s="1" t="s">
        <v>36</v>
      </c>
      <c r="W1347" s="1" t="s">
        <v>37</v>
      </c>
      <c r="X1347" s="1" t="s">
        <v>81</v>
      </c>
      <c r="Y1347" s="1" t="s">
        <v>82</v>
      </c>
      <c r="Z1347" s="1" t="str">
        <f>TRIM(_xlfn.CONCAT(sales_data_sample[[#This Row],[CONTACTFIRSTNAME]],", ",sales_data_sample[[#This Row],[CONTACTLASTNAME]]))</f>
        <v>Juri, Hirano</v>
      </c>
      <c r="AA1347" s="1" t="s">
        <v>40</v>
      </c>
    </row>
    <row r="1348" spans="1:27" x14ac:dyDescent="0.25">
      <c r="A1348" s="10">
        <v>10150</v>
      </c>
      <c r="B1348" s="9">
        <v>30</v>
      </c>
      <c r="C1348" s="9">
        <v>4276</v>
      </c>
      <c r="D1348" s="9">
        <f>PRODUCT(sales_data_sample[[#This Row],[QUANTITYORDERED]],sales_data_sample[[#This Row],[PRICEEACH]])</f>
        <v>128280</v>
      </c>
      <c r="E1348" s="9">
        <f>IF(OR(sales_data_sample[[#This Row],[STATUS]]="Shipped",sales_data_sample[[#This Row],[STATUS]]="Resolved"),sales_data_sample[[#This Row],[SALES]],0)</f>
        <v>128280</v>
      </c>
      <c r="F1348" s="10">
        <v>6</v>
      </c>
      <c r="G1348" s="12" t="s">
        <v>258</v>
      </c>
      <c r="H1348" s="1" t="s">
        <v>26</v>
      </c>
      <c r="I1348">
        <v>3</v>
      </c>
      <c r="J1348">
        <v>9</v>
      </c>
      <c r="K1348">
        <v>2003</v>
      </c>
      <c r="L1348" s="1" t="s">
        <v>799</v>
      </c>
      <c r="M1348">
        <v>50</v>
      </c>
      <c r="N1348" s="1" t="s">
        <v>945</v>
      </c>
      <c r="O1348" s="1" t="s">
        <v>259</v>
      </c>
      <c r="P1348" s="1" t="s">
        <v>260</v>
      </c>
      <c r="Q1348" s="1" t="s">
        <v>261</v>
      </c>
      <c r="R1348" s="1" t="s">
        <v>32</v>
      </c>
      <c r="S1348" s="1" t="s">
        <v>262</v>
      </c>
      <c r="T1348" s="1" t="s">
        <v>32</v>
      </c>
      <c r="U1348" s="1" t="s">
        <v>263</v>
      </c>
      <c r="V1348" s="1" t="s">
        <v>262</v>
      </c>
      <c r="W1348" s="1" t="s">
        <v>264</v>
      </c>
      <c r="X1348" s="1" t="s">
        <v>265</v>
      </c>
      <c r="Y1348" s="1" t="s">
        <v>266</v>
      </c>
      <c r="Z1348" s="1" t="str">
        <f>TRIM(_xlfn.CONCAT(sales_data_sample[[#This Row],[CONTACTFIRSTNAME]],", ",sales_data_sample[[#This Row],[CONTACTLASTNAME]]))</f>
        <v>Eric, Natividad</v>
      </c>
      <c r="AA1348" s="1" t="s">
        <v>40</v>
      </c>
    </row>
    <row r="1349" spans="1:27" x14ac:dyDescent="0.25">
      <c r="A1349" s="10">
        <v>10164</v>
      </c>
      <c r="B1349" s="9">
        <v>25</v>
      </c>
      <c r="C1349" s="9">
        <v>5383</v>
      </c>
      <c r="D1349" s="9">
        <f>PRODUCT(sales_data_sample[[#This Row],[QUANTITYORDERED]],sales_data_sample[[#This Row],[PRICEEACH]])</f>
        <v>134575</v>
      </c>
      <c r="E1349" s="9">
        <f>IF(OR(sales_data_sample[[#This Row],[STATUS]]="Shipped",sales_data_sample[[#This Row],[STATUS]]="Resolved"),sales_data_sample[[#This Row],[SALES]],0)</f>
        <v>134575</v>
      </c>
      <c r="F1349" s="10">
        <v>7</v>
      </c>
      <c r="G1349" s="12" t="s">
        <v>562</v>
      </c>
      <c r="H1349" s="1" t="s">
        <v>563</v>
      </c>
      <c r="I1349">
        <v>4</v>
      </c>
      <c r="J1349">
        <v>10</v>
      </c>
      <c r="K1349">
        <v>2003</v>
      </c>
      <c r="L1349" s="1" t="s">
        <v>799</v>
      </c>
      <c r="M1349">
        <v>50</v>
      </c>
      <c r="N1349" s="1" t="s">
        <v>945</v>
      </c>
      <c r="O1349" s="1" t="s">
        <v>564</v>
      </c>
      <c r="P1349" s="1" t="s">
        <v>565</v>
      </c>
      <c r="Q1349" s="1" t="s">
        <v>566</v>
      </c>
      <c r="R1349" s="1" t="s">
        <v>32</v>
      </c>
      <c r="S1349" s="1" t="s">
        <v>567</v>
      </c>
      <c r="T1349" s="1" t="s">
        <v>32</v>
      </c>
      <c r="U1349" s="1" t="s">
        <v>568</v>
      </c>
      <c r="V1349" s="1" t="s">
        <v>196</v>
      </c>
      <c r="W1349" s="1" t="s">
        <v>48</v>
      </c>
      <c r="X1349" s="1" t="s">
        <v>569</v>
      </c>
      <c r="Y1349" s="1" t="s">
        <v>570</v>
      </c>
      <c r="Z1349" s="1" t="str">
        <f>TRIM(_xlfn.CONCAT(sales_data_sample[[#This Row],[CONTACTFIRSTNAME]],", ",sales_data_sample[[#This Row],[CONTACTLASTNAME]]))</f>
        <v>Roland, Mendel</v>
      </c>
      <c r="AA1349" s="1" t="s">
        <v>40</v>
      </c>
    </row>
    <row r="1350" spans="1:27" x14ac:dyDescent="0.25">
      <c r="A1350" s="10">
        <v>10174</v>
      </c>
      <c r="B1350" s="9">
        <v>49</v>
      </c>
      <c r="C1350" s="9">
        <v>4478</v>
      </c>
      <c r="D1350" s="9">
        <f>PRODUCT(sales_data_sample[[#This Row],[QUANTITYORDERED]],sales_data_sample[[#This Row],[PRICEEACH]])</f>
        <v>219422</v>
      </c>
      <c r="E1350" s="9">
        <f>IF(OR(sales_data_sample[[#This Row],[STATUS]]="Shipped",sales_data_sample[[#This Row],[STATUS]]="Resolved"),sales_data_sample[[#This Row],[SALES]],0)</f>
        <v>219422</v>
      </c>
      <c r="F1350" s="10">
        <v>2</v>
      </c>
      <c r="G1350" s="12" t="s">
        <v>273</v>
      </c>
      <c r="H1350" s="1" t="s">
        <v>26</v>
      </c>
      <c r="I1350">
        <v>4</v>
      </c>
      <c r="J1350">
        <v>11</v>
      </c>
      <c r="K1350">
        <v>2003</v>
      </c>
      <c r="L1350" s="1" t="s">
        <v>799</v>
      </c>
      <c r="M1350">
        <v>50</v>
      </c>
      <c r="N1350" s="1" t="s">
        <v>945</v>
      </c>
      <c r="O1350" s="1" t="s">
        <v>274</v>
      </c>
      <c r="P1350" s="1" t="s">
        <v>275</v>
      </c>
      <c r="Q1350" s="1" t="s">
        <v>276</v>
      </c>
      <c r="R1350" s="1" t="s">
        <v>32</v>
      </c>
      <c r="S1350" s="1" t="s">
        <v>277</v>
      </c>
      <c r="T1350" s="1" t="s">
        <v>278</v>
      </c>
      <c r="U1350" s="1" t="s">
        <v>279</v>
      </c>
      <c r="V1350" s="1" t="s">
        <v>120</v>
      </c>
      <c r="W1350" s="1" t="s">
        <v>121</v>
      </c>
      <c r="X1350" s="1" t="s">
        <v>280</v>
      </c>
      <c r="Y1350" s="1" t="s">
        <v>281</v>
      </c>
      <c r="Z1350" s="1" t="str">
        <f>TRIM(_xlfn.CONCAT(sales_data_sample[[#This Row],[CONTACTFIRSTNAME]],", ",sales_data_sample[[#This Row],[CONTACTLASTNAME]]))</f>
        <v>Tony, Calaghan</v>
      </c>
      <c r="AA1350" s="1" t="s">
        <v>40</v>
      </c>
    </row>
    <row r="1351" spans="1:27" x14ac:dyDescent="0.25">
      <c r="A1351" s="10">
        <v>10183</v>
      </c>
      <c r="B1351" s="9">
        <v>40</v>
      </c>
      <c r="C1351" s="9">
        <v>493</v>
      </c>
      <c r="D1351" s="9">
        <f>PRODUCT(sales_data_sample[[#This Row],[QUANTITYORDERED]],sales_data_sample[[#This Row],[PRICEEACH]])</f>
        <v>19720</v>
      </c>
      <c r="E1351" s="9">
        <f>IF(OR(sales_data_sample[[#This Row],[STATUS]]="Shipped",sales_data_sample[[#This Row],[STATUS]]="Resolved"),sales_data_sample[[#This Row],[SALES]],0)</f>
        <v>19720</v>
      </c>
      <c r="F1351" s="10">
        <v>6</v>
      </c>
      <c r="G1351" s="12" t="s">
        <v>282</v>
      </c>
      <c r="H1351" s="1" t="s">
        <v>26</v>
      </c>
      <c r="I1351">
        <v>4</v>
      </c>
      <c r="J1351">
        <v>11</v>
      </c>
      <c r="K1351">
        <v>2003</v>
      </c>
      <c r="L1351" s="1" t="s">
        <v>799</v>
      </c>
      <c r="M1351">
        <v>50</v>
      </c>
      <c r="N1351" s="1" t="s">
        <v>945</v>
      </c>
      <c r="O1351" s="1" t="s">
        <v>283</v>
      </c>
      <c r="P1351" s="1" t="s">
        <v>284</v>
      </c>
      <c r="Q1351" s="1" t="s">
        <v>285</v>
      </c>
      <c r="R1351" s="1" t="s">
        <v>32</v>
      </c>
      <c r="S1351" s="1" t="s">
        <v>286</v>
      </c>
      <c r="T1351" s="1" t="s">
        <v>186</v>
      </c>
      <c r="U1351" s="1" t="s">
        <v>287</v>
      </c>
      <c r="V1351" s="1" t="s">
        <v>36</v>
      </c>
      <c r="W1351" s="1" t="s">
        <v>37</v>
      </c>
      <c r="X1351" s="1" t="s">
        <v>288</v>
      </c>
      <c r="Y1351" s="1" t="s">
        <v>289</v>
      </c>
      <c r="Z1351" s="1" t="str">
        <f>TRIM(_xlfn.CONCAT(sales_data_sample[[#This Row],[CONTACTFIRSTNAME]],", ",sales_data_sample[[#This Row],[CONTACTLASTNAME]]))</f>
        <v>Francisca, Cervantes</v>
      </c>
      <c r="AA1351" s="1" t="s">
        <v>40</v>
      </c>
    </row>
    <row r="1352" spans="1:27" x14ac:dyDescent="0.25">
      <c r="A1352" s="10">
        <v>10194</v>
      </c>
      <c r="B1352" s="9">
        <v>41</v>
      </c>
      <c r="C1352" s="9">
        <v>4478</v>
      </c>
      <c r="D1352" s="9">
        <f>PRODUCT(sales_data_sample[[#This Row],[QUANTITYORDERED]],sales_data_sample[[#This Row],[PRICEEACH]])</f>
        <v>183598</v>
      </c>
      <c r="E1352" s="9">
        <f>IF(OR(sales_data_sample[[#This Row],[STATUS]]="Shipped",sales_data_sample[[#This Row],[STATUS]]="Resolved"),sales_data_sample[[#This Row],[SALES]],0)</f>
        <v>183598</v>
      </c>
      <c r="F1352" s="10">
        <v>9</v>
      </c>
      <c r="G1352" s="12" t="s">
        <v>290</v>
      </c>
      <c r="H1352" s="1" t="s">
        <v>26</v>
      </c>
      <c r="I1352">
        <v>4</v>
      </c>
      <c r="J1352">
        <v>11</v>
      </c>
      <c r="K1352">
        <v>2003</v>
      </c>
      <c r="L1352" s="1" t="s">
        <v>799</v>
      </c>
      <c r="M1352">
        <v>50</v>
      </c>
      <c r="N1352" s="1" t="s">
        <v>945</v>
      </c>
      <c r="O1352" s="1" t="s">
        <v>291</v>
      </c>
      <c r="P1352" s="1" t="s">
        <v>292</v>
      </c>
      <c r="Q1352" s="1" t="s">
        <v>293</v>
      </c>
      <c r="R1352" s="1" t="s">
        <v>32</v>
      </c>
      <c r="S1352" s="1" t="s">
        <v>294</v>
      </c>
      <c r="T1352" s="1" t="s">
        <v>32</v>
      </c>
      <c r="U1352" s="1" t="s">
        <v>295</v>
      </c>
      <c r="V1352" s="1" t="s">
        <v>47</v>
      </c>
      <c r="W1352" s="1" t="s">
        <v>48</v>
      </c>
      <c r="X1352" s="1" t="s">
        <v>296</v>
      </c>
      <c r="Y1352" s="1" t="s">
        <v>297</v>
      </c>
      <c r="Z1352" s="1" t="str">
        <f>TRIM(_xlfn.CONCAT(sales_data_sample[[#This Row],[CONTACTFIRSTNAME]],", ",sales_data_sample[[#This Row],[CONTACTLASTNAME]]))</f>
        <v>Mary, Saveley</v>
      </c>
      <c r="AA1352" s="1" t="s">
        <v>40</v>
      </c>
    </row>
    <row r="1353" spans="1:27" x14ac:dyDescent="0.25">
      <c r="A1353" s="10">
        <v>10206</v>
      </c>
      <c r="B1353" s="9">
        <v>21</v>
      </c>
      <c r="C1353" s="9">
        <v>5333</v>
      </c>
      <c r="D1353" s="9">
        <f>PRODUCT(sales_data_sample[[#This Row],[QUANTITYORDERED]],sales_data_sample[[#This Row],[PRICEEACH]])</f>
        <v>111993</v>
      </c>
      <c r="E1353" s="9">
        <f>IF(OR(sales_data_sample[[#This Row],[STATUS]]="Shipped",sales_data_sample[[#This Row],[STATUS]]="Resolved"),sales_data_sample[[#This Row],[SALES]],0)</f>
        <v>111993</v>
      </c>
      <c r="F1353" s="10">
        <v>4</v>
      </c>
      <c r="G1353" s="12" t="s">
        <v>298</v>
      </c>
      <c r="H1353" s="1" t="s">
        <v>26</v>
      </c>
      <c r="I1353">
        <v>4</v>
      </c>
      <c r="J1353">
        <v>12</v>
      </c>
      <c r="K1353">
        <v>2003</v>
      </c>
      <c r="L1353" s="1" t="s">
        <v>799</v>
      </c>
      <c r="M1353">
        <v>50</v>
      </c>
      <c r="N1353" s="1" t="s">
        <v>945</v>
      </c>
      <c r="O1353" s="1" t="s">
        <v>299</v>
      </c>
      <c r="P1353" s="1" t="s">
        <v>300</v>
      </c>
      <c r="Q1353" s="1" t="s">
        <v>301</v>
      </c>
      <c r="R1353" s="1" t="s">
        <v>32</v>
      </c>
      <c r="S1353" s="1" t="s">
        <v>302</v>
      </c>
      <c r="T1353" s="1" t="s">
        <v>303</v>
      </c>
      <c r="U1353" s="1" t="s">
        <v>304</v>
      </c>
      <c r="V1353" s="1" t="s">
        <v>305</v>
      </c>
      <c r="W1353" s="1" t="s">
        <v>37</v>
      </c>
      <c r="X1353" s="1" t="s">
        <v>306</v>
      </c>
      <c r="Y1353" s="1" t="s">
        <v>307</v>
      </c>
      <c r="Z1353" s="1" t="str">
        <f>TRIM(_xlfn.CONCAT(sales_data_sample[[#This Row],[CONTACTFIRSTNAME]],", ",sales_data_sample[[#This Row],[CONTACTLASTNAME]]))</f>
        <v>Yoshi, Tannamuri</v>
      </c>
      <c r="AA1353" s="1" t="s">
        <v>40</v>
      </c>
    </row>
    <row r="1354" spans="1:27" x14ac:dyDescent="0.25">
      <c r="A1354" s="10">
        <v>10215</v>
      </c>
      <c r="B1354" s="9">
        <v>46</v>
      </c>
      <c r="C1354" s="9">
        <v>4528</v>
      </c>
      <c r="D1354" s="9">
        <f>PRODUCT(sales_data_sample[[#This Row],[QUANTITYORDERED]],sales_data_sample[[#This Row],[PRICEEACH]])</f>
        <v>208288</v>
      </c>
      <c r="E1354" s="9">
        <f>IF(OR(sales_data_sample[[#This Row],[STATUS]]="Shipped",sales_data_sample[[#This Row],[STATUS]]="Resolved"),sales_data_sample[[#This Row],[SALES]],0)</f>
        <v>208288</v>
      </c>
      <c r="F1354" s="10">
        <v>1</v>
      </c>
      <c r="G1354" s="12" t="s">
        <v>308</v>
      </c>
      <c r="H1354" s="1" t="s">
        <v>26</v>
      </c>
      <c r="I1354">
        <v>1</v>
      </c>
      <c r="J1354">
        <v>1</v>
      </c>
      <c r="K1354">
        <v>2004</v>
      </c>
      <c r="L1354" s="1" t="s">
        <v>799</v>
      </c>
      <c r="M1354">
        <v>50</v>
      </c>
      <c r="N1354" s="1" t="s">
        <v>945</v>
      </c>
      <c r="O1354" s="1" t="s">
        <v>309</v>
      </c>
      <c r="P1354" s="1" t="s">
        <v>310</v>
      </c>
      <c r="Q1354" s="1" t="s">
        <v>311</v>
      </c>
      <c r="R1354" s="1" t="s">
        <v>32</v>
      </c>
      <c r="S1354" s="1" t="s">
        <v>312</v>
      </c>
      <c r="T1354" s="1" t="s">
        <v>65</v>
      </c>
      <c r="U1354" s="1" t="s">
        <v>137</v>
      </c>
      <c r="V1354" s="1" t="s">
        <v>36</v>
      </c>
      <c r="W1354" s="1" t="s">
        <v>37</v>
      </c>
      <c r="X1354" s="1" t="s">
        <v>313</v>
      </c>
      <c r="Y1354" s="1" t="s">
        <v>314</v>
      </c>
      <c r="Z1354" s="1" t="str">
        <f>TRIM(_xlfn.CONCAT(sales_data_sample[[#This Row],[CONTACTFIRSTNAME]],", ",sales_data_sample[[#This Row],[CONTACTLASTNAME]]))</f>
        <v>Steve, Thompson</v>
      </c>
      <c r="AA1354" s="1" t="s">
        <v>40</v>
      </c>
    </row>
    <row r="1355" spans="1:27" x14ac:dyDescent="0.25">
      <c r="A1355" s="10">
        <v>10229</v>
      </c>
      <c r="B1355" s="9">
        <v>39</v>
      </c>
      <c r="C1355" s="9">
        <v>4025</v>
      </c>
      <c r="D1355" s="9">
        <f>PRODUCT(sales_data_sample[[#This Row],[QUANTITYORDERED]],sales_data_sample[[#This Row],[PRICEEACH]])</f>
        <v>156975</v>
      </c>
      <c r="E1355" s="9">
        <f>IF(OR(sales_data_sample[[#This Row],[STATUS]]="Shipped",sales_data_sample[[#This Row],[STATUS]]="Resolved"),sales_data_sample[[#This Row],[SALES]],0)</f>
        <v>156975</v>
      </c>
      <c r="F1355" s="10">
        <v>14</v>
      </c>
      <c r="G1355" s="12" t="s">
        <v>584</v>
      </c>
      <c r="H1355" s="1" t="s">
        <v>26</v>
      </c>
      <c r="I1355">
        <v>1</v>
      </c>
      <c r="J1355">
        <v>3</v>
      </c>
      <c r="K1355">
        <v>2004</v>
      </c>
      <c r="L1355" s="1" t="s">
        <v>799</v>
      </c>
      <c r="M1355">
        <v>50</v>
      </c>
      <c r="N1355" s="1" t="s">
        <v>945</v>
      </c>
      <c r="O1355" s="1" t="s">
        <v>361</v>
      </c>
      <c r="P1355" s="1" t="s">
        <v>362</v>
      </c>
      <c r="Q1355" s="1" t="s">
        <v>363</v>
      </c>
      <c r="R1355" s="1" t="s">
        <v>32</v>
      </c>
      <c r="S1355" s="1" t="s">
        <v>364</v>
      </c>
      <c r="T1355" s="1" t="s">
        <v>65</v>
      </c>
      <c r="U1355" s="1" t="s">
        <v>145</v>
      </c>
      <c r="V1355" s="1" t="s">
        <v>36</v>
      </c>
      <c r="W1355" s="1" t="s">
        <v>37</v>
      </c>
      <c r="X1355" s="1" t="s">
        <v>365</v>
      </c>
      <c r="Y1355" s="1" t="s">
        <v>366</v>
      </c>
      <c r="Z1355" s="1" t="str">
        <f>TRIM(_xlfn.CONCAT(sales_data_sample[[#This Row],[CONTACTFIRSTNAME]],", ",sales_data_sample[[#This Row],[CONTACTLASTNAME]]))</f>
        <v>Valarie, Nelson</v>
      </c>
      <c r="AA1355" s="1" t="s">
        <v>40</v>
      </c>
    </row>
    <row r="1356" spans="1:27" x14ac:dyDescent="0.25">
      <c r="A1356" s="10">
        <v>10245</v>
      </c>
      <c r="B1356" s="9">
        <v>45</v>
      </c>
      <c r="C1356" s="9">
        <v>5987</v>
      </c>
      <c r="D1356" s="9">
        <f>PRODUCT(sales_data_sample[[#This Row],[QUANTITYORDERED]],sales_data_sample[[#This Row],[PRICEEACH]])</f>
        <v>269415</v>
      </c>
      <c r="E1356" s="9">
        <f>IF(OR(sales_data_sample[[#This Row],[STATUS]]="Shipped",sales_data_sample[[#This Row],[STATUS]]="Resolved"),sales_data_sample[[#This Row],[SALES]],0)</f>
        <v>269415</v>
      </c>
      <c r="F1356" s="10">
        <v>7</v>
      </c>
      <c r="G1356" s="12" t="s">
        <v>320</v>
      </c>
      <c r="H1356" s="1" t="s">
        <v>26</v>
      </c>
      <c r="I1356">
        <v>2</v>
      </c>
      <c r="J1356">
        <v>5</v>
      </c>
      <c r="K1356">
        <v>2004</v>
      </c>
      <c r="L1356" s="1" t="s">
        <v>799</v>
      </c>
      <c r="M1356">
        <v>50</v>
      </c>
      <c r="N1356" s="1" t="s">
        <v>945</v>
      </c>
      <c r="O1356" s="1" t="s">
        <v>321</v>
      </c>
      <c r="P1356" s="1" t="s">
        <v>322</v>
      </c>
      <c r="Q1356" s="1" t="s">
        <v>323</v>
      </c>
      <c r="R1356" s="1" t="s">
        <v>32</v>
      </c>
      <c r="S1356" s="1" t="s">
        <v>324</v>
      </c>
      <c r="T1356" s="1" t="s">
        <v>144</v>
      </c>
      <c r="U1356" s="1" t="s">
        <v>325</v>
      </c>
      <c r="V1356" s="1" t="s">
        <v>36</v>
      </c>
      <c r="W1356" s="1" t="s">
        <v>37</v>
      </c>
      <c r="X1356" s="1" t="s">
        <v>104</v>
      </c>
      <c r="Y1356" s="1" t="s">
        <v>326</v>
      </c>
      <c r="Z1356" s="1" t="str">
        <f>TRIM(_xlfn.CONCAT(sales_data_sample[[#This Row],[CONTACTFIRSTNAME]],", ",sales_data_sample[[#This Row],[CONTACTLASTNAME]]))</f>
        <v>Leslie, Murphy</v>
      </c>
      <c r="AA1356" s="1" t="s">
        <v>40</v>
      </c>
    </row>
    <row r="1357" spans="1:27" x14ac:dyDescent="0.25">
      <c r="A1357" s="10">
        <v>10258</v>
      </c>
      <c r="B1357" s="9">
        <v>21</v>
      </c>
      <c r="C1357" s="9">
        <v>5987</v>
      </c>
      <c r="D1357" s="9">
        <f>PRODUCT(sales_data_sample[[#This Row],[QUANTITYORDERED]],sales_data_sample[[#This Row],[PRICEEACH]])</f>
        <v>125727</v>
      </c>
      <c r="E1357" s="9">
        <f>IF(OR(sales_data_sample[[#This Row],[STATUS]]="Shipped",sales_data_sample[[#This Row],[STATUS]]="Resolved"),sales_data_sample[[#This Row],[SALES]],0)</f>
        <v>125727</v>
      </c>
      <c r="F1357" s="10">
        <v>4</v>
      </c>
      <c r="G1357" s="12" t="s">
        <v>327</v>
      </c>
      <c r="H1357" s="1" t="s">
        <v>26</v>
      </c>
      <c r="I1357">
        <v>2</v>
      </c>
      <c r="J1357">
        <v>6</v>
      </c>
      <c r="K1357">
        <v>2004</v>
      </c>
      <c r="L1357" s="1" t="s">
        <v>799</v>
      </c>
      <c r="M1357">
        <v>50</v>
      </c>
      <c r="N1357" s="1" t="s">
        <v>945</v>
      </c>
      <c r="O1357" s="1" t="s">
        <v>328</v>
      </c>
      <c r="P1357" s="1" t="s">
        <v>329</v>
      </c>
      <c r="Q1357" s="1" t="s">
        <v>330</v>
      </c>
      <c r="R1357" s="1" t="s">
        <v>32</v>
      </c>
      <c r="S1357" s="1" t="s">
        <v>331</v>
      </c>
      <c r="T1357" s="1" t="s">
        <v>332</v>
      </c>
      <c r="U1357" s="1" t="s">
        <v>333</v>
      </c>
      <c r="V1357" s="1" t="s">
        <v>264</v>
      </c>
      <c r="W1357" s="1" t="s">
        <v>264</v>
      </c>
      <c r="X1357" s="1" t="s">
        <v>334</v>
      </c>
      <c r="Y1357" s="1" t="s">
        <v>335</v>
      </c>
      <c r="Z1357" s="1" t="str">
        <f>TRIM(_xlfn.CONCAT(sales_data_sample[[#This Row],[CONTACTFIRSTNAME]],", ",sales_data_sample[[#This Row],[CONTACTLASTNAME]]))</f>
        <v>Akiko, Shimamura</v>
      </c>
      <c r="AA1357" s="1" t="s">
        <v>40</v>
      </c>
    </row>
    <row r="1358" spans="1:27" x14ac:dyDescent="0.25">
      <c r="A1358">
        <v>10270</v>
      </c>
      <c r="B1358">
        <v>44</v>
      </c>
      <c r="C1358">
        <v>5836</v>
      </c>
      <c r="D1358">
        <f>PRODUCT(sales_data_sample[[#This Row],[QUANTITYORDERED]],sales_data_sample[[#This Row],[PRICEEACH]])</f>
        <v>256784</v>
      </c>
      <c r="E1358" s="9">
        <f>IF(OR(sales_data_sample[[#This Row],[STATUS]]="Shipped",sales_data_sample[[#This Row],[STATUS]]="Resolved"),sales_data_sample[[#This Row],[SALES]],0)</f>
        <v>256784</v>
      </c>
      <c r="F1358">
        <v>7</v>
      </c>
      <c r="G1358" s="12" t="s">
        <v>336</v>
      </c>
      <c r="H1358" s="1" t="s">
        <v>26</v>
      </c>
      <c r="I1358">
        <v>3</v>
      </c>
      <c r="J1358">
        <v>7</v>
      </c>
      <c r="K1358">
        <v>2004</v>
      </c>
      <c r="L1358" s="1" t="s">
        <v>799</v>
      </c>
      <c r="M1358">
        <v>50</v>
      </c>
      <c r="N1358" s="1" t="s">
        <v>945</v>
      </c>
      <c r="O1358" s="1" t="s">
        <v>201</v>
      </c>
      <c r="P1358" s="1" t="s">
        <v>202</v>
      </c>
      <c r="Q1358" s="1" t="s">
        <v>203</v>
      </c>
      <c r="R1358" s="1" t="s">
        <v>204</v>
      </c>
      <c r="S1358" s="1" t="s">
        <v>205</v>
      </c>
      <c r="T1358" s="1" t="s">
        <v>206</v>
      </c>
      <c r="U1358" s="1" t="s">
        <v>207</v>
      </c>
      <c r="V1358" s="1" t="s">
        <v>120</v>
      </c>
      <c r="W1358" s="1" t="s">
        <v>121</v>
      </c>
      <c r="X1358" s="1" t="s">
        <v>208</v>
      </c>
      <c r="Y1358" s="1" t="s">
        <v>209</v>
      </c>
      <c r="Z1358" s="1" t="str">
        <f>TRIM(_xlfn.CONCAT(sales_data_sample[[#This Row],[CONTACTFIRSTNAME]],", ",sales_data_sample[[#This Row],[CONTACTLASTNAME]]))</f>
        <v>Adrian, Huxley</v>
      </c>
      <c r="AA1358" s="1" t="s">
        <v>40</v>
      </c>
    </row>
    <row r="1359" spans="1:27" x14ac:dyDescent="0.25">
      <c r="A1359" s="10">
        <v>10281</v>
      </c>
      <c r="B1359" s="9">
        <v>44</v>
      </c>
      <c r="C1359" s="9">
        <v>5987</v>
      </c>
      <c r="D1359" s="9">
        <f>PRODUCT(sales_data_sample[[#This Row],[QUANTITYORDERED]],sales_data_sample[[#This Row],[PRICEEACH]])</f>
        <v>263428</v>
      </c>
      <c r="E1359" s="9">
        <f>IF(OR(sales_data_sample[[#This Row],[STATUS]]="Shipped",sales_data_sample[[#This Row],[STATUS]]="Resolved"),sales_data_sample[[#This Row],[SALES]],0)</f>
        <v>263428</v>
      </c>
      <c r="F1359" s="10">
        <v>14</v>
      </c>
      <c r="G1359" s="12" t="s">
        <v>585</v>
      </c>
      <c r="H1359" s="1" t="s">
        <v>26</v>
      </c>
      <c r="I1359">
        <v>3</v>
      </c>
      <c r="J1359">
        <v>8</v>
      </c>
      <c r="K1359">
        <v>2004</v>
      </c>
      <c r="L1359" s="1" t="s">
        <v>799</v>
      </c>
      <c r="M1359">
        <v>50</v>
      </c>
      <c r="N1359" s="1" t="s">
        <v>945</v>
      </c>
      <c r="O1359" s="1" t="s">
        <v>182</v>
      </c>
      <c r="P1359" s="1" t="s">
        <v>183</v>
      </c>
      <c r="Q1359" s="1" t="s">
        <v>184</v>
      </c>
      <c r="R1359" s="1" t="s">
        <v>32</v>
      </c>
      <c r="S1359" s="1" t="s">
        <v>185</v>
      </c>
      <c r="T1359" s="1" t="s">
        <v>186</v>
      </c>
      <c r="U1359" s="1" t="s">
        <v>187</v>
      </c>
      <c r="V1359" s="1" t="s">
        <v>36</v>
      </c>
      <c r="W1359" s="1" t="s">
        <v>37</v>
      </c>
      <c r="X1359" s="1" t="s">
        <v>38</v>
      </c>
      <c r="Y1359" s="1" t="s">
        <v>188</v>
      </c>
      <c r="Z1359" s="1" t="str">
        <f>TRIM(_xlfn.CONCAT(sales_data_sample[[#This Row],[CONTACTFIRSTNAME]],", ",sales_data_sample[[#This Row],[CONTACTLASTNAME]]))</f>
        <v>Kyung, Yu</v>
      </c>
      <c r="AA1359" s="1" t="s">
        <v>40</v>
      </c>
    </row>
    <row r="1360" spans="1:27" x14ac:dyDescent="0.25">
      <c r="A1360" s="10">
        <v>10291</v>
      </c>
      <c r="B1360" s="9">
        <v>29</v>
      </c>
      <c r="C1360" s="9">
        <v>5182</v>
      </c>
      <c r="D1360" s="9">
        <f>PRODUCT(sales_data_sample[[#This Row],[QUANTITYORDERED]],sales_data_sample[[#This Row],[PRICEEACH]])</f>
        <v>150278</v>
      </c>
      <c r="E1360" s="9">
        <f>IF(OR(sales_data_sample[[#This Row],[STATUS]]="Shipped",sales_data_sample[[#This Row],[STATUS]]="Resolved"),sales_data_sample[[#This Row],[SALES]],0)</f>
        <v>150278</v>
      </c>
      <c r="F1360" s="10">
        <v>9</v>
      </c>
      <c r="G1360" s="12" t="s">
        <v>346</v>
      </c>
      <c r="H1360" s="1" t="s">
        <v>26</v>
      </c>
      <c r="I1360">
        <v>3</v>
      </c>
      <c r="J1360">
        <v>9</v>
      </c>
      <c r="K1360">
        <v>2004</v>
      </c>
      <c r="L1360" s="1" t="s">
        <v>799</v>
      </c>
      <c r="M1360">
        <v>50</v>
      </c>
      <c r="N1360" s="1" t="s">
        <v>945</v>
      </c>
      <c r="O1360" s="1" t="s">
        <v>347</v>
      </c>
      <c r="P1360" s="1" t="s">
        <v>348</v>
      </c>
      <c r="Q1360" s="1" t="s">
        <v>349</v>
      </c>
      <c r="R1360" s="1" t="s">
        <v>32</v>
      </c>
      <c r="S1360" s="1" t="s">
        <v>350</v>
      </c>
      <c r="T1360" s="1" t="s">
        <v>32</v>
      </c>
      <c r="U1360" s="1" t="s">
        <v>351</v>
      </c>
      <c r="V1360" s="1" t="s">
        <v>247</v>
      </c>
      <c r="W1360" s="1" t="s">
        <v>48</v>
      </c>
      <c r="X1360" s="1" t="s">
        <v>352</v>
      </c>
      <c r="Y1360" s="1" t="s">
        <v>272</v>
      </c>
      <c r="Z1360" s="1" t="str">
        <f>TRIM(_xlfn.CONCAT(sales_data_sample[[#This Row],[CONTACTFIRSTNAME]],", ",sales_data_sample[[#This Row],[CONTACTLASTNAME]]))</f>
        <v>Maria, Larsson</v>
      </c>
      <c r="AA1360" s="1" t="s">
        <v>40</v>
      </c>
    </row>
    <row r="1361" spans="1:27" x14ac:dyDescent="0.25">
      <c r="A1361" s="10">
        <v>10304</v>
      </c>
      <c r="B1361" s="9">
        <v>34</v>
      </c>
      <c r="C1361" s="9">
        <v>493</v>
      </c>
      <c r="D1361" s="9">
        <f>PRODUCT(sales_data_sample[[#This Row],[QUANTITYORDERED]],sales_data_sample[[#This Row],[PRICEEACH]])</f>
        <v>16762</v>
      </c>
      <c r="E1361" s="9">
        <f>IF(OR(sales_data_sample[[#This Row],[STATUS]]="Shipped",sales_data_sample[[#This Row],[STATUS]]="Resolved"),sales_data_sample[[#This Row],[SALES]],0)</f>
        <v>16762</v>
      </c>
      <c r="F1361" s="10">
        <v>4</v>
      </c>
      <c r="G1361" s="12" t="s">
        <v>353</v>
      </c>
      <c r="H1361" s="1" t="s">
        <v>26</v>
      </c>
      <c r="I1361">
        <v>4</v>
      </c>
      <c r="J1361">
        <v>10</v>
      </c>
      <c r="K1361">
        <v>2004</v>
      </c>
      <c r="L1361" s="1" t="s">
        <v>799</v>
      </c>
      <c r="M1361">
        <v>50</v>
      </c>
      <c r="N1361" s="1" t="s">
        <v>945</v>
      </c>
      <c r="O1361" s="1" t="s">
        <v>354</v>
      </c>
      <c r="P1361" s="1" t="s">
        <v>355</v>
      </c>
      <c r="Q1361" s="1" t="s">
        <v>356</v>
      </c>
      <c r="R1361" s="1" t="s">
        <v>32</v>
      </c>
      <c r="S1361" s="1" t="s">
        <v>357</v>
      </c>
      <c r="T1361" s="1" t="s">
        <v>32</v>
      </c>
      <c r="U1361" s="1" t="s">
        <v>358</v>
      </c>
      <c r="V1361" s="1" t="s">
        <v>47</v>
      </c>
      <c r="W1361" s="1" t="s">
        <v>48</v>
      </c>
      <c r="X1361" s="1" t="s">
        <v>359</v>
      </c>
      <c r="Y1361" s="1" t="s">
        <v>58</v>
      </c>
      <c r="Z1361" s="1" t="str">
        <f>TRIM(_xlfn.CONCAT(sales_data_sample[[#This Row],[CONTACTFIRSTNAME]],", ",sales_data_sample[[#This Row],[CONTACTLASTNAME]]))</f>
        <v>Daniel, Tonini</v>
      </c>
      <c r="AA1361" s="1" t="s">
        <v>40</v>
      </c>
    </row>
    <row r="1362" spans="1:27" x14ac:dyDescent="0.25">
      <c r="A1362" s="10">
        <v>10312</v>
      </c>
      <c r="B1362" s="9">
        <v>39</v>
      </c>
      <c r="C1362" s="9">
        <v>5685</v>
      </c>
      <c r="D1362" s="9">
        <f>PRODUCT(sales_data_sample[[#This Row],[QUANTITYORDERED]],sales_data_sample[[#This Row],[PRICEEACH]])</f>
        <v>221715</v>
      </c>
      <c r="E1362" s="9">
        <f>IF(OR(sales_data_sample[[#This Row],[STATUS]]="Shipped",sales_data_sample[[#This Row],[STATUS]]="Resolved"),sales_data_sample[[#This Row],[SALES]],0)</f>
        <v>221715</v>
      </c>
      <c r="F1362" s="10">
        <v>1</v>
      </c>
      <c r="G1362" s="12" t="s">
        <v>360</v>
      </c>
      <c r="H1362" s="1" t="s">
        <v>26</v>
      </c>
      <c r="I1362">
        <v>4</v>
      </c>
      <c r="J1362">
        <v>10</v>
      </c>
      <c r="K1362">
        <v>2004</v>
      </c>
      <c r="L1362" s="1" t="s">
        <v>799</v>
      </c>
      <c r="M1362">
        <v>50</v>
      </c>
      <c r="N1362" s="1" t="s">
        <v>945</v>
      </c>
      <c r="O1362" s="1" t="s">
        <v>361</v>
      </c>
      <c r="P1362" s="1" t="s">
        <v>362</v>
      </c>
      <c r="Q1362" s="1" t="s">
        <v>363</v>
      </c>
      <c r="R1362" s="1" t="s">
        <v>32</v>
      </c>
      <c r="S1362" s="1" t="s">
        <v>364</v>
      </c>
      <c r="T1362" s="1" t="s">
        <v>65</v>
      </c>
      <c r="U1362" s="1" t="s">
        <v>145</v>
      </c>
      <c r="V1362" s="1" t="s">
        <v>36</v>
      </c>
      <c r="W1362" s="1" t="s">
        <v>37</v>
      </c>
      <c r="X1362" s="1" t="s">
        <v>365</v>
      </c>
      <c r="Y1362" s="1" t="s">
        <v>366</v>
      </c>
      <c r="Z1362" s="1" t="str">
        <f>TRIM(_xlfn.CONCAT(sales_data_sample[[#This Row],[CONTACTFIRSTNAME]],", ",sales_data_sample[[#This Row],[CONTACTLASTNAME]]))</f>
        <v>Valarie, Nelson</v>
      </c>
      <c r="AA1362" s="1" t="s">
        <v>40</v>
      </c>
    </row>
    <row r="1363" spans="1:27" x14ac:dyDescent="0.25">
      <c r="A1363">
        <v>10324</v>
      </c>
      <c r="B1363">
        <v>38</v>
      </c>
      <c r="C1363">
        <v>100</v>
      </c>
      <c r="D1363">
        <f>PRODUCT(sales_data_sample[[#This Row],[QUANTITYORDERED]],sales_data_sample[[#This Row],[PRICEEACH]])</f>
        <v>3800</v>
      </c>
      <c r="E1363" s="9">
        <f>IF(OR(sales_data_sample[[#This Row],[STATUS]]="Shipped",sales_data_sample[[#This Row],[STATUS]]="Resolved"),sales_data_sample[[#This Row],[SALES]],0)</f>
        <v>3800</v>
      </c>
      <c r="F1363">
        <v>6</v>
      </c>
      <c r="G1363" s="12" t="s">
        <v>532</v>
      </c>
      <c r="H1363" s="1" t="s">
        <v>26</v>
      </c>
      <c r="I1363">
        <v>4</v>
      </c>
      <c r="J1363">
        <v>11</v>
      </c>
      <c r="K1363">
        <v>2004</v>
      </c>
      <c r="L1363" s="1" t="s">
        <v>799</v>
      </c>
      <c r="M1363">
        <v>50</v>
      </c>
      <c r="N1363" s="1" t="s">
        <v>945</v>
      </c>
      <c r="O1363" s="1" t="s">
        <v>125</v>
      </c>
      <c r="P1363" s="1" t="s">
        <v>126</v>
      </c>
      <c r="Q1363" s="1" t="s">
        <v>127</v>
      </c>
      <c r="R1363" s="1" t="s">
        <v>128</v>
      </c>
      <c r="S1363" s="1" t="s">
        <v>33</v>
      </c>
      <c r="T1363" s="1" t="s">
        <v>34</v>
      </c>
      <c r="U1363" s="1" t="s">
        <v>35</v>
      </c>
      <c r="V1363" s="1" t="s">
        <v>36</v>
      </c>
      <c r="W1363" s="1" t="s">
        <v>37</v>
      </c>
      <c r="X1363" s="1" t="s">
        <v>129</v>
      </c>
      <c r="Y1363" s="1" t="s">
        <v>130</v>
      </c>
      <c r="Z1363" s="1" t="str">
        <f>TRIM(_xlfn.CONCAT(sales_data_sample[[#This Row],[CONTACTFIRSTNAME]],", ",sales_data_sample[[#This Row],[CONTACTLASTNAME]]))</f>
        <v>Michael, Frick</v>
      </c>
      <c r="AA1363" s="1" t="s">
        <v>59</v>
      </c>
    </row>
    <row r="1364" spans="1:27" x14ac:dyDescent="0.25">
      <c r="A1364" s="10">
        <v>10333</v>
      </c>
      <c r="B1364" s="9">
        <v>24</v>
      </c>
      <c r="C1364" s="9">
        <v>7986</v>
      </c>
      <c r="D1364" s="9">
        <f>PRODUCT(sales_data_sample[[#This Row],[QUANTITYORDERED]],sales_data_sample[[#This Row],[PRICEEACH]])</f>
        <v>191664</v>
      </c>
      <c r="E1364" s="9">
        <f>IF(OR(sales_data_sample[[#This Row],[STATUS]]="Shipped",sales_data_sample[[#This Row],[STATUS]]="Resolved"),sales_data_sample[[#This Row],[SALES]],0)</f>
        <v>191664</v>
      </c>
      <c r="F1364" s="10">
        <v>8</v>
      </c>
      <c r="G1364" s="12" t="s">
        <v>374</v>
      </c>
      <c r="H1364" s="1" t="s">
        <v>26</v>
      </c>
      <c r="I1364">
        <v>4</v>
      </c>
      <c r="J1364">
        <v>11</v>
      </c>
      <c r="K1364">
        <v>2004</v>
      </c>
      <c r="L1364" s="1" t="s">
        <v>799</v>
      </c>
      <c r="M1364">
        <v>50</v>
      </c>
      <c r="N1364" s="1" t="s">
        <v>945</v>
      </c>
      <c r="O1364" s="1" t="s">
        <v>101</v>
      </c>
      <c r="P1364" s="1" t="s">
        <v>102</v>
      </c>
      <c r="Q1364" s="1" t="s">
        <v>103</v>
      </c>
      <c r="R1364" s="1" t="s">
        <v>32</v>
      </c>
      <c r="S1364" s="1" t="s">
        <v>73</v>
      </c>
      <c r="T1364" s="1" t="s">
        <v>65</v>
      </c>
      <c r="U1364" s="1" t="s">
        <v>32</v>
      </c>
      <c r="V1364" s="1" t="s">
        <v>36</v>
      </c>
      <c r="W1364" s="1" t="s">
        <v>37</v>
      </c>
      <c r="X1364" s="1" t="s">
        <v>104</v>
      </c>
      <c r="Y1364" s="1" t="s">
        <v>68</v>
      </c>
      <c r="Z1364" s="1" t="str">
        <f>TRIM(_xlfn.CONCAT(sales_data_sample[[#This Row],[CONTACTFIRSTNAME]],", ",sales_data_sample[[#This Row],[CONTACTLASTNAME]]))</f>
        <v>Julie, Murphy</v>
      </c>
      <c r="AA1364" s="1" t="s">
        <v>40</v>
      </c>
    </row>
    <row r="1365" spans="1:27" x14ac:dyDescent="0.25">
      <c r="A1365" s="10">
        <v>10348</v>
      </c>
      <c r="B1365" s="9">
        <v>29</v>
      </c>
      <c r="C1365" s="9">
        <v>100</v>
      </c>
      <c r="D1365" s="9">
        <f>PRODUCT(sales_data_sample[[#This Row],[QUANTITYORDERED]],sales_data_sample[[#This Row],[PRICEEACH]])</f>
        <v>2900</v>
      </c>
      <c r="E1365" s="9">
        <f>IF(OR(sales_data_sample[[#This Row],[STATUS]]="Shipped",sales_data_sample[[#This Row],[STATUS]]="Resolved"),sales_data_sample[[#This Row],[SALES]],0)</f>
        <v>2900</v>
      </c>
      <c r="F1365" s="10">
        <v>6</v>
      </c>
      <c r="G1365" s="12" t="s">
        <v>523</v>
      </c>
      <c r="H1365" s="1" t="s">
        <v>26</v>
      </c>
      <c r="I1365">
        <v>4</v>
      </c>
      <c r="J1365">
        <v>11</v>
      </c>
      <c r="K1365">
        <v>2004</v>
      </c>
      <c r="L1365" s="1" t="s">
        <v>799</v>
      </c>
      <c r="M1365">
        <v>50</v>
      </c>
      <c r="N1365" s="1" t="s">
        <v>945</v>
      </c>
      <c r="O1365" s="1" t="s">
        <v>251</v>
      </c>
      <c r="P1365" s="1" t="s">
        <v>252</v>
      </c>
      <c r="Q1365" s="1" t="s">
        <v>253</v>
      </c>
      <c r="R1365" s="1" t="s">
        <v>32</v>
      </c>
      <c r="S1365" s="1" t="s">
        <v>233</v>
      </c>
      <c r="T1365" s="1" t="s">
        <v>32</v>
      </c>
      <c r="U1365" s="1" t="s">
        <v>254</v>
      </c>
      <c r="V1365" s="1" t="s">
        <v>235</v>
      </c>
      <c r="W1365" s="1" t="s">
        <v>48</v>
      </c>
      <c r="X1365" s="1" t="s">
        <v>255</v>
      </c>
      <c r="Y1365" s="1" t="s">
        <v>256</v>
      </c>
      <c r="Z1365" s="1" t="str">
        <f>TRIM(_xlfn.CONCAT(sales_data_sample[[#This Row],[CONTACTFIRSTNAME]],", ",sales_data_sample[[#This Row],[CONTACTLASTNAME]]))</f>
        <v>Mart¡n, Sommer</v>
      </c>
      <c r="AA1365" s="1" t="s">
        <v>199</v>
      </c>
    </row>
    <row r="1366" spans="1:27" x14ac:dyDescent="0.25">
      <c r="A1366" s="10">
        <v>10358</v>
      </c>
      <c r="B1366" s="9">
        <v>30</v>
      </c>
      <c r="C1366" s="9">
        <v>100</v>
      </c>
      <c r="D1366" s="9">
        <f>PRODUCT(sales_data_sample[[#This Row],[QUANTITYORDERED]],sales_data_sample[[#This Row],[PRICEEACH]])</f>
        <v>3000</v>
      </c>
      <c r="E1366" s="9">
        <f>IF(OR(sales_data_sample[[#This Row],[STATUS]]="Shipped",sales_data_sample[[#This Row],[STATUS]]="Resolved"),sales_data_sample[[#This Row],[SALES]],0)</f>
        <v>3000</v>
      </c>
      <c r="F1366" s="10">
        <v>8</v>
      </c>
      <c r="G1366" s="12" t="s">
        <v>376</v>
      </c>
      <c r="H1366" s="1" t="s">
        <v>26</v>
      </c>
      <c r="I1366">
        <v>4</v>
      </c>
      <c r="J1366">
        <v>12</v>
      </c>
      <c r="K1366">
        <v>2004</v>
      </c>
      <c r="L1366" s="1" t="s">
        <v>799</v>
      </c>
      <c r="M1366">
        <v>50</v>
      </c>
      <c r="N1366" s="1" t="s">
        <v>945</v>
      </c>
      <c r="O1366" s="1" t="s">
        <v>230</v>
      </c>
      <c r="P1366" s="1" t="s">
        <v>231</v>
      </c>
      <c r="Q1366" s="1" t="s">
        <v>232</v>
      </c>
      <c r="R1366" s="1" t="s">
        <v>32</v>
      </c>
      <c r="S1366" s="1" t="s">
        <v>233</v>
      </c>
      <c r="T1366" s="1" t="s">
        <v>32</v>
      </c>
      <c r="U1366" s="1" t="s">
        <v>234</v>
      </c>
      <c r="V1366" s="1" t="s">
        <v>235</v>
      </c>
      <c r="W1366" s="1" t="s">
        <v>48</v>
      </c>
      <c r="X1366" s="1" t="s">
        <v>236</v>
      </c>
      <c r="Y1366" s="1" t="s">
        <v>237</v>
      </c>
      <c r="Z1366" s="1" t="str">
        <f>TRIM(_xlfn.CONCAT(sales_data_sample[[#This Row],[CONTACTFIRSTNAME]],", ",sales_data_sample[[#This Row],[CONTACTLASTNAME]]))</f>
        <v>Diego, Freyre</v>
      </c>
      <c r="AA1366" s="1" t="s">
        <v>59</v>
      </c>
    </row>
    <row r="1367" spans="1:27" x14ac:dyDescent="0.25">
      <c r="A1367">
        <v>10370</v>
      </c>
      <c r="B1367">
        <v>20</v>
      </c>
      <c r="C1367">
        <v>100</v>
      </c>
      <c r="D1367">
        <f>PRODUCT(sales_data_sample[[#This Row],[QUANTITYORDERED]],sales_data_sample[[#This Row],[PRICEEACH]])</f>
        <v>2000</v>
      </c>
      <c r="E1367" s="9">
        <f>IF(OR(sales_data_sample[[#This Row],[STATUS]]="Shipped",sales_data_sample[[#This Row],[STATUS]]="Resolved"),sales_data_sample[[#This Row],[SALES]],0)</f>
        <v>2000</v>
      </c>
      <c r="F1367">
        <v>2</v>
      </c>
      <c r="G1367" s="12" t="s">
        <v>377</v>
      </c>
      <c r="H1367" s="1" t="s">
        <v>26</v>
      </c>
      <c r="I1367">
        <v>1</v>
      </c>
      <c r="J1367">
        <v>1</v>
      </c>
      <c r="K1367">
        <v>2005</v>
      </c>
      <c r="L1367" s="1" t="s">
        <v>799</v>
      </c>
      <c r="M1367">
        <v>50</v>
      </c>
      <c r="N1367" s="1" t="s">
        <v>945</v>
      </c>
      <c r="O1367" s="1" t="s">
        <v>385</v>
      </c>
      <c r="P1367" s="1" t="s">
        <v>386</v>
      </c>
      <c r="Q1367" s="1" t="s">
        <v>387</v>
      </c>
      <c r="R1367" s="1" t="s">
        <v>388</v>
      </c>
      <c r="S1367" s="1" t="s">
        <v>389</v>
      </c>
      <c r="T1367" s="1" t="s">
        <v>206</v>
      </c>
      <c r="U1367" s="1" t="s">
        <v>390</v>
      </c>
      <c r="V1367" s="1" t="s">
        <v>120</v>
      </c>
      <c r="W1367" s="1" t="s">
        <v>121</v>
      </c>
      <c r="X1367" s="1" t="s">
        <v>391</v>
      </c>
      <c r="Y1367" s="1" t="s">
        <v>392</v>
      </c>
      <c r="Z1367" s="1" t="str">
        <f>TRIM(_xlfn.CONCAT(sales_data_sample[[#This Row],[CONTACTFIRSTNAME]],", ",sales_data_sample[[#This Row],[CONTACTLASTNAME]]))</f>
        <v>Anna, O'Hara</v>
      </c>
      <c r="AA1367" s="1" t="s">
        <v>40</v>
      </c>
    </row>
    <row r="1368" spans="1:27" x14ac:dyDescent="0.25">
      <c r="A1368" s="10">
        <v>10382</v>
      </c>
      <c r="B1368" s="9">
        <v>39</v>
      </c>
      <c r="C1368" s="9">
        <v>100</v>
      </c>
      <c r="D1368" s="9">
        <f>PRODUCT(sales_data_sample[[#This Row],[QUANTITYORDERED]],sales_data_sample[[#This Row],[PRICEEACH]])</f>
        <v>3900</v>
      </c>
      <c r="E1368" s="9">
        <f>IF(OR(sales_data_sample[[#This Row],[STATUS]]="Shipped",sales_data_sample[[#This Row],[STATUS]]="Resolved"),sales_data_sample[[#This Row],[SALES]],0)</f>
        <v>3900</v>
      </c>
      <c r="F1368" s="10">
        <v>2</v>
      </c>
      <c r="G1368" s="12" t="s">
        <v>383</v>
      </c>
      <c r="H1368" s="1" t="s">
        <v>26</v>
      </c>
      <c r="I1368">
        <v>1</v>
      </c>
      <c r="J1368">
        <v>2</v>
      </c>
      <c r="K1368">
        <v>2005</v>
      </c>
      <c r="L1368" s="1" t="s">
        <v>799</v>
      </c>
      <c r="M1368">
        <v>50</v>
      </c>
      <c r="N1368" s="1" t="s">
        <v>945</v>
      </c>
      <c r="O1368" s="1" t="s">
        <v>361</v>
      </c>
      <c r="P1368" s="1" t="s">
        <v>362</v>
      </c>
      <c r="Q1368" s="1" t="s">
        <v>363</v>
      </c>
      <c r="R1368" s="1" t="s">
        <v>32</v>
      </c>
      <c r="S1368" s="1" t="s">
        <v>364</v>
      </c>
      <c r="T1368" s="1" t="s">
        <v>65</v>
      </c>
      <c r="U1368" s="1" t="s">
        <v>145</v>
      </c>
      <c r="V1368" s="1" t="s">
        <v>36</v>
      </c>
      <c r="W1368" s="1" t="s">
        <v>37</v>
      </c>
      <c r="X1368" s="1" t="s">
        <v>365</v>
      </c>
      <c r="Y1368" s="1" t="s">
        <v>366</v>
      </c>
      <c r="Z1368" s="1" t="str">
        <f>TRIM(_xlfn.CONCAT(sales_data_sample[[#This Row],[CONTACTFIRSTNAME]],", ",sales_data_sample[[#This Row],[CONTACTLASTNAME]]))</f>
        <v>Valarie, Nelson</v>
      </c>
      <c r="AA1368" s="1" t="s">
        <v>199</v>
      </c>
    </row>
    <row r="1369" spans="1:27" x14ac:dyDescent="0.25">
      <c r="A1369" s="10">
        <v>10411</v>
      </c>
      <c r="B1369" s="9">
        <v>35</v>
      </c>
      <c r="C1369" s="9">
        <v>5987</v>
      </c>
      <c r="D1369" s="9">
        <f>PRODUCT(sales_data_sample[[#This Row],[QUANTITYORDERED]],sales_data_sample[[#This Row],[PRICEEACH]])</f>
        <v>209545</v>
      </c>
      <c r="E1369" s="9">
        <f>IF(OR(sales_data_sample[[#This Row],[STATUS]]="Shipped",sales_data_sample[[#This Row],[STATUS]]="Resolved"),sales_data_sample[[#This Row],[SALES]],0)</f>
        <v>209545</v>
      </c>
      <c r="F1369" s="10">
        <v>7</v>
      </c>
      <c r="G1369" s="12" t="s">
        <v>393</v>
      </c>
      <c r="H1369" s="1" t="s">
        <v>26</v>
      </c>
      <c r="I1369">
        <v>2</v>
      </c>
      <c r="J1369">
        <v>5</v>
      </c>
      <c r="K1369">
        <v>2005</v>
      </c>
      <c r="L1369" s="1" t="s">
        <v>799</v>
      </c>
      <c r="M1369">
        <v>50</v>
      </c>
      <c r="N1369" s="1" t="s">
        <v>945</v>
      </c>
      <c r="O1369" s="1" t="s">
        <v>394</v>
      </c>
      <c r="P1369" s="1" t="s">
        <v>395</v>
      </c>
      <c r="Q1369" s="1" t="s">
        <v>396</v>
      </c>
      <c r="R1369" s="1" t="s">
        <v>32</v>
      </c>
      <c r="S1369" s="1" t="s">
        <v>397</v>
      </c>
      <c r="T1369" s="1" t="s">
        <v>398</v>
      </c>
      <c r="U1369" s="1" t="s">
        <v>399</v>
      </c>
      <c r="V1369" s="1" t="s">
        <v>305</v>
      </c>
      <c r="W1369" s="1" t="s">
        <v>37</v>
      </c>
      <c r="X1369" s="1" t="s">
        <v>400</v>
      </c>
      <c r="Y1369" s="1" t="s">
        <v>401</v>
      </c>
      <c r="Z1369" s="1" t="str">
        <f>TRIM(_xlfn.CONCAT(sales_data_sample[[#This Row],[CONTACTFIRSTNAME]],", ",sales_data_sample[[#This Row],[CONTACTLASTNAME]]))</f>
        <v>Jean, Fresnisre</v>
      </c>
      <c r="AA1369" s="1" t="s">
        <v>40</v>
      </c>
    </row>
    <row r="1370" spans="1:27" x14ac:dyDescent="0.25">
      <c r="A1370" s="10">
        <v>10424</v>
      </c>
      <c r="B1370" s="9">
        <v>26</v>
      </c>
      <c r="C1370" s="9">
        <v>5987</v>
      </c>
      <c r="D1370" s="9">
        <f>PRODUCT(sales_data_sample[[#This Row],[QUANTITYORDERED]],sales_data_sample[[#This Row],[PRICEEACH]])</f>
        <v>155662</v>
      </c>
      <c r="E1370" s="9">
        <f>IF(OR(sales_data_sample[[#This Row],[STATUS]]="Shipped",sales_data_sample[[#This Row],[STATUS]]="Resolved"),sales_data_sample[[#This Row],[SALES]],0)</f>
        <v>0</v>
      </c>
      <c r="F1370" s="10">
        <v>4</v>
      </c>
      <c r="G1370" s="12" t="s">
        <v>402</v>
      </c>
      <c r="H1370" s="1" t="s">
        <v>403</v>
      </c>
      <c r="I1370">
        <v>2</v>
      </c>
      <c r="J1370">
        <v>5</v>
      </c>
      <c r="K1370">
        <v>2005</v>
      </c>
      <c r="L1370" s="1" t="s">
        <v>799</v>
      </c>
      <c r="M1370">
        <v>50</v>
      </c>
      <c r="N1370" s="1" t="s">
        <v>945</v>
      </c>
      <c r="O1370" s="1" t="s">
        <v>230</v>
      </c>
      <c r="P1370" s="1" t="s">
        <v>231</v>
      </c>
      <c r="Q1370" s="1" t="s">
        <v>232</v>
      </c>
      <c r="R1370" s="1" t="s">
        <v>32</v>
      </c>
      <c r="S1370" s="1" t="s">
        <v>233</v>
      </c>
      <c r="T1370" s="1" t="s">
        <v>32</v>
      </c>
      <c r="U1370" s="1" t="s">
        <v>234</v>
      </c>
      <c r="V1370" s="1" t="s">
        <v>235</v>
      </c>
      <c r="W1370" s="1" t="s">
        <v>48</v>
      </c>
      <c r="X1370" s="1" t="s">
        <v>236</v>
      </c>
      <c r="Y1370" s="1" t="s">
        <v>237</v>
      </c>
      <c r="Z1370" s="1" t="str">
        <f>TRIM(_xlfn.CONCAT(sales_data_sample[[#This Row],[CONTACTFIRSTNAME]],", ",sales_data_sample[[#This Row],[CONTACTLASTNAME]]))</f>
        <v>Diego, Freyre</v>
      </c>
      <c r="AA1370" s="1" t="s">
        <v>40</v>
      </c>
    </row>
    <row r="1371" spans="1:27" x14ac:dyDescent="0.25">
      <c r="A1371" s="10">
        <v>10108</v>
      </c>
      <c r="B1371" s="9">
        <v>44</v>
      </c>
      <c r="C1371" s="9">
        <v>100</v>
      </c>
      <c r="D1371" s="9">
        <f>PRODUCT(sales_data_sample[[#This Row],[QUANTITYORDERED]],sales_data_sample[[#This Row],[PRICEEACH]])</f>
        <v>4400</v>
      </c>
      <c r="E1371" s="9">
        <f>IF(OR(sales_data_sample[[#This Row],[STATUS]]="Shipped",sales_data_sample[[#This Row],[STATUS]]="Resolved"),sales_data_sample[[#This Row],[SALES]],0)</f>
        <v>4400</v>
      </c>
      <c r="F1371" s="10">
        <v>11</v>
      </c>
      <c r="G1371" s="12" t="s">
        <v>589</v>
      </c>
      <c r="H1371" s="1" t="s">
        <v>26</v>
      </c>
      <c r="I1371">
        <v>1</v>
      </c>
      <c r="J1371">
        <v>3</v>
      </c>
      <c r="K1371">
        <v>2003</v>
      </c>
      <c r="L1371" s="1" t="s">
        <v>239</v>
      </c>
      <c r="M1371">
        <v>148</v>
      </c>
      <c r="N1371" s="1" t="s">
        <v>946</v>
      </c>
      <c r="O1371" s="1" t="s">
        <v>591</v>
      </c>
      <c r="P1371" s="1" t="s">
        <v>592</v>
      </c>
      <c r="Q1371" s="1" t="s">
        <v>593</v>
      </c>
      <c r="R1371" s="1" t="s">
        <v>32</v>
      </c>
      <c r="S1371" s="1" t="s">
        <v>594</v>
      </c>
      <c r="T1371" s="1" t="s">
        <v>32</v>
      </c>
      <c r="U1371" s="1" t="s">
        <v>595</v>
      </c>
      <c r="V1371" s="1" t="s">
        <v>596</v>
      </c>
      <c r="W1371" s="1" t="s">
        <v>264</v>
      </c>
      <c r="X1371" s="1" t="s">
        <v>597</v>
      </c>
      <c r="Y1371" s="1" t="s">
        <v>598</v>
      </c>
      <c r="Z1371" s="1" t="str">
        <f>TRIM(_xlfn.CONCAT(sales_data_sample[[#This Row],[CONTACTFIRSTNAME]],", ",sales_data_sample[[#This Row],[CONTACTLASTNAME]]))</f>
        <v>Arnold, Cruz</v>
      </c>
      <c r="AA1371" s="1" t="s">
        <v>59</v>
      </c>
    </row>
    <row r="1372" spans="1:27" x14ac:dyDescent="0.25">
      <c r="A1372" s="10">
        <v>10122</v>
      </c>
      <c r="B1372" s="9">
        <v>28</v>
      </c>
      <c r="C1372" s="9">
        <v>100</v>
      </c>
      <c r="D1372" s="9">
        <f>PRODUCT(sales_data_sample[[#This Row],[QUANTITYORDERED]],sales_data_sample[[#This Row],[PRICEEACH]])</f>
        <v>2800</v>
      </c>
      <c r="E1372" s="9">
        <f>IF(OR(sales_data_sample[[#This Row],[STATUS]]="Shipped",sales_data_sample[[#This Row],[STATUS]]="Resolved"),sales_data_sample[[#This Row],[SALES]],0)</f>
        <v>2800</v>
      </c>
      <c r="F1372" s="10">
        <v>15</v>
      </c>
      <c r="G1372" s="12" t="s">
        <v>599</v>
      </c>
      <c r="H1372" s="1" t="s">
        <v>26</v>
      </c>
      <c r="I1372">
        <v>2</v>
      </c>
      <c r="J1372">
        <v>5</v>
      </c>
      <c r="K1372">
        <v>2003</v>
      </c>
      <c r="L1372" s="1" t="s">
        <v>239</v>
      </c>
      <c r="M1372">
        <v>148</v>
      </c>
      <c r="N1372" s="1" t="s">
        <v>946</v>
      </c>
      <c r="O1372" s="1" t="s">
        <v>600</v>
      </c>
      <c r="P1372" s="1" t="s">
        <v>601</v>
      </c>
      <c r="Q1372" s="1" t="s">
        <v>602</v>
      </c>
      <c r="R1372" s="1" t="s">
        <v>32</v>
      </c>
      <c r="S1372" s="1" t="s">
        <v>603</v>
      </c>
      <c r="T1372" s="1" t="s">
        <v>32</v>
      </c>
      <c r="U1372" s="1" t="s">
        <v>604</v>
      </c>
      <c r="V1372" s="1" t="s">
        <v>47</v>
      </c>
      <c r="W1372" s="1" t="s">
        <v>48</v>
      </c>
      <c r="X1372" s="1" t="s">
        <v>605</v>
      </c>
      <c r="Y1372" s="1" t="s">
        <v>606</v>
      </c>
      <c r="Z1372" s="1" t="str">
        <f>TRIM(_xlfn.CONCAT(sales_data_sample[[#This Row],[CONTACTFIRSTNAME]],", ",sales_data_sample[[#This Row],[CONTACTLASTNAME]]))</f>
        <v>Laurence, Lebihan</v>
      </c>
      <c r="AA1372" s="1" t="s">
        <v>59</v>
      </c>
    </row>
    <row r="1373" spans="1:27" x14ac:dyDescent="0.25">
      <c r="A1373" s="10">
        <v>10135</v>
      </c>
      <c r="B1373" s="9">
        <v>31</v>
      </c>
      <c r="C1373" s="9">
        <v>100</v>
      </c>
      <c r="D1373" s="9">
        <f>PRODUCT(sales_data_sample[[#This Row],[QUANTITYORDERED]],sales_data_sample[[#This Row],[PRICEEACH]])</f>
        <v>3100</v>
      </c>
      <c r="E1373" s="9">
        <f>IF(OR(sales_data_sample[[#This Row],[STATUS]]="Shipped",sales_data_sample[[#This Row],[STATUS]]="Resolved"),sales_data_sample[[#This Row],[SALES]],0)</f>
        <v>3100</v>
      </c>
      <c r="F1373" s="10">
        <v>12</v>
      </c>
      <c r="G1373" s="12" t="s">
        <v>607</v>
      </c>
      <c r="H1373" s="1" t="s">
        <v>26</v>
      </c>
      <c r="I1373">
        <v>3</v>
      </c>
      <c r="J1373">
        <v>7</v>
      </c>
      <c r="K1373">
        <v>2003</v>
      </c>
      <c r="L1373" s="1" t="s">
        <v>239</v>
      </c>
      <c r="M1373">
        <v>148</v>
      </c>
      <c r="N1373" s="1" t="s">
        <v>946</v>
      </c>
      <c r="O1373" s="1" t="s">
        <v>361</v>
      </c>
      <c r="P1373" s="1" t="s">
        <v>362</v>
      </c>
      <c r="Q1373" s="1" t="s">
        <v>363</v>
      </c>
      <c r="R1373" s="1" t="s">
        <v>32</v>
      </c>
      <c r="S1373" s="1" t="s">
        <v>364</v>
      </c>
      <c r="T1373" s="1" t="s">
        <v>65</v>
      </c>
      <c r="U1373" s="1" t="s">
        <v>145</v>
      </c>
      <c r="V1373" s="1" t="s">
        <v>36</v>
      </c>
      <c r="W1373" s="1" t="s">
        <v>37</v>
      </c>
      <c r="X1373" s="1" t="s">
        <v>365</v>
      </c>
      <c r="Y1373" s="1" t="s">
        <v>366</v>
      </c>
      <c r="Z1373" s="1" t="str">
        <f>TRIM(_xlfn.CONCAT(sales_data_sample[[#This Row],[CONTACTFIRSTNAME]],", ",sales_data_sample[[#This Row],[CONTACTLASTNAME]]))</f>
        <v>Valarie, Nelson</v>
      </c>
      <c r="AA1373" s="1" t="s">
        <v>59</v>
      </c>
    </row>
    <row r="1374" spans="1:27" x14ac:dyDescent="0.25">
      <c r="A1374" s="10">
        <v>10146</v>
      </c>
      <c r="B1374" s="9">
        <v>29</v>
      </c>
      <c r="C1374" s="9">
        <v>100</v>
      </c>
      <c r="D1374" s="9">
        <f>PRODUCT(sales_data_sample[[#This Row],[QUANTITYORDERED]],sales_data_sample[[#This Row],[PRICEEACH]])</f>
        <v>2900</v>
      </c>
      <c r="E1374" s="9">
        <f>IF(OR(sales_data_sample[[#This Row],[STATUS]]="Shipped",sales_data_sample[[#This Row],[STATUS]]="Resolved"),sales_data_sample[[#This Row],[SALES]],0)</f>
        <v>2900</v>
      </c>
      <c r="F1374" s="10">
        <v>1</v>
      </c>
      <c r="G1374" s="12" t="s">
        <v>931</v>
      </c>
      <c r="H1374" s="1" t="s">
        <v>26</v>
      </c>
      <c r="I1374">
        <v>3</v>
      </c>
      <c r="J1374">
        <v>9</v>
      </c>
      <c r="K1374">
        <v>2003</v>
      </c>
      <c r="L1374" s="1" t="s">
        <v>239</v>
      </c>
      <c r="M1374">
        <v>148</v>
      </c>
      <c r="N1374" s="1" t="s">
        <v>946</v>
      </c>
      <c r="O1374" s="1" t="s">
        <v>842</v>
      </c>
      <c r="P1374" s="1" t="s">
        <v>843</v>
      </c>
      <c r="Q1374" s="1" t="s">
        <v>844</v>
      </c>
      <c r="R1374" s="1" t="s">
        <v>32</v>
      </c>
      <c r="S1374" s="1" t="s">
        <v>734</v>
      </c>
      <c r="T1374" s="1" t="s">
        <v>144</v>
      </c>
      <c r="U1374" s="1" t="s">
        <v>845</v>
      </c>
      <c r="V1374" s="1" t="s">
        <v>36</v>
      </c>
      <c r="W1374" s="1" t="s">
        <v>37</v>
      </c>
      <c r="X1374" s="1" t="s">
        <v>846</v>
      </c>
      <c r="Y1374" s="1" t="s">
        <v>847</v>
      </c>
      <c r="Z1374" s="1" t="str">
        <f>TRIM(_xlfn.CONCAT(sales_data_sample[[#This Row],[CONTACTFIRSTNAME]],", ",sales_data_sample[[#This Row],[CONTACTLASTNAME]]))</f>
        <v>Dan, Lewis</v>
      </c>
      <c r="AA1374" s="1" t="s">
        <v>59</v>
      </c>
    </row>
    <row r="1375" spans="1:27" x14ac:dyDescent="0.25">
      <c r="A1375" s="10">
        <v>10159</v>
      </c>
      <c r="B1375" s="9">
        <v>32</v>
      </c>
      <c r="C1375" s="9">
        <v>100</v>
      </c>
      <c r="D1375" s="9">
        <f>PRODUCT(sales_data_sample[[#This Row],[QUANTITYORDERED]],sales_data_sample[[#This Row],[PRICEEACH]])</f>
        <v>3200</v>
      </c>
      <c r="E1375" s="9">
        <f>IF(OR(sales_data_sample[[#This Row],[STATUS]]="Shipped",sales_data_sample[[#This Row],[STATUS]]="Resolved"),sales_data_sample[[#This Row],[SALES]],0)</f>
        <v>3200</v>
      </c>
      <c r="F1375" s="10">
        <v>7</v>
      </c>
      <c r="G1375" s="12" t="s">
        <v>69</v>
      </c>
      <c r="H1375" s="1" t="s">
        <v>26</v>
      </c>
      <c r="I1375">
        <v>4</v>
      </c>
      <c r="J1375">
        <v>10</v>
      </c>
      <c r="K1375">
        <v>2003</v>
      </c>
      <c r="L1375" s="1" t="s">
        <v>239</v>
      </c>
      <c r="M1375">
        <v>148</v>
      </c>
      <c r="N1375" s="1" t="s">
        <v>946</v>
      </c>
      <c r="O1375" s="1" t="s">
        <v>70</v>
      </c>
      <c r="P1375" s="1" t="s">
        <v>71</v>
      </c>
      <c r="Q1375" s="1" t="s">
        <v>72</v>
      </c>
      <c r="R1375" s="1" t="s">
        <v>32</v>
      </c>
      <c r="S1375" s="1" t="s">
        <v>73</v>
      </c>
      <c r="T1375" s="1" t="s">
        <v>65</v>
      </c>
      <c r="U1375" s="1" t="s">
        <v>32</v>
      </c>
      <c r="V1375" s="1" t="s">
        <v>36</v>
      </c>
      <c r="W1375" s="1" t="s">
        <v>37</v>
      </c>
      <c r="X1375" s="1" t="s">
        <v>74</v>
      </c>
      <c r="Y1375" s="1" t="s">
        <v>68</v>
      </c>
      <c r="Z1375" s="1" t="str">
        <f>TRIM(_xlfn.CONCAT(sales_data_sample[[#This Row],[CONTACTFIRSTNAME]],", ",sales_data_sample[[#This Row],[CONTACTLASTNAME]]))</f>
        <v>Julie, Brown</v>
      </c>
      <c r="AA1375" s="1" t="s">
        <v>59</v>
      </c>
    </row>
    <row r="1376" spans="1:27" x14ac:dyDescent="0.25">
      <c r="A1376">
        <v>10169</v>
      </c>
      <c r="B1376">
        <v>33</v>
      </c>
      <c r="C1376">
        <v>100</v>
      </c>
      <c r="D1376">
        <f>PRODUCT(sales_data_sample[[#This Row],[QUANTITYORDERED]],sales_data_sample[[#This Row],[PRICEEACH]])</f>
        <v>3300</v>
      </c>
      <c r="E1376" s="9">
        <f>IF(OR(sales_data_sample[[#This Row],[STATUS]]="Shipped",sales_data_sample[[#This Row],[STATUS]]="Resolved"),sales_data_sample[[#This Row],[SALES]],0)</f>
        <v>3300</v>
      </c>
      <c r="F1376">
        <v>7</v>
      </c>
      <c r="G1376" s="12" t="s">
        <v>609</v>
      </c>
      <c r="H1376" s="1" t="s">
        <v>26</v>
      </c>
      <c r="I1376">
        <v>4</v>
      </c>
      <c r="J1376">
        <v>11</v>
      </c>
      <c r="K1376">
        <v>2003</v>
      </c>
      <c r="L1376" s="1" t="s">
        <v>239</v>
      </c>
      <c r="M1376">
        <v>148</v>
      </c>
      <c r="N1376" s="1" t="s">
        <v>946</v>
      </c>
      <c r="O1376" s="1" t="s">
        <v>385</v>
      </c>
      <c r="P1376" s="1" t="s">
        <v>386</v>
      </c>
      <c r="Q1376" s="1" t="s">
        <v>387</v>
      </c>
      <c r="R1376" s="1" t="s">
        <v>388</v>
      </c>
      <c r="S1376" s="1" t="s">
        <v>389</v>
      </c>
      <c r="T1376" s="1" t="s">
        <v>206</v>
      </c>
      <c r="U1376" s="1" t="s">
        <v>390</v>
      </c>
      <c r="V1376" s="1" t="s">
        <v>120</v>
      </c>
      <c r="W1376" s="1" t="s">
        <v>121</v>
      </c>
      <c r="X1376" s="1" t="s">
        <v>391</v>
      </c>
      <c r="Y1376" s="1" t="s">
        <v>392</v>
      </c>
      <c r="Z1376" s="1" t="str">
        <f>TRIM(_xlfn.CONCAT(sales_data_sample[[#This Row],[CONTACTFIRSTNAME]],", ",sales_data_sample[[#This Row],[CONTACTLASTNAME]]))</f>
        <v>Anna, O'Hara</v>
      </c>
      <c r="AA1376" s="1" t="s">
        <v>59</v>
      </c>
    </row>
    <row r="1377" spans="1:27" x14ac:dyDescent="0.25">
      <c r="A1377" s="10">
        <v>10180</v>
      </c>
      <c r="B1377" s="9">
        <v>44</v>
      </c>
      <c r="C1377" s="9">
        <v>100</v>
      </c>
      <c r="D1377" s="9">
        <f>PRODUCT(sales_data_sample[[#This Row],[QUANTITYORDERED]],sales_data_sample[[#This Row],[PRICEEACH]])</f>
        <v>4400</v>
      </c>
      <c r="E1377" s="9">
        <f>IF(OR(sales_data_sample[[#This Row],[STATUS]]="Shipped",sales_data_sample[[#This Row],[STATUS]]="Resolved"),sales_data_sample[[#This Row],[SALES]],0)</f>
        <v>4400</v>
      </c>
      <c r="F1377" s="10">
        <v>2</v>
      </c>
      <c r="G1377" s="12" t="s">
        <v>83</v>
      </c>
      <c r="H1377" s="1" t="s">
        <v>26</v>
      </c>
      <c r="I1377">
        <v>4</v>
      </c>
      <c r="J1377">
        <v>11</v>
      </c>
      <c r="K1377">
        <v>2003</v>
      </c>
      <c r="L1377" s="1" t="s">
        <v>239</v>
      </c>
      <c r="M1377">
        <v>148</v>
      </c>
      <c r="N1377" s="1" t="s">
        <v>946</v>
      </c>
      <c r="O1377" s="1" t="s">
        <v>84</v>
      </c>
      <c r="P1377" s="1" t="s">
        <v>85</v>
      </c>
      <c r="Q1377" s="1" t="s">
        <v>86</v>
      </c>
      <c r="R1377" s="1" t="s">
        <v>32</v>
      </c>
      <c r="S1377" s="1" t="s">
        <v>87</v>
      </c>
      <c r="T1377" s="1" t="s">
        <v>32</v>
      </c>
      <c r="U1377" s="1" t="s">
        <v>88</v>
      </c>
      <c r="V1377" s="1" t="s">
        <v>47</v>
      </c>
      <c r="W1377" s="1" t="s">
        <v>48</v>
      </c>
      <c r="X1377" s="1" t="s">
        <v>89</v>
      </c>
      <c r="Y1377" s="1" t="s">
        <v>90</v>
      </c>
      <c r="Z1377" s="1" t="str">
        <f>TRIM(_xlfn.CONCAT(sales_data_sample[[#This Row],[CONTACTFIRSTNAME]],", ",sales_data_sample[[#This Row],[CONTACTLASTNAME]]))</f>
        <v>Martine, Rance</v>
      </c>
      <c r="AA1377" s="1" t="s">
        <v>59</v>
      </c>
    </row>
    <row r="1378" spans="1:27" x14ac:dyDescent="0.25">
      <c r="A1378" s="10">
        <v>10191</v>
      </c>
      <c r="B1378" s="9">
        <v>32</v>
      </c>
      <c r="C1378" s="9">
        <v>100</v>
      </c>
      <c r="D1378" s="9">
        <f>PRODUCT(sales_data_sample[[#This Row],[QUANTITYORDERED]],sales_data_sample[[#This Row],[PRICEEACH]])</f>
        <v>3200</v>
      </c>
      <c r="E1378" s="9">
        <f>IF(OR(sales_data_sample[[#This Row],[STATUS]]="Shipped",sales_data_sample[[#This Row],[STATUS]]="Resolved"),sales_data_sample[[#This Row],[SALES]],0)</f>
        <v>3200</v>
      </c>
      <c r="F1378" s="10">
        <v>8</v>
      </c>
      <c r="G1378" s="12" t="s">
        <v>611</v>
      </c>
      <c r="H1378" s="1" t="s">
        <v>26</v>
      </c>
      <c r="I1378">
        <v>4</v>
      </c>
      <c r="J1378">
        <v>11</v>
      </c>
      <c r="K1378">
        <v>2003</v>
      </c>
      <c r="L1378" s="1" t="s">
        <v>239</v>
      </c>
      <c r="M1378">
        <v>148</v>
      </c>
      <c r="N1378" s="1" t="s">
        <v>946</v>
      </c>
      <c r="O1378" s="1" t="s">
        <v>612</v>
      </c>
      <c r="P1378" s="1" t="s">
        <v>613</v>
      </c>
      <c r="Q1378" s="1" t="s">
        <v>614</v>
      </c>
      <c r="R1378" s="1" t="s">
        <v>32</v>
      </c>
      <c r="S1378" s="1" t="s">
        <v>615</v>
      </c>
      <c r="T1378" s="1" t="s">
        <v>32</v>
      </c>
      <c r="U1378" s="1" t="s">
        <v>616</v>
      </c>
      <c r="V1378" s="1" t="s">
        <v>617</v>
      </c>
      <c r="W1378" s="1" t="s">
        <v>48</v>
      </c>
      <c r="X1378" s="1" t="s">
        <v>618</v>
      </c>
      <c r="Y1378" s="1" t="s">
        <v>619</v>
      </c>
      <c r="Z1378" s="1" t="str">
        <f>TRIM(_xlfn.CONCAT(sales_data_sample[[#This Row],[CONTACTFIRSTNAME]],", ",sales_data_sample[[#This Row],[CONTACTLASTNAME]]))</f>
        <v>Henriette, Pfalzheim</v>
      </c>
      <c r="AA1378" s="1" t="s">
        <v>59</v>
      </c>
    </row>
    <row r="1379" spans="1:27" x14ac:dyDescent="0.25">
      <c r="A1379" s="10">
        <v>10211</v>
      </c>
      <c r="B1379" s="9">
        <v>41</v>
      </c>
      <c r="C1379" s="9">
        <v>100</v>
      </c>
      <c r="D1379" s="9">
        <f>PRODUCT(sales_data_sample[[#This Row],[QUANTITYORDERED]],sales_data_sample[[#This Row],[PRICEEACH]])</f>
        <v>4100</v>
      </c>
      <c r="E1379" s="9">
        <f>IF(OR(sales_data_sample[[#This Row],[STATUS]]="Shipped",sales_data_sample[[#This Row],[STATUS]]="Resolved"),sales_data_sample[[#This Row],[SALES]],0)</f>
        <v>4100</v>
      </c>
      <c r="F1379" s="10">
        <v>7</v>
      </c>
      <c r="G1379" s="12" t="s">
        <v>105</v>
      </c>
      <c r="H1379" s="1" t="s">
        <v>26</v>
      </c>
      <c r="I1379">
        <v>1</v>
      </c>
      <c r="J1379">
        <v>1</v>
      </c>
      <c r="K1379">
        <v>2004</v>
      </c>
      <c r="L1379" s="1" t="s">
        <v>239</v>
      </c>
      <c r="M1379">
        <v>148</v>
      </c>
      <c r="N1379" s="1" t="s">
        <v>946</v>
      </c>
      <c r="O1379" s="1" t="s">
        <v>106</v>
      </c>
      <c r="P1379" s="1" t="s">
        <v>107</v>
      </c>
      <c r="Q1379" s="1" t="s">
        <v>108</v>
      </c>
      <c r="R1379" s="1" t="s">
        <v>32</v>
      </c>
      <c r="S1379" s="1" t="s">
        <v>55</v>
      </c>
      <c r="T1379" s="1" t="s">
        <v>32</v>
      </c>
      <c r="U1379" s="1" t="s">
        <v>109</v>
      </c>
      <c r="V1379" s="1" t="s">
        <v>47</v>
      </c>
      <c r="W1379" s="1" t="s">
        <v>48</v>
      </c>
      <c r="X1379" s="1" t="s">
        <v>110</v>
      </c>
      <c r="Y1379" s="1" t="s">
        <v>111</v>
      </c>
      <c r="Z1379" s="1" t="str">
        <f>TRIM(_xlfn.CONCAT(sales_data_sample[[#This Row],[CONTACTFIRSTNAME]],", ",sales_data_sample[[#This Row],[CONTACTLASTNAME]]))</f>
        <v>Dominique, Perrier</v>
      </c>
      <c r="AA1379" s="1" t="s">
        <v>59</v>
      </c>
    </row>
    <row r="1380" spans="1:27" x14ac:dyDescent="0.25">
      <c r="A1380" s="10">
        <v>10225</v>
      </c>
      <c r="B1380" s="9">
        <v>35</v>
      </c>
      <c r="C1380" s="9">
        <v>100</v>
      </c>
      <c r="D1380" s="9">
        <f>PRODUCT(sales_data_sample[[#This Row],[QUANTITYORDERED]],sales_data_sample[[#This Row],[PRICEEACH]])</f>
        <v>3500</v>
      </c>
      <c r="E1380" s="9">
        <f>IF(OR(sales_data_sample[[#This Row],[STATUS]]="Shipped",sales_data_sample[[#This Row],[STATUS]]="Resolved"),sales_data_sample[[#This Row],[SALES]],0)</f>
        <v>3500</v>
      </c>
      <c r="F1380" s="10">
        <v>14</v>
      </c>
      <c r="G1380" s="12" t="s">
        <v>621</v>
      </c>
      <c r="H1380" s="1" t="s">
        <v>26</v>
      </c>
      <c r="I1380">
        <v>1</v>
      </c>
      <c r="J1380">
        <v>2</v>
      </c>
      <c r="K1380">
        <v>2004</v>
      </c>
      <c r="L1380" s="1" t="s">
        <v>239</v>
      </c>
      <c r="M1380">
        <v>148</v>
      </c>
      <c r="N1380" s="1" t="s">
        <v>946</v>
      </c>
      <c r="O1380" s="1" t="s">
        <v>622</v>
      </c>
      <c r="P1380" s="1" t="s">
        <v>623</v>
      </c>
      <c r="Q1380" s="1" t="s">
        <v>624</v>
      </c>
      <c r="R1380" s="1" t="s">
        <v>32</v>
      </c>
      <c r="S1380" s="1" t="s">
        <v>625</v>
      </c>
      <c r="T1380" s="1" t="s">
        <v>32</v>
      </c>
      <c r="U1380" s="1" t="s">
        <v>626</v>
      </c>
      <c r="V1380" s="1" t="s">
        <v>627</v>
      </c>
      <c r="W1380" s="1" t="s">
        <v>48</v>
      </c>
      <c r="X1380" s="1" t="s">
        <v>628</v>
      </c>
      <c r="Y1380" s="1" t="s">
        <v>130</v>
      </c>
      <c r="Z1380" s="1" t="str">
        <f>TRIM(_xlfn.CONCAT(sales_data_sample[[#This Row],[CONTACTFIRSTNAME]],", ",sales_data_sample[[#This Row],[CONTACTLASTNAME]]))</f>
        <v>Michael, Holz</v>
      </c>
      <c r="AA1380" s="1" t="s">
        <v>59</v>
      </c>
    </row>
    <row r="1381" spans="1:27" x14ac:dyDescent="0.25">
      <c r="A1381" s="10">
        <v>10238</v>
      </c>
      <c r="B1381" s="9">
        <v>44</v>
      </c>
      <c r="C1381" s="9">
        <v>100</v>
      </c>
      <c r="D1381" s="9">
        <f>PRODUCT(sales_data_sample[[#This Row],[QUANTITYORDERED]],sales_data_sample[[#This Row],[PRICEEACH]])</f>
        <v>4400</v>
      </c>
      <c r="E1381" s="9">
        <f>IF(OR(sales_data_sample[[#This Row],[STATUS]]="Shipped",sales_data_sample[[#This Row],[STATUS]]="Resolved"),sales_data_sample[[#This Row],[SALES]],0)</f>
        <v>4400</v>
      </c>
      <c r="F1381" s="10">
        <v>8</v>
      </c>
      <c r="G1381" s="12" t="s">
        <v>629</v>
      </c>
      <c r="H1381" s="1" t="s">
        <v>26</v>
      </c>
      <c r="I1381">
        <v>2</v>
      </c>
      <c r="J1381">
        <v>4</v>
      </c>
      <c r="K1381">
        <v>2004</v>
      </c>
      <c r="L1381" s="1" t="s">
        <v>239</v>
      </c>
      <c r="M1381">
        <v>148</v>
      </c>
      <c r="N1381" s="1" t="s">
        <v>946</v>
      </c>
      <c r="O1381" s="1" t="s">
        <v>437</v>
      </c>
      <c r="P1381" s="1" t="s">
        <v>438</v>
      </c>
      <c r="Q1381" s="1" t="s">
        <v>439</v>
      </c>
      <c r="R1381" s="1" t="s">
        <v>32</v>
      </c>
      <c r="S1381" s="1" t="s">
        <v>440</v>
      </c>
      <c r="T1381" s="1" t="s">
        <v>32</v>
      </c>
      <c r="U1381" s="1" t="s">
        <v>441</v>
      </c>
      <c r="V1381" s="1" t="s">
        <v>442</v>
      </c>
      <c r="W1381" s="1" t="s">
        <v>48</v>
      </c>
      <c r="X1381" s="1" t="s">
        <v>443</v>
      </c>
      <c r="Y1381" s="1" t="s">
        <v>444</v>
      </c>
      <c r="Z1381" s="1" t="str">
        <f>TRIM(_xlfn.CONCAT(sales_data_sample[[#This Row],[CONTACTFIRSTNAME]],", ",sales_data_sample[[#This Row],[CONTACTLASTNAME]]))</f>
        <v>Jytte, Petersen</v>
      </c>
      <c r="AA1381" s="1" t="s">
        <v>59</v>
      </c>
    </row>
    <row r="1382" spans="1:27" x14ac:dyDescent="0.25">
      <c r="A1382" s="10">
        <v>10252</v>
      </c>
      <c r="B1382" s="9">
        <v>26</v>
      </c>
      <c r="C1382" s="9">
        <v>100</v>
      </c>
      <c r="D1382" s="9">
        <f>PRODUCT(sales_data_sample[[#This Row],[QUANTITYORDERED]],sales_data_sample[[#This Row],[PRICEEACH]])</f>
        <v>2600</v>
      </c>
      <c r="E1382" s="9">
        <f>IF(OR(sales_data_sample[[#This Row],[STATUS]]="Shipped",sales_data_sample[[#This Row],[STATUS]]="Resolved"),sales_data_sample[[#This Row],[SALES]],0)</f>
        <v>2600</v>
      </c>
      <c r="F1382" s="10">
        <v>4</v>
      </c>
      <c r="G1382" s="12" t="s">
        <v>922</v>
      </c>
      <c r="H1382" s="1" t="s">
        <v>26</v>
      </c>
      <c r="I1382">
        <v>2</v>
      </c>
      <c r="J1382">
        <v>5</v>
      </c>
      <c r="K1382">
        <v>2004</v>
      </c>
      <c r="L1382" s="1" t="s">
        <v>239</v>
      </c>
      <c r="M1382">
        <v>148</v>
      </c>
      <c r="N1382" s="1" t="s">
        <v>946</v>
      </c>
      <c r="O1382" s="1" t="s">
        <v>106</v>
      </c>
      <c r="P1382" s="1" t="s">
        <v>107</v>
      </c>
      <c r="Q1382" s="1" t="s">
        <v>108</v>
      </c>
      <c r="R1382" s="1" t="s">
        <v>32</v>
      </c>
      <c r="S1382" s="1" t="s">
        <v>55</v>
      </c>
      <c r="T1382" s="1" t="s">
        <v>32</v>
      </c>
      <c r="U1382" s="1" t="s">
        <v>109</v>
      </c>
      <c r="V1382" s="1" t="s">
        <v>47</v>
      </c>
      <c r="W1382" s="1" t="s">
        <v>48</v>
      </c>
      <c r="X1382" s="1" t="s">
        <v>110</v>
      </c>
      <c r="Y1382" s="1" t="s">
        <v>111</v>
      </c>
      <c r="Z1382" s="1" t="str">
        <f>TRIM(_xlfn.CONCAT(sales_data_sample[[#This Row],[CONTACTFIRSTNAME]],", ",sales_data_sample[[#This Row],[CONTACTLASTNAME]]))</f>
        <v>Dominique, Perrier</v>
      </c>
      <c r="AA1382" s="1" t="s">
        <v>59</v>
      </c>
    </row>
    <row r="1383" spans="1:27" x14ac:dyDescent="0.25">
      <c r="A1383" s="10">
        <v>10264</v>
      </c>
      <c r="B1383" s="9">
        <v>20</v>
      </c>
      <c r="C1383" s="9">
        <v>100</v>
      </c>
      <c r="D1383" s="9">
        <f>PRODUCT(sales_data_sample[[#This Row],[QUANTITYORDERED]],sales_data_sample[[#This Row],[PRICEEACH]])</f>
        <v>2000</v>
      </c>
      <c r="E1383" s="9">
        <f>IF(OR(sales_data_sample[[#This Row],[STATUS]]="Shipped",sales_data_sample[[#This Row],[STATUS]]="Resolved"),sales_data_sample[[#This Row],[SALES]],0)</f>
        <v>2000</v>
      </c>
      <c r="F1383" s="10">
        <v>2</v>
      </c>
      <c r="G1383" s="12" t="s">
        <v>932</v>
      </c>
      <c r="H1383" s="1" t="s">
        <v>26</v>
      </c>
      <c r="I1383">
        <v>2</v>
      </c>
      <c r="J1383">
        <v>6</v>
      </c>
      <c r="K1383">
        <v>2004</v>
      </c>
      <c r="L1383" s="1" t="s">
        <v>239</v>
      </c>
      <c r="M1383">
        <v>148</v>
      </c>
      <c r="N1383" s="1" t="s">
        <v>946</v>
      </c>
      <c r="O1383" s="1" t="s">
        <v>516</v>
      </c>
      <c r="P1383" s="1" t="s">
        <v>517</v>
      </c>
      <c r="Q1383" s="1" t="s">
        <v>518</v>
      </c>
      <c r="R1383" s="1" t="s">
        <v>32</v>
      </c>
      <c r="S1383" s="1" t="s">
        <v>519</v>
      </c>
      <c r="T1383" s="1" t="s">
        <v>160</v>
      </c>
      <c r="U1383" s="1" t="s">
        <v>520</v>
      </c>
      <c r="V1383" s="1" t="s">
        <v>36</v>
      </c>
      <c r="W1383" s="1" t="s">
        <v>37</v>
      </c>
      <c r="X1383" s="1" t="s">
        <v>521</v>
      </c>
      <c r="Y1383" s="1" t="s">
        <v>82</v>
      </c>
      <c r="Z1383" s="1" t="str">
        <f>TRIM(_xlfn.CONCAT(sales_data_sample[[#This Row],[CONTACTFIRSTNAME]],", ",sales_data_sample[[#This Row],[CONTACTLASTNAME]]))</f>
        <v>Juri, Yoshido</v>
      </c>
      <c r="AA1383" s="1" t="s">
        <v>40</v>
      </c>
    </row>
    <row r="1384" spans="1:27" x14ac:dyDescent="0.25">
      <c r="A1384" s="10">
        <v>10276</v>
      </c>
      <c r="B1384" s="9">
        <v>48</v>
      </c>
      <c r="C1384" s="9">
        <v>100</v>
      </c>
      <c r="D1384" s="9">
        <f>PRODUCT(sales_data_sample[[#This Row],[QUANTITYORDERED]],sales_data_sample[[#This Row],[PRICEEACH]])</f>
        <v>4800</v>
      </c>
      <c r="E1384" s="9">
        <f>IF(OR(sales_data_sample[[#This Row],[STATUS]]="Shipped",sales_data_sample[[#This Row],[STATUS]]="Resolved"),sales_data_sample[[#This Row],[SALES]],0)</f>
        <v>4800</v>
      </c>
      <c r="F1384" s="10">
        <v>8</v>
      </c>
      <c r="G1384" s="12" t="s">
        <v>639</v>
      </c>
      <c r="H1384" s="1" t="s">
        <v>26</v>
      </c>
      <c r="I1384">
        <v>3</v>
      </c>
      <c r="J1384">
        <v>8</v>
      </c>
      <c r="K1384">
        <v>2004</v>
      </c>
      <c r="L1384" s="1" t="s">
        <v>239</v>
      </c>
      <c r="M1384">
        <v>148</v>
      </c>
      <c r="N1384" s="1" t="s">
        <v>946</v>
      </c>
      <c r="O1384" s="1" t="s">
        <v>640</v>
      </c>
      <c r="P1384" s="1" t="s">
        <v>641</v>
      </c>
      <c r="Q1384" s="1" t="s">
        <v>642</v>
      </c>
      <c r="R1384" s="1" t="s">
        <v>32</v>
      </c>
      <c r="S1384" s="1" t="s">
        <v>380</v>
      </c>
      <c r="T1384" s="1" t="s">
        <v>160</v>
      </c>
      <c r="U1384" s="1" t="s">
        <v>381</v>
      </c>
      <c r="V1384" s="1" t="s">
        <v>36</v>
      </c>
      <c r="W1384" s="1" t="s">
        <v>37</v>
      </c>
      <c r="X1384" s="1" t="s">
        <v>643</v>
      </c>
      <c r="Y1384" s="1" t="s">
        <v>644</v>
      </c>
      <c r="Z1384" s="1" t="str">
        <f>TRIM(_xlfn.CONCAT(sales_data_sample[[#This Row],[CONTACTFIRSTNAME]],", ",sales_data_sample[[#This Row],[CONTACTLASTNAME]]))</f>
        <v>Miguel, Barajas</v>
      </c>
      <c r="AA1384" s="1" t="s">
        <v>59</v>
      </c>
    </row>
    <row r="1385" spans="1:27" x14ac:dyDescent="0.25">
      <c r="A1385" s="10">
        <v>10287</v>
      </c>
      <c r="B1385" s="9">
        <v>34</v>
      </c>
      <c r="C1385" s="9">
        <v>100</v>
      </c>
      <c r="D1385" s="9">
        <f>PRODUCT(sales_data_sample[[#This Row],[QUANTITYORDERED]],sales_data_sample[[#This Row],[PRICEEACH]])</f>
        <v>3400</v>
      </c>
      <c r="E1385" s="9">
        <f>IF(OR(sales_data_sample[[#This Row],[STATUS]]="Shipped",sales_data_sample[[#This Row],[STATUS]]="Resolved"),sales_data_sample[[#This Row],[SALES]],0)</f>
        <v>3400</v>
      </c>
      <c r="F1385" s="10">
        <v>17</v>
      </c>
      <c r="G1385" s="12" t="s">
        <v>645</v>
      </c>
      <c r="H1385" s="1" t="s">
        <v>26</v>
      </c>
      <c r="I1385">
        <v>3</v>
      </c>
      <c r="J1385">
        <v>8</v>
      </c>
      <c r="K1385">
        <v>2004</v>
      </c>
      <c r="L1385" s="1" t="s">
        <v>239</v>
      </c>
      <c r="M1385">
        <v>148</v>
      </c>
      <c r="N1385" s="1" t="s">
        <v>946</v>
      </c>
      <c r="O1385" s="1" t="s">
        <v>622</v>
      </c>
      <c r="P1385" s="1" t="s">
        <v>623</v>
      </c>
      <c r="Q1385" s="1" t="s">
        <v>624</v>
      </c>
      <c r="R1385" s="1" t="s">
        <v>32</v>
      </c>
      <c r="S1385" s="1" t="s">
        <v>625</v>
      </c>
      <c r="T1385" s="1" t="s">
        <v>32</v>
      </c>
      <c r="U1385" s="1" t="s">
        <v>626</v>
      </c>
      <c r="V1385" s="1" t="s">
        <v>627</v>
      </c>
      <c r="W1385" s="1" t="s">
        <v>48</v>
      </c>
      <c r="X1385" s="1" t="s">
        <v>628</v>
      </c>
      <c r="Y1385" s="1" t="s">
        <v>130</v>
      </c>
      <c r="Z1385" s="1" t="str">
        <f>TRIM(_xlfn.CONCAT(sales_data_sample[[#This Row],[CONTACTFIRSTNAME]],", ",sales_data_sample[[#This Row],[CONTACTLASTNAME]]))</f>
        <v>Michael, Holz</v>
      </c>
      <c r="AA1385" s="1" t="s">
        <v>59</v>
      </c>
    </row>
    <row r="1386" spans="1:27" x14ac:dyDescent="0.25">
      <c r="A1386" s="10">
        <v>10299</v>
      </c>
      <c r="B1386" s="9">
        <v>49</v>
      </c>
      <c r="C1386" s="9">
        <v>100</v>
      </c>
      <c r="D1386" s="9">
        <f>PRODUCT(sales_data_sample[[#This Row],[QUANTITYORDERED]],sales_data_sample[[#This Row],[PRICEEACH]])</f>
        <v>4900</v>
      </c>
      <c r="E1386" s="9">
        <f>IF(OR(sales_data_sample[[#This Row],[STATUS]]="Shipped",sales_data_sample[[#This Row],[STATUS]]="Resolved"),sales_data_sample[[#This Row],[SALES]],0)</f>
        <v>4900</v>
      </c>
      <c r="F1386" s="10">
        <v>2</v>
      </c>
      <c r="G1386" s="12" t="s">
        <v>164</v>
      </c>
      <c r="H1386" s="1" t="s">
        <v>26</v>
      </c>
      <c r="I1386">
        <v>3</v>
      </c>
      <c r="J1386">
        <v>9</v>
      </c>
      <c r="K1386">
        <v>2004</v>
      </c>
      <c r="L1386" s="1" t="s">
        <v>239</v>
      </c>
      <c r="M1386">
        <v>148</v>
      </c>
      <c r="N1386" s="1" t="s">
        <v>946</v>
      </c>
      <c r="O1386" s="1" t="s">
        <v>165</v>
      </c>
      <c r="P1386" s="1" t="s">
        <v>166</v>
      </c>
      <c r="Q1386" s="1" t="s">
        <v>167</v>
      </c>
      <c r="R1386" s="1" t="s">
        <v>32</v>
      </c>
      <c r="S1386" s="1" t="s">
        <v>168</v>
      </c>
      <c r="T1386" s="1" t="s">
        <v>32</v>
      </c>
      <c r="U1386" s="1" t="s">
        <v>169</v>
      </c>
      <c r="V1386" s="1" t="s">
        <v>170</v>
      </c>
      <c r="W1386" s="1" t="s">
        <v>48</v>
      </c>
      <c r="X1386" s="1" t="s">
        <v>171</v>
      </c>
      <c r="Y1386" s="1" t="s">
        <v>172</v>
      </c>
      <c r="Z1386" s="1" t="str">
        <f>TRIM(_xlfn.CONCAT(sales_data_sample[[#This Row],[CONTACTFIRSTNAME]],", ",sales_data_sample[[#This Row],[CONTACTLASTNAME]]))</f>
        <v>Matti, Karttunen</v>
      </c>
      <c r="AA1386" s="1" t="s">
        <v>199</v>
      </c>
    </row>
    <row r="1387" spans="1:27" x14ac:dyDescent="0.25">
      <c r="A1387" s="10">
        <v>10310</v>
      </c>
      <c r="B1387" s="9">
        <v>40</v>
      </c>
      <c r="C1387" s="9">
        <v>100</v>
      </c>
      <c r="D1387" s="9">
        <f>PRODUCT(sales_data_sample[[#This Row],[QUANTITYORDERED]],sales_data_sample[[#This Row],[PRICEEACH]])</f>
        <v>4000</v>
      </c>
      <c r="E1387" s="9">
        <f>IF(OR(sales_data_sample[[#This Row],[STATUS]]="Shipped",sales_data_sample[[#This Row],[STATUS]]="Resolved"),sales_data_sample[[#This Row],[SALES]],0)</f>
        <v>4000</v>
      </c>
      <c r="F1387" s="10">
        <v>15</v>
      </c>
      <c r="G1387" s="12" t="s">
        <v>653</v>
      </c>
      <c r="H1387" s="1" t="s">
        <v>26</v>
      </c>
      <c r="I1387">
        <v>4</v>
      </c>
      <c r="J1387">
        <v>10</v>
      </c>
      <c r="K1387">
        <v>2004</v>
      </c>
      <c r="L1387" s="1" t="s">
        <v>239</v>
      </c>
      <c r="M1387">
        <v>148</v>
      </c>
      <c r="N1387" s="1" t="s">
        <v>946</v>
      </c>
      <c r="O1387" s="1" t="s">
        <v>612</v>
      </c>
      <c r="P1387" s="1" t="s">
        <v>613</v>
      </c>
      <c r="Q1387" s="1" t="s">
        <v>614</v>
      </c>
      <c r="R1387" s="1" t="s">
        <v>32</v>
      </c>
      <c r="S1387" s="1" t="s">
        <v>615</v>
      </c>
      <c r="T1387" s="1" t="s">
        <v>32</v>
      </c>
      <c r="U1387" s="1" t="s">
        <v>616</v>
      </c>
      <c r="V1387" s="1" t="s">
        <v>617</v>
      </c>
      <c r="W1387" s="1" t="s">
        <v>48</v>
      </c>
      <c r="X1387" s="1" t="s">
        <v>618</v>
      </c>
      <c r="Y1387" s="1" t="s">
        <v>619</v>
      </c>
      <c r="Z1387" s="1" t="str">
        <f>TRIM(_xlfn.CONCAT(sales_data_sample[[#This Row],[CONTACTFIRSTNAME]],", ",sales_data_sample[[#This Row],[CONTACTLASTNAME]]))</f>
        <v>Henriette, Pfalzheim</v>
      </c>
      <c r="AA1387" s="1" t="s">
        <v>59</v>
      </c>
    </row>
    <row r="1388" spans="1:27" x14ac:dyDescent="0.25">
      <c r="A1388">
        <v>10319</v>
      </c>
      <c r="B1388">
        <v>45</v>
      </c>
      <c r="C1388">
        <v>100</v>
      </c>
      <c r="D1388">
        <f>PRODUCT(sales_data_sample[[#This Row],[QUANTITYORDERED]],sales_data_sample[[#This Row],[PRICEEACH]])</f>
        <v>4500</v>
      </c>
      <c r="E1388" s="9">
        <f>IF(OR(sales_data_sample[[#This Row],[STATUS]]="Shipped",sales_data_sample[[#This Row],[STATUS]]="Resolved"),sales_data_sample[[#This Row],[SALES]],0)</f>
        <v>4500</v>
      </c>
      <c r="F1388">
        <v>3</v>
      </c>
      <c r="G1388" s="12" t="s">
        <v>654</v>
      </c>
      <c r="H1388" s="1" t="s">
        <v>26</v>
      </c>
      <c r="I1388">
        <v>4</v>
      </c>
      <c r="J1388">
        <v>11</v>
      </c>
      <c r="K1388">
        <v>2004</v>
      </c>
      <c r="L1388" s="1" t="s">
        <v>239</v>
      </c>
      <c r="M1388">
        <v>148</v>
      </c>
      <c r="N1388" s="1" t="s">
        <v>946</v>
      </c>
      <c r="O1388" s="1" t="s">
        <v>717</v>
      </c>
      <c r="P1388" s="1" t="s">
        <v>718</v>
      </c>
      <c r="Q1388" s="1" t="s">
        <v>719</v>
      </c>
      <c r="R1388" s="1" t="s">
        <v>720</v>
      </c>
      <c r="S1388" s="1" t="s">
        <v>33</v>
      </c>
      <c r="T1388" s="1" t="s">
        <v>34</v>
      </c>
      <c r="U1388" s="1" t="s">
        <v>35</v>
      </c>
      <c r="V1388" s="1" t="s">
        <v>36</v>
      </c>
      <c r="W1388" s="1" t="s">
        <v>37</v>
      </c>
      <c r="X1388" s="1" t="s">
        <v>721</v>
      </c>
      <c r="Y1388" s="1" t="s">
        <v>722</v>
      </c>
      <c r="Z1388" s="1" t="str">
        <f>TRIM(_xlfn.CONCAT(sales_data_sample[[#This Row],[CONTACTFIRSTNAME]],", ",sales_data_sample[[#This Row],[CONTACTLASTNAME]]))</f>
        <v>Kee, Kuo</v>
      </c>
      <c r="AA1388" s="1" t="s">
        <v>199</v>
      </c>
    </row>
    <row r="1389" spans="1:27" x14ac:dyDescent="0.25">
      <c r="A1389" s="10">
        <v>10330</v>
      </c>
      <c r="B1389" s="9">
        <v>50</v>
      </c>
      <c r="C1389" s="9">
        <v>100</v>
      </c>
      <c r="D1389" s="9">
        <f>PRODUCT(sales_data_sample[[#This Row],[QUANTITYORDERED]],sales_data_sample[[#This Row],[PRICEEACH]])</f>
        <v>5000</v>
      </c>
      <c r="E1389" s="9">
        <f>IF(OR(sales_data_sample[[#This Row],[STATUS]]="Shipped",sales_data_sample[[#This Row],[STATUS]]="Resolved"),sales_data_sample[[#This Row],[SALES]],0)</f>
        <v>5000</v>
      </c>
      <c r="F1389" s="10">
        <v>4</v>
      </c>
      <c r="G1389" s="12" t="s">
        <v>927</v>
      </c>
      <c r="H1389" s="1" t="s">
        <v>26</v>
      </c>
      <c r="I1389">
        <v>4</v>
      </c>
      <c r="J1389">
        <v>11</v>
      </c>
      <c r="K1389">
        <v>2004</v>
      </c>
      <c r="L1389" s="1" t="s">
        <v>239</v>
      </c>
      <c r="M1389">
        <v>148</v>
      </c>
      <c r="N1389" s="1" t="s">
        <v>946</v>
      </c>
      <c r="O1389" s="1" t="s">
        <v>591</v>
      </c>
      <c r="P1389" s="1" t="s">
        <v>592</v>
      </c>
      <c r="Q1389" s="1" t="s">
        <v>593</v>
      </c>
      <c r="R1389" s="1" t="s">
        <v>32</v>
      </c>
      <c r="S1389" s="1" t="s">
        <v>594</v>
      </c>
      <c r="T1389" s="1" t="s">
        <v>32</v>
      </c>
      <c r="U1389" s="1" t="s">
        <v>595</v>
      </c>
      <c r="V1389" s="1" t="s">
        <v>596</v>
      </c>
      <c r="W1389" s="1" t="s">
        <v>264</v>
      </c>
      <c r="X1389" s="1" t="s">
        <v>597</v>
      </c>
      <c r="Y1389" s="1" t="s">
        <v>598</v>
      </c>
      <c r="Z1389" s="1" t="str">
        <f>TRIM(_xlfn.CONCAT(sales_data_sample[[#This Row],[CONTACTFIRSTNAME]],", ",sales_data_sample[[#This Row],[CONTACTLASTNAME]]))</f>
        <v>Arnold, Cruz</v>
      </c>
      <c r="AA1389" s="1" t="s">
        <v>59</v>
      </c>
    </row>
    <row r="1390" spans="1:27" x14ac:dyDescent="0.25">
      <c r="A1390">
        <v>10342</v>
      </c>
      <c r="B1390">
        <v>38</v>
      </c>
      <c r="C1390">
        <v>100</v>
      </c>
      <c r="D1390">
        <f>PRODUCT(sales_data_sample[[#This Row],[QUANTITYORDERED]],sales_data_sample[[#This Row],[PRICEEACH]])</f>
        <v>3800</v>
      </c>
      <c r="E1390" s="9">
        <f>IF(OR(sales_data_sample[[#This Row],[STATUS]]="Shipped",sales_data_sample[[#This Row],[STATUS]]="Resolved"),sales_data_sample[[#This Row],[SALES]],0)</f>
        <v>3800</v>
      </c>
      <c r="F1390">
        <v>11</v>
      </c>
      <c r="G1390" s="12" t="s">
        <v>190</v>
      </c>
      <c r="H1390" s="1" t="s">
        <v>26</v>
      </c>
      <c r="I1390">
        <v>4</v>
      </c>
      <c r="J1390">
        <v>11</v>
      </c>
      <c r="K1390">
        <v>2004</v>
      </c>
      <c r="L1390" s="1" t="s">
        <v>239</v>
      </c>
      <c r="M1390">
        <v>148</v>
      </c>
      <c r="N1390" s="1" t="s">
        <v>946</v>
      </c>
      <c r="O1390" s="1" t="s">
        <v>113</v>
      </c>
      <c r="P1390" s="1" t="s">
        <v>114</v>
      </c>
      <c r="Q1390" s="1" t="s">
        <v>115</v>
      </c>
      <c r="R1390" s="1" t="s">
        <v>116</v>
      </c>
      <c r="S1390" s="1" t="s">
        <v>117</v>
      </c>
      <c r="T1390" s="1" t="s">
        <v>118</v>
      </c>
      <c r="U1390" s="1" t="s">
        <v>119</v>
      </c>
      <c r="V1390" s="1" t="s">
        <v>120</v>
      </c>
      <c r="W1390" s="1" t="s">
        <v>121</v>
      </c>
      <c r="X1390" s="1" t="s">
        <v>122</v>
      </c>
      <c r="Y1390" s="1" t="s">
        <v>123</v>
      </c>
      <c r="Z1390" s="1" t="str">
        <f>TRIM(_xlfn.CONCAT(sales_data_sample[[#This Row],[CONTACTFIRSTNAME]],", ",sales_data_sample[[#This Row],[CONTACTLASTNAME]]))</f>
        <v>Peter, Ferguson</v>
      </c>
      <c r="AA1390" s="1" t="s">
        <v>59</v>
      </c>
    </row>
    <row r="1391" spans="1:27" x14ac:dyDescent="0.25">
      <c r="A1391" s="10">
        <v>10355</v>
      </c>
      <c r="B1391" s="9">
        <v>25</v>
      </c>
      <c r="C1391" s="9">
        <v>100</v>
      </c>
      <c r="D1391" s="9">
        <f>PRODUCT(sales_data_sample[[#This Row],[QUANTITYORDERED]],sales_data_sample[[#This Row],[PRICEEACH]])</f>
        <v>2500</v>
      </c>
      <c r="E1391" s="9">
        <f>IF(OR(sales_data_sample[[#This Row],[STATUS]]="Shipped",sales_data_sample[[#This Row],[STATUS]]="Resolved"),sales_data_sample[[#This Row],[SALES]],0)</f>
        <v>2500</v>
      </c>
      <c r="F1391" s="10">
        <v>2</v>
      </c>
      <c r="G1391" s="12" t="s">
        <v>928</v>
      </c>
      <c r="H1391" s="1" t="s">
        <v>26</v>
      </c>
      <c r="I1391">
        <v>4</v>
      </c>
      <c r="J1391">
        <v>12</v>
      </c>
      <c r="K1391">
        <v>2004</v>
      </c>
      <c r="L1391" s="1" t="s">
        <v>239</v>
      </c>
      <c r="M1391">
        <v>148</v>
      </c>
      <c r="N1391" s="1" t="s">
        <v>946</v>
      </c>
      <c r="O1391" s="1" t="s">
        <v>230</v>
      </c>
      <c r="P1391" s="1" t="s">
        <v>231</v>
      </c>
      <c r="Q1391" s="1" t="s">
        <v>232</v>
      </c>
      <c r="R1391" s="1" t="s">
        <v>32</v>
      </c>
      <c r="S1391" s="1" t="s">
        <v>233</v>
      </c>
      <c r="T1391" s="1" t="s">
        <v>32</v>
      </c>
      <c r="U1391" s="1" t="s">
        <v>234</v>
      </c>
      <c r="V1391" s="1" t="s">
        <v>235</v>
      </c>
      <c r="W1391" s="1" t="s">
        <v>48</v>
      </c>
      <c r="X1391" s="1" t="s">
        <v>236</v>
      </c>
      <c r="Y1391" s="1" t="s">
        <v>237</v>
      </c>
      <c r="Z1391" s="1" t="str">
        <f>TRIM(_xlfn.CONCAT(sales_data_sample[[#This Row],[CONTACTFIRSTNAME]],", ",sales_data_sample[[#This Row],[CONTACTLASTNAME]]))</f>
        <v>Diego, Freyre</v>
      </c>
      <c r="AA1391" s="1" t="s">
        <v>59</v>
      </c>
    </row>
    <row r="1392" spans="1:27" x14ac:dyDescent="0.25">
      <c r="A1392" s="10">
        <v>10363</v>
      </c>
      <c r="B1392" s="9">
        <v>28</v>
      </c>
      <c r="C1392" s="9">
        <v>5818</v>
      </c>
      <c r="D1392" s="9">
        <f>PRODUCT(sales_data_sample[[#This Row],[QUANTITYORDERED]],sales_data_sample[[#This Row],[PRICEEACH]])</f>
        <v>162904</v>
      </c>
      <c r="E1392" s="9">
        <f>IF(OR(sales_data_sample[[#This Row],[STATUS]]="Shipped",sales_data_sample[[#This Row],[STATUS]]="Resolved"),sales_data_sample[[#This Row],[SALES]],0)</f>
        <v>162904</v>
      </c>
      <c r="F1392" s="10">
        <v>13</v>
      </c>
      <c r="G1392" s="12" t="s">
        <v>655</v>
      </c>
      <c r="H1392" s="1" t="s">
        <v>26</v>
      </c>
      <c r="I1392">
        <v>1</v>
      </c>
      <c r="J1392">
        <v>1</v>
      </c>
      <c r="K1392">
        <v>2005</v>
      </c>
      <c r="L1392" s="1" t="s">
        <v>239</v>
      </c>
      <c r="M1392">
        <v>148</v>
      </c>
      <c r="N1392" s="1" t="s">
        <v>946</v>
      </c>
      <c r="O1392" s="1" t="s">
        <v>656</v>
      </c>
      <c r="P1392" s="1" t="s">
        <v>657</v>
      </c>
      <c r="Q1392" s="1" t="s">
        <v>658</v>
      </c>
      <c r="R1392" s="1" t="s">
        <v>32</v>
      </c>
      <c r="S1392" s="1" t="s">
        <v>659</v>
      </c>
      <c r="T1392" s="1" t="s">
        <v>32</v>
      </c>
      <c r="U1392" s="1" t="s">
        <v>660</v>
      </c>
      <c r="V1392" s="1" t="s">
        <v>170</v>
      </c>
      <c r="W1392" s="1" t="s">
        <v>48</v>
      </c>
      <c r="X1392" s="1" t="s">
        <v>661</v>
      </c>
      <c r="Y1392" s="1" t="s">
        <v>662</v>
      </c>
      <c r="Z1392" s="1" t="str">
        <f>TRIM(_xlfn.CONCAT(sales_data_sample[[#This Row],[CONTACTFIRSTNAME]],", ",sales_data_sample[[#This Row],[CONTACTLASTNAME]]))</f>
        <v>Kalle, Suominen</v>
      </c>
      <c r="AA1392" s="1" t="s">
        <v>40</v>
      </c>
    </row>
    <row r="1393" spans="1:27" x14ac:dyDescent="0.25">
      <c r="A1393" s="10">
        <v>10378</v>
      </c>
      <c r="B1393" s="9">
        <v>49</v>
      </c>
      <c r="C1393" s="9">
        <v>6714</v>
      </c>
      <c r="D1393" s="9">
        <f>PRODUCT(sales_data_sample[[#This Row],[QUANTITYORDERED]],sales_data_sample[[#This Row],[PRICEEACH]])</f>
        <v>328986</v>
      </c>
      <c r="E1393" s="9">
        <f>IF(OR(sales_data_sample[[#This Row],[STATUS]]="Shipped",sales_data_sample[[#This Row],[STATUS]]="Resolved"),sales_data_sample[[#This Row],[SALES]],0)</f>
        <v>328986</v>
      </c>
      <c r="F1393" s="10">
        <v>8</v>
      </c>
      <c r="G1393" s="12" t="s">
        <v>836</v>
      </c>
      <c r="H1393" s="1" t="s">
        <v>26</v>
      </c>
      <c r="I1393">
        <v>1</v>
      </c>
      <c r="J1393">
        <v>2</v>
      </c>
      <c r="K1393">
        <v>2005</v>
      </c>
      <c r="L1393" s="1" t="s">
        <v>239</v>
      </c>
      <c r="M1393">
        <v>148</v>
      </c>
      <c r="N1393" s="1" t="s">
        <v>946</v>
      </c>
      <c r="O1393" s="1" t="s">
        <v>230</v>
      </c>
      <c r="P1393" s="1" t="s">
        <v>231</v>
      </c>
      <c r="Q1393" s="1" t="s">
        <v>232</v>
      </c>
      <c r="R1393" s="1" t="s">
        <v>32</v>
      </c>
      <c r="S1393" s="1" t="s">
        <v>233</v>
      </c>
      <c r="T1393" s="1" t="s">
        <v>32</v>
      </c>
      <c r="U1393" s="1" t="s">
        <v>234</v>
      </c>
      <c r="V1393" s="1" t="s">
        <v>235</v>
      </c>
      <c r="W1393" s="1" t="s">
        <v>48</v>
      </c>
      <c r="X1393" s="1" t="s">
        <v>236</v>
      </c>
      <c r="Y1393" s="1" t="s">
        <v>237</v>
      </c>
      <c r="Z1393" s="1" t="str">
        <f>TRIM(_xlfn.CONCAT(sales_data_sample[[#This Row],[CONTACTFIRSTNAME]],", ",sales_data_sample[[#This Row],[CONTACTLASTNAME]]))</f>
        <v>Diego, Freyre</v>
      </c>
      <c r="AA1393" s="1" t="s">
        <v>59</v>
      </c>
    </row>
    <row r="1394" spans="1:27" x14ac:dyDescent="0.25">
      <c r="A1394" s="10">
        <v>10390</v>
      </c>
      <c r="B1394" s="9">
        <v>49</v>
      </c>
      <c r="C1394" s="9">
        <v>100</v>
      </c>
      <c r="D1394" s="9">
        <f>PRODUCT(sales_data_sample[[#This Row],[QUANTITYORDERED]],sales_data_sample[[#This Row],[PRICEEACH]])</f>
        <v>4900</v>
      </c>
      <c r="E1394" s="9">
        <f>IF(OR(sales_data_sample[[#This Row],[STATUS]]="Shipped",sales_data_sample[[#This Row],[STATUS]]="Resolved"),sales_data_sample[[#This Row],[SALES]],0)</f>
        <v>4900</v>
      </c>
      <c r="F1394" s="10">
        <v>3</v>
      </c>
      <c r="G1394" s="12" t="s">
        <v>796</v>
      </c>
      <c r="H1394" s="1" t="s">
        <v>26</v>
      </c>
      <c r="I1394">
        <v>1</v>
      </c>
      <c r="J1394">
        <v>3</v>
      </c>
      <c r="K1394">
        <v>2005</v>
      </c>
      <c r="L1394" s="1" t="s">
        <v>239</v>
      </c>
      <c r="M1394">
        <v>148</v>
      </c>
      <c r="N1394" s="1" t="s">
        <v>946</v>
      </c>
      <c r="O1394" s="1" t="s">
        <v>361</v>
      </c>
      <c r="P1394" s="1" t="s">
        <v>362</v>
      </c>
      <c r="Q1394" s="1" t="s">
        <v>363</v>
      </c>
      <c r="R1394" s="1" t="s">
        <v>32</v>
      </c>
      <c r="S1394" s="1" t="s">
        <v>364</v>
      </c>
      <c r="T1394" s="1" t="s">
        <v>65</v>
      </c>
      <c r="U1394" s="1" t="s">
        <v>145</v>
      </c>
      <c r="V1394" s="1" t="s">
        <v>36</v>
      </c>
      <c r="W1394" s="1" t="s">
        <v>37</v>
      </c>
      <c r="X1394" s="1" t="s">
        <v>365</v>
      </c>
      <c r="Y1394" s="1" t="s">
        <v>366</v>
      </c>
      <c r="Z1394" s="1" t="str">
        <f>TRIM(_xlfn.CONCAT(sales_data_sample[[#This Row],[CONTACTFIRSTNAME]],", ",sales_data_sample[[#This Row],[CONTACTLASTNAME]]))</f>
        <v>Valarie, Nelson</v>
      </c>
      <c r="AA1394" s="1" t="s">
        <v>59</v>
      </c>
    </row>
    <row r="1395" spans="1:27" x14ac:dyDescent="0.25">
      <c r="A1395" s="10">
        <v>10110</v>
      </c>
      <c r="B1395" s="9">
        <v>42</v>
      </c>
      <c r="C1395" s="9">
        <v>6129</v>
      </c>
      <c r="D1395" s="9">
        <f>PRODUCT(sales_data_sample[[#This Row],[QUANTITYORDERED]],sales_data_sample[[#This Row],[PRICEEACH]])</f>
        <v>257418</v>
      </c>
      <c r="E1395" s="9">
        <f>IF(OR(sales_data_sample[[#This Row],[STATUS]]="Shipped",sales_data_sample[[#This Row],[STATUS]]="Resolved"),sales_data_sample[[#This Row],[SALES]],0)</f>
        <v>257418</v>
      </c>
      <c r="F1395" s="10">
        <v>9</v>
      </c>
      <c r="G1395" s="12" t="s">
        <v>829</v>
      </c>
      <c r="H1395" s="1" t="s">
        <v>26</v>
      </c>
      <c r="I1395">
        <v>1</v>
      </c>
      <c r="J1395">
        <v>3</v>
      </c>
      <c r="K1395">
        <v>2003</v>
      </c>
      <c r="L1395" s="1" t="s">
        <v>239</v>
      </c>
      <c r="M1395">
        <v>71</v>
      </c>
      <c r="N1395" s="1" t="s">
        <v>947</v>
      </c>
      <c r="O1395" s="1" t="s">
        <v>695</v>
      </c>
      <c r="P1395" s="1" t="s">
        <v>696</v>
      </c>
      <c r="Q1395" s="1" t="s">
        <v>697</v>
      </c>
      <c r="R1395" s="1" t="s">
        <v>32</v>
      </c>
      <c r="S1395" s="1" t="s">
        <v>698</v>
      </c>
      <c r="T1395" s="1" t="s">
        <v>32</v>
      </c>
      <c r="U1395" s="1" t="s">
        <v>699</v>
      </c>
      <c r="V1395" s="1" t="s">
        <v>225</v>
      </c>
      <c r="W1395" s="1" t="s">
        <v>48</v>
      </c>
      <c r="X1395" s="1" t="s">
        <v>700</v>
      </c>
      <c r="Y1395" s="1" t="s">
        <v>118</v>
      </c>
      <c r="Z1395" s="1" t="str">
        <f>TRIM(_xlfn.CONCAT(sales_data_sample[[#This Row],[CONTACTFIRSTNAME]],", ",sales_data_sample[[#This Row],[CONTACTLASTNAME]]))</f>
        <v>Victoria, Ashworth</v>
      </c>
      <c r="AA1395" s="1" t="s">
        <v>40</v>
      </c>
    </row>
    <row r="1396" spans="1:27" x14ac:dyDescent="0.25">
      <c r="A1396" s="10">
        <v>10124</v>
      </c>
      <c r="B1396" s="9">
        <v>23</v>
      </c>
      <c r="C1396" s="9">
        <v>5773</v>
      </c>
      <c r="D1396" s="9">
        <f>PRODUCT(sales_data_sample[[#This Row],[QUANTITYORDERED]],sales_data_sample[[#This Row],[PRICEEACH]])</f>
        <v>132779</v>
      </c>
      <c r="E1396" s="9">
        <f>IF(OR(sales_data_sample[[#This Row],[STATUS]]="Shipped",sales_data_sample[[#This Row],[STATUS]]="Resolved"),sales_data_sample[[#This Row],[SALES]],0)</f>
        <v>132779</v>
      </c>
      <c r="F1396" s="10">
        <v>8</v>
      </c>
      <c r="G1396" s="12" t="s">
        <v>802</v>
      </c>
      <c r="H1396" s="1" t="s">
        <v>26</v>
      </c>
      <c r="I1396">
        <v>2</v>
      </c>
      <c r="J1396">
        <v>5</v>
      </c>
      <c r="K1396">
        <v>2003</v>
      </c>
      <c r="L1396" s="1" t="s">
        <v>239</v>
      </c>
      <c r="M1396">
        <v>71</v>
      </c>
      <c r="N1396" s="1" t="s">
        <v>947</v>
      </c>
      <c r="O1396" s="1" t="s">
        <v>779</v>
      </c>
      <c r="P1396" s="1" t="s">
        <v>780</v>
      </c>
      <c r="Q1396" s="1" t="s">
        <v>781</v>
      </c>
      <c r="R1396" s="1" t="s">
        <v>32</v>
      </c>
      <c r="S1396" s="1" t="s">
        <v>782</v>
      </c>
      <c r="T1396" s="1" t="s">
        <v>783</v>
      </c>
      <c r="U1396" s="1" t="s">
        <v>784</v>
      </c>
      <c r="V1396" s="1" t="s">
        <v>36</v>
      </c>
      <c r="W1396" s="1" t="s">
        <v>37</v>
      </c>
      <c r="X1396" s="1" t="s">
        <v>146</v>
      </c>
      <c r="Y1396" s="1" t="s">
        <v>551</v>
      </c>
      <c r="Z1396" s="1" t="str">
        <f>TRIM(_xlfn.CONCAT(sales_data_sample[[#This Row],[CONTACTFIRSTNAME]],", ",sales_data_sample[[#This Row],[CONTACTLASTNAME]]))</f>
        <v>Sue, King</v>
      </c>
      <c r="AA1396" s="1" t="s">
        <v>40</v>
      </c>
    </row>
    <row r="1397" spans="1:27" x14ac:dyDescent="0.25">
      <c r="A1397">
        <v>10148</v>
      </c>
      <c r="B1397">
        <v>29</v>
      </c>
      <c r="C1397">
        <v>8125</v>
      </c>
      <c r="D1397">
        <f>PRODUCT(sales_data_sample[[#This Row],[QUANTITYORDERED]],sales_data_sample[[#This Row],[PRICEEACH]])</f>
        <v>235625</v>
      </c>
      <c r="E1397" s="9">
        <f>IF(OR(sales_data_sample[[#This Row],[STATUS]]="Shipped",sales_data_sample[[#This Row],[STATUS]]="Resolved"),sales_data_sample[[#This Row],[SALES]],0)</f>
        <v>235625</v>
      </c>
      <c r="F1397">
        <v>2</v>
      </c>
      <c r="G1397" s="12" t="s">
        <v>774</v>
      </c>
      <c r="H1397" s="1" t="s">
        <v>26</v>
      </c>
      <c r="I1397">
        <v>3</v>
      </c>
      <c r="J1397">
        <v>9</v>
      </c>
      <c r="K1397">
        <v>2003</v>
      </c>
      <c r="L1397" s="1" t="s">
        <v>239</v>
      </c>
      <c r="M1397">
        <v>71</v>
      </c>
      <c r="N1397" s="1" t="s">
        <v>947</v>
      </c>
      <c r="O1397" s="1" t="s">
        <v>385</v>
      </c>
      <c r="P1397" s="1" t="s">
        <v>386</v>
      </c>
      <c r="Q1397" s="1" t="s">
        <v>387</v>
      </c>
      <c r="R1397" s="1" t="s">
        <v>388</v>
      </c>
      <c r="S1397" s="1" t="s">
        <v>389</v>
      </c>
      <c r="T1397" s="1" t="s">
        <v>206</v>
      </c>
      <c r="U1397" s="1" t="s">
        <v>390</v>
      </c>
      <c r="V1397" s="1" t="s">
        <v>120</v>
      </c>
      <c r="W1397" s="1" t="s">
        <v>121</v>
      </c>
      <c r="X1397" s="1" t="s">
        <v>391</v>
      </c>
      <c r="Y1397" s="1" t="s">
        <v>392</v>
      </c>
      <c r="Z1397" s="1" t="str">
        <f>TRIM(_xlfn.CONCAT(sales_data_sample[[#This Row],[CONTACTFIRSTNAME]],", ",sales_data_sample[[#This Row],[CONTACTLASTNAME]]))</f>
        <v>Anna, O'Hara</v>
      </c>
      <c r="AA1397" s="1" t="s">
        <v>40</v>
      </c>
    </row>
    <row r="1398" spans="1:27" x14ac:dyDescent="0.25">
      <c r="A1398" s="10">
        <v>10161</v>
      </c>
      <c r="B1398" s="9">
        <v>25</v>
      </c>
      <c r="C1398" s="9">
        <v>8054</v>
      </c>
      <c r="D1398" s="9">
        <f>PRODUCT(sales_data_sample[[#This Row],[QUANTITYORDERED]],sales_data_sample[[#This Row],[PRICEEACH]])</f>
        <v>201350</v>
      </c>
      <c r="E1398" s="9">
        <f>IF(OR(sales_data_sample[[#This Row],[STATUS]]="Shipped",sales_data_sample[[#This Row],[STATUS]]="Resolved"),sales_data_sample[[#This Row],[SALES]],0)</f>
        <v>201350</v>
      </c>
      <c r="F1398" s="10">
        <v>1</v>
      </c>
      <c r="G1398" s="12" t="s">
        <v>775</v>
      </c>
      <c r="H1398" s="1" t="s">
        <v>26</v>
      </c>
      <c r="I1398">
        <v>4</v>
      </c>
      <c r="J1398">
        <v>10</v>
      </c>
      <c r="K1398">
        <v>2003</v>
      </c>
      <c r="L1398" s="1" t="s">
        <v>239</v>
      </c>
      <c r="M1398">
        <v>71</v>
      </c>
      <c r="N1398" s="1" t="s">
        <v>947</v>
      </c>
      <c r="O1398" s="1" t="s">
        <v>701</v>
      </c>
      <c r="P1398" s="1" t="s">
        <v>702</v>
      </c>
      <c r="Q1398" s="1" t="s">
        <v>703</v>
      </c>
      <c r="R1398" s="1" t="s">
        <v>32</v>
      </c>
      <c r="S1398" s="1" t="s">
        <v>704</v>
      </c>
      <c r="T1398" s="1" t="s">
        <v>32</v>
      </c>
      <c r="U1398" s="1" t="s">
        <v>705</v>
      </c>
      <c r="V1398" s="1" t="s">
        <v>442</v>
      </c>
      <c r="W1398" s="1" t="s">
        <v>48</v>
      </c>
      <c r="X1398" s="1" t="s">
        <v>706</v>
      </c>
      <c r="Y1398" s="1" t="s">
        <v>707</v>
      </c>
      <c r="Z1398" s="1" t="str">
        <f>TRIM(_xlfn.CONCAT(sales_data_sample[[#This Row],[CONTACTFIRSTNAME]],", ",sales_data_sample[[#This Row],[CONTACTLASTNAME]]))</f>
        <v>Palle, Ibsen</v>
      </c>
      <c r="AA1398" s="1" t="s">
        <v>40</v>
      </c>
    </row>
    <row r="1399" spans="1:27" x14ac:dyDescent="0.25">
      <c r="A1399" s="10">
        <v>10173</v>
      </c>
      <c r="B1399" s="9">
        <v>39</v>
      </c>
      <c r="C1399" s="9">
        <v>7198</v>
      </c>
      <c r="D1399" s="9">
        <f>PRODUCT(sales_data_sample[[#This Row],[QUANTITYORDERED]],sales_data_sample[[#This Row],[PRICEEACH]])</f>
        <v>280722</v>
      </c>
      <c r="E1399" s="9">
        <f>IF(OR(sales_data_sample[[#This Row],[STATUS]]="Shipped",sales_data_sample[[#This Row],[STATUS]]="Resolved"),sales_data_sample[[#This Row],[SALES]],0)</f>
        <v>280722</v>
      </c>
      <c r="F1399" s="10">
        <v>15</v>
      </c>
      <c r="G1399" s="12" t="s">
        <v>776</v>
      </c>
      <c r="H1399" s="1" t="s">
        <v>26</v>
      </c>
      <c r="I1399">
        <v>4</v>
      </c>
      <c r="J1399">
        <v>11</v>
      </c>
      <c r="K1399">
        <v>2003</v>
      </c>
      <c r="L1399" s="1" t="s">
        <v>239</v>
      </c>
      <c r="M1399">
        <v>71</v>
      </c>
      <c r="N1399" s="1" t="s">
        <v>947</v>
      </c>
      <c r="O1399" s="1" t="s">
        <v>806</v>
      </c>
      <c r="P1399" s="1" t="s">
        <v>807</v>
      </c>
      <c r="Q1399" s="1" t="s">
        <v>808</v>
      </c>
      <c r="R1399" s="1" t="s">
        <v>32</v>
      </c>
      <c r="S1399" s="1" t="s">
        <v>809</v>
      </c>
      <c r="T1399" s="1" t="s">
        <v>32</v>
      </c>
      <c r="U1399" s="1" t="s">
        <v>810</v>
      </c>
      <c r="V1399" s="1" t="s">
        <v>343</v>
      </c>
      <c r="W1399" s="1" t="s">
        <v>48</v>
      </c>
      <c r="X1399" s="1" t="s">
        <v>811</v>
      </c>
      <c r="Y1399" s="1" t="s">
        <v>812</v>
      </c>
      <c r="Z1399" s="1" t="str">
        <f>TRIM(_xlfn.CONCAT(sales_data_sample[[#This Row],[CONTACTFIRSTNAME]],", ",sales_data_sample[[#This Row],[CONTACTLASTNAME]]))</f>
        <v>Giovanni, Rovelli</v>
      </c>
      <c r="AA1399" s="1" t="s">
        <v>40</v>
      </c>
    </row>
    <row r="1400" spans="1:27" x14ac:dyDescent="0.25">
      <c r="A1400" s="10">
        <v>10182</v>
      </c>
      <c r="B1400" s="9">
        <v>44</v>
      </c>
      <c r="C1400" s="9">
        <v>6984</v>
      </c>
      <c r="D1400" s="9">
        <f>PRODUCT(sales_data_sample[[#This Row],[QUANTITYORDERED]],sales_data_sample[[#This Row],[PRICEEACH]])</f>
        <v>307296</v>
      </c>
      <c r="E1400" s="9">
        <f>IF(OR(sales_data_sample[[#This Row],[STATUS]]="Shipped",sales_data_sample[[#This Row],[STATUS]]="Resolved"),sales_data_sample[[#This Row],[SALES]],0)</f>
        <v>307296</v>
      </c>
      <c r="F1400" s="10">
        <v>12</v>
      </c>
      <c r="G1400" s="12" t="s">
        <v>610</v>
      </c>
      <c r="H1400" s="1" t="s">
        <v>26</v>
      </c>
      <c r="I1400">
        <v>4</v>
      </c>
      <c r="J1400">
        <v>11</v>
      </c>
      <c r="K1400">
        <v>2003</v>
      </c>
      <c r="L1400" s="1" t="s">
        <v>239</v>
      </c>
      <c r="M1400">
        <v>71</v>
      </c>
      <c r="N1400" s="1" t="s">
        <v>947</v>
      </c>
      <c r="O1400" s="1" t="s">
        <v>361</v>
      </c>
      <c r="P1400" s="1" t="s">
        <v>362</v>
      </c>
      <c r="Q1400" s="1" t="s">
        <v>363</v>
      </c>
      <c r="R1400" s="1" t="s">
        <v>32</v>
      </c>
      <c r="S1400" s="1" t="s">
        <v>364</v>
      </c>
      <c r="T1400" s="1" t="s">
        <v>65</v>
      </c>
      <c r="U1400" s="1" t="s">
        <v>145</v>
      </c>
      <c r="V1400" s="1" t="s">
        <v>36</v>
      </c>
      <c r="W1400" s="1" t="s">
        <v>37</v>
      </c>
      <c r="X1400" s="1" t="s">
        <v>365</v>
      </c>
      <c r="Y1400" s="1" t="s">
        <v>366</v>
      </c>
      <c r="Z1400" s="1" t="str">
        <f>TRIM(_xlfn.CONCAT(sales_data_sample[[#This Row],[CONTACTFIRSTNAME]],", ",sales_data_sample[[#This Row],[CONTACTLASTNAME]]))</f>
        <v>Valarie, Nelson</v>
      </c>
      <c r="AA1400" s="1" t="s">
        <v>59</v>
      </c>
    </row>
    <row r="1401" spans="1:27" x14ac:dyDescent="0.25">
      <c r="A1401" s="10">
        <v>10193</v>
      </c>
      <c r="B1401" s="9">
        <v>25</v>
      </c>
      <c r="C1401" s="9">
        <v>7626</v>
      </c>
      <c r="D1401" s="9">
        <f>PRODUCT(sales_data_sample[[#This Row],[QUANTITYORDERED]],sales_data_sample[[#This Row],[PRICEEACH]])</f>
        <v>190650</v>
      </c>
      <c r="E1401" s="9">
        <f>IF(OR(sales_data_sample[[#This Row],[STATUS]]="Shipped",sales_data_sample[[#This Row],[STATUS]]="Resolved"),sales_data_sample[[#This Row],[SALES]],0)</f>
        <v>190650</v>
      </c>
      <c r="F1401" s="10">
        <v>16</v>
      </c>
      <c r="G1401" s="12" t="s">
        <v>813</v>
      </c>
      <c r="H1401" s="1" t="s">
        <v>26</v>
      </c>
      <c r="I1401">
        <v>4</v>
      </c>
      <c r="J1401">
        <v>11</v>
      </c>
      <c r="K1401">
        <v>2003</v>
      </c>
      <c r="L1401" s="1" t="s">
        <v>239</v>
      </c>
      <c r="M1401">
        <v>71</v>
      </c>
      <c r="N1401" s="1" t="s">
        <v>947</v>
      </c>
      <c r="O1401" s="1" t="s">
        <v>814</v>
      </c>
      <c r="P1401" s="1" t="s">
        <v>815</v>
      </c>
      <c r="Q1401" s="1" t="s">
        <v>816</v>
      </c>
      <c r="R1401" s="1" t="s">
        <v>32</v>
      </c>
      <c r="S1401" s="1" t="s">
        <v>817</v>
      </c>
      <c r="T1401" s="1" t="s">
        <v>118</v>
      </c>
      <c r="U1401" s="1" t="s">
        <v>818</v>
      </c>
      <c r="V1401" s="1" t="s">
        <v>120</v>
      </c>
      <c r="W1401" s="1" t="s">
        <v>121</v>
      </c>
      <c r="X1401" s="1" t="s">
        <v>819</v>
      </c>
      <c r="Y1401" s="1" t="s">
        <v>820</v>
      </c>
      <c r="Z1401" s="1" t="str">
        <f>TRIM(_xlfn.CONCAT(sales_data_sample[[#This Row],[CONTACTFIRSTNAME]],", ",sales_data_sample[[#This Row],[CONTACTLASTNAME]]))</f>
        <v>Sean, Connery</v>
      </c>
      <c r="AA1401" s="1" t="s">
        <v>40</v>
      </c>
    </row>
    <row r="1402" spans="1:27" x14ac:dyDescent="0.25">
      <c r="A1402">
        <v>10204</v>
      </c>
      <c r="B1402">
        <v>45</v>
      </c>
      <c r="C1402">
        <v>7626</v>
      </c>
      <c r="D1402">
        <f>PRODUCT(sales_data_sample[[#This Row],[QUANTITYORDERED]],sales_data_sample[[#This Row],[PRICEEACH]])</f>
        <v>343170</v>
      </c>
      <c r="E1402" s="9">
        <f>IF(OR(sales_data_sample[[#This Row],[STATUS]]="Shipped",sales_data_sample[[#This Row],[STATUS]]="Resolved"),sales_data_sample[[#This Row],[SALES]],0)</f>
        <v>343170</v>
      </c>
      <c r="F1402">
        <v>6</v>
      </c>
      <c r="G1402" s="12" t="s">
        <v>620</v>
      </c>
      <c r="H1402" s="1" t="s">
        <v>26</v>
      </c>
      <c r="I1402">
        <v>4</v>
      </c>
      <c r="J1402">
        <v>12</v>
      </c>
      <c r="K1402">
        <v>2003</v>
      </c>
      <c r="L1402" s="1" t="s">
        <v>239</v>
      </c>
      <c r="M1402">
        <v>71</v>
      </c>
      <c r="N1402" s="1" t="s">
        <v>947</v>
      </c>
      <c r="O1402" s="1" t="s">
        <v>667</v>
      </c>
      <c r="P1402" s="1" t="s">
        <v>668</v>
      </c>
      <c r="Q1402" s="1" t="s">
        <v>669</v>
      </c>
      <c r="R1402" s="1" t="s">
        <v>670</v>
      </c>
      <c r="S1402" s="1" t="s">
        <v>33</v>
      </c>
      <c r="T1402" s="1" t="s">
        <v>34</v>
      </c>
      <c r="U1402" s="1" t="s">
        <v>35</v>
      </c>
      <c r="V1402" s="1" t="s">
        <v>36</v>
      </c>
      <c r="W1402" s="1" t="s">
        <v>37</v>
      </c>
      <c r="X1402" s="1" t="s">
        <v>67</v>
      </c>
      <c r="Y1402" s="1" t="s">
        <v>671</v>
      </c>
      <c r="Z1402" s="1" t="str">
        <f>TRIM(_xlfn.CONCAT(sales_data_sample[[#This Row],[CONTACTFIRSTNAME]],", ",sales_data_sample[[#This Row],[CONTACTLASTNAME]]))</f>
        <v>Jeff, Young</v>
      </c>
      <c r="AA1402" s="1" t="s">
        <v>59</v>
      </c>
    </row>
    <row r="1403" spans="1:27" x14ac:dyDescent="0.25">
      <c r="A1403" s="10">
        <v>10213</v>
      </c>
      <c r="B1403" s="9">
        <v>25</v>
      </c>
      <c r="C1403" s="9">
        <v>8339</v>
      </c>
      <c r="D1403" s="9">
        <f>PRODUCT(sales_data_sample[[#This Row],[QUANTITYORDERED]],sales_data_sample[[#This Row],[PRICEEACH]])</f>
        <v>208475</v>
      </c>
      <c r="E1403" s="9">
        <f>IF(OR(sales_data_sample[[#This Row],[STATUS]]="Shipped",sales_data_sample[[#This Row],[STATUS]]="Resolved"),sales_data_sample[[#This Row],[SALES]],0)</f>
        <v>208475</v>
      </c>
      <c r="F1403" s="10">
        <v>2</v>
      </c>
      <c r="G1403" s="12" t="s">
        <v>941</v>
      </c>
      <c r="H1403" s="1" t="s">
        <v>26</v>
      </c>
      <c r="I1403">
        <v>1</v>
      </c>
      <c r="J1403">
        <v>1</v>
      </c>
      <c r="K1403">
        <v>2004</v>
      </c>
      <c r="L1403" s="1" t="s">
        <v>239</v>
      </c>
      <c r="M1403">
        <v>71</v>
      </c>
      <c r="N1403" s="1" t="s">
        <v>947</v>
      </c>
      <c r="O1403" s="1" t="s">
        <v>471</v>
      </c>
      <c r="P1403" s="1" t="s">
        <v>472</v>
      </c>
      <c r="Q1403" s="1" t="s">
        <v>473</v>
      </c>
      <c r="R1403" s="1" t="s">
        <v>32</v>
      </c>
      <c r="S1403" s="1" t="s">
        <v>450</v>
      </c>
      <c r="T1403" s="1" t="s">
        <v>32</v>
      </c>
      <c r="U1403" s="1" t="s">
        <v>474</v>
      </c>
      <c r="V1403" s="1" t="s">
        <v>225</v>
      </c>
      <c r="W1403" s="1" t="s">
        <v>48</v>
      </c>
      <c r="X1403" s="1" t="s">
        <v>475</v>
      </c>
      <c r="Y1403" s="1" t="s">
        <v>476</v>
      </c>
      <c r="Z1403" s="1" t="str">
        <f>TRIM(_xlfn.CONCAT(sales_data_sample[[#This Row],[CONTACTFIRSTNAME]],", ",sales_data_sample[[#This Row],[CONTACTLASTNAME]]))</f>
        <v>Thomas, Hardy</v>
      </c>
      <c r="AA1403" s="1" t="s">
        <v>40</v>
      </c>
    </row>
    <row r="1404" spans="1:27" x14ac:dyDescent="0.25">
      <c r="A1404" s="10">
        <v>10227</v>
      </c>
      <c r="B1404" s="9">
        <v>37</v>
      </c>
      <c r="C1404" s="9">
        <v>5773</v>
      </c>
      <c r="D1404" s="9">
        <f>PRODUCT(sales_data_sample[[#This Row],[QUANTITYORDERED]],sales_data_sample[[#This Row],[PRICEEACH]])</f>
        <v>213601</v>
      </c>
      <c r="E1404" s="9">
        <f>IF(OR(sales_data_sample[[#This Row],[STATUS]]="Shipped",sales_data_sample[[#This Row],[STATUS]]="Resolved"),sales_data_sample[[#This Row],[SALES]],0)</f>
        <v>213601</v>
      </c>
      <c r="F1404" s="10">
        <v>12</v>
      </c>
      <c r="G1404" s="12" t="s">
        <v>822</v>
      </c>
      <c r="H1404" s="1" t="s">
        <v>26</v>
      </c>
      <c r="I1404">
        <v>1</v>
      </c>
      <c r="J1404">
        <v>3</v>
      </c>
      <c r="K1404">
        <v>2004</v>
      </c>
      <c r="L1404" s="1" t="s">
        <v>239</v>
      </c>
      <c r="M1404">
        <v>71</v>
      </c>
      <c r="N1404" s="1" t="s">
        <v>947</v>
      </c>
      <c r="O1404" s="1" t="s">
        <v>291</v>
      </c>
      <c r="P1404" s="1" t="s">
        <v>292</v>
      </c>
      <c r="Q1404" s="1" t="s">
        <v>293</v>
      </c>
      <c r="R1404" s="1" t="s">
        <v>32</v>
      </c>
      <c r="S1404" s="1" t="s">
        <v>294</v>
      </c>
      <c r="T1404" s="1" t="s">
        <v>32</v>
      </c>
      <c r="U1404" s="1" t="s">
        <v>295</v>
      </c>
      <c r="V1404" s="1" t="s">
        <v>47</v>
      </c>
      <c r="W1404" s="1" t="s">
        <v>48</v>
      </c>
      <c r="X1404" s="1" t="s">
        <v>296</v>
      </c>
      <c r="Y1404" s="1" t="s">
        <v>297</v>
      </c>
      <c r="Z1404" s="1" t="str">
        <f>TRIM(_xlfn.CONCAT(sales_data_sample[[#This Row],[CONTACTFIRSTNAME]],", ",sales_data_sample[[#This Row],[CONTACTLASTNAME]]))</f>
        <v>Mary, Saveley</v>
      </c>
      <c r="AA1404" s="1" t="s">
        <v>40</v>
      </c>
    </row>
    <row r="1405" spans="1:27" x14ac:dyDescent="0.25">
      <c r="A1405" s="10">
        <v>10241</v>
      </c>
      <c r="B1405" s="9">
        <v>30</v>
      </c>
      <c r="C1405" s="9">
        <v>6699</v>
      </c>
      <c r="D1405" s="9">
        <f>PRODUCT(sales_data_sample[[#This Row],[QUANTITYORDERED]],sales_data_sample[[#This Row],[PRICEEACH]])</f>
        <v>200970</v>
      </c>
      <c r="E1405" s="9">
        <f>IF(OR(sales_data_sample[[#This Row],[STATUS]]="Shipped",sales_data_sample[[#This Row],[STATUS]]="Resolved"),sales_data_sample[[#This Row],[SALES]],0)</f>
        <v>200970</v>
      </c>
      <c r="F1405" s="10">
        <v>4</v>
      </c>
      <c r="G1405" s="12" t="s">
        <v>777</v>
      </c>
      <c r="H1405" s="1" t="s">
        <v>26</v>
      </c>
      <c r="I1405">
        <v>2</v>
      </c>
      <c r="J1405">
        <v>4</v>
      </c>
      <c r="K1405">
        <v>2004</v>
      </c>
      <c r="L1405" s="1" t="s">
        <v>239</v>
      </c>
      <c r="M1405">
        <v>71</v>
      </c>
      <c r="N1405" s="1" t="s">
        <v>947</v>
      </c>
      <c r="O1405" s="1" t="s">
        <v>763</v>
      </c>
      <c r="P1405" s="1" t="s">
        <v>764</v>
      </c>
      <c r="Q1405" s="1" t="s">
        <v>765</v>
      </c>
      <c r="R1405" s="1" t="s">
        <v>32</v>
      </c>
      <c r="S1405" s="1" t="s">
        <v>766</v>
      </c>
      <c r="T1405" s="1" t="s">
        <v>32</v>
      </c>
      <c r="U1405" s="1" t="s">
        <v>767</v>
      </c>
      <c r="V1405" s="1" t="s">
        <v>47</v>
      </c>
      <c r="W1405" s="1" t="s">
        <v>48</v>
      </c>
      <c r="X1405" s="1" t="s">
        <v>768</v>
      </c>
      <c r="Y1405" s="1" t="s">
        <v>769</v>
      </c>
      <c r="Z1405" s="1" t="str">
        <f>TRIM(_xlfn.CONCAT(sales_data_sample[[#This Row],[CONTACTFIRSTNAME]],", ",sales_data_sample[[#This Row],[CONTACTLASTNAME]]))</f>
        <v>Frederique, Citeaux</v>
      </c>
      <c r="AA1405" s="1" t="s">
        <v>40</v>
      </c>
    </row>
    <row r="1406" spans="1:27" x14ac:dyDescent="0.25">
      <c r="A1406">
        <v>10267</v>
      </c>
      <c r="B1406">
        <v>36</v>
      </c>
      <c r="C1406">
        <v>7555</v>
      </c>
      <c r="D1406">
        <f>PRODUCT(sales_data_sample[[#This Row],[QUANTITYORDERED]],sales_data_sample[[#This Row],[PRICEEACH]])</f>
        <v>271980</v>
      </c>
      <c r="E1406" s="9">
        <f>IF(OR(sales_data_sample[[#This Row],[STATUS]]="Shipped",sales_data_sample[[#This Row],[STATUS]]="Resolved"),sales_data_sample[[#This Row],[SALES]],0)</f>
        <v>271980</v>
      </c>
      <c r="F1406">
        <v>1</v>
      </c>
      <c r="G1406" s="12" t="s">
        <v>948</v>
      </c>
      <c r="H1406" s="1" t="s">
        <v>26</v>
      </c>
      <c r="I1406">
        <v>3</v>
      </c>
      <c r="J1406">
        <v>7</v>
      </c>
      <c r="K1406">
        <v>2004</v>
      </c>
      <c r="L1406" s="1" t="s">
        <v>239</v>
      </c>
      <c r="M1406">
        <v>71</v>
      </c>
      <c r="N1406" s="1" t="s">
        <v>947</v>
      </c>
      <c r="O1406" s="1" t="s">
        <v>667</v>
      </c>
      <c r="P1406" s="1" t="s">
        <v>668</v>
      </c>
      <c r="Q1406" s="1" t="s">
        <v>669</v>
      </c>
      <c r="R1406" s="1" t="s">
        <v>670</v>
      </c>
      <c r="S1406" s="1" t="s">
        <v>33</v>
      </c>
      <c r="T1406" s="1" t="s">
        <v>34</v>
      </c>
      <c r="U1406" s="1" t="s">
        <v>35</v>
      </c>
      <c r="V1406" s="1" t="s">
        <v>36</v>
      </c>
      <c r="W1406" s="1" t="s">
        <v>37</v>
      </c>
      <c r="X1406" s="1" t="s">
        <v>67</v>
      </c>
      <c r="Y1406" s="1" t="s">
        <v>671</v>
      </c>
      <c r="Z1406" s="1" t="str">
        <f>TRIM(_xlfn.CONCAT(sales_data_sample[[#This Row],[CONTACTFIRSTNAME]],", ",sales_data_sample[[#This Row],[CONTACTLASTNAME]]))</f>
        <v>Jeff, Young</v>
      </c>
      <c r="AA1406" s="1" t="s">
        <v>40</v>
      </c>
    </row>
    <row r="1407" spans="1:27" x14ac:dyDescent="0.25">
      <c r="A1407" s="10">
        <v>10279</v>
      </c>
      <c r="B1407" s="9">
        <v>26</v>
      </c>
      <c r="C1407" s="9">
        <v>6058</v>
      </c>
      <c r="D1407" s="9">
        <f>PRODUCT(sales_data_sample[[#This Row],[QUANTITYORDERED]],sales_data_sample[[#This Row],[PRICEEACH]])</f>
        <v>157508</v>
      </c>
      <c r="E1407" s="9">
        <f>IF(OR(sales_data_sample[[#This Row],[STATUS]]="Shipped",sales_data_sample[[#This Row],[STATUS]]="Resolved"),sales_data_sample[[#This Row],[SALES]],0)</f>
        <v>157508</v>
      </c>
      <c r="F1407" s="10">
        <v>1</v>
      </c>
      <c r="G1407" s="12" t="s">
        <v>949</v>
      </c>
      <c r="H1407" s="1" t="s">
        <v>26</v>
      </c>
      <c r="I1407">
        <v>3</v>
      </c>
      <c r="J1407">
        <v>8</v>
      </c>
      <c r="K1407">
        <v>2004</v>
      </c>
      <c r="L1407" s="1" t="s">
        <v>239</v>
      </c>
      <c r="M1407">
        <v>71</v>
      </c>
      <c r="N1407" s="1" t="s">
        <v>947</v>
      </c>
      <c r="O1407" s="1" t="s">
        <v>230</v>
      </c>
      <c r="P1407" s="1" t="s">
        <v>231</v>
      </c>
      <c r="Q1407" s="1" t="s">
        <v>232</v>
      </c>
      <c r="R1407" s="1" t="s">
        <v>32</v>
      </c>
      <c r="S1407" s="1" t="s">
        <v>233</v>
      </c>
      <c r="T1407" s="1" t="s">
        <v>32</v>
      </c>
      <c r="U1407" s="1" t="s">
        <v>234</v>
      </c>
      <c r="V1407" s="1" t="s">
        <v>235</v>
      </c>
      <c r="W1407" s="1" t="s">
        <v>48</v>
      </c>
      <c r="X1407" s="1" t="s">
        <v>236</v>
      </c>
      <c r="Y1407" s="1" t="s">
        <v>237</v>
      </c>
      <c r="Z1407" s="1" t="str">
        <f>TRIM(_xlfn.CONCAT(sales_data_sample[[#This Row],[CONTACTFIRSTNAME]],", ",sales_data_sample[[#This Row],[CONTACTLASTNAME]]))</f>
        <v>Diego, Freyre</v>
      </c>
      <c r="AA1407" s="1" t="s">
        <v>40</v>
      </c>
    </row>
    <row r="1408" spans="1:27" x14ac:dyDescent="0.25">
      <c r="A1408">
        <v>10288</v>
      </c>
      <c r="B1408">
        <v>23</v>
      </c>
      <c r="C1408">
        <v>7341</v>
      </c>
      <c r="D1408">
        <f>PRODUCT(sales_data_sample[[#This Row],[QUANTITYORDERED]],sales_data_sample[[#This Row],[PRICEEACH]])</f>
        <v>168843</v>
      </c>
      <c r="E1408" s="9">
        <f>IF(OR(sales_data_sample[[#This Row],[STATUS]]="Shipped",sales_data_sample[[#This Row],[STATUS]]="Resolved"),sales_data_sample[[#This Row],[SALES]],0)</f>
        <v>168843</v>
      </c>
      <c r="F1408">
        <v>7</v>
      </c>
      <c r="G1408" s="12" t="s">
        <v>834</v>
      </c>
      <c r="H1408" s="1" t="s">
        <v>26</v>
      </c>
      <c r="I1408">
        <v>3</v>
      </c>
      <c r="J1408">
        <v>9</v>
      </c>
      <c r="K1408">
        <v>2004</v>
      </c>
      <c r="L1408" s="1" t="s">
        <v>239</v>
      </c>
      <c r="M1408">
        <v>71</v>
      </c>
      <c r="N1408" s="1" t="s">
        <v>947</v>
      </c>
      <c r="O1408" s="1" t="s">
        <v>577</v>
      </c>
      <c r="P1408" s="1" t="s">
        <v>578</v>
      </c>
      <c r="Q1408" s="1" t="s">
        <v>579</v>
      </c>
      <c r="R1408" s="1" t="s">
        <v>580</v>
      </c>
      <c r="S1408" s="1" t="s">
        <v>262</v>
      </c>
      <c r="T1408" s="1" t="s">
        <v>32</v>
      </c>
      <c r="U1408" s="1" t="s">
        <v>581</v>
      </c>
      <c r="V1408" s="1" t="s">
        <v>262</v>
      </c>
      <c r="W1408" s="1" t="s">
        <v>121</v>
      </c>
      <c r="X1408" s="1" t="s">
        <v>582</v>
      </c>
      <c r="Y1408" s="1" t="s">
        <v>583</v>
      </c>
      <c r="Z1408" s="1" t="str">
        <f>TRIM(_xlfn.CONCAT(sales_data_sample[[#This Row],[CONTACTFIRSTNAME]],", ",sales_data_sample[[#This Row],[CONTACTLASTNAME]]))</f>
        <v>Wendy, Victorino</v>
      </c>
      <c r="AA1408" s="1" t="s">
        <v>40</v>
      </c>
    </row>
    <row r="1409" spans="1:27" x14ac:dyDescent="0.25">
      <c r="A1409" s="10">
        <v>10302</v>
      </c>
      <c r="B1409" s="9">
        <v>23</v>
      </c>
      <c r="C1409" s="9">
        <v>727</v>
      </c>
      <c r="D1409" s="9">
        <f>PRODUCT(sales_data_sample[[#This Row],[QUANTITYORDERED]],sales_data_sample[[#This Row],[PRICEEACH]])</f>
        <v>16721</v>
      </c>
      <c r="E1409" s="9">
        <f>IF(OR(sales_data_sample[[#This Row],[STATUS]]="Shipped",sales_data_sample[[#This Row],[STATUS]]="Resolved"),sales_data_sample[[#This Row],[SALES]],0)</f>
        <v>16721</v>
      </c>
      <c r="F1409" s="10">
        <v>3</v>
      </c>
      <c r="G1409" s="12" t="s">
        <v>459</v>
      </c>
      <c r="H1409" s="1" t="s">
        <v>26</v>
      </c>
      <c r="I1409">
        <v>4</v>
      </c>
      <c r="J1409">
        <v>10</v>
      </c>
      <c r="K1409">
        <v>2003</v>
      </c>
      <c r="L1409" s="1" t="s">
        <v>239</v>
      </c>
      <c r="M1409">
        <v>71</v>
      </c>
      <c r="N1409" s="1" t="s">
        <v>947</v>
      </c>
      <c r="O1409" s="1" t="s">
        <v>220</v>
      </c>
      <c r="P1409" s="1" t="s">
        <v>221</v>
      </c>
      <c r="Q1409" s="1" t="s">
        <v>222</v>
      </c>
      <c r="R1409" s="1" t="s">
        <v>32</v>
      </c>
      <c r="S1409" s="1" t="s">
        <v>223</v>
      </c>
      <c r="T1409" s="1" t="s">
        <v>32</v>
      </c>
      <c r="U1409" s="1" t="s">
        <v>224</v>
      </c>
      <c r="V1409" s="1" t="s">
        <v>225</v>
      </c>
      <c r="W1409" s="1" t="s">
        <v>48</v>
      </c>
      <c r="X1409" s="1" t="s">
        <v>226</v>
      </c>
      <c r="Y1409" s="1" t="s">
        <v>227</v>
      </c>
      <c r="Z1409" s="1" t="str">
        <f>TRIM(_xlfn.CONCAT(sales_data_sample[[#This Row],[CONTACTFIRSTNAME]],", ",sales_data_sample[[#This Row],[CONTACTLASTNAME]]))</f>
        <v>Elizabeth, Devon</v>
      </c>
      <c r="AA1409" s="1" t="s">
        <v>40</v>
      </c>
    </row>
    <row r="1410" spans="1:27" x14ac:dyDescent="0.25">
      <c r="A1410" s="10">
        <v>10311</v>
      </c>
      <c r="B1410" s="9">
        <v>25</v>
      </c>
      <c r="C1410" s="9">
        <v>6699</v>
      </c>
      <c r="D1410" s="9">
        <f>PRODUCT(sales_data_sample[[#This Row],[QUANTITYORDERED]],sales_data_sample[[#This Row],[PRICEEACH]])</f>
        <v>167475</v>
      </c>
      <c r="E1410" s="9">
        <f>IF(OR(sales_data_sample[[#This Row],[STATUS]]="Shipped",sales_data_sample[[#This Row],[STATUS]]="Resolved"),sales_data_sample[[#This Row],[SALES]],0)</f>
        <v>167475</v>
      </c>
      <c r="F1410" s="10">
        <v>2</v>
      </c>
      <c r="G1410" s="12" t="s">
        <v>653</v>
      </c>
      <c r="H1410" s="1" t="s">
        <v>26</v>
      </c>
      <c r="I1410">
        <v>4</v>
      </c>
      <c r="J1410">
        <v>10</v>
      </c>
      <c r="K1410">
        <v>2004</v>
      </c>
      <c r="L1410" s="1" t="s">
        <v>239</v>
      </c>
      <c r="M1410">
        <v>71</v>
      </c>
      <c r="N1410" s="1" t="s">
        <v>947</v>
      </c>
      <c r="O1410" s="1" t="s">
        <v>230</v>
      </c>
      <c r="P1410" s="1" t="s">
        <v>231</v>
      </c>
      <c r="Q1410" s="1" t="s">
        <v>232</v>
      </c>
      <c r="R1410" s="1" t="s">
        <v>32</v>
      </c>
      <c r="S1410" s="1" t="s">
        <v>233</v>
      </c>
      <c r="T1410" s="1" t="s">
        <v>32</v>
      </c>
      <c r="U1410" s="1" t="s">
        <v>234</v>
      </c>
      <c r="V1410" s="1" t="s">
        <v>235</v>
      </c>
      <c r="W1410" s="1" t="s">
        <v>48</v>
      </c>
      <c r="X1410" s="1" t="s">
        <v>236</v>
      </c>
      <c r="Y1410" s="1" t="s">
        <v>237</v>
      </c>
      <c r="Z1410" s="1" t="str">
        <f>TRIM(_xlfn.CONCAT(sales_data_sample[[#This Row],[CONTACTFIRSTNAME]],", ",sales_data_sample[[#This Row],[CONTACTLASTNAME]]))</f>
        <v>Diego, Freyre</v>
      </c>
      <c r="AA1410" s="1" t="s">
        <v>40</v>
      </c>
    </row>
    <row r="1411" spans="1:27" x14ac:dyDescent="0.25">
      <c r="A1411" s="10">
        <v>10332</v>
      </c>
      <c r="B1411" s="9">
        <v>21</v>
      </c>
      <c r="C1411" s="9">
        <v>100</v>
      </c>
      <c r="D1411" s="9">
        <f>PRODUCT(sales_data_sample[[#This Row],[QUANTITYORDERED]],sales_data_sample[[#This Row],[PRICEEACH]])</f>
        <v>2100</v>
      </c>
      <c r="E1411" s="9">
        <f>IF(OR(sales_data_sample[[#This Row],[STATUS]]="Shipped",sales_data_sample[[#This Row],[STATUS]]="Resolved"),sales_data_sample[[#This Row],[SALES]],0)</f>
        <v>2100</v>
      </c>
      <c r="F1411" s="10">
        <v>3</v>
      </c>
      <c r="G1411" s="12" t="s">
        <v>793</v>
      </c>
      <c r="H1411" s="1" t="s">
        <v>26</v>
      </c>
      <c r="I1411">
        <v>4</v>
      </c>
      <c r="J1411">
        <v>11</v>
      </c>
      <c r="K1411">
        <v>2004</v>
      </c>
      <c r="L1411" s="1" t="s">
        <v>239</v>
      </c>
      <c r="M1411">
        <v>71</v>
      </c>
      <c r="N1411" s="1" t="s">
        <v>947</v>
      </c>
      <c r="O1411" s="1" t="s">
        <v>695</v>
      </c>
      <c r="P1411" s="1" t="s">
        <v>696</v>
      </c>
      <c r="Q1411" s="1" t="s">
        <v>697</v>
      </c>
      <c r="R1411" s="1" t="s">
        <v>32</v>
      </c>
      <c r="S1411" s="1" t="s">
        <v>698</v>
      </c>
      <c r="T1411" s="1" t="s">
        <v>32</v>
      </c>
      <c r="U1411" s="1" t="s">
        <v>699</v>
      </c>
      <c r="V1411" s="1" t="s">
        <v>225</v>
      </c>
      <c r="W1411" s="1" t="s">
        <v>48</v>
      </c>
      <c r="X1411" s="1" t="s">
        <v>700</v>
      </c>
      <c r="Y1411" s="1" t="s">
        <v>118</v>
      </c>
      <c r="Z1411" s="1" t="str">
        <f>TRIM(_xlfn.CONCAT(sales_data_sample[[#This Row],[CONTACTFIRSTNAME]],", ",sales_data_sample[[#This Row],[CONTACTLASTNAME]]))</f>
        <v>Victoria, Ashworth</v>
      </c>
      <c r="AA1411" s="1" t="s">
        <v>59</v>
      </c>
    </row>
    <row r="1412" spans="1:27" x14ac:dyDescent="0.25">
      <c r="A1412" s="10">
        <v>10344</v>
      </c>
      <c r="B1412" s="9">
        <v>26</v>
      </c>
      <c r="C1412" s="9">
        <v>6343</v>
      </c>
      <c r="D1412" s="9">
        <f>PRODUCT(sales_data_sample[[#This Row],[QUANTITYORDERED]],sales_data_sample[[#This Row],[PRICEEACH]])</f>
        <v>164918</v>
      </c>
      <c r="E1412" s="9">
        <f>IF(OR(sales_data_sample[[#This Row],[STATUS]]="Shipped",sales_data_sample[[#This Row],[STATUS]]="Resolved"),sales_data_sample[[#This Row],[SALES]],0)</f>
        <v>164918</v>
      </c>
      <c r="F1412" s="10">
        <v>5</v>
      </c>
      <c r="G1412" s="12" t="s">
        <v>875</v>
      </c>
      <c r="H1412" s="1" t="s">
        <v>26</v>
      </c>
      <c r="I1412">
        <v>4</v>
      </c>
      <c r="J1412">
        <v>11</v>
      </c>
      <c r="K1412">
        <v>2004</v>
      </c>
      <c r="L1412" s="1" t="s">
        <v>239</v>
      </c>
      <c r="M1412">
        <v>71</v>
      </c>
      <c r="N1412" s="1" t="s">
        <v>947</v>
      </c>
      <c r="O1412" s="1" t="s">
        <v>600</v>
      </c>
      <c r="P1412" s="1" t="s">
        <v>601</v>
      </c>
      <c r="Q1412" s="1" t="s">
        <v>602</v>
      </c>
      <c r="R1412" s="1" t="s">
        <v>32</v>
      </c>
      <c r="S1412" s="1" t="s">
        <v>603</v>
      </c>
      <c r="T1412" s="1" t="s">
        <v>32</v>
      </c>
      <c r="U1412" s="1" t="s">
        <v>604</v>
      </c>
      <c r="V1412" s="1" t="s">
        <v>47</v>
      </c>
      <c r="W1412" s="1" t="s">
        <v>48</v>
      </c>
      <c r="X1412" s="1" t="s">
        <v>605</v>
      </c>
      <c r="Y1412" s="1" t="s">
        <v>606</v>
      </c>
      <c r="Z1412" s="1" t="str">
        <f>TRIM(_xlfn.CONCAT(sales_data_sample[[#This Row],[CONTACTFIRSTNAME]],", ",sales_data_sample[[#This Row],[CONTACTLASTNAME]]))</f>
        <v>Laurence, Lebihan</v>
      </c>
      <c r="AA1412" s="1" t="s">
        <v>40</v>
      </c>
    </row>
    <row r="1413" spans="1:27" x14ac:dyDescent="0.25">
      <c r="A1413" s="10">
        <v>10367</v>
      </c>
      <c r="B1413" s="9">
        <v>44</v>
      </c>
      <c r="C1413" s="9">
        <v>8525</v>
      </c>
      <c r="D1413" s="9">
        <f>PRODUCT(sales_data_sample[[#This Row],[QUANTITYORDERED]],sales_data_sample[[#This Row],[PRICEEACH]])</f>
        <v>375100</v>
      </c>
      <c r="E1413" s="9">
        <f>IF(OR(sales_data_sample[[#This Row],[STATUS]]="Shipped",sales_data_sample[[#This Row],[STATUS]]="Resolved"),sales_data_sample[[#This Row],[SALES]],0)</f>
        <v>375100</v>
      </c>
      <c r="F1413" s="10">
        <v>9</v>
      </c>
      <c r="G1413" s="12" t="s">
        <v>835</v>
      </c>
      <c r="H1413" s="1" t="s">
        <v>563</v>
      </c>
      <c r="I1413">
        <v>1</v>
      </c>
      <c r="J1413">
        <v>1</v>
      </c>
      <c r="K1413">
        <v>2005</v>
      </c>
      <c r="L1413" s="1" t="s">
        <v>239</v>
      </c>
      <c r="M1413">
        <v>71</v>
      </c>
      <c r="N1413" s="1" t="s">
        <v>947</v>
      </c>
      <c r="O1413" s="1" t="s">
        <v>61</v>
      </c>
      <c r="P1413" s="1" t="s">
        <v>62</v>
      </c>
      <c r="Q1413" s="1" t="s">
        <v>63</v>
      </c>
      <c r="R1413" s="1" t="s">
        <v>32</v>
      </c>
      <c r="S1413" s="1" t="s">
        <v>64</v>
      </c>
      <c r="T1413" s="1" t="s">
        <v>65</v>
      </c>
      <c r="U1413" s="1" t="s">
        <v>66</v>
      </c>
      <c r="V1413" s="1" t="s">
        <v>36</v>
      </c>
      <c r="W1413" s="1" t="s">
        <v>37</v>
      </c>
      <c r="X1413" s="1" t="s">
        <v>67</v>
      </c>
      <c r="Y1413" s="1" t="s">
        <v>68</v>
      </c>
      <c r="Z1413" s="1" t="str">
        <f>TRIM(_xlfn.CONCAT(sales_data_sample[[#This Row],[CONTACTFIRSTNAME]],", ",sales_data_sample[[#This Row],[CONTACTLASTNAME]]))</f>
        <v>Julie, Young</v>
      </c>
      <c r="AA1413" s="1" t="s">
        <v>59</v>
      </c>
    </row>
    <row r="1414" spans="1:27" x14ac:dyDescent="0.25">
      <c r="A1414" s="10">
        <v>10380</v>
      </c>
      <c r="B1414" s="9">
        <v>24</v>
      </c>
      <c r="C1414" s="9">
        <v>100</v>
      </c>
      <c r="D1414" s="9">
        <f>PRODUCT(sales_data_sample[[#This Row],[QUANTITYORDERED]],sales_data_sample[[#This Row],[PRICEEACH]])</f>
        <v>2400</v>
      </c>
      <c r="E1414" s="9">
        <f>IF(OR(sales_data_sample[[#This Row],[STATUS]]="Shipped",sales_data_sample[[#This Row],[STATUS]]="Resolved"),sales_data_sample[[#This Row],[SALES]],0)</f>
        <v>2400</v>
      </c>
      <c r="F1414" s="10">
        <v>2</v>
      </c>
      <c r="G1414" s="12" t="s">
        <v>826</v>
      </c>
      <c r="H1414" s="1" t="s">
        <v>26</v>
      </c>
      <c r="I1414">
        <v>1</v>
      </c>
      <c r="J1414">
        <v>2</v>
      </c>
      <c r="K1414">
        <v>2005</v>
      </c>
      <c r="L1414" s="1" t="s">
        <v>239</v>
      </c>
      <c r="M1414">
        <v>71</v>
      </c>
      <c r="N1414" s="1" t="s">
        <v>947</v>
      </c>
      <c r="O1414" s="1" t="s">
        <v>230</v>
      </c>
      <c r="P1414" s="1" t="s">
        <v>231</v>
      </c>
      <c r="Q1414" s="1" t="s">
        <v>232</v>
      </c>
      <c r="R1414" s="1" t="s">
        <v>32</v>
      </c>
      <c r="S1414" s="1" t="s">
        <v>233</v>
      </c>
      <c r="T1414" s="1" t="s">
        <v>32</v>
      </c>
      <c r="U1414" s="1" t="s">
        <v>234</v>
      </c>
      <c r="V1414" s="1" t="s">
        <v>235</v>
      </c>
      <c r="W1414" s="1" t="s">
        <v>48</v>
      </c>
      <c r="X1414" s="1" t="s">
        <v>236</v>
      </c>
      <c r="Y1414" s="1" t="s">
        <v>237</v>
      </c>
      <c r="Z1414" s="1" t="str">
        <f>TRIM(_xlfn.CONCAT(sales_data_sample[[#This Row],[CONTACTFIRSTNAME]],", ",sales_data_sample[[#This Row],[CONTACTLASTNAME]]))</f>
        <v>Diego, Freyre</v>
      </c>
      <c r="AA1414" s="1" t="s">
        <v>59</v>
      </c>
    </row>
    <row r="1415" spans="1:27" x14ac:dyDescent="0.25">
      <c r="A1415" s="10">
        <v>10407</v>
      </c>
      <c r="B1415" s="9">
        <v>66</v>
      </c>
      <c r="C1415" s="9">
        <v>6699</v>
      </c>
      <c r="D1415" s="9">
        <f>PRODUCT(sales_data_sample[[#This Row],[QUANTITYORDERED]],sales_data_sample[[#This Row],[PRICEEACH]])</f>
        <v>442134</v>
      </c>
      <c r="E1415" s="9">
        <f>IF(OR(sales_data_sample[[#This Row],[STATUS]]="Shipped",sales_data_sample[[#This Row],[STATUS]]="Resolved"),sales_data_sample[[#This Row],[SALES]],0)</f>
        <v>0</v>
      </c>
      <c r="F1415" s="10">
        <v>4</v>
      </c>
      <c r="G1415" s="12" t="s">
        <v>837</v>
      </c>
      <c r="H1415" s="1" t="s">
        <v>553</v>
      </c>
      <c r="I1415">
        <v>2</v>
      </c>
      <c r="J1415">
        <v>4</v>
      </c>
      <c r="K1415">
        <v>2005</v>
      </c>
      <c r="L1415" s="1" t="s">
        <v>239</v>
      </c>
      <c r="M1415">
        <v>71</v>
      </c>
      <c r="N1415" s="1" t="s">
        <v>947</v>
      </c>
      <c r="O1415" s="1" t="s">
        <v>547</v>
      </c>
      <c r="P1415" s="1" t="s">
        <v>548</v>
      </c>
      <c r="Q1415" s="1" t="s">
        <v>549</v>
      </c>
      <c r="R1415" s="1" t="s">
        <v>32</v>
      </c>
      <c r="S1415" s="1" t="s">
        <v>550</v>
      </c>
      <c r="T1415" s="1" t="s">
        <v>65</v>
      </c>
      <c r="U1415" s="1" t="s">
        <v>80</v>
      </c>
      <c r="V1415" s="1" t="s">
        <v>36</v>
      </c>
      <c r="W1415" s="1" t="s">
        <v>37</v>
      </c>
      <c r="X1415" s="1" t="s">
        <v>129</v>
      </c>
      <c r="Y1415" s="1" t="s">
        <v>551</v>
      </c>
      <c r="Z1415" s="1" t="str">
        <f>TRIM(_xlfn.CONCAT(sales_data_sample[[#This Row],[CONTACTFIRSTNAME]],", ",sales_data_sample[[#This Row],[CONTACTLASTNAME]]))</f>
        <v>Sue, Frick</v>
      </c>
      <c r="AA1415" s="1" t="s">
        <v>59</v>
      </c>
    </row>
    <row r="1416" spans="1:27" x14ac:dyDescent="0.25">
      <c r="A1416">
        <v>10420</v>
      </c>
      <c r="B1416">
        <v>36</v>
      </c>
      <c r="C1416">
        <v>5773</v>
      </c>
      <c r="D1416">
        <f>PRODUCT(sales_data_sample[[#This Row],[QUANTITYORDERED]],sales_data_sample[[#This Row],[PRICEEACH]])</f>
        <v>207828</v>
      </c>
      <c r="E1416" s="9">
        <f>IF(OR(sales_data_sample[[#This Row],[STATUS]]="Shipped",sales_data_sample[[#This Row],[STATUS]]="Resolved"),sales_data_sample[[#This Row],[SALES]],0)</f>
        <v>0</v>
      </c>
      <c r="F1416">
        <v>7</v>
      </c>
      <c r="G1416" s="12" t="s">
        <v>876</v>
      </c>
      <c r="H1416" s="1" t="s">
        <v>403</v>
      </c>
      <c r="I1416">
        <v>2</v>
      </c>
      <c r="J1416">
        <v>5</v>
      </c>
      <c r="K1416">
        <v>2005</v>
      </c>
      <c r="L1416" s="1" t="s">
        <v>239</v>
      </c>
      <c r="M1416">
        <v>71</v>
      </c>
      <c r="N1416" s="1" t="s">
        <v>947</v>
      </c>
      <c r="O1416" s="1" t="s">
        <v>201</v>
      </c>
      <c r="P1416" s="1" t="s">
        <v>202</v>
      </c>
      <c r="Q1416" s="1" t="s">
        <v>203</v>
      </c>
      <c r="R1416" s="1" t="s">
        <v>204</v>
      </c>
      <c r="S1416" s="1" t="s">
        <v>205</v>
      </c>
      <c r="T1416" s="1" t="s">
        <v>206</v>
      </c>
      <c r="U1416" s="1" t="s">
        <v>207</v>
      </c>
      <c r="V1416" s="1" t="s">
        <v>120</v>
      </c>
      <c r="W1416" s="1" t="s">
        <v>121</v>
      </c>
      <c r="X1416" s="1" t="s">
        <v>208</v>
      </c>
      <c r="Y1416" s="1" t="s">
        <v>209</v>
      </c>
      <c r="Z1416" s="1" t="str">
        <f>TRIM(_xlfn.CONCAT(sales_data_sample[[#This Row],[CONTACTFIRSTNAME]],", ",sales_data_sample[[#This Row],[CONTACTLASTNAME]]))</f>
        <v>Adrian, Huxley</v>
      </c>
      <c r="AA1416" s="1" t="s">
        <v>40</v>
      </c>
    </row>
    <row r="1417" spans="1:27" x14ac:dyDescent="0.25">
      <c r="A1417" s="10">
        <v>10110</v>
      </c>
      <c r="B1417" s="9">
        <v>36</v>
      </c>
      <c r="C1417" s="9">
        <v>8525</v>
      </c>
      <c r="D1417" s="9">
        <f>PRODUCT(sales_data_sample[[#This Row],[QUANTITYORDERED]],sales_data_sample[[#This Row],[PRICEEACH]])</f>
        <v>306900</v>
      </c>
      <c r="E1417" s="9">
        <f>IF(OR(sales_data_sample[[#This Row],[STATUS]]="Shipped",sales_data_sample[[#This Row],[STATUS]]="Resolved"),sales_data_sample[[#This Row],[SALES]],0)</f>
        <v>306900</v>
      </c>
      <c r="F1417" s="10">
        <v>13</v>
      </c>
      <c r="G1417" s="12" t="s">
        <v>829</v>
      </c>
      <c r="H1417" s="1" t="s">
        <v>26</v>
      </c>
      <c r="I1417">
        <v>1</v>
      </c>
      <c r="J1417">
        <v>3</v>
      </c>
      <c r="K1417">
        <v>2003</v>
      </c>
      <c r="L1417" s="1" t="s">
        <v>239</v>
      </c>
      <c r="M1417">
        <v>73</v>
      </c>
      <c r="N1417" s="1" t="s">
        <v>950</v>
      </c>
      <c r="O1417" s="1" t="s">
        <v>695</v>
      </c>
      <c r="P1417" s="1" t="s">
        <v>696</v>
      </c>
      <c r="Q1417" s="1" t="s">
        <v>697</v>
      </c>
      <c r="R1417" s="1" t="s">
        <v>32</v>
      </c>
      <c r="S1417" s="1" t="s">
        <v>698</v>
      </c>
      <c r="T1417" s="1" t="s">
        <v>32</v>
      </c>
      <c r="U1417" s="1" t="s">
        <v>699</v>
      </c>
      <c r="V1417" s="1" t="s">
        <v>225</v>
      </c>
      <c r="W1417" s="1" t="s">
        <v>48</v>
      </c>
      <c r="X1417" s="1" t="s">
        <v>700</v>
      </c>
      <c r="Y1417" s="1" t="s">
        <v>118</v>
      </c>
      <c r="Z1417" s="1" t="str">
        <f>TRIM(_xlfn.CONCAT(sales_data_sample[[#This Row],[CONTACTFIRSTNAME]],", ",sales_data_sample[[#This Row],[CONTACTLASTNAME]]))</f>
        <v>Victoria, Ashworth</v>
      </c>
      <c r="AA1417" s="1" t="s">
        <v>59</v>
      </c>
    </row>
    <row r="1418" spans="1:27" x14ac:dyDescent="0.25">
      <c r="A1418" s="10">
        <v>10124</v>
      </c>
      <c r="B1418" s="9">
        <v>22</v>
      </c>
      <c r="C1418" s="9">
        <v>779</v>
      </c>
      <c r="D1418" s="9">
        <f>PRODUCT(sales_data_sample[[#This Row],[QUANTITYORDERED]],sales_data_sample[[#This Row],[PRICEEACH]])</f>
        <v>17138</v>
      </c>
      <c r="E1418" s="9">
        <f>IF(OR(sales_data_sample[[#This Row],[STATUS]]="Shipped",sales_data_sample[[#This Row],[STATUS]]="Resolved"),sales_data_sample[[#This Row],[SALES]],0)</f>
        <v>17138</v>
      </c>
      <c r="F1418" s="10">
        <v>12</v>
      </c>
      <c r="G1418" s="12" t="s">
        <v>802</v>
      </c>
      <c r="H1418" s="1" t="s">
        <v>26</v>
      </c>
      <c r="I1418">
        <v>2</v>
      </c>
      <c r="J1418">
        <v>5</v>
      </c>
      <c r="K1418">
        <v>2003</v>
      </c>
      <c r="L1418" s="1" t="s">
        <v>239</v>
      </c>
      <c r="M1418">
        <v>73</v>
      </c>
      <c r="N1418" s="1" t="s">
        <v>950</v>
      </c>
      <c r="O1418" s="1" t="s">
        <v>779</v>
      </c>
      <c r="P1418" s="1" t="s">
        <v>780</v>
      </c>
      <c r="Q1418" s="1" t="s">
        <v>781</v>
      </c>
      <c r="R1418" s="1" t="s">
        <v>32</v>
      </c>
      <c r="S1418" s="1" t="s">
        <v>782</v>
      </c>
      <c r="T1418" s="1" t="s">
        <v>783</v>
      </c>
      <c r="U1418" s="1" t="s">
        <v>784</v>
      </c>
      <c r="V1418" s="1" t="s">
        <v>36</v>
      </c>
      <c r="W1418" s="1" t="s">
        <v>37</v>
      </c>
      <c r="X1418" s="1" t="s">
        <v>146</v>
      </c>
      <c r="Y1418" s="1" t="s">
        <v>551</v>
      </c>
      <c r="Z1418" s="1" t="str">
        <f>TRIM(_xlfn.CONCAT(sales_data_sample[[#This Row],[CONTACTFIRSTNAME]],", ",sales_data_sample[[#This Row],[CONTACTLASTNAME]]))</f>
        <v>Sue, King</v>
      </c>
      <c r="AA1418" s="1" t="s">
        <v>40</v>
      </c>
    </row>
    <row r="1419" spans="1:27" x14ac:dyDescent="0.25">
      <c r="A1419">
        <v>10148</v>
      </c>
      <c r="B1419">
        <v>25</v>
      </c>
      <c r="C1419">
        <v>6026</v>
      </c>
      <c r="D1419">
        <f>PRODUCT(sales_data_sample[[#This Row],[QUANTITYORDERED]],sales_data_sample[[#This Row],[PRICEEACH]])</f>
        <v>150650</v>
      </c>
      <c r="E1419" s="9">
        <f>IF(OR(sales_data_sample[[#This Row],[STATUS]]="Shipped",sales_data_sample[[#This Row],[STATUS]]="Resolved"),sales_data_sample[[#This Row],[SALES]],0)</f>
        <v>150650</v>
      </c>
      <c r="F1419">
        <v>6</v>
      </c>
      <c r="G1419" s="12" t="s">
        <v>774</v>
      </c>
      <c r="H1419" s="1" t="s">
        <v>26</v>
      </c>
      <c r="I1419">
        <v>3</v>
      </c>
      <c r="J1419">
        <v>9</v>
      </c>
      <c r="K1419">
        <v>2003</v>
      </c>
      <c r="L1419" s="1" t="s">
        <v>239</v>
      </c>
      <c r="M1419">
        <v>73</v>
      </c>
      <c r="N1419" s="1" t="s">
        <v>950</v>
      </c>
      <c r="O1419" s="1" t="s">
        <v>385</v>
      </c>
      <c r="P1419" s="1" t="s">
        <v>386</v>
      </c>
      <c r="Q1419" s="1" t="s">
        <v>387</v>
      </c>
      <c r="R1419" s="1" t="s">
        <v>388</v>
      </c>
      <c r="S1419" s="1" t="s">
        <v>389</v>
      </c>
      <c r="T1419" s="1" t="s">
        <v>206</v>
      </c>
      <c r="U1419" s="1" t="s">
        <v>390</v>
      </c>
      <c r="V1419" s="1" t="s">
        <v>120</v>
      </c>
      <c r="W1419" s="1" t="s">
        <v>121</v>
      </c>
      <c r="X1419" s="1" t="s">
        <v>391</v>
      </c>
      <c r="Y1419" s="1" t="s">
        <v>392</v>
      </c>
      <c r="Z1419" s="1" t="str">
        <f>TRIM(_xlfn.CONCAT(sales_data_sample[[#This Row],[CONTACTFIRSTNAME]],", ",sales_data_sample[[#This Row],[CONTACTLASTNAME]]))</f>
        <v>Anna, O'Hara</v>
      </c>
      <c r="AA1419" s="1" t="s">
        <v>40</v>
      </c>
    </row>
    <row r="1420" spans="1:27" x14ac:dyDescent="0.25">
      <c r="A1420" s="10">
        <v>10161</v>
      </c>
      <c r="B1420" s="9">
        <v>37</v>
      </c>
      <c r="C1420" s="9">
        <v>7276</v>
      </c>
      <c r="D1420" s="9">
        <f>PRODUCT(sales_data_sample[[#This Row],[QUANTITYORDERED]],sales_data_sample[[#This Row],[PRICEEACH]])</f>
        <v>269212</v>
      </c>
      <c r="E1420" s="9">
        <f>IF(OR(sales_data_sample[[#This Row],[STATUS]]="Shipped",sales_data_sample[[#This Row],[STATUS]]="Resolved"),sales_data_sample[[#This Row],[SALES]],0)</f>
        <v>269212</v>
      </c>
      <c r="F1420" s="10">
        <v>5</v>
      </c>
      <c r="G1420" s="12" t="s">
        <v>775</v>
      </c>
      <c r="H1420" s="1" t="s">
        <v>26</v>
      </c>
      <c r="I1420">
        <v>4</v>
      </c>
      <c r="J1420">
        <v>10</v>
      </c>
      <c r="K1420">
        <v>2003</v>
      </c>
      <c r="L1420" s="1" t="s">
        <v>239</v>
      </c>
      <c r="M1420">
        <v>73</v>
      </c>
      <c r="N1420" s="1" t="s">
        <v>950</v>
      </c>
      <c r="O1420" s="1" t="s">
        <v>701</v>
      </c>
      <c r="P1420" s="1" t="s">
        <v>702</v>
      </c>
      <c r="Q1420" s="1" t="s">
        <v>703</v>
      </c>
      <c r="R1420" s="1" t="s">
        <v>32</v>
      </c>
      <c r="S1420" s="1" t="s">
        <v>704</v>
      </c>
      <c r="T1420" s="1" t="s">
        <v>32</v>
      </c>
      <c r="U1420" s="1" t="s">
        <v>705</v>
      </c>
      <c r="V1420" s="1" t="s">
        <v>442</v>
      </c>
      <c r="W1420" s="1" t="s">
        <v>48</v>
      </c>
      <c r="X1420" s="1" t="s">
        <v>706</v>
      </c>
      <c r="Y1420" s="1" t="s">
        <v>707</v>
      </c>
      <c r="Z1420" s="1" t="str">
        <f>TRIM(_xlfn.CONCAT(sales_data_sample[[#This Row],[CONTACTFIRSTNAME]],", ",sales_data_sample[[#This Row],[CONTACTLASTNAME]]))</f>
        <v>Palle, Ibsen</v>
      </c>
      <c r="AA1420" s="1" t="s">
        <v>40</v>
      </c>
    </row>
    <row r="1421" spans="1:27" x14ac:dyDescent="0.25">
      <c r="A1421" s="10">
        <v>10172</v>
      </c>
      <c r="B1421" s="9">
        <v>32</v>
      </c>
      <c r="C1421" s="9">
        <v>7569</v>
      </c>
      <c r="D1421" s="9">
        <f>PRODUCT(sales_data_sample[[#This Row],[QUANTITYORDERED]],sales_data_sample[[#This Row],[PRICEEACH]])</f>
        <v>242208</v>
      </c>
      <c r="E1421" s="9">
        <f>IF(OR(sales_data_sample[[#This Row],[STATUS]]="Shipped",sales_data_sample[[#This Row],[STATUS]]="Resolved"),sales_data_sample[[#This Row],[SALES]],0)</f>
        <v>242208</v>
      </c>
      <c r="F1421" s="10">
        <v>3</v>
      </c>
      <c r="G1421" s="12" t="s">
        <v>776</v>
      </c>
      <c r="H1421" s="1" t="s">
        <v>26</v>
      </c>
      <c r="I1421">
        <v>4</v>
      </c>
      <c r="J1421">
        <v>11</v>
      </c>
      <c r="K1421">
        <v>2003</v>
      </c>
      <c r="L1421" s="1" t="s">
        <v>239</v>
      </c>
      <c r="M1421">
        <v>73</v>
      </c>
      <c r="N1421" s="1" t="s">
        <v>950</v>
      </c>
      <c r="O1421" s="1" t="s">
        <v>140</v>
      </c>
      <c r="P1421" s="1" t="s">
        <v>141</v>
      </c>
      <c r="Q1421" s="1" t="s">
        <v>142</v>
      </c>
      <c r="R1421" s="1" t="s">
        <v>32</v>
      </c>
      <c r="S1421" s="1" t="s">
        <v>143</v>
      </c>
      <c r="T1421" s="1" t="s">
        <v>144</v>
      </c>
      <c r="U1421" s="1" t="s">
        <v>145</v>
      </c>
      <c r="V1421" s="1" t="s">
        <v>36</v>
      </c>
      <c r="W1421" s="1" t="s">
        <v>37</v>
      </c>
      <c r="X1421" s="1" t="s">
        <v>146</v>
      </c>
      <c r="Y1421" s="1" t="s">
        <v>68</v>
      </c>
      <c r="Z1421" s="1" t="str">
        <f>TRIM(_xlfn.CONCAT(sales_data_sample[[#This Row],[CONTACTFIRSTNAME]],", ",sales_data_sample[[#This Row],[CONTACTLASTNAME]]))</f>
        <v>Julie, King</v>
      </c>
      <c r="AA1421" s="1" t="s">
        <v>40</v>
      </c>
    </row>
    <row r="1422" spans="1:27" x14ac:dyDescent="0.25">
      <c r="A1422" s="10">
        <v>10182</v>
      </c>
      <c r="B1422" s="9">
        <v>47</v>
      </c>
      <c r="C1422" s="9">
        <v>7422</v>
      </c>
      <c r="D1422" s="9">
        <f>PRODUCT(sales_data_sample[[#This Row],[QUANTITYORDERED]],sales_data_sample[[#This Row],[PRICEEACH]])</f>
        <v>348834</v>
      </c>
      <c r="E1422" s="9">
        <f>IF(OR(sales_data_sample[[#This Row],[STATUS]]="Shipped",sales_data_sample[[#This Row],[STATUS]]="Resolved"),sales_data_sample[[#This Row],[SALES]],0)</f>
        <v>348834</v>
      </c>
      <c r="F1422" s="10">
        <v>16</v>
      </c>
      <c r="G1422" s="12" t="s">
        <v>610</v>
      </c>
      <c r="H1422" s="1" t="s">
        <v>26</v>
      </c>
      <c r="I1422">
        <v>4</v>
      </c>
      <c r="J1422">
        <v>11</v>
      </c>
      <c r="K1422">
        <v>2003</v>
      </c>
      <c r="L1422" s="1" t="s">
        <v>239</v>
      </c>
      <c r="M1422">
        <v>73</v>
      </c>
      <c r="N1422" s="1" t="s">
        <v>950</v>
      </c>
      <c r="O1422" s="1" t="s">
        <v>361</v>
      </c>
      <c r="P1422" s="1" t="s">
        <v>362</v>
      </c>
      <c r="Q1422" s="1" t="s">
        <v>363</v>
      </c>
      <c r="R1422" s="1" t="s">
        <v>32</v>
      </c>
      <c r="S1422" s="1" t="s">
        <v>364</v>
      </c>
      <c r="T1422" s="1" t="s">
        <v>65</v>
      </c>
      <c r="U1422" s="1" t="s">
        <v>145</v>
      </c>
      <c r="V1422" s="1" t="s">
        <v>36</v>
      </c>
      <c r="W1422" s="1" t="s">
        <v>37</v>
      </c>
      <c r="X1422" s="1" t="s">
        <v>365</v>
      </c>
      <c r="Y1422" s="1" t="s">
        <v>366</v>
      </c>
      <c r="Z1422" s="1" t="str">
        <f>TRIM(_xlfn.CONCAT(sales_data_sample[[#This Row],[CONTACTFIRSTNAME]],", ",sales_data_sample[[#This Row],[CONTACTLASTNAME]]))</f>
        <v>Valarie, Nelson</v>
      </c>
      <c r="AA1422" s="1" t="s">
        <v>59</v>
      </c>
    </row>
    <row r="1423" spans="1:27" x14ac:dyDescent="0.25">
      <c r="A1423" s="10">
        <v>10192</v>
      </c>
      <c r="B1423" s="9">
        <v>37</v>
      </c>
      <c r="C1423" s="9">
        <v>6982</v>
      </c>
      <c r="D1423" s="9">
        <f>PRODUCT(sales_data_sample[[#This Row],[QUANTITYORDERED]],sales_data_sample[[#This Row],[PRICEEACH]])</f>
        <v>258334</v>
      </c>
      <c r="E1423" s="9">
        <f>IF(OR(sales_data_sample[[#This Row],[STATUS]]="Shipped",sales_data_sample[[#This Row],[STATUS]]="Resolved"),sales_data_sample[[#This Row],[SALES]],0)</f>
        <v>258334</v>
      </c>
      <c r="F1423" s="10">
        <v>4</v>
      </c>
      <c r="G1423" s="12" t="s">
        <v>611</v>
      </c>
      <c r="H1423" s="1" t="s">
        <v>26</v>
      </c>
      <c r="I1423">
        <v>4</v>
      </c>
      <c r="J1423">
        <v>11</v>
      </c>
      <c r="K1423">
        <v>2003</v>
      </c>
      <c r="L1423" s="1" t="s">
        <v>239</v>
      </c>
      <c r="M1423">
        <v>73</v>
      </c>
      <c r="N1423" s="1" t="s">
        <v>950</v>
      </c>
      <c r="O1423" s="1" t="s">
        <v>368</v>
      </c>
      <c r="P1423" s="1" t="s">
        <v>369</v>
      </c>
      <c r="Q1423" s="1" t="s">
        <v>370</v>
      </c>
      <c r="R1423" s="1" t="s">
        <v>32</v>
      </c>
      <c r="S1423" s="1" t="s">
        <v>371</v>
      </c>
      <c r="T1423" s="1" t="s">
        <v>372</v>
      </c>
      <c r="U1423" s="1" t="s">
        <v>373</v>
      </c>
      <c r="V1423" s="1" t="s">
        <v>36</v>
      </c>
      <c r="W1423" s="1" t="s">
        <v>37</v>
      </c>
      <c r="X1423" s="1" t="s">
        <v>67</v>
      </c>
      <c r="Y1423" s="1" t="s">
        <v>366</v>
      </c>
      <c r="Z1423" s="1" t="str">
        <f>TRIM(_xlfn.CONCAT(sales_data_sample[[#This Row],[CONTACTFIRSTNAME]],", ",sales_data_sample[[#This Row],[CONTACTLASTNAME]]))</f>
        <v>Valarie, Young</v>
      </c>
      <c r="AA1423" s="1" t="s">
        <v>40</v>
      </c>
    </row>
    <row r="1424" spans="1:27" x14ac:dyDescent="0.25">
      <c r="A1424">
        <v>10204</v>
      </c>
      <c r="B1424">
        <v>20</v>
      </c>
      <c r="C1424">
        <v>6247</v>
      </c>
      <c r="D1424">
        <f>PRODUCT(sales_data_sample[[#This Row],[QUANTITYORDERED]],sales_data_sample[[#This Row],[PRICEEACH]])</f>
        <v>124940</v>
      </c>
      <c r="E1424" s="9">
        <f>IF(OR(sales_data_sample[[#This Row],[STATUS]]="Shipped",sales_data_sample[[#This Row],[STATUS]]="Resolved"),sales_data_sample[[#This Row],[SALES]],0)</f>
        <v>124940</v>
      </c>
      <c r="F1424">
        <v>10</v>
      </c>
      <c r="G1424" s="12" t="s">
        <v>620</v>
      </c>
      <c r="H1424" s="1" t="s">
        <v>26</v>
      </c>
      <c r="I1424">
        <v>4</v>
      </c>
      <c r="J1424">
        <v>12</v>
      </c>
      <c r="K1424">
        <v>2003</v>
      </c>
      <c r="L1424" s="1" t="s">
        <v>239</v>
      </c>
      <c r="M1424">
        <v>73</v>
      </c>
      <c r="N1424" s="1" t="s">
        <v>950</v>
      </c>
      <c r="O1424" s="1" t="s">
        <v>667</v>
      </c>
      <c r="P1424" s="1" t="s">
        <v>668</v>
      </c>
      <c r="Q1424" s="1" t="s">
        <v>669</v>
      </c>
      <c r="R1424" s="1" t="s">
        <v>670</v>
      </c>
      <c r="S1424" s="1" t="s">
        <v>33</v>
      </c>
      <c r="T1424" s="1" t="s">
        <v>34</v>
      </c>
      <c r="U1424" s="1" t="s">
        <v>35</v>
      </c>
      <c r="V1424" s="1" t="s">
        <v>36</v>
      </c>
      <c r="W1424" s="1" t="s">
        <v>37</v>
      </c>
      <c r="X1424" s="1" t="s">
        <v>67</v>
      </c>
      <c r="Y1424" s="1" t="s">
        <v>671</v>
      </c>
      <c r="Z1424" s="1" t="str">
        <f>TRIM(_xlfn.CONCAT(sales_data_sample[[#This Row],[CONTACTFIRSTNAME]],", ",sales_data_sample[[#This Row],[CONTACTLASTNAME]]))</f>
        <v>Jeff, Young</v>
      </c>
      <c r="AA1424" s="1" t="s">
        <v>40</v>
      </c>
    </row>
    <row r="1425" spans="1:27" x14ac:dyDescent="0.25">
      <c r="A1425" s="10">
        <v>10212</v>
      </c>
      <c r="B1425" s="9">
        <v>41</v>
      </c>
      <c r="C1425" s="9">
        <v>8231</v>
      </c>
      <c r="D1425" s="9">
        <f>PRODUCT(sales_data_sample[[#This Row],[QUANTITYORDERED]],sales_data_sample[[#This Row],[PRICEEACH]])</f>
        <v>337471</v>
      </c>
      <c r="E1425" s="9">
        <f>IF(OR(sales_data_sample[[#This Row],[STATUS]]="Shipped",sales_data_sample[[#This Row],[STATUS]]="Resolved"),sales_data_sample[[#This Row],[SALES]],0)</f>
        <v>337471</v>
      </c>
      <c r="F1425" s="10">
        <v>3</v>
      </c>
      <c r="G1425" s="12" t="s">
        <v>729</v>
      </c>
      <c r="H1425" s="1" t="s">
        <v>26</v>
      </c>
      <c r="I1425">
        <v>1</v>
      </c>
      <c r="J1425">
        <v>1</v>
      </c>
      <c r="K1425">
        <v>2004</v>
      </c>
      <c r="L1425" s="1" t="s">
        <v>239</v>
      </c>
      <c r="M1425">
        <v>73</v>
      </c>
      <c r="N1425" s="1" t="s">
        <v>950</v>
      </c>
      <c r="O1425" s="1" t="s">
        <v>230</v>
      </c>
      <c r="P1425" s="1" t="s">
        <v>231</v>
      </c>
      <c r="Q1425" s="1" t="s">
        <v>232</v>
      </c>
      <c r="R1425" s="1" t="s">
        <v>32</v>
      </c>
      <c r="S1425" s="1" t="s">
        <v>233</v>
      </c>
      <c r="T1425" s="1" t="s">
        <v>32</v>
      </c>
      <c r="U1425" s="1" t="s">
        <v>234</v>
      </c>
      <c r="V1425" s="1" t="s">
        <v>235</v>
      </c>
      <c r="W1425" s="1" t="s">
        <v>48</v>
      </c>
      <c r="X1425" s="1" t="s">
        <v>236</v>
      </c>
      <c r="Y1425" s="1" t="s">
        <v>237</v>
      </c>
      <c r="Z1425" s="1" t="str">
        <f>TRIM(_xlfn.CONCAT(sales_data_sample[[#This Row],[CONTACTFIRSTNAME]],", ",sales_data_sample[[#This Row],[CONTACTLASTNAME]]))</f>
        <v>Diego, Freyre</v>
      </c>
      <c r="AA1425" s="1" t="s">
        <v>59</v>
      </c>
    </row>
    <row r="1426" spans="1:27" x14ac:dyDescent="0.25">
      <c r="A1426" s="10">
        <v>10226</v>
      </c>
      <c r="B1426" s="9">
        <v>21</v>
      </c>
      <c r="C1426" s="9">
        <v>6026</v>
      </c>
      <c r="D1426" s="9">
        <f>PRODUCT(sales_data_sample[[#This Row],[QUANTITYORDERED]],sales_data_sample[[#This Row],[PRICEEACH]])</f>
        <v>126546</v>
      </c>
      <c r="E1426" s="9">
        <f>IF(OR(sales_data_sample[[#This Row],[STATUS]]="Shipped",sales_data_sample[[#This Row],[STATUS]]="Resolved"),sales_data_sample[[#This Row],[SALES]],0)</f>
        <v>126546</v>
      </c>
      <c r="F1426" s="10">
        <v>1</v>
      </c>
      <c r="G1426" s="12" t="s">
        <v>833</v>
      </c>
      <c r="H1426" s="1" t="s">
        <v>26</v>
      </c>
      <c r="I1426">
        <v>1</v>
      </c>
      <c r="J1426">
        <v>2</v>
      </c>
      <c r="K1426">
        <v>2004</v>
      </c>
      <c r="L1426" s="1" t="s">
        <v>239</v>
      </c>
      <c r="M1426">
        <v>73</v>
      </c>
      <c r="N1426" s="1" t="s">
        <v>950</v>
      </c>
      <c r="O1426" s="1" t="s">
        <v>492</v>
      </c>
      <c r="P1426" s="1" t="s">
        <v>493</v>
      </c>
      <c r="Q1426" s="1" t="s">
        <v>494</v>
      </c>
      <c r="R1426" s="1" t="s">
        <v>32</v>
      </c>
      <c r="S1426" s="1" t="s">
        <v>495</v>
      </c>
      <c r="T1426" s="1" t="s">
        <v>65</v>
      </c>
      <c r="U1426" s="1" t="s">
        <v>496</v>
      </c>
      <c r="V1426" s="1" t="s">
        <v>36</v>
      </c>
      <c r="W1426" s="1" t="s">
        <v>37</v>
      </c>
      <c r="X1426" s="1" t="s">
        <v>313</v>
      </c>
      <c r="Y1426" s="1" t="s">
        <v>366</v>
      </c>
      <c r="Z1426" s="1" t="str">
        <f>TRIM(_xlfn.CONCAT(sales_data_sample[[#This Row],[CONTACTFIRSTNAME]],", ",sales_data_sample[[#This Row],[CONTACTLASTNAME]]))</f>
        <v>Valarie, Thompson</v>
      </c>
      <c r="AA1426" s="1" t="s">
        <v>40</v>
      </c>
    </row>
    <row r="1427" spans="1:27" x14ac:dyDescent="0.25">
      <c r="A1427" s="10">
        <v>10241</v>
      </c>
      <c r="B1427" s="9">
        <v>22</v>
      </c>
      <c r="C1427" s="9">
        <v>7643</v>
      </c>
      <c r="D1427" s="9">
        <f>PRODUCT(sales_data_sample[[#This Row],[QUANTITYORDERED]],sales_data_sample[[#This Row],[PRICEEACH]])</f>
        <v>168146</v>
      </c>
      <c r="E1427" s="9">
        <f>IF(OR(sales_data_sample[[#This Row],[STATUS]]="Shipped",sales_data_sample[[#This Row],[STATUS]]="Resolved"),sales_data_sample[[#This Row],[SALES]],0)</f>
        <v>168146</v>
      </c>
      <c r="F1427" s="10">
        <v>8</v>
      </c>
      <c r="G1427" s="12" t="s">
        <v>777</v>
      </c>
      <c r="H1427" s="1" t="s">
        <v>26</v>
      </c>
      <c r="I1427">
        <v>2</v>
      </c>
      <c r="J1427">
        <v>4</v>
      </c>
      <c r="K1427">
        <v>2004</v>
      </c>
      <c r="L1427" s="1" t="s">
        <v>239</v>
      </c>
      <c r="M1427">
        <v>73</v>
      </c>
      <c r="N1427" s="1" t="s">
        <v>950</v>
      </c>
      <c r="O1427" s="1" t="s">
        <v>763</v>
      </c>
      <c r="P1427" s="1" t="s">
        <v>764</v>
      </c>
      <c r="Q1427" s="1" t="s">
        <v>765</v>
      </c>
      <c r="R1427" s="1" t="s">
        <v>32</v>
      </c>
      <c r="S1427" s="1" t="s">
        <v>766</v>
      </c>
      <c r="T1427" s="1" t="s">
        <v>32</v>
      </c>
      <c r="U1427" s="1" t="s">
        <v>767</v>
      </c>
      <c r="V1427" s="1" t="s">
        <v>47</v>
      </c>
      <c r="W1427" s="1" t="s">
        <v>48</v>
      </c>
      <c r="X1427" s="1" t="s">
        <v>768</v>
      </c>
      <c r="Y1427" s="1" t="s">
        <v>769</v>
      </c>
      <c r="Z1427" s="1" t="str">
        <f>TRIM(_xlfn.CONCAT(sales_data_sample[[#This Row],[CONTACTFIRSTNAME]],", ",sales_data_sample[[#This Row],[CONTACTLASTNAME]]))</f>
        <v>Frederique, Citeaux</v>
      </c>
      <c r="AA1427" s="1" t="s">
        <v>40</v>
      </c>
    </row>
    <row r="1428" spans="1:27" x14ac:dyDescent="0.25">
      <c r="A1428">
        <v>10267</v>
      </c>
      <c r="B1428">
        <v>40</v>
      </c>
      <c r="C1428">
        <v>801</v>
      </c>
      <c r="D1428">
        <f>PRODUCT(sales_data_sample[[#This Row],[QUANTITYORDERED]],sales_data_sample[[#This Row],[PRICEEACH]])</f>
        <v>32040</v>
      </c>
      <c r="E1428" s="9">
        <f>IF(OR(sales_data_sample[[#This Row],[STATUS]]="Shipped",sales_data_sample[[#This Row],[STATUS]]="Resolved"),sales_data_sample[[#This Row],[SALES]],0)</f>
        <v>32040</v>
      </c>
      <c r="F1428">
        <v>5</v>
      </c>
      <c r="G1428" s="12" t="s">
        <v>948</v>
      </c>
      <c r="H1428" s="1" t="s">
        <v>26</v>
      </c>
      <c r="I1428">
        <v>3</v>
      </c>
      <c r="J1428">
        <v>7</v>
      </c>
      <c r="K1428">
        <v>2004</v>
      </c>
      <c r="L1428" s="1" t="s">
        <v>239</v>
      </c>
      <c r="M1428">
        <v>73</v>
      </c>
      <c r="N1428" s="1" t="s">
        <v>950</v>
      </c>
      <c r="O1428" s="1" t="s">
        <v>667</v>
      </c>
      <c r="P1428" s="1" t="s">
        <v>668</v>
      </c>
      <c r="Q1428" s="1" t="s">
        <v>669</v>
      </c>
      <c r="R1428" s="1" t="s">
        <v>670</v>
      </c>
      <c r="S1428" s="1" t="s">
        <v>33</v>
      </c>
      <c r="T1428" s="1" t="s">
        <v>34</v>
      </c>
      <c r="U1428" s="1" t="s">
        <v>35</v>
      </c>
      <c r="V1428" s="1" t="s">
        <v>36</v>
      </c>
      <c r="W1428" s="1" t="s">
        <v>37</v>
      </c>
      <c r="X1428" s="1" t="s">
        <v>67</v>
      </c>
      <c r="Y1428" s="1" t="s">
        <v>671</v>
      </c>
      <c r="Z1428" s="1" t="str">
        <f>TRIM(_xlfn.CONCAT(sales_data_sample[[#This Row],[CONTACTFIRSTNAME]],", ",sales_data_sample[[#This Row],[CONTACTLASTNAME]]))</f>
        <v>Jeff, Young</v>
      </c>
      <c r="AA1428" s="1" t="s">
        <v>59</v>
      </c>
    </row>
    <row r="1429" spans="1:27" x14ac:dyDescent="0.25">
      <c r="A1429" s="10">
        <v>10279</v>
      </c>
      <c r="B1429" s="9">
        <v>32</v>
      </c>
      <c r="C1429" s="9">
        <v>7496</v>
      </c>
      <c r="D1429" s="9">
        <f>PRODUCT(sales_data_sample[[#This Row],[QUANTITYORDERED]],sales_data_sample[[#This Row],[PRICEEACH]])</f>
        <v>239872</v>
      </c>
      <c r="E1429" s="9">
        <f>IF(OR(sales_data_sample[[#This Row],[STATUS]]="Shipped",sales_data_sample[[#This Row],[STATUS]]="Resolved"),sales_data_sample[[#This Row],[SALES]],0)</f>
        <v>239872</v>
      </c>
      <c r="F1429" s="10">
        <v>5</v>
      </c>
      <c r="G1429" s="12" t="s">
        <v>949</v>
      </c>
      <c r="H1429" s="1" t="s">
        <v>26</v>
      </c>
      <c r="I1429">
        <v>3</v>
      </c>
      <c r="J1429">
        <v>8</v>
      </c>
      <c r="K1429">
        <v>2004</v>
      </c>
      <c r="L1429" s="1" t="s">
        <v>239</v>
      </c>
      <c r="M1429">
        <v>73</v>
      </c>
      <c r="N1429" s="1" t="s">
        <v>950</v>
      </c>
      <c r="O1429" s="1" t="s">
        <v>230</v>
      </c>
      <c r="P1429" s="1" t="s">
        <v>231</v>
      </c>
      <c r="Q1429" s="1" t="s">
        <v>232</v>
      </c>
      <c r="R1429" s="1" t="s">
        <v>32</v>
      </c>
      <c r="S1429" s="1" t="s">
        <v>233</v>
      </c>
      <c r="T1429" s="1" t="s">
        <v>32</v>
      </c>
      <c r="U1429" s="1" t="s">
        <v>234</v>
      </c>
      <c r="V1429" s="1" t="s">
        <v>235</v>
      </c>
      <c r="W1429" s="1" t="s">
        <v>48</v>
      </c>
      <c r="X1429" s="1" t="s">
        <v>236</v>
      </c>
      <c r="Y1429" s="1" t="s">
        <v>237</v>
      </c>
      <c r="Z1429" s="1" t="str">
        <f>TRIM(_xlfn.CONCAT(sales_data_sample[[#This Row],[CONTACTFIRSTNAME]],", ",sales_data_sample[[#This Row],[CONTACTLASTNAME]]))</f>
        <v>Diego, Freyre</v>
      </c>
      <c r="AA1429" s="1" t="s">
        <v>40</v>
      </c>
    </row>
    <row r="1430" spans="1:27" x14ac:dyDescent="0.25">
      <c r="A1430">
        <v>10288</v>
      </c>
      <c r="B1430">
        <v>36</v>
      </c>
      <c r="C1430">
        <v>6614</v>
      </c>
      <c r="D1430">
        <f>PRODUCT(sales_data_sample[[#This Row],[QUANTITYORDERED]],sales_data_sample[[#This Row],[PRICEEACH]])</f>
        <v>238104</v>
      </c>
      <c r="E1430" s="9">
        <f>IF(OR(sales_data_sample[[#This Row],[STATUS]]="Shipped",sales_data_sample[[#This Row],[STATUS]]="Resolved"),sales_data_sample[[#This Row],[SALES]],0)</f>
        <v>238104</v>
      </c>
      <c r="F1430">
        <v>11</v>
      </c>
      <c r="G1430" s="12" t="s">
        <v>834</v>
      </c>
      <c r="H1430" s="1" t="s">
        <v>26</v>
      </c>
      <c r="I1430">
        <v>3</v>
      </c>
      <c r="J1430">
        <v>9</v>
      </c>
      <c r="K1430">
        <v>2004</v>
      </c>
      <c r="L1430" s="1" t="s">
        <v>239</v>
      </c>
      <c r="M1430">
        <v>73</v>
      </c>
      <c r="N1430" s="1" t="s">
        <v>950</v>
      </c>
      <c r="O1430" s="1" t="s">
        <v>577</v>
      </c>
      <c r="P1430" s="1" t="s">
        <v>578</v>
      </c>
      <c r="Q1430" s="1" t="s">
        <v>579</v>
      </c>
      <c r="R1430" s="1" t="s">
        <v>580</v>
      </c>
      <c r="S1430" s="1" t="s">
        <v>262</v>
      </c>
      <c r="T1430" s="1" t="s">
        <v>32</v>
      </c>
      <c r="U1430" s="1" t="s">
        <v>581</v>
      </c>
      <c r="V1430" s="1" t="s">
        <v>262</v>
      </c>
      <c r="W1430" s="1" t="s">
        <v>121</v>
      </c>
      <c r="X1430" s="1" t="s">
        <v>582</v>
      </c>
      <c r="Y1430" s="1" t="s">
        <v>583</v>
      </c>
      <c r="Z1430" s="1" t="str">
        <f>TRIM(_xlfn.CONCAT(sales_data_sample[[#This Row],[CONTACTFIRSTNAME]],", ",sales_data_sample[[#This Row],[CONTACTLASTNAME]]))</f>
        <v>Wendy, Victorino</v>
      </c>
      <c r="AA1430" s="1" t="s">
        <v>40</v>
      </c>
    </row>
    <row r="1431" spans="1:27" x14ac:dyDescent="0.25">
      <c r="A1431" s="10">
        <v>10301</v>
      </c>
      <c r="B1431" s="9">
        <v>27</v>
      </c>
      <c r="C1431" s="9">
        <v>7202</v>
      </c>
      <c r="D1431" s="9">
        <f>PRODUCT(sales_data_sample[[#This Row],[QUANTITYORDERED]],sales_data_sample[[#This Row],[PRICEEACH]])</f>
        <v>194454</v>
      </c>
      <c r="E1431" s="9">
        <f>IF(OR(sales_data_sample[[#This Row],[STATUS]]="Shipped",sales_data_sample[[#This Row],[STATUS]]="Resolved"),sales_data_sample[[#This Row],[SALES]],0)</f>
        <v>194454</v>
      </c>
      <c r="F1431" s="10">
        <v>1</v>
      </c>
      <c r="G1431" s="12" t="s">
        <v>785</v>
      </c>
      <c r="H1431" s="1" t="s">
        <v>26</v>
      </c>
      <c r="I1431">
        <v>4</v>
      </c>
      <c r="J1431">
        <v>10</v>
      </c>
      <c r="K1431">
        <v>2003</v>
      </c>
      <c r="L1431" s="1" t="s">
        <v>239</v>
      </c>
      <c r="M1431">
        <v>73</v>
      </c>
      <c r="N1431" s="1" t="s">
        <v>950</v>
      </c>
      <c r="O1431" s="1" t="s">
        <v>786</v>
      </c>
      <c r="P1431" s="1" t="s">
        <v>787</v>
      </c>
      <c r="Q1431" s="1" t="s">
        <v>788</v>
      </c>
      <c r="R1431" s="1" t="s">
        <v>32</v>
      </c>
      <c r="S1431" s="1" t="s">
        <v>789</v>
      </c>
      <c r="T1431" s="1" t="s">
        <v>32</v>
      </c>
      <c r="U1431" s="1" t="s">
        <v>790</v>
      </c>
      <c r="V1431" s="1" t="s">
        <v>97</v>
      </c>
      <c r="W1431" s="1" t="s">
        <v>48</v>
      </c>
      <c r="X1431" s="1" t="s">
        <v>791</v>
      </c>
      <c r="Y1431" s="1" t="s">
        <v>792</v>
      </c>
      <c r="Z1431" s="1" t="str">
        <f>TRIM(_xlfn.CONCAT(sales_data_sample[[#This Row],[CONTACTFIRSTNAME]],", ",sales_data_sample[[#This Row],[CONTACTLASTNAME]]))</f>
        <v>Jan, Klaeboe</v>
      </c>
      <c r="AA1431" s="1" t="s">
        <v>40</v>
      </c>
    </row>
    <row r="1432" spans="1:27" x14ac:dyDescent="0.25">
      <c r="A1432" s="10">
        <v>10311</v>
      </c>
      <c r="B1432" s="9">
        <v>26</v>
      </c>
      <c r="C1432" s="9">
        <v>8745</v>
      </c>
      <c r="D1432" s="9">
        <f>PRODUCT(sales_data_sample[[#This Row],[QUANTITYORDERED]],sales_data_sample[[#This Row],[PRICEEACH]])</f>
        <v>227370</v>
      </c>
      <c r="E1432" s="9">
        <f>IF(OR(sales_data_sample[[#This Row],[STATUS]]="Shipped",sales_data_sample[[#This Row],[STATUS]]="Resolved"),sales_data_sample[[#This Row],[SALES]],0)</f>
        <v>227370</v>
      </c>
      <c r="F1432" s="10">
        <v>6</v>
      </c>
      <c r="G1432" s="12" t="s">
        <v>653</v>
      </c>
      <c r="H1432" s="1" t="s">
        <v>26</v>
      </c>
      <c r="I1432">
        <v>4</v>
      </c>
      <c r="J1432">
        <v>10</v>
      </c>
      <c r="K1432">
        <v>2004</v>
      </c>
      <c r="L1432" s="1" t="s">
        <v>239</v>
      </c>
      <c r="M1432">
        <v>73</v>
      </c>
      <c r="N1432" s="1" t="s">
        <v>950</v>
      </c>
      <c r="O1432" s="1" t="s">
        <v>230</v>
      </c>
      <c r="P1432" s="1" t="s">
        <v>231</v>
      </c>
      <c r="Q1432" s="1" t="s">
        <v>232</v>
      </c>
      <c r="R1432" s="1" t="s">
        <v>32</v>
      </c>
      <c r="S1432" s="1" t="s">
        <v>233</v>
      </c>
      <c r="T1432" s="1" t="s">
        <v>32</v>
      </c>
      <c r="U1432" s="1" t="s">
        <v>234</v>
      </c>
      <c r="V1432" s="1" t="s">
        <v>235</v>
      </c>
      <c r="W1432" s="1" t="s">
        <v>48</v>
      </c>
      <c r="X1432" s="1" t="s">
        <v>236</v>
      </c>
      <c r="Y1432" s="1" t="s">
        <v>237</v>
      </c>
      <c r="Z1432" s="1" t="str">
        <f>TRIM(_xlfn.CONCAT(sales_data_sample[[#This Row],[CONTACTFIRSTNAME]],", ",sales_data_sample[[#This Row],[CONTACTLASTNAME]]))</f>
        <v>Diego, Freyre</v>
      </c>
      <c r="AA1432" s="1" t="s">
        <v>40</v>
      </c>
    </row>
    <row r="1433" spans="1:27" x14ac:dyDescent="0.25">
      <c r="A1433" s="10">
        <v>10321</v>
      </c>
      <c r="B1433" s="9">
        <v>30</v>
      </c>
      <c r="C1433" s="9">
        <v>7055</v>
      </c>
      <c r="D1433" s="9">
        <f>PRODUCT(sales_data_sample[[#This Row],[QUANTITYORDERED]],sales_data_sample[[#This Row],[PRICEEACH]])</f>
        <v>211650</v>
      </c>
      <c r="E1433" s="9">
        <f>IF(OR(sales_data_sample[[#This Row],[STATUS]]="Shipped",sales_data_sample[[#This Row],[STATUS]]="Resolved"),sales_data_sample[[#This Row],[SALES]],0)</f>
        <v>211650</v>
      </c>
      <c r="F1433" s="10">
        <v>3</v>
      </c>
      <c r="G1433" s="12" t="s">
        <v>367</v>
      </c>
      <c r="H1433" s="1" t="s">
        <v>26</v>
      </c>
      <c r="I1433">
        <v>4</v>
      </c>
      <c r="J1433">
        <v>11</v>
      </c>
      <c r="K1433">
        <v>2004</v>
      </c>
      <c r="L1433" s="1" t="s">
        <v>239</v>
      </c>
      <c r="M1433">
        <v>73</v>
      </c>
      <c r="N1433" s="1" t="s">
        <v>950</v>
      </c>
      <c r="O1433" s="1" t="s">
        <v>212</v>
      </c>
      <c r="P1433" s="1" t="s">
        <v>213</v>
      </c>
      <c r="Q1433" s="1" t="s">
        <v>214</v>
      </c>
      <c r="R1433" s="1" t="s">
        <v>32</v>
      </c>
      <c r="S1433" s="1" t="s">
        <v>215</v>
      </c>
      <c r="T1433" s="1" t="s">
        <v>160</v>
      </c>
      <c r="U1433" s="1" t="s">
        <v>216</v>
      </c>
      <c r="V1433" s="1" t="s">
        <v>36</v>
      </c>
      <c r="W1433" s="1" t="s">
        <v>37</v>
      </c>
      <c r="X1433" s="1" t="s">
        <v>217</v>
      </c>
      <c r="Y1433" s="1" t="s">
        <v>218</v>
      </c>
      <c r="Z1433" s="1" t="str">
        <f>TRIM(_xlfn.CONCAT(sales_data_sample[[#This Row],[CONTACTFIRSTNAME]],", ",sales_data_sample[[#This Row],[CONTACTLASTNAME]]))</f>
        <v>Violeta, Benitez</v>
      </c>
      <c r="AA1433" s="1" t="s">
        <v>40</v>
      </c>
    </row>
    <row r="1434" spans="1:27" x14ac:dyDescent="0.25">
      <c r="A1434" s="10">
        <v>10332</v>
      </c>
      <c r="B1434" s="9">
        <v>23</v>
      </c>
      <c r="C1434" s="9">
        <v>5684</v>
      </c>
      <c r="D1434" s="9">
        <f>PRODUCT(sales_data_sample[[#This Row],[QUANTITYORDERED]],sales_data_sample[[#This Row],[PRICEEACH]])</f>
        <v>130732</v>
      </c>
      <c r="E1434" s="9">
        <f>IF(OR(sales_data_sample[[#This Row],[STATUS]]="Shipped",sales_data_sample[[#This Row],[STATUS]]="Resolved"),sales_data_sample[[#This Row],[SALES]],0)</f>
        <v>130732</v>
      </c>
      <c r="F1434" s="10">
        <v>4</v>
      </c>
      <c r="G1434" s="12" t="s">
        <v>793</v>
      </c>
      <c r="H1434" s="1" t="s">
        <v>26</v>
      </c>
      <c r="I1434">
        <v>4</v>
      </c>
      <c r="J1434">
        <v>11</v>
      </c>
      <c r="K1434">
        <v>2004</v>
      </c>
      <c r="L1434" s="1" t="s">
        <v>239</v>
      </c>
      <c r="M1434">
        <v>73</v>
      </c>
      <c r="N1434" s="1" t="s">
        <v>950</v>
      </c>
      <c r="O1434" s="1" t="s">
        <v>695</v>
      </c>
      <c r="P1434" s="1" t="s">
        <v>696</v>
      </c>
      <c r="Q1434" s="1" t="s">
        <v>697</v>
      </c>
      <c r="R1434" s="1" t="s">
        <v>32</v>
      </c>
      <c r="S1434" s="1" t="s">
        <v>698</v>
      </c>
      <c r="T1434" s="1" t="s">
        <v>32</v>
      </c>
      <c r="U1434" s="1" t="s">
        <v>699</v>
      </c>
      <c r="V1434" s="1" t="s">
        <v>225</v>
      </c>
      <c r="W1434" s="1" t="s">
        <v>48</v>
      </c>
      <c r="X1434" s="1" t="s">
        <v>700</v>
      </c>
      <c r="Y1434" s="1" t="s">
        <v>118</v>
      </c>
      <c r="Z1434" s="1" t="str">
        <f>TRIM(_xlfn.CONCAT(sales_data_sample[[#This Row],[CONTACTFIRSTNAME]],", ",sales_data_sample[[#This Row],[CONTACTLASTNAME]]))</f>
        <v>Victoria, Ashworth</v>
      </c>
      <c r="AA1434" s="1" t="s">
        <v>40</v>
      </c>
    </row>
    <row r="1435" spans="1:27" x14ac:dyDescent="0.25">
      <c r="A1435" s="10">
        <v>10344</v>
      </c>
      <c r="B1435" s="9">
        <v>29</v>
      </c>
      <c r="C1435" s="9">
        <v>5953</v>
      </c>
      <c r="D1435" s="9">
        <f>PRODUCT(sales_data_sample[[#This Row],[QUANTITYORDERED]],sales_data_sample[[#This Row],[PRICEEACH]])</f>
        <v>172637</v>
      </c>
      <c r="E1435" s="9">
        <f>IF(OR(sales_data_sample[[#This Row],[STATUS]]="Shipped",sales_data_sample[[#This Row],[STATUS]]="Resolved"),sales_data_sample[[#This Row],[SALES]],0)</f>
        <v>172637</v>
      </c>
      <c r="F1435" s="10">
        <v>7</v>
      </c>
      <c r="G1435" s="12" t="s">
        <v>875</v>
      </c>
      <c r="H1435" s="1" t="s">
        <v>26</v>
      </c>
      <c r="I1435">
        <v>4</v>
      </c>
      <c r="J1435">
        <v>11</v>
      </c>
      <c r="K1435">
        <v>2004</v>
      </c>
      <c r="L1435" s="1" t="s">
        <v>239</v>
      </c>
      <c r="M1435">
        <v>73</v>
      </c>
      <c r="N1435" s="1" t="s">
        <v>950</v>
      </c>
      <c r="O1435" s="1" t="s">
        <v>600</v>
      </c>
      <c r="P1435" s="1" t="s">
        <v>601</v>
      </c>
      <c r="Q1435" s="1" t="s">
        <v>602</v>
      </c>
      <c r="R1435" s="1" t="s">
        <v>32</v>
      </c>
      <c r="S1435" s="1" t="s">
        <v>603</v>
      </c>
      <c r="T1435" s="1" t="s">
        <v>32</v>
      </c>
      <c r="U1435" s="1" t="s">
        <v>604</v>
      </c>
      <c r="V1435" s="1" t="s">
        <v>47</v>
      </c>
      <c r="W1435" s="1" t="s">
        <v>48</v>
      </c>
      <c r="X1435" s="1" t="s">
        <v>605</v>
      </c>
      <c r="Y1435" s="1" t="s">
        <v>606</v>
      </c>
      <c r="Z1435" s="1" t="str">
        <f>TRIM(_xlfn.CONCAT(sales_data_sample[[#This Row],[CONTACTFIRSTNAME]],", ",sales_data_sample[[#This Row],[CONTACTLASTNAME]]))</f>
        <v>Laurence, Lebihan</v>
      </c>
      <c r="AA1435" s="1" t="s">
        <v>40</v>
      </c>
    </row>
    <row r="1436" spans="1:27" x14ac:dyDescent="0.25">
      <c r="A1436" s="10">
        <v>10367</v>
      </c>
      <c r="B1436" s="9">
        <v>21</v>
      </c>
      <c r="C1436" s="9">
        <v>6037</v>
      </c>
      <c r="D1436" s="9">
        <f>PRODUCT(sales_data_sample[[#This Row],[QUANTITYORDERED]],sales_data_sample[[#This Row],[PRICEEACH]])</f>
        <v>126777</v>
      </c>
      <c r="E1436" s="9">
        <f>IF(OR(sales_data_sample[[#This Row],[STATUS]]="Shipped",sales_data_sample[[#This Row],[STATUS]]="Resolved"),sales_data_sample[[#This Row],[SALES]],0)</f>
        <v>126777</v>
      </c>
      <c r="F1436" s="10">
        <v>10</v>
      </c>
      <c r="G1436" s="12" t="s">
        <v>835</v>
      </c>
      <c r="H1436" s="1" t="s">
        <v>563</v>
      </c>
      <c r="I1436">
        <v>1</v>
      </c>
      <c r="J1436">
        <v>1</v>
      </c>
      <c r="K1436">
        <v>2005</v>
      </c>
      <c r="L1436" s="1" t="s">
        <v>239</v>
      </c>
      <c r="M1436">
        <v>73</v>
      </c>
      <c r="N1436" s="1" t="s">
        <v>950</v>
      </c>
      <c r="O1436" s="1" t="s">
        <v>61</v>
      </c>
      <c r="P1436" s="1" t="s">
        <v>62</v>
      </c>
      <c r="Q1436" s="1" t="s">
        <v>63</v>
      </c>
      <c r="R1436" s="1" t="s">
        <v>32</v>
      </c>
      <c r="S1436" s="1" t="s">
        <v>64</v>
      </c>
      <c r="T1436" s="1" t="s">
        <v>65</v>
      </c>
      <c r="U1436" s="1" t="s">
        <v>66</v>
      </c>
      <c r="V1436" s="1" t="s">
        <v>36</v>
      </c>
      <c r="W1436" s="1" t="s">
        <v>37</v>
      </c>
      <c r="X1436" s="1" t="s">
        <v>67</v>
      </c>
      <c r="Y1436" s="1" t="s">
        <v>68</v>
      </c>
      <c r="Z1436" s="1" t="str">
        <f>TRIM(_xlfn.CONCAT(sales_data_sample[[#This Row],[CONTACTFIRSTNAME]],", ",sales_data_sample[[#This Row],[CONTACTLASTNAME]]))</f>
        <v>Julie, Young</v>
      </c>
      <c r="AA1436" s="1" t="s">
        <v>40</v>
      </c>
    </row>
    <row r="1437" spans="1:27" x14ac:dyDescent="0.25">
      <c r="A1437" s="10">
        <v>10380</v>
      </c>
      <c r="B1437" s="9">
        <v>34</v>
      </c>
      <c r="C1437" s="9">
        <v>100</v>
      </c>
      <c r="D1437" s="9">
        <f>PRODUCT(sales_data_sample[[#This Row],[QUANTITYORDERED]],sales_data_sample[[#This Row],[PRICEEACH]])</f>
        <v>3400</v>
      </c>
      <c r="E1437" s="9">
        <f>IF(OR(sales_data_sample[[#This Row],[STATUS]]="Shipped",sales_data_sample[[#This Row],[STATUS]]="Resolved"),sales_data_sample[[#This Row],[SALES]],0)</f>
        <v>3400</v>
      </c>
      <c r="F1437" s="10">
        <v>3</v>
      </c>
      <c r="G1437" s="12" t="s">
        <v>826</v>
      </c>
      <c r="H1437" s="1" t="s">
        <v>26</v>
      </c>
      <c r="I1437">
        <v>1</v>
      </c>
      <c r="J1437">
        <v>2</v>
      </c>
      <c r="K1437">
        <v>2005</v>
      </c>
      <c r="L1437" s="1" t="s">
        <v>239</v>
      </c>
      <c r="M1437">
        <v>73</v>
      </c>
      <c r="N1437" s="1" t="s">
        <v>950</v>
      </c>
      <c r="O1437" s="1" t="s">
        <v>230</v>
      </c>
      <c r="P1437" s="1" t="s">
        <v>231</v>
      </c>
      <c r="Q1437" s="1" t="s">
        <v>232</v>
      </c>
      <c r="R1437" s="1" t="s">
        <v>32</v>
      </c>
      <c r="S1437" s="1" t="s">
        <v>233</v>
      </c>
      <c r="T1437" s="1" t="s">
        <v>32</v>
      </c>
      <c r="U1437" s="1" t="s">
        <v>234</v>
      </c>
      <c r="V1437" s="1" t="s">
        <v>235</v>
      </c>
      <c r="W1437" s="1" t="s">
        <v>48</v>
      </c>
      <c r="X1437" s="1" t="s">
        <v>236</v>
      </c>
      <c r="Y1437" s="1" t="s">
        <v>237</v>
      </c>
      <c r="Z1437" s="1" t="str">
        <f>TRIM(_xlfn.CONCAT(sales_data_sample[[#This Row],[CONTACTFIRSTNAME]],", ",sales_data_sample[[#This Row],[CONTACTLASTNAME]]))</f>
        <v>Diego, Freyre</v>
      </c>
      <c r="AA1437" s="1" t="s">
        <v>59</v>
      </c>
    </row>
    <row r="1438" spans="1:27" x14ac:dyDescent="0.25">
      <c r="A1438" s="10">
        <v>10407</v>
      </c>
      <c r="B1438" s="9">
        <v>26</v>
      </c>
      <c r="C1438" s="9">
        <v>7643</v>
      </c>
      <c r="D1438" s="9">
        <f>PRODUCT(sales_data_sample[[#This Row],[QUANTITYORDERED]],sales_data_sample[[#This Row],[PRICEEACH]])</f>
        <v>198718</v>
      </c>
      <c r="E1438" s="9">
        <f>IF(OR(sales_data_sample[[#This Row],[STATUS]]="Shipped",sales_data_sample[[#This Row],[STATUS]]="Resolved"),sales_data_sample[[#This Row],[SALES]],0)</f>
        <v>0</v>
      </c>
      <c r="F1438" s="10">
        <v>8</v>
      </c>
      <c r="G1438" s="12" t="s">
        <v>837</v>
      </c>
      <c r="H1438" s="1" t="s">
        <v>553</v>
      </c>
      <c r="I1438">
        <v>2</v>
      </c>
      <c r="J1438">
        <v>4</v>
      </c>
      <c r="K1438">
        <v>2005</v>
      </c>
      <c r="L1438" s="1" t="s">
        <v>239</v>
      </c>
      <c r="M1438">
        <v>73</v>
      </c>
      <c r="N1438" s="1" t="s">
        <v>950</v>
      </c>
      <c r="O1438" s="1" t="s">
        <v>547</v>
      </c>
      <c r="P1438" s="1" t="s">
        <v>548</v>
      </c>
      <c r="Q1438" s="1" t="s">
        <v>549</v>
      </c>
      <c r="R1438" s="1" t="s">
        <v>32</v>
      </c>
      <c r="S1438" s="1" t="s">
        <v>550</v>
      </c>
      <c r="T1438" s="1" t="s">
        <v>65</v>
      </c>
      <c r="U1438" s="1" t="s">
        <v>80</v>
      </c>
      <c r="V1438" s="1" t="s">
        <v>36</v>
      </c>
      <c r="W1438" s="1" t="s">
        <v>37</v>
      </c>
      <c r="X1438" s="1" t="s">
        <v>129</v>
      </c>
      <c r="Y1438" s="1" t="s">
        <v>551</v>
      </c>
      <c r="Z1438" s="1" t="str">
        <f>TRIM(_xlfn.CONCAT(sales_data_sample[[#This Row],[CONTACTFIRSTNAME]],", ",sales_data_sample[[#This Row],[CONTACTLASTNAME]]))</f>
        <v>Sue, Frick</v>
      </c>
      <c r="AA1438" s="1" t="s">
        <v>40</v>
      </c>
    </row>
    <row r="1439" spans="1:27" x14ac:dyDescent="0.25">
      <c r="A1439">
        <v>10420</v>
      </c>
      <c r="B1439">
        <v>60</v>
      </c>
      <c r="C1439">
        <v>6467</v>
      </c>
      <c r="D1439">
        <f>PRODUCT(sales_data_sample[[#This Row],[QUANTITYORDERED]],sales_data_sample[[#This Row],[PRICEEACH]])</f>
        <v>388020</v>
      </c>
      <c r="E1439" s="9">
        <f>IF(OR(sales_data_sample[[#This Row],[STATUS]]="Shipped",sales_data_sample[[#This Row],[STATUS]]="Resolved"),sales_data_sample[[#This Row],[SALES]],0)</f>
        <v>0</v>
      </c>
      <c r="F1439">
        <v>11</v>
      </c>
      <c r="G1439" s="12" t="s">
        <v>876</v>
      </c>
      <c r="H1439" s="1" t="s">
        <v>403</v>
      </c>
      <c r="I1439">
        <v>2</v>
      </c>
      <c r="J1439">
        <v>5</v>
      </c>
      <c r="K1439">
        <v>2005</v>
      </c>
      <c r="L1439" s="1" t="s">
        <v>239</v>
      </c>
      <c r="M1439">
        <v>73</v>
      </c>
      <c r="N1439" s="1" t="s">
        <v>950</v>
      </c>
      <c r="O1439" s="1" t="s">
        <v>201</v>
      </c>
      <c r="P1439" s="1" t="s">
        <v>202</v>
      </c>
      <c r="Q1439" s="1" t="s">
        <v>203</v>
      </c>
      <c r="R1439" s="1" t="s">
        <v>204</v>
      </c>
      <c r="S1439" s="1" t="s">
        <v>205</v>
      </c>
      <c r="T1439" s="1" t="s">
        <v>206</v>
      </c>
      <c r="U1439" s="1" t="s">
        <v>207</v>
      </c>
      <c r="V1439" s="1" t="s">
        <v>120</v>
      </c>
      <c r="W1439" s="1" t="s">
        <v>121</v>
      </c>
      <c r="X1439" s="1" t="s">
        <v>208</v>
      </c>
      <c r="Y1439" s="1" t="s">
        <v>209</v>
      </c>
      <c r="Z1439" s="1" t="str">
        <f>TRIM(_xlfn.CONCAT(sales_data_sample[[#This Row],[CONTACTFIRSTNAME]],", ",sales_data_sample[[#This Row],[CONTACTLASTNAME]]))</f>
        <v>Adrian, Huxley</v>
      </c>
      <c r="AA1439" s="1" t="s">
        <v>59</v>
      </c>
    </row>
    <row r="1440" spans="1:27" x14ac:dyDescent="0.25">
      <c r="A1440" s="10">
        <v>10104</v>
      </c>
      <c r="B1440" s="9">
        <v>35</v>
      </c>
      <c r="C1440" s="9">
        <v>5549</v>
      </c>
      <c r="D1440" s="9">
        <f>PRODUCT(sales_data_sample[[#This Row],[QUANTITYORDERED]],sales_data_sample[[#This Row],[PRICEEACH]])</f>
        <v>194215</v>
      </c>
      <c r="E1440" s="9">
        <f>IF(OR(sales_data_sample[[#This Row],[STATUS]]="Shipped",sales_data_sample[[#This Row],[STATUS]]="Resolved"),sales_data_sample[[#This Row],[SALES]],0)</f>
        <v>194215</v>
      </c>
      <c r="F1440" s="10">
        <v>6</v>
      </c>
      <c r="G1440" s="12" t="s">
        <v>723</v>
      </c>
      <c r="H1440" s="1" t="s">
        <v>26</v>
      </c>
      <c r="I1440">
        <v>1</v>
      </c>
      <c r="J1440">
        <v>1</v>
      </c>
      <c r="K1440">
        <v>2003</v>
      </c>
      <c r="L1440" s="1" t="s">
        <v>239</v>
      </c>
      <c r="M1440">
        <v>57</v>
      </c>
      <c r="N1440" s="1" t="s">
        <v>951</v>
      </c>
      <c r="O1440" s="1" t="s">
        <v>230</v>
      </c>
      <c r="P1440" s="1" t="s">
        <v>231</v>
      </c>
      <c r="Q1440" s="1" t="s">
        <v>232</v>
      </c>
      <c r="R1440" s="1" t="s">
        <v>32</v>
      </c>
      <c r="S1440" s="1" t="s">
        <v>233</v>
      </c>
      <c r="T1440" s="1" t="s">
        <v>32</v>
      </c>
      <c r="U1440" s="1" t="s">
        <v>234</v>
      </c>
      <c r="V1440" s="1" t="s">
        <v>235</v>
      </c>
      <c r="W1440" s="1" t="s">
        <v>48</v>
      </c>
      <c r="X1440" s="1" t="s">
        <v>236</v>
      </c>
      <c r="Y1440" s="1" t="s">
        <v>237</v>
      </c>
      <c r="Z1440" s="1" t="str">
        <f>TRIM(_xlfn.CONCAT(sales_data_sample[[#This Row],[CONTACTFIRSTNAME]],", ",sales_data_sample[[#This Row],[CONTACTLASTNAME]]))</f>
        <v>Diego, Freyre</v>
      </c>
      <c r="AA1440" s="1" t="s">
        <v>40</v>
      </c>
    </row>
    <row r="1441" spans="1:27" x14ac:dyDescent="0.25">
      <c r="A1441">
        <v>10115</v>
      </c>
      <c r="B1441">
        <v>47</v>
      </c>
      <c r="C1441">
        <v>6936</v>
      </c>
      <c r="D1441">
        <f>PRODUCT(sales_data_sample[[#This Row],[QUANTITYORDERED]],sales_data_sample[[#This Row],[PRICEEACH]])</f>
        <v>325992</v>
      </c>
      <c r="E1441" s="9">
        <f>IF(OR(sales_data_sample[[#This Row],[STATUS]]="Shipped",sales_data_sample[[#This Row],[STATUS]]="Resolved"),sales_data_sample[[#This Row],[SALES]],0)</f>
        <v>325992</v>
      </c>
      <c r="F1441">
        <v>2</v>
      </c>
      <c r="G1441" s="12" t="s">
        <v>742</v>
      </c>
      <c r="H1441" s="1" t="s">
        <v>26</v>
      </c>
      <c r="I1441">
        <v>2</v>
      </c>
      <c r="J1441">
        <v>4</v>
      </c>
      <c r="K1441">
        <v>2003</v>
      </c>
      <c r="L1441" s="1" t="s">
        <v>239</v>
      </c>
      <c r="M1441">
        <v>57</v>
      </c>
      <c r="N1441" s="1" t="s">
        <v>951</v>
      </c>
      <c r="O1441" s="1" t="s">
        <v>268</v>
      </c>
      <c r="P1441" s="1" t="s">
        <v>269</v>
      </c>
      <c r="Q1441" s="1" t="s">
        <v>270</v>
      </c>
      <c r="R1441" s="1" t="s">
        <v>271</v>
      </c>
      <c r="S1441" s="1" t="s">
        <v>33</v>
      </c>
      <c r="T1441" s="1" t="s">
        <v>34</v>
      </c>
      <c r="U1441" s="1" t="s">
        <v>35</v>
      </c>
      <c r="V1441" s="1" t="s">
        <v>36</v>
      </c>
      <c r="W1441" s="1" t="s">
        <v>37</v>
      </c>
      <c r="X1441" s="1" t="s">
        <v>162</v>
      </c>
      <c r="Y1441" s="1" t="s">
        <v>272</v>
      </c>
      <c r="Z1441" s="1" t="str">
        <f>TRIM(_xlfn.CONCAT(sales_data_sample[[#This Row],[CONTACTFIRSTNAME]],", ",sales_data_sample[[#This Row],[CONTACTLASTNAME]]))</f>
        <v>Maria, Hernandez</v>
      </c>
      <c r="AA1441" s="1" t="s">
        <v>59</v>
      </c>
    </row>
    <row r="1442" spans="1:27" x14ac:dyDescent="0.25">
      <c r="A1442">
        <v>10127</v>
      </c>
      <c r="B1442">
        <v>20</v>
      </c>
      <c r="C1442">
        <v>6069</v>
      </c>
      <c r="D1442">
        <f>PRODUCT(sales_data_sample[[#This Row],[QUANTITYORDERED]],sales_data_sample[[#This Row],[PRICEEACH]])</f>
        <v>121380</v>
      </c>
      <c r="E1442" s="9">
        <f>IF(OR(sales_data_sample[[#This Row],[STATUS]]="Shipped",sales_data_sample[[#This Row],[STATUS]]="Resolved"),sales_data_sample[[#This Row],[SALES]],0)</f>
        <v>121380</v>
      </c>
      <c r="F1442">
        <v>8</v>
      </c>
      <c r="G1442" s="12" t="s">
        <v>666</v>
      </c>
      <c r="H1442" s="1" t="s">
        <v>26</v>
      </c>
      <c r="I1442">
        <v>2</v>
      </c>
      <c r="J1442">
        <v>6</v>
      </c>
      <c r="K1442">
        <v>2003</v>
      </c>
      <c r="L1442" s="1" t="s">
        <v>239</v>
      </c>
      <c r="M1442">
        <v>57</v>
      </c>
      <c r="N1442" s="1" t="s">
        <v>951</v>
      </c>
      <c r="O1442" s="1" t="s">
        <v>667</v>
      </c>
      <c r="P1442" s="1" t="s">
        <v>668</v>
      </c>
      <c r="Q1442" s="1" t="s">
        <v>669</v>
      </c>
      <c r="R1442" s="1" t="s">
        <v>670</v>
      </c>
      <c r="S1442" s="1" t="s">
        <v>33</v>
      </c>
      <c r="T1442" s="1" t="s">
        <v>34</v>
      </c>
      <c r="U1442" s="1" t="s">
        <v>35</v>
      </c>
      <c r="V1442" s="1" t="s">
        <v>36</v>
      </c>
      <c r="W1442" s="1" t="s">
        <v>37</v>
      </c>
      <c r="X1442" s="1" t="s">
        <v>67</v>
      </c>
      <c r="Y1442" s="1" t="s">
        <v>671</v>
      </c>
      <c r="Z1442" s="1" t="str">
        <f>TRIM(_xlfn.CONCAT(sales_data_sample[[#This Row],[CONTACTFIRSTNAME]],", ",sales_data_sample[[#This Row],[CONTACTLASTNAME]]))</f>
        <v>Jeff, Young</v>
      </c>
      <c r="AA1442" s="1" t="s">
        <v>40</v>
      </c>
    </row>
    <row r="1443" spans="1:27" x14ac:dyDescent="0.25">
      <c r="A1443" s="10">
        <v>10141</v>
      </c>
      <c r="B1443" s="9">
        <v>20</v>
      </c>
      <c r="C1443" s="9">
        <v>5433</v>
      </c>
      <c r="D1443" s="9">
        <f>PRODUCT(sales_data_sample[[#This Row],[QUANTITYORDERED]],sales_data_sample[[#This Row],[PRICEEACH]])</f>
        <v>108660</v>
      </c>
      <c r="E1443" s="9">
        <f>IF(OR(sales_data_sample[[#This Row],[STATUS]]="Shipped",sales_data_sample[[#This Row],[STATUS]]="Resolved"),sales_data_sample[[#This Row],[SALES]],0)</f>
        <v>108660</v>
      </c>
      <c r="F1443" s="10">
        <v>2</v>
      </c>
      <c r="G1443" s="12" t="s">
        <v>743</v>
      </c>
      <c r="H1443" s="1" t="s">
        <v>26</v>
      </c>
      <c r="I1443">
        <v>3</v>
      </c>
      <c r="J1443">
        <v>8</v>
      </c>
      <c r="K1443">
        <v>2003</v>
      </c>
      <c r="L1443" s="1" t="s">
        <v>239</v>
      </c>
      <c r="M1443">
        <v>57</v>
      </c>
      <c r="N1443" s="1" t="s">
        <v>951</v>
      </c>
      <c r="O1443" s="1" t="s">
        <v>656</v>
      </c>
      <c r="P1443" s="1" t="s">
        <v>657</v>
      </c>
      <c r="Q1443" s="1" t="s">
        <v>658</v>
      </c>
      <c r="R1443" s="1" t="s">
        <v>32</v>
      </c>
      <c r="S1443" s="1" t="s">
        <v>659</v>
      </c>
      <c r="T1443" s="1" t="s">
        <v>32</v>
      </c>
      <c r="U1443" s="1" t="s">
        <v>660</v>
      </c>
      <c r="V1443" s="1" t="s">
        <v>170</v>
      </c>
      <c r="W1443" s="1" t="s">
        <v>48</v>
      </c>
      <c r="X1443" s="1" t="s">
        <v>661</v>
      </c>
      <c r="Y1443" s="1" t="s">
        <v>662</v>
      </c>
      <c r="Z1443" s="1" t="str">
        <f>TRIM(_xlfn.CONCAT(sales_data_sample[[#This Row],[CONTACTFIRSTNAME]],", ",sales_data_sample[[#This Row],[CONTACTLASTNAME]]))</f>
        <v>Kalle, Suominen</v>
      </c>
      <c r="AA1443" s="1" t="s">
        <v>40</v>
      </c>
    </row>
    <row r="1444" spans="1:27" x14ac:dyDescent="0.25">
      <c r="A1444" s="10">
        <v>10152</v>
      </c>
      <c r="B1444" s="9">
        <v>25</v>
      </c>
      <c r="C1444" s="9">
        <v>6531</v>
      </c>
      <c r="D1444" s="9">
        <f>PRODUCT(sales_data_sample[[#This Row],[QUANTITYORDERED]],sales_data_sample[[#This Row],[PRICEEACH]])</f>
        <v>163275</v>
      </c>
      <c r="E1444" s="9">
        <f>IF(OR(sales_data_sample[[#This Row],[STATUS]]="Shipped",sales_data_sample[[#This Row],[STATUS]]="Resolved"),sales_data_sample[[#This Row],[SALES]],0)</f>
        <v>163275</v>
      </c>
      <c r="F1444" s="10">
        <v>4</v>
      </c>
      <c r="G1444" s="12" t="s">
        <v>939</v>
      </c>
      <c r="H1444" s="1" t="s">
        <v>26</v>
      </c>
      <c r="I1444">
        <v>3</v>
      </c>
      <c r="J1444">
        <v>9</v>
      </c>
      <c r="K1444">
        <v>2003</v>
      </c>
      <c r="L1444" s="1" t="s">
        <v>239</v>
      </c>
      <c r="M1444">
        <v>57</v>
      </c>
      <c r="N1444" s="1" t="s">
        <v>951</v>
      </c>
      <c r="O1444" s="1" t="s">
        <v>274</v>
      </c>
      <c r="P1444" s="1" t="s">
        <v>275</v>
      </c>
      <c r="Q1444" s="1" t="s">
        <v>276</v>
      </c>
      <c r="R1444" s="1" t="s">
        <v>32</v>
      </c>
      <c r="S1444" s="1" t="s">
        <v>277</v>
      </c>
      <c r="T1444" s="1" t="s">
        <v>278</v>
      </c>
      <c r="U1444" s="1" t="s">
        <v>279</v>
      </c>
      <c r="V1444" s="1" t="s">
        <v>120</v>
      </c>
      <c r="W1444" s="1" t="s">
        <v>121</v>
      </c>
      <c r="X1444" s="1" t="s">
        <v>280</v>
      </c>
      <c r="Y1444" s="1" t="s">
        <v>281</v>
      </c>
      <c r="Z1444" s="1" t="str">
        <f>TRIM(_xlfn.CONCAT(sales_data_sample[[#This Row],[CONTACTFIRSTNAME]],", ",sales_data_sample[[#This Row],[CONTACTLASTNAME]]))</f>
        <v>Tony, Calaghan</v>
      </c>
      <c r="AA1444" s="1" t="s">
        <v>40</v>
      </c>
    </row>
    <row r="1445" spans="1:27" x14ac:dyDescent="0.25">
      <c r="A1445" s="10">
        <v>10165</v>
      </c>
      <c r="B1445" s="9">
        <v>25</v>
      </c>
      <c r="C1445" s="9">
        <v>6936</v>
      </c>
      <c r="D1445" s="9">
        <f>PRODUCT(sales_data_sample[[#This Row],[QUANTITYORDERED]],sales_data_sample[[#This Row],[PRICEEACH]])</f>
        <v>173400</v>
      </c>
      <c r="E1445" s="9">
        <f>IF(OR(sales_data_sample[[#This Row],[STATUS]]="Shipped",sales_data_sample[[#This Row],[STATUS]]="Resolved"),sales_data_sample[[#This Row],[SALES]],0)</f>
        <v>173400</v>
      </c>
      <c r="F1445" s="10">
        <v>9</v>
      </c>
      <c r="G1445" s="12" t="s">
        <v>674</v>
      </c>
      <c r="H1445" s="1" t="s">
        <v>26</v>
      </c>
      <c r="I1445">
        <v>4</v>
      </c>
      <c r="J1445">
        <v>10</v>
      </c>
      <c r="K1445">
        <v>2003</v>
      </c>
      <c r="L1445" s="1" t="s">
        <v>239</v>
      </c>
      <c r="M1445">
        <v>57</v>
      </c>
      <c r="N1445" s="1" t="s">
        <v>951</v>
      </c>
      <c r="O1445" s="1" t="s">
        <v>259</v>
      </c>
      <c r="P1445" s="1" t="s">
        <v>260</v>
      </c>
      <c r="Q1445" s="1" t="s">
        <v>261</v>
      </c>
      <c r="R1445" s="1" t="s">
        <v>32</v>
      </c>
      <c r="S1445" s="1" t="s">
        <v>262</v>
      </c>
      <c r="T1445" s="1" t="s">
        <v>32</v>
      </c>
      <c r="U1445" s="1" t="s">
        <v>263</v>
      </c>
      <c r="V1445" s="1" t="s">
        <v>262</v>
      </c>
      <c r="W1445" s="1" t="s">
        <v>264</v>
      </c>
      <c r="X1445" s="1" t="s">
        <v>265</v>
      </c>
      <c r="Y1445" s="1" t="s">
        <v>266</v>
      </c>
      <c r="Z1445" s="1" t="str">
        <f>TRIM(_xlfn.CONCAT(sales_data_sample[[#This Row],[CONTACTFIRSTNAME]],", ",sales_data_sample[[#This Row],[CONTACTLASTNAME]]))</f>
        <v>Eric, Natividad</v>
      </c>
      <c r="AA1445" s="1" t="s">
        <v>40</v>
      </c>
    </row>
    <row r="1446" spans="1:27" x14ac:dyDescent="0.25">
      <c r="A1446" s="10">
        <v>10176</v>
      </c>
      <c r="B1446" s="9">
        <v>27</v>
      </c>
      <c r="C1446" s="9">
        <v>6878</v>
      </c>
      <c r="D1446" s="9">
        <f>PRODUCT(sales_data_sample[[#This Row],[QUANTITYORDERED]],sales_data_sample[[#This Row],[PRICEEACH]])</f>
        <v>185706</v>
      </c>
      <c r="E1446" s="9">
        <f>IF(OR(sales_data_sample[[#This Row],[STATUS]]="Shipped",sales_data_sample[[#This Row],[STATUS]]="Resolved"),sales_data_sample[[#This Row],[SALES]],0)</f>
        <v>185706</v>
      </c>
      <c r="F1446" s="10">
        <v>8</v>
      </c>
      <c r="G1446" s="12" t="s">
        <v>273</v>
      </c>
      <c r="H1446" s="1" t="s">
        <v>26</v>
      </c>
      <c r="I1446">
        <v>4</v>
      </c>
      <c r="J1446">
        <v>11</v>
      </c>
      <c r="K1446">
        <v>2003</v>
      </c>
      <c r="L1446" s="1" t="s">
        <v>239</v>
      </c>
      <c r="M1446">
        <v>57</v>
      </c>
      <c r="N1446" s="1" t="s">
        <v>951</v>
      </c>
      <c r="O1446" s="1" t="s">
        <v>632</v>
      </c>
      <c r="P1446" s="1" t="s">
        <v>633</v>
      </c>
      <c r="Q1446" s="1" t="s">
        <v>634</v>
      </c>
      <c r="R1446" s="1" t="s">
        <v>32</v>
      </c>
      <c r="S1446" s="1" t="s">
        <v>635</v>
      </c>
      <c r="T1446" s="1" t="s">
        <v>32</v>
      </c>
      <c r="U1446" s="1" t="s">
        <v>636</v>
      </c>
      <c r="V1446" s="1" t="s">
        <v>343</v>
      </c>
      <c r="W1446" s="1" t="s">
        <v>48</v>
      </c>
      <c r="X1446" s="1" t="s">
        <v>637</v>
      </c>
      <c r="Y1446" s="1" t="s">
        <v>638</v>
      </c>
      <c r="Z1446" s="1" t="str">
        <f>TRIM(_xlfn.CONCAT(sales_data_sample[[#This Row],[CONTACTFIRSTNAME]],", ",sales_data_sample[[#This Row],[CONTACTLASTNAME]]))</f>
        <v>Maurizio, Moroni</v>
      </c>
      <c r="AA1446" s="1" t="s">
        <v>40</v>
      </c>
    </row>
    <row r="1447" spans="1:27" x14ac:dyDescent="0.25">
      <c r="A1447" s="10">
        <v>10184</v>
      </c>
      <c r="B1447" s="9">
        <v>31</v>
      </c>
      <c r="C1447" s="9">
        <v>6011</v>
      </c>
      <c r="D1447" s="9">
        <f>PRODUCT(sales_data_sample[[#This Row],[QUANTITYORDERED]],sales_data_sample[[#This Row],[PRICEEACH]])</f>
        <v>186341</v>
      </c>
      <c r="E1447" s="9">
        <f>IF(OR(sales_data_sample[[#This Row],[STATUS]]="Shipped",sales_data_sample[[#This Row],[STATUS]]="Resolved"),sales_data_sample[[#This Row],[SALES]],0)</f>
        <v>186341</v>
      </c>
      <c r="F1447" s="10">
        <v>3</v>
      </c>
      <c r="G1447" s="12" t="s">
        <v>470</v>
      </c>
      <c r="H1447" s="1" t="s">
        <v>26</v>
      </c>
      <c r="I1447">
        <v>4</v>
      </c>
      <c r="J1447">
        <v>11</v>
      </c>
      <c r="K1447">
        <v>2003</v>
      </c>
      <c r="L1447" s="1" t="s">
        <v>239</v>
      </c>
      <c r="M1447">
        <v>57</v>
      </c>
      <c r="N1447" s="1" t="s">
        <v>951</v>
      </c>
      <c r="O1447" s="1" t="s">
        <v>745</v>
      </c>
      <c r="P1447" s="1" t="s">
        <v>746</v>
      </c>
      <c r="Q1447" s="1" t="s">
        <v>747</v>
      </c>
      <c r="R1447" s="1" t="s">
        <v>32</v>
      </c>
      <c r="S1447" s="1" t="s">
        <v>748</v>
      </c>
      <c r="T1447" s="1" t="s">
        <v>32</v>
      </c>
      <c r="U1447" s="1" t="s">
        <v>749</v>
      </c>
      <c r="V1447" s="1" t="s">
        <v>235</v>
      </c>
      <c r="W1447" s="1" t="s">
        <v>48</v>
      </c>
      <c r="X1447" s="1" t="s">
        <v>750</v>
      </c>
      <c r="Y1447" s="1" t="s">
        <v>751</v>
      </c>
      <c r="Z1447" s="1" t="str">
        <f>TRIM(_xlfn.CONCAT(sales_data_sample[[#This Row],[CONTACTFIRSTNAME]],", ",sales_data_sample[[#This Row],[CONTACTLASTNAME]]))</f>
        <v>Jose Pedro, Roel</v>
      </c>
      <c r="AA1447" s="1" t="s">
        <v>40</v>
      </c>
    </row>
    <row r="1448" spans="1:27" x14ac:dyDescent="0.25">
      <c r="A1448" s="10">
        <v>10195</v>
      </c>
      <c r="B1448" s="9">
        <v>44</v>
      </c>
      <c r="C1448" s="9">
        <v>6647</v>
      </c>
      <c r="D1448" s="9">
        <f>PRODUCT(sales_data_sample[[#This Row],[QUANTITYORDERED]],sales_data_sample[[#This Row],[PRICEEACH]])</f>
        <v>292468</v>
      </c>
      <c r="E1448" s="9">
        <f>IF(OR(sales_data_sample[[#This Row],[STATUS]]="Shipped",sales_data_sample[[#This Row],[STATUS]]="Resolved"),sales_data_sample[[#This Row],[SALES]],0)</f>
        <v>292468</v>
      </c>
      <c r="F1448" s="10">
        <v>3</v>
      </c>
      <c r="G1448" s="12" t="s">
        <v>290</v>
      </c>
      <c r="H1448" s="1" t="s">
        <v>26</v>
      </c>
      <c r="I1448">
        <v>4</v>
      </c>
      <c r="J1448">
        <v>11</v>
      </c>
      <c r="K1448">
        <v>2003</v>
      </c>
      <c r="L1448" s="1" t="s">
        <v>239</v>
      </c>
      <c r="M1448">
        <v>57</v>
      </c>
      <c r="N1448" s="1" t="s">
        <v>951</v>
      </c>
      <c r="O1448" s="1" t="s">
        <v>425</v>
      </c>
      <c r="P1448" s="1" t="s">
        <v>426</v>
      </c>
      <c r="Q1448" s="1" t="s">
        <v>427</v>
      </c>
      <c r="R1448" s="1" t="s">
        <v>32</v>
      </c>
      <c r="S1448" s="1" t="s">
        <v>428</v>
      </c>
      <c r="T1448" s="1" t="s">
        <v>34</v>
      </c>
      <c r="U1448" s="1" t="s">
        <v>429</v>
      </c>
      <c r="V1448" s="1" t="s">
        <v>36</v>
      </c>
      <c r="W1448" s="1" t="s">
        <v>37</v>
      </c>
      <c r="X1448" s="1" t="s">
        <v>129</v>
      </c>
      <c r="Y1448" s="1" t="s">
        <v>314</v>
      </c>
      <c r="Z1448" s="1" t="str">
        <f>TRIM(_xlfn.CONCAT(sales_data_sample[[#This Row],[CONTACTFIRSTNAME]],", ",sales_data_sample[[#This Row],[CONTACTLASTNAME]]))</f>
        <v>Steve, Frick</v>
      </c>
      <c r="AA1448" s="1" t="s">
        <v>40</v>
      </c>
    </row>
    <row r="1449" spans="1:27" x14ac:dyDescent="0.25">
      <c r="A1449" s="10">
        <v>10207</v>
      </c>
      <c r="B1449" s="9">
        <v>49</v>
      </c>
      <c r="C1449" s="9">
        <v>4682</v>
      </c>
      <c r="D1449" s="9">
        <f>PRODUCT(sales_data_sample[[#This Row],[QUANTITYORDERED]],sales_data_sample[[#This Row],[PRICEEACH]])</f>
        <v>229418</v>
      </c>
      <c r="E1449" s="9">
        <f>IF(OR(sales_data_sample[[#This Row],[STATUS]]="Shipped",sales_data_sample[[#This Row],[STATUS]]="Resolved"),sales_data_sample[[#This Row],[SALES]],0)</f>
        <v>229418</v>
      </c>
      <c r="F1449" s="10">
        <v>4</v>
      </c>
      <c r="G1449" s="12" t="s">
        <v>571</v>
      </c>
      <c r="H1449" s="1" t="s">
        <v>26</v>
      </c>
      <c r="I1449">
        <v>4</v>
      </c>
      <c r="J1449">
        <v>12</v>
      </c>
      <c r="K1449">
        <v>2003</v>
      </c>
      <c r="L1449" s="1" t="s">
        <v>239</v>
      </c>
      <c r="M1449">
        <v>57</v>
      </c>
      <c r="N1449" s="1" t="s">
        <v>951</v>
      </c>
      <c r="O1449" s="1" t="s">
        <v>572</v>
      </c>
      <c r="P1449" s="1" t="s">
        <v>573</v>
      </c>
      <c r="Q1449" s="1" t="s">
        <v>574</v>
      </c>
      <c r="R1449" s="1" t="s">
        <v>32</v>
      </c>
      <c r="S1449" s="1" t="s">
        <v>519</v>
      </c>
      <c r="T1449" s="1" t="s">
        <v>160</v>
      </c>
      <c r="U1449" s="1" t="s">
        <v>520</v>
      </c>
      <c r="V1449" s="1" t="s">
        <v>36</v>
      </c>
      <c r="W1449" s="1" t="s">
        <v>37</v>
      </c>
      <c r="X1449" s="1" t="s">
        <v>575</v>
      </c>
      <c r="Y1449" s="1" t="s">
        <v>366</v>
      </c>
      <c r="Z1449" s="1" t="str">
        <f>TRIM(_xlfn.CONCAT(sales_data_sample[[#This Row],[CONTACTFIRSTNAME]],", ",sales_data_sample[[#This Row],[CONTACTLASTNAME]]))</f>
        <v>Valarie, Franco</v>
      </c>
      <c r="AA1449" s="1" t="s">
        <v>40</v>
      </c>
    </row>
    <row r="1450" spans="1:27" x14ac:dyDescent="0.25">
      <c r="A1450">
        <v>10220</v>
      </c>
      <c r="B1450">
        <v>26</v>
      </c>
      <c r="C1450">
        <v>5607</v>
      </c>
      <c r="D1450">
        <f>PRODUCT(sales_data_sample[[#This Row],[QUANTITYORDERED]],sales_data_sample[[#This Row],[PRICEEACH]])</f>
        <v>145782</v>
      </c>
      <c r="E1450" s="9">
        <f>IF(OR(sales_data_sample[[#This Row],[STATUS]]="Shipped",sales_data_sample[[#This Row],[STATUS]]="Resolved"),sales_data_sample[[#This Row],[SALES]],0)</f>
        <v>145782</v>
      </c>
      <c r="F1450">
        <v>8</v>
      </c>
      <c r="G1450" s="12" t="s">
        <v>676</v>
      </c>
      <c r="H1450" s="1" t="s">
        <v>26</v>
      </c>
      <c r="I1450">
        <v>1</v>
      </c>
      <c r="J1450">
        <v>2</v>
      </c>
      <c r="K1450">
        <v>2004</v>
      </c>
      <c r="L1450" s="1" t="s">
        <v>239</v>
      </c>
      <c r="M1450">
        <v>57</v>
      </c>
      <c r="N1450" s="1" t="s">
        <v>951</v>
      </c>
      <c r="O1450" s="1" t="s">
        <v>677</v>
      </c>
      <c r="P1450" s="1" t="s">
        <v>678</v>
      </c>
      <c r="Q1450" s="1" t="s">
        <v>679</v>
      </c>
      <c r="R1450" s="1" t="s">
        <v>680</v>
      </c>
      <c r="S1450" s="1" t="s">
        <v>681</v>
      </c>
      <c r="T1450" s="1" t="s">
        <v>32</v>
      </c>
      <c r="U1450" s="1" t="s">
        <v>682</v>
      </c>
      <c r="V1450" s="1" t="s">
        <v>683</v>
      </c>
      <c r="W1450" s="1" t="s">
        <v>48</v>
      </c>
      <c r="X1450" s="1" t="s">
        <v>684</v>
      </c>
      <c r="Y1450" s="1" t="s">
        <v>685</v>
      </c>
      <c r="Z1450" s="1" t="str">
        <f>TRIM(_xlfn.CONCAT(sales_data_sample[[#This Row],[CONTACTFIRSTNAME]],", ",sales_data_sample[[#This Row],[CONTACTLASTNAME]]))</f>
        <v>Dean, Cassidy</v>
      </c>
      <c r="AA1450" s="1" t="s">
        <v>40</v>
      </c>
    </row>
    <row r="1451" spans="1:27" x14ac:dyDescent="0.25">
      <c r="A1451" s="10">
        <v>10230</v>
      </c>
      <c r="B1451" s="9">
        <v>36</v>
      </c>
      <c r="C1451" s="9">
        <v>5433</v>
      </c>
      <c r="D1451" s="9">
        <f>PRODUCT(sales_data_sample[[#This Row],[QUANTITYORDERED]],sales_data_sample[[#This Row],[PRICEEACH]])</f>
        <v>195588</v>
      </c>
      <c r="E1451" s="9">
        <f>IF(OR(sales_data_sample[[#This Row],[STATUS]]="Shipped",sales_data_sample[[#This Row],[STATUS]]="Resolved"),sales_data_sample[[#This Row],[SALES]],0)</f>
        <v>195588</v>
      </c>
      <c r="F1451" s="10">
        <v>6</v>
      </c>
      <c r="G1451" s="12" t="s">
        <v>725</v>
      </c>
      <c r="H1451" s="1" t="s">
        <v>26</v>
      </c>
      <c r="I1451">
        <v>1</v>
      </c>
      <c r="J1451">
        <v>3</v>
      </c>
      <c r="K1451">
        <v>2004</v>
      </c>
      <c r="L1451" s="1" t="s">
        <v>239</v>
      </c>
      <c r="M1451">
        <v>57</v>
      </c>
      <c r="N1451" s="1" t="s">
        <v>951</v>
      </c>
      <c r="O1451" s="1" t="s">
        <v>647</v>
      </c>
      <c r="P1451" s="1" t="s">
        <v>648</v>
      </c>
      <c r="Q1451" s="1" t="s">
        <v>649</v>
      </c>
      <c r="R1451" s="1" t="s">
        <v>32</v>
      </c>
      <c r="S1451" s="1" t="s">
        <v>650</v>
      </c>
      <c r="T1451" s="1" t="s">
        <v>32</v>
      </c>
      <c r="U1451" s="1" t="s">
        <v>651</v>
      </c>
      <c r="V1451" s="1" t="s">
        <v>617</v>
      </c>
      <c r="W1451" s="1" t="s">
        <v>48</v>
      </c>
      <c r="X1451" s="1" t="s">
        <v>652</v>
      </c>
      <c r="Y1451" s="1" t="s">
        <v>570</v>
      </c>
      <c r="Z1451" s="1" t="str">
        <f>TRIM(_xlfn.CONCAT(sales_data_sample[[#This Row],[CONTACTFIRSTNAME]],", ",sales_data_sample[[#This Row],[CONTACTLASTNAME]]))</f>
        <v>Roland, Keitel</v>
      </c>
      <c r="AA1451" s="1" t="s">
        <v>40</v>
      </c>
    </row>
    <row r="1452" spans="1:27" x14ac:dyDescent="0.25">
      <c r="A1452" s="10">
        <v>10246</v>
      </c>
      <c r="B1452" s="9">
        <v>44</v>
      </c>
      <c r="C1452" s="9">
        <v>526</v>
      </c>
      <c r="D1452" s="9">
        <f>PRODUCT(sales_data_sample[[#This Row],[QUANTITYORDERED]],sales_data_sample[[#This Row],[PRICEEACH]])</f>
        <v>23144</v>
      </c>
      <c r="E1452" s="9">
        <f>IF(OR(sales_data_sample[[#This Row],[STATUS]]="Shipped",sales_data_sample[[#This Row],[STATUS]]="Resolved"),sales_data_sample[[#This Row],[SALES]],0)</f>
        <v>23144</v>
      </c>
      <c r="F1452" s="10">
        <v>2</v>
      </c>
      <c r="G1452" s="12" t="s">
        <v>692</v>
      </c>
      <c r="H1452" s="1" t="s">
        <v>26</v>
      </c>
      <c r="I1452">
        <v>2</v>
      </c>
      <c r="J1452">
        <v>5</v>
      </c>
      <c r="K1452">
        <v>2004</v>
      </c>
      <c r="L1452" s="1" t="s">
        <v>239</v>
      </c>
      <c r="M1452">
        <v>57</v>
      </c>
      <c r="N1452" s="1" t="s">
        <v>951</v>
      </c>
      <c r="O1452" s="1" t="s">
        <v>230</v>
      </c>
      <c r="P1452" s="1" t="s">
        <v>231</v>
      </c>
      <c r="Q1452" s="1" t="s">
        <v>232</v>
      </c>
      <c r="R1452" s="1" t="s">
        <v>32</v>
      </c>
      <c r="S1452" s="1" t="s">
        <v>233</v>
      </c>
      <c r="T1452" s="1" t="s">
        <v>32</v>
      </c>
      <c r="U1452" s="1" t="s">
        <v>234</v>
      </c>
      <c r="V1452" s="1" t="s">
        <v>235</v>
      </c>
      <c r="W1452" s="1" t="s">
        <v>48</v>
      </c>
      <c r="X1452" s="1" t="s">
        <v>236</v>
      </c>
      <c r="Y1452" s="1" t="s">
        <v>237</v>
      </c>
      <c r="Z1452" s="1" t="str">
        <f>TRIM(_xlfn.CONCAT(sales_data_sample[[#This Row],[CONTACTFIRSTNAME]],", ",sales_data_sample[[#This Row],[CONTACTLASTNAME]]))</f>
        <v>Diego, Freyre</v>
      </c>
      <c r="AA1452" s="1" t="s">
        <v>40</v>
      </c>
    </row>
    <row r="1453" spans="1:27" x14ac:dyDescent="0.25">
      <c r="A1453">
        <v>10259</v>
      </c>
      <c r="B1453">
        <v>28</v>
      </c>
      <c r="C1453">
        <v>4682</v>
      </c>
      <c r="D1453">
        <f>PRODUCT(sales_data_sample[[#This Row],[QUANTITYORDERED]],sales_data_sample[[#This Row],[PRICEEACH]])</f>
        <v>131096</v>
      </c>
      <c r="E1453" s="9">
        <f>IF(OR(sales_data_sample[[#This Row],[STATUS]]="Shipped",sales_data_sample[[#This Row],[STATUS]]="Resolved"),sales_data_sample[[#This Row],[SALES]],0)</f>
        <v>131096</v>
      </c>
      <c r="F1453">
        <v>1</v>
      </c>
      <c r="G1453" s="12" t="s">
        <v>327</v>
      </c>
      <c r="H1453" s="1" t="s">
        <v>26</v>
      </c>
      <c r="I1453">
        <v>2</v>
      </c>
      <c r="J1453">
        <v>6</v>
      </c>
      <c r="K1453">
        <v>2004</v>
      </c>
      <c r="L1453" s="1" t="s">
        <v>239</v>
      </c>
      <c r="M1453">
        <v>57</v>
      </c>
      <c r="N1453" s="1" t="s">
        <v>951</v>
      </c>
      <c r="O1453" s="1" t="s">
        <v>577</v>
      </c>
      <c r="P1453" s="1" t="s">
        <v>578</v>
      </c>
      <c r="Q1453" s="1" t="s">
        <v>579</v>
      </c>
      <c r="R1453" s="1" t="s">
        <v>580</v>
      </c>
      <c r="S1453" s="1" t="s">
        <v>262</v>
      </c>
      <c r="T1453" s="1" t="s">
        <v>32</v>
      </c>
      <c r="U1453" s="1" t="s">
        <v>581</v>
      </c>
      <c r="V1453" s="1" t="s">
        <v>262</v>
      </c>
      <c r="W1453" s="1" t="s">
        <v>121</v>
      </c>
      <c r="X1453" s="1" t="s">
        <v>582</v>
      </c>
      <c r="Y1453" s="1" t="s">
        <v>583</v>
      </c>
      <c r="Z1453" s="1" t="str">
        <f>TRIM(_xlfn.CONCAT(sales_data_sample[[#This Row],[CONTACTFIRSTNAME]],", ",sales_data_sample[[#This Row],[CONTACTLASTNAME]]))</f>
        <v>Wendy, Victorino</v>
      </c>
      <c r="AA1453" s="1" t="s">
        <v>40</v>
      </c>
    </row>
    <row r="1454" spans="1:27" x14ac:dyDescent="0.25">
      <c r="A1454" s="10">
        <v>10271</v>
      </c>
      <c r="B1454" s="9">
        <v>45</v>
      </c>
      <c r="C1454" s="9">
        <v>6474</v>
      </c>
      <c r="D1454" s="9">
        <f>PRODUCT(sales_data_sample[[#This Row],[QUANTITYORDERED]],sales_data_sample[[#This Row],[PRICEEACH]])</f>
        <v>291330</v>
      </c>
      <c r="E1454" s="9">
        <f>IF(OR(sales_data_sample[[#This Row],[STATUS]]="Shipped",sales_data_sample[[#This Row],[STATUS]]="Resolved"),sales_data_sample[[#This Row],[SALES]],0)</f>
        <v>291330</v>
      </c>
      <c r="F1454" s="10">
        <v>2</v>
      </c>
      <c r="G1454" s="12" t="s">
        <v>693</v>
      </c>
      <c r="H1454" s="1" t="s">
        <v>26</v>
      </c>
      <c r="I1454">
        <v>3</v>
      </c>
      <c r="J1454">
        <v>7</v>
      </c>
      <c r="K1454">
        <v>2004</v>
      </c>
      <c r="L1454" s="1" t="s">
        <v>239</v>
      </c>
      <c r="M1454">
        <v>57</v>
      </c>
      <c r="N1454" s="1" t="s">
        <v>951</v>
      </c>
      <c r="O1454" s="1" t="s">
        <v>361</v>
      </c>
      <c r="P1454" s="1" t="s">
        <v>362</v>
      </c>
      <c r="Q1454" s="1" t="s">
        <v>363</v>
      </c>
      <c r="R1454" s="1" t="s">
        <v>32</v>
      </c>
      <c r="S1454" s="1" t="s">
        <v>364</v>
      </c>
      <c r="T1454" s="1" t="s">
        <v>65</v>
      </c>
      <c r="U1454" s="1" t="s">
        <v>145</v>
      </c>
      <c r="V1454" s="1" t="s">
        <v>36</v>
      </c>
      <c r="W1454" s="1" t="s">
        <v>37</v>
      </c>
      <c r="X1454" s="1" t="s">
        <v>365</v>
      </c>
      <c r="Y1454" s="1" t="s">
        <v>366</v>
      </c>
      <c r="Z1454" s="1" t="str">
        <f>TRIM(_xlfn.CONCAT(sales_data_sample[[#This Row],[CONTACTFIRSTNAME]],", ",sales_data_sample[[#This Row],[CONTACTLASTNAME]]))</f>
        <v>Valarie, Nelson</v>
      </c>
      <c r="AA1454" s="1" t="s">
        <v>40</v>
      </c>
    </row>
    <row r="1455" spans="1:27" x14ac:dyDescent="0.25">
      <c r="A1455" s="10">
        <v>10282</v>
      </c>
      <c r="B1455" s="9">
        <v>29</v>
      </c>
      <c r="C1455" s="9">
        <v>4682</v>
      </c>
      <c r="D1455" s="9">
        <f>PRODUCT(sales_data_sample[[#This Row],[QUANTITYORDERED]],sales_data_sample[[#This Row],[PRICEEACH]])</f>
        <v>135778</v>
      </c>
      <c r="E1455" s="9">
        <f>IF(OR(sales_data_sample[[#This Row],[STATUS]]="Shipped",sales_data_sample[[#This Row],[STATUS]]="Resolved"),sales_data_sample[[#This Row],[SALES]],0)</f>
        <v>135778</v>
      </c>
      <c r="F1455" s="10">
        <v>11</v>
      </c>
      <c r="G1455" s="12" t="s">
        <v>508</v>
      </c>
      <c r="H1455" s="1" t="s">
        <v>26</v>
      </c>
      <c r="I1455">
        <v>3</v>
      </c>
      <c r="J1455">
        <v>8</v>
      </c>
      <c r="K1455">
        <v>2004</v>
      </c>
      <c r="L1455" s="1" t="s">
        <v>239</v>
      </c>
      <c r="M1455">
        <v>57</v>
      </c>
      <c r="N1455" s="1" t="s">
        <v>951</v>
      </c>
      <c r="O1455" s="1" t="s">
        <v>361</v>
      </c>
      <c r="P1455" s="1" t="s">
        <v>362</v>
      </c>
      <c r="Q1455" s="1" t="s">
        <v>363</v>
      </c>
      <c r="R1455" s="1" t="s">
        <v>32</v>
      </c>
      <c r="S1455" s="1" t="s">
        <v>364</v>
      </c>
      <c r="T1455" s="1" t="s">
        <v>65</v>
      </c>
      <c r="U1455" s="1" t="s">
        <v>145</v>
      </c>
      <c r="V1455" s="1" t="s">
        <v>36</v>
      </c>
      <c r="W1455" s="1" t="s">
        <v>37</v>
      </c>
      <c r="X1455" s="1" t="s">
        <v>365</v>
      </c>
      <c r="Y1455" s="1" t="s">
        <v>366</v>
      </c>
      <c r="Z1455" s="1" t="str">
        <f>TRIM(_xlfn.CONCAT(sales_data_sample[[#This Row],[CONTACTFIRSTNAME]],", ",sales_data_sample[[#This Row],[CONTACTLASTNAME]]))</f>
        <v>Valarie, Nelson</v>
      </c>
      <c r="AA1455" s="1" t="s">
        <v>40</v>
      </c>
    </row>
    <row r="1456" spans="1:27" x14ac:dyDescent="0.25">
      <c r="A1456" s="10">
        <v>10292</v>
      </c>
      <c r="B1456" s="9">
        <v>40</v>
      </c>
      <c r="C1456" s="9">
        <v>5375</v>
      </c>
      <c r="D1456" s="9">
        <f>PRODUCT(sales_data_sample[[#This Row],[QUANTITYORDERED]],sales_data_sample[[#This Row],[PRICEEACH]])</f>
        <v>215000</v>
      </c>
      <c r="E1456" s="9">
        <f>IF(OR(sales_data_sample[[#This Row],[STATUS]]="Shipped",sales_data_sample[[#This Row],[STATUS]]="Resolved"),sales_data_sample[[#This Row],[SALES]],0)</f>
        <v>215000</v>
      </c>
      <c r="F1456" s="10">
        <v>5</v>
      </c>
      <c r="G1456" s="12" t="s">
        <v>346</v>
      </c>
      <c r="H1456" s="1" t="s">
        <v>26</v>
      </c>
      <c r="I1456">
        <v>3</v>
      </c>
      <c r="J1456">
        <v>9</v>
      </c>
      <c r="K1456">
        <v>2004</v>
      </c>
      <c r="L1456" s="1" t="s">
        <v>239</v>
      </c>
      <c r="M1456">
        <v>57</v>
      </c>
      <c r="N1456" s="1" t="s">
        <v>951</v>
      </c>
      <c r="O1456" s="1" t="s">
        <v>29</v>
      </c>
      <c r="P1456" s="1" t="s">
        <v>30</v>
      </c>
      <c r="Q1456" s="1" t="s">
        <v>31</v>
      </c>
      <c r="R1456" s="1" t="s">
        <v>32</v>
      </c>
      <c r="S1456" s="1" t="s">
        <v>33</v>
      </c>
      <c r="T1456" s="1" t="s">
        <v>34</v>
      </c>
      <c r="U1456" s="1" t="s">
        <v>35</v>
      </c>
      <c r="V1456" s="1" t="s">
        <v>36</v>
      </c>
      <c r="W1456" s="1" t="s">
        <v>37</v>
      </c>
      <c r="X1456" s="1" t="s">
        <v>38</v>
      </c>
      <c r="Y1456" s="1" t="s">
        <v>39</v>
      </c>
      <c r="Z1456" s="1" t="str">
        <f>TRIM(_xlfn.CONCAT(sales_data_sample[[#This Row],[CONTACTFIRSTNAME]],", ",sales_data_sample[[#This Row],[CONTACTLASTNAME]]))</f>
        <v>Kwai, Yu</v>
      </c>
      <c r="AA1456" s="1" t="s">
        <v>40</v>
      </c>
    </row>
    <row r="1457" spans="1:27" x14ac:dyDescent="0.25">
      <c r="A1457" s="10">
        <v>10305</v>
      </c>
      <c r="B1457" s="9">
        <v>45</v>
      </c>
      <c r="C1457" s="9">
        <v>6185</v>
      </c>
      <c r="D1457" s="9">
        <f>PRODUCT(sales_data_sample[[#This Row],[QUANTITYORDERED]],sales_data_sample[[#This Row],[PRICEEACH]])</f>
        <v>278325</v>
      </c>
      <c r="E1457" s="9">
        <f>IF(OR(sales_data_sample[[#This Row],[STATUS]]="Shipped",sales_data_sample[[#This Row],[STATUS]]="Resolved"),sales_data_sample[[#This Row],[SALES]],0)</f>
        <v>278325</v>
      </c>
      <c r="F1457" s="10">
        <v>2</v>
      </c>
      <c r="G1457" s="12" t="s">
        <v>586</v>
      </c>
      <c r="H1457" s="1" t="s">
        <v>26</v>
      </c>
      <c r="I1457">
        <v>4</v>
      </c>
      <c r="J1457">
        <v>10</v>
      </c>
      <c r="K1457">
        <v>2004</v>
      </c>
      <c r="L1457" s="1" t="s">
        <v>239</v>
      </c>
      <c r="M1457">
        <v>57</v>
      </c>
      <c r="N1457" s="1" t="s">
        <v>951</v>
      </c>
      <c r="O1457" s="1" t="s">
        <v>156</v>
      </c>
      <c r="P1457" s="1" t="s">
        <v>157</v>
      </c>
      <c r="Q1457" s="1" t="s">
        <v>158</v>
      </c>
      <c r="R1457" s="1" t="s">
        <v>32</v>
      </c>
      <c r="S1457" s="1" t="s">
        <v>159</v>
      </c>
      <c r="T1457" s="1" t="s">
        <v>160</v>
      </c>
      <c r="U1457" s="1" t="s">
        <v>161</v>
      </c>
      <c r="V1457" s="1" t="s">
        <v>36</v>
      </c>
      <c r="W1457" s="1" t="s">
        <v>37</v>
      </c>
      <c r="X1457" s="1" t="s">
        <v>162</v>
      </c>
      <c r="Y1457" s="1" t="s">
        <v>163</v>
      </c>
      <c r="Z1457" s="1" t="str">
        <f>TRIM(_xlfn.CONCAT(sales_data_sample[[#This Row],[CONTACTFIRSTNAME]],", ",sales_data_sample[[#This Row],[CONTACTLASTNAME]]))</f>
        <v>Marta, Hernandez</v>
      </c>
      <c r="AA1457" s="1" t="s">
        <v>40</v>
      </c>
    </row>
    <row r="1458" spans="1:27" x14ac:dyDescent="0.25">
      <c r="A1458" s="10">
        <v>10314</v>
      </c>
      <c r="B1458" s="9">
        <v>44</v>
      </c>
      <c r="C1458" s="9">
        <v>5318</v>
      </c>
      <c r="D1458" s="9">
        <f>PRODUCT(sales_data_sample[[#This Row],[QUANTITYORDERED]],sales_data_sample[[#This Row],[PRICEEACH]])</f>
        <v>233992</v>
      </c>
      <c r="E1458" s="9">
        <f>IF(OR(sales_data_sample[[#This Row],[STATUS]]="Shipped",sales_data_sample[[#This Row],[STATUS]]="Resolved"),sales_data_sample[[#This Row],[SALES]],0)</f>
        <v>233992</v>
      </c>
      <c r="F1458" s="10">
        <v>11</v>
      </c>
      <c r="G1458" s="12" t="s">
        <v>587</v>
      </c>
      <c r="H1458" s="1" t="s">
        <v>26</v>
      </c>
      <c r="I1458">
        <v>4</v>
      </c>
      <c r="J1458">
        <v>10</v>
      </c>
      <c r="K1458">
        <v>2004</v>
      </c>
      <c r="L1458" s="1" t="s">
        <v>239</v>
      </c>
      <c r="M1458">
        <v>57</v>
      </c>
      <c r="N1458" s="1" t="s">
        <v>951</v>
      </c>
      <c r="O1458" s="1" t="s">
        <v>701</v>
      </c>
      <c r="P1458" s="1" t="s">
        <v>702</v>
      </c>
      <c r="Q1458" s="1" t="s">
        <v>703</v>
      </c>
      <c r="R1458" s="1" t="s">
        <v>32</v>
      </c>
      <c r="S1458" s="1" t="s">
        <v>704</v>
      </c>
      <c r="T1458" s="1" t="s">
        <v>32</v>
      </c>
      <c r="U1458" s="1" t="s">
        <v>705</v>
      </c>
      <c r="V1458" s="1" t="s">
        <v>442</v>
      </c>
      <c r="W1458" s="1" t="s">
        <v>48</v>
      </c>
      <c r="X1458" s="1" t="s">
        <v>706</v>
      </c>
      <c r="Y1458" s="1" t="s">
        <v>707</v>
      </c>
      <c r="Z1458" s="1" t="str">
        <f>TRIM(_xlfn.CONCAT(sales_data_sample[[#This Row],[CONTACTFIRSTNAME]],", ",sales_data_sample[[#This Row],[CONTACTLASTNAME]]))</f>
        <v>Palle, Ibsen</v>
      </c>
      <c r="AA1458" s="1" t="s">
        <v>40</v>
      </c>
    </row>
    <row r="1459" spans="1:27" x14ac:dyDescent="0.25">
      <c r="A1459">
        <v>10324</v>
      </c>
      <c r="B1459">
        <v>25</v>
      </c>
      <c r="C1459">
        <v>6916</v>
      </c>
      <c r="D1459">
        <f>PRODUCT(sales_data_sample[[#This Row],[QUANTITYORDERED]],sales_data_sample[[#This Row],[PRICEEACH]])</f>
        <v>172900</v>
      </c>
      <c r="E1459" s="9">
        <f>IF(OR(sales_data_sample[[#This Row],[STATUS]]="Shipped",sales_data_sample[[#This Row],[STATUS]]="Resolved"),sales_data_sample[[#This Row],[SALES]],0)</f>
        <v>172900</v>
      </c>
      <c r="F1459">
        <v>14</v>
      </c>
      <c r="G1459" s="12" t="s">
        <v>532</v>
      </c>
      <c r="H1459" s="1" t="s">
        <v>26</v>
      </c>
      <c r="I1459">
        <v>4</v>
      </c>
      <c r="J1459">
        <v>11</v>
      </c>
      <c r="K1459">
        <v>2004</v>
      </c>
      <c r="L1459" s="1" t="s">
        <v>239</v>
      </c>
      <c r="M1459">
        <v>57</v>
      </c>
      <c r="N1459" s="1" t="s">
        <v>951</v>
      </c>
      <c r="O1459" s="1" t="s">
        <v>125</v>
      </c>
      <c r="P1459" s="1" t="s">
        <v>126</v>
      </c>
      <c r="Q1459" s="1" t="s">
        <v>127</v>
      </c>
      <c r="R1459" s="1" t="s">
        <v>128</v>
      </c>
      <c r="S1459" s="1" t="s">
        <v>33</v>
      </c>
      <c r="T1459" s="1" t="s">
        <v>34</v>
      </c>
      <c r="U1459" s="1" t="s">
        <v>35</v>
      </c>
      <c r="V1459" s="1" t="s">
        <v>36</v>
      </c>
      <c r="W1459" s="1" t="s">
        <v>37</v>
      </c>
      <c r="X1459" s="1" t="s">
        <v>129</v>
      </c>
      <c r="Y1459" s="1" t="s">
        <v>130</v>
      </c>
      <c r="Z1459" s="1" t="str">
        <f>TRIM(_xlfn.CONCAT(sales_data_sample[[#This Row],[CONTACTFIRSTNAME]],", ",sales_data_sample[[#This Row],[CONTACTLASTNAME]]))</f>
        <v>Michael, Frick</v>
      </c>
      <c r="AA1459" s="1" t="s">
        <v>40</v>
      </c>
    </row>
    <row r="1460" spans="1:27" x14ac:dyDescent="0.25">
      <c r="A1460" s="10">
        <v>10336</v>
      </c>
      <c r="B1460" s="9">
        <v>45</v>
      </c>
      <c r="C1460" s="9">
        <v>100</v>
      </c>
      <c r="D1460" s="9">
        <f>PRODUCT(sales_data_sample[[#This Row],[QUANTITYORDERED]],sales_data_sample[[#This Row],[PRICEEACH]])</f>
        <v>4500</v>
      </c>
      <c r="E1460" s="9">
        <f>IF(OR(sales_data_sample[[#This Row],[STATUS]]="Shipped",sales_data_sample[[#This Row],[STATUS]]="Resolved"),sales_data_sample[[#This Row],[SALES]],0)</f>
        <v>4500</v>
      </c>
      <c r="F1460" s="10">
        <v>4</v>
      </c>
      <c r="G1460" s="12" t="s">
        <v>708</v>
      </c>
      <c r="H1460" s="1" t="s">
        <v>26</v>
      </c>
      <c r="I1460">
        <v>4</v>
      </c>
      <c r="J1460">
        <v>11</v>
      </c>
      <c r="K1460">
        <v>2004</v>
      </c>
      <c r="L1460" s="1" t="s">
        <v>239</v>
      </c>
      <c r="M1460">
        <v>57</v>
      </c>
      <c r="N1460" s="1" t="s">
        <v>951</v>
      </c>
      <c r="O1460" s="1" t="s">
        <v>556</v>
      </c>
      <c r="P1460" s="1" t="s">
        <v>557</v>
      </c>
      <c r="Q1460" s="1" t="s">
        <v>558</v>
      </c>
      <c r="R1460" s="1" t="s">
        <v>32</v>
      </c>
      <c r="S1460" s="1" t="s">
        <v>55</v>
      </c>
      <c r="T1460" s="1" t="s">
        <v>32</v>
      </c>
      <c r="U1460" s="1" t="s">
        <v>559</v>
      </c>
      <c r="V1460" s="1" t="s">
        <v>47</v>
      </c>
      <c r="W1460" s="1" t="s">
        <v>48</v>
      </c>
      <c r="X1460" s="1" t="s">
        <v>560</v>
      </c>
      <c r="Y1460" s="1" t="s">
        <v>561</v>
      </c>
      <c r="Z1460" s="1" t="str">
        <f>TRIM(_xlfn.CONCAT(sales_data_sample[[#This Row],[CONTACTFIRSTNAME]],", ",sales_data_sample[[#This Row],[CONTACTLASTNAME]]))</f>
        <v>Marie, Bertrand</v>
      </c>
      <c r="AA1460" s="1" t="s">
        <v>59</v>
      </c>
    </row>
    <row r="1461" spans="1:27" x14ac:dyDescent="0.25">
      <c r="A1461">
        <v>10349</v>
      </c>
      <c r="B1461">
        <v>48</v>
      </c>
      <c r="C1461">
        <v>474</v>
      </c>
      <c r="D1461">
        <f>PRODUCT(sales_data_sample[[#This Row],[QUANTITYORDERED]],sales_data_sample[[#This Row],[PRICEEACH]])</f>
        <v>22752</v>
      </c>
      <c r="E1461" s="9">
        <f>IF(OR(sales_data_sample[[#This Row],[STATUS]]="Shipped",sales_data_sample[[#This Row],[STATUS]]="Resolved"),sales_data_sample[[#This Row],[SALES]],0)</f>
        <v>22752</v>
      </c>
      <c r="F1461">
        <v>4</v>
      </c>
      <c r="G1461" s="12" t="s">
        <v>737</v>
      </c>
      <c r="H1461" s="1" t="s">
        <v>26</v>
      </c>
      <c r="I1461">
        <v>4</v>
      </c>
      <c r="J1461">
        <v>12</v>
      </c>
      <c r="K1461">
        <v>2004</v>
      </c>
      <c r="L1461" s="1" t="s">
        <v>239</v>
      </c>
      <c r="M1461">
        <v>57</v>
      </c>
      <c r="N1461" s="1" t="s">
        <v>951</v>
      </c>
      <c r="O1461" s="1" t="s">
        <v>667</v>
      </c>
      <c r="P1461" s="1" t="s">
        <v>668</v>
      </c>
      <c r="Q1461" s="1" t="s">
        <v>669</v>
      </c>
      <c r="R1461" s="1" t="s">
        <v>670</v>
      </c>
      <c r="S1461" s="1" t="s">
        <v>33</v>
      </c>
      <c r="T1461" s="1" t="s">
        <v>34</v>
      </c>
      <c r="U1461" s="1" t="s">
        <v>35</v>
      </c>
      <c r="V1461" s="1" t="s">
        <v>36</v>
      </c>
      <c r="W1461" s="1" t="s">
        <v>37</v>
      </c>
      <c r="X1461" s="1" t="s">
        <v>67</v>
      </c>
      <c r="Y1461" s="1" t="s">
        <v>671</v>
      </c>
      <c r="Z1461" s="1" t="str">
        <f>TRIM(_xlfn.CONCAT(sales_data_sample[[#This Row],[CONTACTFIRSTNAME]],", ",sales_data_sample[[#This Row],[CONTACTLASTNAME]]))</f>
        <v>Jeff, Young</v>
      </c>
      <c r="AA1461" s="1" t="s">
        <v>40</v>
      </c>
    </row>
    <row r="1462" spans="1:27" x14ac:dyDescent="0.25">
      <c r="A1462" s="10">
        <v>10358</v>
      </c>
      <c r="B1462" s="9">
        <v>44</v>
      </c>
      <c r="C1462" s="9">
        <v>6076</v>
      </c>
      <c r="D1462" s="9">
        <f>PRODUCT(sales_data_sample[[#This Row],[QUANTITYORDERED]],sales_data_sample[[#This Row],[PRICEEACH]])</f>
        <v>267344</v>
      </c>
      <c r="E1462" s="9">
        <f>IF(OR(sales_data_sample[[#This Row],[STATUS]]="Shipped",sales_data_sample[[#This Row],[STATUS]]="Resolved"),sales_data_sample[[#This Row],[SALES]],0)</f>
        <v>267344</v>
      </c>
      <c r="F1462" s="10">
        <v>14</v>
      </c>
      <c r="G1462" s="12" t="s">
        <v>376</v>
      </c>
      <c r="H1462" s="1" t="s">
        <v>26</v>
      </c>
      <c r="I1462">
        <v>4</v>
      </c>
      <c r="J1462">
        <v>12</v>
      </c>
      <c r="K1462">
        <v>2004</v>
      </c>
      <c r="L1462" s="1" t="s">
        <v>239</v>
      </c>
      <c r="M1462">
        <v>57</v>
      </c>
      <c r="N1462" s="1" t="s">
        <v>951</v>
      </c>
      <c r="O1462" s="1" t="s">
        <v>230</v>
      </c>
      <c r="P1462" s="1" t="s">
        <v>231</v>
      </c>
      <c r="Q1462" s="1" t="s">
        <v>232</v>
      </c>
      <c r="R1462" s="1" t="s">
        <v>32</v>
      </c>
      <c r="S1462" s="1" t="s">
        <v>233</v>
      </c>
      <c r="T1462" s="1" t="s">
        <v>32</v>
      </c>
      <c r="U1462" s="1" t="s">
        <v>234</v>
      </c>
      <c r="V1462" s="1" t="s">
        <v>235</v>
      </c>
      <c r="W1462" s="1" t="s">
        <v>48</v>
      </c>
      <c r="X1462" s="1" t="s">
        <v>236</v>
      </c>
      <c r="Y1462" s="1" t="s">
        <v>237</v>
      </c>
      <c r="Z1462" s="1" t="str">
        <f>TRIM(_xlfn.CONCAT(sales_data_sample[[#This Row],[CONTACTFIRSTNAME]],", ",sales_data_sample[[#This Row],[CONTACTLASTNAME]]))</f>
        <v>Diego, Freyre</v>
      </c>
      <c r="AA1462" s="1" t="s">
        <v>40</v>
      </c>
    </row>
    <row r="1463" spans="1:27" x14ac:dyDescent="0.25">
      <c r="A1463" s="10">
        <v>10371</v>
      </c>
      <c r="B1463" s="9">
        <v>25</v>
      </c>
      <c r="C1463" s="9">
        <v>9727</v>
      </c>
      <c r="D1463" s="9">
        <f>PRODUCT(sales_data_sample[[#This Row],[QUANTITYORDERED]],sales_data_sample[[#This Row],[PRICEEACH]])</f>
        <v>243175</v>
      </c>
      <c r="E1463" s="9">
        <f>IF(OR(sales_data_sample[[#This Row],[STATUS]]="Shipped",sales_data_sample[[#This Row],[STATUS]]="Resolved"),sales_data_sample[[#This Row],[SALES]],0)</f>
        <v>243175</v>
      </c>
      <c r="F1463" s="10">
        <v>12</v>
      </c>
      <c r="G1463" s="12" t="s">
        <v>709</v>
      </c>
      <c r="H1463" s="1" t="s">
        <v>26</v>
      </c>
      <c r="I1463">
        <v>1</v>
      </c>
      <c r="J1463">
        <v>1</v>
      </c>
      <c r="K1463">
        <v>2005</v>
      </c>
      <c r="L1463" s="1" t="s">
        <v>239</v>
      </c>
      <c r="M1463">
        <v>57</v>
      </c>
      <c r="N1463" s="1" t="s">
        <v>951</v>
      </c>
      <c r="O1463" s="1" t="s">
        <v>361</v>
      </c>
      <c r="P1463" s="1" t="s">
        <v>362</v>
      </c>
      <c r="Q1463" s="1" t="s">
        <v>363</v>
      </c>
      <c r="R1463" s="1" t="s">
        <v>32</v>
      </c>
      <c r="S1463" s="1" t="s">
        <v>364</v>
      </c>
      <c r="T1463" s="1" t="s">
        <v>65</v>
      </c>
      <c r="U1463" s="1" t="s">
        <v>145</v>
      </c>
      <c r="V1463" s="1" t="s">
        <v>36</v>
      </c>
      <c r="W1463" s="1" t="s">
        <v>37</v>
      </c>
      <c r="X1463" s="1" t="s">
        <v>365</v>
      </c>
      <c r="Y1463" s="1" t="s">
        <v>366</v>
      </c>
      <c r="Z1463" s="1" t="str">
        <f>TRIM(_xlfn.CONCAT(sales_data_sample[[#This Row],[CONTACTFIRSTNAME]],", ",sales_data_sample[[#This Row],[CONTACTLASTNAME]]))</f>
        <v>Valarie, Nelson</v>
      </c>
      <c r="AA1463" s="1" t="s">
        <v>40</v>
      </c>
    </row>
    <row r="1464" spans="1:27" x14ac:dyDescent="0.25">
      <c r="A1464" s="10">
        <v>10383</v>
      </c>
      <c r="B1464" s="9">
        <v>22</v>
      </c>
      <c r="C1464" s="9">
        <v>9176</v>
      </c>
      <c r="D1464" s="9">
        <f>PRODUCT(sales_data_sample[[#This Row],[QUANTITYORDERED]],sales_data_sample[[#This Row],[PRICEEACH]])</f>
        <v>201872</v>
      </c>
      <c r="E1464" s="9">
        <f>IF(OR(sales_data_sample[[#This Row],[STATUS]]="Shipped",sales_data_sample[[#This Row],[STATUS]]="Resolved"),sales_data_sample[[#This Row],[SALES]],0)</f>
        <v>201872</v>
      </c>
      <c r="F1464" s="10">
        <v>2</v>
      </c>
      <c r="G1464" s="12" t="s">
        <v>884</v>
      </c>
      <c r="H1464" s="1" t="s">
        <v>26</v>
      </c>
      <c r="I1464">
        <v>1</v>
      </c>
      <c r="J1464">
        <v>2</v>
      </c>
      <c r="K1464">
        <v>2005</v>
      </c>
      <c r="L1464" s="1" t="s">
        <v>239</v>
      </c>
      <c r="M1464">
        <v>57</v>
      </c>
      <c r="N1464" s="1" t="s">
        <v>951</v>
      </c>
      <c r="O1464" s="1" t="s">
        <v>230</v>
      </c>
      <c r="P1464" s="1" t="s">
        <v>231</v>
      </c>
      <c r="Q1464" s="1" t="s">
        <v>232</v>
      </c>
      <c r="R1464" s="1" t="s">
        <v>32</v>
      </c>
      <c r="S1464" s="1" t="s">
        <v>233</v>
      </c>
      <c r="T1464" s="1" t="s">
        <v>32</v>
      </c>
      <c r="U1464" s="1" t="s">
        <v>234</v>
      </c>
      <c r="V1464" s="1" t="s">
        <v>235</v>
      </c>
      <c r="W1464" s="1" t="s">
        <v>48</v>
      </c>
      <c r="X1464" s="1" t="s">
        <v>236</v>
      </c>
      <c r="Y1464" s="1" t="s">
        <v>237</v>
      </c>
      <c r="Z1464" s="1" t="str">
        <f>TRIM(_xlfn.CONCAT(sales_data_sample[[#This Row],[CONTACTFIRSTNAME]],", ",sales_data_sample[[#This Row],[CONTACTLASTNAME]]))</f>
        <v>Diego, Freyre</v>
      </c>
      <c r="AA1464" s="1" t="s">
        <v>40</v>
      </c>
    </row>
    <row r="1465" spans="1:27" x14ac:dyDescent="0.25">
      <c r="A1465" s="10">
        <v>10394</v>
      </c>
      <c r="B1465" s="9">
        <v>31</v>
      </c>
      <c r="C1465" s="9">
        <v>5029</v>
      </c>
      <c r="D1465" s="9">
        <f>PRODUCT(sales_data_sample[[#This Row],[QUANTITYORDERED]],sales_data_sample[[#This Row],[PRICEEACH]])</f>
        <v>155899</v>
      </c>
      <c r="E1465" s="9">
        <f>IF(OR(sales_data_sample[[#This Row],[STATUS]]="Shipped",sales_data_sample[[#This Row],[STATUS]]="Resolved"),sales_data_sample[[#This Row],[SALES]],0)</f>
        <v>155899</v>
      </c>
      <c r="F1465" s="10">
        <v>2</v>
      </c>
      <c r="G1465" s="12" t="s">
        <v>917</v>
      </c>
      <c r="H1465" s="1" t="s">
        <v>26</v>
      </c>
      <c r="I1465">
        <v>1</v>
      </c>
      <c r="J1465">
        <v>3</v>
      </c>
      <c r="K1465">
        <v>2005</v>
      </c>
      <c r="L1465" s="1" t="s">
        <v>239</v>
      </c>
      <c r="M1465">
        <v>57</v>
      </c>
      <c r="N1465" s="1" t="s">
        <v>951</v>
      </c>
      <c r="O1465" s="1" t="s">
        <v>230</v>
      </c>
      <c r="P1465" s="1" t="s">
        <v>231</v>
      </c>
      <c r="Q1465" s="1" t="s">
        <v>232</v>
      </c>
      <c r="R1465" s="1" t="s">
        <v>32</v>
      </c>
      <c r="S1465" s="1" t="s">
        <v>233</v>
      </c>
      <c r="T1465" s="1" t="s">
        <v>32</v>
      </c>
      <c r="U1465" s="1" t="s">
        <v>234</v>
      </c>
      <c r="V1465" s="1" t="s">
        <v>235</v>
      </c>
      <c r="W1465" s="1" t="s">
        <v>48</v>
      </c>
      <c r="X1465" s="1" t="s">
        <v>236</v>
      </c>
      <c r="Y1465" s="1" t="s">
        <v>237</v>
      </c>
      <c r="Z1465" s="1" t="str">
        <f>TRIM(_xlfn.CONCAT(sales_data_sample[[#This Row],[CONTACTFIRSTNAME]],", ",sales_data_sample[[#This Row],[CONTACTLASTNAME]]))</f>
        <v>Diego, Freyre</v>
      </c>
      <c r="AA1465" s="1" t="s">
        <v>40</v>
      </c>
    </row>
    <row r="1466" spans="1:27" x14ac:dyDescent="0.25">
      <c r="A1466" s="10">
        <v>10412</v>
      </c>
      <c r="B1466" s="9">
        <v>21</v>
      </c>
      <c r="C1466" s="9">
        <v>526</v>
      </c>
      <c r="D1466" s="9">
        <f>PRODUCT(sales_data_sample[[#This Row],[QUANTITYORDERED]],sales_data_sample[[#This Row],[PRICEEACH]])</f>
        <v>11046</v>
      </c>
      <c r="E1466" s="9">
        <f>IF(OR(sales_data_sample[[#This Row],[STATUS]]="Shipped",sales_data_sample[[#This Row],[STATUS]]="Resolved"),sales_data_sample[[#This Row],[SALES]],0)</f>
        <v>11046</v>
      </c>
      <c r="F1466" s="10">
        <v>2</v>
      </c>
      <c r="G1466" s="12" t="s">
        <v>758</v>
      </c>
      <c r="H1466" s="1" t="s">
        <v>26</v>
      </c>
      <c r="I1466">
        <v>2</v>
      </c>
      <c r="J1466">
        <v>5</v>
      </c>
      <c r="K1466">
        <v>2005</v>
      </c>
      <c r="L1466" s="1" t="s">
        <v>239</v>
      </c>
      <c r="M1466">
        <v>57</v>
      </c>
      <c r="N1466" s="1" t="s">
        <v>951</v>
      </c>
      <c r="O1466" s="1" t="s">
        <v>230</v>
      </c>
      <c r="P1466" s="1" t="s">
        <v>231</v>
      </c>
      <c r="Q1466" s="1" t="s">
        <v>232</v>
      </c>
      <c r="R1466" s="1" t="s">
        <v>32</v>
      </c>
      <c r="S1466" s="1" t="s">
        <v>233</v>
      </c>
      <c r="T1466" s="1" t="s">
        <v>32</v>
      </c>
      <c r="U1466" s="1" t="s">
        <v>234</v>
      </c>
      <c r="V1466" s="1" t="s">
        <v>235</v>
      </c>
      <c r="W1466" s="1" t="s">
        <v>48</v>
      </c>
      <c r="X1466" s="1" t="s">
        <v>236</v>
      </c>
      <c r="Y1466" s="1" t="s">
        <v>237</v>
      </c>
      <c r="Z1466" s="1" t="str">
        <f>TRIM(_xlfn.CONCAT(sales_data_sample[[#This Row],[CONTACTFIRSTNAME]],", ",sales_data_sample[[#This Row],[CONTACTLASTNAME]]))</f>
        <v>Diego, Freyre</v>
      </c>
      <c r="AA1466" s="1" t="s">
        <v>40</v>
      </c>
    </row>
    <row r="1467" spans="1:27" x14ac:dyDescent="0.25">
      <c r="A1467" s="10">
        <v>10425</v>
      </c>
      <c r="B1467" s="9">
        <v>55</v>
      </c>
      <c r="C1467" s="9">
        <v>4682</v>
      </c>
      <c r="D1467" s="9">
        <f>PRODUCT(sales_data_sample[[#This Row],[QUANTITYORDERED]],sales_data_sample[[#This Row],[PRICEEACH]])</f>
        <v>257510</v>
      </c>
      <c r="E1467" s="9">
        <f>IF(OR(sales_data_sample[[#This Row],[STATUS]]="Shipped",sales_data_sample[[#This Row],[STATUS]]="Resolved"),sales_data_sample[[#This Row],[SALES]],0)</f>
        <v>0</v>
      </c>
      <c r="F1467" s="10">
        <v>1</v>
      </c>
      <c r="G1467" s="12" t="s">
        <v>402</v>
      </c>
      <c r="H1467" s="1" t="s">
        <v>403</v>
      </c>
      <c r="I1467">
        <v>2</v>
      </c>
      <c r="J1467">
        <v>5</v>
      </c>
      <c r="K1467">
        <v>2005</v>
      </c>
      <c r="L1467" s="1" t="s">
        <v>239</v>
      </c>
      <c r="M1467">
        <v>57</v>
      </c>
      <c r="N1467" s="1" t="s">
        <v>951</v>
      </c>
      <c r="O1467" s="1" t="s">
        <v>148</v>
      </c>
      <c r="P1467" s="1" t="s">
        <v>149</v>
      </c>
      <c r="Q1467" s="1" t="s">
        <v>150</v>
      </c>
      <c r="R1467" s="1" t="s">
        <v>32</v>
      </c>
      <c r="S1467" s="1" t="s">
        <v>151</v>
      </c>
      <c r="T1467" s="1" t="s">
        <v>32</v>
      </c>
      <c r="U1467" s="1" t="s">
        <v>152</v>
      </c>
      <c r="V1467" s="1" t="s">
        <v>47</v>
      </c>
      <c r="W1467" s="1" t="s">
        <v>48</v>
      </c>
      <c r="X1467" s="1" t="s">
        <v>153</v>
      </c>
      <c r="Y1467" s="1" t="s">
        <v>154</v>
      </c>
      <c r="Z1467" s="1" t="str">
        <f>TRIM(_xlfn.CONCAT(sales_data_sample[[#This Row],[CONTACTFIRSTNAME]],", ",sales_data_sample[[#This Row],[CONTACTLASTNAME]]))</f>
        <v>Janine, Labrune</v>
      </c>
      <c r="AA1467" s="1" t="s">
        <v>40</v>
      </c>
    </row>
    <row r="1468" spans="1:27" x14ac:dyDescent="0.25">
      <c r="A1468" s="10">
        <v>10107</v>
      </c>
      <c r="B1468" s="9">
        <v>25</v>
      </c>
      <c r="C1468" s="9">
        <v>100</v>
      </c>
      <c r="D1468" s="9">
        <f>PRODUCT(sales_data_sample[[#This Row],[QUANTITYORDERED]],sales_data_sample[[#This Row],[PRICEEACH]])</f>
        <v>2500</v>
      </c>
      <c r="E1468" s="9">
        <f>IF(OR(sales_data_sample[[#This Row],[STATUS]]="Shipped",sales_data_sample[[#This Row],[STATUS]]="Resolved"),sales_data_sample[[#This Row],[SALES]],0)</f>
        <v>2500</v>
      </c>
      <c r="F1468" s="10">
        <v>3</v>
      </c>
      <c r="G1468" s="12" t="s">
        <v>25</v>
      </c>
      <c r="H1468" s="1" t="s">
        <v>26</v>
      </c>
      <c r="I1468">
        <v>1</v>
      </c>
      <c r="J1468">
        <v>2</v>
      </c>
      <c r="K1468">
        <v>2003</v>
      </c>
      <c r="L1468" s="1" t="s">
        <v>27</v>
      </c>
      <c r="M1468">
        <v>112</v>
      </c>
      <c r="N1468" s="1" t="s">
        <v>952</v>
      </c>
      <c r="O1468" s="1" t="s">
        <v>29</v>
      </c>
      <c r="P1468" s="1" t="s">
        <v>30</v>
      </c>
      <c r="Q1468" s="1" t="s">
        <v>31</v>
      </c>
      <c r="R1468" s="1" t="s">
        <v>32</v>
      </c>
      <c r="S1468" s="1" t="s">
        <v>33</v>
      </c>
      <c r="T1468" s="1" t="s">
        <v>34</v>
      </c>
      <c r="U1468" s="1" t="s">
        <v>35</v>
      </c>
      <c r="V1468" s="1" t="s">
        <v>36</v>
      </c>
      <c r="W1468" s="1" t="s">
        <v>37</v>
      </c>
      <c r="X1468" s="1" t="s">
        <v>38</v>
      </c>
      <c r="Y1468" s="1" t="s">
        <v>39</v>
      </c>
      <c r="Z1468" s="1" t="str">
        <f>TRIM(_xlfn.CONCAT(sales_data_sample[[#This Row],[CONTACTFIRSTNAME]],", ",sales_data_sample[[#This Row],[CONTACTLASTNAME]]))</f>
        <v>Kwai, Yu</v>
      </c>
      <c r="AA1468" s="1" t="s">
        <v>40</v>
      </c>
    </row>
    <row r="1469" spans="1:27" x14ac:dyDescent="0.25">
      <c r="A1469">
        <v>10120</v>
      </c>
      <c r="B1469">
        <v>35</v>
      </c>
      <c r="C1469">
        <v>9805</v>
      </c>
      <c r="D1469">
        <f>PRODUCT(sales_data_sample[[#This Row],[QUANTITYORDERED]],sales_data_sample[[#This Row],[PRICEEACH]])</f>
        <v>343175</v>
      </c>
      <c r="E1469" s="9">
        <f>IF(OR(sales_data_sample[[#This Row],[STATUS]]="Shipped",sales_data_sample[[#This Row],[STATUS]]="Resolved"),sales_data_sample[[#This Row],[SALES]],0)</f>
        <v>343175</v>
      </c>
      <c r="F1469">
        <v>1</v>
      </c>
      <c r="G1469" s="12" t="s">
        <v>405</v>
      </c>
      <c r="H1469" s="1" t="s">
        <v>26</v>
      </c>
      <c r="I1469">
        <v>2</v>
      </c>
      <c r="J1469">
        <v>4</v>
      </c>
      <c r="K1469">
        <v>2003</v>
      </c>
      <c r="L1469" s="1" t="s">
        <v>27</v>
      </c>
      <c r="M1469">
        <v>112</v>
      </c>
      <c r="N1469" s="1" t="s">
        <v>952</v>
      </c>
      <c r="O1469" s="1" t="s">
        <v>113</v>
      </c>
      <c r="P1469" s="1" t="s">
        <v>114</v>
      </c>
      <c r="Q1469" s="1" t="s">
        <v>115</v>
      </c>
      <c r="R1469" s="1" t="s">
        <v>116</v>
      </c>
      <c r="S1469" s="1" t="s">
        <v>117</v>
      </c>
      <c r="T1469" s="1" t="s">
        <v>118</v>
      </c>
      <c r="U1469" s="1" t="s">
        <v>119</v>
      </c>
      <c r="V1469" s="1" t="s">
        <v>120</v>
      </c>
      <c r="W1469" s="1" t="s">
        <v>121</v>
      </c>
      <c r="X1469" s="1" t="s">
        <v>122</v>
      </c>
      <c r="Y1469" s="1" t="s">
        <v>123</v>
      </c>
      <c r="Z1469" s="1" t="str">
        <f>TRIM(_xlfn.CONCAT(sales_data_sample[[#This Row],[CONTACTFIRSTNAME]],", ",sales_data_sample[[#This Row],[CONTACTLASTNAME]]))</f>
        <v>Peter, Ferguson</v>
      </c>
      <c r="AA1469" s="1" t="s">
        <v>59</v>
      </c>
    </row>
    <row r="1470" spans="1:27" x14ac:dyDescent="0.25">
      <c r="A1470" s="10">
        <v>10134</v>
      </c>
      <c r="B1470" s="9">
        <v>35</v>
      </c>
      <c r="C1470" s="9">
        <v>9354</v>
      </c>
      <c r="D1470" s="9">
        <f>PRODUCT(sales_data_sample[[#This Row],[QUANTITYORDERED]],sales_data_sample[[#This Row],[PRICEEACH]])</f>
        <v>327390</v>
      </c>
      <c r="E1470" s="9">
        <f>IF(OR(sales_data_sample[[#This Row],[STATUS]]="Shipped",sales_data_sample[[#This Row],[STATUS]]="Resolved"),sales_data_sample[[#This Row],[SALES]],0)</f>
        <v>327390</v>
      </c>
      <c r="F1470" s="10">
        <v>3</v>
      </c>
      <c r="G1470" s="12" t="s">
        <v>51</v>
      </c>
      <c r="H1470" s="1" t="s">
        <v>26</v>
      </c>
      <c r="I1470">
        <v>3</v>
      </c>
      <c r="J1470">
        <v>7</v>
      </c>
      <c r="K1470">
        <v>2003</v>
      </c>
      <c r="L1470" s="1" t="s">
        <v>27</v>
      </c>
      <c r="M1470">
        <v>112</v>
      </c>
      <c r="N1470" s="1" t="s">
        <v>952</v>
      </c>
      <c r="O1470" s="1" t="s">
        <v>52</v>
      </c>
      <c r="P1470" s="1" t="s">
        <v>53</v>
      </c>
      <c r="Q1470" s="1" t="s">
        <v>54</v>
      </c>
      <c r="R1470" s="1" t="s">
        <v>32</v>
      </c>
      <c r="S1470" s="1" t="s">
        <v>55</v>
      </c>
      <c r="T1470" s="1" t="s">
        <v>32</v>
      </c>
      <c r="U1470" s="1" t="s">
        <v>56</v>
      </c>
      <c r="V1470" s="1" t="s">
        <v>47</v>
      </c>
      <c r="W1470" s="1" t="s">
        <v>48</v>
      </c>
      <c r="X1470" s="1" t="s">
        <v>57</v>
      </c>
      <c r="Y1470" s="1" t="s">
        <v>58</v>
      </c>
      <c r="Z1470" s="1" t="str">
        <f>TRIM(_xlfn.CONCAT(sales_data_sample[[#This Row],[CONTACTFIRSTNAME]],", ",sales_data_sample[[#This Row],[CONTACTLASTNAME]]))</f>
        <v>Daniel, Da Cunha</v>
      </c>
      <c r="AA1470" s="1" t="s">
        <v>59</v>
      </c>
    </row>
    <row r="1471" spans="1:27" x14ac:dyDescent="0.25">
      <c r="A1471" s="10">
        <v>10145</v>
      </c>
      <c r="B1471" s="9">
        <v>43</v>
      </c>
      <c r="C1471" s="9">
        <v>958</v>
      </c>
      <c r="D1471" s="9">
        <f>PRODUCT(sales_data_sample[[#This Row],[QUANTITYORDERED]],sales_data_sample[[#This Row],[PRICEEACH]])</f>
        <v>41194</v>
      </c>
      <c r="E1471" s="9">
        <f>IF(OR(sales_data_sample[[#This Row],[STATUS]]="Shipped",sales_data_sample[[#This Row],[STATUS]]="Resolved"),sales_data_sample[[#This Row],[SALES]],0)</f>
        <v>41194</v>
      </c>
      <c r="F1471" s="10">
        <v>7</v>
      </c>
      <c r="G1471" s="12" t="s">
        <v>60</v>
      </c>
      <c r="H1471" s="1" t="s">
        <v>26</v>
      </c>
      <c r="I1471">
        <v>3</v>
      </c>
      <c r="J1471">
        <v>8</v>
      </c>
      <c r="K1471">
        <v>2003</v>
      </c>
      <c r="L1471" s="1" t="s">
        <v>27</v>
      </c>
      <c r="M1471">
        <v>112</v>
      </c>
      <c r="N1471" s="1" t="s">
        <v>952</v>
      </c>
      <c r="O1471" s="1" t="s">
        <v>61</v>
      </c>
      <c r="P1471" s="1" t="s">
        <v>62</v>
      </c>
      <c r="Q1471" s="1" t="s">
        <v>63</v>
      </c>
      <c r="R1471" s="1" t="s">
        <v>32</v>
      </c>
      <c r="S1471" s="1" t="s">
        <v>64</v>
      </c>
      <c r="T1471" s="1" t="s">
        <v>65</v>
      </c>
      <c r="U1471" s="1" t="s">
        <v>66</v>
      </c>
      <c r="V1471" s="1" t="s">
        <v>36</v>
      </c>
      <c r="W1471" s="1" t="s">
        <v>37</v>
      </c>
      <c r="X1471" s="1" t="s">
        <v>67</v>
      </c>
      <c r="Y1471" s="1" t="s">
        <v>68</v>
      </c>
      <c r="Z1471" s="1" t="str">
        <f>TRIM(_xlfn.CONCAT(sales_data_sample[[#This Row],[CONTACTFIRSTNAME]],", ",sales_data_sample[[#This Row],[CONTACTLASTNAME]]))</f>
        <v>Julie, Young</v>
      </c>
      <c r="AA1471" s="1" t="s">
        <v>59</v>
      </c>
    </row>
    <row r="1472" spans="1:27" x14ac:dyDescent="0.25">
      <c r="A1472" s="10">
        <v>10159</v>
      </c>
      <c r="B1472" s="9">
        <v>44</v>
      </c>
      <c r="C1472" s="9">
        <v>100</v>
      </c>
      <c r="D1472" s="9">
        <f>PRODUCT(sales_data_sample[[#This Row],[QUANTITYORDERED]],sales_data_sample[[#This Row],[PRICEEACH]])</f>
        <v>4400</v>
      </c>
      <c r="E1472" s="9">
        <f>IF(OR(sales_data_sample[[#This Row],[STATUS]]="Shipped",sales_data_sample[[#This Row],[STATUS]]="Resolved"),sales_data_sample[[#This Row],[SALES]],0)</f>
        <v>4400</v>
      </c>
      <c r="F1472" s="10">
        <v>15</v>
      </c>
      <c r="G1472" s="12" t="s">
        <v>69</v>
      </c>
      <c r="H1472" s="1" t="s">
        <v>26</v>
      </c>
      <c r="I1472">
        <v>4</v>
      </c>
      <c r="J1472">
        <v>10</v>
      </c>
      <c r="K1472">
        <v>2003</v>
      </c>
      <c r="L1472" s="1" t="s">
        <v>27</v>
      </c>
      <c r="M1472">
        <v>112</v>
      </c>
      <c r="N1472" s="1" t="s">
        <v>952</v>
      </c>
      <c r="O1472" s="1" t="s">
        <v>70</v>
      </c>
      <c r="P1472" s="1" t="s">
        <v>71</v>
      </c>
      <c r="Q1472" s="1" t="s">
        <v>72</v>
      </c>
      <c r="R1472" s="1" t="s">
        <v>32</v>
      </c>
      <c r="S1472" s="1" t="s">
        <v>73</v>
      </c>
      <c r="T1472" s="1" t="s">
        <v>65</v>
      </c>
      <c r="U1472" s="1" t="s">
        <v>32</v>
      </c>
      <c r="V1472" s="1" t="s">
        <v>36</v>
      </c>
      <c r="W1472" s="1" t="s">
        <v>37</v>
      </c>
      <c r="X1472" s="1" t="s">
        <v>74</v>
      </c>
      <c r="Y1472" s="1" t="s">
        <v>68</v>
      </c>
      <c r="Z1472" s="1" t="str">
        <f>TRIM(_xlfn.CONCAT(sales_data_sample[[#This Row],[CONTACTFIRSTNAME]],", ",sales_data_sample[[#This Row],[CONTACTLASTNAME]]))</f>
        <v>Julie, Brown</v>
      </c>
      <c r="AA1472" s="1" t="s">
        <v>59</v>
      </c>
    </row>
    <row r="1473" spans="1:27" x14ac:dyDescent="0.25">
      <c r="A1473" s="10">
        <v>10168</v>
      </c>
      <c r="B1473" s="9">
        <v>50</v>
      </c>
      <c r="C1473" s="9">
        <v>100</v>
      </c>
      <c r="D1473" s="9">
        <f>PRODUCT(sales_data_sample[[#This Row],[QUANTITYORDERED]],sales_data_sample[[#This Row],[PRICEEACH]])</f>
        <v>5000</v>
      </c>
      <c r="E1473" s="9">
        <f>IF(OR(sales_data_sample[[#This Row],[STATUS]]="Shipped",sales_data_sample[[#This Row],[STATUS]]="Resolved"),sales_data_sample[[#This Row],[SALES]],0)</f>
        <v>5000</v>
      </c>
      <c r="F1473" s="10">
        <v>2</v>
      </c>
      <c r="G1473" s="12" t="s">
        <v>75</v>
      </c>
      <c r="H1473" s="1" t="s">
        <v>26</v>
      </c>
      <c r="I1473">
        <v>4</v>
      </c>
      <c r="J1473">
        <v>10</v>
      </c>
      <c r="K1473">
        <v>2003</v>
      </c>
      <c r="L1473" s="1" t="s">
        <v>27</v>
      </c>
      <c r="M1473">
        <v>112</v>
      </c>
      <c r="N1473" s="1" t="s">
        <v>952</v>
      </c>
      <c r="O1473" s="1" t="s">
        <v>76</v>
      </c>
      <c r="P1473" s="1" t="s">
        <v>77</v>
      </c>
      <c r="Q1473" s="1" t="s">
        <v>78</v>
      </c>
      <c r="R1473" s="1" t="s">
        <v>32</v>
      </c>
      <c r="S1473" s="1" t="s">
        <v>79</v>
      </c>
      <c r="T1473" s="1" t="s">
        <v>65</v>
      </c>
      <c r="U1473" s="1" t="s">
        <v>80</v>
      </c>
      <c r="V1473" s="1" t="s">
        <v>36</v>
      </c>
      <c r="W1473" s="1" t="s">
        <v>37</v>
      </c>
      <c r="X1473" s="1" t="s">
        <v>81</v>
      </c>
      <c r="Y1473" s="1" t="s">
        <v>82</v>
      </c>
      <c r="Z1473" s="1" t="str">
        <f>TRIM(_xlfn.CONCAT(sales_data_sample[[#This Row],[CONTACTFIRSTNAME]],", ",sales_data_sample[[#This Row],[CONTACTLASTNAME]]))</f>
        <v>Juri, Hirano</v>
      </c>
      <c r="AA1473" s="1" t="s">
        <v>59</v>
      </c>
    </row>
    <row r="1474" spans="1:27" x14ac:dyDescent="0.25">
      <c r="A1474" s="10">
        <v>10180</v>
      </c>
      <c r="B1474" s="9">
        <v>48</v>
      </c>
      <c r="C1474" s="9">
        <v>100</v>
      </c>
      <c r="D1474" s="9">
        <f>PRODUCT(sales_data_sample[[#This Row],[QUANTITYORDERED]],sales_data_sample[[#This Row],[PRICEEACH]])</f>
        <v>4800</v>
      </c>
      <c r="E1474" s="9">
        <f>IF(OR(sales_data_sample[[#This Row],[STATUS]]="Shipped",sales_data_sample[[#This Row],[STATUS]]="Resolved"),sales_data_sample[[#This Row],[SALES]],0)</f>
        <v>4800</v>
      </c>
      <c r="F1474" s="10">
        <v>10</v>
      </c>
      <c r="G1474" s="12" t="s">
        <v>83</v>
      </c>
      <c r="H1474" s="1" t="s">
        <v>26</v>
      </c>
      <c r="I1474">
        <v>4</v>
      </c>
      <c r="J1474">
        <v>11</v>
      </c>
      <c r="K1474">
        <v>2003</v>
      </c>
      <c r="L1474" s="1" t="s">
        <v>27</v>
      </c>
      <c r="M1474">
        <v>112</v>
      </c>
      <c r="N1474" s="1" t="s">
        <v>952</v>
      </c>
      <c r="O1474" s="1" t="s">
        <v>84</v>
      </c>
      <c r="P1474" s="1" t="s">
        <v>85</v>
      </c>
      <c r="Q1474" s="1" t="s">
        <v>86</v>
      </c>
      <c r="R1474" s="1" t="s">
        <v>32</v>
      </c>
      <c r="S1474" s="1" t="s">
        <v>87</v>
      </c>
      <c r="T1474" s="1" t="s">
        <v>32</v>
      </c>
      <c r="U1474" s="1" t="s">
        <v>88</v>
      </c>
      <c r="V1474" s="1" t="s">
        <v>47</v>
      </c>
      <c r="W1474" s="1" t="s">
        <v>48</v>
      </c>
      <c r="X1474" s="1" t="s">
        <v>89</v>
      </c>
      <c r="Y1474" s="1" t="s">
        <v>90</v>
      </c>
      <c r="Z1474" s="1" t="str">
        <f>TRIM(_xlfn.CONCAT(sales_data_sample[[#This Row],[CONTACTFIRSTNAME]],", ",sales_data_sample[[#This Row],[CONTACTLASTNAME]]))</f>
        <v>Martine, Rance</v>
      </c>
      <c r="AA1474" s="1" t="s">
        <v>59</v>
      </c>
    </row>
    <row r="1475" spans="1:27" x14ac:dyDescent="0.25">
      <c r="A1475" s="10">
        <v>10188</v>
      </c>
      <c r="B1475" s="9">
        <v>25</v>
      </c>
      <c r="C1475" s="9">
        <v>100</v>
      </c>
      <c r="D1475" s="9">
        <f>PRODUCT(sales_data_sample[[#This Row],[QUANTITYORDERED]],sales_data_sample[[#This Row],[PRICEEACH]])</f>
        <v>2500</v>
      </c>
      <c r="E1475" s="9">
        <f>IF(OR(sales_data_sample[[#This Row],[STATUS]]="Shipped",sales_data_sample[[#This Row],[STATUS]]="Resolved"),sales_data_sample[[#This Row],[SALES]],0)</f>
        <v>2500</v>
      </c>
      <c r="F1475" s="10">
        <v>2</v>
      </c>
      <c r="G1475" s="12" t="s">
        <v>91</v>
      </c>
      <c r="H1475" s="1" t="s">
        <v>26</v>
      </c>
      <c r="I1475">
        <v>4</v>
      </c>
      <c r="J1475">
        <v>11</v>
      </c>
      <c r="K1475">
        <v>2003</v>
      </c>
      <c r="L1475" s="1" t="s">
        <v>27</v>
      </c>
      <c r="M1475">
        <v>112</v>
      </c>
      <c r="N1475" s="1" t="s">
        <v>952</v>
      </c>
      <c r="O1475" s="1" t="s">
        <v>92</v>
      </c>
      <c r="P1475" s="1" t="s">
        <v>93</v>
      </c>
      <c r="Q1475" s="1" t="s">
        <v>94</v>
      </c>
      <c r="R1475" s="1" t="s">
        <v>32</v>
      </c>
      <c r="S1475" s="1" t="s">
        <v>95</v>
      </c>
      <c r="T1475" s="1" t="s">
        <v>32</v>
      </c>
      <c r="U1475" s="1" t="s">
        <v>96</v>
      </c>
      <c r="V1475" s="1" t="s">
        <v>97</v>
      </c>
      <c r="W1475" s="1" t="s">
        <v>48</v>
      </c>
      <c r="X1475" s="1" t="s">
        <v>98</v>
      </c>
      <c r="Y1475" s="1" t="s">
        <v>99</v>
      </c>
      <c r="Z1475" s="1" t="str">
        <f>TRIM(_xlfn.CONCAT(sales_data_sample[[#This Row],[CONTACTFIRSTNAME]],", ",sales_data_sample[[#This Row],[CONTACTLASTNAME]]))</f>
        <v>Veysel, Oeztan</v>
      </c>
      <c r="AA1475" s="1" t="s">
        <v>40</v>
      </c>
    </row>
    <row r="1476" spans="1:27" x14ac:dyDescent="0.25">
      <c r="A1476" s="10">
        <v>10201</v>
      </c>
      <c r="B1476" s="9">
        <v>39</v>
      </c>
      <c r="C1476" s="9">
        <v>100</v>
      </c>
      <c r="D1476" s="9">
        <f>PRODUCT(sales_data_sample[[#This Row],[QUANTITYORDERED]],sales_data_sample[[#This Row],[PRICEEACH]])</f>
        <v>3900</v>
      </c>
      <c r="E1476" s="9">
        <f>IF(OR(sales_data_sample[[#This Row],[STATUS]]="Shipped",sales_data_sample[[#This Row],[STATUS]]="Resolved"),sales_data_sample[[#This Row],[SALES]],0)</f>
        <v>3900</v>
      </c>
      <c r="F1476" s="10">
        <v>3</v>
      </c>
      <c r="G1476" s="12" t="s">
        <v>100</v>
      </c>
      <c r="H1476" s="1" t="s">
        <v>26</v>
      </c>
      <c r="I1476">
        <v>4</v>
      </c>
      <c r="J1476">
        <v>12</v>
      </c>
      <c r="K1476">
        <v>2003</v>
      </c>
      <c r="L1476" s="1" t="s">
        <v>27</v>
      </c>
      <c r="M1476">
        <v>112</v>
      </c>
      <c r="N1476" s="1" t="s">
        <v>952</v>
      </c>
      <c r="O1476" s="1" t="s">
        <v>101</v>
      </c>
      <c r="P1476" s="1" t="s">
        <v>102</v>
      </c>
      <c r="Q1476" s="1" t="s">
        <v>103</v>
      </c>
      <c r="R1476" s="1" t="s">
        <v>32</v>
      </c>
      <c r="S1476" s="1" t="s">
        <v>73</v>
      </c>
      <c r="T1476" s="1" t="s">
        <v>65</v>
      </c>
      <c r="U1476" s="1" t="s">
        <v>32</v>
      </c>
      <c r="V1476" s="1" t="s">
        <v>36</v>
      </c>
      <c r="W1476" s="1" t="s">
        <v>37</v>
      </c>
      <c r="X1476" s="1" t="s">
        <v>104</v>
      </c>
      <c r="Y1476" s="1" t="s">
        <v>68</v>
      </c>
      <c r="Z1476" s="1" t="str">
        <f>TRIM(_xlfn.CONCAT(sales_data_sample[[#This Row],[CONTACTFIRSTNAME]],", ",sales_data_sample[[#This Row],[CONTACTLASTNAME]]))</f>
        <v>Julie, Murphy</v>
      </c>
      <c r="AA1476" s="1" t="s">
        <v>59</v>
      </c>
    </row>
    <row r="1477" spans="1:27" x14ac:dyDescent="0.25">
      <c r="A1477" s="10">
        <v>10211</v>
      </c>
      <c r="B1477" s="9">
        <v>25</v>
      </c>
      <c r="C1477" s="9">
        <v>9016</v>
      </c>
      <c r="D1477" s="9">
        <f>PRODUCT(sales_data_sample[[#This Row],[QUANTITYORDERED]],sales_data_sample[[#This Row],[PRICEEACH]])</f>
        <v>225400</v>
      </c>
      <c r="E1477" s="9">
        <f>IF(OR(sales_data_sample[[#This Row],[STATUS]]="Shipped",sales_data_sample[[#This Row],[STATUS]]="Resolved"),sales_data_sample[[#This Row],[SALES]],0)</f>
        <v>225400</v>
      </c>
      <c r="F1477" s="10">
        <v>15</v>
      </c>
      <c r="G1477" s="12" t="s">
        <v>105</v>
      </c>
      <c r="H1477" s="1" t="s">
        <v>26</v>
      </c>
      <c r="I1477">
        <v>1</v>
      </c>
      <c r="J1477">
        <v>1</v>
      </c>
      <c r="K1477">
        <v>2004</v>
      </c>
      <c r="L1477" s="1" t="s">
        <v>27</v>
      </c>
      <c r="M1477">
        <v>112</v>
      </c>
      <c r="N1477" s="1" t="s">
        <v>952</v>
      </c>
      <c r="O1477" s="1" t="s">
        <v>106</v>
      </c>
      <c r="P1477" s="1" t="s">
        <v>107</v>
      </c>
      <c r="Q1477" s="1" t="s">
        <v>108</v>
      </c>
      <c r="R1477" s="1" t="s">
        <v>32</v>
      </c>
      <c r="S1477" s="1" t="s">
        <v>55</v>
      </c>
      <c r="T1477" s="1" t="s">
        <v>32</v>
      </c>
      <c r="U1477" s="1" t="s">
        <v>109</v>
      </c>
      <c r="V1477" s="1" t="s">
        <v>47</v>
      </c>
      <c r="W1477" s="1" t="s">
        <v>48</v>
      </c>
      <c r="X1477" s="1" t="s">
        <v>110</v>
      </c>
      <c r="Y1477" s="1" t="s">
        <v>111</v>
      </c>
      <c r="Z1477" s="1" t="str">
        <f>TRIM(_xlfn.CONCAT(sales_data_sample[[#This Row],[CONTACTFIRSTNAME]],", ",sales_data_sample[[#This Row],[CONTACTLASTNAME]]))</f>
        <v>Dominique, Perrier</v>
      </c>
      <c r="AA1477" s="1" t="s">
        <v>40</v>
      </c>
    </row>
    <row r="1478" spans="1:27" x14ac:dyDescent="0.25">
      <c r="A1478">
        <v>10223</v>
      </c>
      <c r="B1478">
        <v>32</v>
      </c>
      <c r="C1478">
        <v>9129</v>
      </c>
      <c r="D1478">
        <f>PRODUCT(sales_data_sample[[#This Row],[QUANTITYORDERED]],sales_data_sample[[#This Row],[PRICEEACH]])</f>
        <v>292128</v>
      </c>
      <c r="E1478" s="9">
        <f>IF(OR(sales_data_sample[[#This Row],[STATUS]]="Shipped",sales_data_sample[[#This Row],[STATUS]]="Resolved"),sales_data_sample[[#This Row],[SALES]],0)</f>
        <v>292128</v>
      </c>
      <c r="F1478">
        <v>2</v>
      </c>
      <c r="G1478" s="12" t="s">
        <v>112</v>
      </c>
      <c r="H1478" s="1" t="s">
        <v>26</v>
      </c>
      <c r="I1478">
        <v>1</v>
      </c>
      <c r="J1478">
        <v>2</v>
      </c>
      <c r="K1478">
        <v>2004</v>
      </c>
      <c r="L1478" s="1" t="s">
        <v>27</v>
      </c>
      <c r="M1478">
        <v>112</v>
      </c>
      <c r="N1478" s="1" t="s">
        <v>952</v>
      </c>
      <c r="O1478" s="1" t="s">
        <v>113</v>
      </c>
      <c r="P1478" s="1" t="s">
        <v>114</v>
      </c>
      <c r="Q1478" s="1" t="s">
        <v>115</v>
      </c>
      <c r="R1478" s="1" t="s">
        <v>116</v>
      </c>
      <c r="S1478" s="1" t="s">
        <v>117</v>
      </c>
      <c r="T1478" s="1" t="s">
        <v>118</v>
      </c>
      <c r="U1478" s="1" t="s">
        <v>119</v>
      </c>
      <c r="V1478" s="1" t="s">
        <v>120</v>
      </c>
      <c r="W1478" s="1" t="s">
        <v>121</v>
      </c>
      <c r="X1478" s="1" t="s">
        <v>122</v>
      </c>
      <c r="Y1478" s="1" t="s">
        <v>123</v>
      </c>
      <c r="Z1478" s="1" t="str">
        <f>TRIM(_xlfn.CONCAT(sales_data_sample[[#This Row],[CONTACTFIRSTNAME]],", ",sales_data_sample[[#This Row],[CONTACTLASTNAME]]))</f>
        <v>Peter, Ferguson</v>
      </c>
      <c r="AA1478" s="1" t="s">
        <v>40</v>
      </c>
    </row>
    <row r="1479" spans="1:27" x14ac:dyDescent="0.25">
      <c r="A1479">
        <v>10237</v>
      </c>
      <c r="B1479">
        <v>20</v>
      </c>
      <c r="C1479">
        <v>100</v>
      </c>
      <c r="D1479">
        <f>PRODUCT(sales_data_sample[[#This Row],[QUANTITYORDERED]],sales_data_sample[[#This Row],[PRICEEACH]])</f>
        <v>2000</v>
      </c>
      <c r="E1479" s="9">
        <f>IF(OR(sales_data_sample[[#This Row],[STATUS]]="Shipped",sales_data_sample[[#This Row],[STATUS]]="Resolved"),sales_data_sample[[#This Row],[SALES]],0)</f>
        <v>2000</v>
      </c>
      <c r="F1479">
        <v>8</v>
      </c>
      <c r="G1479" s="12" t="s">
        <v>124</v>
      </c>
      <c r="H1479" s="1" t="s">
        <v>26</v>
      </c>
      <c r="I1479">
        <v>2</v>
      </c>
      <c r="J1479">
        <v>4</v>
      </c>
      <c r="K1479">
        <v>2004</v>
      </c>
      <c r="L1479" s="1" t="s">
        <v>27</v>
      </c>
      <c r="M1479">
        <v>112</v>
      </c>
      <c r="N1479" s="1" t="s">
        <v>952</v>
      </c>
      <c r="O1479" s="1" t="s">
        <v>125</v>
      </c>
      <c r="P1479" s="1" t="s">
        <v>126</v>
      </c>
      <c r="Q1479" s="1" t="s">
        <v>127</v>
      </c>
      <c r="R1479" s="1" t="s">
        <v>128</v>
      </c>
      <c r="S1479" s="1" t="s">
        <v>33</v>
      </c>
      <c r="T1479" s="1" t="s">
        <v>34</v>
      </c>
      <c r="U1479" s="1" t="s">
        <v>35</v>
      </c>
      <c r="V1479" s="1" t="s">
        <v>36</v>
      </c>
      <c r="W1479" s="1" t="s">
        <v>37</v>
      </c>
      <c r="X1479" s="1" t="s">
        <v>129</v>
      </c>
      <c r="Y1479" s="1" t="s">
        <v>130</v>
      </c>
      <c r="Z1479" s="1" t="str">
        <f>TRIM(_xlfn.CONCAT(sales_data_sample[[#This Row],[CONTACTFIRSTNAME]],", ",sales_data_sample[[#This Row],[CONTACTLASTNAME]]))</f>
        <v>Michael, Frick</v>
      </c>
      <c r="AA1479" s="1" t="s">
        <v>40</v>
      </c>
    </row>
    <row r="1480" spans="1:27" x14ac:dyDescent="0.25">
      <c r="A1480" s="10">
        <v>10251</v>
      </c>
      <c r="B1480" s="9">
        <v>26</v>
      </c>
      <c r="C1480" s="9">
        <v>100</v>
      </c>
      <c r="D1480" s="9">
        <f>PRODUCT(sales_data_sample[[#This Row],[QUANTITYORDERED]],sales_data_sample[[#This Row],[PRICEEACH]])</f>
        <v>2600</v>
      </c>
      <c r="E1480" s="9">
        <f>IF(OR(sales_data_sample[[#This Row],[STATUS]]="Shipped",sales_data_sample[[#This Row],[STATUS]]="Resolved"),sales_data_sample[[#This Row],[SALES]],0)</f>
        <v>2600</v>
      </c>
      <c r="F1480" s="10">
        <v>3</v>
      </c>
      <c r="G1480" s="12" t="s">
        <v>131</v>
      </c>
      <c r="H1480" s="1" t="s">
        <v>26</v>
      </c>
      <c r="I1480">
        <v>2</v>
      </c>
      <c r="J1480">
        <v>5</v>
      </c>
      <c r="K1480">
        <v>2004</v>
      </c>
      <c r="L1480" s="1" t="s">
        <v>27</v>
      </c>
      <c r="M1480">
        <v>112</v>
      </c>
      <c r="N1480" s="1" t="s">
        <v>952</v>
      </c>
      <c r="O1480" s="1" t="s">
        <v>132</v>
      </c>
      <c r="P1480" s="1" t="s">
        <v>133</v>
      </c>
      <c r="Q1480" s="1" t="s">
        <v>134</v>
      </c>
      <c r="R1480" s="1" t="s">
        <v>32</v>
      </c>
      <c r="S1480" s="1" t="s">
        <v>135</v>
      </c>
      <c r="T1480" s="1" t="s">
        <v>136</v>
      </c>
      <c r="U1480" s="1" t="s">
        <v>137</v>
      </c>
      <c r="V1480" s="1" t="s">
        <v>36</v>
      </c>
      <c r="W1480" s="1" t="s">
        <v>37</v>
      </c>
      <c r="X1480" s="1" t="s">
        <v>74</v>
      </c>
      <c r="Y1480" s="1" t="s">
        <v>138</v>
      </c>
      <c r="Z1480" s="1" t="str">
        <f>TRIM(_xlfn.CONCAT(sales_data_sample[[#This Row],[CONTACTFIRSTNAME]],", ",sales_data_sample[[#This Row],[CONTACTLASTNAME]]))</f>
        <v>William, Brown</v>
      </c>
      <c r="AA1480" s="1" t="s">
        <v>40</v>
      </c>
    </row>
    <row r="1481" spans="1:27" x14ac:dyDescent="0.25">
      <c r="A1481" s="10">
        <v>10263</v>
      </c>
      <c r="B1481" s="9">
        <v>42</v>
      </c>
      <c r="C1481" s="9">
        <v>100</v>
      </c>
      <c r="D1481" s="9">
        <f>PRODUCT(sales_data_sample[[#This Row],[QUANTITYORDERED]],sales_data_sample[[#This Row],[PRICEEACH]])</f>
        <v>4200</v>
      </c>
      <c r="E1481" s="9">
        <f>IF(OR(sales_data_sample[[#This Row],[STATUS]]="Shipped",sales_data_sample[[#This Row],[STATUS]]="Resolved"),sales_data_sample[[#This Row],[SALES]],0)</f>
        <v>4200</v>
      </c>
      <c r="F1481" s="10">
        <v>3</v>
      </c>
      <c r="G1481" s="12" t="s">
        <v>139</v>
      </c>
      <c r="H1481" s="1" t="s">
        <v>26</v>
      </c>
      <c r="I1481">
        <v>2</v>
      </c>
      <c r="J1481">
        <v>6</v>
      </c>
      <c r="K1481">
        <v>2004</v>
      </c>
      <c r="L1481" s="1" t="s">
        <v>27</v>
      </c>
      <c r="M1481">
        <v>112</v>
      </c>
      <c r="N1481" s="1" t="s">
        <v>952</v>
      </c>
      <c r="O1481" s="1" t="s">
        <v>140</v>
      </c>
      <c r="P1481" s="1" t="s">
        <v>141</v>
      </c>
      <c r="Q1481" s="1" t="s">
        <v>142</v>
      </c>
      <c r="R1481" s="1" t="s">
        <v>32</v>
      </c>
      <c r="S1481" s="1" t="s">
        <v>143</v>
      </c>
      <c r="T1481" s="1" t="s">
        <v>144</v>
      </c>
      <c r="U1481" s="1" t="s">
        <v>145</v>
      </c>
      <c r="V1481" s="1" t="s">
        <v>36</v>
      </c>
      <c r="W1481" s="1" t="s">
        <v>37</v>
      </c>
      <c r="X1481" s="1" t="s">
        <v>146</v>
      </c>
      <c r="Y1481" s="1" t="s">
        <v>68</v>
      </c>
      <c r="Z1481" s="1" t="str">
        <f>TRIM(_xlfn.CONCAT(sales_data_sample[[#This Row],[CONTACTFIRSTNAME]],", ",sales_data_sample[[#This Row],[CONTACTLASTNAME]]))</f>
        <v>Julie, King</v>
      </c>
      <c r="AA1481" s="1" t="s">
        <v>59</v>
      </c>
    </row>
    <row r="1482" spans="1:27" x14ac:dyDescent="0.25">
      <c r="A1482" s="10">
        <v>10275</v>
      </c>
      <c r="B1482" s="9">
        <v>21</v>
      </c>
      <c r="C1482" s="9">
        <v>100</v>
      </c>
      <c r="D1482" s="9">
        <f>PRODUCT(sales_data_sample[[#This Row],[QUANTITYORDERED]],sales_data_sample[[#This Row],[PRICEEACH]])</f>
        <v>2100</v>
      </c>
      <c r="E1482" s="9">
        <f>IF(OR(sales_data_sample[[#This Row],[STATUS]]="Shipped",sales_data_sample[[#This Row],[STATUS]]="Resolved"),sales_data_sample[[#This Row],[SALES]],0)</f>
        <v>2100</v>
      </c>
      <c r="F1482" s="10">
        <v>2</v>
      </c>
      <c r="G1482" s="12" t="s">
        <v>147</v>
      </c>
      <c r="H1482" s="1" t="s">
        <v>26</v>
      </c>
      <c r="I1482">
        <v>3</v>
      </c>
      <c r="J1482">
        <v>7</v>
      </c>
      <c r="K1482">
        <v>2004</v>
      </c>
      <c r="L1482" s="1" t="s">
        <v>27</v>
      </c>
      <c r="M1482">
        <v>112</v>
      </c>
      <c r="N1482" s="1" t="s">
        <v>952</v>
      </c>
      <c r="O1482" s="1" t="s">
        <v>148</v>
      </c>
      <c r="P1482" s="1" t="s">
        <v>149</v>
      </c>
      <c r="Q1482" s="1" t="s">
        <v>150</v>
      </c>
      <c r="R1482" s="1" t="s">
        <v>32</v>
      </c>
      <c r="S1482" s="1" t="s">
        <v>151</v>
      </c>
      <c r="T1482" s="1" t="s">
        <v>32</v>
      </c>
      <c r="U1482" s="1" t="s">
        <v>152</v>
      </c>
      <c r="V1482" s="1" t="s">
        <v>47</v>
      </c>
      <c r="W1482" s="1" t="s">
        <v>48</v>
      </c>
      <c r="X1482" s="1" t="s">
        <v>153</v>
      </c>
      <c r="Y1482" s="1" t="s">
        <v>154</v>
      </c>
      <c r="Z1482" s="1" t="str">
        <f>TRIM(_xlfn.CONCAT(sales_data_sample[[#This Row],[CONTACTFIRSTNAME]],", ",sales_data_sample[[#This Row],[CONTACTLASTNAME]]))</f>
        <v>Janine, Labrune</v>
      </c>
      <c r="AA1482" s="1" t="s">
        <v>40</v>
      </c>
    </row>
    <row r="1483" spans="1:27" x14ac:dyDescent="0.25">
      <c r="A1483" s="10">
        <v>10285</v>
      </c>
      <c r="B1483" s="9">
        <v>34</v>
      </c>
      <c r="C1483" s="9">
        <v>100</v>
      </c>
      <c r="D1483" s="9">
        <f>PRODUCT(sales_data_sample[[#This Row],[QUANTITYORDERED]],sales_data_sample[[#This Row],[PRICEEACH]])</f>
        <v>3400</v>
      </c>
      <c r="E1483" s="9">
        <f>IF(OR(sales_data_sample[[#This Row],[STATUS]]="Shipped",sales_data_sample[[#This Row],[STATUS]]="Resolved"),sales_data_sample[[#This Row],[SALES]],0)</f>
        <v>3400</v>
      </c>
      <c r="F1483" s="10">
        <v>7</v>
      </c>
      <c r="G1483" s="12" t="s">
        <v>155</v>
      </c>
      <c r="H1483" s="1" t="s">
        <v>26</v>
      </c>
      <c r="I1483">
        <v>3</v>
      </c>
      <c r="J1483">
        <v>8</v>
      </c>
      <c r="K1483">
        <v>2004</v>
      </c>
      <c r="L1483" s="1" t="s">
        <v>27</v>
      </c>
      <c r="M1483">
        <v>112</v>
      </c>
      <c r="N1483" s="1" t="s">
        <v>952</v>
      </c>
      <c r="O1483" s="1" t="s">
        <v>156</v>
      </c>
      <c r="P1483" s="1" t="s">
        <v>157</v>
      </c>
      <c r="Q1483" s="1" t="s">
        <v>158</v>
      </c>
      <c r="R1483" s="1" t="s">
        <v>32</v>
      </c>
      <c r="S1483" s="1" t="s">
        <v>159</v>
      </c>
      <c r="T1483" s="1" t="s">
        <v>160</v>
      </c>
      <c r="U1483" s="1" t="s">
        <v>161</v>
      </c>
      <c r="V1483" s="1" t="s">
        <v>36</v>
      </c>
      <c r="W1483" s="1" t="s">
        <v>37</v>
      </c>
      <c r="X1483" s="1" t="s">
        <v>162</v>
      </c>
      <c r="Y1483" s="1" t="s">
        <v>163</v>
      </c>
      <c r="Z1483" s="1" t="str">
        <f>TRIM(_xlfn.CONCAT(sales_data_sample[[#This Row],[CONTACTFIRSTNAME]],", ",sales_data_sample[[#This Row],[CONTACTLASTNAME]]))</f>
        <v>Marta, Hernandez</v>
      </c>
      <c r="AA1483" s="1" t="s">
        <v>59</v>
      </c>
    </row>
    <row r="1484" spans="1:27" x14ac:dyDescent="0.25">
      <c r="A1484" s="10">
        <v>10299</v>
      </c>
      <c r="B1484" s="9">
        <v>47</v>
      </c>
      <c r="C1484" s="9">
        <v>100</v>
      </c>
      <c r="D1484" s="9">
        <f>PRODUCT(sales_data_sample[[#This Row],[QUANTITYORDERED]],sales_data_sample[[#This Row],[PRICEEACH]])</f>
        <v>4700</v>
      </c>
      <c r="E1484" s="9">
        <f>IF(OR(sales_data_sample[[#This Row],[STATUS]]="Shipped",sales_data_sample[[#This Row],[STATUS]]="Resolved"),sales_data_sample[[#This Row],[SALES]],0)</f>
        <v>4700</v>
      </c>
      <c r="F1484" s="10">
        <v>10</v>
      </c>
      <c r="G1484" s="12" t="s">
        <v>164</v>
      </c>
      <c r="H1484" s="1" t="s">
        <v>26</v>
      </c>
      <c r="I1484">
        <v>3</v>
      </c>
      <c r="J1484">
        <v>9</v>
      </c>
      <c r="K1484">
        <v>2004</v>
      </c>
      <c r="L1484" s="1" t="s">
        <v>27</v>
      </c>
      <c r="M1484">
        <v>112</v>
      </c>
      <c r="N1484" s="1" t="s">
        <v>952</v>
      </c>
      <c r="O1484" s="1" t="s">
        <v>165</v>
      </c>
      <c r="P1484" s="1" t="s">
        <v>166</v>
      </c>
      <c r="Q1484" s="1" t="s">
        <v>167</v>
      </c>
      <c r="R1484" s="1" t="s">
        <v>32</v>
      </c>
      <c r="S1484" s="1" t="s">
        <v>168</v>
      </c>
      <c r="T1484" s="1" t="s">
        <v>32</v>
      </c>
      <c r="U1484" s="1" t="s">
        <v>169</v>
      </c>
      <c r="V1484" s="1" t="s">
        <v>170</v>
      </c>
      <c r="W1484" s="1" t="s">
        <v>48</v>
      </c>
      <c r="X1484" s="1" t="s">
        <v>171</v>
      </c>
      <c r="Y1484" s="1" t="s">
        <v>172</v>
      </c>
      <c r="Z1484" s="1" t="str">
        <f>TRIM(_xlfn.CONCAT(sales_data_sample[[#This Row],[CONTACTFIRSTNAME]],", ",sales_data_sample[[#This Row],[CONTACTLASTNAME]]))</f>
        <v>Matti, Karttunen</v>
      </c>
      <c r="AA1484" s="1" t="s">
        <v>59</v>
      </c>
    </row>
    <row r="1485" spans="1:27" x14ac:dyDescent="0.25">
      <c r="A1485" s="10">
        <v>10309</v>
      </c>
      <c r="B1485" s="9">
        <v>21</v>
      </c>
      <c r="C1485" s="9">
        <v>100</v>
      </c>
      <c r="D1485" s="9">
        <f>PRODUCT(sales_data_sample[[#This Row],[QUANTITYORDERED]],sales_data_sample[[#This Row],[PRICEEACH]])</f>
        <v>2100</v>
      </c>
      <c r="E1485" s="9">
        <f>IF(OR(sales_data_sample[[#This Row],[STATUS]]="Shipped",sales_data_sample[[#This Row],[STATUS]]="Resolved"),sales_data_sample[[#This Row],[SALES]],0)</f>
        <v>2100</v>
      </c>
      <c r="F1485" s="10">
        <v>6</v>
      </c>
      <c r="G1485" s="12" t="s">
        <v>173</v>
      </c>
      <c r="H1485" s="1" t="s">
        <v>26</v>
      </c>
      <c r="I1485">
        <v>4</v>
      </c>
      <c r="J1485">
        <v>10</v>
      </c>
      <c r="K1485">
        <v>2004</v>
      </c>
      <c r="L1485" s="1" t="s">
        <v>27</v>
      </c>
      <c r="M1485">
        <v>112</v>
      </c>
      <c r="N1485" s="1" t="s">
        <v>952</v>
      </c>
      <c r="O1485" s="1" t="s">
        <v>174</v>
      </c>
      <c r="P1485" s="1" t="s">
        <v>175</v>
      </c>
      <c r="Q1485" s="1" t="s">
        <v>176</v>
      </c>
      <c r="R1485" s="1" t="s">
        <v>32</v>
      </c>
      <c r="S1485" s="1" t="s">
        <v>177</v>
      </c>
      <c r="T1485" s="1" t="s">
        <v>32</v>
      </c>
      <c r="U1485" s="1" t="s">
        <v>178</v>
      </c>
      <c r="V1485" s="1" t="s">
        <v>97</v>
      </c>
      <c r="W1485" s="1" t="s">
        <v>48</v>
      </c>
      <c r="X1485" s="1" t="s">
        <v>179</v>
      </c>
      <c r="Y1485" s="1" t="s">
        <v>180</v>
      </c>
      <c r="Z1485" s="1" t="str">
        <f>TRIM(_xlfn.CONCAT(sales_data_sample[[#This Row],[CONTACTFIRSTNAME]],", ",sales_data_sample[[#This Row],[CONTACTLASTNAME]]))</f>
        <v>Jonas, Bergulfsen</v>
      </c>
      <c r="AA1485" s="1" t="s">
        <v>40</v>
      </c>
    </row>
    <row r="1486" spans="1:27" x14ac:dyDescent="0.25">
      <c r="A1486" s="10">
        <v>10318</v>
      </c>
      <c r="B1486" s="9">
        <v>48</v>
      </c>
      <c r="C1486" s="9">
        <v>100</v>
      </c>
      <c r="D1486" s="9">
        <f>PRODUCT(sales_data_sample[[#This Row],[QUANTITYORDERED]],sales_data_sample[[#This Row],[PRICEEACH]])</f>
        <v>4800</v>
      </c>
      <c r="E1486" s="9">
        <f>IF(OR(sales_data_sample[[#This Row],[STATUS]]="Shipped",sales_data_sample[[#This Row],[STATUS]]="Resolved"),sales_data_sample[[#This Row],[SALES]],0)</f>
        <v>4800</v>
      </c>
      <c r="F1486" s="10">
        <v>2</v>
      </c>
      <c r="G1486" s="12" t="s">
        <v>181</v>
      </c>
      <c r="H1486" s="1" t="s">
        <v>26</v>
      </c>
      <c r="I1486">
        <v>4</v>
      </c>
      <c r="J1486">
        <v>11</v>
      </c>
      <c r="K1486">
        <v>2004</v>
      </c>
      <c r="L1486" s="1" t="s">
        <v>27</v>
      </c>
      <c r="M1486">
        <v>112</v>
      </c>
      <c r="N1486" s="1" t="s">
        <v>952</v>
      </c>
      <c r="O1486" s="1" t="s">
        <v>182</v>
      </c>
      <c r="P1486" s="1" t="s">
        <v>183</v>
      </c>
      <c r="Q1486" s="1" t="s">
        <v>184</v>
      </c>
      <c r="R1486" s="1" t="s">
        <v>32</v>
      </c>
      <c r="S1486" s="1" t="s">
        <v>185</v>
      </c>
      <c r="T1486" s="1" t="s">
        <v>186</v>
      </c>
      <c r="U1486" s="1" t="s">
        <v>187</v>
      </c>
      <c r="V1486" s="1" t="s">
        <v>36</v>
      </c>
      <c r="W1486" s="1" t="s">
        <v>37</v>
      </c>
      <c r="X1486" s="1" t="s">
        <v>38</v>
      </c>
      <c r="Y1486" s="1" t="s">
        <v>188</v>
      </c>
      <c r="Z1486" s="1" t="str">
        <f>TRIM(_xlfn.CONCAT(sales_data_sample[[#This Row],[CONTACTFIRSTNAME]],", ",sales_data_sample[[#This Row],[CONTACTLASTNAME]]))</f>
        <v>Kyung, Yu</v>
      </c>
      <c r="AA1486" s="1" t="s">
        <v>59</v>
      </c>
    </row>
    <row r="1487" spans="1:27" x14ac:dyDescent="0.25">
      <c r="A1487" s="10">
        <v>10329</v>
      </c>
      <c r="B1487" s="9">
        <v>30</v>
      </c>
      <c r="C1487" s="9">
        <v>8778</v>
      </c>
      <c r="D1487" s="9">
        <f>PRODUCT(sales_data_sample[[#This Row],[QUANTITYORDERED]],sales_data_sample[[#This Row],[PRICEEACH]])</f>
        <v>263340</v>
      </c>
      <c r="E1487" s="9">
        <f>IF(OR(sales_data_sample[[#This Row],[STATUS]]="Shipped",sales_data_sample[[#This Row],[STATUS]]="Resolved"),sales_data_sample[[#This Row],[SALES]],0)</f>
        <v>263340</v>
      </c>
      <c r="F1487" s="10">
        <v>7</v>
      </c>
      <c r="G1487" s="12" t="s">
        <v>189</v>
      </c>
      <c r="H1487" s="1" t="s">
        <v>26</v>
      </c>
      <c r="I1487">
        <v>4</v>
      </c>
      <c r="J1487">
        <v>11</v>
      </c>
      <c r="K1487">
        <v>2004</v>
      </c>
      <c r="L1487" s="1" t="s">
        <v>27</v>
      </c>
      <c r="M1487">
        <v>112</v>
      </c>
      <c r="N1487" s="1" t="s">
        <v>952</v>
      </c>
      <c r="O1487" s="1" t="s">
        <v>29</v>
      </c>
      <c r="P1487" s="1" t="s">
        <v>30</v>
      </c>
      <c r="Q1487" s="1" t="s">
        <v>31</v>
      </c>
      <c r="R1487" s="1" t="s">
        <v>32</v>
      </c>
      <c r="S1487" s="1" t="s">
        <v>33</v>
      </c>
      <c r="T1487" s="1" t="s">
        <v>34</v>
      </c>
      <c r="U1487" s="1" t="s">
        <v>35</v>
      </c>
      <c r="V1487" s="1" t="s">
        <v>36</v>
      </c>
      <c r="W1487" s="1" t="s">
        <v>37</v>
      </c>
      <c r="X1487" s="1" t="s">
        <v>38</v>
      </c>
      <c r="Y1487" s="1" t="s">
        <v>39</v>
      </c>
      <c r="Z1487" s="1" t="str">
        <f>TRIM(_xlfn.CONCAT(sales_data_sample[[#This Row],[CONTACTFIRSTNAME]],", ",sales_data_sample[[#This Row],[CONTACTLASTNAME]]))</f>
        <v>Kwai, Yu</v>
      </c>
      <c r="AA1487" s="1" t="s">
        <v>40</v>
      </c>
    </row>
    <row r="1488" spans="1:27" x14ac:dyDescent="0.25">
      <c r="A1488" s="10">
        <v>10339</v>
      </c>
      <c r="B1488" s="9">
        <v>27</v>
      </c>
      <c r="C1488" s="9">
        <v>8439</v>
      </c>
      <c r="D1488" s="9">
        <f>PRODUCT(sales_data_sample[[#This Row],[QUANTITYORDERED]],sales_data_sample[[#This Row],[PRICEEACH]])</f>
        <v>227853</v>
      </c>
      <c r="E1488" s="9">
        <f>IF(OR(sales_data_sample[[#This Row],[STATUS]]="Shipped",sales_data_sample[[#This Row],[STATUS]]="Resolved"),sales_data_sample[[#This Row],[SALES]],0)</f>
        <v>227853</v>
      </c>
      <c r="F1488" s="10">
        <v>10</v>
      </c>
      <c r="G1488" s="12" t="s">
        <v>430</v>
      </c>
      <c r="H1488" s="1" t="s">
        <v>26</v>
      </c>
      <c r="I1488">
        <v>4</v>
      </c>
      <c r="J1488">
        <v>11</v>
      </c>
      <c r="K1488">
        <v>2004</v>
      </c>
      <c r="L1488" s="1" t="s">
        <v>27</v>
      </c>
      <c r="M1488">
        <v>112</v>
      </c>
      <c r="N1488" s="1" t="s">
        <v>952</v>
      </c>
      <c r="O1488" s="1" t="s">
        <v>328</v>
      </c>
      <c r="P1488" s="1" t="s">
        <v>329</v>
      </c>
      <c r="Q1488" s="1" t="s">
        <v>330</v>
      </c>
      <c r="R1488" s="1" t="s">
        <v>32</v>
      </c>
      <c r="S1488" s="1" t="s">
        <v>331</v>
      </c>
      <c r="T1488" s="1" t="s">
        <v>332</v>
      </c>
      <c r="U1488" s="1" t="s">
        <v>333</v>
      </c>
      <c r="V1488" s="1" t="s">
        <v>264</v>
      </c>
      <c r="W1488" s="1" t="s">
        <v>264</v>
      </c>
      <c r="X1488" s="1" t="s">
        <v>334</v>
      </c>
      <c r="Y1488" s="1" t="s">
        <v>335</v>
      </c>
      <c r="Z1488" s="1" t="str">
        <f>TRIM(_xlfn.CONCAT(sales_data_sample[[#This Row],[CONTACTFIRSTNAME]],", ",sales_data_sample[[#This Row],[CONTACTLASTNAME]]))</f>
        <v>Akiko, Shimamura</v>
      </c>
      <c r="AA1488" s="1" t="s">
        <v>40</v>
      </c>
    </row>
    <row r="1489" spans="1:27" x14ac:dyDescent="0.25">
      <c r="A1489" s="10">
        <v>10362</v>
      </c>
      <c r="B1489" s="9">
        <v>50</v>
      </c>
      <c r="C1489" s="9">
        <v>9692</v>
      </c>
      <c r="D1489" s="9">
        <f>PRODUCT(sales_data_sample[[#This Row],[QUANTITYORDERED]],sales_data_sample[[#This Row],[PRICEEACH]])</f>
        <v>484600</v>
      </c>
      <c r="E1489" s="9">
        <f>IF(OR(sales_data_sample[[#This Row],[STATUS]]="Shipped",sales_data_sample[[#This Row],[STATUS]]="Resolved"),sales_data_sample[[#This Row],[SALES]],0)</f>
        <v>484600</v>
      </c>
      <c r="F1489" s="10">
        <v>2</v>
      </c>
      <c r="G1489" s="12" t="s">
        <v>434</v>
      </c>
      <c r="H1489" s="1" t="s">
        <v>26</v>
      </c>
      <c r="I1489">
        <v>1</v>
      </c>
      <c r="J1489">
        <v>1</v>
      </c>
      <c r="K1489">
        <v>2005</v>
      </c>
      <c r="L1489" s="1" t="s">
        <v>27</v>
      </c>
      <c r="M1489">
        <v>112</v>
      </c>
      <c r="N1489" s="1" t="s">
        <v>952</v>
      </c>
      <c r="O1489" s="1" t="s">
        <v>76</v>
      </c>
      <c r="P1489" s="1" t="s">
        <v>77</v>
      </c>
      <c r="Q1489" s="1" t="s">
        <v>78</v>
      </c>
      <c r="R1489" s="1" t="s">
        <v>32</v>
      </c>
      <c r="S1489" s="1" t="s">
        <v>79</v>
      </c>
      <c r="T1489" s="1" t="s">
        <v>65</v>
      </c>
      <c r="U1489" s="1" t="s">
        <v>80</v>
      </c>
      <c r="V1489" s="1" t="s">
        <v>36</v>
      </c>
      <c r="W1489" s="1" t="s">
        <v>37</v>
      </c>
      <c r="X1489" s="1" t="s">
        <v>81</v>
      </c>
      <c r="Y1489" s="1" t="s">
        <v>82</v>
      </c>
      <c r="Z1489" s="1" t="str">
        <f>TRIM(_xlfn.CONCAT(sales_data_sample[[#This Row],[CONTACTFIRSTNAME]],", ",sales_data_sample[[#This Row],[CONTACTLASTNAME]]))</f>
        <v>Juri, Hirano</v>
      </c>
      <c r="AA1489" s="1" t="s">
        <v>59</v>
      </c>
    </row>
    <row r="1490" spans="1:27" x14ac:dyDescent="0.25">
      <c r="A1490" s="10">
        <v>10374</v>
      </c>
      <c r="B1490" s="9">
        <v>38</v>
      </c>
      <c r="C1490" s="9">
        <v>100</v>
      </c>
      <c r="D1490" s="9">
        <f>PRODUCT(sales_data_sample[[#This Row],[QUANTITYORDERED]],sales_data_sample[[#This Row],[PRICEEACH]])</f>
        <v>3800</v>
      </c>
      <c r="E1490" s="9">
        <f>IF(OR(sales_data_sample[[#This Row],[STATUS]]="Shipped",sales_data_sample[[#This Row],[STATUS]]="Resolved"),sales_data_sample[[#This Row],[SALES]],0)</f>
        <v>3800</v>
      </c>
      <c r="F1490" s="10">
        <v>6</v>
      </c>
      <c r="G1490" s="12" t="s">
        <v>431</v>
      </c>
      <c r="H1490" s="1" t="s">
        <v>26</v>
      </c>
      <c r="I1490">
        <v>1</v>
      </c>
      <c r="J1490">
        <v>2</v>
      </c>
      <c r="K1490">
        <v>2005</v>
      </c>
      <c r="L1490" s="1" t="s">
        <v>27</v>
      </c>
      <c r="M1490">
        <v>112</v>
      </c>
      <c r="N1490" s="1" t="s">
        <v>952</v>
      </c>
      <c r="O1490" s="1" t="s">
        <v>274</v>
      </c>
      <c r="P1490" s="1" t="s">
        <v>275</v>
      </c>
      <c r="Q1490" s="1" t="s">
        <v>276</v>
      </c>
      <c r="R1490" s="1" t="s">
        <v>32</v>
      </c>
      <c r="S1490" s="1" t="s">
        <v>277</v>
      </c>
      <c r="T1490" s="1" t="s">
        <v>278</v>
      </c>
      <c r="U1490" s="1" t="s">
        <v>279</v>
      </c>
      <c r="V1490" s="1" t="s">
        <v>120</v>
      </c>
      <c r="W1490" s="1" t="s">
        <v>121</v>
      </c>
      <c r="X1490" s="1" t="s">
        <v>280</v>
      </c>
      <c r="Y1490" s="1" t="s">
        <v>281</v>
      </c>
      <c r="Z1490" s="1" t="str">
        <f>TRIM(_xlfn.CONCAT(sales_data_sample[[#This Row],[CONTACTFIRSTNAME]],", ",sales_data_sample[[#This Row],[CONTACTLASTNAME]]))</f>
        <v>Tony, Calaghan</v>
      </c>
      <c r="AA1490" s="1" t="s">
        <v>59</v>
      </c>
    </row>
    <row r="1491" spans="1:27" x14ac:dyDescent="0.25">
      <c r="A1491" s="10">
        <v>10389</v>
      </c>
      <c r="B1491" s="9">
        <v>45</v>
      </c>
      <c r="C1491" s="9">
        <v>100</v>
      </c>
      <c r="D1491" s="9">
        <f>PRODUCT(sales_data_sample[[#This Row],[QUANTITYORDERED]],sales_data_sample[[#This Row],[PRICEEACH]])</f>
        <v>4500</v>
      </c>
      <c r="E1491" s="9">
        <f>IF(OR(sales_data_sample[[#This Row],[STATUS]]="Shipped",sales_data_sample[[#This Row],[STATUS]]="Resolved"),sales_data_sample[[#This Row],[SALES]],0)</f>
        <v>4500</v>
      </c>
      <c r="F1491" s="10">
        <v>1</v>
      </c>
      <c r="G1491" s="12" t="s">
        <v>211</v>
      </c>
      <c r="H1491" s="1" t="s">
        <v>26</v>
      </c>
      <c r="I1491">
        <v>1</v>
      </c>
      <c r="J1491">
        <v>3</v>
      </c>
      <c r="K1491">
        <v>2005</v>
      </c>
      <c r="L1491" s="1" t="s">
        <v>27</v>
      </c>
      <c r="M1491">
        <v>112</v>
      </c>
      <c r="N1491" s="1" t="s">
        <v>952</v>
      </c>
      <c r="O1491" s="1" t="s">
        <v>347</v>
      </c>
      <c r="P1491" s="1" t="s">
        <v>348</v>
      </c>
      <c r="Q1491" s="1" t="s">
        <v>349</v>
      </c>
      <c r="R1491" s="1" t="s">
        <v>32</v>
      </c>
      <c r="S1491" s="1" t="s">
        <v>350</v>
      </c>
      <c r="T1491" s="1" t="s">
        <v>32</v>
      </c>
      <c r="U1491" s="1" t="s">
        <v>351</v>
      </c>
      <c r="V1491" s="1" t="s">
        <v>247</v>
      </c>
      <c r="W1491" s="1" t="s">
        <v>48</v>
      </c>
      <c r="X1491" s="1" t="s">
        <v>352</v>
      </c>
      <c r="Y1491" s="1" t="s">
        <v>272</v>
      </c>
      <c r="Z1491" s="1" t="str">
        <f>TRIM(_xlfn.CONCAT(sales_data_sample[[#This Row],[CONTACTFIRSTNAME]],", ",sales_data_sample[[#This Row],[CONTACTLASTNAME]]))</f>
        <v>Maria, Larsson</v>
      </c>
      <c r="AA1491" s="1" t="s">
        <v>59</v>
      </c>
    </row>
    <row r="1492" spans="1:27" x14ac:dyDescent="0.25">
      <c r="A1492" s="10">
        <v>10403</v>
      </c>
      <c r="B1492" s="9">
        <v>46</v>
      </c>
      <c r="C1492" s="9">
        <v>100</v>
      </c>
      <c r="D1492" s="9">
        <f>PRODUCT(sales_data_sample[[#This Row],[QUANTITYORDERED]],sales_data_sample[[#This Row],[PRICEEACH]])</f>
        <v>4600</v>
      </c>
      <c r="E1492" s="9">
        <f>IF(OR(sales_data_sample[[#This Row],[STATUS]]="Shipped",sales_data_sample[[#This Row],[STATUS]]="Resolved"),sales_data_sample[[#This Row],[SALES]],0)</f>
        <v>4600</v>
      </c>
      <c r="F1492" s="10">
        <v>8</v>
      </c>
      <c r="G1492" s="12" t="s">
        <v>219</v>
      </c>
      <c r="H1492" s="1" t="s">
        <v>26</v>
      </c>
      <c r="I1492">
        <v>2</v>
      </c>
      <c r="J1492">
        <v>4</v>
      </c>
      <c r="K1492">
        <v>2005</v>
      </c>
      <c r="L1492" s="1" t="s">
        <v>27</v>
      </c>
      <c r="M1492">
        <v>112</v>
      </c>
      <c r="N1492" s="1" t="s">
        <v>952</v>
      </c>
      <c r="O1492" s="1" t="s">
        <v>220</v>
      </c>
      <c r="P1492" s="1" t="s">
        <v>221</v>
      </c>
      <c r="Q1492" s="1" t="s">
        <v>222</v>
      </c>
      <c r="R1492" s="1" t="s">
        <v>32</v>
      </c>
      <c r="S1492" s="1" t="s">
        <v>223</v>
      </c>
      <c r="T1492" s="1" t="s">
        <v>32</v>
      </c>
      <c r="U1492" s="1" t="s">
        <v>224</v>
      </c>
      <c r="V1492" s="1" t="s">
        <v>225</v>
      </c>
      <c r="W1492" s="1" t="s">
        <v>48</v>
      </c>
      <c r="X1492" s="1" t="s">
        <v>226</v>
      </c>
      <c r="Y1492" s="1" t="s">
        <v>227</v>
      </c>
      <c r="Z1492" s="1" t="str">
        <f>TRIM(_xlfn.CONCAT(sales_data_sample[[#This Row],[CONTACTFIRSTNAME]],", ",sales_data_sample[[#This Row],[CONTACTLASTNAME]]))</f>
        <v>Elizabeth, Devon</v>
      </c>
      <c r="AA1492" s="1" t="s">
        <v>59</v>
      </c>
    </row>
    <row r="1493" spans="1:27" x14ac:dyDescent="0.25">
      <c r="A1493" s="10">
        <v>10417</v>
      </c>
      <c r="B1493" s="9">
        <v>35</v>
      </c>
      <c r="C1493" s="9">
        <v>100</v>
      </c>
      <c r="D1493" s="9">
        <f>PRODUCT(sales_data_sample[[#This Row],[QUANTITYORDERED]],sales_data_sample[[#This Row],[PRICEEACH]])</f>
        <v>3500</v>
      </c>
      <c r="E1493" s="9">
        <f>IF(OR(sales_data_sample[[#This Row],[STATUS]]="Shipped",sales_data_sample[[#This Row],[STATUS]]="Resolved"),sales_data_sample[[#This Row],[SALES]],0)</f>
        <v>0</v>
      </c>
      <c r="F1493" s="10">
        <v>3</v>
      </c>
      <c r="G1493" s="12" t="s">
        <v>228</v>
      </c>
      <c r="H1493" s="1" t="s">
        <v>229</v>
      </c>
      <c r="I1493">
        <v>2</v>
      </c>
      <c r="J1493">
        <v>5</v>
      </c>
      <c r="K1493">
        <v>2005</v>
      </c>
      <c r="L1493" s="1" t="s">
        <v>27</v>
      </c>
      <c r="M1493">
        <v>112</v>
      </c>
      <c r="N1493" s="1" t="s">
        <v>952</v>
      </c>
      <c r="O1493" s="1" t="s">
        <v>230</v>
      </c>
      <c r="P1493" s="1" t="s">
        <v>231</v>
      </c>
      <c r="Q1493" s="1" t="s">
        <v>232</v>
      </c>
      <c r="R1493" s="1" t="s">
        <v>32</v>
      </c>
      <c r="S1493" s="1" t="s">
        <v>233</v>
      </c>
      <c r="T1493" s="1" t="s">
        <v>32</v>
      </c>
      <c r="U1493" s="1" t="s">
        <v>234</v>
      </c>
      <c r="V1493" s="1" t="s">
        <v>235</v>
      </c>
      <c r="W1493" s="1" t="s">
        <v>48</v>
      </c>
      <c r="X1493" s="1" t="s">
        <v>236</v>
      </c>
      <c r="Y1493" s="1" t="s">
        <v>237</v>
      </c>
      <c r="Z1493" s="1" t="str">
        <f>TRIM(_xlfn.CONCAT(sales_data_sample[[#This Row],[CONTACTFIRSTNAME]],", ",sales_data_sample[[#This Row],[CONTACTLASTNAME]]))</f>
        <v>Diego, Freyre</v>
      </c>
      <c r="AA1493" s="1" t="s">
        <v>59</v>
      </c>
    </row>
    <row r="1494" spans="1:27" x14ac:dyDescent="0.25">
      <c r="A1494" s="10">
        <v>10110</v>
      </c>
      <c r="B1494" s="9">
        <v>29</v>
      </c>
      <c r="C1494" s="9">
        <v>5937</v>
      </c>
      <c r="D1494" s="9">
        <f>PRODUCT(sales_data_sample[[#This Row],[QUANTITYORDERED]],sales_data_sample[[#This Row],[PRICEEACH]])</f>
        <v>172173</v>
      </c>
      <c r="E1494" s="9">
        <f>IF(OR(sales_data_sample[[#This Row],[STATUS]]="Shipped",sales_data_sample[[#This Row],[STATUS]]="Resolved"),sales_data_sample[[#This Row],[SALES]],0)</f>
        <v>172173</v>
      </c>
      <c r="F1494" s="10">
        <v>15</v>
      </c>
      <c r="G1494" s="12" t="s">
        <v>829</v>
      </c>
      <c r="H1494" s="1" t="s">
        <v>26</v>
      </c>
      <c r="I1494">
        <v>1</v>
      </c>
      <c r="J1494">
        <v>3</v>
      </c>
      <c r="K1494">
        <v>2003</v>
      </c>
      <c r="L1494" s="1" t="s">
        <v>239</v>
      </c>
      <c r="M1494">
        <v>50</v>
      </c>
      <c r="N1494" s="1" t="s">
        <v>953</v>
      </c>
      <c r="O1494" s="1" t="s">
        <v>695</v>
      </c>
      <c r="P1494" s="1" t="s">
        <v>696</v>
      </c>
      <c r="Q1494" s="1" t="s">
        <v>697</v>
      </c>
      <c r="R1494" s="1" t="s">
        <v>32</v>
      </c>
      <c r="S1494" s="1" t="s">
        <v>698</v>
      </c>
      <c r="T1494" s="1" t="s">
        <v>32</v>
      </c>
      <c r="U1494" s="1" t="s">
        <v>699</v>
      </c>
      <c r="V1494" s="1" t="s">
        <v>225</v>
      </c>
      <c r="W1494" s="1" t="s">
        <v>48</v>
      </c>
      <c r="X1494" s="1" t="s">
        <v>700</v>
      </c>
      <c r="Y1494" s="1" t="s">
        <v>118</v>
      </c>
      <c r="Z1494" s="1" t="str">
        <f>TRIM(_xlfn.CONCAT(sales_data_sample[[#This Row],[CONTACTFIRSTNAME]],", ",sales_data_sample[[#This Row],[CONTACTLASTNAME]]))</f>
        <v>Victoria, Ashworth</v>
      </c>
      <c r="AA1494" s="1" t="s">
        <v>40</v>
      </c>
    </row>
    <row r="1495" spans="1:27" x14ac:dyDescent="0.25">
      <c r="A1495" s="10">
        <v>10123</v>
      </c>
      <c r="B1495" s="9">
        <v>50</v>
      </c>
      <c r="C1495" s="9">
        <v>5987</v>
      </c>
      <c r="D1495" s="9">
        <f>PRODUCT(sales_data_sample[[#This Row],[QUANTITYORDERED]],sales_data_sample[[#This Row],[PRICEEACH]])</f>
        <v>299350</v>
      </c>
      <c r="E1495" s="9">
        <f>IF(OR(sales_data_sample[[#This Row],[STATUS]]="Shipped",sales_data_sample[[#This Row],[STATUS]]="Resolved"),sales_data_sample[[#This Row],[SALES]],0)</f>
        <v>299350</v>
      </c>
      <c r="F1495" s="10">
        <v>1</v>
      </c>
      <c r="G1495" s="12" t="s">
        <v>831</v>
      </c>
      <c r="H1495" s="1" t="s">
        <v>26</v>
      </c>
      <c r="I1495">
        <v>2</v>
      </c>
      <c r="J1495">
        <v>5</v>
      </c>
      <c r="K1495">
        <v>2003</v>
      </c>
      <c r="L1495" s="1" t="s">
        <v>239</v>
      </c>
      <c r="M1495">
        <v>50</v>
      </c>
      <c r="N1495" s="1" t="s">
        <v>953</v>
      </c>
      <c r="O1495" s="1" t="s">
        <v>420</v>
      </c>
      <c r="P1495" s="1" t="s">
        <v>421</v>
      </c>
      <c r="Q1495" s="1" t="s">
        <v>422</v>
      </c>
      <c r="R1495" s="1" t="s">
        <v>32</v>
      </c>
      <c r="S1495" s="1" t="s">
        <v>151</v>
      </c>
      <c r="T1495" s="1" t="s">
        <v>32</v>
      </c>
      <c r="U1495" s="1" t="s">
        <v>152</v>
      </c>
      <c r="V1495" s="1" t="s">
        <v>47</v>
      </c>
      <c r="W1495" s="1" t="s">
        <v>48</v>
      </c>
      <c r="X1495" s="1" t="s">
        <v>423</v>
      </c>
      <c r="Y1495" s="1" t="s">
        <v>424</v>
      </c>
      <c r="Z1495" s="1" t="str">
        <f>TRIM(_xlfn.CONCAT(sales_data_sample[[#This Row],[CONTACTFIRSTNAME]],", ",sales_data_sample[[#This Row],[CONTACTLASTNAME]]))</f>
        <v>Carine, Schmitt</v>
      </c>
      <c r="AA1495" s="1" t="s">
        <v>40</v>
      </c>
    </row>
    <row r="1496" spans="1:27" x14ac:dyDescent="0.25">
      <c r="A1496" s="10">
        <v>10137</v>
      </c>
      <c r="B1496" s="9">
        <v>26</v>
      </c>
      <c r="C1496" s="9">
        <v>4981</v>
      </c>
      <c r="D1496" s="9">
        <f>PRODUCT(sales_data_sample[[#This Row],[QUANTITYORDERED]],sales_data_sample[[#This Row],[PRICEEACH]])</f>
        <v>129506</v>
      </c>
      <c r="E1496" s="9">
        <f>IF(OR(sales_data_sample[[#This Row],[STATUS]]="Shipped",sales_data_sample[[#This Row],[STATUS]]="Resolved"),sales_data_sample[[#This Row],[SALES]],0)</f>
        <v>129506</v>
      </c>
      <c r="F1496" s="10">
        <v>1</v>
      </c>
      <c r="G1496" s="12" t="s">
        <v>832</v>
      </c>
      <c r="H1496" s="1" t="s">
        <v>26</v>
      </c>
      <c r="I1496">
        <v>3</v>
      </c>
      <c r="J1496">
        <v>7</v>
      </c>
      <c r="K1496">
        <v>2003</v>
      </c>
      <c r="L1496" s="1" t="s">
        <v>239</v>
      </c>
      <c r="M1496">
        <v>50</v>
      </c>
      <c r="N1496" s="1" t="s">
        <v>953</v>
      </c>
      <c r="O1496" s="1" t="s">
        <v>42</v>
      </c>
      <c r="P1496" s="1" t="s">
        <v>43</v>
      </c>
      <c r="Q1496" s="1" t="s">
        <v>44</v>
      </c>
      <c r="R1496" s="1" t="s">
        <v>32</v>
      </c>
      <c r="S1496" s="1" t="s">
        <v>45</v>
      </c>
      <c r="T1496" s="1" t="s">
        <v>32</v>
      </c>
      <c r="U1496" s="1" t="s">
        <v>46</v>
      </c>
      <c r="V1496" s="1" t="s">
        <v>47</v>
      </c>
      <c r="W1496" s="1" t="s">
        <v>48</v>
      </c>
      <c r="X1496" s="1" t="s">
        <v>49</v>
      </c>
      <c r="Y1496" s="1" t="s">
        <v>50</v>
      </c>
      <c r="Z1496" s="1" t="str">
        <f>TRIM(_xlfn.CONCAT(sales_data_sample[[#This Row],[CONTACTFIRSTNAME]],", ",sales_data_sample[[#This Row],[CONTACTLASTNAME]]))</f>
        <v>Paul, Henriot</v>
      </c>
      <c r="AA1496" s="1" t="s">
        <v>40</v>
      </c>
    </row>
    <row r="1497" spans="1:27" x14ac:dyDescent="0.25">
      <c r="A1497">
        <v>10148</v>
      </c>
      <c r="B1497">
        <v>47</v>
      </c>
      <c r="C1497">
        <v>5685</v>
      </c>
      <c r="D1497">
        <f>PRODUCT(sales_data_sample[[#This Row],[QUANTITYORDERED]],sales_data_sample[[#This Row],[PRICEEACH]])</f>
        <v>267195</v>
      </c>
      <c r="E1497" s="9">
        <f>IF(OR(sales_data_sample[[#This Row],[STATUS]]="Shipped",sales_data_sample[[#This Row],[STATUS]]="Resolved"),sales_data_sample[[#This Row],[SALES]],0)</f>
        <v>267195</v>
      </c>
      <c r="F1497">
        <v>8</v>
      </c>
      <c r="G1497" s="12" t="s">
        <v>774</v>
      </c>
      <c r="H1497" s="1" t="s">
        <v>26</v>
      </c>
      <c r="I1497">
        <v>3</v>
      </c>
      <c r="J1497">
        <v>9</v>
      </c>
      <c r="K1497">
        <v>2003</v>
      </c>
      <c r="L1497" s="1" t="s">
        <v>239</v>
      </c>
      <c r="M1497">
        <v>50</v>
      </c>
      <c r="N1497" s="1" t="s">
        <v>953</v>
      </c>
      <c r="O1497" s="1" t="s">
        <v>385</v>
      </c>
      <c r="P1497" s="1" t="s">
        <v>386</v>
      </c>
      <c r="Q1497" s="1" t="s">
        <v>387</v>
      </c>
      <c r="R1497" s="1" t="s">
        <v>388</v>
      </c>
      <c r="S1497" s="1" t="s">
        <v>389</v>
      </c>
      <c r="T1497" s="1" t="s">
        <v>206</v>
      </c>
      <c r="U1497" s="1" t="s">
        <v>390</v>
      </c>
      <c r="V1497" s="1" t="s">
        <v>120</v>
      </c>
      <c r="W1497" s="1" t="s">
        <v>121</v>
      </c>
      <c r="X1497" s="1" t="s">
        <v>391</v>
      </c>
      <c r="Y1497" s="1" t="s">
        <v>392</v>
      </c>
      <c r="Z1497" s="1" t="str">
        <f>TRIM(_xlfn.CONCAT(sales_data_sample[[#This Row],[CONTACTFIRSTNAME]],", ",sales_data_sample[[#This Row],[CONTACTLASTNAME]]))</f>
        <v>Anna, O'Hara</v>
      </c>
      <c r="AA1497" s="1" t="s">
        <v>40</v>
      </c>
    </row>
    <row r="1498" spans="1:27" x14ac:dyDescent="0.25">
      <c r="A1498" s="10">
        <v>10161</v>
      </c>
      <c r="B1498" s="9">
        <v>23</v>
      </c>
      <c r="C1498" s="9">
        <v>5333</v>
      </c>
      <c r="D1498" s="9">
        <f>PRODUCT(sales_data_sample[[#This Row],[QUANTITYORDERED]],sales_data_sample[[#This Row],[PRICEEACH]])</f>
        <v>122659</v>
      </c>
      <c r="E1498" s="9">
        <f>IF(OR(sales_data_sample[[#This Row],[STATUS]]="Shipped",sales_data_sample[[#This Row],[STATUS]]="Resolved"),sales_data_sample[[#This Row],[SALES]],0)</f>
        <v>122659</v>
      </c>
      <c r="F1498" s="10">
        <v>7</v>
      </c>
      <c r="G1498" s="12" t="s">
        <v>775</v>
      </c>
      <c r="H1498" s="1" t="s">
        <v>26</v>
      </c>
      <c r="I1498">
        <v>4</v>
      </c>
      <c r="J1498">
        <v>10</v>
      </c>
      <c r="K1498">
        <v>2003</v>
      </c>
      <c r="L1498" s="1" t="s">
        <v>239</v>
      </c>
      <c r="M1498">
        <v>50</v>
      </c>
      <c r="N1498" s="1" t="s">
        <v>953</v>
      </c>
      <c r="O1498" s="1" t="s">
        <v>701</v>
      </c>
      <c r="P1498" s="1" t="s">
        <v>702</v>
      </c>
      <c r="Q1498" s="1" t="s">
        <v>703</v>
      </c>
      <c r="R1498" s="1" t="s">
        <v>32</v>
      </c>
      <c r="S1498" s="1" t="s">
        <v>704</v>
      </c>
      <c r="T1498" s="1" t="s">
        <v>32</v>
      </c>
      <c r="U1498" s="1" t="s">
        <v>705</v>
      </c>
      <c r="V1498" s="1" t="s">
        <v>442</v>
      </c>
      <c r="W1498" s="1" t="s">
        <v>48</v>
      </c>
      <c r="X1498" s="1" t="s">
        <v>706</v>
      </c>
      <c r="Y1498" s="1" t="s">
        <v>707</v>
      </c>
      <c r="Z1498" s="1" t="str">
        <f>TRIM(_xlfn.CONCAT(sales_data_sample[[#This Row],[CONTACTFIRSTNAME]],", ",sales_data_sample[[#This Row],[CONTACTLASTNAME]]))</f>
        <v>Palle, Ibsen</v>
      </c>
      <c r="AA1498" s="1" t="s">
        <v>40</v>
      </c>
    </row>
    <row r="1499" spans="1:27" x14ac:dyDescent="0.25">
      <c r="A1499" s="10">
        <v>10172</v>
      </c>
      <c r="B1499" s="9">
        <v>34</v>
      </c>
      <c r="C1499" s="9">
        <v>4276</v>
      </c>
      <c r="D1499" s="9">
        <f>PRODUCT(sales_data_sample[[#This Row],[QUANTITYORDERED]],sales_data_sample[[#This Row],[PRICEEACH]])</f>
        <v>145384</v>
      </c>
      <c r="E1499" s="9">
        <f>IF(OR(sales_data_sample[[#This Row],[STATUS]]="Shipped",sales_data_sample[[#This Row],[STATUS]]="Resolved"),sales_data_sample[[#This Row],[SALES]],0)</f>
        <v>145384</v>
      </c>
      <c r="F1499" s="10">
        <v>5</v>
      </c>
      <c r="G1499" s="12" t="s">
        <v>776</v>
      </c>
      <c r="H1499" s="1" t="s">
        <v>26</v>
      </c>
      <c r="I1499">
        <v>4</v>
      </c>
      <c r="J1499">
        <v>11</v>
      </c>
      <c r="K1499">
        <v>2003</v>
      </c>
      <c r="L1499" s="1" t="s">
        <v>239</v>
      </c>
      <c r="M1499">
        <v>50</v>
      </c>
      <c r="N1499" s="1" t="s">
        <v>953</v>
      </c>
      <c r="O1499" s="1" t="s">
        <v>140</v>
      </c>
      <c r="P1499" s="1" t="s">
        <v>141</v>
      </c>
      <c r="Q1499" s="1" t="s">
        <v>142</v>
      </c>
      <c r="R1499" s="1" t="s">
        <v>32</v>
      </c>
      <c r="S1499" s="1" t="s">
        <v>143</v>
      </c>
      <c r="T1499" s="1" t="s">
        <v>144</v>
      </c>
      <c r="U1499" s="1" t="s">
        <v>145</v>
      </c>
      <c r="V1499" s="1" t="s">
        <v>36</v>
      </c>
      <c r="W1499" s="1" t="s">
        <v>37</v>
      </c>
      <c r="X1499" s="1" t="s">
        <v>146</v>
      </c>
      <c r="Y1499" s="1" t="s">
        <v>68</v>
      </c>
      <c r="Z1499" s="1" t="str">
        <f>TRIM(_xlfn.CONCAT(sales_data_sample[[#This Row],[CONTACTFIRSTNAME]],", ",sales_data_sample[[#This Row],[CONTACTLASTNAME]]))</f>
        <v>Julie, King</v>
      </c>
      <c r="AA1499" s="1" t="s">
        <v>40</v>
      </c>
    </row>
    <row r="1500" spans="1:27" x14ac:dyDescent="0.25">
      <c r="A1500" s="10">
        <v>10181</v>
      </c>
      <c r="B1500" s="9">
        <v>34</v>
      </c>
      <c r="C1500" s="9">
        <v>5383</v>
      </c>
      <c r="D1500" s="9">
        <f>PRODUCT(sales_data_sample[[#This Row],[QUANTITYORDERED]],sales_data_sample[[#This Row],[PRICEEACH]])</f>
        <v>183022</v>
      </c>
      <c r="E1500" s="9">
        <f>IF(OR(sales_data_sample[[#This Row],[STATUS]]="Shipped",sales_data_sample[[#This Row],[STATUS]]="Resolved"),sales_data_sample[[#This Row],[SALES]],0)</f>
        <v>183022</v>
      </c>
      <c r="F1500" s="10">
        <v>1</v>
      </c>
      <c r="G1500" s="12" t="s">
        <v>610</v>
      </c>
      <c r="H1500" s="1" t="s">
        <v>26</v>
      </c>
      <c r="I1500">
        <v>4</v>
      </c>
      <c r="J1500">
        <v>11</v>
      </c>
      <c r="K1500">
        <v>2003</v>
      </c>
      <c r="L1500" s="1" t="s">
        <v>239</v>
      </c>
      <c r="M1500">
        <v>50</v>
      </c>
      <c r="N1500" s="1" t="s">
        <v>953</v>
      </c>
      <c r="O1500" s="1" t="s">
        <v>92</v>
      </c>
      <c r="P1500" s="1" t="s">
        <v>93</v>
      </c>
      <c r="Q1500" s="1" t="s">
        <v>94</v>
      </c>
      <c r="R1500" s="1" t="s">
        <v>32</v>
      </c>
      <c r="S1500" s="1" t="s">
        <v>95</v>
      </c>
      <c r="T1500" s="1" t="s">
        <v>32</v>
      </c>
      <c r="U1500" s="1" t="s">
        <v>96</v>
      </c>
      <c r="V1500" s="1" t="s">
        <v>97</v>
      </c>
      <c r="W1500" s="1" t="s">
        <v>48</v>
      </c>
      <c r="X1500" s="1" t="s">
        <v>98</v>
      </c>
      <c r="Y1500" s="1" t="s">
        <v>99</v>
      </c>
      <c r="Z1500" s="1" t="str">
        <f>TRIM(_xlfn.CONCAT(sales_data_sample[[#This Row],[CONTACTFIRSTNAME]],", ",sales_data_sample[[#This Row],[CONTACTLASTNAME]]))</f>
        <v>Veysel, Oeztan</v>
      </c>
      <c r="AA1500" s="1" t="s">
        <v>40</v>
      </c>
    </row>
    <row r="1501" spans="1:27" x14ac:dyDescent="0.25">
      <c r="A1501" s="10">
        <v>10192</v>
      </c>
      <c r="B1501" s="9">
        <v>47</v>
      </c>
      <c r="C1501" s="9">
        <v>5383</v>
      </c>
      <c r="D1501" s="9">
        <f>PRODUCT(sales_data_sample[[#This Row],[QUANTITYORDERED]],sales_data_sample[[#This Row],[PRICEEACH]])</f>
        <v>253001</v>
      </c>
      <c r="E1501" s="9">
        <f>IF(OR(sales_data_sample[[#This Row],[STATUS]]="Shipped",sales_data_sample[[#This Row],[STATUS]]="Resolved"),sales_data_sample[[#This Row],[SALES]],0)</f>
        <v>253001</v>
      </c>
      <c r="F1501" s="10">
        <v>6</v>
      </c>
      <c r="G1501" s="12" t="s">
        <v>611</v>
      </c>
      <c r="H1501" s="1" t="s">
        <v>26</v>
      </c>
      <c r="I1501">
        <v>4</v>
      </c>
      <c r="J1501">
        <v>11</v>
      </c>
      <c r="K1501">
        <v>2003</v>
      </c>
      <c r="L1501" s="1" t="s">
        <v>239</v>
      </c>
      <c r="M1501">
        <v>50</v>
      </c>
      <c r="N1501" s="1" t="s">
        <v>953</v>
      </c>
      <c r="O1501" s="1" t="s">
        <v>368</v>
      </c>
      <c r="P1501" s="1" t="s">
        <v>369</v>
      </c>
      <c r="Q1501" s="1" t="s">
        <v>370</v>
      </c>
      <c r="R1501" s="1" t="s">
        <v>32</v>
      </c>
      <c r="S1501" s="1" t="s">
        <v>371</v>
      </c>
      <c r="T1501" s="1" t="s">
        <v>372</v>
      </c>
      <c r="U1501" s="1" t="s">
        <v>373</v>
      </c>
      <c r="V1501" s="1" t="s">
        <v>36</v>
      </c>
      <c r="W1501" s="1" t="s">
        <v>37</v>
      </c>
      <c r="X1501" s="1" t="s">
        <v>67</v>
      </c>
      <c r="Y1501" s="1" t="s">
        <v>366</v>
      </c>
      <c r="Z1501" s="1" t="str">
        <f>TRIM(_xlfn.CONCAT(sales_data_sample[[#This Row],[CONTACTFIRSTNAME]],", ",sales_data_sample[[#This Row],[CONTACTLASTNAME]]))</f>
        <v>Valarie, Young</v>
      </c>
      <c r="AA1501" s="1" t="s">
        <v>40</v>
      </c>
    </row>
    <row r="1502" spans="1:27" x14ac:dyDescent="0.25">
      <c r="A1502">
        <v>10204</v>
      </c>
      <c r="B1502">
        <v>45</v>
      </c>
      <c r="C1502">
        <v>4981</v>
      </c>
      <c r="D1502">
        <f>PRODUCT(sales_data_sample[[#This Row],[QUANTITYORDERED]],sales_data_sample[[#This Row],[PRICEEACH]])</f>
        <v>224145</v>
      </c>
      <c r="E1502" s="9">
        <f>IF(OR(sales_data_sample[[#This Row],[STATUS]]="Shipped",sales_data_sample[[#This Row],[STATUS]]="Resolved"),sales_data_sample[[#This Row],[SALES]],0)</f>
        <v>224145</v>
      </c>
      <c r="F1502">
        <v>12</v>
      </c>
      <c r="G1502" s="12" t="s">
        <v>620</v>
      </c>
      <c r="H1502" s="1" t="s">
        <v>26</v>
      </c>
      <c r="I1502">
        <v>4</v>
      </c>
      <c r="J1502">
        <v>12</v>
      </c>
      <c r="K1502">
        <v>2003</v>
      </c>
      <c r="L1502" s="1" t="s">
        <v>239</v>
      </c>
      <c r="M1502">
        <v>50</v>
      </c>
      <c r="N1502" s="1" t="s">
        <v>953</v>
      </c>
      <c r="O1502" s="1" t="s">
        <v>667</v>
      </c>
      <c r="P1502" s="1" t="s">
        <v>668</v>
      </c>
      <c r="Q1502" s="1" t="s">
        <v>669</v>
      </c>
      <c r="R1502" s="1" t="s">
        <v>670</v>
      </c>
      <c r="S1502" s="1" t="s">
        <v>33</v>
      </c>
      <c r="T1502" s="1" t="s">
        <v>34</v>
      </c>
      <c r="U1502" s="1" t="s">
        <v>35</v>
      </c>
      <c r="V1502" s="1" t="s">
        <v>36</v>
      </c>
      <c r="W1502" s="1" t="s">
        <v>37</v>
      </c>
      <c r="X1502" s="1" t="s">
        <v>67</v>
      </c>
      <c r="Y1502" s="1" t="s">
        <v>671</v>
      </c>
      <c r="Z1502" s="1" t="str">
        <f>TRIM(_xlfn.CONCAT(sales_data_sample[[#This Row],[CONTACTFIRSTNAME]],", ",sales_data_sample[[#This Row],[CONTACTLASTNAME]]))</f>
        <v>Jeff, Young</v>
      </c>
      <c r="AA1502" s="1" t="s">
        <v>40</v>
      </c>
    </row>
    <row r="1503" spans="1:27" x14ac:dyDescent="0.25">
      <c r="A1503" s="10">
        <v>10212</v>
      </c>
      <c r="B1503" s="9">
        <v>45</v>
      </c>
      <c r="C1503" s="9">
        <v>5333</v>
      </c>
      <c r="D1503" s="9">
        <f>PRODUCT(sales_data_sample[[#This Row],[QUANTITYORDERED]],sales_data_sample[[#This Row],[PRICEEACH]])</f>
        <v>239985</v>
      </c>
      <c r="E1503" s="9">
        <f>IF(OR(sales_data_sample[[#This Row],[STATUS]]="Shipped",sales_data_sample[[#This Row],[STATUS]]="Resolved"),sales_data_sample[[#This Row],[SALES]],0)</f>
        <v>239985</v>
      </c>
      <c r="F1503" s="10">
        <v>5</v>
      </c>
      <c r="G1503" s="12" t="s">
        <v>729</v>
      </c>
      <c r="H1503" s="1" t="s">
        <v>26</v>
      </c>
      <c r="I1503">
        <v>1</v>
      </c>
      <c r="J1503">
        <v>1</v>
      </c>
      <c r="K1503">
        <v>2004</v>
      </c>
      <c r="L1503" s="1" t="s">
        <v>239</v>
      </c>
      <c r="M1503">
        <v>50</v>
      </c>
      <c r="N1503" s="1" t="s">
        <v>953</v>
      </c>
      <c r="O1503" s="1" t="s">
        <v>230</v>
      </c>
      <c r="P1503" s="1" t="s">
        <v>231</v>
      </c>
      <c r="Q1503" s="1" t="s">
        <v>232</v>
      </c>
      <c r="R1503" s="1" t="s">
        <v>32</v>
      </c>
      <c r="S1503" s="1" t="s">
        <v>233</v>
      </c>
      <c r="T1503" s="1" t="s">
        <v>32</v>
      </c>
      <c r="U1503" s="1" t="s">
        <v>234</v>
      </c>
      <c r="V1503" s="1" t="s">
        <v>235</v>
      </c>
      <c r="W1503" s="1" t="s">
        <v>48</v>
      </c>
      <c r="X1503" s="1" t="s">
        <v>236</v>
      </c>
      <c r="Y1503" s="1" t="s">
        <v>237</v>
      </c>
      <c r="Z1503" s="1" t="str">
        <f>TRIM(_xlfn.CONCAT(sales_data_sample[[#This Row],[CONTACTFIRSTNAME]],", ",sales_data_sample[[#This Row],[CONTACTLASTNAME]]))</f>
        <v>Diego, Freyre</v>
      </c>
      <c r="AA1503" s="1" t="s">
        <v>40</v>
      </c>
    </row>
    <row r="1504" spans="1:27" x14ac:dyDescent="0.25">
      <c r="A1504" s="10">
        <v>10226</v>
      </c>
      <c r="B1504" s="9">
        <v>36</v>
      </c>
      <c r="C1504" s="9">
        <v>4327</v>
      </c>
      <c r="D1504" s="9">
        <f>PRODUCT(sales_data_sample[[#This Row],[QUANTITYORDERED]],sales_data_sample[[#This Row],[PRICEEACH]])</f>
        <v>155772</v>
      </c>
      <c r="E1504" s="9">
        <f>IF(OR(sales_data_sample[[#This Row],[STATUS]]="Shipped",sales_data_sample[[#This Row],[STATUS]]="Resolved"),sales_data_sample[[#This Row],[SALES]],0)</f>
        <v>155772</v>
      </c>
      <c r="F1504" s="10">
        <v>3</v>
      </c>
      <c r="G1504" s="12" t="s">
        <v>833</v>
      </c>
      <c r="H1504" s="1" t="s">
        <v>26</v>
      </c>
      <c r="I1504">
        <v>1</v>
      </c>
      <c r="J1504">
        <v>2</v>
      </c>
      <c r="K1504">
        <v>2004</v>
      </c>
      <c r="L1504" s="1" t="s">
        <v>239</v>
      </c>
      <c r="M1504">
        <v>50</v>
      </c>
      <c r="N1504" s="1" t="s">
        <v>953</v>
      </c>
      <c r="O1504" s="1" t="s">
        <v>492</v>
      </c>
      <c r="P1504" s="1" t="s">
        <v>493</v>
      </c>
      <c r="Q1504" s="1" t="s">
        <v>494</v>
      </c>
      <c r="R1504" s="1" t="s">
        <v>32</v>
      </c>
      <c r="S1504" s="1" t="s">
        <v>495</v>
      </c>
      <c r="T1504" s="1" t="s">
        <v>65</v>
      </c>
      <c r="U1504" s="1" t="s">
        <v>496</v>
      </c>
      <c r="V1504" s="1" t="s">
        <v>36</v>
      </c>
      <c r="W1504" s="1" t="s">
        <v>37</v>
      </c>
      <c r="X1504" s="1" t="s">
        <v>313</v>
      </c>
      <c r="Y1504" s="1" t="s">
        <v>366</v>
      </c>
      <c r="Z1504" s="1" t="str">
        <f>TRIM(_xlfn.CONCAT(sales_data_sample[[#This Row],[CONTACTFIRSTNAME]],", ",sales_data_sample[[#This Row],[CONTACTLASTNAME]]))</f>
        <v>Valarie, Thompson</v>
      </c>
      <c r="AA1504" s="1" t="s">
        <v>40</v>
      </c>
    </row>
    <row r="1505" spans="1:27" x14ac:dyDescent="0.25">
      <c r="A1505" s="10">
        <v>10241</v>
      </c>
      <c r="B1505" s="9">
        <v>21</v>
      </c>
      <c r="C1505" s="9">
        <v>4025</v>
      </c>
      <c r="D1505" s="9">
        <f>PRODUCT(sales_data_sample[[#This Row],[QUANTITYORDERED]],sales_data_sample[[#This Row],[PRICEEACH]])</f>
        <v>84525</v>
      </c>
      <c r="E1505" s="9">
        <f>IF(OR(sales_data_sample[[#This Row],[STATUS]]="Shipped",sales_data_sample[[#This Row],[STATUS]]="Resolved"),sales_data_sample[[#This Row],[SALES]],0)</f>
        <v>84525</v>
      </c>
      <c r="F1505" s="10">
        <v>10</v>
      </c>
      <c r="G1505" s="12" t="s">
        <v>777</v>
      </c>
      <c r="H1505" s="1" t="s">
        <v>26</v>
      </c>
      <c r="I1505">
        <v>2</v>
      </c>
      <c r="J1505">
        <v>4</v>
      </c>
      <c r="K1505">
        <v>2004</v>
      </c>
      <c r="L1505" s="1" t="s">
        <v>239</v>
      </c>
      <c r="M1505">
        <v>50</v>
      </c>
      <c r="N1505" s="1" t="s">
        <v>953</v>
      </c>
      <c r="O1505" s="1" t="s">
        <v>763</v>
      </c>
      <c r="P1505" s="1" t="s">
        <v>764</v>
      </c>
      <c r="Q1505" s="1" t="s">
        <v>765</v>
      </c>
      <c r="R1505" s="1" t="s">
        <v>32</v>
      </c>
      <c r="S1505" s="1" t="s">
        <v>766</v>
      </c>
      <c r="T1505" s="1" t="s">
        <v>32</v>
      </c>
      <c r="U1505" s="1" t="s">
        <v>767</v>
      </c>
      <c r="V1505" s="1" t="s">
        <v>47</v>
      </c>
      <c r="W1505" s="1" t="s">
        <v>48</v>
      </c>
      <c r="X1505" s="1" t="s">
        <v>768</v>
      </c>
      <c r="Y1505" s="1" t="s">
        <v>769</v>
      </c>
      <c r="Z1505" s="1" t="str">
        <f>TRIM(_xlfn.CONCAT(sales_data_sample[[#This Row],[CONTACTFIRSTNAME]],", ",sales_data_sample[[#This Row],[CONTACTLASTNAME]]))</f>
        <v>Frederique, Citeaux</v>
      </c>
      <c r="AA1505" s="1" t="s">
        <v>40</v>
      </c>
    </row>
    <row r="1506" spans="1:27" x14ac:dyDescent="0.25">
      <c r="A1506" s="10">
        <v>10266</v>
      </c>
      <c r="B1506" s="9">
        <v>28</v>
      </c>
      <c r="C1506" s="9">
        <v>483</v>
      </c>
      <c r="D1506" s="9">
        <f>PRODUCT(sales_data_sample[[#This Row],[QUANTITYORDERED]],sales_data_sample[[#This Row],[PRICEEACH]])</f>
        <v>13524</v>
      </c>
      <c r="E1506" s="9">
        <f>IF(OR(sales_data_sample[[#This Row],[STATUS]]="Shipped",sales_data_sample[[#This Row],[STATUS]]="Resolved"),sales_data_sample[[#This Row],[SALES]],0)</f>
        <v>13524</v>
      </c>
      <c r="F1506" s="10">
        <v>1</v>
      </c>
      <c r="G1506" s="12" t="s">
        <v>631</v>
      </c>
      <c r="H1506" s="1" t="s">
        <v>26</v>
      </c>
      <c r="I1506">
        <v>3</v>
      </c>
      <c r="J1506">
        <v>7</v>
      </c>
      <c r="K1506">
        <v>2004</v>
      </c>
      <c r="L1506" s="1" t="s">
        <v>239</v>
      </c>
      <c r="M1506">
        <v>50</v>
      </c>
      <c r="N1506" s="1" t="s">
        <v>953</v>
      </c>
      <c r="O1506" s="1" t="s">
        <v>632</v>
      </c>
      <c r="P1506" s="1" t="s">
        <v>633</v>
      </c>
      <c r="Q1506" s="1" t="s">
        <v>634</v>
      </c>
      <c r="R1506" s="1" t="s">
        <v>32</v>
      </c>
      <c r="S1506" s="1" t="s">
        <v>635</v>
      </c>
      <c r="T1506" s="1" t="s">
        <v>32</v>
      </c>
      <c r="U1506" s="1" t="s">
        <v>636</v>
      </c>
      <c r="V1506" s="1" t="s">
        <v>343</v>
      </c>
      <c r="W1506" s="1" t="s">
        <v>48</v>
      </c>
      <c r="X1506" s="1" t="s">
        <v>637</v>
      </c>
      <c r="Y1506" s="1" t="s">
        <v>638</v>
      </c>
      <c r="Z1506" s="1" t="str">
        <f>TRIM(_xlfn.CONCAT(sales_data_sample[[#This Row],[CONTACTFIRSTNAME]],", ",sales_data_sample[[#This Row],[CONTACTLASTNAME]]))</f>
        <v>Maurizio, Moroni</v>
      </c>
      <c r="AA1506" s="1" t="s">
        <v>40</v>
      </c>
    </row>
    <row r="1507" spans="1:27" x14ac:dyDescent="0.25">
      <c r="A1507" s="10">
        <v>10278</v>
      </c>
      <c r="B1507" s="9">
        <v>35</v>
      </c>
      <c r="C1507" s="9">
        <v>4528</v>
      </c>
      <c r="D1507" s="9">
        <f>PRODUCT(sales_data_sample[[#This Row],[QUANTITYORDERED]],sales_data_sample[[#This Row],[PRICEEACH]])</f>
        <v>158480</v>
      </c>
      <c r="E1507" s="9">
        <f>IF(OR(sales_data_sample[[#This Row],[STATUS]]="Shipped",sales_data_sample[[#This Row],[STATUS]]="Resolved"),sales_data_sample[[#This Row],[SALES]],0)</f>
        <v>158480</v>
      </c>
      <c r="F1507" s="10">
        <v>1</v>
      </c>
      <c r="G1507" s="12" t="s">
        <v>778</v>
      </c>
      <c r="H1507" s="1" t="s">
        <v>26</v>
      </c>
      <c r="I1507">
        <v>3</v>
      </c>
      <c r="J1507">
        <v>8</v>
      </c>
      <c r="K1507">
        <v>2004</v>
      </c>
      <c r="L1507" s="1" t="s">
        <v>239</v>
      </c>
      <c r="M1507">
        <v>50</v>
      </c>
      <c r="N1507" s="1" t="s">
        <v>953</v>
      </c>
      <c r="O1507" s="1" t="s">
        <v>779</v>
      </c>
      <c r="P1507" s="1" t="s">
        <v>780</v>
      </c>
      <c r="Q1507" s="1" t="s">
        <v>781</v>
      </c>
      <c r="R1507" s="1" t="s">
        <v>32</v>
      </c>
      <c r="S1507" s="1" t="s">
        <v>782</v>
      </c>
      <c r="T1507" s="1" t="s">
        <v>783</v>
      </c>
      <c r="U1507" s="1" t="s">
        <v>784</v>
      </c>
      <c r="V1507" s="1" t="s">
        <v>36</v>
      </c>
      <c r="W1507" s="1" t="s">
        <v>37</v>
      </c>
      <c r="X1507" s="1" t="s">
        <v>146</v>
      </c>
      <c r="Y1507" s="1" t="s">
        <v>551</v>
      </c>
      <c r="Z1507" s="1" t="str">
        <f>TRIM(_xlfn.CONCAT(sales_data_sample[[#This Row],[CONTACTFIRSTNAME]],", ",sales_data_sample[[#This Row],[CONTACTLASTNAME]]))</f>
        <v>Sue, King</v>
      </c>
      <c r="AA1507" s="1" t="s">
        <v>40</v>
      </c>
    </row>
    <row r="1508" spans="1:27" x14ac:dyDescent="0.25">
      <c r="A1508">
        <v>10288</v>
      </c>
      <c r="B1508">
        <v>50</v>
      </c>
      <c r="C1508">
        <v>5232</v>
      </c>
      <c r="D1508">
        <f>PRODUCT(sales_data_sample[[#This Row],[QUANTITYORDERED]],sales_data_sample[[#This Row],[PRICEEACH]])</f>
        <v>261600</v>
      </c>
      <c r="E1508" s="9">
        <f>IF(OR(sales_data_sample[[#This Row],[STATUS]]="Shipped",sales_data_sample[[#This Row],[STATUS]]="Resolved"),sales_data_sample[[#This Row],[SALES]],0)</f>
        <v>261600</v>
      </c>
      <c r="F1508">
        <v>13</v>
      </c>
      <c r="G1508" s="12" t="s">
        <v>834</v>
      </c>
      <c r="H1508" s="1" t="s">
        <v>26</v>
      </c>
      <c r="I1508">
        <v>3</v>
      </c>
      <c r="J1508">
        <v>9</v>
      </c>
      <c r="K1508">
        <v>2004</v>
      </c>
      <c r="L1508" s="1" t="s">
        <v>239</v>
      </c>
      <c r="M1508">
        <v>50</v>
      </c>
      <c r="N1508" s="1" t="s">
        <v>953</v>
      </c>
      <c r="O1508" s="1" t="s">
        <v>577</v>
      </c>
      <c r="P1508" s="1" t="s">
        <v>578</v>
      </c>
      <c r="Q1508" s="1" t="s">
        <v>579</v>
      </c>
      <c r="R1508" s="1" t="s">
        <v>580</v>
      </c>
      <c r="S1508" s="1" t="s">
        <v>262</v>
      </c>
      <c r="T1508" s="1" t="s">
        <v>32</v>
      </c>
      <c r="U1508" s="1" t="s">
        <v>581</v>
      </c>
      <c r="V1508" s="1" t="s">
        <v>262</v>
      </c>
      <c r="W1508" s="1" t="s">
        <v>121</v>
      </c>
      <c r="X1508" s="1" t="s">
        <v>582</v>
      </c>
      <c r="Y1508" s="1" t="s">
        <v>583</v>
      </c>
      <c r="Z1508" s="1" t="str">
        <f>TRIM(_xlfn.CONCAT(sales_data_sample[[#This Row],[CONTACTFIRSTNAME]],", ",sales_data_sample[[#This Row],[CONTACTLASTNAME]]))</f>
        <v>Wendy, Victorino</v>
      </c>
      <c r="AA1508" s="1" t="s">
        <v>40</v>
      </c>
    </row>
    <row r="1509" spans="1:27" x14ac:dyDescent="0.25">
      <c r="A1509" s="10">
        <v>10301</v>
      </c>
      <c r="B1509" s="9">
        <v>22</v>
      </c>
      <c r="C1509" s="9">
        <v>5132</v>
      </c>
      <c r="D1509" s="9">
        <f>PRODUCT(sales_data_sample[[#This Row],[QUANTITYORDERED]],sales_data_sample[[#This Row],[PRICEEACH]])</f>
        <v>112904</v>
      </c>
      <c r="E1509" s="9">
        <f>IF(OR(sales_data_sample[[#This Row],[STATUS]]="Shipped",sales_data_sample[[#This Row],[STATUS]]="Resolved"),sales_data_sample[[#This Row],[SALES]],0)</f>
        <v>112904</v>
      </c>
      <c r="F1509" s="10">
        <v>3</v>
      </c>
      <c r="G1509" s="12" t="s">
        <v>785</v>
      </c>
      <c r="H1509" s="1" t="s">
        <v>26</v>
      </c>
      <c r="I1509">
        <v>4</v>
      </c>
      <c r="J1509">
        <v>10</v>
      </c>
      <c r="K1509">
        <v>2003</v>
      </c>
      <c r="L1509" s="1" t="s">
        <v>239</v>
      </c>
      <c r="M1509">
        <v>50</v>
      </c>
      <c r="N1509" s="1" t="s">
        <v>953</v>
      </c>
      <c r="O1509" s="1" t="s">
        <v>786</v>
      </c>
      <c r="P1509" s="1" t="s">
        <v>787</v>
      </c>
      <c r="Q1509" s="1" t="s">
        <v>788</v>
      </c>
      <c r="R1509" s="1" t="s">
        <v>32</v>
      </c>
      <c r="S1509" s="1" t="s">
        <v>789</v>
      </c>
      <c r="T1509" s="1" t="s">
        <v>32</v>
      </c>
      <c r="U1509" s="1" t="s">
        <v>790</v>
      </c>
      <c r="V1509" s="1" t="s">
        <v>97</v>
      </c>
      <c r="W1509" s="1" t="s">
        <v>48</v>
      </c>
      <c r="X1509" s="1" t="s">
        <v>791</v>
      </c>
      <c r="Y1509" s="1" t="s">
        <v>792</v>
      </c>
      <c r="Z1509" s="1" t="str">
        <f>TRIM(_xlfn.CONCAT(sales_data_sample[[#This Row],[CONTACTFIRSTNAME]],", ",sales_data_sample[[#This Row],[CONTACTLASTNAME]]))</f>
        <v>Jan, Klaeboe</v>
      </c>
      <c r="AA1509" s="1" t="s">
        <v>40</v>
      </c>
    </row>
    <row r="1510" spans="1:27" x14ac:dyDescent="0.25">
      <c r="A1510" s="10">
        <v>10311</v>
      </c>
      <c r="B1510" s="9">
        <v>45</v>
      </c>
      <c r="C1510" s="9">
        <v>493</v>
      </c>
      <c r="D1510" s="9">
        <f>PRODUCT(sales_data_sample[[#This Row],[QUANTITYORDERED]],sales_data_sample[[#This Row],[PRICEEACH]])</f>
        <v>22185</v>
      </c>
      <c r="E1510" s="9">
        <f>IF(OR(sales_data_sample[[#This Row],[STATUS]]="Shipped",sales_data_sample[[#This Row],[STATUS]]="Resolved"),sales_data_sample[[#This Row],[SALES]],0)</f>
        <v>22185</v>
      </c>
      <c r="F1510" s="10">
        <v>8</v>
      </c>
      <c r="G1510" s="12" t="s">
        <v>653</v>
      </c>
      <c r="H1510" s="1" t="s">
        <v>26</v>
      </c>
      <c r="I1510">
        <v>4</v>
      </c>
      <c r="J1510">
        <v>10</v>
      </c>
      <c r="K1510">
        <v>2004</v>
      </c>
      <c r="L1510" s="1" t="s">
        <v>239</v>
      </c>
      <c r="M1510">
        <v>50</v>
      </c>
      <c r="N1510" s="1" t="s">
        <v>953</v>
      </c>
      <c r="O1510" s="1" t="s">
        <v>230</v>
      </c>
      <c r="P1510" s="1" t="s">
        <v>231</v>
      </c>
      <c r="Q1510" s="1" t="s">
        <v>232</v>
      </c>
      <c r="R1510" s="1" t="s">
        <v>32</v>
      </c>
      <c r="S1510" s="1" t="s">
        <v>233</v>
      </c>
      <c r="T1510" s="1" t="s">
        <v>32</v>
      </c>
      <c r="U1510" s="1" t="s">
        <v>234</v>
      </c>
      <c r="V1510" s="1" t="s">
        <v>235</v>
      </c>
      <c r="W1510" s="1" t="s">
        <v>48</v>
      </c>
      <c r="X1510" s="1" t="s">
        <v>236</v>
      </c>
      <c r="Y1510" s="1" t="s">
        <v>237</v>
      </c>
      <c r="Z1510" s="1" t="str">
        <f>TRIM(_xlfn.CONCAT(sales_data_sample[[#This Row],[CONTACTFIRSTNAME]],", ",sales_data_sample[[#This Row],[CONTACTLASTNAME]]))</f>
        <v>Diego, Freyre</v>
      </c>
      <c r="AA1510" s="1" t="s">
        <v>40</v>
      </c>
    </row>
    <row r="1511" spans="1:27" x14ac:dyDescent="0.25">
      <c r="A1511" s="10">
        <v>10321</v>
      </c>
      <c r="B1511" s="9">
        <v>48</v>
      </c>
      <c r="C1511" s="9">
        <v>4226</v>
      </c>
      <c r="D1511" s="9">
        <f>PRODUCT(sales_data_sample[[#This Row],[QUANTITYORDERED]],sales_data_sample[[#This Row],[PRICEEACH]])</f>
        <v>202848</v>
      </c>
      <c r="E1511" s="9">
        <f>IF(OR(sales_data_sample[[#This Row],[STATUS]]="Shipped",sales_data_sample[[#This Row],[STATUS]]="Resolved"),sales_data_sample[[#This Row],[SALES]],0)</f>
        <v>202848</v>
      </c>
      <c r="F1511" s="10">
        <v>5</v>
      </c>
      <c r="G1511" s="12" t="s">
        <v>367</v>
      </c>
      <c r="H1511" s="1" t="s">
        <v>26</v>
      </c>
      <c r="I1511">
        <v>4</v>
      </c>
      <c r="J1511">
        <v>11</v>
      </c>
      <c r="K1511">
        <v>2004</v>
      </c>
      <c r="L1511" s="1" t="s">
        <v>239</v>
      </c>
      <c r="M1511">
        <v>50</v>
      </c>
      <c r="N1511" s="1" t="s">
        <v>953</v>
      </c>
      <c r="O1511" s="1" t="s">
        <v>212</v>
      </c>
      <c r="P1511" s="1" t="s">
        <v>213</v>
      </c>
      <c r="Q1511" s="1" t="s">
        <v>214</v>
      </c>
      <c r="R1511" s="1" t="s">
        <v>32</v>
      </c>
      <c r="S1511" s="1" t="s">
        <v>215</v>
      </c>
      <c r="T1511" s="1" t="s">
        <v>160</v>
      </c>
      <c r="U1511" s="1" t="s">
        <v>216</v>
      </c>
      <c r="V1511" s="1" t="s">
        <v>36</v>
      </c>
      <c r="W1511" s="1" t="s">
        <v>37</v>
      </c>
      <c r="X1511" s="1" t="s">
        <v>217</v>
      </c>
      <c r="Y1511" s="1" t="s">
        <v>218</v>
      </c>
      <c r="Z1511" s="1" t="str">
        <f>TRIM(_xlfn.CONCAT(sales_data_sample[[#This Row],[CONTACTFIRSTNAME]],", ",sales_data_sample[[#This Row],[CONTACTLASTNAME]]))</f>
        <v>Violeta, Benitez</v>
      </c>
      <c r="AA1511" s="1" t="s">
        <v>40</v>
      </c>
    </row>
    <row r="1512" spans="1:27" x14ac:dyDescent="0.25">
      <c r="A1512" s="10">
        <v>10332</v>
      </c>
      <c r="B1512" s="9">
        <v>20</v>
      </c>
      <c r="C1512" s="9">
        <v>8796</v>
      </c>
      <c r="D1512" s="9">
        <f>PRODUCT(sales_data_sample[[#This Row],[QUANTITYORDERED]],sales_data_sample[[#This Row],[PRICEEACH]])</f>
        <v>175920</v>
      </c>
      <c r="E1512" s="9">
        <f>IF(OR(sales_data_sample[[#This Row],[STATUS]]="Shipped",sales_data_sample[[#This Row],[STATUS]]="Resolved"),sales_data_sample[[#This Row],[SALES]],0)</f>
        <v>175920</v>
      </c>
      <c r="F1512" s="10">
        <v>5</v>
      </c>
      <c r="G1512" s="12" t="s">
        <v>793</v>
      </c>
      <c r="H1512" s="1" t="s">
        <v>26</v>
      </c>
      <c r="I1512">
        <v>4</v>
      </c>
      <c r="J1512">
        <v>11</v>
      </c>
      <c r="K1512">
        <v>2004</v>
      </c>
      <c r="L1512" s="1" t="s">
        <v>239</v>
      </c>
      <c r="M1512">
        <v>50</v>
      </c>
      <c r="N1512" s="1" t="s">
        <v>953</v>
      </c>
      <c r="O1512" s="1" t="s">
        <v>695</v>
      </c>
      <c r="P1512" s="1" t="s">
        <v>696</v>
      </c>
      <c r="Q1512" s="1" t="s">
        <v>697</v>
      </c>
      <c r="R1512" s="1" t="s">
        <v>32</v>
      </c>
      <c r="S1512" s="1" t="s">
        <v>698</v>
      </c>
      <c r="T1512" s="1" t="s">
        <v>32</v>
      </c>
      <c r="U1512" s="1" t="s">
        <v>699</v>
      </c>
      <c r="V1512" s="1" t="s">
        <v>225</v>
      </c>
      <c r="W1512" s="1" t="s">
        <v>48</v>
      </c>
      <c r="X1512" s="1" t="s">
        <v>700</v>
      </c>
      <c r="Y1512" s="1" t="s">
        <v>118</v>
      </c>
      <c r="Z1512" s="1" t="str">
        <f>TRIM(_xlfn.CONCAT(sales_data_sample[[#This Row],[CONTACTFIRSTNAME]],", ",sales_data_sample[[#This Row],[CONTACTLASTNAME]]))</f>
        <v>Victoria, Ashworth</v>
      </c>
      <c r="AA1512" s="1" t="s">
        <v>40</v>
      </c>
    </row>
    <row r="1513" spans="1:27" x14ac:dyDescent="0.25">
      <c r="A1513" s="10">
        <v>10343</v>
      </c>
      <c r="B1513" s="9">
        <v>27</v>
      </c>
      <c r="C1513" s="9">
        <v>3621</v>
      </c>
      <c r="D1513" s="9">
        <f>PRODUCT(sales_data_sample[[#This Row],[QUANTITYORDERED]],sales_data_sample[[#This Row],[PRICEEACH]])</f>
        <v>97767</v>
      </c>
      <c r="E1513" s="9">
        <f>IF(OR(sales_data_sample[[#This Row],[STATUS]]="Shipped",sales_data_sample[[#This Row],[STATUS]]="Resolved"),sales_data_sample[[#This Row],[SALES]],0)</f>
        <v>97767</v>
      </c>
      <c r="F1513" s="10">
        <v>6</v>
      </c>
      <c r="G1513" s="12" t="s">
        <v>190</v>
      </c>
      <c r="H1513" s="1" t="s">
        <v>26</v>
      </c>
      <c r="I1513">
        <v>4</v>
      </c>
      <c r="J1513">
        <v>11</v>
      </c>
      <c r="K1513">
        <v>2004</v>
      </c>
      <c r="L1513" s="1" t="s">
        <v>239</v>
      </c>
      <c r="M1513">
        <v>50</v>
      </c>
      <c r="N1513" s="1" t="s">
        <v>953</v>
      </c>
      <c r="O1513" s="1" t="s">
        <v>42</v>
      </c>
      <c r="P1513" s="1" t="s">
        <v>43</v>
      </c>
      <c r="Q1513" s="1" t="s">
        <v>44</v>
      </c>
      <c r="R1513" s="1" t="s">
        <v>32</v>
      </c>
      <c r="S1513" s="1" t="s">
        <v>45</v>
      </c>
      <c r="T1513" s="1" t="s">
        <v>32</v>
      </c>
      <c r="U1513" s="1" t="s">
        <v>46</v>
      </c>
      <c r="V1513" s="1" t="s">
        <v>47</v>
      </c>
      <c r="W1513" s="1" t="s">
        <v>48</v>
      </c>
      <c r="X1513" s="1" t="s">
        <v>49</v>
      </c>
      <c r="Y1513" s="1" t="s">
        <v>50</v>
      </c>
      <c r="Z1513" s="1" t="str">
        <f>TRIM(_xlfn.CONCAT(sales_data_sample[[#This Row],[CONTACTFIRSTNAME]],", ",sales_data_sample[[#This Row],[CONTACTLASTNAME]]))</f>
        <v>Paul, Henriot</v>
      </c>
      <c r="AA1513" s="1" t="s">
        <v>40</v>
      </c>
    </row>
    <row r="1514" spans="1:27" x14ac:dyDescent="0.25">
      <c r="A1514" s="10">
        <v>10367</v>
      </c>
      <c r="B1514" s="9">
        <v>38</v>
      </c>
      <c r="C1514" s="9">
        <v>385</v>
      </c>
      <c r="D1514" s="9">
        <f>PRODUCT(sales_data_sample[[#This Row],[QUANTITYORDERED]],sales_data_sample[[#This Row],[PRICEEACH]])</f>
        <v>14630</v>
      </c>
      <c r="E1514" s="9">
        <f>IF(OR(sales_data_sample[[#This Row],[STATUS]]="Shipped",sales_data_sample[[#This Row],[STATUS]]="Resolved"),sales_data_sample[[#This Row],[SALES]],0)</f>
        <v>14630</v>
      </c>
      <c r="F1514" s="10">
        <v>11</v>
      </c>
      <c r="G1514" s="12" t="s">
        <v>835</v>
      </c>
      <c r="H1514" s="1" t="s">
        <v>563</v>
      </c>
      <c r="I1514">
        <v>1</v>
      </c>
      <c r="J1514">
        <v>1</v>
      </c>
      <c r="K1514">
        <v>2005</v>
      </c>
      <c r="L1514" s="1" t="s">
        <v>239</v>
      </c>
      <c r="M1514">
        <v>50</v>
      </c>
      <c r="N1514" s="1" t="s">
        <v>953</v>
      </c>
      <c r="O1514" s="1" t="s">
        <v>61</v>
      </c>
      <c r="P1514" s="1" t="s">
        <v>62</v>
      </c>
      <c r="Q1514" s="1" t="s">
        <v>63</v>
      </c>
      <c r="R1514" s="1" t="s">
        <v>32</v>
      </c>
      <c r="S1514" s="1" t="s">
        <v>64</v>
      </c>
      <c r="T1514" s="1" t="s">
        <v>65</v>
      </c>
      <c r="U1514" s="1" t="s">
        <v>66</v>
      </c>
      <c r="V1514" s="1" t="s">
        <v>36</v>
      </c>
      <c r="W1514" s="1" t="s">
        <v>37</v>
      </c>
      <c r="X1514" s="1" t="s">
        <v>67</v>
      </c>
      <c r="Y1514" s="1" t="s">
        <v>68</v>
      </c>
      <c r="Z1514" s="1" t="str">
        <f>TRIM(_xlfn.CONCAT(sales_data_sample[[#This Row],[CONTACTFIRSTNAME]],", ",sales_data_sample[[#This Row],[CONTACTLASTNAME]]))</f>
        <v>Julie, Young</v>
      </c>
      <c r="AA1514" s="1" t="s">
        <v>40</v>
      </c>
    </row>
    <row r="1515" spans="1:27" x14ac:dyDescent="0.25">
      <c r="A1515" s="10">
        <v>10379</v>
      </c>
      <c r="B1515" s="9">
        <v>32</v>
      </c>
      <c r="C1515" s="9">
        <v>100</v>
      </c>
      <c r="D1515" s="9">
        <f>PRODUCT(sales_data_sample[[#This Row],[QUANTITYORDERED]],sales_data_sample[[#This Row],[PRICEEACH]])</f>
        <v>3200</v>
      </c>
      <c r="E1515" s="9">
        <f>IF(OR(sales_data_sample[[#This Row],[STATUS]]="Shipped",sales_data_sample[[#This Row],[STATUS]]="Resolved"),sales_data_sample[[#This Row],[SALES]],0)</f>
        <v>3200</v>
      </c>
      <c r="F1515" s="10">
        <v>3</v>
      </c>
      <c r="G1515" s="12" t="s">
        <v>836</v>
      </c>
      <c r="H1515" s="1" t="s">
        <v>26</v>
      </c>
      <c r="I1515">
        <v>1</v>
      </c>
      <c r="J1515">
        <v>2</v>
      </c>
      <c r="K1515">
        <v>2005</v>
      </c>
      <c r="L1515" s="1" t="s">
        <v>239</v>
      </c>
      <c r="M1515">
        <v>50</v>
      </c>
      <c r="N1515" s="1" t="s">
        <v>953</v>
      </c>
      <c r="O1515" s="1" t="s">
        <v>230</v>
      </c>
      <c r="P1515" s="1" t="s">
        <v>231</v>
      </c>
      <c r="Q1515" s="1" t="s">
        <v>232</v>
      </c>
      <c r="R1515" s="1" t="s">
        <v>32</v>
      </c>
      <c r="S1515" s="1" t="s">
        <v>233</v>
      </c>
      <c r="T1515" s="1" t="s">
        <v>32</v>
      </c>
      <c r="U1515" s="1" t="s">
        <v>234</v>
      </c>
      <c r="V1515" s="1" t="s">
        <v>235</v>
      </c>
      <c r="W1515" s="1" t="s">
        <v>48</v>
      </c>
      <c r="X1515" s="1" t="s">
        <v>236</v>
      </c>
      <c r="Y1515" s="1" t="s">
        <v>237</v>
      </c>
      <c r="Z1515" s="1" t="str">
        <f>TRIM(_xlfn.CONCAT(sales_data_sample[[#This Row],[CONTACTFIRSTNAME]],", ",sales_data_sample[[#This Row],[CONTACTLASTNAME]]))</f>
        <v>Diego, Freyre</v>
      </c>
      <c r="AA1515" s="1" t="s">
        <v>59</v>
      </c>
    </row>
    <row r="1516" spans="1:27" x14ac:dyDescent="0.25">
      <c r="A1516" s="10">
        <v>10407</v>
      </c>
      <c r="B1516" s="9">
        <v>64</v>
      </c>
      <c r="C1516" s="9">
        <v>4025</v>
      </c>
      <c r="D1516" s="9">
        <f>PRODUCT(sales_data_sample[[#This Row],[QUANTITYORDERED]],sales_data_sample[[#This Row],[PRICEEACH]])</f>
        <v>257600</v>
      </c>
      <c r="E1516" s="9">
        <f>IF(OR(sales_data_sample[[#This Row],[STATUS]]="Shipped",sales_data_sample[[#This Row],[STATUS]]="Resolved"),sales_data_sample[[#This Row],[SALES]],0)</f>
        <v>0</v>
      </c>
      <c r="F1516" s="10">
        <v>10</v>
      </c>
      <c r="G1516" s="12" t="s">
        <v>837</v>
      </c>
      <c r="H1516" s="1" t="s">
        <v>553</v>
      </c>
      <c r="I1516">
        <v>2</v>
      </c>
      <c r="J1516">
        <v>4</v>
      </c>
      <c r="K1516">
        <v>2005</v>
      </c>
      <c r="L1516" s="1" t="s">
        <v>239</v>
      </c>
      <c r="M1516">
        <v>50</v>
      </c>
      <c r="N1516" s="1" t="s">
        <v>953</v>
      </c>
      <c r="O1516" s="1" t="s">
        <v>547</v>
      </c>
      <c r="P1516" s="1" t="s">
        <v>548</v>
      </c>
      <c r="Q1516" s="1" t="s">
        <v>549</v>
      </c>
      <c r="R1516" s="1" t="s">
        <v>32</v>
      </c>
      <c r="S1516" s="1" t="s">
        <v>550</v>
      </c>
      <c r="T1516" s="1" t="s">
        <v>65</v>
      </c>
      <c r="U1516" s="1" t="s">
        <v>80</v>
      </c>
      <c r="V1516" s="1" t="s">
        <v>36</v>
      </c>
      <c r="W1516" s="1" t="s">
        <v>37</v>
      </c>
      <c r="X1516" s="1" t="s">
        <v>129</v>
      </c>
      <c r="Y1516" s="1" t="s">
        <v>551</v>
      </c>
      <c r="Z1516" s="1" t="str">
        <f>TRIM(_xlfn.CONCAT(sales_data_sample[[#This Row],[CONTACTFIRSTNAME]],", ",sales_data_sample[[#This Row],[CONTACTLASTNAME]]))</f>
        <v>Sue, Frick</v>
      </c>
      <c r="AA1516" s="1" t="s">
        <v>40</v>
      </c>
    </row>
    <row r="1517" spans="1:27" x14ac:dyDescent="0.25">
      <c r="A1517">
        <v>10420</v>
      </c>
      <c r="B1517">
        <v>37</v>
      </c>
      <c r="C1517">
        <v>6037</v>
      </c>
      <c r="D1517">
        <f>PRODUCT(sales_data_sample[[#This Row],[QUANTITYORDERED]],sales_data_sample[[#This Row],[PRICEEACH]])</f>
        <v>223369</v>
      </c>
      <c r="E1517" s="9">
        <f>IF(OR(sales_data_sample[[#This Row],[STATUS]]="Shipped",sales_data_sample[[#This Row],[STATUS]]="Resolved"),sales_data_sample[[#This Row],[SALES]],0)</f>
        <v>0</v>
      </c>
      <c r="F1517">
        <v>13</v>
      </c>
      <c r="G1517" s="12" t="s">
        <v>876</v>
      </c>
      <c r="H1517" s="1" t="s">
        <v>403</v>
      </c>
      <c r="I1517">
        <v>2</v>
      </c>
      <c r="J1517">
        <v>5</v>
      </c>
      <c r="K1517">
        <v>2005</v>
      </c>
      <c r="L1517" s="1" t="s">
        <v>239</v>
      </c>
      <c r="M1517">
        <v>50</v>
      </c>
      <c r="N1517" s="1" t="s">
        <v>953</v>
      </c>
      <c r="O1517" s="1" t="s">
        <v>201</v>
      </c>
      <c r="P1517" s="1" t="s">
        <v>202</v>
      </c>
      <c r="Q1517" s="1" t="s">
        <v>203</v>
      </c>
      <c r="R1517" s="1" t="s">
        <v>204</v>
      </c>
      <c r="S1517" s="1" t="s">
        <v>205</v>
      </c>
      <c r="T1517" s="1" t="s">
        <v>206</v>
      </c>
      <c r="U1517" s="1" t="s">
        <v>207</v>
      </c>
      <c r="V1517" s="1" t="s">
        <v>120</v>
      </c>
      <c r="W1517" s="1" t="s">
        <v>121</v>
      </c>
      <c r="X1517" s="1" t="s">
        <v>208</v>
      </c>
      <c r="Y1517" s="1" t="s">
        <v>209</v>
      </c>
      <c r="Z1517" s="1" t="str">
        <f>TRIM(_xlfn.CONCAT(sales_data_sample[[#This Row],[CONTACTFIRSTNAME]],", ",sales_data_sample[[#This Row],[CONTACTLASTNAME]]))</f>
        <v>Adrian, Huxley</v>
      </c>
      <c r="AA1517" s="1" t="s">
        <v>40</v>
      </c>
    </row>
    <row r="1518" spans="1:27" x14ac:dyDescent="0.25">
      <c r="A1518" s="10">
        <v>10106</v>
      </c>
      <c r="B1518" s="9">
        <v>28</v>
      </c>
      <c r="C1518" s="9">
        <v>8863</v>
      </c>
      <c r="D1518" s="9">
        <f>PRODUCT(sales_data_sample[[#This Row],[QUANTITYORDERED]],sales_data_sample[[#This Row],[PRICEEACH]])</f>
        <v>248164</v>
      </c>
      <c r="E1518" s="9">
        <f>IF(OR(sales_data_sample[[#This Row],[STATUS]]="Shipped",sales_data_sample[[#This Row],[STATUS]]="Resolved"),sales_data_sample[[#This Row],[SALES]],0)</f>
        <v>248164</v>
      </c>
      <c r="F1518" s="10">
        <v>4</v>
      </c>
      <c r="G1518" s="12" t="s">
        <v>838</v>
      </c>
      <c r="H1518" s="1" t="s">
        <v>26</v>
      </c>
      <c r="I1518">
        <v>1</v>
      </c>
      <c r="J1518">
        <v>2</v>
      </c>
      <c r="K1518">
        <v>2003</v>
      </c>
      <c r="L1518" s="1" t="s">
        <v>839</v>
      </c>
      <c r="M1518">
        <v>109</v>
      </c>
      <c r="N1518" s="1" t="s">
        <v>954</v>
      </c>
      <c r="O1518" s="1" t="s">
        <v>806</v>
      </c>
      <c r="P1518" s="1" t="s">
        <v>807</v>
      </c>
      <c r="Q1518" s="1" t="s">
        <v>808</v>
      </c>
      <c r="R1518" s="1" t="s">
        <v>32</v>
      </c>
      <c r="S1518" s="1" t="s">
        <v>809</v>
      </c>
      <c r="T1518" s="1" t="s">
        <v>32</v>
      </c>
      <c r="U1518" s="1" t="s">
        <v>810</v>
      </c>
      <c r="V1518" s="1" t="s">
        <v>343</v>
      </c>
      <c r="W1518" s="1" t="s">
        <v>48</v>
      </c>
      <c r="X1518" s="1" t="s">
        <v>811</v>
      </c>
      <c r="Y1518" s="1" t="s">
        <v>812</v>
      </c>
      <c r="Z1518" s="1" t="str">
        <f>TRIM(_xlfn.CONCAT(sales_data_sample[[#This Row],[CONTACTFIRSTNAME]],", ",sales_data_sample[[#This Row],[CONTACTLASTNAME]]))</f>
        <v>Giovanni, Rovelli</v>
      </c>
      <c r="AA1518" s="1" t="s">
        <v>40</v>
      </c>
    </row>
    <row r="1519" spans="1:27" x14ac:dyDescent="0.25">
      <c r="A1519">
        <v>10120</v>
      </c>
      <c r="B1519">
        <v>39</v>
      </c>
      <c r="C1519">
        <v>100</v>
      </c>
      <c r="D1519">
        <f>PRODUCT(sales_data_sample[[#This Row],[QUANTITYORDERED]],sales_data_sample[[#This Row],[PRICEEACH]])</f>
        <v>3900</v>
      </c>
      <c r="E1519" s="9">
        <f>IF(OR(sales_data_sample[[#This Row],[STATUS]]="Shipped",sales_data_sample[[#This Row],[STATUS]]="Resolved"),sales_data_sample[[#This Row],[SALES]],0)</f>
        <v>3900</v>
      </c>
      <c r="F1519">
        <v>10</v>
      </c>
      <c r="G1519" s="12" t="s">
        <v>405</v>
      </c>
      <c r="H1519" s="1" t="s">
        <v>26</v>
      </c>
      <c r="I1519">
        <v>2</v>
      </c>
      <c r="J1519">
        <v>4</v>
      </c>
      <c r="K1519">
        <v>2003</v>
      </c>
      <c r="L1519" s="1" t="s">
        <v>839</v>
      </c>
      <c r="M1519">
        <v>109</v>
      </c>
      <c r="N1519" s="1" t="s">
        <v>954</v>
      </c>
      <c r="O1519" s="1" t="s">
        <v>113</v>
      </c>
      <c r="P1519" s="1" t="s">
        <v>114</v>
      </c>
      <c r="Q1519" s="1" t="s">
        <v>115</v>
      </c>
      <c r="R1519" s="1" t="s">
        <v>116</v>
      </c>
      <c r="S1519" s="1" t="s">
        <v>117</v>
      </c>
      <c r="T1519" s="1" t="s">
        <v>118</v>
      </c>
      <c r="U1519" s="1" t="s">
        <v>119</v>
      </c>
      <c r="V1519" s="1" t="s">
        <v>120</v>
      </c>
      <c r="W1519" s="1" t="s">
        <v>121</v>
      </c>
      <c r="X1519" s="1" t="s">
        <v>122</v>
      </c>
      <c r="Y1519" s="1" t="s">
        <v>123</v>
      </c>
      <c r="Z1519" s="1" t="str">
        <f>TRIM(_xlfn.CONCAT(sales_data_sample[[#This Row],[CONTACTFIRSTNAME]],", ",sales_data_sample[[#This Row],[CONTACTLASTNAME]]))</f>
        <v>Peter, Ferguson</v>
      </c>
      <c r="AA1519" s="1" t="s">
        <v>59</v>
      </c>
    </row>
    <row r="1520" spans="1:27" x14ac:dyDescent="0.25">
      <c r="A1520" s="10">
        <v>10133</v>
      </c>
      <c r="B1520" s="9">
        <v>41</v>
      </c>
      <c r="C1520" s="9">
        <v>941</v>
      </c>
      <c r="D1520" s="9">
        <f>PRODUCT(sales_data_sample[[#This Row],[QUANTITYORDERED]],sales_data_sample[[#This Row],[PRICEEACH]])</f>
        <v>38581</v>
      </c>
      <c r="E1520" s="9">
        <f>IF(OR(sales_data_sample[[#This Row],[STATUS]]="Shipped",sales_data_sample[[#This Row],[STATUS]]="Resolved"),sales_data_sample[[#This Row],[SALES]],0)</f>
        <v>38581</v>
      </c>
      <c r="F1520" s="10">
        <v>5</v>
      </c>
      <c r="G1520" s="12" t="s">
        <v>891</v>
      </c>
      <c r="H1520" s="1" t="s">
        <v>26</v>
      </c>
      <c r="I1520">
        <v>2</v>
      </c>
      <c r="J1520">
        <v>6</v>
      </c>
      <c r="K1520">
        <v>2003</v>
      </c>
      <c r="L1520" s="1" t="s">
        <v>839</v>
      </c>
      <c r="M1520">
        <v>109</v>
      </c>
      <c r="N1520" s="1" t="s">
        <v>954</v>
      </c>
      <c r="O1520" s="1" t="s">
        <v>230</v>
      </c>
      <c r="P1520" s="1" t="s">
        <v>231</v>
      </c>
      <c r="Q1520" s="1" t="s">
        <v>232</v>
      </c>
      <c r="R1520" s="1" t="s">
        <v>32</v>
      </c>
      <c r="S1520" s="1" t="s">
        <v>233</v>
      </c>
      <c r="T1520" s="1" t="s">
        <v>32</v>
      </c>
      <c r="U1520" s="1" t="s">
        <v>234</v>
      </c>
      <c r="V1520" s="1" t="s">
        <v>235</v>
      </c>
      <c r="W1520" s="1" t="s">
        <v>48</v>
      </c>
      <c r="X1520" s="1" t="s">
        <v>236</v>
      </c>
      <c r="Y1520" s="1" t="s">
        <v>237</v>
      </c>
      <c r="Z1520" s="1" t="str">
        <f>TRIM(_xlfn.CONCAT(sales_data_sample[[#This Row],[CONTACTFIRSTNAME]],", ",sales_data_sample[[#This Row],[CONTACTLASTNAME]]))</f>
        <v>Diego, Freyre</v>
      </c>
      <c r="AA1520" s="1" t="s">
        <v>59</v>
      </c>
    </row>
    <row r="1521" spans="1:27" x14ac:dyDescent="0.25">
      <c r="A1521" s="10">
        <v>10145</v>
      </c>
      <c r="B1521" s="9">
        <v>40</v>
      </c>
      <c r="C1521" s="9">
        <v>8754</v>
      </c>
      <c r="D1521" s="9">
        <f>PRODUCT(sales_data_sample[[#This Row],[QUANTITYORDERED]],sales_data_sample[[#This Row],[PRICEEACH]])</f>
        <v>350160</v>
      </c>
      <c r="E1521" s="9">
        <f>IF(OR(sales_data_sample[[#This Row],[STATUS]]="Shipped",sales_data_sample[[#This Row],[STATUS]]="Resolved"),sales_data_sample[[#This Row],[SALES]],0)</f>
        <v>350160</v>
      </c>
      <c r="F1521" s="10">
        <v>16</v>
      </c>
      <c r="G1521" s="12" t="s">
        <v>60</v>
      </c>
      <c r="H1521" s="1" t="s">
        <v>26</v>
      </c>
      <c r="I1521">
        <v>3</v>
      </c>
      <c r="J1521">
        <v>8</v>
      </c>
      <c r="K1521">
        <v>2003</v>
      </c>
      <c r="L1521" s="1" t="s">
        <v>839</v>
      </c>
      <c r="M1521">
        <v>109</v>
      </c>
      <c r="N1521" s="1" t="s">
        <v>954</v>
      </c>
      <c r="O1521" s="1" t="s">
        <v>61</v>
      </c>
      <c r="P1521" s="1" t="s">
        <v>62</v>
      </c>
      <c r="Q1521" s="1" t="s">
        <v>63</v>
      </c>
      <c r="R1521" s="1" t="s">
        <v>32</v>
      </c>
      <c r="S1521" s="1" t="s">
        <v>64</v>
      </c>
      <c r="T1521" s="1" t="s">
        <v>65</v>
      </c>
      <c r="U1521" s="1" t="s">
        <v>66</v>
      </c>
      <c r="V1521" s="1" t="s">
        <v>36</v>
      </c>
      <c r="W1521" s="1" t="s">
        <v>37</v>
      </c>
      <c r="X1521" s="1" t="s">
        <v>67</v>
      </c>
      <c r="Y1521" s="1" t="s">
        <v>68</v>
      </c>
      <c r="Z1521" s="1" t="str">
        <f>TRIM(_xlfn.CONCAT(sales_data_sample[[#This Row],[CONTACTFIRSTNAME]],", ",sales_data_sample[[#This Row],[CONTACTLASTNAME]]))</f>
        <v>Julie, Young</v>
      </c>
      <c r="AA1521" s="1" t="s">
        <v>59</v>
      </c>
    </row>
    <row r="1522" spans="1:27" x14ac:dyDescent="0.25">
      <c r="A1522" s="10">
        <v>10168</v>
      </c>
      <c r="B1522" s="9">
        <v>49</v>
      </c>
      <c r="C1522" s="9">
        <v>100</v>
      </c>
      <c r="D1522" s="9">
        <f>PRODUCT(sales_data_sample[[#This Row],[QUANTITYORDERED]],sales_data_sample[[#This Row],[PRICEEACH]])</f>
        <v>4900</v>
      </c>
      <c r="E1522" s="9">
        <f>IF(OR(sales_data_sample[[#This Row],[STATUS]]="Shipped",sales_data_sample[[#This Row],[STATUS]]="Resolved"),sales_data_sample[[#This Row],[SALES]],0)</f>
        <v>4900</v>
      </c>
      <c r="F1522" s="10">
        <v>11</v>
      </c>
      <c r="G1522" s="12" t="s">
        <v>75</v>
      </c>
      <c r="H1522" s="1" t="s">
        <v>26</v>
      </c>
      <c r="I1522">
        <v>4</v>
      </c>
      <c r="J1522">
        <v>10</v>
      </c>
      <c r="K1522">
        <v>2003</v>
      </c>
      <c r="L1522" s="1" t="s">
        <v>839</v>
      </c>
      <c r="M1522">
        <v>109</v>
      </c>
      <c r="N1522" s="1" t="s">
        <v>954</v>
      </c>
      <c r="O1522" s="1" t="s">
        <v>76</v>
      </c>
      <c r="P1522" s="1" t="s">
        <v>77</v>
      </c>
      <c r="Q1522" s="1" t="s">
        <v>78</v>
      </c>
      <c r="R1522" s="1" t="s">
        <v>32</v>
      </c>
      <c r="S1522" s="1" t="s">
        <v>79</v>
      </c>
      <c r="T1522" s="1" t="s">
        <v>65</v>
      </c>
      <c r="U1522" s="1" t="s">
        <v>80</v>
      </c>
      <c r="V1522" s="1" t="s">
        <v>36</v>
      </c>
      <c r="W1522" s="1" t="s">
        <v>37</v>
      </c>
      <c r="X1522" s="1" t="s">
        <v>81</v>
      </c>
      <c r="Y1522" s="1" t="s">
        <v>82</v>
      </c>
      <c r="Z1522" s="1" t="str">
        <f>TRIM(_xlfn.CONCAT(sales_data_sample[[#This Row],[CONTACTFIRSTNAME]],", ",sales_data_sample[[#This Row],[CONTACTLASTNAME]]))</f>
        <v>Juri, Hirano</v>
      </c>
      <c r="AA1522" s="1" t="s">
        <v>59</v>
      </c>
    </row>
    <row r="1523" spans="1:27" x14ac:dyDescent="0.25">
      <c r="A1523" s="10">
        <v>10210</v>
      </c>
      <c r="B1523" s="9">
        <v>27</v>
      </c>
      <c r="C1523" s="9">
        <v>9848</v>
      </c>
      <c r="D1523" s="9">
        <f>PRODUCT(sales_data_sample[[#This Row],[QUANTITYORDERED]],sales_data_sample[[#This Row],[PRICEEACH]])</f>
        <v>265896</v>
      </c>
      <c r="E1523" s="9">
        <f>IF(OR(sales_data_sample[[#This Row],[STATUS]]="Shipped",sales_data_sample[[#This Row],[STATUS]]="Resolved"),sales_data_sample[[#This Row],[SALES]],0)</f>
        <v>265896</v>
      </c>
      <c r="F1523" s="10">
        <v>9</v>
      </c>
      <c r="G1523" s="12" t="s">
        <v>406</v>
      </c>
      <c r="H1523" s="1" t="s">
        <v>26</v>
      </c>
      <c r="I1523">
        <v>1</v>
      </c>
      <c r="J1523">
        <v>1</v>
      </c>
      <c r="K1523">
        <v>2004</v>
      </c>
      <c r="L1523" s="1" t="s">
        <v>839</v>
      </c>
      <c r="M1523">
        <v>109</v>
      </c>
      <c r="N1523" s="1" t="s">
        <v>954</v>
      </c>
      <c r="O1523" s="1" t="s">
        <v>407</v>
      </c>
      <c r="P1523" s="1" t="s">
        <v>408</v>
      </c>
      <c r="Q1523" s="1" t="s">
        <v>409</v>
      </c>
      <c r="R1523" s="1" t="s">
        <v>32</v>
      </c>
      <c r="S1523" s="1" t="s">
        <v>410</v>
      </c>
      <c r="T1523" s="1" t="s">
        <v>410</v>
      </c>
      <c r="U1523" s="1" t="s">
        <v>411</v>
      </c>
      <c r="V1523" s="1" t="s">
        <v>264</v>
      </c>
      <c r="W1523" s="1" t="s">
        <v>264</v>
      </c>
      <c r="X1523" s="1" t="s">
        <v>412</v>
      </c>
      <c r="Y1523" s="1" t="s">
        <v>413</v>
      </c>
      <c r="Z1523" s="1" t="str">
        <f>TRIM(_xlfn.CONCAT(sales_data_sample[[#This Row],[CONTACTFIRSTNAME]],", ",sales_data_sample[[#This Row],[CONTACTLASTNAME]]))</f>
        <v>Mory, Kentary</v>
      </c>
      <c r="AA1523" s="1" t="s">
        <v>40</v>
      </c>
    </row>
    <row r="1524" spans="1:27" x14ac:dyDescent="0.25">
      <c r="A1524">
        <v>10223</v>
      </c>
      <c r="B1524">
        <v>34</v>
      </c>
      <c r="C1524">
        <v>100</v>
      </c>
      <c r="D1524">
        <f>PRODUCT(sales_data_sample[[#This Row],[QUANTITYORDERED]],sales_data_sample[[#This Row],[PRICEEACH]])</f>
        <v>3400</v>
      </c>
      <c r="E1524" s="9">
        <f>IF(OR(sales_data_sample[[#This Row],[STATUS]]="Shipped",sales_data_sample[[#This Row],[STATUS]]="Resolved"),sales_data_sample[[#This Row],[SALES]],0)</f>
        <v>3400</v>
      </c>
      <c r="F1524">
        <v>11</v>
      </c>
      <c r="G1524" s="12" t="s">
        <v>112</v>
      </c>
      <c r="H1524" s="1" t="s">
        <v>26</v>
      </c>
      <c r="I1524">
        <v>1</v>
      </c>
      <c r="J1524">
        <v>2</v>
      </c>
      <c r="K1524">
        <v>2004</v>
      </c>
      <c r="L1524" s="1" t="s">
        <v>839</v>
      </c>
      <c r="M1524">
        <v>109</v>
      </c>
      <c r="N1524" s="1" t="s">
        <v>954</v>
      </c>
      <c r="O1524" s="1" t="s">
        <v>113</v>
      </c>
      <c r="P1524" s="1" t="s">
        <v>114</v>
      </c>
      <c r="Q1524" s="1" t="s">
        <v>115</v>
      </c>
      <c r="R1524" s="1" t="s">
        <v>116</v>
      </c>
      <c r="S1524" s="1" t="s">
        <v>117</v>
      </c>
      <c r="T1524" s="1" t="s">
        <v>118</v>
      </c>
      <c r="U1524" s="1" t="s">
        <v>119</v>
      </c>
      <c r="V1524" s="1" t="s">
        <v>120</v>
      </c>
      <c r="W1524" s="1" t="s">
        <v>121</v>
      </c>
      <c r="X1524" s="1" t="s">
        <v>122</v>
      </c>
      <c r="Y1524" s="1" t="s">
        <v>123</v>
      </c>
      <c r="Z1524" s="1" t="str">
        <f>TRIM(_xlfn.CONCAT(sales_data_sample[[#This Row],[CONTACTFIRSTNAME]],", ",sales_data_sample[[#This Row],[CONTACTLASTNAME]]))</f>
        <v>Peter, Ferguson</v>
      </c>
      <c r="AA1524" s="1" t="s">
        <v>59</v>
      </c>
    </row>
    <row r="1525" spans="1:27" x14ac:dyDescent="0.25">
      <c r="A1525" s="10">
        <v>10235</v>
      </c>
      <c r="B1525" s="9">
        <v>23</v>
      </c>
      <c r="C1525" s="9">
        <v>9629</v>
      </c>
      <c r="D1525" s="9">
        <f>PRODUCT(sales_data_sample[[#This Row],[QUANTITYORDERED]],sales_data_sample[[#This Row],[PRICEEACH]])</f>
        <v>221467</v>
      </c>
      <c r="E1525" s="9">
        <f>IF(OR(sales_data_sample[[#This Row],[STATUS]]="Shipped",sales_data_sample[[#This Row],[STATUS]]="Resolved"),sales_data_sample[[#This Row],[SALES]],0)</f>
        <v>221467</v>
      </c>
      <c r="F1525" s="10">
        <v>5</v>
      </c>
      <c r="G1525" s="12" t="s">
        <v>892</v>
      </c>
      <c r="H1525" s="1" t="s">
        <v>26</v>
      </c>
      <c r="I1525">
        <v>2</v>
      </c>
      <c r="J1525">
        <v>4</v>
      </c>
      <c r="K1525">
        <v>2004</v>
      </c>
      <c r="L1525" s="1" t="s">
        <v>839</v>
      </c>
      <c r="M1525">
        <v>109</v>
      </c>
      <c r="N1525" s="1" t="s">
        <v>954</v>
      </c>
      <c r="O1525" s="1" t="s">
        <v>509</v>
      </c>
      <c r="P1525" s="1" t="s">
        <v>510</v>
      </c>
      <c r="Q1525" s="1" t="s">
        <v>511</v>
      </c>
      <c r="R1525" s="1" t="s">
        <v>32</v>
      </c>
      <c r="S1525" s="1" t="s">
        <v>512</v>
      </c>
      <c r="T1525" s="1" t="s">
        <v>303</v>
      </c>
      <c r="U1525" s="1" t="s">
        <v>513</v>
      </c>
      <c r="V1525" s="1" t="s">
        <v>305</v>
      </c>
      <c r="W1525" s="1" t="s">
        <v>37</v>
      </c>
      <c r="X1525" s="1" t="s">
        <v>514</v>
      </c>
      <c r="Y1525" s="1" t="s">
        <v>227</v>
      </c>
      <c r="Z1525" s="1" t="str">
        <f>TRIM(_xlfn.CONCAT(sales_data_sample[[#This Row],[CONTACTFIRSTNAME]],", ",sales_data_sample[[#This Row],[CONTACTLASTNAME]]))</f>
        <v>Elizabeth, Lincoln</v>
      </c>
      <c r="AA1525" s="1" t="s">
        <v>40</v>
      </c>
    </row>
    <row r="1526" spans="1:27" x14ac:dyDescent="0.25">
      <c r="A1526" s="10">
        <v>10250</v>
      </c>
      <c r="B1526" s="9">
        <v>31</v>
      </c>
      <c r="C1526" s="9">
        <v>8863</v>
      </c>
      <c r="D1526" s="9">
        <f>PRODUCT(sales_data_sample[[#This Row],[QUANTITYORDERED]],sales_data_sample[[#This Row],[PRICEEACH]])</f>
        <v>274753</v>
      </c>
      <c r="E1526" s="9">
        <f>IF(OR(sales_data_sample[[#This Row],[STATUS]]="Shipped",sales_data_sample[[#This Row],[STATUS]]="Resolved"),sales_data_sample[[#This Row],[SALES]],0)</f>
        <v>274753</v>
      </c>
      <c r="F1526" s="10">
        <v>6</v>
      </c>
      <c r="G1526" s="12" t="s">
        <v>849</v>
      </c>
      <c r="H1526" s="1" t="s">
        <v>26</v>
      </c>
      <c r="I1526">
        <v>2</v>
      </c>
      <c r="J1526">
        <v>5</v>
      </c>
      <c r="K1526">
        <v>2004</v>
      </c>
      <c r="L1526" s="1" t="s">
        <v>839</v>
      </c>
      <c r="M1526">
        <v>109</v>
      </c>
      <c r="N1526" s="1" t="s">
        <v>954</v>
      </c>
      <c r="O1526" s="1" t="s">
        <v>547</v>
      </c>
      <c r="P1526" s="1" t="s">
        <v>548</v>
      </c>
      <c r="Q1526" s="1" t="s">
        <v>549</v>
      </c>
      <c r="R1526" s="1" t="s">
        <v>32</v>
      </c>
      <c r="S1526" s="1" t="s">
        <v>550</v>
      </c>
      <c r="T1526" s="1" t="s">
        <v>65</v>
      </c>
      <c r="U1526" s="1" t="s">
        <v>80</v>
      </c>
      <c r="V1526" s="1" t="s">
        <v>36</v>
      </c>
      <c r="W1526" s="1" t="s">
        <v>37</v>
      </c>
      <c r="X1526" s="1" t="s">
        <v>129</v>
      </c>
      <c r="Y1526" s="1" t="s">
        <v>551</v>
      </c>
      <c r="Z1526" s="1" t="str">
        <f>TRIM(_xlfn.CONCAT(sales_data_sample[[#This Row],[CONTACTFIRSTNAME]],", ",sales_data_sample[[#This Row],[CONTACTLASTNAME]]))</f>
        <v>Sue, Frick</v>
      </c>
      <c r="AA1526" s="1" t="s">
        <v>40</v>
      </c>
    </row>
    <row r="1527" spans="1:27" x14ac:dyDescent="0.25">
      <c r="A1527" s="10">
        <v>10262</v>
      </c>
      <c r="B1527" s="9">
        <v>34</v>
      </c>
      <c r="C1527" s="9">
        <v>9738</v>
      </c>
      <c r="D1527" s="9">
        <f>PRODUCT(sales_data_sample[[#This Row],[QUANTITYORDERED]],sales_data_sample[[#This Row],[PRICEEACH]])</f>
        <v>331092</v>
      </c>
      <c r="E1527" s="9">
        <f>IF(OR(sales_data_sample[[#This Row],[STATUS]]="Shipped",sales_data_sample[[#This Row],[STATUS]]="Resolved"),sales_data_sample[[#This Row],[SALES]],0)</f>
        <v>0</v>
      </c>
      <c r="F1527" s="10">
        <v>1</v>
      </c>
      <c r="G1527" s="12" t="s">
        <v>850</v>
      </c>
      <c r="H1527" s="1" t="s">
        <v>461</v>
      </c>
      <c r="I1527">
        <v>2</v>
      </c>
      <c r="J1527">
        <v>6</v>
      </c>
      <c r="K1527">
        <v>2004</v>
      </c>
      <c r="L1527" s="1" t="s">
        <v>839</v>
      </c>
      <c r="M1527">
        <v>109</v>
      </c>
      <c r="N1527" s="1" t="s">
        <v>954</v>
      </c>
      <c r="O1527" s="1" t="s">
        <v>230</v>
      </c>
      <c r="P1527" s="1" t="s">
        <v>231</v>
      </c>
      <c r="Q1527" s="1" t="s">
        <v>232</v>
      </c>
      <c r="R1527" s="1" t="s">
        <v>32</v>
      </c>
      <c r="S1527" s="1" t="s">
        <v>233</v>
      </c>
      <c r="T1527" s="1" t="s">
        <v>32</v>
      </c>
      <c r="U1527" s="1" t="s">
        <v>234</v>
      </c>
      <c r="V1527" s="1" t="s">
        <v>235</v>
      </c>
      <c r="W1527" s="1" t="s">
        <v>48</v>
      </c>
      <c r="X1527" s="1" t="s">
        <v>236</v>
      </c>
      <c r="Y1527" s="1" t="s">
        <v>237</v>
      </c>
      <c r="Z1527" s="1" t="str">
        <f>TRIM(_xlfn.CONCAT(sales_data_sample[[#This Row],[CONTACTFIRSTNAME]],", ",sales_data_sample[[#This Row],[CONTACTLASTNAME]]))</f>
        <v>Diego, Freyre</v>
      </c>
      <c r="AA1527" s="1" t="s">
        <v>59</v>
      </c>
    </row>
    <row r="1528" spans="1:27" x14ac:dyDescent="0.25">
      <c r="A1528" s="10">
        <v>10275</v>
      </c>
      <c r="B1528" s="9">
        <v>25</v>
      </c>
      <c r="C1528" s="9">
        <v>952</v>
      </c>
      <c r="D1528" s="9">
        <f>PRODUCT(sales_data_sample[[#This Row],[QUANTITYORDERED]],sales_data_sample[[#This Row],[PRICEEACH]])</f>
        <v>23800</v>
      </c>
      <c r="E1528" s="9">
        <f>IF(OR(sales_data_sample[[#This Row],[STATUS]]="Shipped",sales_data_sample[[#This Row],[STATUS]]="Resolved"),sales_data_sample[[#This Row],[SALES]],0)</f>
        <v>23800</v>
      </c>
      <c r="F1528" s="10">
        <v>11</v>
      </c>
      <c r="G1528" s="12" t="s">
        <v>147</v>
      </c>
      <c r="H1528" s="1" t="s">
        <v>26</v>
      </c>
      <c r="I1528">
        <v>3</v>
      </c>
      <c r="J1528">
        <v>7</v>
      </c>
      <c r="K1528">
        <v>2004</v>
      </c>
      <c r="L1528" s="1" t="s">
        <v>839</v>
      </c>
      <c r="M1528">
        <v>109</v>
      </c>
      <c r="N1528" s="1" t="s">
        <v>954</v>
      </c>
      <c r="O1528" s="1" t="s">
        <v>148</v>
      </c>
      <c r="P1528" s="1" t="s">
        <v>149</v>
      </c>
      <c r="Q1528" s="1" t="s">
        <v>150</v>
      </c>
      <c r="R1528" s="1" t="s">
        <v>32</v>
      </c>
      <c r="S1528" s="1" t="s">
        <v>151</v>
      </c>
      <c r="T1528" s="1" t="s">
        <v>32</v>
      </c>
      <c r="U1528" s="1" t="s">
        <v>152</v>
      </c>
      <c r="V1528" s="1" t="s">
        <v>47</v>
      </c>
      <c r="W1528" s="1" t="s">
        <v>48</v>
      </c>
      <c r="X1528" s="1" t="s">
        <v>153</v>
      </c>
      <c r="Y1528" s="1" t="s">
        <v>154</v>
      </c>
      <c r="Z1528" s="1" t="str">
        <f>TRIM(_xlfn.CONCAT(sales_data_sample[[#This Row],[CONTACTFIRSTNAME]],", ",sales_data_sample[[#This Row],[CONTACTLASTNAME]]))</f>
        <v>Janine, Labrune</v>
      </c>
      <c r="AA1528" s="1" t="s">
        <v>40</v>
      </c>
    </row>
    <row r="1529" spans="1:27" x14ac:dyDescent="0.25">
      <c r="A1529" s="10">
        <v>10284</v>
      </c>
      <c r="B1529" s="9">
        <v>22</v>
      </c>
      <c r="C1529" s="9">
        <v>100</v>
      </c>
      <c r="D1529" s="9">
        <f>PRODUCT(sales_data_sample[[#This Row],[QUANTITYORDERED]],sales_data_sample[[#This Row],[PRICEEACH]])</f>
        <v>2200</v>
      </c>
      <c r="E1529" s="9">
        <f>IF(OR(sales_data_sample[[#This Row],[STATUS]]="Shipped",sales_data_sample[[#This Row],[STATUS]]="Resolved"),sales_data_sample[[#This Row],[SALES]],0)</f>
        <v>2200</v>
      </c>
      <c r="F1529" s="10">
        <v>3</v>
      </c>
      <c r="G1529" s="12" t="s">
        <v>851</v>
      </c>
      <c r="H1529" s="1" t="s">
        <v>26</v>
      </c>
      <c r="I1529">
        <v>3</v>
      </c>
      <c r="J1529">
        <v>8</v>
      </c>
      <c r="K1529">
        <v>2004</v>
      </c>
      <c r="L1529" s="1" t="s">
        <v>839</v>
      </c>
      <c r="M1529">
        <v>109</v>
      </c>
      <c r="N1529" s="1" t="s">
        <v>954</v>
      </c>
      <c r="O1529" s="1" t="s">
        <v>786</v>
      </c>
      <c r="P1529" s="1" t="s">
        <v>787</v>
      </c>
      <c r="Q1529" s="1" t="s">
        <v>788</v>
      </c>
      <c r="R1529" s="1" t="s">
        <v>32</v>
      </c>
      <c r="S1529" s="1" t="s">
        <v>789</v>
      </c>
      <c r="T1529" s="1" t="s">
        <v>32</v>
      </c>
      <c r="U1529" s="1" t="s">
        <v>790</v>
      </c>
      <c r="V1529" s="1" t="s">
        <v>97</v>
      </c>
      <c r="W1529" s="1" t="s">
        <v>48</v>
      </c>
      <c r="X1529" s="1" t="s">
        <v>791</v>
      </c>
      <c r="Y1529" s="1" t="s">
        <v>792</v>
      </c>
      <c r="Z1529" s="1" t="str">
        <f>TRIM(_xlfn.CONCAT(sales_data_sample[[#This Row],[CONTACTFIRSTNAME]],", ",sales_data_sample[[#This Row],[CONTACTLASTNAME]]))</f>
        <v>Jan, Klaeboe</v>
      </c>
      <c r="AA1529" s="1" t="s">
        <v>40</v>
      </c>
    </row>
    <row r="1530" spans="1:27" x14ac:dyDescent="0.25">
      <c r="A1530">
        <v>10297</v>
      </c>
      <c r="B1530">
        <v>32</v>
      </c>
      <c r="C1530">
        <v>100</v>
      </c>
      <c r="D1530">
        <f>PRODUCT(sales_data_sample[[#This Row],[QUANTITYORDERED]],sales_data_sample[[#This Row],[PRICEEACH]])</f>
        <v>3200</v>
      </c>
      <c r="E1530" s="9">
        <f>IF(OR(sales_data_sample[[#This Row],[STATUS]]="Shipped",sales_data_sample[[#This Row],[STATUS]]="Resolved"),sales_data_sample[[#This Row],[SALES]],0)</f>
        <v>3200</v>
      </c>
      <c r="F1530">
        <v>6</v>
      </c>
      <c r="G1530" s="12" t="s">
        <v>893</v>
      </c>
      <c r="H1530" s="1" t="s">
        <v>26</v>
      </c>
      <c r="I1530">
        <v>3</v>
      </c>
      <c r="J1530">
        <v>9</v>
      </c>
      <c r="K1530">
        <v>2004</v>
      </c>
      <c r="L1530" s="1" t="s">
        <v>839</v>
      </c>
      <c r="M1530">
        <v>109</v>
      </c>
      <c r="N1530" s="1" t="s">
        <v>954</v>
      </c>
      <c r="O1530" s="1" t="s">
        <v>677</v>
      </c>
      <c r="P1530" s="1" t="s">
        <v>678</v>
      </c>
      <c r="Q1530" s="1" t="s">
        <v>679</v>
      </c>
      <c r="R1530" s="1" t="s">
        <v>680</v>
      </c>
      <c r="S1530" s="1" t="s">
        <v>681</v>
      </c>
      <c r="T1530" s="1" t="s">
        <v>32</v>
      </c>
      <c r="U1530" s="1" t="s">
        <v>682</v>
      </c>
      <c r="V1530" s="1" t="s">
        <v>683</v>
      </c>
      <c r="W1530" s="1" t="s">
        <v>48</v>
      </c>
      <c r="X1530" s="1" t="s">
        <v>684</v>
      </c>
      <c r="Y1530" s="1" t="s">
        <v>685</v>
      </c>
      <c r="Z1530" s="1" t="str">
        <f>TRIM(_xlfn.CONCAT(sales_data_sample[[#This Row],[CONTACTFIRSTNAME]],", ",sales_data_sample[[#This Row],[CONTACTLASTNAME]]))</f>
        <v>Dean, Cassidy</v>
      </c>
      <c r="AA1530" s="1" t="s">
        <v>59</v>
      </c>
    </row>
    <row r="1531" spans="1:27" x14ac:dyDescent="0.25">
      <c r="A1531" s="10">
        <v>10308</v>
      </c>
      <c r="B1531" s="9">
        <v>31</v>
      </c>
      <c r="C1531" s="9">
        <v>100</v>
      </c>
      <c r="D1531" s="9">
        <f>PRODUCT(sales_data_sample[[#This Row],[QUANTITYORDERED]],sales_data_sample[[#This Row],[PRICEEACH]])</f>
        <v>3100</v>
      </c>
      <c r="E1531" s="9">
        <f>IF(OR(sales_data_sample[[#This Row],[STATUS]]="Shipped",sales_data_sample[[#This Row],[STATUS]]="Resolved"),sales_data_sample[[#This Row],[SALES]],0)</f>
        <v>3100</v>
      </c>
      <c r="F1531" s="10">
        <v>9</v>
      </c>
      <c r="G1531" s="12" t="s">
        <v>173</v>
      </c>
      <c r="H1531" s="1" t="s">
        <v>26</v>
      </c>
      <c r="I1531">
        <v>4</v>
      </c>
      <c r="J1531">
        <v>10</v>
      </c>
      <c r="K1531">
        <v>2004</v>
      </c>
      <c r="L1531" s="1" t="s">
        <v>839</v>
      </c>
      <c r="M1531">
        <v>109</v>
      </c>
      <c r="N1531" s="1" t="s">
        <v>954</v>
      </c>
      <c r="O1531" s="1" t="s">
        <v>425</v>
      </c>
      <c r="P1531" s="1" t="s">
        <v>426</v>
      </c>
      <c r="Q1531" s="1" t="s">
        <v>427</v>
      </c>
      <c r="R1531" s="1" t="s">
        <v>32</v>
      </c>
      <c r="S1531" s="1" t="s">
        <v>428</v>
      </c>
      <c r="T1531" s="1" t="s">
        <v>34</v>
      </c>
      <c r="U1531" s="1" t="s">
        <v>429</v>
      </c>
      <c r="V1531" s="1" t="s">
        <v>36</v>
      </c>
      <c r="W1531" s="1" t="s">
        <v>37</v>
      </c>
      <c r="X1531" s="1" t="s">
        <v>129</v>
      </c>
      <c r="Y1531" s="1" t="s">
        <v>314</v>
      </c>
      <c r="Z1531" s="1" t="str">
        <f>TRIM(_xlfn.CONCAT(sales_data_sample[[#This Row],[CONTACTFIRSTNAME]],", ",sales_data_sample[[#This Row],[CONTACTLASTNAME]]))</f>
        <v>Steve, Frick</v>
      </c>
      <c r="AA1531" s="1" t="s">
        <v>59</v>
      </c>
    </row>
    <row r="1532" spans="1:27" x14ac:dyDescent="0.25">
      <c r="A1532" s="10">
        <v>10316</v>
      </c>
      <c r="B1532" s="9">
        <v>25</v>
      </c>
      <c r="C1532" s="9">
        <v>100</v>
      </c>
      <c r="D1532" s="9">
        <f>PRODUCT(sales_data_sample[[#This Row],[QUANTITYORDERED]],sales_data_sample[[#This Row],[PRICEEACH]])</f>
        <v>2500</v>
      </c>
      <c r="E1532" s="9">
        <f>IF(OR(sales_data_sample[[#This Row],[STATUS]]="Shipped",sales_data_sample[[#This Row],[STATUS]]="Resolved"),sales_data_sample[[#This Row],[SALES]],0)</f>
        <v>2500</v>
      </c>
      <c r="F1532" s="10">
        <v>1</v>
      </c>
      <c r="G1532" s="12" t="s">
        <v>523</v>
      </c>
      <c r="H1532" s="1" t="s">
        <v>26</v>
      </c>
      <c r="I1532">
        <v>4</v>
      </c>
      <c r="J1532">
        <v>11</v>
      </c>
      <c r="K1532">
        <v>2004</v>
      </c>
      <c r="L1532" s="1" t="s">
        <v>839</v>
      </c>
      <c r="M1532">
        <v>109</v>
      </c>
      <c r="N1532" s="1" t="s">
        <v>954</v>
      </c>
      <c r="O1532" s="1" t="s">
        <v>524</v>
      </c>
      <c r="P1532" s="1" t="s">
        <v>525</v>
      </c>
      <c r="Q1532" s="1" t="s">
        <v>526</v>
      </c>
      <c r="R1532" s="1" t="s">
        <v>32</v>
      </c>
      <c r="S1532" s="1" t="s">
        <v>527</v>
      </c>
      <c r="T1532" s="1" t="s">
        <v>528</v>
      </c>
      <c r="U1532" s="1" t="s">
        <v>529</v>
      </c>
      <c r="V1532" s="1" t="s">
        <v>225</v>
      </c>
      <c r="W1532" s="1" t="s">
        <v>48</v>
      </c>
      <c r="X1532" s="1" t="s">
        <v>530</v>
      </c>
      <c r="Y1532" s="1" t="s">
        <v>531</v>
      </c>
      <c r="Z1532" s="1" t="str">
        <f>TRIM(_xlfn.CONCAT(sales_data_sample[[#This Row],[CONTACTFIRSTNAME]],", ",sales_data_sample[[#This Row],[CONTACTLASTNAME]]))</f>
        <v>Helen, Bennett</v>
      </c>
      <c r="AA1532" s="1" t="s">
        <v>40</v>
      </c>
    </row>
    <row r="1533" spans="1:27" x14ac:dyDescent="0.25">
      <c r="A1533" s="10">
        <v>10328</v>
      </c>
      <c r="B1533" s="9">
        <v>47</v>
      </c>
      <c r="C1533" s="9">
        <v>8754</v>
      </c>
      <c r="D1533" s="9">
        <f>PRODUCT(sales_data_sample[[#This Row],[QUANTITYORDERED]],sales_data_sample[[#This Row],[PRICEEACH]])</f>
        <v>411438</v>
      </c>
      <c r="E1533" s="9">
        <f>IF(OR(sales_data_sample[[#This Row],[STATUS]]="Shipped",sales_data_sample[[#This Row],[STATUS]]="Resolved"),sales_data_sample[[#This Row],[SALES]],0)</f>
        <v>411438</v>
      </c>
      <c r="F1533" s="10">
        <v>14</v>
      </c>
      <c r="G1533" s="12" t="s">
        <v>936</v>
      </c>
      <c r="H1533" s="1" t="s">
        <v>26</v>
      </c>
      <c r="I1533">
        <v>4</v>
      </c>
      <c r="J1533">
        <v>11</v>
      </c>
      <c r="K1533">
        <v>2004</v>
      </c>
      <c r="L1533" s="1" t="s">
        <v>839</v>
      </c>
      <c r="M1533">
        <v>109</v>
      </c>
      <c r="N1533" s="1" t="s">
        <v>954</v>
      </c>
      <c r="O1533" s="1" t="s">
        <v>806</v>
      </c>
      <c r="P1533" s="1" t="s">
        <v>807</v>
      </c>
      <c r="Q1533" s="1" t="s">
        <v>808</v>
      </c>
      <c r="R1533" s="1" t="s">
        <v>32</v>
      </c>
      <c r="S1533" s="1" t="s">
        <v>809</v>
      </c>
      <c r="T1533" s="1" t="s">
        <v>32</v>
      </c>
      <c r="U1533" s="1" t="s">
        <v>810</v>
      </c>
      <c r="V1533" s="1" t="s">
        <v>343</v>
      </c>
      <c r="W1533" s="1" t="s">
        <v>48</v>
      </c>
      <c r="X1533" s="1" t="s">
        <v>811</v>
      </c>
      <c r="Y1533" s="1" t="s">
        <v>812</v>
      </c>
      <c r="Z1533" s="1" t="str">
        <f>TRIM(_xlfn.CONCAT(sales_data_sample[[#This Row],[CONTACTFIRSTNAME]],", ",sales_data_sample[[#This Row],[CONTACTLASTNAME]]))</f>
        <v>Giovanni, Rovelli</v>
      </c>
      <c r="AA1533" s="1" t="s">
        <v>59</v>
      </c>
    </row>
    <row r="1534" spans="1:27" x14ac:dyDescent="0.25">
      <c r="A1534" s="10">
        <v>10339</v>
      </c>
      <c r="B1534" s="9">
        <v>21</v>
      </c>
      <c r="C1534" s="9">
        <v>5065</v>
      </c>
      <c r="D1534" s="9">
        <f>PRODUCT(sales_data_sample[[#This Row],[QUANTITYORDERED]],sales_data_sample[[#This Row],[PRICEEACH]])</f>
        <v>106365</v>
      </c>
      <c r="E1534" s="9">
        <f>IF(OR(sales_data_sample[[#This Row],[STATUS]]="Shipped",sales_data_sample[[#This Row],[STATUS]]="Resolved"),sales_data_sample[[#This Row],[SALES]],0)</f>
        <v>106365</v>
      </c>
      <c r="F1534" s="10">
        <v>7</v>
      </c>
      <c r="G1534" s="12" t="s">
        <v>430</v>
      </c>
      <c r="H1534" s="1" t="s">
        <v>26</v>
      </c>
      <c r="I1534">
        <v>4</v>
      </c>
      <c r="J1534">
        <v>11</v>
      </c>
      <c r="K1534">
        <v>2004</v>
      </c>
      <c r="L1534" s="1" t="s">
        <v>839</v>
      </c>
      <c r="M1534">
        <v>109</v>
      </c>
      <c r="N1534" s="1" t="s">
        <v>954</v>
      </c>
      <c r="O1534" s="1" t="s">
        <v>328</v>
      </c>
      <c r="P1534" s="1" t="s">
        <v>329</v>
      </c>
      <c r="Q1534" s="1" t="s">
        <v>330</v>
      </c>
      <c r="R1534" s="1" t="s">
        <v>32</v>
      </c>
      <c r="S1534" s="1" t="s">
        <v>331</v>
      </c>
      <c r="T1534" s="1" t="s">
        <v>332</v>
      </c>
      <c r="U1534" s="1" t="s">
        <v>333</v>
      </c>
      <c r="V1534" s="1" t="s">
        <v>264</v>
      </c>
      <c r="W1534" s="1" t="s">
        <v>264</v>
      </c>
      <c r="X1534" s="1" t="s">
        <v>334</v>
      </c>
      <c r="Y1534" s="1" t="s">
        <v>335</v>
      </c>
      <c r="Z1534" s="1" t="str">
        <f>TRIM(_xlfn.CONCAT(sales_data_sample[[#This Row],[CONTACTFIRSTNAME]],", ",sales_data_sample[[#This Row],[CONTACTLASTNAME]]))</f>
        <v>Akiko, Shimamura</v>
      </c>
      <c r="AA1534" s="1" t="s">
        <v>40</v>
      </c>
    </row>
    <row r="1535" spans="1:27" x14ac:dyDescent="0.25">
      <c r="A1535" s="10">
        <v>10353</v>
      </c>
      <c r="B1535" s="9">
        <v>28</v>
      </c>
      <c r="C1535" s="9">
        <v>7173</v>
      </c>
      <c r="D1535" s="9">
        <f>PRODUCT(sales_data_sample[[#This Row],[QUANTITYORDERED]],sales_data_sample[[#This Row],[PRICEEACH]])</f>
        <v>200844</v>
      </c>
      <c r="E1535" s="9">
        <f>IF(OR(sales_data_sample[[#This Row],[STATUS]]="Shipped",sales_data_sample[[#This Row],[STATUS]]="Resolved"),sales_data_sample[[#This Row],[SALES]],0)</f>
        <v>200844</v>
      </c>
      <c r="F1535" s="10">
        <v>2</v>
      </c>
      <c r="G1535" s="12" t="s">
        <v>894</v>
      </c>
      <c r="H1535" s="1" t="s">
        <v>26</v>
      </c>
      <c r="I1535">
        <v>4</v>
      </c>
      <c r="J1535">
        <v>12</v>
      </c>
      <c r="K1535">
        <v>2004</v>
      </c>
      <c r="L1535" s="1" t="s">
        <v>839</v>
      </c>
      <c r="M1535">
        <v>109</v>
      </c>
      <c r="N1535" s="1" t="s">
        <v>954</v>
      </c>
      <c r="O1535" s="1" t="s">
        <v>842</v>
      </c>
      <c r="P1535" s="1" t="s">
        <v>843</v>
      </c>
      <c r="Q1535" s="1" t="s">
        <v>844</v>
      </c>
      <c r="R1535" s="1" t="s">
        <v>32</v>
      </c>
      <c r="S1535" s="1" t="s">
        <v>734</v>
      </c>
      <c r="T1535" s="1" t="s">
        <v>144</v>
      </c>
      <c r="U1535" s="1" t="s">
        <v>845</v>
      </c>
      <c r="V1535" s="1" t="s">
        <v>36</v>
      </c>
      <c r="W1535" s="1" t="s">
        <v>37</v>
      </c>
      <c r="X1535" s="1" t="s">
        <v>846</v>
      </c>
      <c r="Y1535" s="1" t="s">
        <v>847</v>
      </c>
      <c r="Z1535" s="1" t="str">
        <f>TRIM(_xlfn.CONCAT(sales_data_sample[[#This Row],[CONTACTFIRSTNAME]],", ",sales_data_sample[[#This Row],[CONTACTLASTNAME]]))</f>
        <v>Dan, Lewis</v>
      </c>
      <c r="AA1535" s="1" t="s">
        <v>40</v>
      </c>
    </row>
    <row r="1536" spans="1:27" x14ac:dyDescent="0.25">
      <c r="A1536" s="10">
        <v>10374</v>
      </c>
      <c r="B1536" s="9">
        <v>46</v>
      </c>
      <c r="C1536" s="9">
        <v>941</v>
      </c>
      <c r="D1536" s="9">
        <f>PRODUCT(sales_data_sample[[#This Row],[QUANTITYORDERED]],sales_data_sample[[#This Row],[PRICEEACH]])</f>
        <v>43286</v>
      </c>
      <c r="E1536" s="9">
        <f>IF(OR(sales_data_sample[[#This Row],[STATUS]]="Shipped",sales_data_sample[[#This Row],[STATUS]]="Resolved"),sales_data_sample[[#This Row],[SALES]],0)</f>
        <v>43286</v>
      </c>
      <c r="F1536" s="10">
        <v>3</v>
      </c>
      <c r="G1536" s="12" t="s">
        <v>431</v>
      </c>
      <c r="H1536" s="1" t="s">
        <v>26</v>
      </c>
      <c r="I1536">
        <v>1</v>
      </c>
      <c r="J1536">
        <v>2</v>
      </c>
      <c r="K1536">
        <v>2005</v>
      </c>
      <c r="L1536" s="1" t="s">
        <v>839</v>
      </c>
      <c r="M1536">
        <v>109</v>
      </c>
      <c r="N1536" s="1" t="s">
        <v>954</v>
      </c>
      <c r="O1536" s="1" t="s">
        <v>274</v>
      </c>
      <c r="P1536" s="1" t="s">
        <v>275</v>
      </c>
      <c r="Q1536" s="1" t="s">
        <v>276</v>
      </c>
      <c r="R1536" s="1" t="s">
        <v>32</v>
      </c>
      <c r="S1536" s="1" t="s">
        <v>277</v>
      </c>
      <c r="T1536" s="1" t="s">
        <v>278</v>
      </c>
      <c r="U1536" s="1" t="s">
        <v>279</v>
      </c>
      <c r="V1536" s="1" t="s">
        <v>120</v>
      </c>
      <c r="W1536" s="1" t="s">
        <v>121</v>
      </c>
      <c r="X1536" s="1" t="s">
        <v>280</v>
      </c>
      <c r="Y1536" s="1" t="s">
        <v>281</v>
      </c>
      <c r="Z1536" s="1" t="str">
        <f>TRIM(_xlfn.CONCAT(sales_data_sample[[#This Row],[CONTACTFIRSTNAME]],", ",sales_data_sample[[#This Row],[CONTACTLASTNAME]]))</f>
        <v>Tony, Calaghan</v>
      </c>
      <c r="AA1536" s="1" t="s">
        <v>59</v>
      </c>
    </row>
    <row r="1537" spans="1:27" x14ac:dyDescent="0.25">
      <c r="A1537" s="10">
        <v>10386</v>
      </c>
      <c r="B1537" s="9">
        <v>33</v>
      </c>
      <c r="C1537" s="9">
        <v>4171</v>
      </c>
      <c r="D1537" s="9">
        <f>PRODUCT(sales_data_sample[[#This Row],[QUANTITYORDERED]],sales_data_sample[[#This Row],[PRICEEACH]])</f>
        <v>137643</v>
      </c>
      <c r="E1537" s="9">
        <f>IF(OR(sales_data_sample[[#This Row],[STATUS]]="Shipped",sales_data_sample[[#This Row],[STATUS]]="Resolved"),sales_data_sample[[#This Row],[SALES]],0)</f>
        <v>137643</v>
      </c>
      <c r="F1537" s="10">
        <v>11</v>
      </c>
      <c r="G1537" s="12" t="s">
        <v>869</v>
      </c>
      <c r="H1537" s="1" t="s">
        <v>563</v>
      </c>
      <c r="I1537">
        <v>1</v>
      </c>
      <c r="J1537">
        <v>3</v>
      </c>
      <c r="K1537">
        <v>2005</v>
      </c>
      <c r="L1537" s="1" t="s">
        <v>839</v>
      </c>
      <c r="M1537">
        <v>109</v>
      </c>
      <c r="N1537" s="1" t="s">
        <v>954</v>
      </c>
      <c r="O1537" s="1" t="s">
        <v>230</v>
      </c>
      <c r="P1537" s="1" t="s">
        <v>231</v>
      </c>
      <c r="Q1537" s="1" t="s">
        <v>232</v>
      </c>
      <c r="R1537" s="1" t="s">
        <v>32</v>
      </c>
      <c r="S1537" s="1" t="s">
        <v>233</v>
      </c>
      <c r="T1537" s="1" t="s">
        <v>32</v>
      </c>
      <c r="U1537" s="1" t="s">
        <v>234</v>
      </c>
      <c r="V1537" s="1" t="s">
        <v>235</v>
      </c>
      <c r="W1537" s="1" t="s">
        <v>48</v>
      </c>
      <c r="X1537" s="1" t="s">
        <v>236</v>
      </c>
      <c r="Y1537" s="1" t="s">
        <v>237</v>
      </c>
      <c r="Z1537" s="1" t="str">
        <f>TRIM(_xlfn.CONCAT(sales_data_sample[[#This Row],[CONTACTFIRSTNAME]],", ",sales_data_sample[[#This Row],[CONTACTLASTNAME]]))</f>
        <v>Diego, Freyre</v>
      </c>
      <c r="AA1537" s="1" t="s">
        <v>40</v>
      </c>
    </row>
    <row r="1538" spans="1:27" x14ac:dyDescent="0.25">
      <c r="A1538" s="10">
        <v>10398</v>
      </c>
      <c r="B1538" s="9">
        <v>43</v>
      </c>
      <c r="C1538" s="9">
        <v>100</v>
      </c>
      <c r="D1538" s="9">
        <f>PRODUCT(sales_data_sample[[#This Row],[QUANTITYORDERED]],sales_data_sample[[#This Row],[PRICEEACH]])</f>
        <v>4300</v>
      </c>
      <c r="E1538" s="9">
        <f>IF(OR(sales_data_sample[[#This Row],[STATUS]]="Shipped",sales_data_sample[[#This Row],[STATUS]]="Resolved"),sales_data_sample[[#This Row],[SALES]],0)</f>
        <v>4300</v>
      </c>
      <c r="F1538" s="10">
        <v>16</v>
      </c>
      <c r="G1538" s="12" t="s">
        <v>870</v>
      </c>
      <c r="H1538" s="1" t="s">
        <v>26</v>
      </c>
      <c r="I1538">
        <v>1</v>
      </c>
      <c r="J1538">
        <v>3</v>
      </c>
      <c r="K1538">
        <v>2005</v>
      </c>
      <c r="L1538" s="1" t="s">
        <v>839</v>
      </c>
      <c r="M1538">
        <v>109</v>
      </c>
      <c r="N1538" s="1" t="s">
        <v>954</v>
      </c>
      <c r="O1538" s="1" t="s">
        <v>42</v>
      </c>
      <c r="P1538" s="1" t="s">
        <v>43</v>
      </c>
      <c r="Q1538" s="1" t="s">
        <v>44</v>
      </c>
      <c r="R1538" s="1" t="s">
        <v>32</v>
      </c>
      <c r="S1538" s="1" t="s">
        <v>45</v>
      </c>
      <c r="T1538" s="1" t="s">
        <v>32</v>
      </c>
      <c r="U1538" s="1" t="s">
        <v>46</v>
      </c>
      <c r="V1538" s="1" t="s">
        <v>47</v>
      </c>
      <c r="W1538" s="1" t="s">
        <v>48</v>
      </c>
      <c r="X1538" s="1" t="s">
        <v>49</v>
      </c>
      <c r="Y1538" s="1" t="s">
        <v>50</v>
      </c>
      <c r="Z1538" s="1" t="str">
        <f>TRIM(_xlfn.CONCAT(sales_data_sample[[#This Row],[CONTACTFIRSTNAME]],", ",sales_data_sample[[#This Row],[CONTACTLASTNAME]]))</f>
        <v>Paul, Henriot</v>
      </c>
      <c r="AA1538" s="1" t="s">
        <v>59</v>
      </c>
    </row>
    <row r="1539" spans="1:27" x14ac:dyDescent="0.25">
      <c r="A1539" s="10">
        <v>10401</v>
      </c>
      <c r="B1539" s="9">
        <v>38</v>
      </c>
      <c r="C1539" s="9">
        <v>9629</v>
      </c>
      <c r="D1539" s="9">
        <f>PRODUCT(sales_data_sample[[#This Row],[QUANTITYORDERED]],sales_data_sample[[#This Row],[PRICEEACH]])</f>
        <v>365902</v>
      </c>
      <c r="E1539" s="9">
        <f>IF(OR(sales_data_sample[[#This Row],[STATUS]]="Shipped",sales_data_sample[[#This Row],[STATUS]]="Resolved"),sales_data_sample[[#This Row],[SALES]],0)</f>
        <v>0</v>
      </c>
      <c r="F1539" s="10">
        <v>5</v>
      </c>
      <c r="G1539" s="12" t="s">
        <v>895</v>
      </c>
      <c r="H1539" s="1" t="s">
        <v>553</v>
      </c>
      <c r="I1539">
        <v>2</v>
      </c>
      <c r="J1539">
        <v>4</v>
      </c>
      <c r="K1539">
        <v>2005</v>
      </c>
      <c r="L1539" s="1" t="s">
        <v>839</v>
      </c>
      <c r="M1539">
        <v>109</v>
      </c>
      <c r="N1539" s="1" t="s">
        <v>954</v>
      </c>
      <c r="O1539" s="1" t="s">
        <v>132</v>
      </c>
      <c r="P1539" s="1" t="s">
        <v>133</v>
      </c>
      <c r="Q1539" s="1" t="s">
        <v>134</v>
      </c>
      <c r="R1539" s="1" t="s">
        <v>32</v>
      </c>
      <c r="S1539" s="1" t="s">
        <v>135</v>
      </c>
      <c r="T1539" s="1" t="s">
        <v>136</v>
      </c>
      <c r="U1539" s="1" t="s">
        <v>137</v>
      </c>
      <c r="V1539" s="1" t="s">
        <v>36</v>
      </c>
      <c r="W1539" s="1" t="s">
        <v>37</v>
      </c>
      <c r="X1539" s="1" t="s">
        <v>74</v>
      </c>
      <c r="Y1539" s="1" t="s">
        <v>138</v>
      </c>
      <c r="Z1539" s="1" t="str">
        <f>TRIM(_xlfn.CONCAT(sales_data_sample[[#This Row],[CONTACTFIRSTNAME]],", ",sales_data_sample[[#This Row],[CONTACTLASTNAME]]))</f>
        <v>William, Brown</v>
      </c>
      <c r="AA1539" s="1" t="s">
        <v>59</v>
      </c>
    </row>
    <row r="1540" spans="1:27" x14ac:dyDescent="0.25">
      <c r="A1540" s="10">
        <v>10416</v>
      </c>
      <c r="B1540" s="9">
        <v>47</v>
      </c>
      <c r="C1540" s="9">
        <v>8863</v>
      </c>
      <c r="D1540" s="9">
        <f>PRODUCT(sales_data_sample[[#This Row],[QUANTITYORDERED]],sales_data_sample[[#This Row],[PRICEEACH]])</f>
        <v>416561</v>
      </c>
      <c r="E1540" s="9">
        <f>IF(OR(sales_data_sample[[#This Row],[STATUS]]="Shipped",sales_data_sample[[#This Row],[STATUS]]="Resolved"),sales_data_sample[[#This Row],[SALES]],0)</f>
        <v>416561</v>
      </c>
      <c r="F1540" s="10">
        <v>6</v>
      </c>
      <c r="G1540" s="12" t="s">
        <v>871</v>
      </c>
      <c r="H1540" s="1" t="s">
        <v>26</v>
      </c>
      <c r="I1540">
        <v>2</v>
      </c>
      <c r="J1540">
        <v>5</v>
      </c>
      <c r="K1540">
        <v>2005</v>
      </c>
      <c r="L1540" s="1" t="s">
        <v>839</v>
      </c>
      <c r="M1540">
        <v>109</v>
      </c>
      <c r="N1540" s="1" t="s">
        <v>954</v>
      </c>
      <c r="O1540" s="1" t="s">
        <v>632</v>
      </c>
      <c r="P1540" s="1" t="s">
        <v>633</v>
      </c>
      <c r="Q1540" s="1" t="s">
        <v>634</v>
      </c>
      <c r="R1540" s="1" t="s">
        <v>32</v>
      </c>
      <c r="S1540" s="1" t="s">
        <v>635</v>
      </c>
      <c r="T1540" s="1" t="s">
        <v>32</v>
      </c>
      <c r="U1540" s="1" t="s">
        <v>636</v>
      </c>
      <c r="V1540" s="1" t="s">
        <v>343</v>
      </c>
      <c r="W1540" s="1" t="s">
        <v>48</v>
      </c>
      <c r="X1540" s="1" t="s">
        <v>637</v>
      </c>
      <c r="Y1540" s="1" t="s">
        <v>638</v>
      </c>
      <c r="Z1540" s="1" t="str">
        <f>TRIM(_xlfn.CONCAT(sales_data_sample[[#This Row],[CONTACTFIRSTNAME]],", ",sales_data_sample[[#This Row],[CONTACTLASTNAME]]))</f>
        <v>Maurizio, Moroni</v>
      </c>
      <c r="AA1540" s="1" t="s">
        <v>59</v>
      </c>
    </row>
    <row r="1541" spans="1:27" x14ac:dyDescent="0.25">
      <c r="A1541" s="10">
        <v>10101</v>
      </c>
      <c r="B1541" s="9">
        <v>45</v>
      </c>
      <c r="C1541" s="9">
        <v>312</v>
      </c>
      <c r="D1541" s="9">
        <f>PRODUCT(sales_data_sample[[#This Row],[QUANTITYORDERED]],sales_data_sample[[#This Row],[PRICEEACH]])</f>
        <v>14040</v>
      </c>
      <c r="E1541" s="9">
        <f>IF(OR(sales_data_sample[[#This Row],[STATUS]]="Shipped",sales_data_sample[[#This Row],[STATUS]]="Resolved"),sales_data_sample[[#This Row],[SALES]],0)</f>
        <v>14040</v>
      </c>
      <c r="F1541" s="10">
        <v>3</v>
      </c>
      <c r="G1541" s="12" t="s">
        <v>885</v>
      </c>
      <c r="H1541" s="1" t="s">
        <v>26</v>
      </c>
      <c r="I1541">
        <v>1</v>
      </c>
      <c r="J1541">
        <v>1</v>
      </c>
      <c r="K1541">
        <v>2003</v>
      </c>
      <c r="L1541" s="1" t="s">
        <v>799</v>
      </c>
      <c r="M1541">
        <v>33</v>
      </c>
      <c r="N1541" s="1" t="s">
        <v>955</v>
      </c>
      <c r="O1541" s="1" t="s">
        <v>647</v>
      </c>
      <c r="P1541" s="1" t="s">
        <v>648</v>
      </c>
      <c r="Q1541" s="1" t="s">
        <v>649</v>
      </c>
      <c r="R1541" s="1" t="s">
        <v>32</v>
      </c>
      <c r="S1541" s="1" t="s">
        <v>650</v>
      </c>
      <c r="T1541" s="1" t="s">
        <v>32</v>
      </c>
      <c r="U1541" s="1" t="s">
        <v>651</v>
      </c>
      <c r="V1541" s="1" t="s">
        <v>617</v>
      </c>
      <c r="W1541" s="1" t="s">
        <v>48</v>
      </c>
      <c r="X1541" s="1" t="s">
        <v>652</v>
      </c>
      <c r="Y1541" s="1" t="s">
        <v>570</v>
      </c>
      <c r="Z1541" s="1" t="str">
        <f>TRIM(_xlfn.CONCAT(sales_data_sample[[#This Row],[CONTACTFIRSTNAME]],", ",sales_data_sample[[#This Row],[CONTACTLASTNAME]]))</f>
        <v>Roland, Keitel</v>
      </c>
      <c r="AA1541" s="1" t="s">
        <v>40</v>
      </c>
    </row>
    <row r="1542" spans="1:27" x14ac:dyDescent="0.25">
      <c r="A1542" s="10">
        <v>10110</v>
      </c>
      <c r="B1542" s="9">
        <v>20</v>
      </c>
      <c r="C1542" s="9">
        <v>3551</v>
      </c>
      <c r="D1542" s="9">
        <f>PRODUCT(sales_data_sample[[#This Row],[QUANTITYORDERED]],sales_data_sample[[#This Row],[PRICEEACH]])</f>
        <v>71020</v>
      </c>
      <c r="E1542" s="9">
        <f>IF(OR(sales_data_sample[[#This Row],[STATUS]]="Shipped",sales_data_sample[[#This Row],[STATUS]]="Resolved"),sales_data_sample[[#This Row],[SALES]],0)</f>
        <v>71020</v>
      </c>
      <c r="F1542" s="10">
        <v>3</v>
      </c>
      <c r="G1542" s="12" t="s">
        <v>829</v>
      </c>
      <c r="H1542" s="1" t="s">
        <v>26</v>
      </c>
      <c r="I1542">
        <v>1</v>
      </c>
      <c r="J1542">
        <v>3</v>
      </c>
      <c r="K1542">
        <v>2003</v>
      </c>
      <c r="L1542" s="1" t="s">
        <v>799</v>
      </c>
      <c r="M1542">
        <v>33</v>
      </c>
      <c r="N1542" s="1" t="s">
        <v>955</v>
      </c>
      <c r="O1542" s="1" t="s">
        <v>695</v>
      </c>
      <c r="P1542" s="1" t="s">
        <v>696</v>
      </c>
      <c r="Q1542" s="1" t="s">
        <v>697</v>
      </c>
      <c r="R1542" s="1" t="s">
        <v>32</v>
      </c>
      <c r="S1542" s="1" t="s">
        <v>698</v>
      </c>
      <c r="T1542" s="1" t="s">
        <v>32</v>
      </c>
      <c r="U1542" s="1" t="s">
        <v>699</v>
      </c>
      <c r="V1542" s="1" t="s">
        <v>225</v>
      </c>
      <c r="W1542" s="1" t="s">
        <v>48</v>
      </c>
      <c r="X1542" s="1" t="s">
        <v>700</v>
      </c>
      <c r="Y1542" s="1" t="s">
        <v>118</v>
      </c>
      <c r="Z1542" s="1" t="str">
        <f>TRIM(_xlfn.CONCAT(sales_data_sample[[#This Row],[CONTACTFIRSTNAME]],", ",sales_data_sample[[#This Row],[CONTACTLASTNAME]]))</f>
        <v>Victoria, Ashworth</v>
      </c>
      <c r="AA1542" s="1" t="s">
        <v>40</v>
      </c>
    </row>
    <row r="1543" spans="1:27" x14ac:dyDescent="0.25">
      <c r="A1543" s="10">
        <v>10124</v>
      </c>
      <c r="B1543" s="9">
        <v>45</v>
      </c>
      <c r="C1543" s="9">
        <v>3784</v>
      </c>
      <c r="D1543" s="9">
        <f>PRODUCT(sales_data_sample[[#This Row],[QUANTITYORDERED]],sales_data_sample[[#This Row],[PRICEEACH]])</f>
        <v>170280</v>
      </c>
      <c r="E1543" s="9">
        <f>IF(OR(sales_data_sample[[#This Row],[STATUS]]="Shipped",sales_data_sample[[#This Row],[STATUS]]="Resolved"),sales_data_sample[[#This Row],[SALES]],0)</f>
        <v>170280</v>
      </c>
      <c r="F1543" s="10">
        <v>2</v>
      </c>
      <c r="G1543" s="12" t="s">
        <v>802</v>
      </c>
      <c r="H1543" s="1" t="s">
        <v>26</v>
      </c>
      <c r="I1543">
        <v>2</v>
      </c>
      <c r="J1543">
        <v>5</v>
      </c>
      <c r="K1543">
        <v>2003</v>
      </c>
      <c r="L1543" s="1" t="s">
        <v>799</v>
      </c>
      <c r="M1543">
        <v>33</v>
      </c>
      <c r="N1543" s="1" t="s">
        <v>955</v>
      </c>
      <c r="O1543" s="1" t="s">
        <v>779</v>
      </c>
      <c r="P1543" s="1" t="s">
        <v>780</v>
      </c>
      <c r="Q1543" s="1" t="s">
        <v>781</v>
      </c>
      <c r="R1543" s="1" t="s">
        <v>32</v>
      </c>
      <c r="S1543" s="1" t="s">
        <v>782</v>
      </c>
      <c r="T1543" s="1" t="s">
        <v>783</v>
      </c>
      <c r="U1543" s="1" t="s">
        <v>784</v>
      </c>
      <c r="V1543" s="1" t="s">
        <v>36</v>
      </c>
      <c r="W1543" s="1" t="s">
        <v>37</v>
      </c>
      <c r="X1543" s="1" t="s">
        <v>146</v>
      </c>
      <c r="Y1543" s="1" t="s">
        <v>551</v>
      </c>
      <c r="Z1543" s="1" t="str">
        <f>TRIM(_xlfn.CONCAT(sales_data_sample[[#This Row],[CONTACTFIRSTNAME]],", ",sales_data_sample[[#This Row],[CONTACTLASTNAME]]))</f>
        <v>Sue, King</v>
      </c>
      <c r="AA1543" s="1" t="s">
        <v>40</v>
      </c>
    </row>
    <row r="1544" spans="1:27" x14ac:dyDescent="0.25">
      <c r="A1544" s="10">
        <v>10149</v>
      </c>
      <c r="B1544" s="9">
        <v>36</v>
      </c>
      <c r="C1544" s="9">
        <v>3319</v>
      </c>
      <c r="D1544" s="9">
        <f>PRODUCT(sales_data_sample[[#This Row],[QUANTITYORDERED]],sales_data_sample[[#This Row],[PRICEEACH]])</f>
        <v>119484</v>
      </c>
      <c r="E1544" s="9">
        <f>IF(OR(sales_data_sample[[#This Row],[STATUS]]="Shipped",sales_data_sample[[#This Row],[STATUS]]="Resolved"),sales_data_sample[[#This Row],[SALES]],0)</f>
        <v>119484</v>
      </c>
      <c r="F1544" s="10">
        <v>7</v>
      </c>
      <c r="G1544" s="12" t="s">
        <v>804</v>
      </c>
      <c r="H1544" s="1" t="s">
        <v>26</v>
      </c>
      <c r="I1544">
        <v>3</v>
      </c>
      <c r="J1544">
        <v>9</v>
      </c>
      <c r="K1544">
        <v>2003</v>
      </c>
      <c r="L1544" s="1" t="s">
        <v>799</v>
      </c>
      <c r="M1544">
        <v>33</v>
      </c>
      <c r="N1544" s="1" t="s">
        <v>955</v>
      </c>
      <c r="O1544" s="1" t="s">
        <v>753</v>
      </c>
      <c r="P1544" s="1" t="s">
        <v>754</v>
      </c>
      <c r="Q1544" s="1" t="s">
        <v>755</v>
      </c>
      <c r="R1544" s="1" t="s">
        <v>32</v>
      </c>
      <c r="S1544" s="1" t="s">
        <v>756</v>
      </c>
      <c r="T1544" s="1" t="s">
        <v>65</v>
      </c>
      <c r="U1544" s="1" t="s">
        <v>80</v>
      </c>
      <c r="V1544" s="1" t="s">
        <v>36</v>
      </c>
      <c r="W1544" s="1" t="s">
        <v>37</v>
      </c>
      <c r="X1544" s="1" t="s">
        <v>757</v>
      </c>
      <c r="Y1544" s="1" t="s">
        <v>551</v>
      </c>
      <c r="Z1544" s="1" t="str">
        <f>TRIM(_xlfn.CONCAT(sales_data_sample[[#This Row],[CONTACTFIRSTNAME]],", ",sales_data_sample[[#This Row],[CONTACTLASTNAME]]))</f>
        <v>Sue, Taylor</v>
      </c>
      <c r="AA1544" s="1" t="s">
        <v>40</v>
      </c>
    </row>
    <row r="1545" spans="1:27" x14ac:dyDescent="0.25">
      <c r="A1545" s="10">
        <v>10162</v>
      </c>
      <c r="B1545" s="9">
        <v>37</v>
      </c>
      <c r="C1545" s="9">
        <v>2722</v>
      </c>
      <c r="D1545" s="9">
        <f>PRODUCT(sales_data_sample[[#This Row],[QUANTITYORDERED]],sales_data_sample[[#This Row],[PRICEEACH]])</f>
        <v>100714</v>
      </c>
      <c r="E1545" s="9">
        <f>IF(OR(sales_data_sample[[#This Row],[STATUS]]="Shipped",sales_data_sample[[#This Row],[STATUS]]="Resolved"),sales_data_sample[[#This Row],[SALES]],0)</f>
        <v>100714</v>
      </c>
      <c r="F1545" s="10">
        <v>5</v>
      </c>
      <c r="G1545" s="12" t="s">
        <v>805</v>
      </c>
      <c r="H1545" s="1" t="s">
        <v>26</v>
      </c>
      <c r="I1545">
        <v>4</v>
      </c>
      <c r="J1545">
        <v>10</v>
      </c>
      <c r="K1545">
        <v>2003</v>
      </c>
      <c r="L1545" s="1" t="s">
        <v>799</v>
      </c>
      <c r="M1545">
        <v>33</v>
      </c>
      <c r="N1545" s="1" t="s">
        <v>955</v>
      </c>
      <c r="O1545" s="1" t="s">
        <v>70</v>
      </c>
      <c r="P1545" s="1" t="s">
        <v>71</v>
      </c>
      <c r="Q1545" s="1" t="s">
        <v>72</v>
      </c>
      <c r="R1545" s="1" t="s">
        <v>32</v>
      </c>
      <c r="S1545" s="1" t="s">
        <v>73</v>
      </c>
      <c r="T1545" s="1" t="s">
        <v>65</v>
      </c>
      <c r="U1545" s="1" t="s">
        <v>32</v>
      </c>
      <c r="V1545" s="1" t="s">
        <v>36</v>
      </c>
      <c r="W1545" s="1" t="s">
        <v>37</v>
      </c>
      <c r="X1545" s="1" t="s">
        <v>74</v>
      </c>
      <c r="Y1545" s="1" t="s">
        <v>68</v>
      </c>
      <c r="Z1545" s="1" t="str">
        <f>TRIM(_xlfn.CONCAT(sales_data_sample[[#This Row],[CONTACTFIRSTNAME]],", ",sales_data_sample[[#This Row],[CONTACTLASTNAME]]))</f>
        <v>Julie, Brown</v>
      </c>
      <c r="AA1545" s="1" t="s">
        <v>40</v>
      </c>
    </row>
    <row r="1546" spans="1:27" x14ac:dyDescent="0.25">
      <c r="A1546" s="10">
        <v>10173</v>
      </c>
      <c r="B1546" s="9">
        <v>31</v>
      </c>
      <c r="C1546" s="9">
        <v>3153</v>
      </c>
      <c r="D1546" s="9">
        <f>PRODUCT(sales_data_sample[[#This Row],[QUANTITYORDERED]],sales_data_sample[[#This Row],[PRICEEACH]])</f>
        <v>97743</v>
      </c>
      <c r="E1546" s="9">
        <f>IF(OR(sales_data_sample[[#This Row],[STATUS]]="Shipped",sales_data_sample[[#This Row],[STATUS]]="Resolved"),sales_data_sample[[#This Row],[SALES]],0)</f>
        <v>97743</v>
      </c>
      <c r="F1546" s="10">
        <v>9</v>
      </c>
      <c r="G1546" s="12" t="s">
        <v>776</v>
      </c>
      <c r="H1546" s="1" t="s">
        <v>26</v>
      </c>
      <c r="I1546">
        <v>4</v>
      </c>
      <c r="J1546">
        <v>11</v>
      </c>
      <c r="K1546">
        <v>2003</v>
      </c>
      <c r="L1546" s="1" t="s">
        <v>799</v>
      </c>
      <c r="M1546">
        <v>33</v>
      </c>
      <c r="N1546" s="1" t="s">
        <v>955</v>
      </c>
      <c r="O1546" s="1" t="s">
        <v>806</v>
      </c>
      <c r="P1546" s="1" t="s">
        <v>807</v>
      </c>
      <c r="Q1546" s="1" t="s">
        <v>808</v>
      </c>
      <c r="R1546" s="1" t="s">
        <v>32</v>
      </c>
      <c r="S1546" s="1" t="s">
        <v>809</v>
      </c>
      <c r="T1546" s="1" t="s">
        <v>32</v>
      </c>
      <c r="U1546" s="1" t="s">
        <v>810</v>
      </c>
      <c r="V1546" s="1" t="s">
        <v>343</v>
      </c>
      <c r="W1546" s="1" t="s">
        <v>48</v>
      </c>
      <c r="X1546" s="1" t="s">
        <v>811</v>
      </c>
      <c r="Y1546" s="1" t="s">
        <v>812</v>
      </c>
      <c r="Z1546" s="1" t="str">
        <f>TRIM(_xlfn.CONCAT(sales_data_sample[[#This Row],[CONTACTFIRSTNAME]],", ",sales_data_sample[[#This Row],[CONTACTLASTNAME]]))</f>
        <v>Giovanni, Rovelli</v>
      </c>
      <c r="AA1546" s="1" t="s">
        <v>40</v>
      </c>
    </row>
    <row r="1547" spans="1:27" x14ac:dyDescent="0.25">
      <c r="A1547" s="10">
        <v>10182</v>
      </c>
      <c r="B1547" s="9">
        <v>39</v>
      </c>
      <c r="C1547" s="9">
        <v>3684</v>
      </c>
      <c r="D1547" s="9">
        <f>PRODUCT(sales_data_sample[[#This Row],[QUANTITYORDERED]],sales_data_sample[[#This Row],[PRICEEACH]])</f>
        <v>143676</v>
      </c>
      <c r="E1547" s="9">
        <f>IF(OR(sales_data_sample[[#This Row],[STATUS]]="Shipped",sales_data_sample[[#This Row],[STATUS]]="Resolved"),sales_data_sample[[#This Row],[SALES]],0)</f>
        <v>143676</v>
      </c>
      <c r="F1547" s="10">
        <v>6</v>
      </c>
      <c r="G1547" s="12" t="s">
        <v>610</v>
      </c>
      <c r="H1547" s="1" t="s">
        <v>26</v>
      </c>
      <c r="I1547">
        <v>4</v>
      </c>
      <c r="J1547">
        <v>11</v>
      </c>
      <c r="K1547">
        <v>2003</v>
      </c>
      <c r="L1547" s="1" t="s">
        <v>799</v>
      </c>
      <c r="M1547">
        <v>33</v>
      </c>
      <c r="N1547" s="1" t="s">
        <v>955</v>
      </c>
      <c r="O1547" s="1" t="s">
        <v>361</v>
      </c>
      <c r="P1547" s="1" t="s">
        <v>362</v>
      </c>
      <c r="Q1547" s="1" t="s">
        <v>363</v>
      </c>
      <c r="R1547" s="1" t="s">
        <v>32</v>
      </c>
      <c r="S1547" s="1" t="s">
        <v>364</v>
      </c>
      <c r="T1547" s="1" t="s">
        <v>65</v>
      </c>
      <c r="U1547" s="1" t="s">
        <v>145</v>
      </c>
      <c r="V1547" s="1" t="s">
        <v>36</v>
      </c>
      <c r="W1547" s="1" t="s">
        <v>37</v>
      </c>
      <c r="X1547" s="1" t="s">
        <v>365</v>
      </c>
      <c r="Y1547" s="1" t="s">
        <v>366</v>
      </c>
      <c r="Z1547" s="1" t="str">
        <f>TRIM(_xlfn.CONCAT(sales_data_sample[[#This Row],[CONTACTFIRSTNAME]],", ",sales_data_sample[[#This Row],[CONTACTLASTNAME]]))</f>
        <v>Valarie, Nelson</v>
      </c>
      <c r="AA1547" s="1" t="s">
        <v>40</v>
      </c>
    </row>
    <row r="1548" spans="1:27" x14ac:dyDescent="0.25">
      <c r="A1548" s="10">
        <v>10193</v>
      </c>
      <c r="B1548" s="9">
        <v>26</v>
      </c>
      <c r="C1548" s="9">
        <v>2921</v>
      </c>
      <c r="D1548" s="9">
        <f>PRODUCT(sales_data_sample[[#This Row],[QUANTITYORDERED]],sales_data_sample[[#This Row],[PRICEEACH]])</f>
        <v>75946</v>
      </c>
      <c r="E1548" s="9">
        <f>IF(OR(sales_data_sample[[#This Row],[STATUS]]="Shipped",sales_data_sample[[#This Row],[STATUS]]="Resolved"),sales_data_sample[[#This Row],[SALES]],0)</f>
        <v>75946</v>
      </c>
      <c r="F1548" s="10">
        <v>10</v>
      </c>
      <c r="G1548" s="12" t="s">
        <v>813</v>
      </c>
      <c r="H1548" s="1" t="s">
        <v>26</v>
      </c>
      <c r="I1548">
        <v>4</v>
      </c>
      <c r="J1548">
        <v>11</v>
      </c>
      <c r="K1548">
        <v>2003</v>
      </c>
      <c r="L1548" s="1" t="s">
        <v>799</v>
      </c>
      <c r="M1548">
        <v>33</v>
      </c>
      <c r="N1548" s="1" t="s">
        <v>955</v>
      </c>
      <c r="O1548" s="1" t="s">
        <v>814</v>
      </c>
      <c r="P1548" s="1" t="s">
        <v>815</v>
      </c>
      <c r="Q1548" s="1" t="s">
        <v>816</v>
      </c>
      <c r="R1548" s="1" t="s">
        <v>32</v>
      </c>
      <c r="S1548" s="1" t="s">
        <v>817</v>
      </c>
      <c r="T1548" s="1" t="s">
        <v>118</v>
      </c>
      <c r="U1548" s="1" t="s">
        <v>818</v>
      </c>
      <c r="V1548" s="1" t="s">
        <v>120</v>
      </c>
      <c r="W1548" s="1" t="s">
        <v>121</v>
      </c>
      <c r="X1548" s="1" t="s">
        <v>819</v>
      </c>
      <c r="Y1548" s="1" t="s">
        <v>820</v>
      </c>
      <c r="Z1548" s="1" t="str">
        <f>TRIM(_xlfn.CONCAT(sales_data_sample[[#This Row],[CONTACTFIRSTNAME]],", ",sales_data_sample[[#This Row],[CONTACTLASTNAME]]))</f>
        <v>Sean, Connery</v>
      </c>
      <c r="AA1548" s="1" t="s">
        <v>40</v>
      </c>
    </row>
    <row r="1549" spans="1:27" x14ac:dyDescent="0.25">
      <c r="A1549" s="10">
        <v>10205</v>
      </c>
      <c r="B1549" s="9">
        <v>32</v>
      </c>
      <c r="C1549" s="9">
        <v>3717</v>
      </c>
      <c r="D1549" s="9">
        <f>PRODUCT(sales_data_sample[[#This Row],[QUANTITYORDERED]],sales_data_sample[[#This Row],[PRICEEACH]])</f>
        <v>118944</v>
      </c>
      <c r="E1549" s="9">
        <f>IF(OR(sales_data_sample[[#This Row],[STATUS]]="Shipped",sales_data_sample[[#This Row],[STATUS]]="Resolved"),sales_data_sample[[#This Row],[SALES]],0)</f>
        <v>118944</v>
      </c>
      <c r="F1549" s="10">
        <v>5</v>
      </c>
      <c r="G1549" s="12" t="s">
        <v>821</v>
      </c>
      <c r="H1549" s="1" t="s">
        <v>26</v>
      </c>
      <c r="I1549">
        <v>4</v>
      </c>
      <c r="J1549">
        <v>12</v>
      </c>
      <c r="K1549">
        <v>2003</v>
      </c>
      <c r="L1549" s="1" t="s">
        <v>799</v>
      </c>
      <c r="M1549">
        <v>33</v>
      </c>
      <c r="N1549" s="1" t="s">
        <v>955</v>
      </c>
      <c r="O1549" s="1" t="s">
        <v>230</v>
      </c>
      <c r="P1549" s="1" t="s">
        <v>231</v>
      </c>
      <c r="Q1549" s="1" t="s">
        <v>232</v>
      </c>
      <c r="R1549" s="1" t="s">
        <v>32</v>
      </c>
      <c r="S1549" s="1" t="s">
        <v>233</v>
      </c>
      <c r="T1549" s="1" t="s">
        <v>32</v>
      </c>
      <c r="U1549" s="1" t="s">
        <v>234</v>
      </c>
      <c r="V1549" s="1" t="s">
        <v>235</v>
      </c>
      <c r="W1549" s="1" t="s">
        <v>48</v>
      </c>
      <c r="X1549" s="1" t="s">
        <v>236</v>
      </c>
      <c r="Y1549" s="1" t="s">
        <v>237</v>
      </c>
      <c r="Z1549" s="1" t="str">
        <f>TRIM(_xlfn.CONCAT(sales_data_sample[[#This Row],[CONTACTFIRSTNAME]],", ",sales_data_sample[[#This Row],[CONTACTLASTNAME]]))</f>
        <v>Diego, Freyre</v>
      </c>
      <c r="AA1549" s="1" t="s">
        <v>40</v>
      </c>
    </row>
    <row r="1550" spans="1:27" x14ac:dyDescent="0.25">
      <c r="A1550" s="10">
        <v>10214</v>
      </c>
      <c r="B1550" s="9">
        <v>20</v>
      </c>
      <c r="C1550" s="9">
        <v>3419</v>
      </c>
      <c r="D1550" s="9">
        <f>PRODUCT(sales_data_sample[[#This Row],[QUANTITYORDERED]],sales_data_sample[[#This Row],[PRICEEACH]])</f>
        <v>68380</v>
      </c>
      <c r="E1550" s="9">
        <f>IF(OR(sales_data_sample[[#This Row],[STATUS]]="Shipped",sales_data_sample[[#This Row],[STATUS]]="Resolved"),sales_data_sample[[#This Row],[SALES]],0)</f>
        <v>68380</v>
      </c>
      <c r="F1550" s="10">
        <v>3</v>
      </c>
      <c r="G1550" s="12" t="s">
        <v>874</v>
      </c>
      <c r="H1550" s="1" t="s">
        <v>26</v>
      </c>
      <c r="I1550">
        <v>1</v>
      </c>
      <c r="J1550">
        <v>1</v>
      </c>
      <c r="K1550">
        <v>2004</v>
      </c>
      <c r="L1550" s="1" t="s">
        <v>799</v>
      </c>
      <c r="M1550">
        <v>33</v>
      </c>
      <c r="N1550" s="1" t="s">
        <v>955</v>
      </c>
      <c r="O1550" s="1" t="s">
        <v>251</v>
      </c>
      <c r="P1550" s="1" t="s">
        <v>252</v>
      </c>
      <c r="Q1550" s="1" t="s">
        <v>253</v>
      </c>
      <c r="R1550" s="1" t="s">
        <v>32</v>
      </c>
      <c r="S1550" s="1" t="s">
        <v>233</v>
      </c>
      <c r="T1550" s="1" t="s">
        <v>32</v>
      </c>
      <c r="U1550" s="1" t="s">
        <v>254</v>
      </c>
      <c r="V1550" s="1" t="s">
        <v>235</v>
      </c>
      <c r="W1550" s="1" t="s">
        <v>48</v>
      </c>
      <c r="X1550" s="1" t="s">
        <v>255</v>
      </c>
      <c r="Y1550" s="1" t="s">
        <v>256</v>
      </c>
      <c r="Z1550" s="1" t="str">
        <f>TRIM(_xlfn.CONCAT(sales_data_sample[[#This Row],[CONTACTFIRSTNAME]],", ",sales_data_sample[[#This Row],[CONTACTLASTNAME]]))</f>
        <v>Mart¡n, Sommer</v>
      </c>
      <c r="AA1550" s="1" t="s">
        <v>40</v>
      </c>
    </row>
    <row r="1551" spans="1:27" x14ac:dyDescent="0.25">
      <c r="A1551" s="10">
        <v>10227</v>
      </c>
      <c r="B1551" s="9">
        <v>42</v>
      </c>
      <c r="C1551" s="9">
        <v>2921</v>
      </c>
      <c r="D1551" s="9">
        <f>PRODUCT(sales_data_sample[[#This Row],[QUANTITYORDERED]],sales_data_sample[[#This Row],[PRICEEACH]])</f>
        <v>122682</v>
      </c>
      <c r="E1551" s="9">
        <f>IF(OR(sales_data_sample[[#This Row],[STATUS]]="Shipped",sales_data_sample[[#This Row],[STATUS]]="Resolved"),sales_data_sample[[#This Row],[SALES]],0)</f>
        <v>122682</v>
      </c>
      <c r="F1551" s="10">
        <v>6</v>
      </c>
      <c r="G1551" s="12" t="s">
        <v>822</v>
      </c>
      <c r="H1551" s="1" t="s">
        <v>26</v>
      </c>
      <c r="I1551">
        <v>1</v>
      </c>
      <c r="J1551">
        <v>3</v>
      </c>
      <c r="K1551">
        <v>2004</v>
      </c>
      <c r="L1551" s="1" t="s">
        <v>799</v>
      </c>
      <c r="M1551">
        <v>33</v>
      </c>
      <c r="N1551" s="1" t="s">
        <v>955</v>
      </c>
      <c r="O1551" s="1" t="s">
        <v>291</v>
      </c>
      <c r="P1551" s="1" t="s">
        <v>292</v>
      </c>
      <c r="Q1551" s="1" t="s">
        <v>293</v>
      </c>
      <c r="R1551" s="1" t="s">
        <v>32</v>
      </c>
      <c r="S1551" s="1" t="s">
        <v>294</v>
      </c>
      <c r="T1551" s="1" t="s">
        <v>32</v>
      </c>
      <c r="U1551" s="1" t="s">
        <v>295</v>
      </c>
      <c r="V1551" s="1" t="s">
        <v>47</v>
      </c>
      <c r="W1551" s="1" t="s">
        <v>48</v>
      </c>
      <c r="X1551" s="1" t="s">
        <v>296</v>
      </c>
      <c r="Y1551" s="1" t="s">
        <v>297</v>
      </c>
      <c r="Z1551" s="1" t="str">
        <f>TRIM(_xlfn.CONCAT(sales_data_sample[[#This Row],[CONTACTFIRSTNAME]],", ",sales_data_sample[[#This Row],[CONTACTLASTNAME]]))</f>
        <v>Mary, Saveley</v>
      </c>
      <c r="AA1551" s="1" t="s">
        <v>40</v>
      </c>
    </row>
    <row r="1552" spans="1:27" x14ac:dyDescent="0.25">
      <c r="A1552" s="10">
        <v>10243</v>
      </c>
      <c r="B1552" s="9">
        <v>33</v>
      </c>
      <c r="C1552" s="9">
        <v>2954</v>
      </c>
      <c r="D1552" s="9">
        <f>PRODUCT(sales_data_sample[[#This Row],[QUANTITYORDERED]],sales_data_sample[[#This Row],[PRICEEACH]])</f>
        <v>97482</v>
      </c>
      <c r="E1552" s="9">
        <f>IF(OR(sales_data_sample[[#This Row],[STATUS]]="Shipped",sales_data_sample[[#This Row],[STATUS]]="Resolved"),sales_data_sample[[#This Row],[SALES]],0)</f>
        <v>97482</v>
      </c>
      <c r="F1552" s="10">
        <v>1</v>
      </c>
      <c r="G1552" s="12" t="s">
        <v>887</v>
      </c>
      <c r="H1552" s="1" t="s">
        <v>26</v>
      </c>
      <c r="I1552">
        <v>2</v>
      </c>
      <c r="J1552">
        <v>4</v>
      </c>
      <c r="K1552">
        <v>2004</v>
      </c>
      <c r="L1552" s="1" t="s">
        <v>799</v>
      </c>
      <c r="M1552">
        <v>33</v>
      </c>
      <c r="N1552" s="1" t="s">
        <v>955</v>
      </c>
      <c r="O1552" s="1" t="s">
        <v>572</v>
      </c>
      <c r="P1552" s="1" t="s">
        <v>573</v>
      </c>
      <c r="Q1552" s="1" t="s">
        <v>574</v>
      </c>
      <c r="R1552" s="1" t="s">
        <v>32</v>
      </c>
      <c r="S1552" s="1" t="s">
        <v>519</v>
      </c>
      <c r="T1552" s="1" t="s">
        <v>160</v>
      </c>
      <c r="U1552" s="1" t="s">
        <v>520</v>
      </c>
      <c r="V1552" s="1" t="s">
        <v>36</v>
      </c>
      <c r="W1552" s="1" t="s">
        <v>37</v>
      </c>
      <c r="X1552" s="1" t="s">
        <v>575</v>
      </c>
      <c r="Y1552" s="1" t="s">
        <v>366</v>
      </c>
      <c r="Z1552" s="1" t="str">
        <f>TRIM(_xlfn.CONCAT(sales_data_sample[[#This Row],[CONTACTFIRSTNAME]],", ",sales_data_sample[[#This Row],[CONTACTLASTNAME]]))</f>
        <v>Valarie, Franco</v>
      </c>
      <c r="AA1552" s="1" t="s">
        <v>40</v>
      </c>
    </row>
    <row r="1553" spans="1:27" x14ac:dyDescent="0.25">
      <c r="A1553" s="10">
        <v>10280</v>
      </c>
      <c r="B1553" s="9">
        <v>20</v>
      </c>
      <c r="C1553" s="9">
        <v>2888</v>
      </c>
      <c r="D1553" s="9">
        <f>PRODUCT(sales_data_sample[[#This Row],[QUANTITYORDERED]],sales_data_sample[[#This Row],[PRICEEACH]])</f>
        <v>57760</v>
      </c>
      <c r="E1553" s="9">
        <f>IF(OR(sales_data_sample[[#This Row],[STATUS]]="Shipped",sales_data_sample[[#This Row],[STATUS]]="Resolved"),sales_data_sample[[#This Row],[SALES]],0)</f>
        <v>57760</v>
      </c>
      <c r="F1553" s="10">
        <v>12</v>
      </c>
      <c r="G1553" s="12" t="s">
        <v>337</v>
      </c>
      <c r="H1553" s="1" t="s">
        <v>26</v>
      </c>
      <c r="I1553">
        <v>3</v>
      </c>
      <c r="J1553">
        <v>8</v>
      </c>
      <c r="K1553">
        <v>2004</v>
      </c>
      <c r="L1553" s="1" t="s">
        <v>799</v>
      </c>
      <c r="M1553">
        <v>33</v>
      </c>
      <c r="N1553" s="1" t="s">
        <v>955</v>
      </c>
      <c r="O1553" s="1" t="s">
        <v>338</v>
      </c>
      <c r="P1553" s="1" t="s">
        <v>339</v>
      </c>
      <c r="Q1553" s="1" t="s">
        <v>340</v>
      </c>
      <c r="R1553" s="1" t="s">
        <v>32</v>
      </c>
      <c r="S1553" s="1" t="s">
        <v>341</v>
      </c>
      <c r="T1553" s="1" t="s">
        <v>32</v>
      </c>
      <c r="U1553" s="1" t="s">
        <v>342</v>
      </c>
      <c r="V1553" s="1" t="s">
        <v>343</v>
      </c>
      <c r="W1553" s="1" t="s">
        <v>48</v>
      </c>
      <c r="X1553" s="1" t="s">
        <v>344</v>
      </c>
      <c r="Y1553" s="1" t="s">
        <v>345</v>
      </c>
      <c r="Z1553" s="1" t="str">
        <f>TRIM(_xlfn.CONCAT(sales_data_sample[[#This Row],[CONTACTFIRSTNAME]],", ",sales_data_sample[[#This Row],[CONTACTLASTNAME]]))</f>
        <v>Paolo, Accorti</v>
      </c>
      <c r="AA1553" s="1" t="s">
        <v>40</v>
      </c>
    </row>
    <row r="1554" spans="1:27" x14ac:dyDescent="0.25">
      <c r="A1554">
        <v>10288</v>
      </c>
      <c r="B1554">
        <v>29</v>
      </c>
      <c r="C1554">
        <v>3817</v>
      </c>
      <c r="D1554">
        <f>PRODUCT(sales_data_sample[[#This Row],[QUANTITYORDERED]],sales_data_sample[[#This Row],[PRICEEACH]])</f>
        <v>110693</v>
      </c>
      <c r="E1554" s="9">
        <f>IF(OR(sales_data_sample[[#This Row],[STATUS]]="Shipped",sales_data_sample[[#This Row],[STATUS]]="Resolved"),sales_data_sample[[#This Row],[SALES]],0)</f>
        <v>110693</v>
      </c>
      <c r="F1554">
        <v>1</v>
      </c>
      <c r="G1554" s="12" t="s">
        <v>834</v>
      </c>
      <c r="H1554" s="1" t="s">
        <v>26</v>
      </c>
      <c r="I1554">
        <v>3</v>
      </c>
      <c r="J1554">
        <v>9</v>
      </c>
      <c r="K1554">
        <v>2004</v>
      </c>
      <c r="L1554" s="1" t="s">
        <v>799</v>
      </c>
      <c r="M1554">
        <v>33</v>
      </c>
      <c r="N1554" s="1" t="s">
        <v>955</v>
      </c>
      <c r="O1554" s="1" t="s">
        <v>577</v>
      </c>
      <c r="P1554" s="1" t="s">
        <v>578</v>
      </c>
      <c r="Q1554" s="1" t="s">
        <v>579</v>
      </c>
      <c r="R1554" s="1" t="s">
        <v>580</v>
      </c>
      <c r="S1554" s="1" t="s">
        <v>262</v>
      </c>
      <c r="T1554" s="1" t="s">
        <v>32</v>
      </c>
      <c r="U1554" s="1" t="s">
        <v>581</v>
      </c>
      <c r="V1554" s="1" t="s">
        <v>262</v>
      </c>
      <c r="W1554" s="1" t="s">
        <v>121</v>
      </c>
      <c r="X1554" s="1" t="s">
        <v>582</v>
      </c>
      <c r="Y1554" s="1" t="s">
        <v>583</v>
      </c>
      <c r="Z1554" s="1" t="str">
        <f>TRIM(_xlfn.CONCAT(sales_data_sample[[#This Row],[CONTACTFIRSTNAME]],", ",sales_data_sample[[#This Row],[CONTACTLASTNAME]]))</f>
        <v>Wendy, Victorino</v>
      </c>
      <c r="AA1554" s="1" t="s">
        <v>40</v>
      </c>
    </row>
    <row r="1555" spans="1:27" x14ac:dyDescent="0.25">
      <c r="A1555" s="10">
        <v>10304</v>
      </c>
      <c r="B1555" s="9">
        <v>23</v>
      </c>
      <c r="C1555" s="9">
        <v>302</v>
      </c>
      <c r="D1555" s="9">
        <f>PRODUCT(sales_data_sample[[#This Row],[QUANTITYORDERED]],sales_data_sample[[#This Row],[PRICEEACH]])</f>
        <v>6946</v>
      </c>
      <c r="E1555" s="9">
        <f>IF(OR(sales_data_sample[[#This Row],[STATUS]]="Shipped",sales_data_sample[[#This Row],[STATUS]]="Resolved"),sales_data_sample[[#This Row],[SALES]],0)</f>
        <v>6946</v>
      </c>
      <c r="F1555" s="10">
        <v>16</v>
      </c>
      <c r="G1555" s="12" t="s">
        <v>353</v>
      </c>
      <c r="H1555" s="1" t="s">
        <v>26</v>
      </c>
      <c r="I1555">
        <v>4</v>
      </c>
      <c r="J1555">
        <v>10</v>
      </c>
      <c r="K1555">
        <v>2004</v>
      </c>
      <c r="L1555" s="1" t="s">
        <v>799</v>
      </c>
      <c r="M1555">
        <v>33</v>
      </c>
      <c r="N1555" s="1" t="s">
        <v>955</v>
      </c>
      <c r="O1555" s="1" t="s">
        <v>354</v>
      </c>
      <c r="P1555" s="1" t="s">
        <v>355</v>
      </c>
      <c r="Q1555" s="1" t="s">
        <v>356</v>
      </c>
      <c r="R1555" s="1" t="s">
        <v>32</v>
      </c>
      <c r="S1555" s="1" t="s">
        <v>357</v>
      </c>
      <c r="T1555" s="1" t="s">
        <v>32</v>
      </c>
      <c r="U1555" s="1" t="s">
        <v>358</v>
      </c>
      <c r="V1555" s="1" t="s">
        <v>47</v>
      </c>
      <c r="W1555" s="1" t="s">
        <v>48</v>
      </c>
      <c r="X1555" s="1" t="s">
        <v>359</v>
      </c>
      <c r="Y1555" s="1" t="s">
        <v>58</v>
      </c>
      <c r="Z1555" s="1" t="str">
        <f>TRIM(_xlfn.CONCAT(sales_data_sample[[#This Row],[CONTACTFIRSTNAME]],", ",sales_data_sample[[#This Row],[CONTACTLASTNAME]]))</f>
        <v>Daniel, Tonini</v>
      </c>
      <c r="AA1555" s="1" t="s">
        <v>40</v>
      </c>
    </row>
    <row r="1556" spans="1:27" x14ac:dyDescent="0.25">
      <c r="A1556" s="10">
        <v>10312</v>
      </c>
      <c r="B1556" s="9">
        <v>39</v>
      </c>
      <c r="C1556" s="9">
        <v>2954</v>
      </c>
      <c r="D1556" s="9">
        <f>PRODUCT(sales_data_sample[[#This Row],[QUANTITYORDERED]],sales_data_sample[[#This Row],[PRICEEACH]])</f>
        <v>115206</v>
      </c>
      <c r="E1556" s="9">
        <f>IF(OR(sales_data_sample[[#This Row],[STATUS]]="Shipped",sales_data_sample[[#This Row],[STATUS]]="Resolved"),sales_data_sample[[#This Row],[SALES]],0)</f>
        <v>115206</v>
      </c>
      <c r="F1556" s="10">
        <v>13</v>
      </c>
      <c r="G1556" s="12" t="s">
        <v>360</v>
      </c>
      <c r="H1556" s="1" t="s">
        <v>26</v>
      </c>
      <c r="I1556">
        <v>4</v>
      </c>
      <c r="J1556">
        <v>10</v>
      </c>
      <c r="K1556">
        <v>2004</v>
      </c>
      <c r="L1556" s="1" t="s">
        <v>799</v>
      </c>
      <c r="M1556">
        <v>33</v>
      </c>
      <c r="N1556" s="1" t="s">
        <v>955</v>
      </c>
      <c r="O1556" s="1" t="s">
        <v>361</v>
      </c>
      <c r="P1556" s="1" t="s">
        <v>362</v>
      </c>
      <c r="Q1556" s="1" t="s">
        <v>363</v>
      </c>
      <c r="R1556" s="1" t="s">
        <v>32</v>
      </c>
      <c r="S1556" s="1" t="s">
        <v>364</v>
      </c>
      <c r="T1556" s="1" t="s">
        <v>65</v>
      </c>
      <c r="U1556" s="1" t="s">
        <v>145</v>
      </c>
      <c r="V1556" s="1" t="s">
        <v>36</v>
      </c>
      <c r="W1556" s="1" t="s">
        <v>37</v>
      </c>
      <c r="X1556" s="1" t="s">
        <v>365</v>
      </c>
      <c r="Y1556" s="1" t="s">
        <v>366</v>
      </c>
      <c r="Z1556" s="1" t="str">
        <f>TRIM(_xlfn.CONCAT(sales_data_sample[[#This Row],[CONTACTFIRSTNAME]],", ",sales_data_sample[[#This Row],[CONTACTLASTNAME]]))</f>
        <v>Valarie, Nelson</v>
      </c>
      <c r="AA1556" s="1" t="s">
        <v>40</v>
      </c>
    </row>
    <row r="1557" spans="1:27" x14ac:dyDescent="0.25">
      <c r="A1557" s="10">
        <v>10322</v>
      </c>
      <c r="B1557" s="9">
        <v>20</v>
      </c>
      <c r="C1557" s="9">
        <v>100</v>
      </c>
      <c r="D1557" s="9">
        <f>PRODUCT(sales_data_sample[[#This Row],[QUANTITYORDERED]],sales_data_sample[[#This Row],[PRICEEACH]])</f>
        <v>2000</v>
      </c>
      <c r="E1557" s="9">
        <f>IF(OR(sales_data_sample[[#This Row],[STATUS]]="Shipped",sales_data_sample[[#This Row],[STATUS]]="Resolved"),sales_data_sample[[#This Row],[SALES]],0)</f>
        <v>2000</v>
      </c>
      <c r="F1557" s="10">
        <v>3</v>
      </c>
      <c r="G1557" s="12" t="s">
        <v>367</v>
      </c>
      <c r="H1557" s="1" t="s">
        <v>26</v>
      </c>
      <c r="I1557">
        <v>4</v>
      </c>
      <c r="J1557">
        <v>11</v>
      </c>
      <c r="K1557">
        <v>2004</v>
      </c>
      <c r="L1557" s="1" t="s">
        <v>799</v>
      </c>
      <c r="M1557">
        <v>33</v>
      </c>
      <c r="N1557" s="1" t="s">
        <v>955</v>
      </c>
      <c r="O1557" s="1" t="s">
        <v>368</v>
      </c>
      <c r="P1557" s="1" t="s">
        <v>369</v>
      </c>
      <c r="Q1557" s="1" t="s">
        <v>370</v>
      </c>
      <c r="R1557" s="1" t="s">
        <v>32</v>
      </c>
      <c r="S1557" s="1" t="s">
        <v>371</v>
      </c>
      <c r="T1557" s="1" t="s">
        <v>372</v>
      </c>
      <c r="U1557" s="1" t="s">
        <v>373</v>
      </c>
      <c r="V1557" s="1" t="s">
        <v>36</v>
      </c>
      <c r="W1557" s="1" t="s">
        <v>37</v>
      </c>
      <c r="X1557" s="1" t="s">
        <v>67</v>
      </c>
      <c r="Y1557" s="1" t="s">
        <v>366</v>
      </c>
      <c r="Z1557" s="1" t="str">
        <f>TRIM(_xlfn.CONCAT(sales_data_sample[[#This Row],[CONTACTFIRSTNAME]],", ",sales_data_sample[[#This Row],[CONTACTLASTNAME]]))</f>
        <v>Valarie, Young</v>
      </c>
      <c r="AA1557" s="1" t="s">
        <v>40</v>
      </c>
    </row>
    <row r="1558" spans="1:27" x14ac:dyDescent="0.25">
      <c r="A1558" s="10">
        <v>10332</v>
      </c>
      <c r="B1558" s="9">
        <v>45</v>
      </c>
      <c r="C1558" s="9">
        <v>8191</v>
      </c>
      <c r="D1558" s="9">
        <f>PRODUCT(sales_data_sample[[#This Row],[QUANTITYORDERED]],sales_data_sample[[#This Row],[PRICEEACH]])</f>
        <v>368595</v>
      </c>
      <c r="E1558" s="9">
        <f>IF(OR(sales_data_sample[[#This Row],[STATUS]]="Shipped",sales_data_sample[[#This Row],[STATUS]]="Resolved"),sales_data_sample[[#This Row],[SALES]],0)</f>
        <v>368595</v>
      </c>
      <c r="F1558" s="10">
        <v>6</v>
      </c>
      <c r="G1558" s="12" t="s">
        <v>793</v>
      </c>
      <c r="H1558" s="1" t="s">
        <v>26</v>
      </c>
      <c r="I1558">
        <v>4</v>
      </c>
      <c r="J1558">
        <v>11</v>
      </c>
      <c r="K1558">
        <v>2004</v>
      </c>
      <c r="L1558" s="1" t="s">
        <v>799</v>
      </c>
      <c r="M1558">
        <v>33</v>
      </c>
      <c r="N1558" s="1" t="s">
        <v>955</v>
      </c>
      <c r="O1558" s="1" t="s">
        <v>695</v>
      </c>
      <c r="P1558" s="1" t="s">
        <v>696</v>
      </c>
      <c r="Q1558" s="1" t="s">
        <v>697</v>
      </c>
      <c r="R1558" s="1" t="s">
        <v>32</v>
      </c>
      <c r="S1558" s="1" t="s">
        <v>698</v>
      </c>
      <c r="T1558" s="1" t="s">
        <v>32</v>
      </c>
      <c r="U1558" s="1" t="s">
        <v>699</v>
      </c>
      <c r="V1558" s="1" t="s">
        <v>225</v>
      </c>
      <c r="W1558" s="1" t="s">
        <v>48</v>
      </c>
      <c r="X1558" s="1" t="s">
        <v>700</v>
      </c>
      <c r="Y1558" s="1" t="s">
        <v>118</v>
      </c>
      <c r="Z1558" s="1" t="str">
        <f>TRIM(_xlfn.CONCAT(sales_data_sample[[#This Row],[CONTACTFIRSTNAME]],", ",sales_data_sample[[#This Row],[CONTACTLASTNAME]]))</f>
        <v>Victoria, Ashworth</v>
      </c>
      <c r="AA1558" s="1" t="s">
        <v>59</v>
      </c>
    </row>
    <row r="1559" spans="1:27" x14ac:dyDescent="0.25">
      <c r="A1559" s="10">
        <v>10344</v>
      </c>
      <c r="B1559" s="9">
        <v>20</v>
      </c>
      <c r="C1559" s="9">
        <v>3518</v>
      </c>
      <c r="D1559" s="9">
        <f>PRODUCT(sales_data_sample[[#This Row],[QUANTITYORDERED]],sales_data_sample[[#This Row],[PRICEEACH]])</f>
        <v>70360</v>
      </c>
      <c r="E1559" s="9">
        <f>IF(OR(sales_data_sample[[#This Row],[STATUS]]="Shipped",sales_data_sample[[#This Row],[STATUS]]="Resolved"),sales_data_sample[[#This Row],[SALES]],0)</f>
        <v>70360</v>
      </c>
      <c r="F1559" s="10">
        <v>6</v>
      </c>
      <c r="G1559" s="12" t="s">
        <v>875</v>
      </c>
      <c r="H1559" s="1" t="s">
        <v>26</v>
      </c>
      <c r="I1559">
        <v>4</v>
      </c>
      <c r="J1559">
        <v>11</v>
      </c>
      <c r="K1559">
        <v>2004</v>
      </c>
      <c r="L1559" s="1" t="s">
        <v>799</v>
      </c>
      <c r="M1559">
        <v>33</v>
      </c>
      <c r="N1559" s="1" t="s">
        <v>955</v>
      </c>
      <c r="O1559" s="1" t="s">
        <v>600</v>
      </c>
      <c r="P1559" s="1" t="s">
        <v>601</v>
      </c>
      <c r="Q1559" s="1" t="s">
        <v>602</v>
      </c>
      <c r="R1559" s="1" t="s">
        <v>32</v>
      </c>
      <c r="S1559" s="1" t="s">
        <v>603</v>
      </c>
      <c r="T1559" s="1" t="s">
        <v>32</v>
      </c>
      <c r="U1559" s="1" t="s">
        <v>604</v>
      </c>
      <c r="V1559" s="1" t="s">
        <v>47</v>
      </c>
      <c r="W1559" s="1" t="s">
        <v>48</v>
      </c>
      <c r="X1559" s="1" t="s">
        <v>605</v>
      </c>
      <c r="Y1559" s="1" t="s">
        <v>606</v>
      </c>
      <c r="Z1559" s="1" t="str">
        <f>TRIM(_xlfn.CONCAT(sales_data_sample[[#This Row],[CONTACTFIRSTNAME]],", ",sales_data_sample[[#This Row],[CONTACTLASTNAME]]))</f>
        <v>Laurence, Lebihan</v>
      </c>
      <c r="AA1559" s="1" t="s">
        <v>40</v>
      </c>
    </row>
    <row r="1560" spans="1:27" x14ac:dyDescent="0.25">
      <c r="A1560" s="10">
        <v>10356</v>
      </c>
      <c r="B1560" s="9">
        <v>48</v>
      </c>
      <c r="C1560" s="9">
        <v>100</v>
      </c>
      <c r="D1560" s="9">
        <f>PRODUCT(sales_data_sample[[#This Row],[QUANTITYORDERED]],sales_data_sample[[#This Row],[PRICEEACH]])</f>
        <v>4800</v>
      </c>
      <c r="E1560" s="9">
        <f>IF(OR(sales_data_sample[[#This Row],[STATUS]]="Shipped",sales_data_sample[[#This Row],[STATUS]]="Resolved"),sales_data_sample[[#This Row],[SALES]],0)</f>
        <v>4800</v>
      </c>
      <c r="F1560" s="10">
        <v>5</v>
      </c>
      <c r="G1560" s="12" t="s">
        <v>794</v>
      </c>
      <c r="H1560" s="1" t="s">
        <v>26</v>
      </c>
      <c r="I1560">
        <v>4</v>
      </c>
      <c r="J1560">
        <v>12</v>
      </c>
      <c r="K1560">
        <v>2004</v>
      </c>
      <c r="L1560" s="1" t="s">
        <v>799</v>
      </c>
      <c r="M1560">
        <v>33</v>
      </c>
      <c r="N1560" s="1" t="s">
        <v>955</v>
      </c>
      <c r="O1560" s="1" t="s">
        <v>52</v>
      </c>
      <c r="P1560" s="1" t="s">
        <v>53</v>
      </c>
      <c r="Q1560" s="1" t="s">
        <v>54</v>
      </c>
      <c r="R1560" s="1" t="s">
        <v>32</v>
      </c>
      <c r="S1560" s="1" t="s">
        <v>55</v>
      </c>
      <c r="T1560" s="1" t="s">
        <v>32</v>
      </c>
      <c r="U1560" s="1" t="s">
        <v>56</v>
      </c>
      <c r="V1560" s="1" t="s">
        <v>47</v>
      </c>
      <c r="W1560" s="1" t="s">
        <v>48</v>
      </c>
      <c r="X1560" s="1" t="s">
        <v>57</v>
      </c>
      <c r="Y1560" s="1" t="s">
        <v>58</v>
      </c>
      <c r="Z1560" s="1" t="str">
        <f>TRIM(_xlfn.CONCAT(sales_data_sample[[#This Row],[CONTACTFIRSTNAME]],", ",sales_data_sample[[#This Row],[CONTACTLASTNAME]]))</f>
        <v>Daniel, Da Cunha</v>
      </c>
      <c r="AA1560" s="1" t="s">
        <v>199</v>
      </c>
    </row>
    <row r="1561" spans="1:27" x14ac:dyDescent="0.25">
      <c r="A1561" s="10">
        <v>10367</v>
      </c>
      <c r="B1561" s="9">
        <v>23</v>
      </c>
      <c r="C1561" s="9">
        <v>3629</v>
      </c>
      <c r="D1561" s="9">
        <f>PRODUCT(sales_data_sample[[#This Row],[QUANTITYORDERED]],sales_data_sample[[#This Row],[PRICEEACH]])</f>
        <v>83467</v>
      </c>
      <c r="E1561" s="9">
        <f>IF(OR(sales_data_sample[[#This Row],[STATUS]]="Shipped",sales_data_sample[[#This Row],[STATUS]]="Resolved"),sales_data_sample[[#This Row],[SALES]],0)</f>
        <v>83467</v>
      </c>
      <c r="F1561" s="10">
        <v>13</v>
      </c>
      <c r="G1561" s="12" t="s">
        <v>835</v>
      </c>
      <c r="H1561" s="1" t="s">
        <v>563</v>
      </c>
      <c r="I1561">
        <v>1</v>
      </c>
      <c r="J1561">
        <v>1</v>
      </c>
      <c r="K1561">
        <v>2005</v>
      </c>
      <c r="L1561" s="1" t="s">
        <v>799</v>
      </c>
      <c r="M1561">
        <v>33</v>
      </c>
      <c r="N1561" s="1" t="s">
        <v>955</v>
      </c>
      <c r="O1561" s="1" t="s">
        <v>61</v>
      </c>
      <c r="P1561" s="1" t="s">
        <v>62</v>
      </c>
      <c r="Q1561" s="1" t="s">
        <v>63</v>
      </c>
      <c r="R1561" s="1" t="s">
        <v>32</v>
      </c>
      <c r="S1561" s="1" t="s">
        <v>64</v>
      </c>
      <c r="T1561" s="1" t="s">
        <v>65</v>
      </c>
      <c r="U1561" s="1" t="s">
        <v>66</v>
      </c>
      <c r="V1561" s="1" t="s">
        <v>36</v>
      </c>
      <c r="W1561" s="1" t="s">
        <v>37</v>
      </c>
      <c r="X1561" s="1" t="s">
        <v>67</v>
      </c>
      <c r="Y1561" s="1" t="s">
        <v>68</v>
      </c>
      <c r="Z1561" s="1" t="str">
        <f>TRIM(_xlfn.CONCAT(sales_data_sample[[#This Row],[CONTACTFIRSTNAME]],", ",sales_data_sample[[#This Row],[CONTACTLASTNAME]]))</f>
        <v>Julie, Young</v>
      </c>
      <c r="AA1561" s="1" t="s">
        <v>40</v>
      </c>
    </row>
    <row r="1562" spans="1:27" x14ac:dyDescent="0.25">
      <c r="A1562" s="10">
        <v>10380</v>
      </c>
      <c r="B1562" s="9">
        <v>32</v>
      </c>
      <c r="C1562" s="9">
        <v>7056</v>
      </c>
      <c r="D1562" s="9">
        <f>PRODUCT(sales_data_sample[[#This Row],[QUANTITYORDERED]],sales_data_sample[[#This Row],[PRICEEACH]])</f>
        <v>225792</v>
      </c>
      <c r="E1562" s="9">
        <f>IF(OR(sales_data_sample[[#This Row],[STATUS]]="Shipped",sales_data_sample[[#This Row],[STATUS]]="Resolved"),sales_data_sample[[#This Row],[SALES]],0)</f>
        <v>225792</v>
      </c>
      <c r="F1562" s="10">
        <v>4</v>
      </c>
      <c r="G1562" s="12" t="s">
        <v>826</v>
      </c>
      <c r="H1562" s="1" t="s">
        <v>26</v>
      </c>
      <c r="I1562">
        <v>1</v>
      </c>
      <c r="J1562">
        <v>2</v>
      </c>
      <c r="K1562">
        <v>2005</v>
      </c>
      <c r="L1562" s="1" t="s">
        <v>799</v>
      </c>
      <c r="M1562">
        <v>33</v>
      </c>
      <c r="N1562" s="1" t="s">
        <v>955</v>
      </c>
      <c r="O1562" s="1" t="s">
        <v>230</v>
      </c>
      <c r="P1562" s="1" t="s">
        <v>231</v>
      </c>
      <c r="Q1562" s="1" t="s">
        <v>232</v>
      </c>
      <c r="R1562" s="1" t="s">
        <v>32</v>
      </c>
      <c r="S1562" s="1" t="s">
        <v>233</v>
      </c>
      <c r="T1562" s="1" t="s">
        <v>32</v>
      </c>
      <c r="U1562" s="1" t="s">
        <v>234</v>
      </c>
      <c r="V1562" s="1" t="s">
        <v>235</v>
      </c>
      <c r="W1562" s="1" t="s">
        <v>48</v>
      </c>
      <c r="X1562" s="1" t="s">
        <v>236</v>
      </c>
      <c r="Y1562" s="1" t="s">
        <v>237</v>
      </c>
      <c r="Z1562" s="1" t="str">
        <f>TRIM(_xlfn.CONCAT(sales_data_sample[[#This Row],[CONTACTFIRSTNAME]],", ",sales_data_sample[[#This Row],[CONTACTLASTNAME]]))</f>
        <v>Diego, Freyre</v>
      </c>
      <c r="AA1562" s="1" t="s">
        <v>40</v>
      </c>
    </row>
    <row r="1563" spans="1:27" x14ac:dyDescent="0.25">
      <c r="A1563">
        <v>10391</v>
      </c>
      <c r="B1563">
        <v>33</v>
      </c>
      <c r="C1563">
        <v>100</v>
      </c>
      <c r="D1563">
        <f>PRODUCT(sales_data_sample[[#This Row],[QUANTITYORDERED]],sales_data_sample[[#This Row],[PRICEEACH]])</f>
        <v>3300</v>
      </c>
      <c r="E1563" s="9">
        <f>IF(OR(sales_data_sample[[#This Row],[STATUS]]="Shipped",sales_data_sample[[#This Row],[STATUS]]="Resolved"),sales_data_sample[[#This Row],[SALES]],0)</f>
        <v>3300</v>
      </c>
      <c r="F1563">
        <v>8</v>
      </c>
      <c r="G1563" s="12" t="s">
        <v>384</v>
      </c>
      <c r="H1563" s="1" t="s">
        <v>26</v>
      </c>
      <c r="I1563">
        <v>1</v>
      </c>
      <c r="J1563">
        <v>3</v>
      </c>
      <c r="K1563">
        <v>2005</v>
      </c>
      <c r="L1563" s="1" t="s">
        <v>799</v>
      </c>
      <c r="M1563">
        <v>33</v>
      </c>
      <c r="N1563" s="1" t="s">
        <v>955</v>
      </c>
      <c r="O1563" s="1" t="s">
        <v>385</v>
      </c>
      <c r="P1563" s="1" t="s">
        <v>386</v>
      </c>
      <c r="Q1563" s="1" t="s">
        <v>387</v>
      </c>
      <c r="R1563" s="1" t="s">
        <v>388</v>
      </c>
      <c r="S1563" s="1" t="s">
        <v>389</v>
      </c>
      <c r="T1563" s="1" t="s">
        <v>206</v>
      </c>
      <c r="U1563" s="1" t="s">
        <v>390</v>
      </c>
      <c r="V1563" s="1" t="s">
        <v>120</v>
      </c>
      <c r="W1563" s="1" t="s">
        <v>121</v>
      </c>
      <c r="X1563" s="1" t="s">
        <v>391</v>
      </c>
      <c r="Y1563" s="1" t="s">
        <v>392</v>
      </c>
      <c r="Z1563" s="1" t="str">
        <f>TRIM(_xlfn.CONCAT(sales_data_sample[[#This Row],[CONTACTFIRSTNAME]],", ",sales_data_sample[[#This Row],[CONTACTLASTNAME]]))</f>
        <v>Anna, O'Hara</v>
      </c>
      <c r="AA1563" s="1" t="s">
        <v>199</v>
      </c>
    </row>
    <row r="1564" spans="1:27" x14ac:dyDescent="0.25">
      <c r="A1564">
        <v>10409</v>
      </c>
      <c r="B1564">
        <v>61</v>
      </c>
      <c r="C1564">
        <v>2954</v>
      </c>
      <c r="D1564">
        <f>PRODUCT(sales_data_sample[[#This Row],[QUANTITYORDERED]],sales_data_sample[[#This Row],[PRICEEACH]])</f>
        <v>180194</v>
      </c>
      <c r="E1564" s="9">
        <f>IF(OR(sales_data_sample[[#This Row],[STATUS]]="Shipped",sales_data_sample[[#This Row],[STATUS]]="Resolved"),sales_data_sample[[#This Row],[SALES]],0)</f>
        <v>180194</v>
      </c>
      <c r="F1564">
        <v>1</v>
      </c>
      <c r="G1564" s="12" t="s">
        <v>888</v>
      </c>
      <c r="H1564" s="1" t="s">
        <v>26</v>
      </c>
      <c r="I1564">
        <v>2</v>
      </c>
      <c r="J1564">
        <v>4</v>
      </c>
      <c r="K1564">
        <v>2005</v>
      </c>
      <c r="L1564" s="1" t="s">
        <v>799</v>
      </c>
      <c r="M1564">
        <v>33</v>
      </c>
      <c r="N1564" s="1" t="s">
        <v>955</v>
      </c>
      <c r="O1564" s="1" t="s">
        <v>577</v>
      </c>
      <c r="P1564" s="1" t="s">
        <v>578</v>
      </c>
      <c r="Q1564" s="1" t="s">
        <v>579</v>
      </c>
      <c r="R1564" s="1" t="s">
        <v>580</v>
      </c>
      <c r="S1564" s="1" t="s">
        <v>262</v>
      </c>
      <c r="T1564" s="1" t="s">
        <v>32</v>
      </c>
      <c r="U1564" s="1" t="s">
        <v>581</v>
      </c>
      <c r="V1564" s="1" t="s">
        <v>262</v>
      </c>
      <c r="W1564" s="1" t="s">
        <v>121</v>
      </c>
      <c r="X1564" s="1" t="s">
        <v>582</v>
      </c>
      <c r="Y1564" s="1" t="s">
        <v>583</v>
      </c>
      <c r="Z1564" s="1" t="str">
        <f>TRIM(_xlfn.CONCAT(sales_data_sample[[#This Row],[CONTACTFIRSTNAME]],", ",sales_data_sample[[#This Row],[CONTACTLASTNAME]]))</f>
        <v>Wendy, Victorino</v>
      </c>
      <c r="AA1564" s="1" t="s">
        <v>40</v>
      </c>
    </row>
    <row r="1565" spans="1:27" x14ac:dyDescent="0.25">
      <c r="A1565">
        <v>10420</v>
      </c>
      <c r="B1565">
        <v>45</v>
      </c>
      <c r="C1565">
        <v>2688</v>
      </c>
      <c r="D1565">
        <f>PRODUCT(sales_data_sample[[#This Row],[QUANTITYORDERED]],sales_data_sample[[#This Row],[PRICEEACH]])</f>
        <v>120960</v>
      </c>
      <c r="E1565" s="9">
        <f>IF(OR(sales_data_sample[[#This Row],[STATUS]]="Shipped",sales_data_sample[[#This Row],[STATUS]]="Resolved"),sales_data_sample[[#This Row],[SALES]],0)</f>
        <v>0</v>
      </c>
      <c r="F1565">
        <v>1</v>
      </c>
      <c r="G1565" s="12" t="s">
        <v>876</v>
      </c>
      <c r="H1565" s="1" t="s">
        <v>403</v>
      </c>
      <c r="I1565">
        <v>2</v>
      </c>
      <c r="J1565">
        <v>5</v>
      </c>
      <c r="K1565">
        <v>2005</v>
      </c>
      <c r="L1565" s="1" t="s">
        <v>799</v>
      </c>
      <c r="M1565">
        <v>33</v>
      </c>
      <c r="N1565" s="1" t="s">
        <v>955</v>
      </c>
      <c r="O1565" s="1" t="s">
        <v>201</v>
      </c>
      <c r="P1565" s="1" t="s">
        <v>202</v>
      </c>
      <c r="Q1565" s="1" t="s">
        <v>203</v>
      </c>
      <c r="R1565" s="1" t="s">
        <v>204</v>
      </c>
      <c r="S1565" s="1" t="s">
        <v>205</v>
      </c>
      <c r="T1565" s="1" t="s">
        <v>206</v>
      </c>
      <c r="U1565" s="1" t="s">
        <v>207</v>
      </c>
      <c r="V1565" s="1" t="s">
        <v>120</v>
      </c>
      <c r="W1565" s="1" t="s">
        <v>121</v>
      </c>
      <c r="X1565" s="1" t="s">
        <v>208</v>
      </c>
      <c r="Y1565" s="1" t="s">
        <v>209</v>
      </c>
      <c r="Z1565" s="1" t="str">
        <f>TRIM(_xlfn.CONCAT(sales_data_sample[[#This Row],[CONTACTFIRSTNAME]],", ",sales_data_sample[[#This Row],[CONTACTLASTNAME]]))</f>
        <v>Adrian, Huxley</v>
      </c>
      <c r="AA1565" s="1" t="s">
        <v>40</v>
      </c>
    </row>
    <row r="1566" spans="1:27" x14ac:dyDescent="0.25">
      <c r="A1566" s="10">
        <v>10107</v>
      </c>
      <c r="B1566" s="9">
        <v>38</v>
      </c>
      <c r="C1566" s="9">
        <v>8303</v>
      </c>
      <c r="D1566" s="9">
        <f>PRODUCT(sales_data_sample[[#This Row],[QUANTITYORDERED]],sales_data_sample[[#This Row],[PRICEEACH]])</f>
        <v>315514</v>
      </c>
      <c r="E1566" s="9">
        <f>IF(OR(sales_data_sample[[#This Row],[STATUS]]="Shipped",sales_data_sample[[#This Row],[STATUS]]="Resolved"),sales_data_sample[[#This Row],[SALES]],0)</f>
        <v>315514</v>
      </c>
      <c r="F1566" s="10">
        <v>7</v>
      </c>
      <c r="G1566" s="12" t="s">
        <v>25</v>
      </c>
      <c r="H1566" s="1" t="s">
        <v>26</v>
      </c>
      <c r="I1566">
        <v>1</v>
      </c>
      <c r="J1566">
        <v>2</v>
      </c>
      <c r="K1566">
        <v>2003</v>
      </c>
      <c r="L1566" s="1" t="s">
        <v>27</v>
      </c>
      <c r="M1566">
        <v>76</v>
      </c>
      <c r="N1566" s="1" t="s">
        <v>956</v>
      </c>
      <c r="O1566" s="1" t="s">
        <v>29</v>
      </c>
      <c r="P1566" s="1" t="s">
        <v>30</v>
      </c>
      <c r="Q1566" s="1" t="s">
        <v>31</v>
      </c>
      <c r="R1566" s="1" t="s">
        <v>32</v>
      </c>
      <c r="S1566" s="1" t="s">
        <v>33</v>
      </c>
      <c r="T1566" s="1" t="s">
        <v>34</v>
      </c>
      <c r="U1566" s="1" t="s">
        <v>35</v>
      </c>
      <c r="V1566" s="1" t="s">
        <v>36</v>
      </c>
      <c r="W1566" s="1" t="s">
        <v>37</v>
      </c>
      <c r="X1566" s="1" t="s">
        <v>38</v>
      </c>
      <c r="Y1566" s="1" t="s">
        <v>39</v>
      </c>
      <c r="Z1566" s="1" t="str">
        <f>TRIM(_xlfn.CONCAT(sales_data_sample[[#This Row],[CONTACTFIRSTNAME]],", ",sales_data_sample[[#This Row],[CONTACTLASTNAME]]))</f>
        <v>Kwai, Yu</v>
      </c>
      <c r="AA1566" s="1" t="s">
        <v>59</v>
      </c>
    </row>
    <row r="1567" spans="1:27" x14ac:dyDescent="0.25">
      <c r="A1567">
        <v>10120</v>
      </c>
      <c r="B1567">
        <v>34</v>
      </c>
      <c r="C1567">
        <v>8379</v>
      </c>
      <c r="D1567">
        <f>PRODUCT(sales_data_sample[[#This Row],[QUANTITYORDERED]],sales_data_sample[[#This Row],[PRICEEACH]])</f>
        <v>284886</v>
      </c>
      <c r="E1567" s="9">
        <f>IF(OR(sales_data_sample[[#This Row],[STATUS]]="Shipped",sales_data_sample[[#This Row],[STATUS]]="Resolved"),sales_data_sample[[#This Row],[SALES]],0)</f>
        <v>284886</v>
      </c>
      <c r="F1567">
        <v>5</v>
      </c>
      <c r="G1567" s="12" t="s">
        <v>405</v>
      </c>
      <c r="H1567" s="1" t="s">
        <v>26</v>
      </c>
      <c r="I1567">
        <v>2</v>
      </c>
      <c r="J1567">
        <v>4</v>
      </c>
      <c r="K1567">
        <v>2003</v>
      </c>
      <c r="L1567" s="1" t="s">
        <v>27</v>
      </c>
      <c r="M1567">
        <v>76</v>
      </c>
      <c r="N1567" s="1" t="s">
        <v>956</v>
      </c>
      <c r="O1567" s="1" t="s">
        <v>113</v>
      </c>
      <c r="P1567" s="1" t="s">
        <v>114</v>
      </c>
      <c r="Q1567" s="1" t="s">
        <v>115</v>
      </c>
      <c r="R1567" s="1" t="s">
        <v>116</v>
      </c>
      <c r="S1567" s="1" t="s">
        <v>117</v>
      </c>
      <c r="T1567" s="1" t="s">
        <v>118</v>
      </c>
      <c r="U1567" s="1" t="s">
        <v>119</v>
      </c>
      <c r="V1567" s="1" t="s">
        <v>120</v>
      </c>
      <c r="W1567" s="1" t="s">
        <v>121</v>
      </c>
      <c r="X1567" s="1" t="s">
        <v>122</v>
      </c>
      <c r="Y1567" s="1" t="s">
        <v>123</v>
      </c>
      <c r="Z1567" s="1" t="str">
        <f>TRIM(_xlfn.CONCAT(sales_data_sample[[#This Row],[CONTACTFIRSTNAME]],", ",sales_data_sample[[#This Row],[CONTACTLASTNAME]]))</f>
        <v>Peter, Ferguson</v>
      </c>
      <c r="AA1567" s="1" t="s">
        <v>40</v>
      </c>
    </row>
    <row r="1568" spans="1:27" x14ac:dyDescent="0.25">
      <c r="A1568" s="10">
        <v>10134</v>
      </c>
      <c r="B1568" s="9">
        <v>43</v>
      </c>
      <c r="C1568" s="9">
        <v>8303</v>
      </c>
      <c r="D1568" s="9">
        <f>PRODUCT(sales_data_sample[[#This Row],[QUANTITYORDERED]],sales_data_sample[[#This Row],[PRICEEACH]])</f>
        <v>357029</v>
      </c>
      <c r="E1568" s="9">
        <f>IF(OR(sales_data_sample[[#This Row],[STATUS]]="Shipped",sales_data_sample[[#This Row],[STATUS]]="Resolved"),sales_data_sample[[#This Row],[SALES]],0)</f>
        <v>357029</v>
      </c>
      <c r="F1568" s="10">
        <v>7</v>
      </c>
      <c r="G1568" s="12" t="s">
        <v>51</v>
      </c>
      <c r="H1568" s="1" t="s">
        <v>26</v>
      </c>
      <c r="I1568">
        <v>3</v>
      </c>
      <c r="J1568">
        <v>7</v>
      </c>
      <c r="K1568">
        <v>2003</v>
      </c>
      <c r="L1568" s="1" t="s">
        <v>27</v>
      </c>
      <c r="M1568">
        <v>76</v>
      </c>
      <c r="N1568" s="1" t="s">
        <v>956</v>
      </c>
      <c r="O1568" s="1" t="s">
        <v>52</v>
      </c>
      <c r="P1568" s="1" t="s">
        <v>53</v>
      </c>
      <c r="Q1568" s="1" t="s">
        <v>54</v>
      </c>
      <c r="R1568" s="1" t="s">
        <v>32</v>
      </c>
      <c r="S1568" s="1" t="s">
        <v>55</v>
      </c>
      <c r="T1568" s="1" t="s">
        <v>32</v>
      </c>
      <c r="U1568" s="1" t="s">
        <v>56</v>
      </c>
      <c r="V1568" s="1" t="s">
        <v>47</v>
      </c>
      <c r="W1568" s="1" t="s">
        <v>48</v>
      </c>
      <c r="X1568" s="1" t="s">
        <v>57</v>
      </c>
      <c r="Y1568" s="1" t="s">
        <v>58</v>
      </c>
      <c r="Z1568" s="1" t="str">
        <f>TRIM(_xlfn.CONCAT(sales_data_sample[[#This Row],[CONTACTFIRSTNAME]],", ",sales_data_sample[[#This Row],[CONTACTLASTNAME]]))</f>
        <v>Daniel, Da Cunha</v>
      </c>
      <c r="AA1568" s="1" t="s">
        <v>59</v>
      </c>
    </row>
    <row r="1569" spans="1:27" x14ac:dyDescent="0.25">
      <c r="A1569" s="10">
        <v>10145</v>
      </c>
      <c r="B1569" s="9">
        <v>47</v>
      </c>
      <c r="C1569" s="9">
        <v>8303</v>
      </c>
      <c r="D1569" s="9">
        <f>PRODUCT(sales_data_sample[[#This Row],[QUANTITYORDERED]],sales_data_sample[[#This Row],[PRICEEACH]])</f>
        <v>390241</v>
      </c>
      <c r="E1569" s="9">
        <f>IF(OR(sales_data_sample[[#This Row],[STATUS]]="Shipped",sales_data_sample[[#This Row],[STATUS]]="Resolved"),sales_data_sample[[#This Row],[SALES]],0)</f>
        <v>390241</v>
      </c>
      <c r="F1569" s="10">
        <v>11</v>
      </c>
      <c r="G1569" s="12" t="s">
        <v>60</v>
      </c>
      <c r="H1569" s="1" t="s">
        <v>26</v>
      </c>
      <c r="I1569">
        <v>3</v>
      </c>
      <c r="J1569">
        <v>8</v>
      </c>
      <c r="K1569">
        <v>2003</v>
      </c>
      <c r="L1569" s="1" t="s">
        <v>27</v>
      </c>
      <c r="M1569">
        <v>76</v>
      </c>
      <c r="N1569" s="1" t="s">
        <v>956</v>
      </c>
      <c r="O1569" s="1" t="s">
        <v>61</v>
      </c>
      <c r="P1569" s="1" t="s">
        <v>62</v>
      </c>
      <c r="Q1569" s="1" t="s">
        <v>63</v>
      </c>
      <c r="R1569" s="1" t="s">
        <v>32</v>
      </c>
      <c r="S1569" s="1" t="s">
        <v>64</v>
      </c>
      <c r="T1569" s="1" t="s">
        <v>65</v>
      </c>
      <c r="U1569" s="1" t="s">
        <v>66</v>
      </c>
      <c r="V1569" s="1" t="s">
        <v>36</v>
      </c>
      <c r="W1569" s="1" t="s">
        <v>37</v>
      </c>
      <c r="X1569" s="1" t="s">
        <v>67</v>
      </c>
      <c r="Y1569" s="1" t="s">
        <v>68</v>
      </c>
      <c r="Z1569" s="1" t="str">
        <f>TRIM(_xlfn.CONCAT(sales_data_sample[[#This Row],[CONTACTFIRSTNAME]],", ",sales_data_sample[[#This Row],[CONTACTLASTNAME]]))</f>
        <v>Julie, Young</v>
      </c>
      <c r="AA1569" s="1" t="s">
        <v>59</v>
      </c>
    </row>
    <row r="1570" spans="1:27" x14ac:dyDescent="0.25">
      <c r="A1570" s="10">
        <v>10158</v>
      </c>
      <c r="B1570" s="9">
        <v>22</v>
      </c>
      <c r="C1570" s="9">
        <v>6703</v>
      </c>
      <c r="D1570" s="9">
        <f>PRODUCT(sales_data_sample[[#This Row],[QUANTITYORDERED]],sales_data_sample[[#This Row],[PRICEEACH]])</f>
        <v>147466</v>
      </c>
      <c r="E1570" s="9">
        <f>IF(OR(sales_data_sample[[#This Row],[STATUS]]="Shipped",sales_data_sample[[#This Row],[STATUS]]="Resolved"),sales_data_sample[[#This Row],[SALES]],0)</f>
        <v>147466</v>
      </c>
      <c r="F1570" s="10">
        <v>1</v>
      </c>
      <c r="G1570" s="12" t="s">
        <v>69</v>
      </c>
      <c r="H1570" s="1" t="s">
        <v>26</v>
      </c>
      <c r="I1570">
        <v>4</v>
      </c>
      <c r="J1570">
        <v>10</v>
      </c>
      <c r="K1570">
        <v>2003</v>
      </c>
      <c r="L1570" s="1" t="s">
        <v>27</v>
      </c>
      <c r="M1570">
        <v>76</v>
      </c>
      <c r="N1570" s="1" t="s">
        <v>956</v>
      </c>
      <c r="O1570" s="1" t="s">
        <v>174</v>
      </c>
      <c r="P1570" s="1" t="s">
        <v>175</v>
      </c>
      <c r="Q1570" s="1" t="s">
        <v>176</v>
      </c>
      <c r="R1570" s="1" t="s">
        <v>32</v>
      </c>
      <c r="S1570" s="1" t="s">
        <v>177</v>
      </c>
      <c r="T1570" s="1" t="s">
        <v>32</v>
      </c>
      <c r="U1570" s="1" t="s">
        <v>178</v>
      </c>
      <c r="V1570" s="1" t="s">
        <v>97</v>
      </c>
      <c r="W1570" s="1" t="s">
        <v>48</v>
      </c>
      <c r="X1570" s="1" t="s">
        <v>179</v>
      </c>
      <c r="Y1570" s="1" t="s">
        <v>180</v>
      </c>
      <c r="Z1570" s="1" t="str">
        <f>TRIM(_xlfn.CONCAT(sales_data_sample[[#This Row],[CONTACTFIRSTNAME]],", ",sales_data_sample[[#This Row],[CONTACTLASTNAME]]))</f>
        <v>Jonas, Bergulfsen</v>
      </c>
      <c r="AA1570" s="1" t="s">
        <v>40</v>
      </c>
    </row>
    <row r="1571" spans="1:27" x14ac:dyDescent="0.25">
      <c r="A1571" s="10">
        <v>10168</v>
      </c>
      <c r="B1571" s="9">
        <v>29</v>
      </c>
      <c r="C1571" s="9">
        <v>7541</v>
      </c>
      <c r="D1571" s="9">
        <f>PRODUCT(sales_data_sample[[#This Row],[QUANTITYORDERED]],sales_data_sample[[#This Row],[PRICEEACH]])</f>
        <v>218689</v>
      </c>
      <c r="E1571" s="9">
        <f>IF(OR(sales_data_sample[[#This Row],[STATUS]]="Shipped",sales_data_sample[[#This Row],[STATUS]]="Resolved"),sales_data_sample[[#This Row],[SALES]],0)</f>
        <v>218689</v>
      </c>
      <c r="F1571" s="10">
        <v>6</v>
      </c>
      <c r="G1571" s="12" t="s">
        <v>75</v>
      </c>
      <c r="H1571" s="1" t="s">
        <v>26</v>
      </c>
      <c r="I1571">
        <v>4</v>
      </c>
      <c r="J1571">
        <v>10</v>
      </c>
      <c r="K1571">
        <v>2003</v>
      </c>
      <c r="L1571" s="1" t="s">
        <v>27</v>
      </c>
      <c r="M1571">
        <v>76</v>
      </c>
      <c r="N1571" s="1" t="s">
        <v>956</v>
      </c>
      <c r="O1571" s="1" t="s">
        <v>76</v>
      </c>
      <c r="P1571" s="1" t="s">
        <v>77</v>
      </c>
      <c r="Q1571" s="1" t="s">
        <v>78</v>
      </c>
      <c r="R1571" s="1" t="s">
        <v>32</v>
      </c>
      <c r="S1571" s="1" t="s">
        <v>79</v>
      </c>
      <c r="T1571" s="1" t="s">
        <v>65</v>
      </c>
      <c r="U1571" s="1" t="s">
        <v>80</v>
      </c>
      <c r="V1571" s="1" t="s">
        <v>36</v>
      </c>
      <c r="W1571" s="1" t="s">
        <v>37</v>
      </c>
      <c r="X1571" s="1" t="s">
        <v>81</v>
      </c>
      <c r="Y1571" s="1" t="s">
        <v>82</v>
      </c>
      <c r="Z1571" s="1" t="str">
        <f>TRIM(_xlfn.CONCAT(sales_data_sample[[#This Row],[CONTACTFIRSTNAME]],", ",sales_data_sample[[#This Row],[CONTACTLASTNAME]]))</f>
        <v>Juri, Hirano</v>
      </c>
      <c r="AA1571" s="1" t="s">
        <v>40</v>
      </c>
    </row>
    <row r="1572" spans="1:27" x14ac:dyDescent="0.25">
      <c r="A1572" s="10">
        <v>10180</v>
      </c>
      <c r="B1572" s="9">
        <v>28</v>
      </c>
      <c r="C1572" s="9">
        <v>6855</v>
      </c>
      <c r="D1572" s="9">
        <f>PRODUCT(sales_data_sample[[#This Row],[QUANTITYORDERED]],sales_data_sample[[#This Row],[PRICEEACH]])</f>
        <v>191940</v>
      </c>
      <c r="E1572" s="9">
        <f>IF(OR(sales_data_sample[[#This Row],[STATUS]]="Shipped",sales_data_sample[[#This Row],[STATUS]]="Resolved"),sales_data_sample[[#This Row],[SALES]],0)</f>
        <v>191940</v>
      </c>
      <c r="F1572" s="10">
        <v>14</v>
      </c>
      <c r="G1572" s="12" t="s">
        <v>83</v>
      </c>
      <c r="H1572" s="1" t="s">
        <v>26</v>
      </c>
      <c r="I1572">
        <v>4</v>
      </c>
      <c r="J1572">
        <v>11</v>
      </c>
      <c r="K1572">
        <v>2003</v>
      </c>
      <c r="L1572" s="1" t="s">
        <v>27</v>
      </c>
      <c r="M1572">
        <v>76</v>
      </c>
      <c r="N1572" s="1" t="s">
        <v>956</v>
      </c>
      <c r="O1572" s="1" t="s">
        <v>84</v>
      </c>
      <c r="P1572" s="1" t="s">
        <v>85</v>
      </c>
      <c r="Q1572" s="1" t="s">
        <v>86</v>
      </c>
      <c r="R1572" s="1" t="s">
        <v>32</v>
      </c>
      <c r="S1572" s="1" t="s">
        <v>87</v>
      </c>
      <c r="T1572" s="1" t="s">
        <v>32</v>
      </c>
      <c r="U1572" s="1" t="s">
        <v>88</v>
      </c>
      <c r="V1572" s="1" t="s">
        <v>47</v>
      </c>
      <c r="W1572" s="1" t="s">
        <v>48</v>
      </c>
      <c r="X1572" s="1" t="s">
        <v>89</v>
      </c>
      <c r="Y1572" s="1" t="s">
        <v>90</v>
      </c>
      <c r="Z1572" s="1" t="str">
        <f>TRIM(_xlfn.CONCAT(sales_data_sample[[#This Row],[CONTACTFIRSTNAME]],", ",sales_data_sample[[#This Row],[CONTACTLASTNAME]]))</f>
        <v>Martine, Rance</v>
      </c>
      <c r="AA1572" s="1" t="s">
        <v>40</v>
      </c>
    </row>
    <row r="1573" spans="1:27" x14ac:dyDescent="0.25">
      <c r="A1573" s="10">
        <v>10188</v>
      </c>
      <c r="B1573" s="9">
        <v>40</v>
      </c>
      <c r="C1573" s="9">
        <v>914</v>
      </c>
      <c r="D1573" s="9">
        <f>PRODUCT(sales_data_sample[[#This Row],[QUANTITYORDERED]],sales_data_sample[[#This Row],[PRICEEACH]])</f>
        <v>36560</v>
      </c>
      <c r="E1573" s="9">
        <f>IF(OR(sales_data_sample[[#This Row],[STATUS]]="Shipped",sales_data_sample[[#This Row],[STATUS]]="Resolved"),sales_data_sample[[#This Row],[SALES]],0)</f>
        <v>36560</v>
      </c>
      <c r="F1573" s="10">
        <v>6</v>
      </c>
      <c r="G1573" s="12" t="s">
        <v>91</v>
      </c>
      <c r="H1573" s="1" t="s">
        <v>26</v>
      </c>
      <c r="I1573">
        <v>4</v>
      </c>
      <c r="J1573">
        <v>11</v>
      </c>
      <c r="K1573">
        <v>2003</v>
      </c>
      <c r="L1573" s="1" t="s">
        <v>27</v>
      </c>
      <c r="M1573">
        <v>76</v>
      </c>
      <c r="N1573" s="1" t="s">
        <v>956</v>
      </c>
      <c r="O1573" s="1" t="s">
        <v>92</v>
      </c>
      <c r="P1573" s="1" t="s">
        <v>93</v>
      </c>
      <c r="Q1573" s="1" t="s">
        <v>94</v>
      </c>
      <c r="R1573" s="1" t="s">
        <v>32</v>
      </c>
      <c r="S1573" s="1" t="s">
        <v>95</v>
      </c>
      <c r="T1573" s="1" t="s">
        <v>32</v>
      </c>
      <c r="U1573" s="1" t="s">
        <v>96</v>
      </c>
      <c r="V1573" s="1" t="s">
        <v>97</v>
      </c>
      <c r="W1573" s="1" t="s">
        <v>48</v>
      </c>
      <c r="X1573" s="1" t="s">
        <v>98</v>
      </c>
      <c r="Y1573" s="1" t="s">
        <v>99</v>
      </c>
      <c r="Z1573" s="1" t="str">
        <f>TRIM(_xlfn.CONCAT(sales_data_sample[[#This Row],[CONTACTFIRSTNAME]],", ",sales_data_sample[[#This Row],[CONTACTLASTNAME]]))</f>
        <v>Veysel, Oeztan</v>
      </c>
      <c r="AA1573" s="1" t="s">
        <v>59</v>
      </c>
    </row>
    <row r="1574" spans="1:27" x14ac:dyDescent="0.25">
      <c r="A1574" s="10">
        <v>10201</v>
      </c>
      <c r="B1574" s="9">
        <v>25</v>
      </c>
      <c r="C1574" s="9">
        <v>7388</v>
      </c>
      <c r="D1574" s="9">
        <f>PRODUCT(sales_data_sample[[#This Row],[QUANTITYORDERED]],sales_data_sample[[#This Row],[PRICEEACH]])</f>
        <v>184700</v>
      </c>
      <c r="E1574" s="9">
        <f>IF(OR(sales_data_sample[[#This Row],[STATUS]]="Shipped",sales_data_sample[[#This Row],[STATUS]]="Resolved"),sales_data_sample[[#This Row],[SALES]],0)</f>
        <v>184700</v>
      </c>
      <c r="F1574" s="10">
        <v>7</v>
      </c>
      <c r="G1574" s="12" t="s">
        <v>100</v>
      </c>
      <c r="H1574" s="1" t="s">
        <v>26</v>
      </c>
      <c r="I1574">
        <v>4</v>
      </c>
      <c r="J1574">
        <v>12</v>
      </c>
      <c r="K1574">
        <v>2003</v>
      </c>
      <c r="L1574" s="1" t="s">
        <v>27</v>
      </c>
      <c r="M1574">
        <v>76</v>
      </c>
      <c r="N1574" s="1" t="s">
        <v>956</v>
      </c>
      <c r="O1574" s="1" t="s">
        <v>101</v>
      </c>
      <c r="P1574" s="1" t="s">
        <v>102</v>
      </c>
      <c r="Q1574" s="1" t="s">
        <v>103</v>
      </c>
      <c r="R1574" s="1" t="s">
        <v>32</v>
      </c>
      <c r="S1574" s="1" t="s">
        <v>73</v>
      </c>
      <c r="T1574" s="1" t="s">
        <v>65</v>
      </c>
      <c r="U1574" s="1" t="s">
        <v>32</v>
      </c>
      <c r="V1574" s="1" t="s">
        <v>36</v>
      </c>
      <c r="W1574" s="1" t="s">
        <v>37</v>
      </c>
      <c r="X1574" s="1" t="s">
        <v>104</v>
      </c>
      <c r="Y1574" s="1" t="s">
        <v>68</v>
      </c>
      <c r="Z1574" s="1" t="str">
        <f>TRIM(_xlfn.CONCAT(sales_data_sample[[#This Row],[CONTACTFIRSTNAME]],", ",sales_data_sample[[#This Row],[CONTACTLASTNAME]]))</f>
        <v>Julie, Murphy</v>
      </c>
      <c r="AA1574" s="1" t="s">
        <v>40</v>
      </c>
    </row>
    <row r="1575" spans="1:27" x14ac:dyDescent="0.25">
      <c r="A1575" s="10">
        <v>10210</v>
      </c>
      <c r="B1575" s="9">
        <v>30</v>
      </c>
      <c r="C1575" s="9">
        <v>617</v>
      </c>
      <c r="D1575" s="9">
        <f>PRODUCT(sales_data_sample[[#This Row],[QUANTITYORDERED]],sales_data_sample[[#This Row],[PRICEEACH]])</f>
        <v>18510</v>
      </c>
      <c r="E1575" s="9">
        <f>IF(OR(sales_data_sample[[#This Row],[STATUS]]="Shipped",sales_data_sample[[#This Row],[STATUS]]="Resolved"),sales_data_sample[[#This Row],[SALES]],0)</f>
        <v>18510</v>
      </c>
      <c r="F1575" s="10">
        <v>4</v>
      </c>
      <c r="G1575" s="12" t="s">
        <v>406</v>
      </c>
      <c r="H1575" s="1" t="s">
        <v>26</v>
      </c>
      <c r="I1575">
        <v>1</v>
      </c>
      <c r="J1575">
        <v>1</v>
      </c>
      <c r="K1575">
        <v>2004</v>
      </c>
      <c r="L1575" s="1" t="s">
        <v>27</v>
      </c>
      <c r="M1575">
        <v>76</v>
      </c>
      <c r="N1575" s="1" t="s">
        <v>956</v>
      </c>
      <c r="O1575" s="1" t="s">
        <v>407</v>
      </c>
      <c r="P1575" s="1" t="s">
        <v>408</v>
      </c>
      <c r="Q1575" s="1" t="s">
        <v>409</v>
      </c>
      <c r="R1575" s="1" t="s">
        <v>32</v>
      </c>
      <c r="S1575" s="1" t="s">
        <v>410</v>
      </c>
      <c r="T1575" s="1" t="s">
        <v>410</v>
      </c>
      <c r="U1575" s="1" t="s">
        <v>411</v>
      </c>
      <c r="V1575" s="1" t="s">
        <v>264</v>
      </c>
      <c r="W1575" s="1" t="s">
        <v>264</v>
      </c>
      <c r="X1575" s="1" t="s">
        <v>412</v>
      </c>
      <c r="Y1575" s="1" t="s">
        <v>413</v>
      </c>
      <c r="Z1575" s="1" t="str">
        <f>TRIM(_xlfn.CONCAT(sales_data_sample[[#This Row],[CONTACTFIRSTNAME]],", ",sales_data_sample[[#This Row],[CONTACTLASTNAME]]))</f>
        <v>Mory, Kentary</v>
      </c>
      <c r="AA1575" s="1" t="s">
        <v>40</v>
      </c>
    </row>
    <row r="1576" spans="1:27" x14ac:dyDescent="0.25">
      <c r="A1576">
        <v>10223</v>
      </c>
      <c r="B1576">
        <v>38</v>
      </c>
      <c r="C1576">
        <v>6931</v>
      </c>
      <c r="D1576">
        <f>PRODUCT(sales_data_sample[[#This Row],[QUANTITYORDERED]],sales_data_sample[[#This Row],[PRICEEACH]])</f>
        <v>263378</v>
      </c>
      <c r="E1576" s="9">
        <f>IF(OR(sales_data_sample[[#This Row],[STATUS]]="Shipped",sales_data_sample[[#This Row],[STATUS]]="Resolved"),sales_data_sample[[#This Row],[SALES]],0)</f>
        <v>263378</v>
      </c>
      <c r="F1576">
        <v>6</v>
      </c>
      <c r="G1576" s="12" t="s">
        <v>112</v>
      </c>
      <c r="H1576" s="1" t="s">
        <v>26</v>
      </c>
      <c r="I1576">
        <v>1</v>
      </c>
      <c r="J1576">
        <v>2</v>
      </c>
      <c r="K1576">
        <v>2004</v>
      </c>
      <c r="L1576" s="1" t="s">
        <v>27</v>
      </c>
      <c r="M1576">
        <v>76</v>
      </c>
      <c r="N1576" s="1" t="s">
        <v>956</v>
      </c>
      <c r="O1576" s="1" t="s">
        <v>113</v>
      </c>
      <c r="P1576" s="1" t="s">
        <v>114</v>
      </c>
      <c r="Q1576" s="1" t="s">
        <v>115</v>
      </c>
      <c r="R1576" s="1" t="s">
        <v>116</v>
      </c>
      <c r="S1576" s="1" t="s">
        <v>117</v>
      </c>
      <c r="T1576" s="1" t="s">
        <v>118</v>
      </c>
      <c r="U1576" s="1" t="s">
        <v>119</v>
      </c>
      <c r="V1576" s="1" t="s">
        <v>120</v>
      </c>
      <c r="W1576" s="1" t="s">
        <v>121</v>
      </c>
      <c r="X1576" s="1" t="s">
        <v>122</v>
      </c>
      <c r="Y1576" s="1" t="s">
        <v>123</v>
      </c>
      <c r="Z1576" s="1" t="str">
        <f>TRIM(_xlfn.CONCAT(sales_data_sample[[#This Row],[CONTACTFIRSTNAME]],", ",sales_data_sample[[#This Row],[CONTACTLASTNAME]]))</f>
        <v>Peter, Ferguson</v>
      </c>
      <c r="AA1576" s="1" t="s">
        <v>40</v>
      </c>
    </row>
    <row r="1577" spans="1:27" x14ac:dyDescent="0.25">
      <c r="A1577" s="10">
        <v>10236</v>
      </c>
      <c r="B1577" s="9">
        <v>36</v>
      </c>
      <c r="C1577" s="9">
        <v>876</v>
      </c>
      <c r="D1577" s="9">
        <f>PRODUCT(sales_data_sample[[#This Row],[QUANTITYORDERED]],sales_data_sample[[#This Row],[PRICEEACH]])</f>
        <v>31536</v>
      </c>
      <c r="E1577" s="9">
        <f>IF(OR(sales_data_sample[[#This Row],[STATUS]]="Shipped",sales_data_sample[[#This Row],[STATUS]]="Resolved"),sales_data_sample[[#This Row],[SALES]],0)</f>
        <v>31536</v>
      </c>
      <c r="F1577" s="10">
        <v>3</v>
      </c>
      <c r="G1577" s="12" t="s">
        <v>414</v>
      </c>
      <c r="H1577" s="1" t="s">
        <v>26</v>
      </c>
      <c r="I1577">
        <v>2</v>
      </c>
      <c r="J1577">
        <v>4</v>
      </c>
      <c r="K1577">
        <v>2004</v>
      </c>
      <c r="L1577" s="1" t="s">
        <v>27</v>
      </c>
      <c r="M1577">
        <v>76</v>
      </c>
      <c r="N1577" s="1" t="s">
        <v>956</v>
      </c>
      <c r="O1577" s="1" t="s">
        <v>415</v>
      </c>
      <c r="P1577" s="1" t="s">
        <v>416</v>
      </c>
      <c r="Q1577" s="1" t="s">
        <v>417</v>
      </c>
      <c r="R1577" s="1" t="s">
        <v>32</v>
      </c>
      <c r="S1577" s="1" t="s">
        <v>286</v>
      </c>
      <c r="T1577" s="1" t="s">
        <v>186</v>
      </c>
      <c r="U1577" s="1" t="s">
        <v>287</v>
      </c>
      <c r="V1577" s="1" t="s">
        <v>36</v>
      </c>
      <c r="W1577" s="1" t="s">
        <v>37</v>
      </c>
      <c r="X1577" s="1" t="s">
        <v>162</v>
      </c>
      <c r="Y1577" s="1" t="s">
        <v>418</v>
      </c>
      <c r="Z1577" s="1" t="str">
        <f>TRIM(_xlfn.CONCAT(sales_data_sample[[#This Row],[CONTACTFIRSTNAME]],", ",sales_data_sample[[#This Row],[CONTACTLASTNAME]]))</f>
        <v>Rosa, Hernandez</v>
      </c>
      <c r="AA1577" s="1" t="s">
        <v>59</v>
      </c>
    </row>
    <row r="1578" spans="1:27" x14ac:dyDescent="0.25">
      <c r="A1578" s="10">
        <v>10250</v>
      </c>
      <c r="B1578" s="9">
        <v>32</v>
      </c>
      <c r="C1578" s="9">
        <v>876</v>
      </c>
      <c r="D1578" s="9">
        <f>PRODUCT(sales_data_sample[[#This Row],[QUANTITYORDERED]],sales_data_sample[[#This Row],[PRICEEACH]])</f>
        <v>28032</v>
      </c>
      <c r="E1578" s="9">
        <f>IF(OR(sales_data_sample[[#This Row],[STATUS]]="Shipped",sales_data_sample[[#This Row],[STATUS]]="Resolved"),sales_data_sample[[#This Row],[SALES]],0)</f>
        <v>28032</v>
      </c>
      <c r="F1578" s="10">
        <v>1</v>
      </c>
      <c r="G1578" s="12" t="s">
        <v>849</v>
      </c>
      <c r="H1578" s="1" t="s">
        <v>26</v>
      </c>
      <c r="I1578">
        <v>2</v>
      </c>
      <c r="J1578">
        <v>5</v>
      </c>
      <c r="K1578">
        <v>2004</v>
      </c>
      <c r="L1578" s="1" t="s">
        <v>27</v>
      </c>
      <c r="M1578">
        <v>76</v>
      </c>
      <c r="N1578" s="1" t="s">
        <v>956</v>
      </c>
      <c r="O1578" s="1" t="s">
        <v>547</v>
      </c>
      <c r="P1578" s="1" t="s">
        <v>548</v>
      </c>
      <c r="Q1578" s="1" t="s">
        <v>549</v>
      </c>
      <c r="R1578" s="1" t="s">
        <v>32</v>
      </c>
      <c r="S1578" s="1" t="s">
        <v>550</v>
      </c>
      <c r="T1578" s="1" t="s">
        <v>65</v>
      </c>
      <c r="U1578" s="1" t="s">
        <v>80</v>
      </c>
      <c r="V1578" s="1" t="s">
        <v>36</v>
      </c>
      <c r="W1578" s="1" t="s">
        <v>37</v>
      </c>
      <c r="X1578" s="1" t="s">
        <v>129</v>
      </c>
      <c r="Y1578" s="1" t="s">
        <v>551</v>
      </c>
      <c r="Z1578" s="1" t="str">
        <f>TRIM(_xlfn.CONCAT(sales_data_sample[[#This Row],[CONTACTFIRSTNAME]],", ",sales_data_sample[[#This Row],[CONTACTLASTNAME]]))</f>
        <v>Sue, Frick</v>
      </c>
      <c r="AA1578" s="1" t="s">
        <v>40</v>
      </c>
    </row>
    <row r="1579" spans="1:27" x14ac:dyDescent="0.25">
      <c r="A1579" s="10">
        <v>10263</v>
      </c>
      <c r="B1579" s="9">
        <v>37</v>
      </c>
      <c r="C1579" s="9">
        <v>6246</v>
      </c>
      <c r="D1579" s="9">
        <f>PRODUCT(sales_data_sample[[#This Row],[QUANTITYORDERED]],sales_data_sample[[#This Row],[PRICEEACH]])</f>
        <v>231102</v>
      </c>
      <c r="E1579" s="9">
        <f>IF(OR(sales_data_sample[[#This Row],[STATUS]]="Shipped",sales_data_sample[[#This Row],[STATUS]]="Resolved"),sales_data_sample[[#This Row],[SALES]],0)</f>
        <v>231102</v>
      </c>
      <c r="F1579" s="10">
        <v>7</v>
      </c>
      <c r="G1579" s="12" t="s">
        <v>139</v>
      </c>
      <c r="H1579" s="1" t="s">
        <v>26</v>
      </c>
      <c r="I1579">
        <v>2</v>
      </c>
      <c r="J1579">
        <v>6</v>
      </c>
      <c r="K1579">
        <v>2004</v>
      </c>
      <c r="L1579" s="1" t="s">
        <v>27</v>
      </c>
      <c r="M1579">
        <v>76</v>
      </c>
      <c r="N1579" s="1" t="s">
        <v>956</v>
      </c>
      <c r="O1579" s="1" t="s">
        <v>140</v>
      </c>
      <c r="P1579" s="1" t="s">
        <v>141</v>
      </c>
      <c r="Q1579" s="1" t="s">
        <v>142</v>
      </c>
      <c r="R1579" s="1" t="s">
        <v>32</v>
      </c>
      <c r="S1579" s="1" t="s">
        <v>143</v>
      </c>
      <c r="T1579" s="1" t="s">
        <v>144</v>
      </c>
      <c r="U1579" s="1" t="s">
        <v>145</v>
      </c>
      <c r="V1579" s="1" t="s">
        <v>36</v>
      </c>
      <c r="W1579" s="1" t="s">
        <v>37</v>
      </c>
      <c r="X1579" s="1" t="s">
        <v>146</v>
      </c>
      <c r="Y1579" s="1" t="s">
        <v>68</v>
      </c>
      <c r="Z1579" s="1" t="str">
        <f>TRIM(_xlfn.CONCAT(sales_data_sample[[#This Row],[CONTACTFIRSTNAME]],", ",sales_data_sample[[#This Row],[CONTACTLASTNAME]]))</f>
        <v>Julie, King</v>
      </c>
      <c r="AA1579" s="1" t="s">
        <v>40</v>
      </c>
    </row>
    <row r="1580" spans="1:27" x14ac:dyDescent="0.25">
      <c r="A1580" s="10">
        <v>10275</v>
      </c>
      <c r="B1580" s="9">
        <v>30</v>
      </c>
      <c r="C1580" s="9">
        <v>7998</v>
      </c>
      <c r="D1580" s="9">
        <f>PRODUCT(sales_data_sample[[#This Row],[QUANTITYORDERED]],sales_data_sample[[#This Row],[PRICEEACH]])</f>
        <v>239940</v>
      </c>
      <c r="E1580" s="9">
        <f>IF(OR(sales_data_sample[[#This Row],[STATUS]]="Shipped",sales_data_sample[[#This Row],[STATUS]]="Resolved"),sales_data_sample[[#This Row],[SALES]],0)</f>
        <v>239940</v>
      </c>
      <c r="F1580" s="10">
        <v>6</v>
      </c>
      <c r="G1580" s="12" t="s">
        <v>147</v>
      </c>
      <c r="H1580" s="1" t="s">
        <v>26</v>
      </c>
      <c r="I1580">
        <v>3</v>
      </c>
      <c r="J1580">
        <v>7</v>
      </c>
      <c r="K1580">
        <v>2004</v>
      </c>
      <c r="L1580" s="1" t="s">
        <v>27</v>
      </c>
      <c r="M1580">
        <v>76</v>
      </c>
      <c r="N1580" s="1" t="s">
        <v>956</v>
      </c>
      <c r="O1580" s="1" t="s">
        <v>148</v>
      </c>
      <c r="P1580" s="1" t="s">
        <v>149</v>
      </c>
      <c r="Q1580" s="1" t="s">
        <v>150</v>
      </c>
      <c r="R1580" s="1" t="s">
        <v>32</v>
      </c>
      <c r="S1580" s="1" t="s">
        <v>151</v>
      </c>
      <c r="T1580" s="1" t="s">
        <v>32</v>
      </c>
      <c r="U1580" s="1" t="s">
        <v>152</v>
      </c>
      <c r="V1580" s="1" t="s">
        <v>47</v>
      </c>
      <c r="W1580" s="1" t="s">
        <v>48</v>
      </c>
      <c r="X1580" s="1" t="s">
        <v>153</v>
      </c>
      <c r="Y1580" s="1" t="s">
        <v>154</v>
      </c>
      <c r="Z1580" s="1" t="str">
        <f>TRIM(_xlfn.CONCAT(sales_data_sample[[#This Row],[CONTACTFIRSTNAME]],", ",sales_data_sample[[#This Row],[CONTACTLASTNAME]]))</f>
        <v>Janine, Labrune</v>
      </c>
      <c r="AA1580" s="1" t="s">
        <v>40</v>
      </c>
    </row>
    <row r="1581" spans="1:27" x14ac:dyDescent="0.25">
      <c r="A1581" s="10">
        <v>10285</v>
      </c>
      <c r="B1581" s="9">
        <v>39</v>
      </c>
      <c r="C1581" s="9">
        <v>7008</v>
      </c>
      <c r="D1581" s="9">
        <f>PRODUCT(sales_data_sample[[#This Row],[QUANTITYORDERED]],sales_data_sample[[#This Row],[PRICEEACH]])</f>
        <v>273312</v>
      </c>
      <c r="E1581" s="9">
        <f>IF(OR(sales_data_sample[[#This Row],[STATUS]]="Shipped",sales_data_sample[[#This Row],[STATUS]]="Resolved"),sales_data_sample[[#This Row],[SALES]],0)</f>
        <v>273312</v>
      </c>
      <c r="F1581" s="10">
        <v>11</v>
      </c>
      <c r="G1581" s="12" t="s">
        <v>155</v>
      </c>
      <c r="H1581" s="1" t="s">
        <v>26</v>
      </c>
      <c r="I1581">
        <v>3</v>
      </c>
      <c r="J1581">
        <v>8</v>
      </c>
      <c r="K1581">
        <v>2004</v>
      </c>
      <c r="L1581" s="1" t="s">
        <v>27</v>
      </c>
      <c r="M1581">
        <v>76</v>
      </c>
      <c r="N1581" s="1" t="s">
        <v>956</v>
      </c>
      <c r="O1581" s="1" t="s">
        <v>156</v>
      </c>
      <c r="P1581" s="1" t="s">
        <v>157</v>
      </c>
      <c r="Q1581" s="1" t="s">
        <v>158</v>
      </c>
      <c r="R1581" s="1" t="s">
        <v>32</v>
      </c>
      <c r="S1581" s="1" t="s">
        <v>159</v>
      </c>
      <c r="T1581" s="1" t="s">
        <v>160</v>
      </c>
      <c r="U1581" s="1" t="s">
        <v>161</v>
      </c>
      <c r="V1581" s="1" t="s">
        <v>36</v>
      </c>
      <c r="W1581" s="1" t="s">
        <v>37</v>
      </c>
      <c r="X1581" s="1" t="s">
        <v>162</v>
      </c>
      <c r="Y1581" s="1" t="s">
        <v>163</v>
      </c>
      <c r="Z1581" s="1" t="str">
        <f>TRIM(_xlfn.CONCAT(sales_data_sample[[#This Row],[CONTACTFIRSTNAME]],", ",sales_data_sample[[#This Row],[CONTACTLASTNAME]]))</f>
        <v>Marta, Hernandez</v>
      </c>
      <c r="AA1581" s="1" t="s">
        <v>40</v>
      </c>
    </row>
    <row r="1582" spans="1:27" x14ac:dyDescent="0.25">
      <c r="A1582">
        <v>10297</v>
      </c>
      <c r="B1582">
        <v>32</v>
      </c>
      <c r="C1582">
        <v>6551</v>
      </c>
      <c r="D1582">
        <f>PRODUCT(sales_data_sample[[#This Row],[QUANTITYORDERED]],sales_data_sample[[#This Row],[PRICEEACH]])</f>
        <v>209632</v>
      </c>
      <c r="E1582" s="9">
        <f>IF(OR(sales_data_sample[[#This Row],[STATUS]]="Shipped",sales_data_sample[[#This Row],[STATUS]]="Resolved"),sales_data_sample[[#This Row],[SALES]],0)</f>
        <v>209632</v>
      </c>
      <c r="F1582">
        <v>1</v>
      </c>
      <c r="G1582" s="12" t="s">
        <v>893</v>
      </c>
      <c r="H1582" s="1" t="s">
        <v>26</v>
      </c>
      <c r="I1582">
        <v>3</v>
      </c>
      <c r="J1582">
        <v>9</v>
      </c>
      <c r="K1582">
        <v>2004</v>
      </c>
      <c r="L1582" s="1" t="s">
        <v>27</v>
      </c>
      <c r="M1582">
        <v>76</v>
      </c>
      <c r="N1582" s="1" t="s">
        <v>956</v>
      </c>
      <c r="O1582" s="1" t="s">
        <v>677</v>
      </c>
      <c r="P1582" s="1" t="s">
        <v>678</v>
      </c>
      <c r="Q1582" s="1" t="s">
        <v>679</v>
      </c>
      <c r="R1582" s="1" t="s">
        <v>680</v>
      </c>
      <c r="S1582" s="1" t="s">
        <v>681</v>
      </c>
      <c r="T1582" s="1" t="s">
        <v>32</v>
      </c>
      <c r="U1582" s="1" t="s">
        <v>682</v>
      </c>
      <c r="V1582" s="1" t="s">
        <v>683</v>
      </c>
      <c r="W1582" s="1" t="s">
        <v>48</v>
      </c>
      <c r="X1582" s="1" t="s">
        <v>684</v>
      </c>
      <c r="Y1582" s="1" t="s">
        <v>685</v>
      </c>
      <c r="Z1582" s="1" t="str">
        <f>TRIM(_xlfn.CONCAT(sales_data_sample[[#This Row],[CONTACTFIRSTNAME]],", ",sales_data_sample[[#This Row],[CONTACTLASTNAME]]))</f>
        <v>Dean, Cassidy</v>
      </c>
      <c r="AA1582" s="1" t="s">
        <v>40</v>
      </c>
    </row>
    <row r="1583" spans="1:27" x14ac:dyDescent="0.25">
      <c r="A1583" s="10">
        <v>10308</v>
      </c>
      <c r="B1583" s="9">
        <v>47</v>
      </c>
      <c r="C1583" s="9">
        <v>6322</v>
      </c>
      <c r="D1583" s="9">
        <f>PRODUCT(sales_data_sample[[#This Row],[QUANTITYORDERED]],sales_data_sample[[#This Row],[PRICEEACH]])</f>
        <v>297134</v>
      </c>
      <c r="E1583" s="9">
        <f>IF(OR(sales_data_sample[[#This Row],[STATUS]]="Shipped",sales_data_sample[[#This Row],[STATUS]]="Resolved"),sales_data_sample[[#This Row],[SALES]],0)</f>
        <v>297134</v>
      </c>
      <c r="F1583" s="10">
        <v>4</v>
      </c>
      <c r="G1583" s="12" t="s">
        <v>173</v>
      </c>
      <c r="H1583" s="1" t="s">
        <v>26</v>
      </c>
      <c r="I1583">
        <v>4</v>
      </c>
      <c r="J1583">
        <v>10</v>
      </c>
      <c r="K1583">
        <v>2004</v>
      </c>
      <c r="L1583" s="1" t="s">
        <v>27</v>
      </c>
      <c r="M1583">
        <v>76</v>
      </c>
      <c r="N1583" s="1" t="s">
        <v>956</v>
      </c>
      <c r="O1583" s="1" t="s">
        <v>425</v>
      </c>
      <c r="P1583" s="1" t="s">
        <v>426</v>
      </c>
      <c r="Q1583" s="1" t="s">
        <v>427</v>
      </c>
      <c r="R1583" s="1" t="s">
        <v>32</v>
      </c>
      <c r="S1583" s="1" t="s">
        <v>428</v>
      </c>
      <c r="T1583" s="1" t="s">
        <v>34</v>
      </c>
      <c r="U1583" s="1" t="s">
        <v>429</v>
      </c>
      <c r="V1583" s="1" t="s">
        <v>36</v>
      </c>
      <c r="W1583" s="1" t="s">
        <v>37</v>
      </c>
      <c r="X1583" s="1" t="s">
        <v>129</v>
      </c>
      <c r="Y1583" s="1" t="s">
        <v>314</v>
      </c>
      <c r="Z1583" s="1" t="str">
        <f>TRIM(_xlfn.CONCAT(sales_data_sample[[#This Row],[CONTACTFIRSTNAME]],", ",sales_data_sample[[#This Row],[CONTACTLASTNAME]]))</f>
        <v>Steve, Frick</v>
      </c>
      <c r="AA1583" s="1" t="s">
        <v>40</v>
      </c>
    </row>
    <row r="1584" spans="1:27" x14ac:dyDescent="0.25">
      <c r="A1584" s="10">
        <v>10318</v>
      </c>
      <c r="B1584" s="9">
        <v>26</v>
      </c>
      <c r="C1584" s="9">
        <v>8683</v>
      </c>
      <c r="D1584" s="9">
        <f>PRODUCT(sales_data_sample[[#This Row],[QUANTITYORDERED]],sales_data_sample[[#This Row],[PRICEEACH]])</f>
        <v>225758</v>
      </c>
      <c r="E1584" s="9">
        <f>IF(OR(sales_data_sample[[#This Row],[STATUS]]="Shipped",sales_data_sample[[#This Row],[STATUS]]="Resolved"),sales_data_sample[[#This Row],[SALES]],0)</f>
        <v>225758</v>
      </c>
      <c r="F1584" s="10">
        <v>6</v>
      </c>
      <c r="G1584" s="12" t="s">
        <v>181</v>
      </c>
      <c r="H1584" s="1" t="s">
        <v>26</v>
      </c>
      <c r="I1584">
        <v>4</v>
      </c>
      <c r="J1584">
        <v>11</v>
      </c>
      <c r="K1584">
        <v>2004</v>
      </c>
      <c r="L1584" s="1" t="s">
        <v>27</v>
      </c>
      <c r="M1584">
        <v>76</v>
      </c>
      <c r="N1584" s="1" t="s">
        <v>956</v>
      </c>
      <c r="O1584" s="1" t="s">
        <v>182</v>
      </c>
      <c r="P1584" s="1" t="s">
        <v>183</v>
      </c>
      <c r="Q1584" s="1" t="s">
        <v>184</v>
      </c>
      <c r="R1584" s="1" t="s">
        <v>32</v>
      </c>
      <c r="S1584" s="1" t="s">
        <v>185</v>
      </c>
      <c r="T1584" s="1" t="s">
        <v>186</v>
      </c>
      <c r="U1584" s="1" t="s">
        <v>187</v>
      </c>
      <c r="V1584" s="1" t="s">
        <v>36</v>
      </c>
      <c r="W1584" s="1" t="s">
        <v>37</v>
      </c>
      <c r="X1584" s="1" t="s">
        <v>38</v>
      </c>
      <c r="Y1584" s="1" t="s">
        <v>188</v>
      </c>
      <c r="Z1584" s="1" t="str">
        <f>TRIM(_xlfn.CONCAT(sales_data_sample[[#This Row],[CONTACTFIRSTNAME]],", ",sales_data_sample[[#This Row],[CONTACTLASTNAME]]))</f>
        <v>Kyung, Yu</v>
      </c>
      <c r="AA1584" s="1" t="s">
        <v>40</v>
      </c>
    </row>
    <row r="1585" spans="1:27" x14ac:dyDescent="0.25">
      <c r="A1585" s="10">
        <v>10329</v>
      </c>
      <c r="B1585" s="9">
        <v>37</v>
      </c>
      <c r="C1585" s="9">
        <v>9443</v>
      </c>
      <c r="D1585" s="9">
        <f>PRODUCT(sales_data_sample[[#This Row],[QUANTITYORDERED]],sales_data_sample[[#This Row],[PRICEEACH]])</f>
        <v>349391</v>
      </c>
      <c r="E1585" s="9">
        <f>IF(OR(sales_data_sample[[#This Row],[STATUS]]="Shipped",sales_data_sample[[#This Row],[STATUS]]="Resolved"),sales_data_sample[[#This Row],[SALES]],0)</f>
        <v>349391</v>
      </c>
      <c r="F1585" s="10">
        <v>4</v>
      </c>
      <c r="G1585" s="12" t="s">
        <v>189</v>
      </c>
      <c r="H1585" s="1" t="s">
        <v>26</v>
      </c>
      <c r="I1585">
        <v>4</v>
      </c>
      <c r="J1585">
        <v>11</v>
      </c>
      <c r="K1585">
        <v>2004</v>
      </c>
      <c r="L1585" s="1" t="s">
        <v>27</v>
      </c>
      <c r="M1585">
        <v>76</v>
      </c>
      <c r="N1585" s="1" t="s">
        <v>956</v>
      </c>
      <c r="O1585" s="1" t="s">
        <v>29</v>
      </c>
      <c r="P1585" s="1" t="s">
        <v>30</v>
      </c>
      <c r="Q1585" s="1" t="s">
        <v>31</v>
      </c>
      <c r="R1585" s="1" t="s">
        <v>32</v>
      </c>
      <c r="S1585" s="1" t="s">
        <v>33</v>
      </c>
      <c r="T1585" s="1" t="s">
        <v>34</v>
      </c>
      <c r="U1585" s="1" t="s">
        <v>35</v>
      </c>
      <c r="V1585" s="1" t="s">
        <v>36</v>
      </c>
      <c r="W1585" s="1" t="s">
        <v>37</v>
      </c>
      <c r="X1585" s="1" t="s">
        <v>38</v>
      </c>
      <c r="Y1585" s="1" t="s">
        <v>39</v>
      </c>
      <c r="Z1585" s="1" t="str">
        <f>TRIM(_xlfn.CONCAT(sales_data_sample[[#This Row],[CONTACTFIRSTNAME]],", ",sales_data_sample[[#This Row],[CONTACTLASTNAME]]))</f>
        <v>Kwai, Yu</v>
      </c>
      <c r="AA1585" s="1" t="s">
        <v>59</v>
      </c>
    </row>
    <row r="1586" spans="1:27" x14ac:dyDescent="0.25">
      <c r="A1586" s="10">
        <v>10340</v>
      </c>
      <c r="B1586" s="9">
        <v>55</v>
      </c>
      <c r="C1586" s="9">
        <v>7998</v>
      </c>
      <c r="D1586" s="9">
        <f>PRODUCT(sales_data_sample[[#This Row],[QUANTITYORDERED]],sales_data_sample[[#This Row],[PRICEEACH]])</f>
        <v>439890</v>
      </c>
      <c r="E1586" s="9">
        <f>IF(OR(sales_data_sample[[#This Row],[STATUS]]="Shipped",sales_data_sample[[#This Row],[STATUS]]="Resolved"),sales_data_sample[[#This Row],[SALES]],0)</f>
        <v>439890</v>
      </c>
      <c r="F1586" s="10">
        <v>8</v>
      </c>
      <c r="G1586" s="12" t="s">
        <v>190</v>
      </c>
      <c r="H1586" s="1" t="s">
        <v>26</v>
      </c>
      <c r="I1586">
        <v>4</v>
      </c>
      <c r="J1586">
        <v>11</v>
      </c>
      <c r="K1586">
        <v>2004</v>
      </c>
      <c r="L1586" s="1" t="s">
        <v>27</v>
      </c>
      <c r="M1586">
        <v>76</v>
      </c>
      <c r="N1586" s="1" t="s">
        <v>956</v>
      </c>
      <c r="O1586" s="1" t="s">
        <v>478</v>
      </c>
      <c r="P1586" s="1" t="s">
        <v>479</v>
      </c>
      <c r="Q1586" s="1" t="s">
        <v>480</v>
      </c>
      <c r="R1586" s="1" t="s">
        <v>32</v>
      </c>
      <c r="S1586" s="1" t="s">
        <v>481</v>
      </c>
      <c r="T1586" s="1" t="s">
        <v>32</v>
      </c>
      <c r="U1586" s="1" t="s">
        <v>482</v>
      </c>
      <c r="V1586" s="1" t="s">
        <v>235</v>
      </c>
      <c r="W1586" s="1" t="s">
        <v>48</v>
      </c>
      <c r="X1586" s="1" t="s">
        <v>483</v>
      </c>
      <c r="Y1586" s="1" t="s">
        <v>484</v>
      </c>
      <c r="Z1586" s="1" t="str">
        <f>TRIM(_xlfn.CONCAT(sales_data_sample[[#This Row],[CONTACTFIRSTNAME]],", ",sales_data_sample[[#This Row],[CONTACTLASTNAME]]))</f>
        <v>Eduardo, Saavedra</v>
      </c>
      <c r="AA1586" s="1" t="s">
        <v>59</v>
      </c>
    </row>
    <row r="1587" spans="1:27" x14ac:dyDescent="0.25">
      <c r="A1587" s="10">
        <v>10363</v>
      </c>
      <c r="B1587" s="9">
        <v>21</v>
      </c>
      <c r="C1587" s="9">
        <v>100</v>
      </c>
      <c r="D1587" s="9">
        <f>PRODUCT(sales_data_sample[[#This Row],[QUANTITYORDERED]],sales_data_sample[[#This Row],[PRICEEACH]])</f>
        <v>2100</v>
      </c>
      <c r="E1587" s="9">
        <f>IF(OR(sales_data_sample[[#This Row],[STATUS]]="Shipped",sales_data_sample[[#This Row],[STATUS]]="Resolved"),sales_data_sample[[#This Row],[SALES]],0)</f>
        <v>2100</v>
      </c>
      <c r="F1587" s="10">
        <v>8</v>
      </c>
      <c r="G1587" s="12" t="s">
        <v>655</v>
      </c>
      <c r="H1587" s="1" t="s">
        <v>26</v>
      </c>
      <c r="I1587">
        <v>1</v>
      </c>
      <c r="J1587">
        <v>1</v>
      </c>
      <c r="K1587">
        <v>2005</v>
      </c>
      <c r="L1587" s="1" t="s">
        <v>27</v>
      </c>
      <c r="M1587">
        <v>76</v>
      </c>
      <c r="N1587" s="1" t="s">
        <v>956</v>
      </c>
      <c r="O1587" s="1" t="s">
        <v>656</v>
      </c>
      <c r="P1587" s="1" t="s">
        <v>657</v>
      </c>
      <c r="Q1587" s="1" t="s">
        <v>658</v>
      </c>
      <c r="R1587" s="1" t="s">
        <v>32</v>
      </c>
      <c r="S1587" s="1" t="s">
        <v>659</v>
      </c>
      <c r="T1587" s="1" t="s">
        <v>32</v>
      </c>
      <c r="U1587" s="1" t="s">
        <v>660</v>
      </c>
      <c r="V1587" s="1" t="s">
        <v>170</v>
      </c>
      <c r="W1587" s="1" t="s">
        <v>48</v>
      </c>
      <c r="X1587" s="1" t="s">
        <v>661</v>
      </c>
      <c r="Y1587" s="1" t="s">
        <v>662</v>
      </c>
      <c r="Z1587" s="1" t="str">
        <f>TRIM(_xlfn.CONCAT(sales_data_sample[[#This Row],[CONTACTFIRSTNAME]],", ",sales_data_sample[[#This Row],[CONTACTLASTNAME]]))</f>
        <v>Kalle, Suominen</v>
      </c>
      <c r="AA1587" s="1" t="s">
        <v>59</v>
      </c>
    </row>
    <row r="1588" spans="1:27" x14ac:dyDescent="0.25">
      <c r="A1588" s="10">
        <v>10375</v>
      </c>
      <c r="B1588" s="9">
        <v>23</v>
      </c>
      <c r="C1588" s="9">
        <v>100</v>
      </c>
      <c r="D1588" s="9">
        <f>PRODUCT(sales_data_sample[[#This Row],[QUANTITYORDERED]],sales_data_sample[[#This Row],[PRICEEACH]])</f>
        <v>2300</v>
      </c>
      <c r="E1588" s="9">
        <f>IF(OR(sales_data_sample[[#This Row],[STATUS]]="Shipped",sales_data_sample[[#This Row],[STATUS]]="Resolved"),sales_data_sample[[#This Row],[SALES]],0)</f>
        <v>2300</v>
      </c>
      <c r="F1588" s="10">
        <v>9</v>
      </c>
      <c r="G1588" s="12" t="s">
        <v>210</v>
      </c>
      <c r="H1588" s="1" t="s">
        <v>26</v>
      </c>
      <c r="I1588">
        <v>1</v>
      </c>
      <c r="J1588">
        <v>2</v>
      </c>
      <c r="K1588">
        <v>2005</v>
      </c>
      <c r="L1588" s="1" t="s">
        <v>27</v>
      </c>
      <c r="M1588">
        <v>76</v>
      </c>
      <c r="N1588" s="1" t="s">
        <v>956</v>
      </c>
      <c r="O1588" s="1" t="s">
        <v>148</v>
      </c>
      <c r="P1588" s="1" t="s">
        <v>149</v>
      </c>
      <c r="Q1588" s="1" t="s">
        <v>150</v>
      </c>
      <c r="R1588" s="1" t="s">
        <v>32</v>
      </c>
      <c r="S1588" s="1" t="s">
        <v>151</v>
      </c>
      <c r="T1588" s="1" t="s">
        <v>32</v>
      </c>
      <c r="U1588" s="1" t="s">
        <v>152</v>
      </c>
      <c r="V1588" s="1" t="s">
        <v>47</v>
      </c>
      <c r="W1588" s="1" t="s">
        <v>48</v>
      </c>
      <c r="X1588" s="1" t="s">
        <v>153</v>
      </c>
      <c r="Y1588" s="1" t="s">
        <v>154</v>
      </c>
      <c r="Z1588" s="1" t="str">
        <f>TRIM(_xlfn.CONCAT(sales_data_sample[[#This Row],[CONTACTFIRSTNAME]],", ",sales_data_sample[[#This Row],[CONTACTLASTNAME]]))</f>
        <v>Janine, Labrune</v>
      </c>
      <c r="AA1588" s="1" t="s">
        <v>40</v>
      </c>
    </row>
    <row r="1589" spans="1:27" x14ac:dyDescent="0.25">
      <c r="A1589" s="10">
        <v>10389</v>
      </c>
      <c r="B1589" s="9">
        <v>49</v>
      </c>
      <c r="C1589" s="9">
        <v>814</v>
      </c>
      <c r="D1589" s="9">
        <f>PRODUCT(sales_data_sample[[#This Row],[QUANTITYORDERED]],sales_data_sample[[#This Row],[PRICEEACH]])</f>
        <v>39886</v>
      </c>
      <c r="E1589" s="9">
        <f>IF(OR(sales_data_sample[[#This Row],[STATUS]]="Shipped",sales_data_sample[[#This Row],[STATUS]]="Resolved"),sales_data_sample[[#This Row],[SALES]],0)</f>
        <v>39886</v>
      </c>
      <c r="F1589" s="10">
        <v>2</v>
      </c>
      <c r="G1589" s="12" t="s">
        <v>211</v>
      </c>
      <c r="H1589" s="1" t="s">
        <v>26</v>
      </c>
      <c r="I1589">
        <v>1</v>
      </c>
      <c r="J1589">
        <v>3</v>
      </c>
      <c r="K1589">
        <v>2005</v>
      </c>
      <c r="L1589" s="1" t="s">
        <v>27</v>
      </c>
      <c r="M1589">
        <v>76</v>
      </c>
      <c r="N1589" s="1" t="s">
        <v>956</v>
      </c>
      <c r="O1589" s="1" t="s">
        <v>347</v>
      </c>
      <c r="P1589" s="1" t="s">
        <v>348</v>
      </c>
      <c r="Q1589" s="1" t="s">
        <v>349</v>
      </c>
      <c r="R1589" s="1" t="s">
        <v>32</v>
      </c>
      <c r="S1589" s="1" t="s">
        <v>350</v>
      </c>
      <c r="T1589" s="1" t="s">
        <v>32</v>
      </c>
      <c r="U1589" s="1" t="s">
        <v>351</v>
      </c>
      <c r="V1589" s="1" t="s">
        <v>247</v>
      </c>
      <c r="W1589" s="1" t="s">
        <v>48</v>
      </c>
      <c r="X1589" s="1" t="s">
        <v>352</v>
      </c>
      <c r="Y1589" s="1" t="s">
        <v>272</v>
      </c>
      <c r="Z1589" s="1" t="str">
        <f>TRIM(_xlfn.CONCAT(sales_data_sample[[#This Row],[CONTACTFIRSTNAME]],", ",sales_data_sample[[#This Row],[CONTACTLASTNAME]]))</f>
        <v>Maria, Larsson</v>
      </c>
      <c r="AA1589" s="1" t="s">
        <v>59</v>
      </c>
    </row>
    <row r="1590" spans="1:27" x14ac:dyDescent="0.25">
      <c r="A1590" s="10">
        <v>10402</v>
      </c>
      <c r="B1590" s="9">
        <v>59</v>
      </c>
      <c r="C1590" s="9">
        <v>876</v>
      </c>
      <c r="D1590" s="9">
        <f>PRODUCT(sales_data_sample[[#This Row],[QUANTITYORDERED]],sales_data_sample[[#This Row],[PRICEEACH]])</f>
        <v>51684</v>
      </c>
      <c r="E1590" s="9">
        <f>IF(OR(sales_data_sample[[#This Row],[STATUS]]="Shipped",sales_data_sample[[#This Row],[STATUS]]="Resolved"),sales_data_sample[[#This Row],[SALES]],0)</f>
        <v>51684</v>
      </c>
      <c r="F1590" s="10">
        <v>3</v>
      </c>
      <c r="G1590" s="12" t="s">
        <v>432</v>
      </c>
      <c r="H1590" s="1" t="s">
        <v>26</v>
      </c>
      <c r="I1590">
        <v>2</v>
      </c>
      <c r="J1590">
        <v>4</v>
      </c>
      <c r="K1590">
        <v>2005</v>
      </c>
      <c r="L1590" s="1" t="s">
        <v>27</v>
      </c>
      <c r="M1590">
        <v>76</v>
      </c>
      <c r="N1590" s="1" t="s">
        <v>956</v>
      </c>
      <c r="O1590" s="1" t="s">
        <v>106</v>
      </c>
      <c r="P1590" s="1" t="s">
        <v>107</v>
      </c>
      <c r="Q1590" s="1" t="s">
        <v>108</v>
      </c>
      <c r="R1590" s="1" t="s">
        <v>32</v>
      </c>
      <c r="S1590" s="1" t="s">
        <v>55</v>
      </c>
      <c r="T1590" s="1" t="s">
        <v>32</v>
      </c>
      <c r="U1590" s="1" t="s">
        <v>109</v>
      </c>
      <c r="V1590" s="1" t="s">
        <v>47</v>
      </c>
      <c r="W1590" s="1" t="s">
        <v>48</v>
      </c>
      <c r="X1590" s="1" t="s">
        <v>110</v>
      </c>
      <c r="Y1590" s="1" t="s">
        <v>111</v>
      </c>
      <c r="Z1590" s="1" t="str">
        <f>TRIM(_xlfn.CONCAT(sales_data_sample[[#This Row],[CONTACTFIRSTNAME]],", ",sales_data_sample[[#This Row],[CONTACTLASTNAME]]))</f>
        <v>Dominique, Perrier</v>
      </c>
      <c r="AA1590" s="1" t="s">
        <v>59</v>
      </c>
    </row>
    <row r="1591" spans="1:27" x14ac:dyDescent="0.25">
      <c r="A1591" s="10">
        <v>10416</v>
      </c>
      <c r="B1591" s="9">
        <v>32</v>
      </c>
      <c r="C1591" s="9">
        <v>876</v>
      </c>
      <c r="D1591" s="9">
        <f>PRODUCT(sales_data_sample[[#This Row],[QUANTITYORDERED]],sales_data_sample[[#This Row],[PRICEEACH]])</f>
        <v>28032</v>
      </c>
      <c r="E1591" s="9">
        <f>IF(OR(sales_data_sample[[#This Row],[STATUS]]="Shipped",sales_data_sample[[#This Row],[STATUS]]="Resolved"),sales_data_sample[[#This Row],[SALES]],0)</f>
        <v>28032</v>
      </c>
      <c r="F1591" s="10">
        <v>1</v>
      </c>
      <c r="G1591" s="12" t="s">
        <v>871</v>
      </c>
      <c r="H1591" s="1" t="s">
        <v>26</v>
      </c>
      <c r="I1591">
        <v>2</v>
      </c>
      <c r="J1591">
        <v>5</v>
      </c>
      <c r="K1591">
        <v>2005</v>
      </c>
      <c r="L1591" s="1" t="s">
        <v>27</v>
      </c>
      <c r="M1591">
        <v>76</v>
      </c>
      <c r="N1591" s="1" t="s">
        <v>956</v>
      </c>
      <c r="O1591" s="1" t="s">
        <v>632</v>
      </c>
      <c r="P1591" s="1" t="s">
        <v>633</v>
      </c>
      <c r="Q1591" s="1" t="s">
        <v>634</v>
      </c>
      <c r="R1591" s="1" t="s">
        <v>32</v>
      </c>
      <c r="S1591" s="1" t="s">
        <v>635</v>
      </c>
      <c r="T1591" s="1" t="s">
        <v>32</v>
      </c>
      <c r="U1591" s="1" t="s">
        <v>636</v>
      </c>
      <c r="V1591" s="1" t="s">
        <v>343</v>
      </c>
      <c r="W1591" s="1" t="s">
        <v>48</v>
      </c>
      <c r="X1591" s="1" t="s">
        <v>637</v>
      </c>
      <c r="Y1591" s="1" t="s">
        <v>638</v>
      </c>
      <c r="Z1591" s="1" t="str">
        <f>TRIM(_xlfn.CONCAT(sales_data_sample[[#This Row],[CONTACTFIRSTNAME]],", ",sales_data_sample[[#This Row],[CONTACTLASTNAME]]))</f>
        <v>Maurizio, Moroni</v>
      </c>
      <c r="AA1591" s="1" t="s">
        <v>40</v>
      </c>
    </row>
    <row r="1592" spans="1:27" x14ac:dyDescent="0.25">
      <c r="A1592" s="10">
        <v>10105</v>
      </c>
      <c r="B1592" s="9">
        <v>43</v>
      </c>
      <c r="C1592" s="9">
        <v>100</v>
      </c>
      <c r="D1592" s="9">
        <f>PRODUCT(sales_data_sample[[#This Row],[QUANTITYORDERED]],sales_data_sample[[#This Row],[PRICEEACH]])</f>
        <v>4300</v>
      </c>
      <c r="E1592" s="9">
        <f>IF(OR(sales_data_sample[[#This Row],[STATUS]]="Shipped",sales_data_sample[[#This Row],[STATUS]]="Resolved"),sales_data_sample[[#This Row],[SALES]],0)</f>
        <v>4300</v>
      </c>
      <c r="F1592" s="10">
        <v>9</v>
      </c>
      <c r="G1592" s="12" t="s">
        <v>435</v>
      </c>
      <c r="H1592" s="1" t="s">
        <v>26</v>
      </c>
      <c r="I1592">
        <v>1</v>
      </c>
      <c r="J1592">
        <v>2</v>
      </c>
      <c r="K1592">
        <v>2003</v>
      </c>
      <c r="L1592" s="1" t="s">
        <v>905</v>
      </c>
      <c r="M1592">
        <v>122</v>
      </c>
      <c r="N1592" s="1" t="s">
        <v>957</v>
      </c>
      <c r="O1592" s="1" t="s">
        <v>437</v>
      </c>
      <c r="P1592" s="1" t="s">
        <v>438</v>
      </c>
      <c r="Q1592" s="1" t="s">
        <v>439</v>
      </c>
      <c r="R1592" s="1" t="s">
        <v>32</v>
      </c>
      <c r="S1592" s="1" t="s">
        <v>440</v>
      </c>
      <c r="T1592" s="1" t="s">
        <v>32</v>
      </c>
      <c r="U1592" s="1" t="s">
        <v>441</v>
      </c>
      <c r="V1592" s="1" t="s">
        <v>442</v>
      </c>
      <c r="W1592" s="1" t="s">
        <v>48</v>
      </c>
      <c r="X1592" s="1" t="s">
        <v>443</v>
      </c>
      <c r="Y1592" s="1" t="s">
        <v>444</v>
      </c>
      <c r="Z1592" s="1" t="str">
        <f>TRIM(_xlfn.CONCAT(sales_data_sample[[#This Row],[CONTACTFIRSTNAME]],", ",sales_data_sample[[#This Row],[CONTACTLASTNAME]]))</f>
        <v>Jytte, Petersen</v>
      </c>
      <c r="AA1592" s="1" t="s">
        <v>59</v>
      </c>
    </row>
    <row r="1593" spans="1:27" x14ac:dyDescent="0.25">
      <c r="A1593" s="10">
        <v>10117</v>
      </c>
      <c r="B1593" s="9">
        <v>41</v>
      </c>
      <c r="C1593" s="9">
        <v>100</v>
      </c>
      <c r="D1593" s="9">
        <f>PRODUCT(sales_data_sample[[#This Row],[QUANTITYORDERED]],sales_data_sample[[#This Row],[PRICEEACH]])</f>
        <v>4100</v>
      </c>
      <c r="E1593" s="9">
        <f>IF(OR(sales_data_sample[[#This Row],[STATUS]]="Shipped",sales_data_sample[[#This Row],[STATUS]]="Resolved"),sales_data_sample[[#This Row],[SALES]],0)</f>
        <v>4100</v>
      </c>
      <c r="F1593" s="10">
        <v>3</v>
      </c>
      <c r="G1593" s="12" t="s">
        <v>665</v>
      </c>
      <c r="H1593" s="1" t="s">
        <v>26</v>
      </c>
      <c r="I1593">
        <v>2</v>
      </c>
      <c r="J1593">
        <v>4</v>
      </c>
      <c r="K1593">
        <v>2003</v>
      </c>
      <c r="L1593" s="1" t="s">
        <v>905</v>
      </c>
      <c r="M1593">
        <v>122</v>
      </c>
      <c r="N1593" s="1" t="s">
        <v>957</v>
      </c>
      <c r="O1593" s="1" t="s">
        <v>259</v>
      </c>
      <c r="P1593" s="1" t="s">
        <v>260</v>
      </c>
      <c r="Q1593" s="1" t="s">
        <v>261</v>
      </c>
      <c r="R1593" s="1" t="s">
        <v>32</v>
      </c>
      <c r="S1593" s="1" t="s">
        <v>262</v>
      </c>
      <c r="T1593" s="1" t="s">
        <v>32</v>
      </c>
      <c r="U1593" s="1" t="s">
        <v>263</v>
      </c>
      <c r="V1593" s="1" t="s">
        <v>262</v>
      </c>
      <c r="W1593" s="1" t="s">
        <v>264</v>
      </c>
      <c r="X1593" s="1" t="s">
        <v>265</v>
      </c>
      <c r="Y1593" s="1" t="s">
        <v>266</v>
      </c>
      <c r="Z1593" s="1" t="str">
        <f>TRIM(_xlfn.CONCAT(sales_data_sample[[#This Row],[CONTACTFIRSTNAME]],", ",sales_data_sample[[#This Row],[CONTACTLASTNAME]]))</f>
        <v>Eric, Natividad</v>
      </c>
      <c r="AA1593" s="1" t="s">
        <v>59</v>
      </c>
    </row>
    <row r="1594" spans="1:27" x14ac:dyDescent="0.25">
      <c r="A1594" s="10">
        <v>10129</v>
      </c>
      <c r="B1594" s="9">
        <v>45</v>
      </c>
      <c r="C1594" s="9">
        <v>100</v>
      </c>
      <c r="D1594" s="9">
        <f>PRODUCT(sales_data_sample[[#This Row],[QUANTITYORDERED]],sales_data_sample[[#This Row],[PRICEEACH]])</f>
        <v>4500</v>
      </c>
      <c r="E1594" s="9">
        <f>IF(OR(sales_data_sample[[#This Row],[STATUS]]="Shipped",sales_data_sample[[#This Row],[STATUS]]="Resolved"),sales_data_sample[[#This Row],[SALES]],0)</f>
        <v>4500</v>
      </c>
      <c r="F1594" s="10">
        <v>9</v>
      </c>
      <c r="G1594" s="12" t="s">
        <v>446</v>
      </c>
      <c r="H1594" s="1" t="s">
        <v>26</v>
      </c>
      <c r="I1594">
        <v>2</v>
      </c>
      <c r="J1594">
        <v>6</v>
      </c>
      <c r="K1594">
        <v>2003</v>
      </c>
      <c r="L1594" s="1" t="s">
        <v>905</v>
      </c>
      <c r="M1594">
        <v>122</v>
      </c>
      <c r="N1594" s="1" t="s">
        <v>957</v>
      </c>
      <c r="O1594" s="1" t="s">
        <v>447</v>
      </c>
      <c r="P1594" s="1" t="s">
        <v>448</v>
      </c>
      <c r="Q1594" s="1" t="s">
        <v>449</v>
      </c>
      <c r="R1594" s="1" t="s">
        <v>32</v>
      </c>
      <c r="S1594" s="1" t="s">
        <v>450</v>
      </c>
      <c r="T1594" s="1" t="s">
        <v>32</v>
      </c>
      <c r="U1594" s="1" t="s">
        <v>451</v>
      </c>
      <c r="V1594" s="1" t="s">
        <v>225</v>
      </c>
      <c r="W1594" s="1" t="s">
        <v>48</v>
      </c>
      <c r="X1594" s="1" t="s">
        <v>74</v>
      </c>
      <c r="Y1594" s="1" t="s">
        <v>452</v>
      </c>
      <c r="Z1594" s="1" t="str">
        <f>TRIM(_xlfn.CONCAT(sales_data_sample[[#This Row],[CONTACTFIRSTNAME]],", ",sales_data_sample[[#This Row],[CONTACTLASTNAME]]))</f>
        <v>Ann, Brown</v>
      </c>
      <c r="AA1594" s="1" t="s">
        <v>59</v>
      </c>
    </row>
    <row r="1595" spans="1:27" x14ac:dyDescent="0.25">
      <c r="A1595" s="10">
        <v>10142</v>
      </c>
      <c r="B1595" s="9">
        <v>33</v>
      </c>
      <c r="C1595" s="9">
        <v>100</v>
      </c>
      <c r="D1595" s="9">
        <f>PRODUCT(sales_data_sample[[#This Row],[QUANTITYORDERED]],sales_data_sample[[#This Row],[PRICEEACH]])</f>
        <v>3300</v>
      </c>
      <c r="E1595" s="9">
        <f>IF(OR(sales_data_sample[[#This Row],[STATUS]]="Shipped",sales_data_sample[[#This Row],[STATUS]]="Resolved"),sales_data_sample[[#This Row],[SALES]],0)</f>
        <v>3300</v>
      </c>
      <c r="F1595" s="10">
        <v>6</v>
      </c>
      <c r="G1595" s="12" t="s">
        <v>672</v>
      </c>
      <c r="H1595" s="1" t="s">
        <v>26</v>
      </c>
      <c r="I1595">
        <v>3</v>
      </c>
      <c r="J1595">
        <v>8</v>
      </c>
      <c r="K1595">
        <v>2003</v>
      </c>
      <c r="L1595" s="1" t="s">
        <v>905</v>
      </c>
      <c r="M1595">
        <v>122</v>
      </c>
      <c r="N1595" s="1" t="s">
        <v>957</v>
      </c>
      <c r="O1595" s="1" t="s">
        <v>361</v>
      </c>
      <c r="P1595" s="1" t="s">
        <v>362</v>
      </c>
      <c r="Q1595" s="1" t="s">
        <v>363</v>
      </c>
      <c r="R1595" s="1" t="s">
        <v>32</v>
      </c>
      <c r="S1595" s="1" t="s">
        <v>364</v>
      </c>
      <c r="T1595" s="1" t="s">
        <v>65</v>
      </c>
      <c r="U1595" s="1" t="s">
        <v>145</v>
      </c>
      <c r="V1595" s="1" t="s">
        <v>36</v>
      </c>
      <c r="W1595" s="1" t="s">
        <v>37</v>
      </c>
      <c r="X1595" s="1" t="s">
        <v>365</v>
      </c>
      <c r="Y1595" s="1" t="s">
        <v>366</v>
      </c>
      <c r="Z1595" s="1" t="str">
        <f>TRIM(_xlfn.CONCAT(sales_data_sample[[#This Row],[CONTACTFIRSTNAME]],", ",sales_data_sample[[#This Row],[CONTACTLASTNAME]]))</f>
        <v>Valarie, Nelson</v>
      </c>
      <c r="AA1595" s="1" t="s">
        <v>59</v>
      </c>
    </row>
    <row r="1596" spans="1:27" x14ac:dyDescent="0.25">
      <c r="A1596" s="10">
        <v>10153</v>
      </c>
      <c r="B1596" s="9">
        <v>40</v>
      </c>
      <c r="C1596" s="9">
        <v>100</v>
      </c>
      <c r="D1596" s="9">
        <f>PRODUCT(sales_data_sample[[#This Row],[QUANTITYORDERED]],sales_data_sample[[#This Row],[PRICEEACH]])</f>
        <v>4000</v>
      </c>
      <c r="E1596" s="9">
        <f>IF(OR(sales_data_sample[[#This Row],[STATUS]]="Shipped",sales_data_sample[[#This Row],[STATUS]]="Resolved"),sales_data_sample[[#This Row],[SALES]],0)</f>
        <v>4000</v>
      </c>
      <c r="F1596" s="10">
        <v>5</v>
      </c>
      <c r="G1596" s="12" t="s">
        <v>673</v>
      </c>
      <c r="H1596" s="1" t="s">
        <v>26</v>
      </c>
      <c r="I1596">
        <v>3</v>
      </c>
      <c r="J1596">
        <v>9</v>
      </c>
      <c r="K1596">
        <v>2003</v>
      </c>
      <c r="L1596" s="1" t="s">
        <v>905</v>
      </c>
      <c r="M1596">
        <v>122</v>
      </c>
      <c r="N1596" s="1" t="s">
        <v>957</v>
      </c>
      <c r="O1596" s="1" t="s">
        <v>230</v>
      </c>
      <c r="P1596" s="1" t="s">
        <v>231</v>
      </c>
      <c r="Q1596" s="1" t="s">
        <v>232</v>
      </c>
      <c r="R1596" s="1" t="s">
        <v>32</v>
      </c>
      <c r="S1596" s="1" t="s">
        <v>233</v>
      </c>
      <c r="T1596" s="1" t="s">
        <v>32</v>
      </c>
      <c r="U1596" s="1" t="s">
        <v>234</v>
      </c>
      <c r="V1596" s="1" t="s">
        <v>235</v>
      </c>
      <c r="W1596" s="1" t="s">
        <v>48</v>
      </c>
      <c r="X1596" s="1" t="s">
        <v>236</v>
      </c>
      <c r="Y1596" s="1" t="s">
        <v>237</v>
      </c>
      <c r="Z1596" s="1" t="str">
        <f>TRIM(_xlfn.CONCAT(sales_data_sample[[#This Row],[CONTACTFIRSTNAME]],", ",sales_data_sample[[#This Row],[CONTACTLASTNAME]]))</f>
        <v>Diego, Freyre</v>
      </c>
      <c r="AA1596" s="1" t="s">
        <v>59</v>
      </c>
    </row>
    <row r="1597" spans="1:27" x14ac:dyDescent="0.25">
      <c r="A1597" s="10">
        <v>10167</v>
      </c>
      <c r="B1597" s="9">
        <v>33</v>
      </c>
      <c r="C1597" s="9">
        <v>100</v>
      </c>
      <c r="D1597" s="9">
        <f>PRODUCT(sales_data_sample[[#This Row],[QUANTITYORDERED]],sales_data_sample[[#This Row],[PRICEEACH]])</f>
        <v>3300</v>
      </c>
      <c r="E1597" s="9">
        <f>IF(OR(sales_data_sample[[#This Row],[STATUS]]="Shipped",sales_data_sample[[#This Row],[STATUS]]="Resolved"),sales_data_sample[[#This Row],[SALES]],0)</f>
        <v>0</v>
      </c>
      <c r="F1597" s="10">
        <v>16</v>
      </c>
      <c r="G1597" s="12" t="s">
        <v>460</v>
      </c>
      <c r="H1597" s="1" t="s">
        <v>461</v>
      </c>
      <c r="I1597">
        <v>4</v>
      </c>
      <c r="J1597">
        <v>10</v>
      </c>
      <c r="K1597">
        <v>2003</v>
      </c>
      <c r="L1597" s="1" t="s">
        <v>905</v>
      </c>
      <c r="M1597">
        <v>122</v>
      </c>
      <c r="N1597" s="1" t="s">
        <v>957</v>
      </c>
      <c r="O1597" s="1" t="s">
        <v>347</v>
      </c>
      <c r="P1597" s="1" t="s">
        <v>348</v>
      </c>
      <c r="Q1597" s="1" t="s">
        <v>349</v>
      </c>
      <c r="R1597" s="1" t="s">
        <v>32</v>
      </c>
      <c r="S1597" s="1" t="s">
        <v>350</v>
      </c>
      <c r="T1597" s="1" t="s">
        <v>32</v>
      </c>
      <c r="U1597" s="1" t="s">
        <v>351</v>
      </c>
      <c r="V1597" s="1" t="s">
        <v>247</v>
      </c>
      <c r="W1597" s="1" t="s">
        <v>48</v>
      </c>
      <c r="X1597" s="1" t="s">
        <v>352</v>
      </c>
      <c r="Y1597" s="1" t="s">
        <v>272</v>
      </c>
      <c r="Z1597" s="1" t="str">
        <f>TRIM(_xlfn.CONCAT(sales_data_sample[[#This Row],[CONTACTFIRSTNAME]],", ",sales_data_sample[[#This Row],[CONTACTLASTNAME]]))</f>
        <v>Maria, Larsson</v>
      </c>
      <c r="AA1597" s="1" t="s">
        <v>59</v>
      </c>
    </row>
    <row r="1598" spans="1:27" x14ac:dyDescent="0.25">
      <c r="A1598" s="10">
        <v>10177</v>
      </c>
      <c r="B1598" s="9">
        <v>50</v>
      </c>
      <c r="C1598" s="9">
        <v>100</v>
      </c>
      <c r="D1598" s="9">
        <f>PRODUCT(sales_data_sample[[#This Row],[QUANTITYORDERED]],sales_data_sample[[#This Row],[PRICEEACH]])</f>
        <v>5000</v>
      </c>
      <c r="E1598" s="9">
        <f>IF(OR(sales_data_sample[[#This Row],[STATUS]]="Shipped",sales_data_sample[[#This Row],[STATUS]]="Resolved"),sales_data_sample[[#This Row],[SALES]],0)</f>
        <v>5000</v>
      </c>
      <c r="F1598" s="10">
        <v>7</v>
      </c>
      <c r="G1598" s="12" t="s">
        <v>913</v>
      </c>
      <c r="H1598" s="1" t="s">
        <v>26</v>
      </c>
      <c r="I1598">
        <v>4</v>
      </c>
      <c r="J1598">
        <v>11</v>
      </c>
      <c r="K1598">
        <v>2003</v>
      </c>
      <c r="L1598" s="1" t="s">
        <v>905</v>
      </c>
      <c r="M1598">
        <v>122</v>
      </c>
      <c r="N1598" s="1" t="s">
        <v>957</v>
      </c>
      <c r="O1598" s="1" t="s">
        <v>687</v>
      </c>
      <c r="P1598" s="1" t="s">
        <v>688</v>
      </c>
      <c r="Q1598" s="1" t="s">
        <v>689</v>
      </c>
      <c r="R1598" s="1" t="s">
        <v>32</v>
      </c>
      <c r="S1598" s="1" t="s">
        <v>233</v>
      </c>
      <c r="T1598" s="1" t="s">
        <v>32</v>
      </c>
      <c r="U1598" s="1" t="s">
        <v>254</v>
      </c>
      <c r="V1598" s="1" t="s">
        <v>235</v>
      </c>
      <c r="W1598" s="1" t="s">
        <v>48</v>
      </c>
      <c r="X1598" s="1" t="s">
        <v>690</v>
      </c>
      <c r="Y1598" s="1" t="s">
        <v>691</v>
      </c>
      <c r="Z1598" s="1" t="str">
        <f>TRIM(_xlfn.CONCAT(sales_data_sample[[#This Row],[CONTACTFIRSTNAME]],", ",sales_data_sample[[#This Row],[CONTACTLASTNAME]]))</f>
        <v>Jesus, Fernandez</v>
      </c>
      <c r="AA1598" s="1" t="s">
        <v>59</v>
      </c>
    </row>
    <row r="1599" spans="1:27" x14ac:dyDescent="0.25">
      <c r="A1599" s="10">
        <v>10185</v>
      </c>
      <c r="B1599" s="9">
        <v>30</v>
      </c>
      <c r="C1599" s="9">
        <v>100</v>
      </c>
      <c r="D1599" s="9">
        <f>PRODUCT(sales_data_sample[[#This Row],[QUANTITYORDERED]],sales_data_sample[[#This Row],[PRICEEACH]])</f>
        <v>3000</v>
      </c>
      <c r="E1599" s="9">
        <f>IF(OR(sales_data_sample[[#This Row],[STATUS]]="Shipped",sales_data_sample[[#This Row],[STATUS]]="Resolved"),sales_data_sample[[#This Row],[SALES]],0)</f>
        <v>3000</v>
      </c>
      <c r="F1599" s="10">
        <v>7</v>
      </c>
      <c r="G1599" s="12" t="s">
        <v>470</v>
      </c>
      <c r="H1599" s="1" t="s">
        <v>26</v>
      </c>
      <c r="I1599">
        <v>4</v>
      </c>
      <c r="J1599">
        <v>11</v>
      </c>
      <c r="K1599">
        <v>2003</v>
      </c>
      <c r="L1599" s="1" t="s">
        <v>905</v>
      </c>
      <c r="M1599">
        <v>122</v>
      </c>
      <c r="N1599" s="1" t="s">
        <v>957</v>
      </c>
      <c r="O1599" s="1" t="s">
        <v>454</v>
      </c>
      <c r="P1599" s="1" t="s">
        <v>455</v>
      </c>
      <c r="Q1599" s="1" t="s">
        <v>456</v>
      </c>
      <c r="R1599" s="1" t="s">
        <v>32</v>
      </c>
      <c r="S1599" s="1" t="s">
        <v>215</v>
      </c>
      <c r="T1599" s="1" t="s">
        <v>160</v>
      </c>
      <c r="U1599" s="1" t="s">
        <v>216</v>
      </c>
      <c r="V1599" s="1" t="s">
        <v>36</v>
      </c>
      <c r="W1599" s="1" t="s">
        <v>37</v>
      </c>
      <c r="X1599" s="1" t="s">
        <v>457</v>
      </c>
      <c r="Y1599" s="1" t="s">
        <v>458</v>
      </c>
      <c r="Z1599" s="1" t="str">
        <f>TRIM(_xlfn.CONCAT(sales_data_sample[[#This Row],[CONTACTFIRSTNAME]],", ",sales_data_sample[[#This Row],[CONTACTLASTNAME]]))</f>
        <v>Wing C, Tam</v>
      </c>
      <c r="AA1599" s="1" t="s">
        <v>59</v>
      </c>
    </row>
    <row r="1600" spans="1:27" x14ac:dyDescent="0.25">
      <c r="A1600" s="10">
        <v>10197</v>
      </c>
      <c r="B1600" s="9">
        <v>41</v>
      </c>
      <c r="C1600" s="9">
        <v>100</v>
      </c>
      <c r="D1600" s="9">
        <f>PRODUCT(sales_data_sample[[#This Row],[QUANTITYORDERED]],sales_data_sample[[#This Row],[PRICEEACH]])</f>
        <v>4100</v>
      </c>
      <c r="E1600" s="9">
        <f>IF(OR(sales_data_sample[[#This Row],[STATUS]]="Shipped",sales_data_sample[[#This Row],[STATUS]]="Resolved"),sales_data_sample[[#This Row],[SALES]],0)</f>
        <v>4100</v>
      </c>
      <c r="F1600" s="10">
        <v>13</v>
      </c>
      <c r="G1600" s="12" t="s">
        <v>477</v>
      </c>
      <c r="H1600" s="1" t="s">
        <v>26</v>
      </c>
      <c r="I1600">
        <v>4</v>
      </c>
      <c r="J1600">
        <v>11</v>
      </c>
      <c r="K1600">
        <v>2003</v>
      </c>
      <c r="L1600" s="1" t="s">
        <v>905</v>
      </c>
      <c r="M1600">
        <v>122</v>
      </c>
      <c r="N1600" s="1" t="s">
        <v>957</v>
      </c>
      <c r="O1600" s="1" t="s">
        <v>478</v>
      </c>
      <c r="P1600" s="1" t="s">
        <v>479</v>
      </c>
      <c r="Q1600" s="1" t="s">
        <v>480</v>
      </c>
      <c r="R1600" s="1" t="s">
        <v>32</v>
      </c>
      <c r="S1600" s="1" t="s">
        <v>481</v>
      </c>
      <c r="T1600" s="1" t="s">
        <v>32</v>
      </c>
      <c r="U1600" s="1" t="s">
        <v>482</v>
      </c>
      <c r="V1600" s="1" t="s">
        <v>235</v>
      </c>
      <c r="W1600" s="1" t="s">
        <v>48</v>
      </c>
      <c r="X1600" s="1" t="s">
        <v>483</v>
      </c>
      <c r="Y1600" s="1" t="s">
        <v>484</v>
      </c>
      <c r="Z1600" s="1" t="str">
        <f>TRIM(_xlfn.CONCAT(sales_data_sample[[#This Row],[CONTACTFIRSTNAME]],", ",sales_data_sample[[#This Row],[CONTACTLASTNAME]]))</f>
        <v>Eduardo, Saavedra</v>
      </c>
      <c r="AA1600" s="1" t="s">
        <v>59</v>
      </c>
    </row>
    <row r="1601" spans="1:27" x14ac:dyDescent="0.25">
      <c r="A1601" s="10">
        <v>10208</v>
      </c>
      <c r="B1601" s="9">
        <v>35</v>
      </c>
      <c r="C1601" s="9">
        <v>100</v>
      </c>
      <c r="D1601" s="9">
        <f>PRODUCT(sales_data_sample[[#This Row],[QUANTITYORDERED]],sales_data_sample[[#This Row],[PRICEEACH]])</f>
        <v>3500</v>
      </c>
      <c r="E1601" s="9">
        <f>IF(OR(sales_data_sample[[#This Row],[STATUS]]="Shipped",sales_data_sample[[#This Row],[STATUS]]="Resolved"),sales_data_sample[[#This Row],[SALES]],0)</f>
        <v>3500</v>
      </c>
      <c r="F1601" s="10">
        <v>7</v>
      </c>
      <c r="G1601" s="12" t="s">
        <v>675</v>
      </c>
      <c r="H1601" s="1" t="s">
        <v>26</v>
      </c>
      <c r="I1601">
        <v>1</v>
      </c>
      <c r="J1601">
        <v>1</v>
      </c>
      <c r="K1601">
        <v>2004</v>
      </c>
      <c r="L1601" s="1" t="s">
        <v>905</v>
      </c>
      <c r="M1601">
        <v>122</v>
      </c>
      <c r="N1601" s="1" t="s">
        <v>957</v>
      </c>
      <c r="O1601" s="1" t="s">
        <v>291</v>
      </c>
      <c r="P1601" s="1" t="s">
        <v>292</v>
      </c>
      <c r="Q1601" s="1" t="s">
        <v>293</v>
      </c>
      <c r="R1601" s="1" t="s">
        <v>32</v>
      </c>
      <c r="S1601" s="1" t="s">
        <v>294</v>
      </c>
      <c r="T1601" s="1" t="s">
        <v>32</v>
      </c>
      <c r="U1601" s="1" t="s">
        <v>295</v>
      </c>
      <c r="V1601" s="1" t="s">
        <v>47</v>
      </c>
      <c r="W1601" s="1" t="s">
        <v>48</v>
      </c>
      <c r="X1601" s="1" t="s">
        <v>296</v>
      </c>
      <c r="Y1601" s="1" t="s">
        <v>297</v>
      </c>
      <c r="Z1601" s="1" t="str">
        <f>TRIM(_xlfn.CONCAT(sales_data_sample[[#This Row],[CONTACTFIRSTNAME]],", ",sales_data_sample[[#This Row],[CONTACTLASTNAME]]))</f>
        <v>Mary, Saveley</v>
      </c>
      <c r="AA1601" s="1" t="s">
        <v>59</v>
      </c>
    </row>
    <row r="1602" spans="1:27" x14ac:dyDescent="0.25">
      <c r="A1602" s="10">
        <v>10221</v>
      </c>
      <c r="B1602" s="9">
        <v>49</v>
      </c>
      <c r="C1602" s="9">
        <v>100</v>
      </c>
      <c r="D1602" s="9">
        <f>PRODUCT(sales_data_sample[[#This Row],[QUANTITYORDERED]],sales_data_sample[[#This Row],[PRICEEACH]])</f>
        <v>4900</v>
      </c>
      <c r="E1602" s="9">
        <f>IF(OR(sales_data_sample[[#This Row],[STATUS]]="Shipped",sales_data_sample[[#This Row],[STATUS]]="Resolved"),sales_data_sample[[#This Row],[SALES]],0)</f>
        <v>4900</v>
      </c>
      <c r="F1602" s="10">
        <v>1</v>
      </c>
      <c r="G1602" s="12" t="s">
        <v>914</v>
      </c>
      <c r="H1602" s="1" t="s">
        <v>26</v>
      </c>
      <c r="I1602">
        <v>1</v>
      </c>
      <c r="J1602">
        <v>2</v>
      </c>
      <c r="K1602">
        <v>2004</v>
      </c>
      <c r="L1602" s="1" t="s">
        <v>905</v>
      </c>
      <c r="M1602">
        <v>122</v>
      </c>
      <c r="N1602" s="1" t="s">
        <v>957</v>
      </c>
      <c r="O1602" s="1" t="s">
        <v>500</v>
      </c>
      <c r="P1602" s="1" t="s">
        <v>501</v>
      </c>
      <c r="Q1602" s="1" t="s">
        <v>502</v>
      </c>
      <c r="R1602" s="1" t="s">
        <v>32</v>
      </c>
      <c r="S1602" s="1" t="s">
        <v>503</v>
      </c>
      <c r="T1602" s="1" t="s">
        <v>32</v>
      </c>
      <c r="U1602" s="1" t="s">
        <v>504</v>
      </c>
      <c r="V1602" s="1" t="s">
        <v>505</v>
      </c>
      <c r="W1602" s="1" t="s">
        <v>48</v>
      </c>
      <c r="X1602" s="1" t="s">
        <v>506</v>
      </c>
      <c r="Y1602" s="1" t="s">
        <v>507</v>
      </c>
      <c r="Z1602" s="1" t="str">
        <f>TRIM(_xlfn.CONCAT(sales_data_sample[[#This Row],[CONTACTFIRSTNAME]],", ",sales_data_sample[[#This Row],[CONTACTLASTNAME]]))</f>
        <v>Catherine, Dewey</v>
      </c>
      <c r="AA1602" s="1" t="s">
        <v>59</v>
      </c>
    </row>
    <row r="1603" spans="1:27" x14ac:dyDescent="0.25">
      <c r="A1603" s="10">
        <v>10232</v>
      </c>
      <c r="B1603" s="9">
        <v>46</v>
      </c>
      <c r="C1603" s="9">
        <v>100</v>
      </c>
      <c r="D1603" s="9">
        <f>PRODUCT(sales_data_sample[[#This Row],[QUANTITYORDERED]],sales_data_sample[[#This Row],[PRICEEACH]])</f>
        <v>4600</v>
      </c>
      <c r="E1603" s="9">
        <f>IF(OR(sales_data_sample[[#This Row],[STATUS]]="Shipped",sales_data_sample[[#This Row],[STATUS]]="Resolved"),sales_data_sample[[#This Row],[SALES]],0)</f>
        <v>4600</v>
      </c>
      <c r="F1603" s="10">
        <v>4</v>
      </c>
      <c r="G1603" s="12" t="s">
        <v>915</v>
      </c>
      <c r="H1603" s="1" t="s">
        <v>26</v>
      </c>
      <c r="I1603">
        <v>1</v>
      </c>
      <c r="J1603">
        <v>3</v>
      </c>
      <c r="K1603">
        <v>2004</v>
      </c>
      <c r="L1603" s="1" t="s">
        <v>905</v>
      </c>
      <c r="M1603">
        <v>122</v>
      </c>
      <c r="N1603" s="1" t="s">
        <v>957</v>
      </c>
      <c r="O1603" s="1" t="s">
        <v>524</v>
      </c>
      <c r="P1603" s="1" t="s">
        <v>525</v>
      </c>
      <c r="Q1603" s="1" t="s">
        <v>526</v>
      </c>
      <c r="R1603" s="1" t="s">
        <v>32</v>
      </c>
      <c r="S1603" s="1" t="s">
        <v>527</v>
      </c>
      <c r="T1603" s="1" t="s">
        <v>528</v>
      </c>
      <c r="U1603" s="1" t="s">
        <v>529</v>
      </c>
      <c r="V1603" s="1" t="s">
        <v>225</v>
      </c>
      <c r="W1603" s="1" t="s">
        <v>48</v>
      </c>
      <c r="X1603" s="1" t="s">
        <v>530</v>
      </c>
      <c r="Y1603" s="1" t="s">
        <v>531</v>
      </c>
      <c r="Z1603" s="1" t="str">
        <f>TRIM(_xlfn.CONCAT(sales_data_sample[[#This Row],[CONTACTFIRSTNAME]],", ",sales_data_sample[[#This Row],[CONTACTLASTNAME]]))</f>
        <v>Helen, Bennett</v>
      </c>
      <c r="AA1603" s="1" t="s">
        <v>59</v>
      </c>
    </row>
    <row r="1604" spans="1:27" x14ac:dyDescent="0.25">
      <c r="A1604" s="10">
        <v>10248</v>
      </c>
      <c r="B1604" s="9">
        <v>48</v>
      </c>
      <c r="C1604" s="9">
        <v>100</v>
      </c>
      <c r="D1604" s="9">
        <f>PRODUCT(sales_data_sample[[#This Row],[QUANTITYORDERED]],sales_data_sample[[#This Row],[PRICEEACH]])</f>
        <v>4800</v>
      </c>
      <c r="E1604" s="9">
        <f>IF(OR(sales_data_sample[[#This Row],[STATUS]]="Shipped",sales_data_sample[[#This Row],[STATUS]]="Resolved"),sales_data_sample[[#This Row],[SALES]],0)</f>
        <v>0</v>
      </c>
      <c r="F1604" s="10">
        <v>10</v>
      </c>
      <c r="G1604" s="12" t="s">
        <v>497</v>
      </c>
      <c r="H1604" s="1" t="s">
        <v>461</v>
      </c>
      <c r="I1604">
        <v>2</v>
      </c>
      <c r="J1604">
        <v>5</v>
      </c>
      <c r="K1604">
        <v>2004</v>
      </c>
      <c r="L1604" s="1" t="s">
        <v>905</v>
      </c>
      <c r="M1604">
        <v>122</v>
      </c>
      <c r="N1604" s="1" t="s">
        <v>957</v>
      </c>
      <c r="O1604" s="1" t="s">
        <v>29</v>
      </c>
      <c r="P1604" s="1" t="s">
        <v>30</v>
      </c>
      <c r="Q1604" s="1" t="s">
        <v>31</v>
      </c>
      <c r="R1604" s="1" t="s">
        <v>32</v>
      </c>
      <c r="S1604" s="1" t="s">
        <v>33</v>
      </c>
      <c r="T1604" s="1" t="s">
        <v>34</v>
      </c>
      <c r="U1604" s="1" t="s">
        <v>35</v>
      </c>
      <c r="V1604" s="1" t="s">
        <v>36</v>
      </c>
      <c r="W1604" s="1" t="s">
        <v>37</v>
      </c>
      <c r="X1604" s="1" t="s">
        <v>38</v>
      </c>
      <c r="Y1604" s="1" t="s">
        <v>39</v>
      </c>
      <c r="Z1604" s="1" t="str">
        <f>TRIM(_xlfn.CONCAT(sales_data_sample[[#This Row],[CONTACTFIRSTNAME]],", ",sales_data_sample[[#This Row],[CONTACTLASTNAME]]))</f>
        <v>Kwai, Yu</v>
      </c>
      <c r="AA1604" s="1" t="s">
        <v>59</v>
      </c>
    </row>
    <row r="1605" spans="1:27" x14ac:dyDescent="0.25">
      <c r="A1605" s="10">
        <v>10261</v>
      </c>
      <c r="B1605" s="9">
        <v>36</v>
      </c>
      <c r="C1605" s="9">
        <v>100</v>
      </c>
      <c r="D1605" s="9">
        <f>PRODUCT(sales_data_sample[[#This Row],[QUANTITYORDERED]],sales_data_sample[[#This Row],[PRICEEACH]])</f>
        <v>3600</v>
      </c>
      <c r="E1605" s="9">
        <f>IF(OR(sales_data_sample[[#This Row],[STATUS]]="Shipped",sales_data_sample[[#This Row],[STATUS]]="Resolved"),sales_data_sample[[#This Row],[SALES]],0)</f>
        <v>3600</v>
      </c>
      <c r="F1605" s="10">
        <v>8</v>
      </c>
      <c r="G1605" s="12" t="s">
        <v>498</v>
      </c>
      <c r="H1605" s="1" t="s">
        <v>26</v>
      </c>
      <c r="I1605">
        <v>2</v>
      </c>
      <c r="J1605">
        <v>6</v>
      </c>
      <c r="K1605">
        <v>2004</v>
      </c>
      <c r="L1605" s="1" t="s">
        <v>905</v>
      </c>
      <c r="M1605">
        <v>122</v>
      </c>
      <c r="N1605" s="1" t="s">
        <v>957</v>
      </c>
      <c r="O1605" s="1" t="s">
        <v>394</v>
      </c>
      <c r="P1605" s="1" t="s">
        <v>395</v>
      </c>
      <c r="Q1605" s="1" t="s">
        <v>396</v>
      </c>
      <c r="R1605" s="1" t="s">
        <v>32</v>
      </c>
      <c r="S1605" s="1" t="s">
        <v>397</v>
      </c>
      <c r="T1605" s="1" t="s">
        <v>398</v>
      </c>
      <c r="U1605" s="1" t="s">
        <v>399</v>
      </c>
      <c r="V1605" s="1" t="s">
        <v>305</v>
      </c>
      <c r="W1605" s="1" t="s">
        <v>37</v>
      </c>
      <c r="X1605" s="1" t="s">
        <v>400</v>
      </c>
      <c r="Y1605" s="1" t="s">
        <v>401</v>
      </c>
      <c r="Z1605" s="1" t="str">
        <f>TRIM(_xlfn.CONCAT(sales_data_sample[[#This Row],[CONTACTFIRSTNAME]],", ",sales_data_sample[[#This Row],[CONTACTLASTNAME]]))</f>
        <v>Jean, Fresnisre</v>
      </c>
      <c r="AA1605" s="1" t="s">
        <v>59</v>
      </c>
    </row>
    <row r="1606" spans="1:27" x14ac:dyDescent="0.25">
      <c r="A1606" s="10">
        <v>10273</v>
      </c>
      <c r="B1606" s="9">
        <v>22</v>
      </c>
      <c r="C1606" s="9">
        <v>100</v>
      </c>
      <c r="D1606" s="9">
        <f>PRODUCT(sales_data_sample[[#This Row],[QUANTITYORDERED]],sales_data_sample[[#This Row],[PRICEEACH]])</f>
        <v>2200</v>
      </c>
      <c r="E1606" s="9">
        <f>IF(OR(sales_data_sample[[#This Row],[STATUS]]="Shipped",sales_data_sample[[#This Row],[STATUS]]="Resolved"),sales_data_sample[[#This Row],[SALES]],0)</f>
        <v>2200</v>
      </c>
      <c r="F1606" s="10">
        <v>11</v>
      </c>
      <c r="G1606" s="12" t="s">
        <v>499</v>
      </c>
      <c r="H1606" s="1" t="s">
        <v>26</v>
      </c>
      <c r="I1606">
        <v>3</v>
      </c>
      <c r="J1606">
        <v>7</v>
      </c>
      <c r="K1606">
        <v>2004</v>
      </c>
      <c r="L1606" s="1" t="s">
        <v>905</v>
      </c>
      <c r="M1606">
        <v>122</v>
      </c>
      <c r="N1606" s="1" t="s">
        <v>957</v>
      </c>
      <c r="O1606" s="1" t="s">
        <v>500</v>
      </c>
      <c r="P1606" s="1" t="s">
        <v>501</v>
      </c>
      <c r="Q1606" s="1" t="s">
        <v>502</v>
      </c>
      <c r="R1606" s="1" t="s">
        <v>32</v>
      </c>
      <c r="S1606" s="1" t="s">
        <v>503</v>
      </c>
      <c r="T1606" s="1" t="s">
        <v>32</v>
      </c>
      <c r="U1606" s="1" t="s">
        <v>504</v>
      </c>
      <c r="V1606" s="1" t="s">
        <v>505</v>
      </c>
      <c r="W1606" s="1" t="s">
        <v>48</v>
      </c>
      <c r="X1606" s="1" t="s">
        <v>506</v>
      </c>
      <c r="Y1606" s="1" t="s">
        <v>507</v>
      </c>
      <c r="Z1606" s="1" t="str">
        <f>TRIM(_xlfn.CONCAT(sales_data_sample[[#This Row],[CONTACTFIRSTNAME]],", ",sales_data_sample[[#This Row],[CONTACTLASTNAME]]))</f>
        <v>Catherine, Dewey</v>
      </c>
      <c r="AA1606" s="1" t="s">
        <v>40</v>
      </c>
    </row>
    <row r="1607" spans="1:27" x14ac:dyDescent="0.25">
      <c r="A1607" s="10">
        <v>10283</v>
      </c>
      <c r="B1607" s="9">
        <v>42</v>
      </c>
      <c r="C1607" s="9">
        <v>100</v>
      </c>
      <c r="D1607" s="9">
        <f>PRODUCT(sales_data_sample[[#This Row],[QUANTITYORDERED]],sales_data_sample[[#This Row],[PRICEEACH]])</f>
        <v>4200</v>
      </c>
      <c r="E1607" s="9">
        <f>IF(OR(sales_data_sample[[#This Row],[STATUS]]="Shipped",sales_data_sample[[#This Row],[STATUS]]="Resolved"),sales_data_sample[[#This Row],[SALES]],0)</f>
        <v>4200</v>
      </c>
      <c r="F1607" s="10">
        <v>13</v>
      </c>
      <c r="G1607" s="12" t="s">
        <v>508</v>
      </c>
      <c r="H1607" s="1" t="s">
        <v>26</v>
      </c>
      <c r="I1607">
        <v>3</v>
      </c>
      <c r="J1607">
        <v>8</v>
      </c>
      <c r="K1607">
        <v>2004</v>
      </c>
      <c r="L1607" s="1" t="s">
        <v>905</v>
      </c>
      <c r="M1607">
        <v>122</v>
      </c>
      <c r="N1607" s="1" t="s">
        <v>957</v>
      </c>
      <c r="O1607" s="1" t="s">
        <v>509</v>
      </c>
      <c r="P1607" s="1" t="s">
        <v>510</v>
      </c>
      <c r="Q1607" s="1" t="s">
        <v>511</v>
      </c>
      <c r="R1607" s="1" t="s">
        <v>32</v>
      </c>
      <c r="S1607" s="1" t="s">
        <v>512</v>
      </c>
      <c r="T1607" s="1" t="s">
        <v>303</v>
      </c>
      <c r="U1607" s="1" t="s">
        <v>513</v>
      </c>
      <c r="V1607" s="1" t="s">
        <v>305</v>
      </c>
      <c r="W1607" s="1" t="s">
        <v>37</v>
      </c>
      <c r="X1607" s="1" t="s">
        <v>514</v>
      </c>
      <c r="Y1607" s="1" t="s">
        <v>227</v>
      </c>
      <c r="Z1607" s="1" t="str">
        <f>TRIM(_xlfn.CONCAT(sales_data_sample[[#This Row],[CONTACTFIRSTNAME]],", ",sales_data_sample[[#This Row],[CONTACTLASTNAME]]))</f>
        <v>Elizabeth, Lincoln</v>
      </c>
      <c r="AA1607" s="1" t="s">
        <v>59</v>
      </c>
    </row>
    <row r="1608" spans="1:27" x14ac:dyDescent="0.25">
      <c r="A1608" s="10">
        <v>10293</v>
      </c>
      <c r="B1608" s="9">
        <v>21</v>
      </c>
      <c r="C1608" s="9">
        <v>100</v>
      </c>
      <c r="D1608" s="9">
        <f>PRODUCT(sales_data_sample[[#This Row],[QUANTITYORDERED]],sales_data_sample[[#This Row],[PRICEEACH]])</f>
        <v>2100</v>
      </c>
      <c r="E1608" s="9">
        <f>IF(OR(sales_data_sample[[#This Row],[STATUS]]="Shipped",sales_data_sample[[#This Row],[STATUS]]="Resolved"),sales_data_sample[[#This Row],[SALES]],0)</f>
        <v>2100</v>
      </c>
      <c r="F1608" s="10">
        <v>2</v>
      </c>
      <c r="G1608" s="12" t="s">
        <v>694</v>
      </c>
      <c r="H1608" s="1" t="s">
        <v>26</v>
      </c>
      <c r="I1608">
        <v>3</v>
      </c>
      <c r="J1608">
        <v>9</v>
      </c>
      <c r="K1608">
        <v>2004</v>
      </c>
      <c r="L1608" s="1" t="s">
        <v>905</v>
      </c>
      <c r="M1608">
        <v>122</v>
      </c>
      <c r="N1608" s="1" t="s">
        <v>957</v>
      </c>
      <c r="O1608" s="1" t="s">
        <v>338</v>
      </c>
      <c r="P1608" s="1" t="s">
        <v>339</v>
      </c>
      <c r="Q1608" s="1" t="s">
        <v>340</v>
      </c>
      <c r="R1608" s="1" t="s">
        <v>32</v>
      </c>
      <c r="S1608" s="1" t="s">
        <v>341</v>
      </c>
      <c r="T1608" s="1" t="s">
        <v>32</v>
      </c>
      <c r="U1608" s="1" t="s">
        <v>342</v>
      </c>
      <c r="V1608" s="1" t="s">
        <v>343</v>
      </c>
      <c r="W1608" s="1" t="s">
        <v>48</v>
      </c>
      <c r="X1608" s="1" t="s">
        <v>344</v>
      </c>
      <c r="Y1608" s="1" t="s">
        <v>345</v>
      </c>
      <c r="Z1608" s="1" t="str">
        <f>TRIM(_xlfn.CONCAT(sales_data_sample[[#This Row],[CONTACTFIRSTNAME]],", ",sales_data_sample[[#This Row],[CONTACTLASTNAME]]))</f>
        <v>Paolo, Accorti</v>
      </c>
      <c r="AA1608" s="1" t="s">
        <v>40</v>
      </c>
    </row>
    <row r="1609" spans="1:27" x14ac:dyDescent="0.25">
      <c r="A1609" s="10">
        <v>10306</v>
      </c>
      <c r="B1609" s="9">
        <v>29</v>
      </c>
      <c r="C1609" s="9">
        <v>100</v>
      </c>
      <c r="D1609" s="9">
        <f>PRODUCT(sales_data_sample[[#This Row],[QUANTITYORDERED]],sales_data_sample[[#This Row],[PRICEEACH]])</f>
        <v>2900</v>
      </c>
      <c r="E1609" s="9">
        <f>IF(OR(sales_data_sample[[#This Row],[STATUS]]="Shipped",sales_data_sample[[#This Row],[STATUS]]="Resolved"),sales_data_sample[[#This Row],[SALES]],0)</f>
        <v>2900</v>
      </c>
      <c r="F1609" s="10">
        <v>7</v>
      </c>
      <c r="G1609" s="12" t="s">
        <v>522</v>
      </c>
      <c r="H1609" s="1" t="s">
        <v>26</v>
      </c>
      <c r="I1609">
        <v>4</v>
      </c>
      <c r="J1609">
        <v>10</v>
      </c>
      <c r="K1609">
        <v>2004</v>
      </c>
      <c r="L1609" s="1" t="s">
        <v>905</v>
      </c>
      <c r="M1609">
        <v>122</v>
      </c>
      <c r="N1609" s="1" t="s">
        <v>957</v>
      </c>
      <c r="O1609" s="1" t="s">
        <v>695</v>
      </c>
      <c r="P1609" s="1" t="s">
        <v>696</v>
      </c>
      <c r="Q1609" s="1" t="s">
        <v>697</v>
      </c>
      <c r="R1609" s="1" t="s">
        <v>32</v>
      </c>
      <c r="S1609" s="1" t="s">
        <v>698</v>
      </c>
      <c r="T1609" s="1" t="s">
        <v>32</v>
      </c>
      <c r="U1609" s="1" t="s">
        <v>699</v>
      </c>
      <c r="V1609" s="1" t="s">
        <v>225</v>
      </c>
      <c r="W1609" s="1" t="s">
        <v>48</v>
      </c>
      <c r="X1609" s="1" t="s">
        <v>700</v>
      </c>
      <c r="Y1609" s="1" t="s">
        <v>118</v>
      </c>
      <c r="Z1609" s="1" t="str">
        <f>TRIM(_xlfn.CONCAT(sales_data_sample[[#This Row],[CONTACTFIRSTNAME]],", ",sales_data_sample[[#This Row],[CONTACTLASTNAME]]))</f>
        <v>Victoria, Ashworth</v>
      </c>
      <c r="AA1609" s="1" t="s">
        <v>59</v>
      </c>
    </row>
    <row r="1610" spans="1:27" x14ac:dyDescent="0.25">
      <c r="A1610" s="10">
        <v>10315</v>
      </c>
      <c r="B1610" s="9">
        <v>35</v>
      </c>
      <c r="C1610" s="9">
        <v>100</v>
      </c>
      <c r="D1610" s="9">
        <f>PRODUCT(sales_data_sample[[#This Row],[QUANTITYORDERED]],sales_data_sample[[#This Row],[PRICEEACH]])</f>
        <v>3500</v>
      </c>
      <c r="E1610" s="9">
        <f>IF(OR(sales_data_sample[[#This Row],[STATUS]]="Shipped",sales_data_sample[[#This Row],[STATUS]]="Resolved"),sales_data_sample[[#This Row],[SALES]],0)</f>
        <v>3500</v>
      </c>
      <c r="F1610" s="10">
        <v>6</v>
      </c>
      <c r="G1610" s="12" t="s">
        <v>943</v>
      </c>
      <c r="H1610" s="1" t="s">
        <v>26</v>
      </c>
      <c r="I1610">
        <v>4</v>
      </c>
      <c r="J1610">
        <v>10</v>
      </c>
      <c r="K1610">
        <v>2004</v>
      </c>
      <c r="L1610" s="1" t="s">
        <v>905</v>
      </c>
      <c r="M1610">
        <v>122</v>
      </c>
      <c r="N1610" s="1" t="s">
        <v>957</v>
      </c>
      <c r="O1610" s="1" t="s">
        <v>148</v>
      </c>
      <c r="P1610" s="1" t="s">
        <v>149</v>
      </c>
      <c r="Q1610" s="1" t="s">
        <v>150</v>
      </c>
      <c r="R1610" s="1" t="s">
        <v>32</v>
      </c>
      <c r="S1610" s="1" t="s">
        <v>151</v>
      </c>
      <c r="T1610" s="1" t="s">
        <v>32</v>
      </c>
      <c r="U1610" s="1" t="s">
        <v>152</v>
      </c>
      <c r="V1610" s="1" t="s">
        <v>47</v>
      </c>
      <c r="W1610" s="1" t="s">
        <v>48</v>
      </c>
      <c r="X1610" s="1" t="s">
        <v>153</v>
      </c>
      <c r="Y1610" s="1" t="s">
        <v>154</v>
      </c>
      <c r="Z1610" s="1" t="str">
        <f>TRIM(_xlfn.CONCAT(sales_data_sample[[#This Row],[CONTACTFIRSTNAME]],", ",sales_data_sample[[#This Row],[CONTACTLASTNAME]]))</f>
        <v>Janine, Labrune</v>
      </c>
      <c r="AA1610" s="1" t="s">
        <v>59</v>
      </c>
    </row>
    <row r="1611" spans="1:27" x14ac:dyDescent="0.25">
      <c r="A1611" s="10">
        <v>10326</v>
      </c>
      <c r="B1611" s="9">
        <v>41</v>
      </c>
      <c r="C1611" s="9">
        <v>100</v>
      </c>
      <c r="D1611" s="9">
        <f>PRODUCT(sales_data_sample[[#This Row],[QUANTITYORDERED]],sales_data_sample[[#This Row],[PRICEEACH]])</f>
        <v>4100</v>
      </c>
      <c r="E1611" s="9">
        <f>IF(OR(sales_data_sample[[#This Row],[STATUS]]="Shipped",sales_data_sample[[#This Row],[STATUS]]="Resolved"),sales_data_sample[[#This Row],[SALES]],0)</f>
        <v>4100</v>
      </c>
      <c r="F1611" s="10">
        <v>4</v>
      </c>
      <c r="G1611" s="12" t="s">
        <v>920</v>
      </c>
      <c r="H1611" s="1" t="s">
        <v>26</v>
      </c>
      <c r="I1611">
        <v>4</v>
      </c>
      <c r="J1611">
        <v>11</v>
      </c>
      <c r="K1611">
        <v>2004</v>
      </c>
      <c r="L1611" s="1" t="s">
        <v>905</v>
      </c>
      <c r="M1611">
        <v>122</v>
      </c>
      <c r="N1611" s="1" t="s">
        <v>957</v>
      </c>
      <c r="O1611" s="1" t="s">
        <v>242</v>
      </c>
      <c r="P1611" s="1" t="s">
        <v>243</v>
      </c>
      <c r="Q1611" s="1" t="s">
        <v>244</v>
      </c>
      <c r="R1611" s="1" t="s">
        <v>32</v>
      </c>
      <c r="S1611" s="1" t="s">
        <v>245</v>
      </c>
      <c r="T1611" s="1" t="s">
        <v>32</v>
      </c>
      <c r="U1611" s="1" t="s">
        <v>246</v>
      </c>
      <c r="V1611" s="1" t="s">
        <v>247</v>
      </c>
      <c r="W1611" s="1" t="s">
        <v>48</v>
      </c>
      <c r="X1611" s="1" t="s">
        <v>248</v>
      </c>
      <c r="Y1611" s="1" t="s">
        <v>249</v>
      </c>
      <c r="Z1611" s="1" t="str">
        <f>TRIM(_xlfn.CONCAT(sales_data_sample[[#This Row],[CONTACTFIRSTNAME]],", ",sales_data_sample[[#This Row],[CONTACTLASTNAME]]))</f>
        <v>Christina, Berglund</v>
      </c>
      <c r="AA1611" s="1" t="s">
        <v>59</v>
      </c>
    </row>
    <row r="1612" spans="1:27" x14ac:dyDescent="0.25">
      <c r="A1612">
        <v>10337</v>
      </c>
      <c r="B1612">
        <v>29</v>
      </c>
      <c r="C1612">
        <v>7197</v>
      </c>
      <c r="D1612">
        <f>PRODUCT(sales_data_sample[[#This Row],[QUANTITYORDERED]],sales_data_sample[[#This Row],[PRICEEACH]])</f>
        <v>208713</v>
      </c>
      <c r="E1612" s="9">
        <f>IF(OR(sales_data_sample[[#This Row],[STATUS]]="Shipped",sales_data_sample[[#This Row],[STATUS]]="Resolved"),sales_data_sample[[#This Row],[SALES]],0)</f>
        <v>208713</v>
      </c>
      <c r="F1612">
        <v>4</v>
      </c>
      <c r="G1612" s="12" t="s">
        <v>533</v>
      </c>
      <c r="H1612" s="1" t="s">
        <v>26</v>
      </c>
      <c r="I1612">
        <v>4</v>
      </c>
      <c r="J1612">
        <v>11</v>
      </c>
      <c r="K1612">
        <v>2004</v>
      </c>
      <c r="L1612" s="1" t="s">
        <v>905</v>
      </c>
      <c r="M1612">
        <v>122</v>
      </c>
      <c r="N1612" s="1" t="s">
        <v>957</v>
      </c>
      <c r="O1612" s="1" t="s">
        <v>268</v>
      </c>
      <c r="P1612" s="1" t="s">
        <v>269</v>
      </c>
      <c r="Q1612" s="1" t="s">
        <v>270</v>
      </c>
      <c r="R1612" s="1" t="s">
        <v>271</v>
      </c>
      <c r="S1612" s="1" t="s">
        <v>33</v>
      </c>
      <c r="T1612" s="1" t="s">
        <v>34</v>
      </c>
      <c r="U1612" s="1" t="s">
        <v>35</v>
      </c>
      <c r="V1612" s="1" t="s">
        <v>36</v>
      </c>
      <c r="W1612" s="1" t="s">
        <v>37</v>
      </c>
      <c r="X1612" s="1" t="s">
        <v>162</v>
      </c>
      <c r="Y1612" s="1" t="s">
        <v>272</v>
      </c>
      <c r="Z1612" s="1" t="str">
        <f>TRIM(_xlfn.CONCAT(sales_data_sample[[#This Row],[CONTACTFIRSTNAME]],", ",sales_data_sample[[#This Row],[CONTACTLASTNAME]]))</f>
        <v>Maria, Hernandez</v>
      </c>
      <c r="AA1612" s="1" t="s">
        <v>40</v>
      </c>
    </row>
    <row r="1613" spans="1:27" x14ac:dyDescent="0.25">
      <c r="A1613" s="10">
        <v>10350</v>
      </c>
      <c r="B1613" s="9">
        <v>34</v>
      </c>
      <c r="C1613" s="9">
        <v>5033</v>
      </c>
      <c r="D1613" s="9">
        <f>PRODUCT(sales_data_sample[[#This Row],[QUANTITYORDERED]],sales_data_sample[[#This Row],[PRICEEACH]])</f>
        <v>171122</v>
      </c>
      <c r="E1613" s="9">
        <f>IF(OR(sales_data_sample[[#This Row],[STATUS]]="Shipped",sales_data_sample[[#This Row],[STATUS]]="Resolved"),sales_data_sample[[#This Row],[SALES]],0)</f>
        <v>171122</v>
      </c>
      <c r="F1613" s="10">
        <v>7</v>
      </c>
      <c r="G1613" s="12" t="s">
        <v>534</v>
      </c>
      <c r="H1613" s="1" t="s">
        <v>26</v>
      </c>
      <c r="I1613">
        <v>4</v>
      </c>
      <c r="J1613">
        <v>12</v>
      </c>
      <c r="K1613">
        <v>2004</v>
      </c>
      <c r="L1613" s="1" t="s">
        <v>905</v>
      </c>
      <c r="M1613">
        <v>122</v>
      </c>
      <c r="N1613" s="1" t="s">
        <v>957</v>
      </c>
      <c r="O1613" s="1" t="s">
        <v>230</v>
      </c>
      <c r="P1613" s="1" t="s">
        <v>231</v>
      </c>
      <c r="Q1613" s="1" t="s">
        <v>232</v>
      </c>
      <c r="R1613" s="1" t="s">
        <v>32</v>
      </c>
      <c r="S1613" s="1" t="s">
        <v>233</v>
      </c>
      <c r="T1613" s="1" t="s">
        <v>32</v>
      </c>
      <c r="U1613" s="1" t="s">
        <v>234</v>
      </c>
      <c r="V1613" s="1" t="s">
        <v>235</v>
      </c>
      <c r="W1613" s="1" t="s">
        <v>48</v>
      </c>
      <c r="X1613" s="1" t="s">
        <v>236</v>
      </c>
      <c r="Y1613" s="1" t="s">
        <v>237</v>
      </c>
      <c r="Z1613" s="1" t="str">
        <f>TRIM(_xlfn.CONCAT(sales_data_sample[[#This Row],[CONTACTFIRSTNAME]],", ",sales_data_sample[[#This Row],[CONTACTLASTNAME]]))</f>
        <v>Diego, Freyre</v>
      </c>
      <c r="AA1613" s="1" t="s">
        <v>40</v>
      </c>
    </row>
    <row r="1614" spans="1:27" x14ac:dyDescent="0.25">
      <c r="A1614" s="10">
        <v>10372</v>
      </c>
      <c r="B1614" s="9">
        <v>37</v>
      </c>
      <c r="C1614" s="9">
        <v>100</v>
      </c>
      <c r="D1614" s="9">
        <f>PRODUCT(sales_data_sample[[#This Row],[QUANTITYORDERED]],sales_data_sample[[#This Row],[PRICEEACH]])</f>
        <v>3700</v>
      </c>
      <c r="E1614" s="9">
        <f>IF(OR(sales_data_sample[[#This Row],[STATUS]]="Shipped",sales_data_sample[[#This Row],[STATUS]]="Resolved"),sales_data_sample[[#This Row],[SALES]],0)</f>
        <v>3700</v>
      </c>
      <c r="F1614" s="10">
        <v>8</v>
      </c>
      <c r="G1614" s="12" t="s">
        <v>726</v>
      </c>
      <c r="H1614" s="1" t="s">
        <v>26</v>
      </c>
      <c r="I1614">
        <v>1</v>
      </c>
      <c r="J1614">
        <v>1</v>
      </c>
      <c r="K1614">
        <v>2005</v>
      </c>
      <c r="L1614" s="1" t="s">
        <v>905</v>
      </c>
      <c r="M1614">
        <v>122</v>
      </c>
      <c r="N1614" s="1" t="s">
        <v>957</v>
      </c>
      <c r="O1614" s="1" t="s">
        <v>328</v>
      </c>
      <c r="P1614" s="1" t="s">
        <v>329</v>
      </c>
      <c r="Q1614" s="1" t="s">
        <v>330</v>
      </c>
      <c r="R1614" s="1" t="s">
        <v>32</v>
      </c>
      <c r="S1614" s="1" t="s">
        <v>331</v>
      </c>
      <c r="T1614" s="1" t="s">
        <v>332</v>
      </c>
      <c r="U1614" s="1" t="s">
        <v>333</v>
      </c>
      <c r="V1614" s="1" t="s">
        <v>264</v>
      </c>
      <c r="W1614" s="1" t="s">
        <v>264</v>
      </c>
      <c r="X1614" s="1" t="s">
        <v>334</v>
      </c>
      <c r="Y1614" s="1" t="s">
        <v>335</v>
      </c>
      <c r="Z1614" s="1" t="str">
        <f>TRIM(_xlfn.CONCAT(sales_data_sample[[#This Row],[CONTACTFIRSTNAME]],", ",sales_data_sample[[#This Row],[CONTACTLASTNAME]]))</f>
        <v>Akiko, Shimamura</v>
      </c>
      <c r="AA1614" s="1" t="s">
        <v>59</v>
      </c>
    </row>
    <row r="1615" spans="1:27" x14ac:dyDescent="0.25">
      <c r="A1615" s="10">
        <v>10384</v>
      </c>
      <c r="B1615" s="9">
        <v>28</v>
      </c>
      <c r="C1615" s="9">
        <v>8054</v>
      </c>
      <c r="D1615" s="9">
        <f>PRODUCT(sales_data_sample[[#This Row],[QUANTITYORDERED]],sales_data_sample[[#This Row],[PRICEEACH]])</f>
        <v>225512</v>
      </c>
      <c r="E1615" s="9">
        <f>IF(OR(sales_data_sample[[#This Row],[STATUS]]="Shipped",sales_data_sample[[#This Row],[STATUS]]="Resolved"),sales_data_sample[[#This Row],[SALES]],0)</f>
        <v>225512</v>
      </c>
      <c r="F1615" s="10">
        <v>3</v>
      </c>
      <c r="G1615" s="12" t="s">
        <v>544</v>
      </c>
      <c r="H1615" s="1" t="s">
        <v>26</v>
      </c>
      <c r="I1615">
        <v>1</v>
      </c>
      <c r="J1615">
        <v>2</v>
      </c>
      <c r="K1615">
        <v>2005</v>
      </c>
      <c r="L1615" s="1" t="s">
        <v>905</v>
      </c>
      <c r="M1615">
        <v>122</v>
      </c>
      <c r="N1615" s="1" t="s">
        <v>957</v>
      </c>
      <c r="O1615" s="1" t="s">
        <v>70</v>
      </c>
      <c r="P1615" s="1" t="s">
        <v>71</v>
      </c>
      <c r="Q1615" s="1" t="s">
        <v>72</v>
      </c>
      <c r="R1615" s="1" t="s">
        <v>32</v>
      </c>
      <c r="S1615" s="1" t="s">
        <v>73</v>
      </c>
      <c r="T1615" s="1" t="s">
        <v>65</v>
      </c>
      <c r="U1615" s="1" t="s">
        <v>32</v>
      </c>
      <c r="V1615" s="1" t="s">
        <v>36</v>
      </c>
      <c r="W1615" s="1" t="s">
        <v>37</v>
      </c>
      <c r="X1615" s="1" t="s">
        <v>74</v>
      </c>
      <c r="Y1615" s="1" t="s">
        <v>68</v>
      </c>
      <c r="Z1615" s="1" t="str">
        <f>TRIM(_xlfn.CONCAT(sales_data_sample[[#This Row],[CONTACTFIRSTNAME]],", ",sales_data_sample[[#This Row],[CONTACTLASTNAME]]))</f>
        <v>Julie, Brown</v>
      </c>
      <c r="AA1615" s="1" t="s">
        <v>40</v>
      </c>
    </row>
    <row r="1616" spans="1:27" x14ac:dyDescent="0.25">
      <c r="A1616" s="10">
        <v>10396</v>
      </c>
      <c r="B1616" s="9">
        <v>49</v>
      </c>
      <c r="C1616" s="9">
        <v>100</v>
      </c>
      <c r="D1616" s="9">
        <f>PRODUCT(sales_data_sample[[#This Row],[QUANTITYORDERED]],sales_data_sample[[#This Row],[PRICEEACH]])</f>
        <v>4900</v>
      </c>
      <c r="E1616" s="9">
        <f>IF(OR(sales_data_sample[[#This Row],[STATUS]]="Shipped",sales_data_sample[[#This Row],[STATUS]]="Resolved"),sales_data_sample[[#This Row],[SALES]],0)</f>
        <v>4900</v>
      </c>
      <c r="F1616" s="10">
        <v>6</v>
      </c>
      <c r="G1616" s="12" t="s">
        <v>738</v>
      </c>
      <c r="H1616" s="1" t="s">
        <v>26</v>
      </c>
      <c r="I1616">
        <v>1</v>
      </c>
      <c r="J1616">
        <v>3</v>
      </c>
      <c r="K1616">
        <v>2005</v>
      </c>
      <c r="L1616" s="1" t="s">
        <v>905</v>
      </c>
      <c r="M1616">
        <v>122</v>
      </c>
      <c r="N1616" s="1" t="s">
        <v>957</v>
      </c>
      <c r="O1616" s="1" t="s">
        <v>361</v>
      </c>
      <c r="P1616" s="1" t="s">
        <v>362</v>
      </c>
      <c r="Q1616" s="1" t="s">
        <v>363</v>
      </c>
      <c r="R1616" s="1" t="s">
        <v>32</v>
      </c>
      <c r="S1616" s="1" t="s">
        <v>364</v>
      </c>
      <c r="T1616" s="1" t="s">
        <v>65</v>
      </c>
      <c r="U1616" s="1" t="s">
        <v>145</v>
      </c>
      <c r="V1616" s="1" t="s">
        <v>36</v>
      </c>
      <c r="W1616" s="1" t="s">
        <v>37</v>
      </c>
      <c r="X1616" s="1" t="s">
        <v>365</v>
      </c>
      <c r="Y1616" s="1" t="s">
        <v>366</v>
      </c>
      <c r="Z1616" s="1" t="str">
        <f>TRIM(_xlfn.CONCAT(sales_data_sample[[#This Row],[CONTACTFIRSTNAME]],", ",sales_data_sample[[#This Row],[CONTACTLASTNAME]]))</f>
        <v>Valarie, Nelson</v>
      </c>
      <c r="AA1616" s="1" t="s">
        <v>59</v>
      </c>
    </row>
    <row r="1617" spans="1:27" x14ac:dyDescent="0.25">
      <c r="A1617" s="10">
        <v>10414</v>
      </c>
      <c r="B1617" s="9">
        <v>23</v>
      </c>
      <c r="C1617" s="9">
        <v>100</v>
      </c>
      <c r="D1617" s="9">
        <f>PRODUCT(sales_data_sample[[#This Row],[QUANTITYORDERED]],sales_data_sample[[#This Row],[PRICEEACH]])</f>
        <v>2300</v>
      </c>
      <c r="E1617" s="9">
        <f>IF(OR(sales_data_sample[[#This Row],[STATUS]]="Shipped",sales_data_sample[[#This Row],[STATUS]]="Resolved"),sales_data_sample[[#This Row],[SALES]],0)</f>
        <v>0</v>
      </c>
      <c r="F1617" s="10">
        <v>10</v>
      </c>
      <c r="G1617" s="12" t="s">
        <v>552</v>
      </c>
      <c r="H1617" s="1" t="s">
        <v>553</v>
      </c>
      <c r="I1617">
        <v>2</v>
      </c>
      <c r="J1617">
        <v>5</v>
      </c>
      <c r="K1617">
        <v>2005</v>
      </c>
      <c r="L1617" s="1" t="s">
        <v>905</v>
      </c>
      <c r="M1617">
        <v>122</v>
      </c>
      <c r="N1617" s="1" t="s">
        <v>957</v>
      </c>
      <c r="O1617" s="1" t="s">
        <v>516</v>
      </c>
      <c r="P1617" s="1" t="s">
        <v>517</v>
      </c>
      <c r="Q1617" s="1" t="s">
        <v>518</v>
      </c>
      <c r="R1617" s="1" t="s">
        <v>32</v>
      </c>
      <c r="S1617" s="1" t="s">
        <v>519</v>
      </c>
      <c r="T1617" s="1" t="s">
        <v>160</v>
      </c>
      <c r="U1617" s="1" t="s">
        <v>520</v>
      </c>
      <c r="V1617" s="1" t="s">
        <v>36</v>
      </c>
      <c r="W1617" s="1" t="s">
        <v>37</v>
      </c>
      <c r="X1617" s="1" t="s">
        <v>521</v>
      </c>
      <c r="Y1617" s="1" t="s">
        <v>82</v>
      </c>
      <c r="Z1617" s="1" t="str">
        <f>TRIM(_xlfn.CONCAT(sales_data_sample[[#This Row],[CONTACTFIRSTNAME]],", ",sales_data_sample[[#This Row],[CONTACTLASTNAME]]))</f>
        <v>Juri, Yoshido</v>
      </c>
      <c r="AA1617" s="1" t="s">
        <v>59</v>
      </c>
    </row>
    <row r="1618" spans="1:27" x14ac:dyDescent="0.25">
      <c r="A1618" s="10">
        <v>10101</v>
      </c>
      <c r="B1618" s="9">
        <v>46</v>
      </c>
      <c r="C1618" s="9">
        <v>5376</v>
      </c>
      <c r="D1618" s="9">
        <f>PRODUCT(sales_data_sample[[#This Row],[QUANTITYORDERED]],sales_data_sample[[#This Row],[PRICEEACH]])</f>
        <v>247296</v>
      </c>
      <c r="E1618" s="9">
        <f>IF(OR(sales_data_sample[[#This Row],[STATUS]]="Shipped",sales_data_sample[[#This Row],[STATUS]]="Resolved"),sales_data_sample[[#This Row],[SALES]],0)</f>
        <v>247296</v>
      </c>
      <c r="F1618" s="10">
        <v>2</v>
      </c>
      <c r="G1618" s="12" t="s">
        <v>885</v>
      </c>
      <c r="H1618" s="1" t="s">
        <v>26</v>
      </c>
      <c r="I1618">
        <v>1</v>
      </c>
      <c r="J1618">
        <v>1</v>
      </c>
      <c r="K1618">
        <v>2003</v>
      </c>
      <c r="L1618" s="1" t="s">
        <v>799</v>
      </c>
      <c r="M1618">
        <v>44</v>
      </c>
      <c r="N1618" s="1" t="s">
        <v>958</v>
      </c>
      <c r="O1618" s="1" t="s">
        <v>647</v>
      </c>
      <c r="P1618" s="1" t="s">
        <v>648</v>
      </c>
      <c r="Q1618" s="1" t="s">
        <v>649</v>
      </c>
      <c r="R1618" s="1" t="s">
        <v>32</v>
      </c>
      <c r="S1618" s="1" t="s">
        <v>650</v>
      </c>
      <c r="T1618" s="1" t="s">
        <v>32</v>
      </c>
      <c r="U1618" s="1" t="s">
        <v>651</v>
      </c>
      <c r="V1618" s="1" t="s">
        <v>617</v>
      </c>
      <c r="W1618" s="1" t="s">
        <v>48</v>
      </c>
      <c r="X1618" s="1" t="s">
        <v>652</v>
      </c>
      <c r="Y1618" s="1" t="s">
        <v>570</v>
      </c>
      <c r="Z1618" s="1" t="str">
        <f>TRIM(_xlfn.CONCAT(sales_data_sample[[#This Row],[CONTACTFIRSTNAME]],", ",sales_data_sample[[#This Row],[CONTACTLASTNAME]]))</f>
        <v>Roland, Keitel</v>
      </c>
      <c r="AA1618" s="1" t="s">
        <v>40</v>
      </c>
    </row>
    <row r="1619" spans="1:27" x14ac:dyDescent="0.25">
      <c r="A1619" s="10">
        <v>10110</v>
      </c>
      <c r="B1619" s="9">
        <v>39</v>
      </c>
      <c r="C1619" s="9">
        <v>4435</v>
      </c>
      <c r="D1619" s="9">
        <f>PRODUCT(sales_data_sample[[#This Row],[QUANTITYORDERED]],sales_data_sample[[#This Row],[PRICEEACH]])</f>
        <v>172965</v>
      </c>
      <c r="E1619" s="9">
        <f>IF(OR(sales_data_sample[[#This Row],[STATUS]]="Shipped",sales_data_sample[[#This Row],[STATUS]]="Resolved"),sales_data_sample[[#This Row],[SALES]],0)</f>
        <v>172965</v>
      </c>
      <c r="F1619" s="10">
        <v>2</v>
      </c>
      <c r="G1619" s="12" t="s">
        <v>829</v>
      </c>
      <c r="H1619" s="1" t="s">
        <v>26</v>
      </c>
      <c r="I1619">
        <v>1</v>
      </c>
      <c r="J1619">
        <v>3</v>
      </c>
      <c r="K1619">
        <v>2003</v>
      </c>
      <c r="L1619" s="1" t="s">
        <v>799</v>
      </c>
      <c r="M1619">
        <v>44</v>
      </c>
      <c r="N1619" s="1" t="s">
        <v>958</v>
      </c>
      <c r="O1619" s="1" t="s">
        <v>695</v>
      </c>
      <c r="P1619" s="1" t="s">
        <v>696</v>
      </c>
      <c r="Q1619" s="1" t="s">
        <v>697</v>
      </c>
      <c r="R1619" s="1" t="s">
        <v>32</v>
      </c>
      <c r="S1619" s="1" t="s">
        <v>698</v>
      </c>
      <c r="T1619" s="1" t="s">
        <v>32</v>
      </c>
      <c r="U1619" s="1" t="s">
        <v>699</v>
      </c>
      <c r="V1619" s="1" t="s">
        <v>225</v>
      </c>
      <c r="W1619" s="1" t="s">
        <v>48</v>
      </c>
      <c r="X1619" s="1" t="s">
        <v>700</v>
      </c>
      <c r="Y1619" s="1" t="s">
        <v>118</v>
      </c>
      <c r="Z1619" s="1" t="str">
        <f>TRIM(_xlfn.CONCAT(sales_data_sample[[#This Row],[CONTACTFIRSTNAME]],", ",sales_data_sample[[#This Row],[CONTACTLASTNAME]]))</f>
        <v>Victoria, Ashworth</v>
      </c>
      <c r="AA1619" s="1" t="s">
        <v>40</v>
      </c>
    </row>
    <row r="1620" spans="1:27" x14ac:dyDescent="0.25">
      <c r="A1620" s="10">
        <v>10124</v>
      </c>
      <c r="B1620" s="9">
        <v>22</v>
      </c>
      <c r="C1620" s="9">
        <v>4525</v>
      </c>
      <c r="D1620" s="9">
        <f>PRODUCT(sales_data_sample[[#This Row],[QUANTITYORDERED]],sales_data_sample[[#This Row],[PRICEEACH]])</f>
        <v>99550</v>
      </c>
      <c r="E1620" s="9">
        <f>IF(OR(sales_data_sample[[#This Row],[STATUS]]="Shipped",sales_data_sample[[#This Row],[STATUS]]="Resolved"),sales_data_sample[[#This Row],[SALES]],0)</f>
        <v>99550</v>
      </c>
      <c r="F1620" s="10">
        <v>1</v>
      </c>
      <c r="G1620" s="12" t="s">
        <v>802</v>
      </c>
      <c r="H1620" s="1" t="s">
        <v>26</v>
      </c>
      <c r="I1620">
        <v>2</v>
      </c>
      <c r="J1620">
        <v>5</v>
      </c>
      <c r="K1620">
        <v>2003</v>
      </c>
      <c r="L1620" s="1" t="s">
        <v>799</v>
      </c>
      <c r="M1620">
        <v>44</v>
      </c>
      <c r="N1620" s="1" t="s">
        <v>958</v>
      </c>
      <c r="O1620" s="1" t="s">
        <v>779</v>
      </c>
      <c r="P1620" s="1" t="s">
        <v>780</v>
      </c>
      <c r="Q1620" s="1" t="s">
        <v>781</v>
      </c>
      <c r="R1620" s="1" t="s">
        <v>32</v>
      </c>
      <c r="S1620" s="1" t="s">
        <v>782</v>
      </c>
      <c r="T1620" s="1" t="s">
        <v>783</v>
      </c>
      <c r="U1620" s="1" t="s">
        <v>784</v>
      </c>
      <c r="V1620" s="1" t="s">
        <v>36</v>
      </c>
      <c r="W1620" s="1" t="s">
        <v>37</v>
      </c>
      <c r="X1620" s="1" t="s">
        <v>146</v>
      </c>
      <c r="Y1620" s="1" t="s">
        <v>551</v>
      </c>
      <c r="Z1620" s="1" t="str">
        <f>TRIM(_xlfn.CONCAT(sales_data_sample[[#This Row],[CONTACTFIRSTNAME]],", ",sales_data_sample[[#This Row],[CONTACTLASTNAME]]))</f>
        <v>Sue, King</v>
      </c>
      <c r="AA1620" s="1" t="s">
        <v>40</v>
      </c>
    </row>
    <row r="1621" spans="1:27" x14ac:dyDescent="0.25">
      <c r="A1621" s="10">
        <v>10149</v>
      </c>
      <c r="B1621" s="9">
        <v>49</v>
      </c>
      <c r="C1621" s="9">
        <v>4928</v>
      </c>
      <c r="D1621" s="9">
        <f>PRODUCT(sales_data_sample[[#This Row],[QUANTITYORDERED]],sales_data_sample[[#This Row],[PRICEEACH]])</f>
        <v>241472</v>
      </c>
      <c r="E1621" s="9">
        <f>IF(OR(sales_data_sample[[#This Row],[STATUS]]="Shipped",sales_data_sample[[#This Row],[STATUS]]="Resolved"),sales_data_sample[[#This Row],[SALES]],0)</f>
        <v>241472</v>
      </c>
      <c r="F1621" s="10">
        <v>6</v>
      </c>
      <c r="G1621" s="12" t="s">
        <v>804</v>
      </c>
      <c r="H1621" s="1" t="s">
        <v>26</v>
      </c>
      <c r="I1621">
        <v>3</v>
      </c>
      <c r="J1621">
        <v>9</v>
      </c>
      <c r="K1621">
        <v>2003</v>
      </c>
      <c r="L1621" s="1" t="s">
        <v>799</v>
      </c>
      <c r="M1621">
        <v>44</v>
      </c>
      <c r="N1621" s="1" t="s">
        <v>958</v>
      </c>
      <c r="O1621" s="1" t="s">
        <v>753</v>
      </c>
      <c r="P1621" s="1" t="s">
        <v>754</v>
      </c>
      <c r="Q1621" s="1" t="s">
        <v>755</v>
      </c>
      <c r="R1621" s="1" t="s">
        <v>32</v>
      </c>
      <c r="S1621" s="1" t="s">
        <v>756</v>
      </c>
      <c r="T1621" s="1" t="s">
        <v>65</v>
      </c>
      <c r="U1621" s="1" t="s">
        <v>80</v>
      </c>
      <c r="V1621" s="1" t="s">
        <v>36</v>
      </c>
      <c r="W1621" s="1" t="s">
        <v>37</v>
      </c>
      <c r="X1621" s="1" t="s">
        <v>757</v>
      </c>
      <c r="Y1621" s="1" t="s">
        <v>551</v>
      </c>
      <c r="Z1621" s="1" t="str">
        <f>TRIM(_xlfn.CONCAT(sales_data_sample[[#This Row],[CONTACTFIRSTNAME]],", ",sales_data_sample[[#This Row],[CONTACTLASTNAME]]))</f>
        <v>Sue, Taylor</v>
      </c>
      <c r="AA1621" s="1" t="s">
        <v>40</v>
      </c>
    </row>
    <row r="1622" spans="1:27" x14ac:dyDescent="0.25">
      <c r="A1622" s="10">
        <v>10162</v>
      </c>
      <c r="B1622" s="9">
        <v>43</v>
      </c>
      <c r="C1622" s="9">
        <v>3629</v>
      </c>
      <c r="D1622" s="9">
        <f>PRODUCT(sales_data_sample[[#This Row],[QUANTITYORDERED]],sales_data_sample[[#This Row],[PRICEEACH]])</f>
        <v>156047</v>
      </c>
      <c r="E1622" s="9">
        <f>IF(OR(sales_data_sample[[#This Row],[STATUS]]="Shipped",sales_data_sample[[#This Row],[STATUS]]="Resolved"),sales_data_sample[[#This Row],[SALES]],0)</f>
        <v>156047</v>
      </c>
      <c r="F1622" s="10">
        <v>4</v>
      </c>
      <c r="G1622" s="12" t="s">
        <v>805</v>
      </c>
      <c r="H1622" s="1" t="s">
        <v>26</v>
      </c>
      <c r="I1622">
        <v>4</v>
      </c>
      <c r="J1622">
        <v>10</v>
      </c>
      <c r="K1622">
        <v>2003</v>
      </c>
      <c r="L1622" s="1" t="s">
        <v>799</v>
      </c>
      <c r="M1622">
        <v>44</v>
      </c>
      <c r="N1622" s="1" t="s">
        <v>958</v>
      </c>
      <c r="O1622" s="1" t="s">
        <v>70</v>
      </c>
      <c r="P1622" s="1" t="s">
        <v>71</v>
      </c>
      <c r="Q1622" s="1" t="s">
        <v>72</v>
      </c>
      <c r="R1622" s="1" t="s">
        <v>32</v>
      </c>
      <c r="S1622" s="1" t="s">
        <v>73</v>
      </c>
      <c r="T1622" s="1" t="s">
        <v>65</v>
      </c>
      <c r="U1622" s="1" t="s">
        <v>32</v>
      </c>
      <c r="V1622" s="1" t="s">
        <v>36</v>
      </c>
      <c r="W1622" s="1" t="s">
        <v>37</v>
      </c>
      <c r="X1622" s="1" t="s">
        <v>74</v>
      </c>
      <c r="Y1622" s="1" t="s">
        <v>68</v>
      </c>
      <c r="Z1622" s="1" t="str">
        <f>TRIM(_xlfn.CONCAT(sales_data_sample[[#This Row],[CONTACTFIRSTNAME]],", ",sales_data_sample[[#This Row],[CONTACTLASTNAME]]))</f>
        <v>Julie, Brown</v>
      </c>
      <c r="AA1622" s="1" t="s">
        <v>40</v>
      </c>
    </row>
    <row r="1623" spans="1:27" x14ac:dyDescent="0.25">
      <c r="A1623" s="10">
        <v>10173</v>
      </c>
      <c r="B1623" s="9">
        <v>27</v>
      </c>
      <c r="C1623" s="9">
        <v>4122</v>
      </c>
      <c r="D1623" s="9">
        <f>PRODUCT(sales_data_sample[[#This Row],[QUANTITYORDERED]],sales_data_sample[[#This Row],[PRICEEACH]])</f>
        <v>111294</v>
      </c>
      <c r="E1623" s="9">
        <f>IF(OR(sales_data_sample[[#This Row],[STATUS]]="Shipped",sales_data_sample[[#This Row],[STATUS]]="Resolved"),sales_data_sample[[#This Row],[SALES]],0)</f>
        <v>111294</v>
      </c>
      <c r="F1623" s="10">
        <v>8</v>
      </c>
      <c r="G1623" s="12" t="s">
        <v>776</v>
      </c>
      <c r="H1623" s="1" t="s">
        <v>26</v>
      </c>
      <c r="I1623">
        <v>4</v>
      </c>
      <c r="J1623">
        <v>11</v>
      </c>
      <c r="K1623">
        <v>2003</v>
      </c>
      <c r="L1623" s="1" t="s">
        <v>799</v>
      </c>
      <c r="M1623">
        <v>44</v>
      </c>
      <c r="N1623" s="1" t="s">
        <v>958</v>
      </c>
      <c r="O1623" s="1" t="s">
        <v>806</v>
      </c>
      <c r="P1623" s="1" t="s">
        <v>807</v>
      </c>
      <c r="Q1623" s="1" t="s">
        <v>808</v>
      </c>
      <c r="R1623" s="1" t="s">
        <v>32</v>
      </c>
      <c r="S1623" s="1" t="s">
        <v>809</v>
      </c>
      <c r="T1623" s="1" t="s">
        <v>32</v>
      </c>
      <c r="U1623" s="1" t="s">
        <v>810</v>
      </c>
      <c r="V1623" s="1" t="s">
        <v>343</v>
      </c>
      <c r="W1623" s="1" t="s">
        <v>48</v>
      </c>
      <c r="X1623" s="1" t="s">
        <v>811</v>
      </c>
      <c r="Y1623" s="1" t="s">
        <v>812</v>
      </c>
      <c r="Z1623" s="1" t="str">
        <f>TRIM(_xlfn.CONCAT(sales_data_sample[[#This Row],[CONTACTFIRSTNAME]],", ",sales_data_sample[[#This Row],[CONTACTLASTNAME]]))</f>
        <v>Giovanni, Rovelli</v>
      </c>
      <c r="AA1623" s="1" t="s">
        <v>40</v>
      </c>
    </row>
    <row r="1624" spans="1:27" x14ac:dyDescent="0.25">
      <c r="A1624" s="10">
        <v>10182</v>
      </c>
      <c r="B1624" s="9">
        <v>31</v>
      </c>
      <c r="C1624" s="9">
        <v>3674</v>
      </c>
      <c r="D1624" s="9">
        <f>PRODUCT(sales_data_sample[[#This Row],[QUANTITYORDERED]],sales_data_sample[[#This Row],[PRICEEACH]])</f>
        <v>113894</v>
      </c>
      <c r="E1624" s="9">
        <f>IF(OR(sales_data_sample[[#This Row],[STATUS]]="Shipped",sales_data_sample[[#This Row],[STATUS]]="Resolved"),sales_data_sample[[#This Row],[SALES]],0)</f>
        <v>113894</v>
      </c>
      <c r="F1624" s="10">
        <v>5</v>
      </c>
      <c r="G1624" s="12" t="s">
        <v>610</v>
      </c>
      <c r="H1624" s="1" t="s">
        <v>26</v>
      </c>
      <c r="I1624">
        <v>4</v>
      </c>
      <c r="J1624">
        <v>11</v>
      </c>
      <c r="K1624">
        <v>2003</v>
      </c>
      <c r="L1624" s="1" t="s">
        <v>799</v>
      </c>
      <c r="M1624">
        <v>44</v>
      </c>
      <c r="N1624" s="1" t="s">
        <v>958</v>
      </c>
      <c r="O1624" s="1" t="s">
        <v>361</v>
      </c>
      <c r="P1624" s="1" t="s">
        <v>362</v>
      </c>
      <c r="Q1624" s="1" t="s">
        <v>363</v>
      </c>
      <c r="R1624" s="1" t="s">
        <v>32</v>
      </c>
      <c r="S1624" s="1" t="s">
        <v>364</v>
      </c>
      <c r="T1624" s="1" t="s">
        <v>65</v>
      </c>
      <c r="U1624" s="1" t="s">
        <v>145</v>
      </c>
      <c r="V1624" s="1" t="s">
        <v>36</v>
      </c>
      <c r="W1624" s="1" t="s">
        <v>37</v>
      </c>
      <c r="X1624" s="1" t="s">
        <v>365</v>
      </c>
      <c r="Y1624" s="1" t="s">
        <v>366</v>
      </c>
      <c r="Z1624" s="1" t="str">
        <f>TRIM(_xlfn.CONCAT(sales_data_sample[[#This Row],[CONTACTFIRSTNAME]],", ",sales_data_sample[[#This Row],[CONTACTLASTNAME]]))</f>
        <v>Valarie, Nelson</v>
      </c>
      <c r="AA1624" s="1" t="s">
        <v>40</v>
      </c>
    </row>
    <row r="1625" spans="1:27" x14ac:dyDescent="0.25">
      <c r="A1625" s="10">
        <v>10193</v>
      </c>
      <c r="B1625" s="9">
        <v>20</v>
      </c>
      <c r="C1625" s="9">
        <v>5062</v>
      </c>
      <c r="D1625" s="9">
        <f>PRODUCT(sales_data_sample[[#This Row],[QUANTITYORDERED]],sales_data_sample[[#This Row],[PRICEEACH]])</f>
        <v>101240</v>
      </c>
      <c r="E1625" s="9">
        <f>IF(OR(sales_data_sample[[#This Row],[STATUS]]="Shipped",sales_data_sample[[#This Row],[STATUS]]="Resolved"),sales_data_sample[[#This Row],[SALES]],0)</f>
        <v>101240</v>
      </c>
      <c r="F1625" s="10">
        <v>9</v>
      </c>
      <c r="G1625" s="12" t="s">
        <v>813</v>
      </c>
      <c r="H1625" s="1" t="s">
        <v>26</v>
      </c>
      <c r="I1625">
        <v>4</v>
      </c>
      <c r="J1625">
        <v>11</v>
      </c>
      <c r="K1625">
        <v>2003</v>
      </c>
      <c r="L1625" s="1" t="s">
        <v>799</v>
      </c>
      <c r="M1625">
        <v>44</v>
      </c>
      <c r="N1625" s="1" t="s">
        <v>958</v>
      </c>
      <c r="O1625" s="1" t="s">
        <v>814</v>
      </c>
      <c r="P1625" s="1" t="s">
        <v>815</v>
      </c>
      <c r="Q1625" s="1" t="s">
        <v>816</v>
      </c>
      <c r="R1625" s="1" t="s">
        <v>32</v>
      </c>
      <c r="S1625" s="1" t="s">
        <v>817</v>
      </c>
      <c r="T1625" s="1" t="s">
        <v>118</v>
      </c>
      <c r="U1625" s="1" t="s">
        <v>818</v>
      </c>
      <c r="V1625" s="1" t="s">
        <v>120</v>
      </c>
      <c r="W1625" s="1" t="s">
        <v>121</v>
      </c>
      <c r="X1625" s="1" t="s">
        <v>819</v>
      </c>
      <c r="Y1625" s="1" t="s">
        <v>820</v>
      </c>
      <c r="Z1625" s="1" t="str">
        <f>TRIM(_xlfn.CONCAT(sales_data_sample[[#This Row],[CONTACTFIRSTNAME]],", ",sales_data_sample[[#This Row],[CONTACTLASTNAME]]))</f>
        <v>Sean, Connery</v>
      </c>
      <c r="AA1625" s="1" t="s">
        <v>40</v>
      </c>
    </row>
    <row r="1626" spans="1:27" x14ac:dyDescent="0.25">
      <c r="A1626" s="10">
        <v>10205</v>
      </c>
      <c r="B1626" s="9">
        <v>24</v>
      </c>
      <c r="C1626" s="9">
        <v>3808</v>
      </c>
      <c r="D1626" s="9">
        <f>PRODUCT(sales_data_sample[[#This Row],[QUANTITYORDERED]],sales_data_sample[[#This Row],[PRICEEACH]])</f>
        <v>91392</v>
      </c>
      <c r="E1626" s="9">
        <f>IF(OR(sales_data_sample[[#This Row],[STATUS]]="Shipped",sales_data_sample[[#This Row],[STATUS]]="Resolved"),sales_data_sample[[#This Row],[SALES]],0)</f>
        <v>91392</v>
      </c>
      <c r="F1626" s="10">
        <v>4</v>
      </c>
      <c r="G1626" s="12" t="s">
        <v>821</v>
      </c>
      <c r="H1626" s="1" t="s">
        <v>26</v>
      </c>
      <c r="I1626">
        <v>4</v>
      </c>
      <c r="J1626">
        <v>12</v>
      </c>
      <c r="K1626">
        <v>2003</v>
      </c>
      <c r="L1626" s="1" t="s">
        <v>799</v>
      </c>
      <c r="M1626">
        <v>44</v>
      </c>
      <c r="N1626" s="1" t="s">
        <v>958</v>
      </c>
      <c r="O1626" s="1" t="s">
        <v>230</v>
      </c>
      <c r="P1626" s="1" t="s">
        <v>231</v>
      </c>
      <c r="Q1626" s="1" t="s">
        <v>232</v>
      </c>
      <c r="R1626" s="1" t="s">
        <v>32</v>
      </c>
      <c r="S1626" s="1" t="s">
        <v>233</v>
      </c>
      <c r="T1626" s="1" t="s">
        <v>32</v>
      </c>
      <c r="U1626" s="1" t="s">
        <v>234</v>
      </c>
      <c r="V1626" s="1" t="s">
        <v>235</v>
      </c>
      <c r="W1626" s="1" t="s">
        <v>48</v>
      </c>
      <c r="X1626" s="1" t="s">
        <v>236</v>
      </c>
      <c r="Y1626" s="1" t="s">
        <v>237</v>
      </c>
      <c r="Z1626" s="1" t="str">
        <f>TRIM(_xlfn.CONCAT(sales_data_sample[[#This Row],[CONTACTFIRSTNAME]],", ",sales_data_sample[[#This Row],[CONTACTLASTNAME]]))</f>
        <v>Diego, Freyre</v>
      </c>
      <c r="AA1626" s="1" t="s">
        <v>40</v>
      </c>
    </row>
    <row r="1627" spans="1:27" x14ac:dyDescent="0.25">
      <c r="A1627" s="10">
        <v>10214</v>
      </c>
      <c r="B1627" s="9">
        <v>49</v>
      </c>
      <c r="C1627" s="9">
        <v>4794</v>
      </c>
      <c r="D1627" s="9">
        <f>PRODUCT(sales_data_sample[[#This Row],[QUANTITYORDERED]],sales_data_sample[[#This Row],[PRICEEACH]])</f>
        <v>234906</v>
      </c>
      <c r="E1627" s="9">
        <f>IF(OR(sales_data_sample[[#This Row],[STATUS]]="Shipped",sales_data_sample[[#This Row],[STATUS]]="Resolved"),sales_data_sample[[#This Row],[SALES]],0)</f>
        <v>234906</v>
      </c>
      <c r="F1627" s="10">
        <v>2</v>
      </c>
      <c r="G1627" s="12" t="s">
        <v>874</v>
      </c>
      <c r="H1627" s="1" t="s">
        <v>26</v>
      </c>
      <c r="I1627">
        <v>1</v>
      </c>
      <c r="J1627">
        <v>1</v>
      </c>
      <c r="K1627">
        <v>2004</v>
      </c>
      <c r="L1627" s="1" t="s">
        <v>799</v>
      </c>
      <c r="M1627">
        <v>44</v>
      </c>
      <c r="N1627" s="1" t="s">
        <v>958</v>
      </c>
      <c r="O1627" s="1" t="s">
        <v>251</v>
      </c>
      <c r="P1627" s="1" t="s">
        <v>252</v>
      </c>
      <c r="Q1627" s="1" t="s">
        <v>253</v>
      </c>
      <c r="R1627" s="1" t="s">
        <v>32</v>
      </c>
      <c r="S1627" s="1" t="s">
        <v>233</v>
      </c>
      <c r="T1627" s="1" t="s">
        <v>32</v>
      </c>
      <c r="U1627" s="1" t="s">
        <v>254</v>
      </c>
      <c r="V1627" s="1" t="s">
        <v>235</v>
      </c>
      <c r="W1627" s="1" t="s">
        <v>48</v>
      </c>
      <c r="X1627" s="1" t="s">
        <v>255</v>
      </c>
      <c r="Y1627" s="1" t="s">
        <v>256</v>
      </c>
      <c r="Z1627" s="1" t="str">
        <f>TRIM(_xlfn.CONCAT(sales_data_sample[[#This Row],[CONTACTFIRSTNAME]],", ",sales_data_sample[[#This Row],[CONTACTLASTNAME]]))</f>
        <v>Mart¡n, Sommer</v>
      </c>
      <c r="AA1627" s="1" t="s">
        <v>40</v>
      </c>
    </row>
    <row r="1628" spans="1:27" x14ac:dyDescent="0.25">
      <c r="A1628" s="10">
        <v>10227</v>
      </c>
      <c r="B1628" s="9">
        <v>24</v>
      </c>
      <c r="C1628" s="9">
        <v>4838</v>
      </c>
      <c r="D1628" s="9">
        <f>PRODUCT(sales_data_sample[[#This Row],[QUANTITYORDERED]],sales_data_sample[[#This Row],[PRICEEACH]])</f>
        <v>116112</v>
      </c>
      <c r="E1628" s="9">
        <f>IF(OR(sales_data_sample[[#This Row],[STATUS]]="Shipped",sales_data_sample[[#This Row],[STATUS]]="Resolved"),sales_data_sample[[#This Row],[SALES]],0)</f>
        <v>116112</v>
      </c>
      <c r="F1628" s="10">
        <v>5</v>
      </c>
      <c r="G1628" s="12" t="s">
        <v>822</v>
      </c>
      <c r="H1628" s="1" t="s">
        <v>26</v>
      </c>
      <c r="I1628">
        <v>1</v>
      </c>
      <c r="J1628">
        <v>3</v>
      </c>
      <c r="K1628">
        <v>2004</v>
      </c>
      <c r="L1628" s="1" t="s">
        <v>799</v>
      </c>
      <c r="M1628">
        <v>44</v>
      </c>
      <c r="N1628" s="1" t="s">
        <v>958</v>
      </c>
      <c r="O1628" s="1" t="s">
        <v>291</v>
      </c>
      <c r="P1628" s="1" t="s">
        <v>292</v>
      </c>
      <c r="Q1628" s="1" t="s">
        <v>293</v>
      </c>
      <c r="R1628" s="1" t="s">
        <v>32</v>
      </c>
      <c r="S1628" s="1" t="s">
        <v>294</v>
      </c>
      <c r="T1628" s="1" t="s">
        <v>32</v>
      </c>
      <c r="U1628" s="1" t="s">
        <v>295</v>
      </c>
      <c r="V1628" s="1" t="s">
        <v>47</v>
      </c>
      <c r="W1628" s="1" t="s">
        <v>48</v>
      </c>
      <c r="X1628" s="1" t="s">
        <v>296</v>
      </c>
      <c r="Y1628" s="1" t="s">
        <v>297</v>
      </c>
      <c r="Z1628" s="1" t="str">
        <f>TRIM(_xlfn.CONCAT(sales_data_sample[[#This Row],[CONTACTFIRSTNAME]],", ",sales_data_sample[[#This Row],[CONTACTLASTNAME]]))</f>
        <v>Mary, Saveley</v>
      </c>
      <c r="AA1628" s="1" t="s">
        <v>40</v>
      </c>
    </row>
    <row r="1629" spans="1:27" x14ac:dyDescent="0.25">
      <c r="A1629" s="10">
        <v>10244</v>
      </c>
      <c r="B1629" s="9">
        <v>39</v>
      </c>
      <c r="C1629" s="9">
        <v>4525</v>
      </c>
      <c r="D1629" s="9">
        <f>PRODUCT(sales_data_sample[[#This Row],[QUANTITYORDERED]],sales_data_sample[[#This Row],[PRICEEACH]])</f>
        <v>176475</v>
      </c>
      <c r="E1629" s="9">
        <f>IF(OR(sales_data_sample[[#This Row],[STATUS]]="Shipped",sales_data_sample[[#This Row],[STATUS]]="Resolved"),sales_data_sample[[#This Row],[SALES]],0)</f>
        <v>176475</v>
      </c>
      <c r="F1629" s="10">
        <v>9</v>
      </c>
      <c r="G1629" s="12" t="s">
        <v>823</v>
      </c>
      <c r="H1629" s="1" t="s">
        <v>26</v>
      </c>
      <c r="I1629">
        <v>2</v>
      </c>
      <c r="J1629">
        <v>4</v>
      </c>
      <c r="K1629">
        <v>2004</v>
      </c>
      <c r="L1629" s="1" t="s">
        <v>799</v>
      </c>
      <c r="M1629">
        <v>44</v>
      </c>
      <c r="N1629" s="1" t="s">
        <v>958</v>
      </c>
      <c r="O1629" s="1" t="s">
        <v>230</v>
      </c>
      <c r="P1629" s="1" t="s">
        <v>231</v>
      </c>
      <c r="Q1629" s="1" t="s">
        <v>232</v>
      </c>
      <c r="R1629" s="1" t="s">
        <v>32</v>
      </c>
      <c r="S1629" s="1" t="s">
        <v>233</v>
      </c>
      <c r="T1629" s="1" t="s">
        <v>32</v>
      </c>
      <c r="U1629" s="1" t="s">
        <v>234</v>
      </c>
      <c r="V1629" s="1" t="s">
        <v>235</v>
      </c>
      <c r="W1629" s="1" t="s">
        <v>48</v>
      </c>
      <c r="X1629" s="1" t="s">
        <v>236</v>
      </c>
      <c r="Y1629" s="1" t="s">
        <v>237</v>
      </c>
      <c r="Z1629" s="1" t="str">
        <f>TRIM(_xlfn.CONCAT(sales_data_sample[[#This Row],[CONTACTFIRSTNAME]],", ",sales_data_sample[[#This Row],[CONTACTLASTNAME]]))</f>
        <v>Diego, Freyre</v>
      </c>
      <c r="AA1629" s="1" t="s">
        <v>40</v>
      </c>
    </row>
    <row r="1630" spans="1:27" x14ac:dyDescent="0.25">
      <c r="A1630" s="10">
        <v>10255</v>
      </c>
      <c r="B1630" s="9">
        <v>37</v>
      </c>
      <c r="C1630" s="9">
        <v>457</v>
      </c>
      <c r="D1630" s="9">
        <f>PRODUCT(sales_data_sample[[#This Row],[QUANTITYORDERED]],sales_data_sample[[#This Row],[PRICEEACH]])</f>
        <v>16909</v>
      </c>
      <c r="E1630" s="9">
        <f>IF(OR(sales_data_sample[[#This Row],[STATUS]]="Shipped",sales_data_sample[[#This Row],[STATUS]]="Resolved"),sales_data_sample[[#This Row],[SALES]],0)</f>
        <v>16909</v>
      </c>
      <c r="F1630" s="10">
        <v>2</v>
      </c>
      <c r="G1630" s="12" t="s">
        <v>898</v>
      </c>
      <c r="H1630" s="1" t="s">
        <v>26</v>
      </c>
      <c r="I1630">
        <v>2</v>
      </c>
      <c r="J1630">
        <v>6</v>
      </c>
      <c r="K1630">
        <v>2004</v>
      </c>
      <c r="L1630" s="1" t="s">
        <v>799</v>
      </c>
      <c r="M1630">
        <v>44</v>
      </c>
      <c r="N1630" s="1" t="s">
        <v>958</v>
      </c>
      <c r="O1630" s="1" t="s">
        <v>763</v>
      </c>
      <c r="P1630" s="1" t="s">
        <v>764</v>
      </c>
      <c r="Q1630" s="1" t="s">
        <v>765</v>
      </c>
      <c r="R1630" s="1" t="s">
        <v>32</v>
      </c>
      <c r="S1630" s="1" t="s">
        <v>766</v>
      </c>
      <c r="T1630" s="1" t="s">
        <v>32</v>
      </c>
      <c r="U1630" s="1" t="s">
        <v>767</v>
      </c>
      <c r="V1630" s="1" t="s">
        <v>47</v>
      </c>
      <c r="W1630" s="1" t="s">
        <v>48</v>
      </c>
      <c r="X1630" s="1" t="s">
        <v>768</v>
      </c>
      <c r="Y1630" s="1" t="s">
        <v>769</v>
      </c>
      <c r="Z1630" s="1" t="str">
        <f>TRIM(_xlfn.CONCAT(sales_data_sample[[#This Row],[CONTACTFIRSTNAME]],", ",sales_data_sample[[#This Row],[CONTACTLASTNAME]]))</f>
        <v>Frederique, Citeaux</v>
      </c>
      <c r="AA1630" s="1" t="s">
        <v>40</v>
      </c>
    </row>
    <row r="1631" spans="1:27" x14ac:dyDescent="0.25">
      <c r="A1631" s="10">
        <v>10280</v>
      </c>
      <c r="B1631" s="9">
        <v>45</v>
      </c>
      <c r="C1631" s="9">
        <v>4749</v>
      </c>
      <c r="D1631" s="9">
        <f>PRODUCT(sales_data_sample[[#This Row],[QUANTITYORDERED]],sales_data_sample[[#This Row],[PRICEEACH]])</f>
        <v>213705</v>
      </c>
      <c r="E1631" s="9">
        <f>IF(OR(sales_data_sample[[#This Row],[STATUS]]="Shipped",sales_data_sample[[#This Row],[STATUS]]="Resolved"),sales_data_sample[[#This Row],[SALES]],0)</f>
        <v>213705</v>
      </c>
      <c r="F1631" s="10">
        <v>11</v>
      </c>
      <c r="G1631" s="12" t="s">
        <v>337</v>
      </c>
      <c r="H1631" s="1" t="s">
        <v>26</v>
      </c>
      <c r="I1631">
        <v>3</v>
      </c>
      <c r="J1631">
        <v>8</v>
      </c>
      <c r="K1631">
        <v>2004</v>
      </c>
      <c r="L1631" s="1" t="s">
        <v>799</v>
      </c>
      <c r="M1631">
        <v>44</v>
      </c>
      <c r="N1631" s="1" t="s">
        <v>958</v>
      </c>
      <c r="O1631" s="1" t="s">
        <v>338</v>
      </c>
      <c r="P1631" s="1" t="s">
        <v>339</v>
      </c>
      <c r="Q1631" s="1" t="s">
        <v>340</v>
      </c>
      <c r="R1631" s="1" t="s">
        <v>32</v>
      </c>
      <c r="S1631" s="1" t="s">
        <v>341</v>
      </c>
      <c r="T1631" s="1" t="s">
        <v>32</v>
      </c>
      <c r="U1631" s="1" t="s">
        <v>342</v>
      </c>
      <c r="V1631" s="1" t="s">
        <v>343</v>
      </c>
      <c r="W1631" s="1" t="s">
        <v>48</v>
      </c>
      <c r="X1631" s="1" t="s">
        <v>344</v>
      </c>
      <c r="Y1631" s="1" t="s">
        <v>345</v>
      </c>
      <c r="Z1631" s="1" t="str">
        <f>TRIM(_xlfn.CONCAT(sales_data_sample[[#This Row],[CONTACTFIRSTNAME]],", ",sales_data_sample[[#This Row],[CONTACTLASTNAME]]))</f>
        <v>Paolo, Accorti</v>
      </c>
      <c r="AA1631" s="1" t="s">
        <v>40</v>
      </c>
    </row>
    <row r="1632" spans="1:27" x14ac:dyDescent="0.25">
      <c r="A1632" s="10">
        <v>10289</v>
      </c>
      <c r="B1632" s="9">
        <v>45</v>
      </c>
      <c r="C1632" s="9">
        <v>4838</v>
      </c>
      <c r="D1632" s="9">
        <f>PRODUCT(sales_data_sample[[#This Row],[QUANTITYORDERED]],sales_data_sample[[#This Row],[PRICEEACH]])</f>
        <v>217710</v>
      </c>
      <c r="E1632" s="9">
        <f>IF(OR(sales_data_sample[[#This Row],[STATUS]]="Shipped",sales_data_sample[[#This Row],[STATUS]]="Resolved"),sales_data_sample[[#This Row],[SALES]],0)</f>
        <v>217710</v>
      </c>
      <c r="F1632" s="10">
        <v>4</v>
      </c>
      <c r="G1632" s="12" t="s">
        <v>825</v>
      </c>
      <c r="H1632" s="1" t="s">
        <v>26</v>
      </c>
      <c r="I1632">
        <v>3</v>
      </c>
      <c r="J1632">
        <v>9</v>
      </c>
      <c r="K1632">
        <v>2004</v>
      </c>
      <c r="L1632" s="1" t="s">
        <v>799</v>
      </c>
      <c r="M1632">
        <v>44</v>
      </c>
      <c r="N1632" s="1" t="s">
        <v>958</v>
      </c>
      <c r="O1632" s="1" t="s">
        <v>92</v>
      </c>
      <c r="P1632" s="1" t="s">
        <v>93</v>
      </c>
      <c r="Q1632" s="1" t="s">
        <v>94</v>
      </c>
      <c r="R1632" s="1" t="s">
        <v>32</v>
      </c>
      <c r="S1632" s="1" t="s">
        <v>95</v>
      </c>
      <c r="T1632" s="1" t="s">
        <v>32</v>
      </c>
      <c r="U1632" s="1" t="s">
        <v>96</v>
      </c>
      <c r="V1632" s="1" t="s">
        <v>97</v>
      </c>
      <c r="W1632" s="1" t="s">
        <v>48</v>
      </c>
      <c r="X1632" s="1" t="s">
        <v>98</v>
      </c>
      <c r="Y1632" s="1" t="s">
        <v>99</v>
      </c>
      <c r="Z1632" s="1" t="str">
        <f>TRIM(_xlfn.CONCAT(sales_data_sample[[#This Row],[CONTACTFIRSTNAME]],", ",sales_data_sample[[#This Row],[CONTACTLASTNAME]]))</f>
        <v>Veysel, Oeztan</v>
      </c>
      <c r="AA1632" s="1" t="s">
        <v>40</v>
      </c>
    </row>
    <row r="1633" spans="1:27" x14ac:dyDescent="0.25">
      <c r="A1633" s="10">
        <v>10304</v>
      </c>
      <c r="B1633" s="9">
        <v>44</v>
      </c>
      <c r="C1633" s="9">
        <v>3942</v>
      </c>
      <c r="D1633" s="9">
        <f>PRODUCT(sales_data_sample[[#This Row],[QUANTITYORDERED]],sales_data_sample[[#This Row],[PRICEEACH]])</f>
        <v>173448</v>
      </c>
      <c r="E1633" s="9">
        <f>IF(OR(sales_data_sample[[#This Row],[STATUS]]="Shipped",sales_data_sample[[#This Row],[STATUS]]="Resolved"),sales_data_sample[[#This Row],[SALES]],0)</f>
        <v>173448</v>
      </c>
      <c r="F1633" s="10">
        <v>15</v>
      </c>
      <c r="G1633" s="12" t="s">
        <v>353</v>
      </c>
      <c r="H1633" s="1" t="s">
        <v>26</v>
      </c>
      <c r="I1633">
        <v>4</v>
      </c>
      <c r="J1633">
        <v>10</v>
      </c>
      <c r="K1633">
        <v>2004</v>
      </c>
      <c r="L1633" s="1" t="s">
        <v>799</v>
      </c>
      <c r="M1633">
        <v>44</v>
      </c>
      <c r="N1633" s="1" t="s">
        <v>958</v>
      </c>
      <c r="O1633" s="1" t="s">
        <v>354</v>
      </c>
      <c r="P1633" s="1" t="s">
        <v>355</v>
      </c>
      <c r="Q1633" s="1" t="s">
        <v>356</v>
      </c>
      <c r="R1633" s="1" t="s">
        <v>32</v>
      </c>
      <c r="S1633" s="1" t="s">
        <v>357</v>
      </c>
      <c r="T1633" s="1" t="s">
        <v>32</v>
      </c>
      <c r="U1633" s="1" t="s">
        <v>358</v>
      </c>
      <c r="V1633" s="1" t="s">
        <v>47</v>
      </c>
      <c r="W1633" s="1" t="s">
        <v>48</v>
      </c>
      <c r="X1633" s="1" t="s">
        <v>359</v>
      </c>
      <c r="Y1633" s="1" t="s">
        <v>58</v>
      </c>
      <c r="Z1633" s="1" t="str">
        <f>TRIM(_xlfn.CONCAT(sales_data_sample[[#This Row],[CONTACTFIRSTNAME]],", ",sales_data_sample[[#This Row],[CONTACTLASTNAME]]))</f>
        <v>Daniel, Tonini</v>
      </c>
      <c r="AA1633" s="1" t="s">
        <v>40</v>
      </c>
    </row>
    <row r="1634" spans="1:27" x14ac:dyDescent="0.25">
      <c r="A1634" s="10">
        <v>10312</v>
      </c>
      <c r="B1634" s="9">
        <v>23</v>
      </c>
      <c r="C1634" s="9">
        <v>3763</v>
      </c>
      <c r="D1634" s="9">
        <f>PRODUCT(sales_data_sample[[#This Row],[QUANTITYORDERED]],sales_data_sample[[#This Row],[PRICEEACH]])</f>
        <v>86549</v>
      </c>
      <c r="E1634" s="9">
        <f>IF(OR(sales_data_sample[[#This Row],[STATUS]]="Shipped",sales_data_sample[[#This Row],[STATUS]]="Resolved"),sales_data_sample[[#This Row],[SALES]],0)</f>
        <v>86549</v>
      </c>
      <c r="F1634" s="10">
        <v>12</v>
      </c>
      <c r="G1634" s="12" t="s">
        <v>360</v>
      </c>
      <c r="H1634" s="1" t="s">
        <v>26</v>
      </c>
      <c r="I1634">
        <v>4</v>
      </c>
      <c r="J1634">
        <v>10</v>
      </c>
      <c r="K1634">
        <v>2004</v>
      </c>
      <c r="L1634" s="1" t="s">
        <v>799</v>
      </c>
      <c r="M1634">
        <v>44</v>
      </c>
      <c r="N1634" s="1" t="s">
        <v>958</v>
      </c>
      <c r="O1634" s="1" t="s">
        <v>361</v>
      </c>
      <c r="P1634" s="1" t="s">
        <v>362</v>
      </c>
      <c r="Q1634" s="1" t="s">
        <v>363</v>
      </c>
      <c r="R1634" s="1" t="s">
        <v>32</v>
      </c>
      <c r="S1634" s="1" t="s">
        <v>364</v>
      </c>
      <c r="T1634" s="1" t="s">
        <v>65</v>
      </c>
      <c r="U1634" s="1" t="s">
        <v>145</v>
      </c>
      <c r="V1634" s="1" t="s">
        <v>36</v>
      </c>
      <c r="W1634" s="1" t="s">
        <v>37</v>
      </c>
      <c r="X1634" s="1" t="s">
        <v>365</v>
      </c>
      <c r="Y1634" s="1" t="s">
        <v>366</v>
      </c>
      <c r="Z1634" s="1" t="str">
        <f>TRIM(_xlfn.CONCAT(sales_data_sample[[#This Row],[CONTACTFIRSTNAME]],", ",sales_data_sample[[#This Row],[CONTACTLASTNAME]]))</f>
        <v>Valarie, Nelson</v>
      </c>
      <c r="AA1634" s="1" t="s">
        <v>40</v>
      </c>
    </row>
    <row r="1635" spans="1:27" x14ac:dyDescent="0.25">
      <c r="A1635" s="10">
        <v>10322</v>
      </c>
      <c r="B1635" s="9">
        <v>30</v>
      </c>
      <c r="C1635" s="9">
        <v>100</v>
      </c>
      <c r="D1635" s="9">
        <f>PRODUCT(sales_data_sample[[#This Row],[QUANTITYORDERED]],sales_data_sample[[#This Row],[PRICEEACH]])</f>
        <v>3000</v>
      </c>
      <c r="E1635" s="9">
        <f>IF(OR(sales_data_sample[[#This Row],[STATUS]]="Shipped",sales_data_sample[[#This Row],[STATUS]]="Resolved"),sales_data_sample[[#This Row],[SALES]],0)</f>
        <v>3000</v>
      </c>
      <c r="F1635" s="10">
        <v>4</v>
      </c>
      <c r="G1635" s="12" t="s">
        <v>367</v>
      </c>
      <c r="H1635" s="1" t="s">
        <v>26</v>
      </c>
      <c r="I1635">
        <v>4</v>
      </c>
      <c r="J1635">
        <v>11</v>
      </c>
      <c r="K1635">
        <v>2004</v>
      </c>
      <c r="L1635" s="1" t="s">
        <v>799</v>
      </c>
      <c r="M1635">
        <v>44</v>
      </c>
      <c r="N1635" s="1" t="s">
        <v>958</v>
      </c>
      <c r="O1635" s="1" t="s">
        <v>368</v>
      </c>
      <c r="P1635" s="1" t="s">
        <v>369</v>
      </c>
      <c r="Q1635" s="1" t="s">
        <v>370</v>
      </c>
      <c r="R1635" s="1" t="s">
        <v>32</v>
      </c>
      <c r="S1635" s="1" t="s">
        <v>371</v>
      </c>
      <c r="T1635" s="1" t="s">
        <v>372</v>
      </c>
      <c r="U1635" s="1" t="s">
        <v>373</v>
      </c>
      <c r="V1635" s="1" t="s">
        <v>36</v>
      </c>
      <c r="W1635" s="1" t="s">
        <v>37</v>
      </c>
      <c r="X1635" s="1" t="s">
        <v>67</v>
      </c>
      <c r="Y1635" s="1" t="s">
        <v>366</v>
      </c>
      <c r="Z1635" s="1" t="str">
        <f>TRIM(_xlfn.CONCAT(sales_data_sample[[#This Row],[CONTACTFIRSTNAME]],", ",sales_data_sample[[#This Row],[CONTACTLASTNAME]]))</f>
        <v>Valarie, Young</v>
      </c>
      <c r="AA1635" s="1" t="s">
        <v>59</v>
      </c>
    </row>
    <row r="1636" spans="1:27" x14ac:dyDescent="0.25">
      <c r="A1636" s="10">
        <v>10332</v>
      </c>
      <c r="B1636" s="9">
        <v>26</v>
      </c>
      <c r="C1636" s="9">
        <v>8552</v>
      </c>
      <c r="D1636" s="9">
        <f>PRODUCT(sales_data_sample[[#This Row],[QUANTITYORDERED]],sales_data_sample[[#This Row],[PRICEEACH]])</f>
        <v>222352</v>
      </c>
      <c r="E1636" s="9">
        <f>IF(OR(sales_data_sample[[#This Row],[STATUS]]="Shipped",sales_data_sample[[#This Row],[STATUS]]="Resolved"),sales_data_sample[[#This Row],[SALES]],0)</f>
        <v>222352</v>
      </c>
      <c r="F1636" s="10">
        <v>10</v>
      </c>
      <c r="G1636" s="12" t="s">
        <v>793</v>
      </c>
      <c r="H1636" s="1" t="s">
        <v>26</v>
      </c>
      <c r="I1636">
        <v>4</v>
      </c>
      <c r="J1636">
        <v>11</v>
      </c>
      <c r="K1636">
        <v>2004</v>
      </c>
      <c r="L1636" s="1" t="s">
        <v>799</v>
      </c>
      <c r="M1636">
        <v>44</v>
      </c>
      <c r="N1636" s="1" t="s">
        <v>958</v>
      </c>
      <c r="O1636" s="1" t="s">
        <v>695</v>
      </c>
      <c r="P1636" s="1" t="s">
        <v>696</v>
      </c>
      <c r="Q1636" s="1" t="s">
        <v>697</v>
      </c>
      <c r="R1636" s="1" t="s">
        <v>32</v>
      </c>
      <c r="S1636" s="1" t="s">
        <v>698</v>
      </c>
      <c r="T1636" s="1" t="s">
        <v>32</v>
      </c>
      <c r="U1636" s="1" t="s">
        <v>699</v>
      </c>
      <c r="V1636" s="1" t="s">
        <v>225</v>
      </c>
      <c r="W1636" s="1" t="s">
        <v>48</v>
      </c>
      <c r="X1636" s="1" t="s">
        <v>700</v>
      </c>
      <c r="Y1636" s="1" t="s">
        <v>118</v>
      </c>
      <c r="Z1636" s="1" t="str">
        <f>TRIM(_xlfn.CONCAT(sales_data_sample[[#This Row],[CONTACTFIRSTNAME]],", ",sales_data_sample[[#This Row],[CONTACTLASTNAME]]))</f>
        <v>Victoria, Ashworth</v>
      </c>
      <c r="AA1636" s="1" t="s">
        <v>40</v>
      </c>
    </row>
    <row r="1637" spans="1:27" x14ac:dyDescent="0.25">
      <c r="A1637" s="10">
        <v>10345</v>
      </c>
      <c r="B1637" s="9">
        <v>43</v>
      </c>
      <c r="C1637" s="9">
        <v>5376</v>
      </c>
      <c r="D1637" s="9">
        <f>PRODUCT(sales_data_sample[[#This Row],[QUANTITYORDERED]],sales_data_sample[[#This Row],[PRICEEACH]])</f>
        <v>231168</v>
      </c>
      <c r="E1637" s="9">
        <f>IF(OR(sales_data_sample[[#This Row],[STATUS]]="Shipped",sales_data_sample[[#This Row],[STATUS]]="Resolved"),sales_data_sample[[#This Row],[SALES]],0)</f>
        <v>231168</v>
      </c>
      <c r="F1637" s="10">
        <v>1</v>
      </c>
      <c r="G1637" s="12" t="s">
        <v>875</v>
      </c>
      <c r="H1637" s="1" t="s">
        <v>26</v>
      </c>
      <c r="I1637">
        <v>4</v>
      </c>
      <c r="J1637">
        <v>11</v>
      </c>
      <c r="K1637">
        <v>2004</v>
      </c>
      <c r="L1637" s="1" t="s">
        <v>799</v>
      </c>
      <c r="M1637">
        <v>44</v>
      </c>
      <c r="N1637" s="1" t="s">
        <v>958</v>
      </c>
      <c r="O1637" s="1" t="s">
        <v>420</v>
      </c>
      <c r="P1637" s="1" t="s">
        <v>421</v>
      </c>
      <c r="Q1637" s="1" t="s">
        <v>422</v>
      </c>
      <c r="R1637" s="1" t="s">
        <v>32</v>
      </c>
      <c r="S1637" s="1" t="s">
        <v>151</v>
      </c>
      <c r="T1637" s="1" t="s">
        <v>32</v>
      </c>
      <c r="U1637" s="1" t="s">
        <v>152</v>
      </c>
      <c r="V1637" s="1" t="s">
        <v>47</v>
      </c>
      <c r="W1637" s="1" t="s">
        <v>48</v>
      </c>
      <c r="X1637" s="1" t="s">
        <v>423</v>
      </c>
      <c r="Y1637" s="1" t="s">
        <v>424</v>
      </c>
      <c r="Z1637" s="1" t="str">
        <f>TRIM(_xlfn.CONCAT(sales_data_sample[[#This Row],[CONTACTFIRSTNAME]],", ",sales_data_sample[[#This Row],[CONTACTLASTNAME]]))</f>
        <v>Carine, Schmitt</v>
      </c>
      <c r="AA1637" s="1" t="s">
        <v>40</v>
      </c>
    </row>
    <row r="1638" spans="1:27" x14ac:dyDescent="0.25">
      <c r="A1638" s="10">
        <v>10356</v>
      </c>
      <c r="B1638" s="9">
        <v>26</v>
      </c>
      <c r="C1638" s="9">
        <v>3186</v>
      </c>
      <c r="D1638" s="9">
        <f>PRODUCT(sales_data_sample[[#This Row],[QUANTITYORDERED]],sales_data_sample[[#This Row],[PRICEEACH]])</f>
        <v>82836</v>
      </c>
      <c r="E1638" s="9">
        <f>IF(OR(sales_data_sample[[#This Row],[STATUS]]="Shipped",sales_data_sample[[#This Row],[STATUS]]="Resolved"),sales_data_sample[[#This Row],[SALES]],0)</f>
        <v>82836</v>
      </c>
      <c r="F1638" s="10">
        <v>7</v>
      </c>
      <c r="G1638" s="12" t="s">
        <v>794</v>
      </c>
      <c r="H1638" s="1" t="s">
        <v>26</v>
      </c>
      <c r="I1638">
        <v>4</v>
      </c>
      <c r="J1638">
        <v>12</v>
      </c>
      <c r="K1638">
        <v>2004</v>
      </c>
      <c r="L1638" s="1" t="s">
        <v>799</v>
      </c>
      <c r="M1638">
        <v>44</v>
      </c>
      <c r="N1638" s="1" t="s">
        <v>958</v>
      </c>
      <c r="O1638" s="1" t="s">
        <v>52</v>
      </c>
      <c r="P1638" s="1" t="s">
        <v>53</v>
      </c>
      <c r="Q1638" s="1" t="s">
        <v>54</v>
      </c>
      <c r="R1638" s="1" t="s">
        <v>32</v>
      </c>
      <c r="S1638" s="1" t="s">
        <v>55</v>
      </c>
      <c r="T1638" s="1" t="s">
        <v>32</v>
      </c>
      <c r="U1638" s="1" t="s">
        <v>56</v>
      </c>
      <c r="V1638" s="1" t="s">
        <v>47</v>
      </c>
      <c r="W1638" s="1" t="s">
        <v>48</v>
      </c>
      <c r="X1638" s="1" t="s">
        <v>57</v>
      </c>
      <c r="Y1638" s="1" t="s">
        <v>58</v>
      </c>
      <c r="Z1638" s="1" t="str">
        <f>TRIM(_xlfn.CONCAT(sales_data_sample[[#This Row],[CONTACTFIRSTNAME]],", ",sales_data_sample[[#This Row],[CONTACTLASTNAME]]))</f>
        <v>Daniel, Da Cunha</v>
      </c>
      <c r="AA1638" s="1" t="s">
        <v>40</v>
      </c>
    </row>
    <row r="1639" spans="1:27" x14ac:dyDescent="0.25">
      <c r="A1639" s="10">
        <v>10367</v>
      </c>
      <c r="B1639" s="9">
        <v>28</v>
      </c>
      <c r="C1639" s="9">
        <v>3059</v>
      </c>
      <c r="D1639" s="9">
        <f>PRODUCT(sales_data_sample[[#This Row],[QUANTITYORDERED]],sales_data_sample[[#This Row],[PRICEEACH]])</f>
        <v>85652</v>
      </c>
      <c r="E1639" s="9">
        <f>IF(OR(sales_data_sample[[#This Row],[STATUS]]="Shipped",sales_data_sample[[#This Row],[STATUS]]="Resolved"),sales_data_sample[[#This Row],[SALES]],0)</f>
        <v>85652</v>
      </c>
      <c r="F1639" s="10">
        <v>12</v>
      </c>
      <c r="G1639" s="12" t="s">
        <v>835</v>
      </c>
      <c r="H1639" s="1" t="s">
        <v>563</v>
      </c>
      <c r="I1639">
        <v>1</v>
      </c>
      <c r="J1639">
        <v>1</v>
      </c>
      <c r="K1639">
        <v>2005</v>
      </c>
      <c r="L1639" s="1" t="s">
        <v>799</v>
      </c>
      <c r="M1639">
        <v>44</v>
      </c>
      <c r="N1639" s="1" t="s">
        <v>958</v>
      </c>
      <c r="O1639" s="1" t="s">
        <v>61</v>
      </c>
      <c r="P1639" s="1" t="s">
        <v>62</v>
      </c>
      <c r="Q1639" s="1" t="s">
        <v>63</v>
      </c>
      <c r="R1639" s="1" t="s">
        <v>32</v>
      </c>
      <c r="S1639" s="1" t="s">
        <v>64</v>
      </c>
      <c r="T1639" s="1" t="s">
        <v>65</v>
      </c>
      <c r="U1639" s="1" t="s">
        <v>66</v>
      </c>
      <c r="V1639" s="1" t="s">
        <v>36</v>
      </c>
      <c r="W1639" s="1" t="s">
        <v>37</v>
      </c>
      <c r="X1639" s="1" t="s">
        <v>67</v>
      </c>
      <c r="Y1639" s="1" t="s">
        <v>68</v>
      </c>
      <c r="Z1639" s="1" t="str">
        <f>TRIM(_xlfn.CONCAT(sales_data_sample[[#This Row],[CONTACTFIRSTNAME]],", ",sales_data_sample[[#This Row],[CONTACTLASTNAME]]))</f>
        <v>Julie, Young</v>
      </c>
      <c r="AA1639" s="1" t="s">
        <v>40</v>
      </c>
    </row>
    <row r="1640" spans="1:27" x14ac:dyDescent="0.25">
      <c r="A1640" s="10">
        <v>10380</v>
      </c>
      <c r="B1640" s="9">
        <v>27</v>
      </c>
      <c r="C1640" s="9">
        <v>6835</v>
      </c>
      <c r="D1640" s="9">
        <f>PRODUCT(sales_data_sample[[#This Row],[QUANTITYORDERED]],sales_data_sample[[#This Row],[PRICEEACH]])</f>
        <v>184545</v>
      </c>
      <c r="E1640" s="9">
        <f>IF(OR(sales_data_sample[[#This Row],[STATUS]]="Shipped",sales_data_sample[[#This Row],[STATUS]]="Resolved"),sales_data_sample[[#This Row],[SALES]],0)</f>
        <v>184545</v>
      </c>
      <c r="F1640" s="10">
        <v>5</v>
      </c>
      <c r="G1640" s="12" t="s">
        <v>826</v>
      </c>
      <c r="H1640" s="1" t="s">
        <v>26</v>
      </c>
      <c r="I1640">
        <v>1</v>
      </c>
      <c r="J1640">
        <v>2</v>
      </c>
      <c r="K1640">
        <v>2005</v>
      </c>
      <c r="L1640" s="1" t="s">
        <v>799</v>
      </c>
      <c r="M1640">
        <v>44</v>
      </c>
      <c r="N1640" s="1" t="s">
        <v>958</v>
      </c>
      <c r="O1640" s="1" t="s">
        <v>230</v>
      </c>
      <c r="P1640" s="1" t="s">
        <v>231</v>
      </c>
      <c r="Q1640" s="1" t="s">
        <v>232</v>
      </c>
      <c r="R1640" s="1" t="s">
        <v>32</v>
      </c>
      <c r="S1640" s="1" t="s">
        <v>233</v>
      </c>
      <c r="T1640" s="1" t="s">
        <v>32</v>
      </c>
      <c r="U1640" s="1" t="s">
        <v>234</v>
      </c>
      <c r="V1640" s="1" t="s">
        <v>235</v>
      </c>
      <c r="W1640" s="1" t="s">
        <v>48</v>
      </c>
      <c r="X1640" s="1" t="s">
        <v>236</v>
      </c>
      <c r="Y1640" s="1" t="s">
        <v>237</v>
      </c>
      <c r="Z1640" s="1" t="str">
        <f>TRIM(_xlfn.CONCAT(sales_data_sample[[#This Row],[CONTACTFIRSTNAME]],", ",sales_data_sample[[#This Row],[CONTACTLASTNAME]]))</f>
        <v>Diego, Freyre</v>
      </c>
      <c r="AA1640" s="1" t="s">
        <v>40</v>
      </c>
    </row>
    <row r="1641" spans="1:27" x14ac:dyDescent="0.25">
      <c r="A1641">
        <v>10391</v>
      </c>
      <c r="B1641">
        <v>24</v>
      </c>
      <c r="C1641">
        <v>100</v>
      </c>
      <c r="D1641">
        <f>PRODUCT(sales_data_sample[[#This Row],[QUANTITYORDERED]],sales_data_sample[[#This Row],[PRICEEACH]])</f>
        <v>2400</v>
      </c>
      <c r="E1641" s="9">
        <f>IF(OR(sales_data_sample[[#This Row],[STATUS]]="Shipped",sales_data_sample[[#This Row],[STATUS]]="Resolved"),sales_data_sample[[#This Row],[SALES]],0)</f>
        <v>2400</v>
      </c>
      <c r="F1641">
        <v>1</v>
      </c>
      <c r="G1641" s="12" t="s">
        <v>384</v>
      </c>
      <c r="H1641" s="1" t="s">
        <v>26</v>
      </c>
      <c r="I1641">
        <v>1</v>
      </c>
      <c r="J1641">
        <v>3</v>
      </c>
      <c r="K1641">
        <v>2005</v>
      </c>
      <c r="L1641" s="1" t="s">
        <v>799</v>
      </c>
      <c r="M1641">
        <v>44</v>
      </c>
      <c r="N1641" s="1" t="s">
        <v>958</v>
      </c>
      <c r="O1641" s="1" t="s">
        <v>385</v>
      </c>
      <c r="P1641" s="1" t="s">
        <v>386</v>
      </c>
      <c r="Q1641" s="1" t="s">
        <v>387</v>
      </c>
      <c r="R1641" s="1" t="s">
        <v>388</v>
      </c>
      <c r="S1641" s="1" t="s">
        <v>389</v>
      </c>
      <c r="T1641" s="1" t="s">
        <v>206</v>
      </c>
      <c r="U1641" s="1" t="s">
        <v>390</v>
      </c>
      <c r="V1641" s="1" t="s">
        <v>120</v>
      </c>
      <c r="W1641" s="1" t="s">
        <v>121</v>
      </c>
      <c r="X1641" s="1" t="s">
        <v>391</v>
      </c>
      <c r="Y1641" s="1" t="s">
        <v>392</v>
      </c>
      <c r="Z1641" s="1" t="str">
        <f>TRIM(_xlfn.CONCAT(sales_data_sample[[#This Row],[CONTACTFIRSTNAME]],", ",sales_data_sample[[#This Row],[CONTACTLASTNAME]]))</f>
        <v>Anna, O'Hara</v>
      </c>
      <c r="AA1641" s="1" t="s">
        <v>59</v>
      </c>
    </row>
    <row r="1642" spans="1:27" x14ac:dyDescent="0.25">
      <c r="A1642" s="10">
        <v>10421</v>
      </c>
      <c r="B1642" s="9">
        <v>40</v>
      </c>
      <c r="C1642" s="9">
        <v>457</v>
      </c>
      <c r="D1642" s="9">
        <f>PRODUCT(sales_data_sample[[#This Row],[QUANTITYORDERED]],sales_data_sample[[#This Row],[PRICEEACH]])</f>
        <v>18280</v>
      </c>
      <c r="E1642" s="9">
        <f>IF(OR(sales_data_sample[[#This Row],[STATUS]]="Shipped",sales_data_sample[[#This Row],[STATUS]]="Resolved"),sales_data_sample[[#This Row],[SALES]],0)</f>
        <v>0</v>
      </c>
      <c r="F1642" s="10">
        <v>2</v>
      </c>
      <c r="G1642" s="12" t="s">
        <v>876</v>
      </c>
      <c r="H1642" s="1" t="s">
        <v>403</v>
      </c>
      <c r="I1642">
        <v>2</v>
      </c>
      <c r="J1642">
        <v>5</v>
      </c>
      <c r="K1642">
        <v>2005</v>
      </c>
      <c r="L1642" s="1" t="s">
        <v>799</v>
      </c>
      <c r="M1642">
        <v>44</v>
      </c>
      <c r="N1642" s="1" t="s">
        <v>958</v>
      </c>
      <c r="O1642" s="1" t="s">
        <v>361</v>
      </c>
      <c r="P1642" s="1" t="s">
        <v>362</v>
      </c>
      <c r="Q1642" s="1" t="s">
        <v>363</v>
      </c>
      <c r="R1642" s="1" t="s">
        <v>32</v>
      </c>
      <c r="S1642" s="1" t="s">
        <v>364</v>
      </c>
      <c r="T1642" s="1" t="s">
        <v>65</v>
      </c>
      <c r="U1642" s="1" t="s">
        <v>145</v>
      </c>
      <c r="V1642" s="1" t="s">
        <v>36</v>
      </c>
      <c r="W1642" s="1" t="s">
        <v>37</v>
      </c>
      <c r="X1642" s="1" t="s">
        <v>365</v>
      </c>
      <c r="Y1642" s="1" t="s">
        <v>366</v>
      </c>
      <c r="Z1642" s="1" t="str">
        <f>TRIM(_xlfn.CONCAT(sales_data_sample[[#This Row],[CONTACTFIRSTNAME]],", ",sales_data_sample[[#This Row],[CONTACTLASTNAME]]))</f>
        <v>Valarie, Nelson</v>
      </c>
      <c r="AA1642" s="1" t="s">
        <v>40</v>
      </c>
    </row>
    <row r="1643" spans="1:27" x14ac:dyDescent="0.25">
      <c r="A1643" s="10">
        <v>10103</v>
      </c>
      <c r="B1643" s="9">
        <v>36</v>
      </c>
      <c r="C1643" s="9">
        <v>100</v>
      </c>
      <c r="D1643" s="9">
        <f>PRODUCT(sales_data_sample[[#This Row],[QUANTITYORDERED]],sales_data_sample[[#This Row],[PRICEEACH]])</f>
        <v>3600</v>
      </c>
      <c r="E1643" s="9">
        <f>IF(OR(sales_data_sample[[#This Row],[STATUS]]="Shipped",sales_data_sample[[#This Row],[STATUS]]="Resolved"),sales_data_sample[[#This Row],[SALES]],0)</f>
        <v>3600</v>
      </c>
      <c r="F1643" s="10">
        <v>1</v>
      </c>
      <c r="G1643" s="12" t="s">
        <v>238</v>
      </c>
      <c r="H1643" s="1" t="s">
        <v>26</v>
      </c>
      <c r="I1643">
        <v>1</v>
      </c>
      <c r="J1643">
        <v>1</v>
      </c>
      <c r="K1643">
        <v>2003</v>
      </c>
      <c r="L1643" s="1" t="s">
        <v>711</v>
      </c>
      <c r="M1643">
        <v>127</v>
      </c>
      <c r="N1643" s="1" t="s">
        <v>959</v>
      </c>
      <c r="O1643" s="1" t="s">
        <v>174</v>
      </c>
      <c r="P1643" s="1" t="s">
        <v>175</v>
      </c>
      <c r="Q1643" s="1" t="s">
        <v>176</v>
      </c>
      <c r="R1643" s="1" t="s">
        <v>32</v>
      </c>
      <c r="S1643" s="1" t="s">
        <v>177</v>
      </c>
      <c r="T1643" s="1" t="s">
        <v>32</v>
      </c>
      <c r="U1643" s="1" t="s">
        <v>178</v>
      </c>
      <c r="V1643" s="1" t="s">
        <v>97</v>
      </c>
      <c r="W1643" s="1" t="s">
        <v>48</v>
      </c>
      <c r="X1643" s="1" t="s">
        <v>179</v>
      </c>
      <c r="Y1643" s="1" t="s">
        <v>180</v>
      </c>
      <c r="Z1643" s="1" t="str">
        <f>TRIM(_xlfn.CONCAT(sales_data_sample[[#This Row],[CONTACTFIRSTNAME]],", ",sales_data_sample[[#This Row],[CONTACTLASTNAME]]))</f>
        <v>Jonas, Bergulfsen</v>
      </c>
      <c r="AA1643" s="1" t="s">
        <v>59</v>
      </c>
    </row>
    <row r="1644" spans="1:27" x14ac:dyDescent="0.25">
      <c r="A1644" s="10">
        <v>10114</v>
      </c>
      <c r="B1644" s="9">
        <v>21</v>
      </c>
      <c r="C1644" s="9">
        <v>100</v>
      </c>
      <c r="D1644" s="9">
        <f>PRODUCT(sales_data_sample[[#This Row],[QUANTITYORDERED]],sales_data_sample[[#This Row],[PRICEEACH]])</f>
        <v>2100</v>
      </c>
      <c r="E1644" s="9">
        <f>IF(OR(sales_data_sample[[#This Row],[STATUS]]="Shipped",sales_data_sample[[#This Row],[STATUS]]="Resolved"),sales_data_sample[[#This Row],[SALES]],0)</f>
        <v>2100</v>
      </c>
      <c r="F1644" s="10">
        <v>5</v>
      </c>
      <c r="G1644" s="12" t="s">
        <v>555</v>
      </c>
      <c r="H1644" s="1" t="s">
        <v>26</v>
      </c>
      <c r="I1644">
        <v>2</v>
      </c>
      <c r="J1644">
        <v>4</v>
      </c>
      <c r="K1644">
        <v>2003</v>
      </c>
      <c r="L1644" s="1" t="s">
        <v>711</v>
      </c>
      <c r="M1644">
        <v>127</v>
      </c>
      <c r="N1644" s="1" t="s">
        <v>959</v>
      </c>
      <c r="O1644" s="1" t="s">
        <v>556</v>
      </c>
      <c r="P1644" s="1" t="s">
        <v>557</v>
      </c>
      <c r="Q1644" s="1" t="s">
        <v>558</v>
      </c>
      <c r="R1644" s="1" t="s">
        <v>32</v>
      </c>
      <c r="S1644" s="1" t="s">
        <v>55</v>
      </c>
      <c r="T1644" s="1" t="s">
        <v>32</v>
      </c>
      <c r="U1644" s="1" t="s">
        <v>559</v>
      </c>
      <c r="V1644" s="1" t="s">
        <v>47</v>
      </c>
      <c r="W1644" s="1" t="s">
        <v>48</v>
      </c>
      <c r="X1644" s="1" t="s">
        <v>560</v>
      </c>
      <c r="Y1644" s="1" t="s">
        <v>561</v>
      </c>
      <c r="Z1644" s="1" t="str">
        <f>TRIM(_xlfn.CONCAT(sales_data_sample[[#This Row],[CONTACTFIRSTNAME]],", ",sales_data_sample[[#This Row],[CONTACTLASTNAME]]))</f>
        <v>Marie, Bertrand</v>
      </c>
      <c r="AA1644" s="1" t="s">
        <v>40</v>
      </c>
    </row>
    <row r="1645" spans="1:27" x14ac:dyDescent="0.25">
      <c r="A1645" s="10">
        <v>10126</v>
      </c>
      <c r="B1645" s="9">
        <v>27</v>
      </c>
      <c r="C1645" s="9">
        <v>100</v>
      </c>
      <c r="D1645" s="9">
        <f>PRODUCT(sales_data_sample[[#This Row],[QUANTITYORDERED]],sales_data_sample[[#This Row],[PRICEEACH]])</f>
        <v>2700</v>
      </c>
      <c r="E1645" s="9">
        <f>IF(OR(sales_data_sample[[#This Row],[STATUS]]="Shipped",sales_data_sample[[#This Row],[STATUS]]="Resolved"),sales_data_sample[[#This Row],[SALES]],0)</f>
        <v>2700</v>
      </c>
      <c r="F1645" s="10">
        <v>1</v>
      </c>
      <c r="G1645" s="12" t="s">
        <v>250</v>
      </c>
      <c r="H1645" s="1" t="s">
        <v>26</v>
      </c>
      <c r="I1645">
        <v>2</v>
      </c>
      <c r="J1645">
        <v>5</v>
      </c>
      <c r="K1645">
        <v>2003</v>
      </c>
      <c r="L1645" s="1" t="s">
        <v>711</v>
      </c>
      <c r="M1645">
        <v>127</v>
      </c>
      <c r="N1645" s="1" t="s">
        <v>959</v>
      </c>
      <c r="O1645" s="1" t="s">
        <v>251</v>
      </c>
      <c r="P1645" s="1" t="s">
        <v>252</v>
      </c>
      <c r="Q1645" s="1" t="s">
        <v>253</v>
      </c>
      <c r="R1645" s="1" t="s">
        <v>32</v>
      </c>
      <c r="S1645" s="1" t="s">
        <v>233</v>
      </c>
      <c r="T1645" s="1" t="s">
        <v>32</v>
      </c>
      <c r="U1645" s="1" t="s">
        <v>254</v>
      </c>
      <c r="V1645" s="1" t="s">
        <v>235</v>
      </c>
      <c r="W1645" s="1" t="s">
        <v>48</v>
      </c>
      <c r="X1645" s="1" t="s">
        <v>255</v>
      </c>
      <c r="Y1645" s="1" t="s">
        <v>256</v>
      </c>
      <c r="Z1645" s="1" t="str">
        <f>TRIM(_xlfn.CONCAT(sales_data_sample[[#This Row],[CONTACTFIRSTNAME]],", ",sales_data_sample[[#This Row],[CONTACTLASTNAME]]))</f>
        <v>Mart¡n, Sommer</v>
      </c>
      <c r="AA1645" s="1" t="s">
        <v>59</v>
      </c>
    </row>
    <row r="1646" spans="1:27" x14ac:dyDescent="0.25">
      <c r="A1646" s="10">
        <v>10140</v>
      </c>
      <c r="B1646" s="9">
        <v>47</v>
      </c>
      <c r="C1646" s="9">
        <v>100</v>
      </c>
      <c r="D1646" s="9">
        <f>PRODUCT(sales_data_sample[[#This Row],[QUANTITYORDERED]],sales_data_sample[[#This Row],[PRICEEACH]])</f>
        <v>4700</v>
      </c>
      <c r="E1646" s="9">
        <f>IF(OR(sales_data_sample[[#This Row],[STATUS]]="Shipped",sales_data_sample[[#This Row],[STATUS]]="Resolved"),sales_data_sample[[#This Row],[SALES]],0)</f>
        <v>4700</v>
      </c>
      <c r="F1646" s="10">
        <v>1</v>
      </c>
      <c r="G1646" s="12" t="s">
        <v>257</v>
      </c>
      <c r="H1646" s="1" t="s">
        <v>26</v>
      </c>
      <c r="I1646">
        <v>3</v>
      </c>
      <c r="J1646">
        <v>7</v>
      </c>
      <c r="K1646">
        <v>2003</v>
      </c>
      <c r="L1646" s="1" t="s">
        <v>711</v>
      </c>
      <c r="M1646">
        <v>127</v>
      </c>
      <c r="N1646" s="1" t="s">
        <v>959</v>
      </c>
      <c r="O1646" s="1" t="s">
        <v>76</v>
      </c>
      <c r="P1646" s="1" t="s">
        <v>77</v>
      </c>
      <c r="Q1646" s="1" t="s">
        <v>78</v>
      </c>
      <c r="R1646" s="1" t="s">
        <v>32</v>
      </c>
      <c r="S1646" s="1" t="s">
        <v>79</v>
      </c>
      <c r="T1646" s="1" t="s">
        <v>65</v>
      </c>
      <c r="U1646" s="1" t="s">
        <v>80</v>
      </c>
      <c r="V1646" s="1" t="s">
        <v>36</v>
      </c>
      <c r="W1646" s="1" t="s">
        <v>37</v>
      </c>
      <c r="X1646" s="1" t="s">
        <v>81</v>
      </c>
      <c r="Y1646" s="1" t="s">
        <v>82</v>
      </c>
      <c r="Z1646" s="1" t="str">
        <f>TRIM(_xlfn.CONCAT(sales_data_sample[[#This Row],[CONTACTFIRSTNAME]],", ",sales_data_sample[[#This Row],[CONTACTLASTNAME]]))</f>
        <v>Juri, Hirano</v>
      </c>
      <c r="AA1646" s="1" t="s">
        <v>59</v>
      </c>
    </row>
    <row r="1647" spans="1:27" x14ac:dyDescent="0.25">
      <c r="A1647" s="10">
        <v>10151</v>
      </c>
      <c r="B1647" s="9">
        <v>42</v>
      </c>
      <c r="C1647" s="9">
        <v>100</v>
      </c>
      <c r="D1647" s="9">
        <f>PRODUCT(sales_data_sample[[#This Row],[QUANTITYORDERED]],sales_data_sample[[#This Row],[PRICEEACH]])</f>
        <v>4200</v>
      </c>
      <c r="E1647" s="9">
        <f>IF(OR(sales_data_sample[[#This Row],[STATUS]]="Shipped",sales_data_sample[[#This Row],[STATUS]]="Resolved"),sales_data_sample[[#This Row],[SALES]],0)</f>
        <v>4200</v>
      </c>
      <c r="F1647" s="10">
        <v>8</v>
      </c>
      <c r="G1647" s="12" t="s">
        <v>744</v>
      </c>
      <c r="H1647" s="1" t="s">
        <v>26</v>
      </c>
      <c r="I1647">
        <v>3</v>
      </c>
      <c r="J1647">
        <v>9</v>
      </c>
      <c r="K1647">
        <v>2003</v>
      </c>
      <c r="L1647" s="1" t="s">
        <v>711</v>
      </c>
      <c r="M1647">
        <v>127</v>
      </c>
      <c r="N1647" s="1" t="s">
        <v>959</v>
      </c>
      <c r="O1647" s="1" t="s">
        <v>537</v>
      </c>
      <c r="P1647" s="1" t="s">
        <v>538</v>
      </c>
      <c r="Q1647" s="1" t="s">
        <v>539</v>
      </c>
      <c r="R1647" s="1" t="s">
        <v>32</v>
      </c>
      <c r="S1647" s="1" t="s">
        <v>540</v>
      </c>
      <c r="T1647" s="1" t="s">
        <v>32</v>
      </c>
      <c r="U1647" s="1" t="s">
        <v>541</v>
      </c>
      <c r="V1647" s="1" t="s">
        <v>170</v>
      </c>
      <c r="W1647" s="1" t="s">
        <v>48</v>
      </c>
      <c r="X1647" s="1" t="s">
        <v>542</v>
      </c>
      <c r="Y1647" s="1" t="s">
        <v>543</v>
      </c>
      <c r="Z1647" s="1" t="str">
        <f>TRIM(_xlfn.CONCAT(sales_data_sample[[#This Row],[CONTACTFIRSTNAME]],", ",sales_data_sample[[#This Row],[CONTACTLASTNAME]]))</f>
        <v>Pirkko, Koskitalo</v>
      </c>
      <c r="AA1647" s="1" t="s">
        <v>59</v>
      </c>
    </row>
    <row r="1648" spans="1:27" x14ac:dyDescent="0.25">
      <c r="A1648" s="10">
        <v>10165</v>
      </c>
      <c r="B1648" s="9">
        <v>32</v>
      </c>
      <c r="C1648" s="9">
        <v>100</v>
      </c>
      <c r="D1648" s="9">
        <f>PRODUCT(sales_data_sample[[#This Row],[QUANTITYORDERED]],sales_data_sample[[#This Row],[PRICEEACH]])</f>
        <v>3200</v>
      </c>
      <c r="E1648" s="9">
        <f>IF(OR(sales_data_sample[[#This Row],[STATUS]]="Shipped",sales_data_sample[[#This Row],[STATUS]]="Resolved"),sales_data_sample[[#This Row],[SALES]],0)</f>
        <v>3200</v>
      </c>
      <c r="F1648" s="10">
        <v>17</v>
      </c>
      <c r="G1648" s="12" t="s">
        <v>674</v>
      </c>
      <c r="H1648" s="1" t="s">
        <v>26</v>
      </c>
      <c r="I1648">
        <v>4</v>
      </c>
      <c r="J1648">
        <v>10</v>
      </c>
      <c r="K1648">
        <v>2003</v>
      </c>
      <c r="L1648" s="1" t="s">
        <v>711</v>
      </c>
      <c r="M1648">
        <v>127</v>
      </c>
      <c r="N1648" s="1" t="s">
        <v>959</v>
      </c>
      <c r="O1648" s="1" t="s">
        <v>259</v>
      </c>
      <c r="P1648" s="1" t="s">
        <v>260</v>
      </c>
      <c r="Q1648" s="1" t="s">
        <v>261</v>
      </c>
      <c r="R1648" s="1" t="s">
        <v>32</v>
      </c>
      <c r="S1648" s="1" t="s">
        <v>262</v>
      </c>
      <c r="T1648" s="1" t="s">
        <v>32</v>
      </c>
      <c r="U1648" s="1" t="s">
        <v>263</v>
      </c>
      <c r="V1648" s="1" t="s">
        <v>262</v>
      </c>
      <c r="W1648" s="1" t="s">
        <v>264</v>
      </c>
      <c r="X1648" s="1" t="s">
        <v>265</v>
      </c>
      <c r="Y1648" s="1" t="s">
        <v>266</v>
      </c>
      <c r="Z1648" s="1" t="str">
        <f>TRIM(_xlfn.CONCAT(sales_data_sample[[#This Row],[CONTACTFIRSTNAME]],", ",sales_data_sample[[#This Row],[CONTACTLASTNAME]]))</f>
        <v>Eric, Natividad</v>
      </c>
      <c r="AA1648" s="1" t="s">
        <v>59</v>
      </c>
    </row>
    <row r="1649" spans="1:27" x14ac:dyDescent="0.25">
      <c r="A1649" s="10">
        <v>10175</v>
      </c>
      <c r="B1649" s="9">
        <v>28</v>
      </c>
      <c r="C1649" s="9">
        <v>100</v>
      </c>
      <c r="D1649" s="9">
        <f>PRODUCT(sales_data_sample[[#This Row],[QUANTITYORDERED]],sales_data_sample[[#This Row],[PRICEEACH]])</f>
        <v>2800</v>
      </c>
      <c r="E1649" s="9">
        <f>IF(OR(sales_data_sample[[#This Row],[STATUS]]="Shipped",sales_data_sample[[#This Row],[STATUS]]="Resolved"),sales_data_sample[[#This Row],[SALES]],0)</f>
        <v>2800</v>
      </c>
      <c r="F1649" s="10">
        <v>6</v>
      </c>
      <c r="G1649" s="12" t="s">
        <v>273</v>
      </c>
      <c r="H1649" s="1" t="s">
        <v>26</v>
      </c>
      <c r="I1649">
        <v>4</v>
      </c>
      <c r="J1649">
        <v>11</v>
      </c>
      <c r="K1649">
        <v>2003</v>
      </c>
      <c r="L1649" s="1" t="s">
        <v>711</v>
      </c>
      <c r="M1649">
        <v>127</v>
      </c>
      <c r="N1649" s="1" t="s">
        <v>959</v>
      </c>
      <c r="O1649" s="1" t="s">
        <v>447</v>
      </c>
      <c r="P1649" s="1" t="s">
        <v>448</v>
      </c>
      <c r="Q1649" s="1" t="s">
        <v>449</v>
      </c>
      <c r="R1649" s="1" t="s">
        <v>32</v>
      </c>
      <c r="S1649" s="1" t="s">
        <v>450</v>
      </c>
      <c r="T1649" s="1" t="s">
        <v>32</v>
      </c>
      <c r="U1649" s="1" t="s">
        <v>451</v>
      </c>
      <c r="V1649" s="1" t="s">
        <v>225</v>
      </c>
      <c r="W1649" s="1" t="s">
        <v>48</v>
      </c>
      <c r="X1649" s="1" t="s">
        <v>74</v>
      </c>
      <c r="Y1649" s="1" t="s">
        <v>452</v>
      </c>
      <c r="Z1649" s="1" t="str">
        <f>TRIM(_xlfn.CONCAT(sales_data_sample[[#This Row],[CONTACTFIRSTNAME]],", ",sales_data_sample[[#This Row],[CONTACTLASTNAME]]))</f>
        <v>Ann, Brown</v>
      </c>
      <c r="AA1649" s="1" t="s">
        <v>40</v>
      </c>
    </row>
    <row r="1650" spans="1:27" x14ac:dyDescent="0.25">
      <c r="A1650" s="10">
        <v>10184</v>
      </c>
      <c r="B1650" s="9">
        <v>24</v>
      </c>
      <c r="C1650" s="9">
        <v>100</v>
      </c>
      <c r="D1650" s="9">
        <f>PRODUCT(sales_data_sample[[#This Row],[QUANTITYORDERED]],sales_data_sample[[#This Row],[PRICEEACH]])</f>
        <v>2400</v>
      </c>
      <c r="E1650" s="9">
        <f>IF(OR(sales_data_sample[[#This Row],[STATUS]]="Shipped",sales_data_sample[[#This Row],[STATUS]]="Resolved"),sales_data_sample[[#This Row],[SALES]],0)</f>
        <v>2400</v>
      </c>
      <c r="F1650" s="10">
        <v>11</v>
      </c>
      <c r="G1650" s="12" t="s">
        <v>470</v>
      </c>
      <c r="H1650" s="1" t="s">
        <v>26</v>
      </c>
      <c r="I1650">
        <v>4</v>
      </c>
      <c r="J1650">
        <v>11</v>
      </c>
      <c r="K1650">
        <v>2003</v>
      </c>
      <c r="L1650" s="1" t="s">
        <v>711</v>
      </c>
      <c r="M1650">
        <v>127</v>
      </c>
      <c r="N1650" s="1" t="s">
        <v>959</v>
      </c>
      <c r="O1650" s="1" t="s">
        <v>745</v>
      </c>
      <c r="P1650" s="1" t="s">
        <v>746</v>
      </c>
      <c r="Q1650" s="1" t="s">
        <v>747</v>
      </c>
      <c r="R1650" s="1" t="s">
        <v>32</v>
      </c>
      <c r="S1650" s="1" t="s">
        <v>748</v>
      </c>
      <c r="T1650" s="1" t="s">
        <v>32</v>
      </c>
      <c r="U1650" s="1" t="s">
        <v>749</v>
      </c>
      <c r="V1650" s="1" t="s">
        <v>235</v>
      </c>
      <c r="W1650" s="1" t="s">
        <v>48</v>
      </c>
      <c r="X1650" s="1" t="s">
        <v>750</v>
      </c>
      <c r="Y1650" s="1" t="s">
        <v>751</v>
      </c>
      <c r="Z1650" s="1" t="str">
        <f>TRIM(_xlfn.CONCAT(sales_data_sample[[#This Row],[CONTACTFIRSTNAME]],", ",sales_data_sample[[#This Row],[CONTACTLASTNAME]]))</f>
        <v>Jose Pedro, Roel</v>
      </c>
      <c r="AA1650" s="1" t="s">
        <v>59</v>
      </c>
    </row>
    <row r="1651" spans="1:27" x14ac:dyDescent="0.25">
      <c r="A1651" s="10">
        <v>10194</v>
      </c>
      <c r="B1651" s="9">
        <v>49</v>
      </c>
      <c r="C1651" s="9">
        <v>100</v>
      </c>
      <c r="D1651" s="9">
        <f>PRODUCT(sales_data_sample[[#This Row],[QUANTITYORDERED]],sales_data_sample[[#This Row],[PRICEEACH]])</f>
        <v>4900</v>
      </c>
      <c r="E1651" s="9">
        <f>IF(OR(sales_data_sample[[#This Row],[STATUS]]="Shipped",sales_data_sample[[#This Row],[STATUS]]="Resolved"),sales_data_sample[[#This Row],[SALES]],0)</f>
        <v>4900</v>
      </c>
      <c r="F1651" s="10">
        <v>1</v>
      </c>
      <c r="G1651" s="12" t="s">
        <v>290</v>
      </c>
      <c r="H1651" s="1" t="s">
        <v>26</v>
      </c>
      <c r="I1651">
        <v>4</v>
      </c>
      <c r="J1651">
        <v>11</v>
      </c>
      <c r="K1651">
        <v>2003</v>
      </c>
      <c r="L1651" s="1" t="s">
        <v>711</v>
      </c>
      <c r="M1651">
        <v>127</v>
      </c>
      <c r="N1651" s="1" t="s">
        <v>959</v>
      </c>
      <c r="O1651" s="1" t="s">
        <v>291</v>
      </c>
      <c r="P1651" s="1" t="s">
        <v>292</v>
      </c>
      <c r="Q1651" s="1" t="s">
        <v>293</v>
      </c>
      <c r="R1651" s="1" t="s">
        <v>32</v>
      </c>
      <c r="S1651" s="1" t="s">
        <v>294</v>
      </c>
      <c r="T1651" s="1" t="s">
        <v>32</v>
      </c>
      <c r="U1651" s="1" t="s">
        <v>295</v>
      </c>
      <c r="V1651" s="1" t="s">
        <v>47</v>
      </c>
      <c r="W1651" s="1" t="s">
        <v>48</v>
      </c>
      <c r="X1651" s="1" t="s">
        <v>296</v>
      </c>
      <c r="Y1651" s="1" t="s">
        <v>297</v>
      </c>
      <c r="Z1651" s="1" t="str">
        <f>TRIM(_xlfn.CONCAT(sales_data_sample[[#This Row],[CONTACTFIRSTNAME]],", ",sales_data_sample[[#This Row],[CONTACTLASTNAME]]))</f>
        <v>Mary, Saveley</v>
      </c>
      <c r="AA1651" s="1" t="s">
        <v>59</v>
      </c>
    </row>
    <row r="1652" spans="1:27" x14ac:dyDescent="0.25">
      <c r="A1652" s="10">
        <v>10207</v>
      </c>
      <c r="B1652" s="9">
        <v>46</v>
      </c>
      <c r="C1652" s="9">
        <v>100</v>
      </c>
      <c r="D1652" s="9">
        <f>PRODUCT(sales_data_sample[[#This Row],[QUANTITYORDERED]],sales_data_sample[[#This Row],[PRICEEACH]])</f>
        <v>4600</v>
      </c>
      <c r="E1652" s="9">
        <f>IF(OR(sales_data_sample[[#This Row],[STATUS]]="Shipped",sales_data_sample[[#This Row],[STATUS]]="Resolved"),sales_data_sample[[#This Row],[SALES]],0)</f>
        <v>4600</v>
      </c>
      <c r="F1652" s="10">
        <v>12</v>
      </c>
      <c r="G1652" s="12" t="s">
        <v>571</v>
      </c>
      <c r="H1652" s="1" t="s">
        <v>26</v>
      </c>
      <c r="I1652">
        <v>4</v>
      </c>
      <c r="J1652">
        <v>12</v>
      </c>
      <c r="K1652">
        <v>2003</v>
      </c>
      <c r="L1652" s="1" t="s">
        <v>711</v>
      </c>
      <c r="M1652">
        <v>127</v>
      </c>
      <c r="N1652" s="1" t="s">
        <v>959</v>
      </c>
      <c r="O1652" s="1" t="s">
        <v>572</v>
      </c>
      <c r="P1652" s="1" t="s">
        <v>573</v>
      </c>
      <c r="Q1652" s="1" t="s">
        <v>574</v>
      </c>
      <c r="R1652" s="1" t="s">
        <v>32</v>
      </c>
      <c r="S1652" s="1" t="s">
        <v>519</v>
      </c>
      <c r="T1652" s="1" t="s">
        <v>160</v>
      </c>
      <c r="U1652" s="1" t="s">
        <v>520</v>
      </c>
      <c r="V1652" s="1" t="s">
        <v>36</v>
      </c>
      <c r="W1652" s="1" t="s">
        <v>37</v>
      </c>
      <c r="X1652" s="1" t="s">
        <v>575</v>
      </c>
      <c r="Y1652" s="1" t="s">
        <v>366</v>
      </c>
      <c r="Z1652" s="1" t="str">
        <f>TRIM(_xlfn.CONCAT(sales_data_sample[[#This Row],[CONTACTFIRSTNAME]],", ",sales_data_sample[[#This Row],[CONTACTLASTNAME]]))</f>
        <v>Valarie, Franco</v>
      </c>
      <c r="AA1652" s="1" t="s">
        <v>59</v>
      </c>
    </row>
    <row r="1653" spans="1:27" x14ac:dyDescent="0.25">
      <c r="A1653">
        <v>10217</v>
      </c>
      <c r="B1653">
        <v>28</v>
      </c>
      <c r="C1653">
        <v>100</v>
      </c>
      <c r="D1653">
        <f>PRODUCT(sales_data_sample[[#This Row],[QUANTITYORDERED]],sales_data_sample[[#This Row],[PRICEEACH]])</f>
        <v>2800</v>
      </c>
      <c r="E1653" s="9">
        <f>IF(OR(sales_data_sample[[#This Row],[STATUS]]="Shipped",sales_data_sample[[#This Row],[STATUS]]="Resolved"),sales_data_sample[[#This Row],[SALES]],0)</f>
        <v>2800</v>
      </c>
      <c r="F1653">
        <v>1</v>
      </c>
      <c r="G1653" s="12" t="s">
        <v>576</v>
      </c>
      <c r="H1653" s="1" t="s">
        <v>26</v>
      </c>
      <c r="I1653">
        <v>1</v>
      </c>
      <c r="J1653">
        <v>2</v>
      </c>
      <c r="K1653">
        <v>2004</v>
      </c>
      <c r="L1653" s="1" t="s">
        <v>711</v>
      </c>
      <c r="M1653">
        <v>127</v>
      </c>
      <c r="N1653" s="1" t="s">
        <v>959</v>
      </c>
      <c r="O1653" s="1" t="s">
        <v>577</v>
      </c>
      <c r="P1653" s="1" t="s">
        <v>578</v>
      </c>
      <c r="Q1653" s="1" t="s">
        <v>579</v>
      </c>
      <c r="R1653" s="1" t="s">
        <v>580</v>
      </c>
      <c r="S1653" s="1" t="s">
        <v>262</v>
      </c>
      <c r="T1653" s="1" t="s">
        <v>32</v>
      </c>
      <c r="U1653" s="1" t="s">
        <v>581</v>
      </c>
      <c r="V1653" s="1" t="s">
        <v>262</v>
      </c>
      <c r="W1653" s="1" t="s">
        <v>121</v>
      </c>
      <c r="X1653" s="1" t="s">
        <v>582</v>
      </c>
      <c r="Y1653" s="1" t="s">
        <v>583</v>
      </c>
      <c r="Z1653" s="1" t="str">
        <f>TRIM(_xlfn.CONCAT(sales_data_sample[[#This Row],[CONTACTFIRSTNAME]],", ",sales_data_sample[[#This Row],[CONTACTLASTNAME]]))</f>
        <v>Wendy, Victorino</v>
      </c>
      <c r="AA1653" s="1" t="s">
        <v>59</v>
      </c>
    </row>
    <row r="1654" spans="1:27" x14ac:dyDescent="0.25">
      <c r="A1654" s="10">
        <v>10229</v>
      </c>
      <c r="B1654" s="9">
        <v>48</v>
      </c>
      <c r="C1654" s="9">
        <v>100</v>
      </c>
      <c r="D1654" s="9">
        <f>PRODUCT(sales_data_sample[[#This Row],[QUANTITYORDERED]],sales_data_sample[[#This Row],[PRICEEACH]])</f>
        <v>4800</v>
      </c>
      <c r="E1654" s="9">
        <f>IF(OR(sales_data_sample[[#This Row],[STATUS]]="Shipped",sales_data_sample[[#This Row],[STATUS]]="Resolved"),sales_data_sample[[#This Row],[SALES]],0)</f>
        <v>4800</v>
      </c>
      <c r="F1654" s="10">
        <v>6</v>
      </c>
      <c r="G1654" s="12" t="s">
        <v>584</v>
      </c>
      <c r="H1654" s="1" t="s">
        <v>26</v>
      </c>
      <c r="I1654">
        <v>1</v>
      </c>
      <c r="J1654">
        <v>3</v>
      </c>
      <c r="K1654">
        <v>2004</v>
      </c>
      <c r="L1654" s="1" t="s">
        <v>711</v>
      </c>
      <c r="M1654">
        <v>127</v>
      </c>
      <c r="N1654" s="1" t="s">
        <v>959</v>
      </c>
      <c r="O1654" s="1" t="s">
        <v>361</v>
      </c>
      <c r="P1654" s="1" t="s">
        <v>362</v>
      </c>
      <c r="Q1654" s="1" t="s">
        <v>363</v>
      </c>
      <c r="R1654" s="1" t="s">
        <v>32</v>
      </c>
      <c r="S1654" s="1" t="s">
        <v>364</v>
      </c>
      <c r="T1654" s="1" t="s">
        <v>65</v>
      </c>
      <c r="U1654" s="1" t="s">
        <v>145</v>
      </c>
      <c r="V1654" s="1" t="s">
        <v>36</v>
      </c>
      <c r="W1654" s="1" t="s">
        <v>37</v>
      </c>
      <c r="X1654" s="1" t="s">
        <v>365</v>
      </c>
      <c r="Y1654" s="1" t="s">
        <v>366</v>
      </c>
      <c r="Z1654" s="1" t="str">
        <f>TRIM(_xlfn.CONCAT(sales_data_sample[[#This Row],[CONTACTFIRSTNAME]],", ",sales_data_sample[[#This Row],[CONTACTLASTNAME]]))</f>
        <v>Valarie, Nelson</v>
      </c>
      <c r="AA1654" s="1" t="s">
        <v>59</v>
      </c>
    </row>
    <row r="1655" spans="1:27" x14ac:dyDescent="0.25">
      <c r="A1655" s="10">
        <v>10246</v>
      </c>
      <c r="B1655" s="9">
        <v>29</v>
      </c>
      <c r="C1655" s="9">
        <v>100</v>
      </c>
      <c r="D1655" s="9">
        <f>PRODUCT(sales_data_sample[[#This Row],[QUANTITYORDERED]],sales_data_sample[[#This Row],[PRICEEACH]])</f>
        <v>2900</v>
      </c>
      <c r="E1655" s="9">
        <f>IF(OR(sales_data_sample[[#This Row],[STATUS]]="Shipped",sales_data_sample[[#This Row],[STATUS]]="Resolved"),sales_data_sample[[#This Row],[SALES]],0)</f>
        <v>2900</v>
      </c>
      <c r="F1655" s="10">
        <v>10</v>
      </c>
      <c r="G1655" s="12" t="s">
        <v>692</v>
      </c>
      <c r="H1655" s="1" t="s">
        <v>26</v>
      </c>
      <c r="I1655">
        <v>2</v>
      </c>
      <c r="J1655">
        <v>5</v>
      </c>
      <c r="K1655">
        <v>2004</v>
      </c>
      <c r="L1655" s="1" t="s">
        <v>711</v>
      </c>
      <c r="M1655">
        <v>127</v>
      </c>
      <c r="N1655" s="1" t="s">
        <v>959</v>
      </c>
      <c r="O1655" s="1" t="s">
        <v>230</v>
      </c>
      <c r="P1655" s="1" t="s">
        <v>231</v>
      </c>
      <c r="Q1655" s="1" t="s">
        <v>232</v>
      </c>
      <c r="R1655" s="1" t="s">
        <v>32</v>
      </c>
      <c r="S1655" s="1" t="s">
        <v>233</v>
      </c>
      <c r="T1655" s="1" t="s">
        <v>32</v>
      </c>
      <c r="U1655" s="1" t="s">
        <v>234</v>
      </c>
      <c r="V1655" s="1" t="s">
        <v>235</v>
      </c>
      <c r="W1655" s="1" t="s">
        <v>48</v>
      </c>
      <c r="X1655" s="1" t="s">
        <v>236</v>
      </c>
      <c r="Y1655" s="1" t="s">
        <v>237</v>
      </c>
      <c r="Z1655" s="1" t="str">
        <f>TRIM(_xlfn.CONCAT(sales_data_sample[[#This Row],[CONTACTFIRSTNAME]],", ",sales_data_sample[[#This Row],[CONTACTLASTNAME]]))</f>
        <v>Diego, Freyre</v>
      </c>
      <c r="AA1655" s="1" t="s">
        <v>59</v>
      </c>
    </row>
    <row r="1656" spans="1:27" x14ac:dyDescent="0.25">
      <c r="A1656">
        <v>10259</v>
      </c>
      <c r="B1656">
        <v>47</v>
      </c>
      <c r="C1656">
        <v>100</v>
      </c>
      <c r="D1656">
        <f>PRODUCT(sales_data_sample[[#This Row],[QUANTITYORDERED]],sales_data_sample[[#This Row],[PRICEEACH]])</f>
        <v>4700</v>
      </c>
      <c r="E1656" s="9">
        <f>IF(OR(sales_data_sample[[#This Row],[STATUS]]="Shipped",sales_data_sample[[#This Row],[STATUS]]="Resolved"),sales_data_sample[[#This Row],[SALES]],0)</f>
        <v>4700</v>
      </c>
      <c r="F1656">
        <v>9</v>
      </c>
      <c r="G1656" s="12" t="s">
        <v>327</v>
      </c>
      <c r="H1656" s="1" t="s">
        <v>26</v>
      </c>
      <c r="I1656">
        <v>2</v>
      </c>
      <c r="J1656">
        <v>6</v>
      </c>
      <c r="K1656">
        <v>2004</v>
      </c>
      <c r="L1656" s="1" t="s">
        <v>711</v>
      </c>
      <c r="M1656">
        <v>127</v>
      </c>
      <c r="N1656" s="1" t="s">
        <v>959</v>
      </c>
      <c r="O1656" s="1" t="s">
        <v>577</v>
      </c>
      <c r="P1656" s="1" t="s">
        <v>578</v>
      </c>
      <c r="Q1656" s="1" t="s">
        <v>579</v>
      </c>
      <c r="R1656" s="1" t="s">
        <v>580</v>
      </c>
      <c r="S1656" s="1" t="s">
        <v>262</v>
      </c>
      <c r="T1656" s="1" t="s">
        <v>32</v>
      </c>
      <c r="U1656" s="1" t="s">
        <v>581</v>
      </c>
      <c r="V1656" s="1" t="s">
        <v>262</v>
      </c>
      <c r="W1656" s="1" t="s">
        <v>121</v>
      </c>
      <c r="X1656" s="1" t="s">
        <v>582</v>
      </c>
      <c r="Y1656" s="1" t="s">
        <v>583</v>
      </c>
      <c r="Z1656" s="1" t="str">
        <f>TRIM(_xlfn.CONCAT(sales_data_sample[[#This Row],[CONTACTFIRSTNAME]],", ",sales_data_sample[[#This Row],[CONTACTLASTNAME]]))</f>
        <v>Wendy, Victorino</v>
      </c>
      <c r="AA1656" s="1" t="s">
        <v>59</v>
      </c>
    </row>
    <row r="1657" spans="1:27" x14ac:dyDescent="0.25">
      <c r="A1657" s="10">
        <v>10271</v>
      </c>
      <c r="B1657" s="9">
        <v>43</v>
      </c>
      <c r="C1657" s="9">
        <v>100</v>
      </c>
      <c r="D1657" s="9">
        <f>PRODUCT(sales_data_sample[[#This Row],[QUANTITYORDERED]],sales_data_sample[[#This Row],[PRICEEACH]])</f>
        <v>4300</v>
      </c>
      <c r="E1657" s="9">
        <f>IF(OR(sales_data_sample[[#This Row],[STATUS]]="Shipped",sales_data_sample[[#This Row],[STATUS]]="Resolved"),sales_data_sample[[#This Row],[SALES]],0)</f>
        <v>4300</v>
      </c>
      <c r="F1657" s="10">
        <v>10</v>
      </c>
      <c r="G1657" s="12" t="s">
        <v>693</v>
      </c>
      <c r="H1657" s="1" t="s">
        <v>26</v>
      </c>
      <c r="I1657">
        <v>3</v>
      </c>
      <c r="J1657">
        <v>7</v>
      </c>
      <c r="K1657">
        <v>2004</v>
      </c>
      <c r="L1657" s="1" t="s">
        <v>711</v>
      </c>
      <c r="M1657">
        <v>127</v>
      </c>
      <c r="N1657" s="1" t="s">
        <v>959</v>
      </c>
      <c r="O1657" s="1" t="s">
        <v>361</v>
      </c>
      <c r="P1657" s="1" t="s">
        <v>362</v>
      </c>
      <c r="Q1657" s="1" t="s">
        <v>363</v>
      </c>
      <c r="R1657" s="1" t="s">
        <v>32</v>
      </c>
      <c r="S1657" s="1" t="s">
        <v>364</v>
      </c>
      <c r="T1657" s="1" t="s">
        <v>65</v>
      </c>
      <c r="U1657" s="1" t="s">
        <v>145</v>
      </c>
      <c r="V1657" s="1" t="s">
        <v>36</v>
      </c>
      <c r="W1657" s="1" t="s">
        <v>37</v>
      </c>
      <c r="X1657" s="1" t="s">
        <v>365</v>
      </c>
      <c r="Y1657" s="1" t="s">
        <v>366</v>
      </c>
      <c r="Z1657" s="1" t="str">
        <f>TRIM(_xlfn.CONCAT(sales_data_sample[[#This Row],[CONTACTFIRSTNAME]],", ",sales_data_sample[[#This Row],[CONTACTLASTNAME]]))</f>
        <v>Valarie, Nelson</v>
      </c>
      <c r="AA1657" s="1" t="s">
        <v>59</v>
      </c>
    </row>
    <row r="1658" spans="1:27" x14ac:dyDescent="0.25">
      <c r="A1658" s="10">
        <v>10281</v>
      </c>
      <c r="B1658" s="9">
        <v>25</v>
      </c>
      <c r="C1658" s="9">
        <v>100</v>
      </c>
      <c r="D1658" s="9">
        <f>PRODUCT(sales_data_sample[[#This Row],[QUANTITYORDERED]],sales_data_sample[[#This Row],[PRICEEACH]])</f>
        <v>2500</v>
      </c>
      <c r="E1658" s="9">
        <f>IF(OR(sales_data_sample[[#This Row],[STATUS]]="Shipped",sales_data_sample[[#This Row],[STATUS]]="Resolved"),sales_data_sample[[#This Row],[SALES]],0)</f>
        <v>2500</v>
      </c>
      <c r="F1658" s="10">
        <v>6</v>
      </c>
      <c r="G1658" s="12" t="s">
        <v>585</v>
      </c>
      <c r="H1658" s="1" t="s">
        <v>26</v>
      </c>
      <c r="I1658">
        <v>3</v>
      </c>
      <c r="J1658">
        <v>8</v>
      </c>
      <c r="K1658">
        <v>2004</v>
      </c>
      <c r="L1658" s="1" t="s">
        <v>711</v>
      </c>
      <c r="M1658">
        <v>127</v>
      </c>
      <c r="N1658" s="1" t="s">
        <v>959</v>
      </c>
      <c r="O1658" s="1" t="s">
        <v>182</v>
      </c>
      <c r="P1658" s="1" t="s">
        <v>183</v>
      </c>
      <c r="Q1658" s="1" t="s">
        <v>184</v>
      </c>
      <c r="R1658" s="1" t="s">
        <v>32</v>
      </c>
      <c r="S1658" s="1" t="s">
        <v>185</v>
      </c>
      <c r="T1658" s="1" t="s">
        <v>186</v>
      </c>
      <c r="U1658" s="1" t="s">
        <v>187</v>
      </c>
      <c r="V1658" s="1" t="s">
        <v>36</v>
      </c>
      <c r="W1658" s="1" t="s">
        <v>37</v>
      </c>
      <c r="X1658" s="1" t="s">
        <v>38</v>
      </c>
      <c r="Y1658" s="1" t="s">
        <v>188</v>
      </c>
      <c r="Z1658" s="1" t="str">
        <f>TRIM(_xlfn.CONCAT(sales_data_sample[[#This Row],[CONTACTFIRSTNAME]],", ",sales_data_sample[[#This Row],[CONTACTLASTNAME]]))</f>
        <v>Kyung, Yu</v>
      </c>
      <c r="AA1658" s="1" t="s">
        <v>40</v>
      </c>
    </row>
    <row r="1659" spans="1:27" x14ac:dyDescent="0.25">
      <c r="A1659" s="10">
        <v>10291</v>
      </c>
      <c r="B1659" s="9">
        <v>48</v>
      </c>
      <c r="C1659" s="9">
        <v>100</v>
      </c>
      <c r="D1659" s="9">
        <f>PRODUCT(sales_data_sample[[#This Row],[QUANTITYORDERED]],sales_data_sample[[#This Row],[PRICEEACH]])</f>
        <v>4800</v>
      </c>
      <c r="E1659" s="9">
        <f>IF(OR(sales_data_sample[[#This Row],[STATUS]]="Shipped",sales_data_sample[[#This Row],[STATUS]]="Resolved"),sales_data_sample[[#This Row],[SALES]],0)</f>
        <v>4800</v>
      </c>
      <c r="F1659" s="10">
        <v>1</v>
      </c>
      <c r="G1659" s="12" t="s">
        <v>346</v>
      </c>
      <c r="H1659" s="1" t="s">
        <v>26</v>
      </c>
      <c r="I1659">
        <v>3</v>
      </c>
      <c r="J1659">
        <v>9</v>
      </c>
      <c r="K1659">
        <v>2004</v>
      </c>
      <c r="L1659" s="1" t="s">
        <v>711</v>
      </c>
      <c r="M1659">
        <v>127</v>
      </c>
      <c r="N1659" s="1" t="s">
        <v>959</v>
      </c>
      <c r="O1659" s="1" t="s">
        <v>347</v>
      </c>
      <c r="P1659" s="1" t="s">
        <v>348</v>
      </c>
      <c r="Q1659" s="1" t="s">
        <v>349</v>
      </c>
      <c r="R1659" s="1" t="s">
        <v>32</v>
      </c>
      <c r="S1659" s="1" t="s">
        <v>350</v>
      </c>
      <c r="T1659" s="1" t="s">
        <v>32</v>
      </c>
      <c r="U1659" s="1" t="s">
        <v>351</v>
      </c>
      <c r="V1659" s="1" t="s">
        <v>247</v>
      </c>
      <c r="W1659" s="1" t="s">
        <v>48</v>
      </c>
      <c r="X1659" s="1" t="s">
        <v>352</v>
      </c>
      <c r="Y1659" s="1" t="s">
        <v>272</v>
      </c>
      <c r="Z1659" s="1" t="str">
        <f>TRIM(_xlfn.CONCAT(sales_data_sample[[#This Row],[CONTACTFIRSTNAME]],", ",sales_data_sample[[#This Row],[CONTACTLASTNAME]]))</f>
        <v>Maria, Larsson</v>
      </c>
      <c r="AA1659" s="1" t="s">
        <v>59</v>
      </c>
    </row>
    <row r="1660" spans="1:27" x14ac:dyDescent="0.25">
      <c r="A1660" s="10">
        <v>10305</v>
      </c>
      <c r="B1660" s="9">
        <v>24</v>
      </c>
      <c r="C1660" s="9">
        <v>100</v>
      </c>
      <c r="D1660" s="9">
        <f>PRODUCT(sales_data_sample[[#This Row],[QUANTITYORDERED]],sales_data_sample[[#This Row],[PRICEEACH]])</f>
        <v>2400</v>
      </c>
      <c r="E1660" s="9">
        <f>IF(OR(sales_data_sample[[#This Row],[STATUS]]="Shipped",sales_data_sample[[#This Row],[STATUS]]="Resolved"),sales_data_sample[[#This Row],[SALES]],0)</f>
        <v>2400</v>
      </c>
      <c r="F1660" s="10">
        <v>10</v>
      </c>
      <c r="G1660" s="12" t="s">
        <v>586</v>
      </c>
      <c r="H1660" s="1" t="s">
        <v>26</v>
      </c>
      <c r="I1660">
        <v>4</v>
      </c>
      <c r="J1660">
        <v>10</v>
      </c>
      <c r="K1660">
        <v>2004</v>
      </c>
      <c r="L1660" s="1" t="s">
        <v>711</v>
      </c>
      <c r="M1660">
        <v>127</v>
      </c>
      <c r="N1660" s="1" t="s">
        <v>959</v>
      </c>
      <c r="O1660" s="1" t="s">
        <v>156</v>
      </c>
      <c r="P1660" s="1" t="s">
        <v>157</v>
      </c>
      <c r="Q1660" s="1" t="s">
        <v>158</v>
      </c>
      <c r="R1660" s="1" t="s">
        <v>32</v>
      </c>
      <c r="S1660" s="1" t="s">
        <v>159</v>
      </c>
      <c r="T1660" s="1" t="s">
        <v>160</v>
      </c>
      <c r="U1660" s="1" t="s">
        <v>161</v>
      </c>
      <c r="V1660" s="1" t="s">
        <v>36</v>
      </c>
      <c r="W1660" s="1" t="s">
        <v>37</v>
      </c>
      <c r="X1660" s="1" t="s">
        <v>162</v>
      </c>
      <c r="Y1660" s="1" t="s">
        <v>163</v>
      </c>
      <c r="Z1660" s="1" t="str">
        <f>TRIM(_xlfn.CONCAT(sales_data_sample[[#This Row],[CONTACTFIRSTNAME]],", ",sales_data_sample[[#This Row],[CONTACTLASTNAME]]))</f>
        <v>Marta, Hernandez</v>
      </c>
      <c r="AA1660" s="1" t="s">
        <v>59</v>
      </c>
    </row>
    <row r="1661" spans="1:27" x14ac:dyDescent="0.25">
      <c r="A1661" s="10">
        <v>10313</v>
      </c>
      <c r="B1661" s="9">
        <v>42</v>
      </c>
      <c r="C1661" s="9">
        <v>100</v>
      </c>
      <c r="D1661" s="9">
        <f>PRODUCT(sales_data_sample[[#This Row],[QUANTITYORDERED]],sales_data_sample[[#This Row],[PRICEEACH]])</f>
        <v>4200</v>
      </c>
      <c r="E1661" s="9">
        <f>IF(OR(sales_data_sample[[#This Row],[STATUS]]="Shipped",sales_data_sample[[#This Row],[STATUS]]="Resolved"),sales_data_sample[[#This Row],[SALES]],0)</f>
        <v>4200</v>
      </c>
      <c r="F1661" s="10">
        <v>4</v>
      </c>
      <c r="G1661" s="12" t="s">
        <v>587</v>
      </c>
      <c r="H1661" s="1" t="s">
        <v>26</v>
      </c>
      <c r="I1661">
        <v>4</v>
      </c>
      <c r="J1661">
        <v>10</v>
      </c>
      <c r="K1661">
        <v>2004</v>
      </c>
      <c r="L1661" s="1" t="s">
        <v>711</v>
      </c>
      <c r="M1661">
        <v>127</v>
      </c>
      <c r="N1661" s="1" t="s">
        <v>959</v>
      </c>
      <c r="O1661" s="1" t="s">
        <v>299</v>
      </c>
      <c r="P1661" s="1" t="s">
        <v>300</v>
      </c>
      <c r="Q1661" s="1" t="s">
        <v>301</v>
      </c>
      <c r="R1661" s="1" t="s">
        <v>32</v>
      </c>
      <c r="S1661" s="1" t="s">
        <v>302</v>
      </c>
      <c r="T1661" s="1" t="s">
        <v>303</v>
      </c>
      <c r="U1661" s="1" t="s">
        <v>304</v>
      </c>
      <c r="V1661" s="1" t="s">
        <v>305</v>
      </c>
      <c r="W1661" s="1" t="s">
        <v>37</v>
      </c>
      <c r="X1661" s="1" t="s">
        <v>306</v>
      </c>
      <c r="Y1661" s="1" t="s">
        <v>307</v>
      </c>
      <c r="Z1661" s="1" t="str">
        <f>TRIM(_xlfn.CONCAT(sales_data_sample[[#This Row],[CONTACTFIRSTNAME]],", ",sales_data_sample[[#This Row],[CONTACTLASTNAME]]))</f>
        <v>Yoshi, Tannamuri</v>
      </c>
      <c r="AA1661" s="1" t="s">
        <v>59</v>
      </c>
    </row>
    <row r="1662" spans="1:27" x14ac:dyDescent="0.25">
      <c r="A1662">
        <v>10324</v>
      </c>
      <c r="B1662">
        <v>31</v>
      </c>
      <c r="C1662">
        <v>100</v>
      </c>
      <c r="D1662">
        <f>PRODUCT(sales_data_sample[[#This Row],[QUANTITYORDERED]],sales_data_sample[[#This Row],[PRICEEACH]])</f>
        <v>3100</v>
      </c>
      <c r="E1662" s="9">
        <f>IF(OR(sales_data_sample[[#This Row],[STATUS]]="Shipped",sales_data_sample[[#This Row],[STATUS]]="Resolved"),sales_data_sample[[#This Row],[SALES]],0)</f>
        <v>3100</v>
      </c>
      <c r="F1662">
        <v>2</v>
      </c>
      <c r="G1662" s="12" t="s">
        <v>532</v>
      </c>
      <c r="H1662" s="1" t="s">
        <v>26</v>
      </c>
      <c r="I1662">
        <v>4</v>
      </c>
      <c r="J1662">
        <v>11</v>
      </c>
      <c r="K1662">
        <v>2004</v>
      </c>
      <c r="L1662" s="1" t="s">
        <v>711</v>
      </c>
      <c r="M1662">
        <v>127</v>
      </c>
      <c r="N1662" s="1" t="s">
        <v>959</v>
      </c>
      <c r="O1662" s="1" t="s">
        <v>125</v>
      </c>
      <c r="P1662" s="1" t="s">
        <v>126</v>
      </c>
      <c r="Q1662" s="1" t="s">
        <v>127</v>
      </c>
      <c r="R1662" s="1" t="s">
        <v>128</v>
      </c>
      <c r="S1662" s="1" t="s">
        <v>33</v>
      </c>
      <c r="T1662" s="1" t="s">
        <v>34</v>
      </c>
      <c r="U1662" s="1" t="s">
        <v>35</v>
      </c>
      <c r="V1662" s="1" t="s">
        <v>36</v>
      </c>
      <c r="W1662" s="1" t="s">
        <v>37</v>
      </c>
      <c r="X1662" s="1" t="s">
        <v>129</v>
      </c>
      <c r="Y1662" s="1" t="s">
        <v>130</v>
      </c>
      <c r="Z1662" s="1" t="str">
        <f>TRIM(_xlfn.CONCAT(sales_data_sample[[#This Row],[CONTACTFIRSTNAME]],", ",sales_data_sample[[#This Row],[CONTACTLASTNAME]]))</f>
        <v>Michael, Frick</v>
      </c>
      <c r="AA1662" s="1" t="s">
        <v>59</v>
      </c>
    </row>
    <row r="1663" spans="1:27" x14ac:dyDescent="0.25">
      <c r="A1663" s="10">
        <v>10334</v>
      </c>
      <c r="B1663" s="9">
        <v>42</v>
      </c>
      <c r="C1663" s="9">
        <v>100</v>
      </c>
      <c r="D1663" s="9">
        <f>PRODUCT(sales_data_sample[[#This Row],[QUANTITYORDERED]],sales_data_sample[[#This Row],[PRICEEACH]])</f>
        <v>4200</v>
      </c>
      <c r="E1663" s="9">
        <f>IF(OR(sales_data_sample[[#This Row],[STATUS]]="Shipped",sales_data_sample[[#This Row],[STATUS]]="Resolved"),sales_data_sample[[#This Row],[SALES]],0)</f>
        <v>0</v>
      </c>
      <c r="F1663" s="10">
        <v>5</v>
      </c>
      <c r="G1663" s="12" t="s">
        <v>588</v>
      </c>
      <c r="H1663" s="1" t="s">
        <v>553</v>
      </c>
      <c r="I1663">
        <v>4</v>
      </c>
      <c r="J1663">
        <v>11</v>
      </c>
      <c r="K1663">
        <v>2004</v>
      </c>
      <c r="L1663" s="1" t="s">
        <v>711</v>
      </c>
      <c r="M1663">
        <v>127</v>
      </c>
      <c r="N1663" s="1" t="s">
        <v>959</v>
      </c>
      <c r="O1663" s="1" t="s">
        <v>242</v>
      </c>
      <c r="P1663" s="1" t="s">
        <v>243</v>
      </c>
      <c r="Q1663" s="1" t="s">
        <v>244</v>
      </c>
      <c r="R1663" s="1" t="s">
        <v>32</v>
      </c>
      <c r="S1663" s="1" t="s">
        <v>245</v>
      </c>
      <c r="T1663" s="1" t="s">
        <v>32</v>
      </c>
      <c r="U1663" s="1" t="s">
        <v>246</v>
      </c>
      <c r="V1663" s="1" t="s">
        <v>247</v>
      </c>
      <c r="W1663" s="1" t="s">
        <v>48</v>
      </c>
      <c r="X1663" s="1" t="s">
        <v>248</v>
      </c>
      <c r="Y1663" s="1" t="s">
        <v>249</v>
      </c>
      <c r="Z1663" s="1" t="str">
        <f>TRIM(_xlfn.CONCAT(sales_data_sample[[#This Row],[CONTACTFIRSTNAME]],", ",sales_data_sample[[#This Row],[CONTACTLASTNAME]]))</f>
        <v>Christina, Berglund</v>
      </c>
      <c r="AA1663" s="1" t="s">
        <v>59</v>
      </c>
    </row>
    <row r="1664" spans="1:27" x14ac:dyDescent="0.25">
      <c r="A1664" s="10">
        <v>10348</v>
      </c>
      <c r="B1664" s="9">
        <v>37</v>
      </c>
      <c r="C1664" s="9">
        <v>100</v>
      </c>
      <c r="D1664" s="9">
        <f>PRODUCT(sales_data_sample[[#This Row],[QUANTITYORDERED]],sales_data_sample[[#This Row],[PRICEEACH]])</f>
        <v>3700</v>
      </c>
      <c r="E1664" s="9">
        <f>IF(OR(sales_data_sample[[#This Row],[STATUS]]="Shipped",sales_data_sample[[#This Row],[STATUS]]="Resolved"),sales_data_sample[[#This Row],[SALES]],0)</f>
        <v>3700</v>
      </c>
      <c r="F1664" s="10">
        <v>1</v>
      </c>
      <c r="G1664" s="12" t="s">
        <v>523</v>
      </c>
      <c r="H1664" s="1" t="s">
        <v>26</v>
      </c>
      <c r="I1664">
        <v>4</v>
      </c>
      <c r="J1664">
        <v>11</v>
      </c>
      <c r="K1664">
        <v>2004</v>
      </c>
      <c r="L1664" s="1" t="s">
        <v>711</v>
      </c>
      <c r="M1664">
        <v>127</v>
      </c>
      <c r="N1664" s="1" t="s">
        <v>959</v>
      </c>
      <c r="O1664" s="1" t="s">
        <v>251</v>
      </c>
      <c r="P1664" s="1" t="s">
        <v>252</v>
      </c>
      <c r="Q1664" s="1" t="s">
        <v>253</v>
      </c>
      <c r="R1664" s="1" t="s">
        <v>32</v>
      </c>
      <c r="S1664" s="1" t="s">
        <v>233</v>
      </c>
      <c r="T1664" s="1" t="s">
        <v>32</v>
      </c>
      <c r="U1664" s="1" t="s">
        <v>254</v>
      </c>
      <c r="V1664" s="1" t="s">
        <v>235</v>
      </c>
      <c r="W1664" s="1" t="s">
        <v>48</v>
      </c>
      <c r="X1664" s="1" t="s">
        <v>255</v>
      </c>
      <c r="Y1664" s="1" t="s">
        <v>256</v>
      </c>
      <c r="Z1664" s="1" t="str">
        <f>TRIM(_xlfn.CONCAT(sales_data_sample[[#This Row],[CONTACTFIRSTNAME]],", ",sales_data_sample[[#This Row],[CONTACTLASTNAME]]))</f>
        <v>Mart¡n, Sommer</v>
      </c>
      <c r="AA1664" s="1" t="s">
        <v>59</v>
      </c>
    </row>
    <row r="1665" spans="1:27" x14ac:dyDescent="0.25">
      <c r="A1665" s="10">
        <v>10358</v>
      </c>
      <c r="B1665" s="9">
        <v>41</v>
      </c>
      <c r="C1665" s="9">
        <v>100</v>
      </c>
      <c r="D1665" s="9">
        <f>PRODUCT(sales_data_sample[[#This Row],[QUANTITYORDERED]],sales_data_sample[[#This Row],[PRICEEACH]])</f>
        <v>4100</v>
      </c>
      <c r="E1665" s="9">
        <f>IF(OR(sales_data_sample[[#This Row],[STATUS]]="Shipped",sales_data_sample[[#This Row],[STATUS]]="Resolved"),sales_data_sample[[#This Row],[SALES]],0)</f>
        <v>4100</v>
      </c>
      <c r="F1665" s="10">
        <v>7</v>
      </c>
      <c r="G1665" s="12" t="s">
        <v>376</v>
      </c>
      <c r="H1665" s="1" t="s">
        <v>26</v>
      </c>
      <c r="I1665">
        <v>4</v>
      </c>
      <c r="J1665">
        <v>12</v>
      </c>
      <c r="K1665">
        <v>2004</v>
      </c>
      <c r="L1665" s="1" t="s">
        <v>711</v>
      </c>
      <c r="M1665">
        <v>127</v>
      </c>
      <c r="N1665" s="1" t="s">
        <v>959</v>
      </c>
      <c r="O1665" s="1" t="s">
        <v>230</v>
      </c>
      <c r="P1665" s="1" t="s">
        <v>231</v>
      </c>
      <c r="Q1665" s="1" t="s">
        <v>232</v>
      </c>
      <c r="R1665" s="1" t="s">
        <v>32</v>
      </c>
      <c r="S1665" s="1" t="s">
        <v>233</v>
      </c>
      <c r="T1665" s="1" t="s">
        <v>32</v>
      </c>
      <c r="U1665" s="1" t="s">
        <v>234</v>
      </c>
      <c r="V1665" s="1" t="s">
        <v>235</v>
      </c>
      <c r="W1665" s="1" t="s">
        <v>48</v>
      </c>
      <c r="X1665" s="1" t="s">
        <v>236</v>
      </c>
      <c r="Y1665" s="1" t="s">
        <v>237</v>
      </c>
      <c r="Z1665" s="1" t="str">
        <f>TRIM(_xlfn.CONCAT(sales_data_sample[[#This Row],[CONTACTFIRSTNAME]],", ",sales_data_sample[[#This Row],[CONTACTLASTNAME]]))</f>
        <v>Diego, Freyre</v>
      </c>
      <c r="AA1665" s="1" t="s">
        <v>59</v>
      </c>
    </row>
    <row r="1666" spans="1:27" x14ac:dyDescent="0.25">
      <c r="A1666" s="10">
        <v>10371</v>
      </c>
      <c r="B1666" s="9">
        <v>20</v>
      </c>
      <c r="C1666" s="9">
        <v>100</v>
      </c>
      <c r="D1666" s="9">
        <f>PRODUCT(sales_data_sample[[#This Row],[QUANTITYORDERED]],sales_data_sample[[#This Row],[PRICEEACH]])</f>
        <v>2000</v>
      </c>
      <c r="E1666" s="9">
        <f>IF(OR(sales_data_sample[[#This Row],[STATUS]]="Shipped",sales_data_sample[[#This Row],[STATUS]]="Resolved"),sales_data_sample[[#This Row],[SALES]],0)</f>
        <v>2000</v>
      </c>
      <c r="F1666" s="10">
        <v>5</v>
      </c>
      <c r="G1666" s="12" t="s">
        <v>709</v>
      </c>
      <c r="H1666" s="1" t="s">
        <v>26</v>
      </c>
      <c r="I1666">
        <v>1</v>
      </c>
      <c r="J1666">
        <v>1</v>
      </c>
      <c r="K1666">
        <v>2005</v>
      </c>
      <c r="L1666" s="1" t="s">
        <v>711</v>
      </c>
      <c r="M1666">
        <v>127</v>
      </c>
      <c r="N1666" s="1" t="s">
        <v>959</v>
      </c>
      <c r="O1666" s="1" t="s">
        <v>361</v>
      </c>
      <c r="P1666" s="1" t="s">
        <v>362</v>
      </c>
      <c r="Q1666" s="1" t="s">
        <v>363</v>
      </c>
      <c r="R1666" s="1" t="s">
        <v>32</v>
      </c>
      <c r="S1666" s="1" t="s">
        <v>364</v>
      </c>
      <c r="T1666" s="1" t="s">
        <v>65</v>
      </c>
      <c r="U1666" s="1" t="s">
        <v>145</v>
      </c>
      <c r="V1666" s="1" t="s">
        <v>36</v>
      </c>
      <c r="W1666" s="1" t="s">
        <v>37</v>
      </c>
      <c r="X1666" s="1" t="s">
        <v>365</v>
      </c>
      <c r="Y1666" s="1" t="s">
        <v>366</v>
      </c>
      <c r="Z1666" s="1" t="str">
        <f>TRIM(_xlfn.CONCAT(sales_data_sample[[#This Row],[CONTACTFIRSTNAME]],", ",sales_data_sample[[#This Row],[CONTACTLASTNAME]]))</f>
        <v>Valarie, Nelson</v>
      </c>
      <c r="AA1666" s="1" t="s">
        <v>59</v>
      </c>
    </row>
    <row r="1667" spans="1:27" x14ac:dyDescent="0.25">
      <c r="A1667" s="10">
        <v>10382</v>
      </c>
      <c r="B1667" s="9">
        <v>20</v>
      </c>
      <c r="C1667" s="9">
        <v>100</v>
      </c>
      <c r="D1667" s="9">
        <f>PRODUCT(sales_data_sample[[#This Row],[QUANTITYORDERED]],sales_data_sample[[#This Row],[PRICEEACH]])</f>
        <v>2000</v>
      </c>
      <c r="E1667" s="9">
        <f>IF(OR(sales_data_sample[[#This Row],[STATUS]]="Shipped",sales_data_sample[[#This Row],[STATUS]]="Resolved"),sales_data_sample[[#This Row],[SALES]],0)</f>
        <v>2000</v>
      </c>
      <c r="F1667" s="10">
        <v>3</v>
      </c>
      <c r="G1667" s="12" t="s">
        <v>383</v>
      </c>
      <c r="H1667" s="1" t="s">
        <v>26</v>
      </c>
      <c r="I1667">
        <v>1</v>
      </c>
      <c r="J1667">
        <v>2</v>
      </c>
      <c r="K1667">
        <v>2005</v>
      </c>
      <c r="L1667" s="1" t="s">
        <v>711</v>
      </c>
      <c r="M1667">
        <v>127</v>
      </c>
      <c r="N1667" s="1" t="s">
        <v>959</v>
      </c>
      <c r="O1667" s="1" t="s">
        <v>361</v>
      </c>
      <c r="P1667" s="1" t="s">
        <v>362</v>
      </c>
      <c r="Q1667" s="1" t="s">
        <v>363</v>
      </c>
      <c r="R1667" s="1" t="s">
        <v>32</v>
      </c>
      <c r="S1667" s="1" t="s">
        <v>364</v>
      </c>
      <c r="T1667" s="1" t="s">
        <v>65</v>
      </c>
      <c r="U1667" s="1" t="s">
        <v>145</v>
      </c>
      <c r="V1667" s="1" t="s">
        <v>36</v>
      </c>
      <c r="W1667" s="1" t="s">
        <v>37</v>
      </c>
      <c r="X1667" s="1" t="s">
        <v>365</v>
      </c>
      <c r="Y1667" s="1" t="s">
        <v>366</v>
      </c>
      <c r="Z1667" s="1" t="str">
        <f>TRIM(_xlfn.CONCAT(sales_data_sample[[#This Row],[CONTACTFIRSTNAME]],", ",sales_data_sample[[#This Row],[CONTACTLASTNAME]]))</f>
        <v>Valarie, Nelson</v>
      </c>
      <c r="AA1667" s="1" t="s">
        <v>40</v>
      </c>
    </row>
    <row r="1668" spans="1:27" x14ac:dyDescent="0.25">
      <c r="A1668" s="10">
        <v>10412</v>
      </c>
      <c r="B1668" s="9">
        <v>70</v>
      </c>
      <c r="C1668" s="9">
        <v>100</v>
      </c>
      <c r="D1668" s="9">
        <f>PRODUCT(sales_data_sample[[#This Row],[QUANTITYORDERED]],sales_data_sample[[#This Row],[PRICEEACH]])</f>
        <v>7000</v>
      </c>
      <c r="E1668" s="9">
        <f>IF(OR(sales_data_sample[[#This Row],[STATUS]]="Shipped",sales_data_sample[[#This Row],[STATUS]]="Resolved"),sales_data_sample[[#This Row],[SALES]],0)</f>
        <v>7000</v>
      </c>
      <c r="F1668" s="10">
        <v>10</v>
      </c>
      <c r="G1668" s="12" t="s">
        <v>758</v>
      </c>
      <c r="H1668" s="1" t="s">
        <v>26</v>
      </c>
      <c r="I1668">
        <v>2</v>
      </c>
      <c r="J1668">
        <v>5</v>
      </c>
      <c r="K1668">
        <v>2005</v>
      </c>
      <c r="L1668" s="1" t="s">
        <v>711</v>
      </c>
      <c r="M1668">
        <v>127</v>
      </c>
      <c r="N1668" s="1" t="s">
        <v>959</v>
      </c>
      <c r="O1668" s="1" t="s">
        <v>230</v>
      </c>
      <c r="P1668" s="1" t="s">
        <v>231</v>
      </c>
      <c r="Q1668" s="1" t="s">
        <v>232</v>
      </c>
      <c r="R1668" s="1" t="s">
        <v>32</v>
      </c>
      <c r="S1668" s="1" t="s">
        <v>233</v>
      </c>
      <c r="T1668" s="1" t="s">
        <v>32</v>
      </c>
      <c r="U1668" s="1" t="s">
        <v>234</v>
      </c>
      <c r="V1668" s="1" t="s">
        <v>235</v>
      </c>
      <c r="W1668" s="1" t="s">
        <v>48</v>
      </c>
      <c r="X1668" s="1" t="s">
        <v>236</v>
      </c>
      <c r="Y1668" s="1" t="s">
        <v>237</v>
      </c>
      <c r="Z1668" s="1" t="str">
        <f>TRIM(_xlfn.CONCAT(sales_data_sample[[#This Row],[CONTACTFIRSTNAME]],", ",sales_data_sample[[#This Row],[CONTACTLASTNAME]]))</f>
        <v>Diego, Freyre</v>
      </c>
      <c r="AA1668" s="1" t="s">
        <v>199</v>
      </c>
    </row>
    <row r="1669" spans="1:27" x14ac:dyDescent="0.25">
      <c r="A1669" s="10">
        <v>10425</v>
      </c>
      <c r="B1669" s="9">
        <v>49</v>
      </c>
      <c r="C1669" s="9">
        <v>100</v>
      </c>
      <c r="D1669" s="9">
        <f>PRODUCT(sales_data_sample[[#This Row],[QUANTITYORDERED]],sales_data_sample[[#This Row],[PRICEEACH]])</f>
        <v>4900</v>
      </c>
      <c r="E1669" s="9">
        <f>IF(OR(sales_data_sample[[#This Row],[STATUS]]="Shipped",sales_data_sample[[#This Row],[STATUS]]="Resolved"),sales_data_sample[[#This Row],[SALES]],0)</f>
        <v>0</v>
      </c>
      <c r="F1669" s="10">
        <v>9</v>
      </c>
      <c r="G1669" s="12" t="s">
        <v>402</v>
      </c>
      <c r="H1669" s="1" t="s">
        <v>403</v>
      </c>
      <c r="I1669">
        <v>2</v>
      </c>
      <c r="J1669">
        <v>5</v>
      </c>
      <c r="K1669">
        <v>2005</v>
      </c>
      <c r="L1669" s="1" t="s">
        <v>711</v>
      </c>
      <c r="M1669">
        <v>127</v>
      </c>
      <c r="N1669" s="1" t="s">
        <v>959</v>
      </c>
      <c r="O1669" s="1" t="s">
        <v>148</v>
      </c>
      <c r="P1669" s="1" t="s">
        <v>149</v>
      </c>
      <c r="Q1669" s="1" t="s">
        <v>150</v>
      </c>
      <c r="R1669" s="1" t="s">
        <v>32</v>
      </c>
      <c r="S1669" s="1" t="s">
        <v>151</v>
      </c>
      <c r="T1669" s="1" t="s">
        <v>32</v>
      </c>
      <c r="U1669" s="1" t="s">
        <v>152</v>
      </c>
      <c r="V1669" s="1" t="s">
        <v>47</v>
      </c>
      <c r="W1669" s="1" t="s">
        <v>48</v>
      </c>
      <c r="X1669" s="1" t="s">
        <v>153</v>
      </c>
      <c r="Y1669" s="1" t="s">
        <v>154</v>
      </c>
      <c r="Z1669" s="1" t="str">
        <f>TRIM(_xlfn.CONCAT(sales_data_sample[[#This Row],[CONTACTFIRSTNAME]],", ",sales_data_sample[[#This Row],[CONTACTLASTNAME]]))</f>
        <v>Janine, Labrune</v>
      </c>
      <c r="AA1669" s="1" t="s">
        <v>59</v>
      </c>
    </row>
    <row r="1670" spans="1:27" x14ac:dyDescent="0.25">
      <c r="A1670" s="10">
        <v>10108</v>
      </c>
      <c r="B1670" s="9">
        <v>35</v>
      </c>
      <c r="C1670" s="9">
        <v>5887</v>
      </c>
      <c r="D1670" s="9">
        <f>PRODUCT(sales_data_sample[[#This Row],[QUANTITYORDERED]],sales_data_sample[[#This Row],[PRICEEACH]])</f>
        <v>206045</v>
      </c>
      <c r="E1670" s="9">
        <f>IF(OR(sales_data_sample[[#This Row],[STATUS]]="Shipped",sales_data_sample[[#This Row],[STATUS]]="Resolved"),sales_data_sample[[#This Row],[SALES]],0)</f>
        <v>206045</v>
      </c>
      <c r="F1670" s="10">
        <v>15</v>
      </c>
      <c r="G1670" s="12" t="s">
        <v>589</v>
      </c>
      <c r="H1670" s="1" t="s">
        <v>26</v>
      </c>
      <c r="I1670">
        <v>1</v>
      </c>
      <c r="J1670">
        <v>3</v>
      </c>
      <c r="K1670">
        <v>2003</v>
      </c>
      <c r="L1670" s="1" t="s">
        <v>27</v>
      </c>
      <c r="M1670">
        <v>69</v>
      </c>
      <c r="N1670" s="1" t="s">
        <v>960</v>
      </c>
      <c r="O1670" s="1" t="s">
        <v>591</v>
      </c>
      <c r="P1670" s="1" t="s">
        <v>592</v>
      </c>
      <c r="Q1670" s="1" t="s">
        <v>593</v>
      </c>
      <c r="R1670" s="1" t="s">
        <v>32</v>
      </c>
      <c r="S1670" s="1" t="s">
        <v>594</v>
      </c>
      <c r="T1670" s="1" t="s">
        <v>32</v>
      </c>
      <c r="U1670" s="1" t="s">
        <v>595</v>
      </c>
      <c r="V1670" s="1" t="s">
        <v>596</v>
      </c>
      <c r="W1670" s="1" t="s">
        <v>264</v>
      </c>
      <c r="X1670" s="1" t="s">
        <v>597</v>
      </c>
      <c r="Y1670" s="1" t="s">
        <v>598</v>
      </c>
      <c r="Z1670" s="1" t="str">
        <f>TRIM(_xlfn.CONCAT(sales_data_sample[[#This Row],[CONTACTFIRSTNAME]],", ",sales_data_sample[[#This Row],[CONTACTLASTNAME]]))</f>
        <v>Arnold, Cruz</v>
      </c>
      <c r="AA1670" s="1" t="s">
        <v>40</v>
      </c>
    </row>
    <row r="1671" spans="1:27" x14ac:dyDescent="0.25">
      <c r="A1671" s="10">
        <v>10121</v>
      </c>
      <c r="B1671" s="9">
        <v>32</v>
      </c>
      <c r="C1671" s="9">
        <v>7688</v>
      </c>
      <c r="D1671" s="9">
        <f>PRODUCT(sales_data_sample[[#This Row],[QUANTITYORDERED]],sales_data_sample[[#This Row],[PRICEEACH]])</f>
        <v>246016</v>
      </c>
      <c r="E1671" s="9">
        <f>IF(OR(sales_data_sample[[#This Row],[STATUS]]="Shipped",sales_data_sample[[#This Row],[STATUS]]="Resolved"),sales_data_sample[[#This Row],[SALES]],0)</f>
        <v>246016</v>
      </c>
      <c r="F1671" s="10">
        <v>2</v>
      </c>
      <c r="G1671" s="12" t="s">
        <v>41</v>
      </c>
      <c r="H1671" s="1" t="s">
        <v>26</v>
      </c>
      <c r="I1671">
        <v>2</v>
      </c>
      <c r="J1671">
        <v>5</v>
      </c>
      <c r="K1671">
        <v>2003</v>
      </c>
      <c r="L1671" s="1" t="s">
        <v>27</v>
      </c>
      <c r="M1671">
        <v>69</v>
      </c>
      <c r="N1671" s="1" t="s">
        <v>960</v>
      </c>
      <c r="O1671" s="1" t="s">
        <v>42</v>
      </c>
      <c r="P1671" s="1" t="s">
        <v>43</v>
      </c>
      <c r="Q1671" s="1" t="s">
        <v>44</v>
      </c>
      <c r="R1671" s="1" t="s">
        <v>32</v>
      </c>
      <c r="S1671" s="1" t="s">
        <v>45</v>
      </c>
      <c r="T1671" s="1" t="s">
        <v>32</v>
      </c>
      <c r="U1671" s="1" t="s">
        <v>46</v>
      </c>
      <c r="V1671" s="1" t="s">
        <v>47</v>
      </c>
      <c r="W1671" s="1" t="s">
        <v>48</v>
      </c>
      <c r="X1671" s="1" t="s">
        <v>49</v>
      </c>
      <c r="Y1671" s="1" t="s">
        <v>50</v>
      </c>
      <c r="Z1671" s="1" t="str">
        <f>TRIM(_xlfn.CONCAT(sales_data_sample[[#This Row],[CONTACTFIRSTNAME]],", ",sales_data_sample[[#This Row],[CONTACTLASTNAME]]))</f>
        <v>Paul, Henriot</v>
      </c>
      <c r="AA1671" s="1" t="s">
        <v>40</v>
      </c>
    </row>
    <row r="1672" spans="1:27" x14ac:dyDescent="0.25">
      <c r="A1672" s="10">
        <v>10135</v>
      </c>
      <c r="B1672" s="9">
        <v>29</v>
      </c>
      <c r="C1672" s="9">
        <v>6164</v>
      </c>
      <c r="D1672" s="9">
        <f>PRODUCT(sales_data_sample[[#This Row],[QUANTITYORDERED]],sales_data_sample[[#This Row],[PRICEEACH]])</f>
        <v>178756</v>
      </c>
      <c r="E1672" s="9">
        <f>IF(OR(sales_data_sample[[#This Row],[STATUS]]="Shipped",sales_data_sample[[#This Row],[STATUS]]="Resolved"),sales_data_sample[[#This Row],[SALES]],0)</f>
        <v>178756</v>
      </c>
      <c r="F1672" s="10">
        <v>16</v>
      </c>
      <c r="G1672" s="12" t="s">
        <v>607</v>
      </c>
      <c r="H1672" s="1" t="s">
        <v>26</v>
      </c>
      <c r="I1672">
        <v>3</v>
      </c>
      <c r="J1672">
        <v>7</v>
      </c>
      <c r="K1672">
        <v>2003</v>
      </c>
      <c r="L1672" s="1" t="s">
        <v>27</v>
      </c>
      <c r="M1672">
        <v>69</v>
      </c>
      <c r="N1672" s="1" t="s">
        <v>960</v>
      </c>
      <c r="O1672" s="1" t="s">
        <v>361</v>
      </c>
      <c r="P1672" s="1" t="s">
        <v>362</v>
      </c>
      <c r="Q1672" s="1" t="s">
        <v>363</v>
      </c>
      <c r="R1672" s="1" t="s">
        <v>32</v>
      </c>
      <c r="S1672" s="1" t="s">
        <v>364</v>
      </c>
      <c r="T1672" s="1" t="s">
        <v>65</v>
      </c>
      <c r="U1672" s="1" t="s">
        <v>145</v>
      </c>
      <c r="V1672" s="1" t="s">
        <v>36</v>
      </c>
      <c r="W1672" s="1" t="s">
        <v>37</v>
      </c>
      <c r="X1672" s="1" t="s">
        <v>365</v>
      </c>
      <c r="Y1672" s="1" t="s">
        <v>366</v>
      </c>
      <c r="Z1672" s="1" t="str">
        <f>TRIM(_xlfn.CONCAT(sales_data_sample[[#This Row],[CONTACTFIRSTNAME]],", ",sales_data_sample[[#This Row],[CONTACTLASTNAME]]))</f>
        <v>Valarie, Nelson</v>
      </c>
      <c r="AA1672" s="1" t="s">
        <v>40</v>
      </c>
    </row>
    <row r="1673" spans="1:27" x14ac:dyDescent="0.25">
      <c r="A1673" s="10">
        <v>10145</v>
      </c>
      <c r="B1673" s="9">
        <v>27</v>
      </c>
      <c r="C1673" s="9">
        <v>6095</v>
      </c>
      <c r="D1673" s="9">
        <f>PRODUCT(sales_data_sample[[#This Row],[QUANTITYORDERED]],sales_data_sample[[#This Row],[PRICEEACH]])</f>
        <v>164565</v>
      </c>
      <c r="E1673" s="9">
        <f>IF(OR(sales_data_sample[[#This Row],[STATUS]]="Shipped",sales_data_sample[[#This Row],[STATUS]]="Resolved"),sales_data_sample[[#This Row],[SALES]],0)</f>
        <v>164565</v>
      </c>
      <c r="F1673" s="10">
        <v>3</v>
      </c>
      <c r="G1673" s="12" t="s">
        <v>60</v>
      </c>
      <c r="H1673" s="1" t="s">
        <v>26</v>
      </c>
      <c r="I1673">
        <v>3</v>
      </c>
      <c r="J1673">
        <v>8</v>
      </c>
      <c r="K1673">
        <v>2003</v>
      </c>
      <c r="L1673" s="1" t="s">
        <v>27</v>
      </c>
      <c r="M1673">
        <v>69</v>
      </c>
      <c r="N1673" s="1" t="s">
        <v>960</v>
      </c>
      <c r="O1673" s="1" t="s">
        <v>61</v>
      </c>
      <c r="P1673" s="1" t="s">
        <v>62</v>
      </c>
      <c r="Q1673" s="1" t="s">
        <v>63</v>
      </c>
      <c r="R1673" s="1" t="s">
        <v>32</v>
      </c>
      <c r="S1673" s="1" t="s">
        <v>64</v>
      </c>
      <c r="T1673" s="1" t="s">
        <v>65</v>
      </c>
      <c r="U1673" s="1" t="s">
        <v>66</v>
      </c>
      <c r="V1673" s="1" t="s">
        <v>36</v>
      </c>
      <c r="W1673" s="1" t="s">
        <v>37</v>
      </c>
      <c r="X1673" s="1" t="s">
        <v>67</v>
      </c>
      <c r="Y1673" s="1" t="s">
        <v>68</v>
      </c>
      <c r="Z1673" s="1" t="str">
        <f>TRIM(_xlfn.CONCAT(sales_data_sample[[#This Row],[CONTACTFIRSTNAME]],", ",sales_data_sample[[#This Row],[CONTACTLASTNAME]]))</f>
        <v>Julie, Young</v>
      </c>
      <c r="AA1673" s="1" t="s">
        <v>40</v>
      </c>
    </row>
    <row r="1674" spans="1:27" x14ac:dyDescent="0.25">
      <c r="A1674" s="10">
        <v>10159</v>
      </c>
      <c r="B1674" s="9">
        <v>27</v>
      </c>
      <c r="C1674" s="9">
        <v>8034</v>
      </c>
      <c r="D1674" s="9">
        <f>PRODUCT(sales_data_sample[[#This Row],[QUANTITYORDERED]],sales_data_sample[[#This Row],[PRICEEACH]])</f>
        <v>216918</v>
      </c>
      <c r="E1674" s="9">
        <f>IF(OR(sales_data_sample[[#This Row],[STATUS]]="Shipped",sales_data_sample[[#This Row],[STATUS]]="Resolved"),sales_data_sample[[#This Row],[SALES]],0)</f>
        <v>216918</v>
      </c>
      <c r="F1674" s="10">
        <v>11</v>
      </c>
      <c r="G1674" s="12" t="s">
        <v>69</v>
      </c>
      <c r="H1674" s="1" t="s">
        <v>26</v>
      </c>
      <c r="I1674">
        <v>4</v>
      </c>
      <c r="J1674">
        <v>10</v>
      </c>
      <c r="K1674">
        <v>2003</v>
      </c>
      <c r="L1674" s="1" t="s">
        <v>27</v>
      </c>
      <c r="M1674">
        <v>69</v>
      </c>
      <c r="N1674" s="1" t="s">
        <v>960</v>
      </c>
      <c r="O1674" s="1" t="s">
        <v>70</v>
      </c>
      <c r="P1674" s="1" t="s">
        <v>71</v>
      </c>
      <c r="Q1674" s="1" t="s">
        <v>72</v>
      </c>
      <c r="R1674" s="1" t="s">
        <v>32</v>
      </c>
      <c r="S1674" s="1" t="s">
        <v>73</v>
      </c>
      <c r="T1674" s="1" t="s">
        <v>65</v>
      </c>
      <c r="U1674" s="1" t="s">
        <v>32</v>
      </c>
      <c r="V1674" s="1" t="s">
        <v>36</v>
      </c>
      <c r="W1674" s="1" t="s">
        <v>37</v>
      </c>
      <c r="X1674" s="1" t="s">
        <v>74</v>
      </c>
      <c r="Y1674" s="1" t="s">
        <v>68</v>
      </c>
      <c r="Z1674" s="1" t="str">
        <f>TRIM(_xlfn.CONCAT(sales_data_sample[[#This Row],[CONTACTFIRSTNAME]],", ",sales_data_sample[[#This Row],[CONTACTLASTNAME]]))</f>
        <v>Julie, Brown</v>
      </c>
      <c r="AA1674" s="1" t="s">
        <v>40</v>
      </c>
    </row>
    <row r="1675" spans="1:27" x14ac:dyDescent="0.25">
      <c r="A1675">
        <v>10169</v>
      </c>
      <c r="B1675">
        <v>38</v>
      </c>
      <c r="C1675">
        <v>7411</v>
      </c>
      <c r="D1675">
        <f>PRODUCT(sales_data_sample[[#This Row],[QUANTITYORDERED]],sales_data_sample[[#This Row],[PRICEEACH]])</f>
        <v>281618</v>
      </c>
      <c r="E1675" s="9">
        <f>IF(OR(sales_data_sample[[#This Row],[STATUS]]="Shipped",sales_data_sample[[#This Row],[STATUS]]="Resolved"),sales_data_sample[[#This Row],[SALES]],0)</f>
        <v>281618</v>
      </c>
      <c r="F1675">
        <v>11</v>
      </c>
      <c r="G1675" s="12" t="s">
        <v>609</v>
      </c>
      <c r="H1675" s="1" t="s">
        <v>26</v>
      </c>
      <c r="I1675">
        <v>4</v>
      </c>
      <c r="J1675">
        <v>11</v>
      </c>
      <c r="K1675">
        <v>2003</v>
      </c>
      <c r="L1675" s="1" t="s">
        <v>27</v>
      </c>
      <c r="M1675">
        <v>69</v>
      </c>
      <c r="N1675" s="1" t="s">
        <v>960</v>
      </c>
      <c r="O1675" s="1" t="s">
        <v>385</v>
      </c>
      <c r="P1675" s="1" t="s">
        <v>386</v>
      </c>
      <c r="Q1675" s="1" t="s">
        <v>387</v>
      </c>
      <c r="R1675" s="1" t="s">
        <v>388</v>
      </c>
      <c r="S1675" s="1" t="s">
        <v>389</v>
      </c>
      <c r="T1675" s="1" t="s">
        <v>206</v>
      </c>
      <c r="U1675" s="1" t="s">
        <v>390</v>
      </c>
      <c r="V1675" s="1" t="s">
        <v>120</v>
      </c>
      <c r="W1675" s="1" t="s">
        <v>121</v>
      </c>
      <c r="X1675" s="1" t="s">
        <v>391</v>
      </c>
      <c r="Y1675" s="1" t="s">
        <v>392</v>
      </c>
      <c r="Z1675" s="1" t="str">
        <f>TRIM(_xlfn.CONCAT(sales_data_sample[[#This Row],[CONTACTFIRSTNAME]],", ",sales_data_sample[[#This Row],[CONTACTLASTNAME]]))</f>
        <v>Anna, O'Hara</v>
      </c>
      <c r="AA1675" s="1" t="s">
        <v>40</v>
      </c>
    </row>
    <row r="1676" spans="1:27" x14ac:dyDescent="0.25">
      <c r="A1676" s="10">
        <v>10180</v>
      </c>
      <c r="B1676" s="9">
        <v>35</v>
      </c>
      <c r="C1676" s="9">
        <v>7203</v>
      </c>
      <c r="D1676" s="9">
        <f>PRODUCT(sales_data_sample[[#This Row],[QUANTITYORDERED]],sales_data_sample[[#This Row],[PRICEEACH]])</f>
        <v>252105</v>
      </c>
      <c r="E1676" s="9">
        <f>IF(OR(sales_data_sample[[#This Row],[STATUS]]="Shipped",sales_data_sample[[#This Row],[STATUS]]="Resolved"),sales_data_sample[[#This Row],[SALES]],0)</f>
        <v>252105</v>
      </c>
      <c r="F1676" s="10">
        <v>6</v>
      </c>
      <c r="G1676" s="12" t="s">
        <v>83</v>
      </c>
      <c r="H1676" s="1" t="s">
        <v>26</v>
      </c>
      <c r="I1676">
        <v>4</v>
      </c>
      <c r="J1676">
        <v>11</v>
      </c>
      <c r="K1676">
        <v>2003</v>
      </c>
      <c r="L1676" s="1" t="s">
        <v>27</v>
      </c>
      <c r="M1676">
        <v>69</v>
      </c>
      <c r="N1676" s="1" t="s">
        <v>960</v>
      </c>
      <c r="O1676" s="1" t="s">
        <v>84</v>
      </c>
      <c r="P1676" s="1" t="s">
        <v>85</v>
      </c>
      <c r="Q1676" s="1" t="s">
        <v>86</v>
      </c>
      <c r="R1676" s="1" t="s">
        <v>32</v>
      </c>
      <c r="S1676" s="1" t="s">
        <v>87</v>
      </c>
      <c r="T1676" s="1" t="s">
        <v>32</v>
      </c>
      <c r="U1676" s="1" t="s">
        <v>88</v>
      </c>
      <c r="V1676" s="1" t="s">
        <v>47</v>
      </c>
      <c r="W1676" s="1" t="s">
        <v>48</v>
      </c>
      <c r="X1676" s="1" t="s">
        <v>89</v>
      </c>
      <c r="Y1676" s="1" t="s">
        <v>90</v>
      </c>
      <c r="Z1676" s="1" t="str">
        <f>TRIM(_xlfn.CONCAT(sales_data_sample[[#This Row],[CONTACTFIRSTNAME]],", ",sales_data_sample[[#This Row],[CONTACTLASTNAME]]))</f>
        <v>Martine, Rance</v>
      </c>
      <c r="AA1676" s="1" t="s">
        <v>40</v>
      </c>
    </row>
    <row r="1677" spans="1:27" x14ac:dyDescent="0.25">
      <c r="A1677" s="10">
        <v>10190</v>
      </c>
      <c r="B1677" s="9">
        <v>42</v>
      </c>
      <c r="C1677" s="9">
        <v>7619</v>
      </c>
      <c r="D1677" s="9">
        <f>PRODUCT(sales_data_sample[[#This Row],[QUANTITYORDERED]],sales_data_sample[[#This Row],[PRICEEACH]])</f>
        <v>319998</v>
      </c>
      <c r="E1677" s="9">
        <f>IF(OR(sales_data_sample[[#This Row],[STATUS]]="Shipped",sales_data_sample[[#This Row],[STATUS]]="Resolved"),sales_data_sample[[#This Row],[SALES]],0)</f>
        <v>319998</v>
      </c>
      <c r="F1677" s="10">
        <v>3</v>
      </c>
      <c r="G1677" s="12" t="s">
        <v>961</v>
      </c>
      <c r="H1677" s="1" t="s">
        <v>26</v>
      </c>
      <c r="I1677">
        <v>4</v>
      </c>
      <c r="J1677">
        <v>11</v>
      </c>
      <c r="K1677">
        <v>2003</v>
      </c>
      <c r="L1677" s="1" t="s">
        <v>27</v>
      </c>
      <c r="M1677">
        <v>69</v>
      </c>
      <c r="N1677" s="1" t="s">
        <v>960</v>
      </c>
      <c r="O1677" s="1" t="s">
        <v>230</v>
      </c>
      <c r="P1677" s="1" t="s">
        <v>231</v>
      </c>
      <c r="Q1677" s="1" t="s">
        <v>232</v>
      </c>
      <c r="R1677" s="1" t="s">
        <v>32</v>
      </c>
      <c r="S1677" s="1" t="s">
        <v>233</v>
      </c>
      <c r="T1677" s="1" t="s">
        <v>32</v>
      </c>
      <c r="U1677" s="1" t="s">
        <v>234</v>
      </c>
      <c r="V1677" s="1" t="s">
        <v>235</v>
      </c>
      <c r="W1677" s="1" t="s">
        <v>48</v>
      </c>
      <c r="X1677" s="1" t="s">
        <v>236</v>
      </c>
      <c r="Y1677" s="1" t="s">
        <v>237</v>
      </c>
      <c r="Z1677" s="1" t="str">
        <f>TRIM(_xlfn.CONCAT(sales_data_sample[[#This Row],[CONTACTFIRSTNAME]],", ",sales_data_sample[[#This Row],[CONTACTLASTNAME]]))</f>
        <v>Diego, Freyre</v>
      </c>
      <c r="AA1677" s="1" t="s">
        <v>59</v>
      </c>
    </row>
    <row r="1678" spans="1:27" x14ac:dyDescent="0.25">
      <c r="A1678" s="10">
        <v>10211</v>
      </c>
      <c r="B1678" s="9">
        <v>21</v>
      </c>
      <c r="C1678" s="9">
        <v>6372</v>
      </c>
      <c r="D1678" s="9">
        <f>PRODUCT(sales_data_sample[[#This Row],[QUANTITYORDERED]],sales_data_sample[[#This Row],[PRICEEACH]])</f>
        <v>133812</v>
      </c>
      <c r="E1678" s="9">
        <f>IF(OR(sales_data_sample[[#This Row],[STATUS]]="Shipped",sales_data_sample[[#This Row],[STATUS]]="Resolved"),sales_data_sample[[#This Row],[SALES]],0)</f>
        <v>133812</v>
      </c>
      <c r="F1678" s="10">
        <v>11</v>
      </c>
      <c r="G1678" s="12" t="s">
        <v>105</v>
      </c>
      <c r="H1678" s="1" t="s">
        <v>26</v>
      </c>
      <c r="I1678">
        <v>1</v>
      </c>
      <c r="J1678">
        <v>1</v>
      </c>
      <c r="K1678">
        <v>2004</v>
      </c>
      <c r="L1678" s="1" t="s">
        <v>27</v>
      </c>
      <c r="M1678">
        <v>69</v>
      </c>
      <c r="N1678" s="1" t="s">
        <v>960</v>
      </c>
      <c r="O1678" s="1" t="s">
        <v>106</v>
      </c>
      <c r="P1678" s="1" t="s">
        <v>107</v>
      </c>
      <c r="Q1678" s="1" t="s">
        <v>108</v>
      </c>
      <c r="R1678" s="1" t="s">
        <v>32</v>
      </c>
      <c r="S1678" s="1" t="s">
        <v>55</v>
      </c>
      <c r="T1678" s="1" t="s">
        <v>32</v>
      </c>
      <c r="U1678" s="1" t="s">
        <v>109</v>
      </c>
      <c r="V1678" s="1" t="s">
        <v>47</v>
      </c>
      <c r="W1678" s="1" t="s">
        <v>48</v>
      </c>
      <c r="X1678" s="1" t="s">
        <v>110</v>
      </c>
      <c r="Y1678" s="1" t="s">
        <v>111</v>
      </c>
      <c r="Z1678" s="1" t="str">
        <f>TRIM(_xlfn.CONCAT(sales_data_sample[[#This Row],[CONTACTFIRSTNAME]],", ",sales_data_sample[[#This Row],[CONTACTLASTNAME]]))</f>
        <v>Dominique, Perrier</v>
      </c>
      <c r="AA1678" s="1" t="s">
        <v>40</v>
      </c>
    </row>
    <row r="1679" spans="1:27" x14ac:dyDescent="0.25">
      <c r="A1679" s="10">
        <v>10224</v>
      </c>
      <c r="B1679" s="9">
        <v>37</v>
      </c>
      <c r="C1679" s="9">
        <v>8034</v>
      </c>
      <c r="D1679" s="9">
        <f>PRODUCT(sales_data_sample[[#This Row],[QUANTITYORDERED]],sales_data_sample[[#This Row],[PRICEEACH]])</f>
        <v>297258</v>
      </c>
      <c r="E1679" s="9">
        <f>IF(OR(sales_data_sample[[#This Row],[STATUS]]="Shipped",sales_data_sample[[#This Row],[STATUS]]="Resolved"),sales_data_sample[[#This Row],[SALES]],0)</f>
        <v>297258</v>
      </c>
      <c r="F1679" s="10">
        <v>4</v>
      </c>
      <c r="G1679" s="12" t="s">
        <v>716</v>
      </c>
      <c r="H1679" s="1" t="s">
        <v>26</v>
      </c>
      <c r="I1679">
        <v>1</v>
      </c>
      <c r="J1679">
        <v>2</v>
      </c>
      <c r="K1679">
        <v>2004</v>
      </c>
      <c r="L1679" s="1" t="s">
        <v>27</v>
      </c>
      <c r="M1679">
        <v>69</v>
      </c>
      <c r="N1679" s="1" t="s">
        <v>960</v>
      </c>
      <c r="O1679" s="1" t="s">
        <v>84</v>
      </c>
      <c r="P1679" s="1" t="s">
        <v>85</v>
      </c>
      <c r="Q1679" s="1" t="s">
        <v>86</v>
      </c>
      <c r="R1679" s="1" t="s">
        <v>32</v>
      </c>
      <c r="S1679" s="1" t="s">
        <v>87</v>
      </c>
      <c r="T1679" s="1" t="s">
        <v>32</v>
      </c>
      <c r="U1679" s="1" t="s">
        <v>88</v>
      </c>
      <c r="V1679" s="1" t="s">
        <v>47</v>
      </c>
      <c r="W1679" s="1" t="s">
        <v>48</v>
      </c>
      <c r="X1679" s="1" t="s">
        <v>89</v>
      </c>
      <c r="Y1679" s="1" t="s">
        <v>90</v>
      </c>
      <c r="Z1679" s="1" t="str">
        <f>TRIM(_xlfn.CONCAT(sales_data_sample[[#This Row],[CONTACTFIRSTNAME]],", ",sales_data_sample[[#This Row],[CONTACTLASTNAME]]))</f>
        <v>Martine, Rance</v>
      </c>
      <c r="AA1679" s="1" t="s">
        <v>40</v>
      </c>
    </row>
    <row r="1680" spans="1:27" x14ac:dyDescent="0.25">
      <c r="A1680">
        <v>10237</v>
      </c>
      <c r="B1680">
        <v>26</v>
      </c>
      <c r="C1680">
        <v>7965</v>
      </c>
      <c r="D1680">
        <f>PRODUCT(sales_data_sample[[#This Row],[QUANTITYORDERED]],sales_data_sample[[#This Row],[PRICEEACH]])</f>
        <v>207090</v>
      </c>
      <c r="E1680" s="9">
        <f>IF(OR(sales_data_sample[[#This Row],[STATUS]]="Shipped",sales_data_sample[[#This Row],[STATUS]]="Resolved"),sales_data_sample[[#This Row],[SALES]],0)</f>
        <v>207090</v>
      </c>
      <c r="F1680">
        <v>4</v>
      </c>
      <c r="G1680" s="12" t="s">
        <v>124</v>
      </c>
      <c r="H1680" s="1" t="s">
        <v>26</v>
      </c>
      <c r="I1680">
        <v>2</v>
      </c>
      <c r="J1680">
        <v>4</v>
      </c>
      <c r="K1680">
        <v>2004</v>
      </c>
      <c r="L1680" s="1" t="s">
        <v>27</v>
      </c>
      <c r="M1680">
        <v>69</v>
      </c>
      <c r="N1680" s="1" t="s">
        <v>960</v>
      </c>
      <c r="O1680" s="1" t="s">
        <v>125</v>
      </c>
      <c r="P1680" s="1" t="s">
        <v>126</v>
      </c>
      <c r="Q1680" s="1" t="s">
        <v>127</v>
      </c>
      <c r="R1680" s="1" t="s">
        <v>128</v>
      </c>
      <c r="S1680" s="1" t="s">
        <v>33</v>
      </c>
      <c r="T1680" s="1" t="s">
        <v>34</v>
      </c>
      <c r="U1680" s="1" t="s">
        <v>35</v>
      </c>
      <c r="V1680" s="1" t="s">
        <v>36</v>
      </c>
      <c r="W1680" s="1" t="s">
        <v>37</v>
      </c>
      <c r="X1680" s="1" t="s">
        <v>129</v>
      </c>
      <c r="Y1680" s="1" t="s">
        <v>130</v>
      </c>
      <c r="Z1680" s="1" t="str">
        <f>TRIM(_xlfn.CONCAT(sales_data_sample[[#This Row],[CONTACTFIRSTNAME]],", ",sales_data_sample[[#This Row],[CONTACTLASTNAME]]))</f>
        <v>Michael, Frick</v>
      </c>
      <c r="AA1680" s="1" t="s">
        <v>40</v>
      </c>
    </row>
    <row r="1681" spans="1:27" x14ac:dyDescent="0.25">
      <c r="A1681" s="10">
        <v>10252</v>
      </c>
      <c r="B1681" s="9">
        <v>47</v>
      </c>
      <c r="C1681" s="9">
        <v>658</v>
      </c>
      <c r="D1681" s="9">
        <f>PRODUCT(sales_data_sample[[#This Row],[QUANTITYORDERED]],sales_data_sample[[#This Row],[PRICEEACH]])</f>
        <v>30926</v>
      </c>
      <c r="E1681" s="9">
        <f>IF(OR(sales_data_sample[[#This Row],[STATUS]]="Shipped",sales_data_sample[[#This Row],[STATUS]]="Resolved"),sales_data_sample[[#This Row],[SALES]],0)</f>
        <v>30926</v>
      </c>
      <c r="F1681" s="10">
        <v>8</v>
      </c>
      <c r="G1681" s="12" t="s">
        <v>922</v>
      </c>
      <c r="H1681" s="1" t="s">
        <v>26</v>
      </c>
      <c r="I1681">
        <v>2</v>
      </c>
      <c r="J1681">
        <v>5</v>
      </c>
      <c r="K1681">
        <v>2004</v>
      </c>
      <c r="L1681" s="1" t="s">
        <v>27</v>
      </c>
      <c r="M1681">
        <v>69</v>
      </c>
      <c r="N1681" s="1" t="s">
        <v>960</v>
      </c>
      <c r="O1681" s="1" t="s">
        <v>106</v>
      </c>
      <c r="P1681" s="1" t="s">
        <v>107</v>
      </c>
      <c r="Q1681" s="1" t="s">
        <v>108</v>
      </c>
      <c r="R1681" s="1" t="s">
        <v>32</v>
      </c>
      <c r="S1681" s="1" t="s">
        <v>55</v>
      </c>
      <c r="T1681" s="1" t="s">
        <v>32</v>
      </c>
      <c r="U1681" s="1" t="s">
        <v>109</v>
      </c>
      <c r="V1681" s="1" t="s">
        <v>47</v>
      </c>
      <c r="W1681" s="1" t="s">
        <v>48</v>
      </c>
      <c r="X1681" s="1" t="s">
        <v>110</v>
      </c>
      <c r="Y1681" s="1" t="s">
        <v>111</v>
      </c>
      <c r="Z1681" s="1" t="str">
        <f>TRIM(_xlfn.CONCAT(sales_data_sample[[#This Row],[CONTACTFIRSTNAME]],", ",sales_data_sample[[#This Row],[CONTACTLASTNAME]]))</f>
        <v>Dominique, Perrier</v>
      </c>
      <c r="AA1681" s="1" t="s">
        <v>59</v>
      </c>
    </row>
    <row r="1682" spans="1:27" x14ac:dyDescent="0.25">
      <c r="A1682" s="10">
        <v>10264</v>
      </c>
      <c r="B1682" s="9">
        <v>37</v>
      </c>
      <c r="C1682" s="9">
        <v>651</v>
      </c>
      <c r="D1682" s="9">
        <f>PRODUCT(sales_data_sample[[#This Row],[QUANTITYORDERED]],sales_data_sample[[#This Row],[PRICEEACH]])</f>
        <v>24087</v>
      </c>
      <c r="E1682" s="9">
        <f>IF(OR(sales_data_sample[[#This Row],[STATUS]]="Shipped",sales_data_sample[[#This Row],[STATUS]]="Resolved"),sales_data_sample[[#This Row],[SALES]],0)</f>
        <v>24087</v>
      </c>
      <c r="F1682" s="10">
        <v>6</v>
      </c>
      <c r="G1682" s="12" t="s">
        <v>932</v>
      </c>
      <c r="H1682" s="1" t="s">
        <v>26</v>
      </c>
      <c r="I1682">
        <v>2</v>
      </c>
      <c r="J1682">
        <v>6</v>
      </c>
      <c r="K1682">
        <v>2004</v>
      </c>
      <c r="L1682" s="1" t="s">
        <v>27</v>
      </c>
      <c r="M1682">
        <v>69</v>
      </c>
      <c r="N1682" s="1" t="s">
        <v>960</v>
      </c>
      <c r="O1682" s="1" t="s">
        <v>516</v>
      </c>
      <c r="P1682" s="1" t="s">
        <v>517</v>
      </c>
      <c r="Q1682" s="1" t="s">
        <v>518</v>
      </c>
      <c r="R1682" s="1" t="s">
        <v>32</v>
      </c>
      <c r="S1682" s="1" t="s">
        <v>519</v>
      </c>
      <c r="T1682" s="1" t="s">
        <v>160</v>
      </c>
      <c r="U1682" s="1" t="s">
        <v>520</v>
      </c>
      <c r="V1682" s="1" t="s">
        <v>36</v>
      </c>
      <c r="W1682" s="1" t="s">
        <v>37</v>
      </c>
      <c r="X1682" s="1" t="s">
        <v>521</v>
      </c>
      <c r="Y1682" s="1" t="s">
        <v>82</v>
      </c>
      <c r="Z1682" s="1" t="str">
        <f>TRIM(_xlfn.CONCAT(sales_data_sample[[#This Row],[CONTACTFIRSTNAME]],", ",sales_data_sample[[#This Row],[CONTACTLASTNAME]]))</f>
        <v>Juri, Yoshido</v>
      </c>
      <c r="AA1682" s="1" t="s">
        <v>40</v>
      </c>
    </row>
    <row r="1683" spans="1:27" x14ac:dyDescent="0.25">
      <c r="A1683" s="10">
        <v>10276</v>
      </c>
      <c r="B1683" s="9">
        <v>46</v>
      </c>
      <c r="C1683" s="9">
        <v>7549</v>
      </c>
      <c r="D1683" s="9">
        <f>PRODUCT(sales_data_sample[[#This Row],[QUANTITYORDERED]],sales_data_sample[[#This Row],[PRICEEACH]])</f>
        <v>347254</v>
      </c>
      <c r="E1683" s="9">
        <f>IF(OR(sales_data_sample[[#This Row],[STATUS]]="Shipped",sales_data_sample[[#This Row],[STATUS]]="Resolved"),sales_data_sample[[#This Row],[SALES]],0)</f>
        <v>347254</v>
      </c>
      <c r="F1683" s="10">
        <v>12</v>
      </c>
      <c r="G1683" s="12" t="s">
        <v>639</v>
      </c>
      <c r="H1683" s="1" t="s">
        <v>26</v>
      </c>
      <c r="I1683">
        <v>3</v>
      </c>
      <c r="J1683">
        <v>8</v>
      </c>
      <c r="K1683">
        <v>2004</v>
      </c>
      <c r="L1683" s="1" t="s">
        <v>27</v>
      </c>
      <c r="M1683">
        <v>69</v>
      </c>
      <c r="N1683" s="1" t="s">
        <v>960</v>
      </c>
      <c r="O1683" s="1" t="s">
        <v>640</v>
      </c>
      <c r="P1683" s="1" t="s">
        <v>641</v>
      </c>
      <c r="Q1683" s="1" t="s">
        <v>642</v>
      </c>
      <c r="R1683" s="1" t="s">
        <v>32</v>
      </c>
      <c r="S1683" s="1" t="s">
        <v>380</v>
      </c>
      <c r="T1683" s="1" t="s">
        <v>160</v>
      </c>
      <c r="U1683" s="1" t="s">
        <v>381</v>
      </c>
      <c r="V1683" s="1" t="s">
        <v>36</v>
      </c>
      <c r="W1683" s="1" t="s">
        <v>37</v>
      </c>
      <c r="X1683" s="1" t="s">
        <v>643</v>
      </c>
      <c r="Y1683" s="1" t="s">
        <v>644</v>
      </c>
      <c r="Z1683" s="1" t="str">
        <f>TRIM(_xlfn.CONCAT(sales_data_sample[[#This Row],[CONTACTFIRSTNAME]],", ",sales_data_sample[[#This Row],[CONTACTLASTNAME]]))</f>
        <v>Miguel, Barajas</v>
      </c>
      <c r="AA1683" s="1" t="s">
        <v>59</v>
      </c>
    </row>
    <row r="1684" spans="1:27" x14ac:dyDescent="0.25">
      <c r="A1684" s="10">
        <v>10285</v>
      </c>
      <c r="B1684" s="9">
        <v>38</v>
      </c>
      <c r="C1684" s="9">
        <v>5956</v>
      </c>
      <c r="D1684" s="9">
        <f>PRODUCT(sales_data_sample[[#This Row],[QUANTITYORDERED]],sales_data_sample[[#This Row],[PRICEEACH]])</f>
        <v>226328</v>
      </c>
      <c r="E1684" s="9">
        <f>IF(OR(sales_data_sample[[#This Row],[STATUS]]="Shipped",sales_data_sample[[#This Row],[STATUS]]="Resolved"),sales_data_sample[[#This Row],[SALES]],0)</f>
        <v>226328</v>
      </c>
      <c r="F1684" s="10">
        <v>3</v>
      </c>
      <c r="G1684" s="12" t="s">
        <v>155</v>
      </c>
      <c r="H1684" s="1" t="s">
        <v>26</v>
      </c>
      <c r="I1684">
        <v>3</v>
      </c>
      <c r="J1684">
        <v>8</v>
      </c>
      <c r="K1684">
        <v>2004</v>
      </c>
      <c r="L1684" s="1" t="s">
        <v>27</v>
      </c>
      <c r="M1684">
        <v>69</v>
      </c>
      <c r="N1684" s="1" t="s">
        <v>960</v>
      </c>
      <c r="O1684" s="1" t="s">
        <v>156</v>
      </c>
      <c r="P1684" s="1" t="s">
        <v>157</v>
      </c>
      <c r="Q1684" s="1" t="s">
        <v>158</v>
      </c>
      <c r="R1684" s="1" t="s">
        <v>32</v>
      </c>
      <c r="S1684" s="1" t="s">
        <v>159</v>
      </c>
      <c r="T1684" s="1" t="s">
        <v>160</v>
      </c>
      <c r="U1684" s="1" t="s">
        <v>161</v>
      </c>
      <c r="V1684" s="1" t="s">
        <v>36</v>
      </c>
      <c r="W1684" s="1" t="s">
        <v>37</v>
      </c>
      <c r="X1684" s="1" t="s">
        <v>162</v>
      </c>
      <c r="Y1684" s="1" t="s">
        <v>163</v>
      </c>
      <c r="Z1684" s="1" t="str">
        <f>TRIM(_xlfn.CONCAT(sales_data_sample[[#This Row],[CONTACTFIRSTNAME]],", ",sales_data_sample[[#This Row],[CONTACTLASTNAME]]))</f>
        <v>Marta, Hernandez</v>
      </c>
      <c r="AA1684" s="1" t="s">
        <v>40</v>
      </c>
    </row>
    <row r="1685" spans="1:27" x14ac:dyDescent="0.25">
      <c r="A1685" s="10">
        <v>10299</v>
      </c>
      <c r="B1685" s="9">
        <v>33</v>
      </c>
      <c r="C1685" s="9">
        <v>6649</v>
      </c>
      <c r="D1685" s="9">
        <f>PRODUCT(sales_data_sample[[#This Row],[QUANTITYORDERED]],sales_data_sample[[#This Row],[PRICEEACH]])</f>
        <v>219417</v>
      </c>
      <c r="E1685" s="9">
        <f>IF(OR(sales_data_sample[[#This Row],[STATUS]]="Shipped",sales_data_sample[[#This Row],[STATUS]]="Resolved"),sales_data_sample[[#This Row],[SALES]],0)</f>
        <v>219417</v>
      </c>
      <c r="F1685" s="10">
        <v>6</v>
      </c>
      <c r="G1685" s="12" t="s">
        <v>164</v>
      </c>
      <c r="H1685" s="1" t="s">
        <v>26</v>
      </c>
      <c r="I1685">
        <v>3</v>
      </c>
      <c r="J1685">
        <v>9</v>
      </c>
      <c r="K1685">
        <v>2004</v>
      </c>
      <c r="L1685" s="1" t="s">
        <v>27</v>
      </c>
      <c r="M1685">
        <v>69</v>
      </c>
      <c r="N1685" s="1" t="s">
        <v>960</v>
      </c>
      <c r="O1685" s="1" t="s">
        <v>165</v>
      </c>
      <c r="P1685" s="1" t="s">
        <v>166</v>
      </c>
      <c r="Q1685" s="1" t="s">
        <v>167</v>
      </c>
      <c r="R1685" s="1" t="s">
        <v>32</v>
      </c>
      <c r="S1685" s="1" t="s">
        <v>168</v>
      </c>
      <c r="T1685" s="1" t="s">
        <v>32</v>
      </c>
      <c r="U1685" s="1" t="s">
        <v>169</v>
      </c>
      <c r="V1685" s="1" t="s">
        <v>170</v>
      </c>
      <c r="W1685" s="1" t="s">
        <v>48</v>
      </c>
      <c r="X1685" s="1" t="s">
        <v>171</v>
      </c>
      <c r="Y1685" s="1" t="s">
        <v>172</v>
      </c>
      <c r="Z1685" s="1" t="str">
        <f>TRIM(_xlfn.CONCAT(sales_data_sample[[#This Row],[CONTACTFIRSTNAME]],", ",sales_data_sample[[#This Row],[CONTACTLASTNAME]]))</f>
        <v>Matti, Karttunen</v>
      </c>
      <c r="AA1685" s="1" t="s">
        <v>40</v>
      </c>
    </row>
    <row r="1686" spans="1:27" x14ac:dyDescent="0.25">
      <c r="A1686" s="10">
        <v>10309</v>
      </c>
      <c r="B1686" s="9">
        <v>24</v>
      </c>
      <c r="C1686" s="9">
        <v>561</v>
      </c>
      <c r="D1686" s="9">
        <f>PRODUCT(sales_data_sample[[#This Row],[QUANTITYORDERED]],sales_data_sample[[#This Row],[PRICEEACH]])</f>
        <v>13464</v>
      </c>
      <c r="E1686" s="9">
        <f>IF(OR(sales_data_sample[[#This Row],[STATUS]]="Shipped",sales_data_sample[[#This Row],[STATUS]]="Resolved"),sales_data_sample[[#This Row],[SALES]],0)</f>
        <v>13464</v>
      </c>
      <c r="F1686" s="10">
        <v>2</v>
      </c>
      <c r="G1686" s="12" t="s">
        <v>173</v>
      </c>
      <c r="H1686" s="1" t="s">
        <v>26</v>
      </c>
      <c r="I1686">
        <v>4</v>
      </c>
      <c r="J1686">
        <v>10</v>
      </c>
      <c r="K1686">
        <v>2004</v>
      </c>
      <c r="L1686" s="1" t="s">
        <v>27</v>
      </c>
      <c r="M1686">
        <v>69</v>
      </c>
      <c r="N1686" s="1" t="s">
        <v>960</v>
      </c>
      <c r="O1686" s="1" t="s">
        <v>174</v>
      </c>
      <c r="P1686" s="1" t="s">
        <v>175</v>
      </c>
      <c r="Q1686" s="1" t="s">
        <v>176</v>
      </c>
      <c r="R1686" s="1" t="s">
        <v>32</v>
      </c>
      <c r="S1686" s="1" t="s">
        <v>177</v>
      </c>
      <c r="T1686" s="1" t="s">
        <v>32</v>
      </c>
      <c r="U1686" s="1" t="s">
        <v>178</v>
      </c>
      <c r="V1686" s="1" t="s">
        <v>97</v>
      </c>
      <c r="W1686" s="1" t="s">
        <v>48</v>
      </c>
      <c r="X1686" s="1" t="s">
        <v>179</v>
      </c>
      <c r="Y1686" s="1" t="s">
        <v>180</v>
      </c>
      <c r="Z1686" s="1" t="str">
        <f>TRIM(_xlfn.CONCAT(sales_data_sample[[#This Row],[CONTACTFIRSTNAME]],", ",sales_data_sample[[#This Row],[CONTACTLASTNAME]]))</f>
        <v>Jonas, Bergulfsen</v>
      </c>
      <c r="AA1686" s="1" t="s">
        <v>40</v>
      </c>
    </row>
    <row r="1687" spans="1:27" x14ac:dyDescent="0.25">
      <c r="A1687">
        <v>10319</v>
      </c>
      <c r="B1687">
        <v>31</v>
      </c>
      <c r="C1687">
        <v>8173</v>
      </c>
      <c r="D1687">
        <f>PRODUCT(sales_data_sample[[#This Row],[QUANTITYORDERED]],sales_data_sample[[#This Row],[PRICEEACH]])</f>
        <v>253363</v>
      </c>
      <c r="E1687" s="9">
        <f>IF(OR(sales_data_sample[[#This Row],[STATUS]]="Shipped",sales_data_sample[[#This Row],[STATUS]]="Resolved"),sales_data_sample[[#This Row],[SALES]],0)</f>
        <v>253363</v>
      </c>
      <c r="F1687">
        <v>7</v>
      </c>
      <c r="G1687" s="12" t="s">
        <v>654</v>
      </c>
      <c r="H1687" s="1" t="s">
        <v>26</v>
      </c>
      <c r="I1687">
        <v>4</v>
      </c>
      <c r="J1687">
        <v>11</v>
      </c>
      <c r="K1687">
        <v>2004</v>
      </c>
      <c r="L1687" s="1" t="s">
        <v>27</v>
      </c>
      <c r="M1687">
        <v>69</v>
      </c>
      <c r="N1687" s="1" t="s">
        <v>960</v>
      </c>
      <c r="O1687" s="1" t="s">
        <v>717</v>
      </c>
      <c r="P1687" s="1" t="s">
        <v>718</v>
      </c>
      <c r="Q1687" s="1" t="s">
        <v>719</v>
      </c>
      <c r="R1687" s="1" t="s">
        <v>720</v>
      </c>
      <c r="S1687" s="1" t="s">
        <v>33</v>
      </c>
      <c r="T1687" s="1" t="s">
        <v>34</v>
      </c>
      <c r="U1687" s="1" t="s">
        <v>35</v>
      </c>
      <c r="V1687" s="1" t="s">
        <v>36</v>
      </c>
      <c r="W1687" s="1" t="s">
        <v>37</v>
      </c>
      <c r="X1687" s="1" t="s">
        <v>721</v>
      </c>
      <c r="Y1687" s="1" t="s">
        <v>722</v>
      </c>
      <c r="Z1687" s="1" t="str">
        <f>TRIM(_xlfn.CONCAT(sales_data_sample[[#This Row],[CONTACTFIRSTNAME]],", ",sales_data_sample[[#This Row],[CONTACTLASTNAME]]))</f>
        <v>Kee, Kuo</v>
      </c>
      <c r="AA1687" s="1" t="s">
        <v>40</v>
      </c>
    </row>
    <row r="1688" spans="1:27" x14ac:dyDescent="0.25">
      <c r="A1688" s="10">
        <v>10330</v>
      </c>
      <c r="B1688" s="9">
        <v>42</v>
      </c>
      <c r="C1688" s="9">
        <v>8103</v>
      </c>
      <c r="D1688" s="9">
        <f>PRODUCT(sales_data_sample[[#This Row],[QUANTITYORDERED]],sales_data_sample[[#This Row],[PRICEEACH]])</f>
        <v>340326</v>
      </c>
      <c r="E1688" s="9">
        <f>IF(OR(sales_data_sample[[#This Row],[STATUS]]="Shipped",sales_data_sample[[#This Row],[STATUS]]="Resolved"),sales_data_sample[[#This Row],[SALES]],0)</f>
        <v>340326</v>
      </c>
      <c r="F1688" s="10">
        <v>1</v>
      </c>
      <c r="G1688" s="12" t="s">
        <v>927</v>
      </c>
      <c r="H1688" s="1" t="s">
        <v>26</v>
      </c>
      <c r="I1688">
        <v>4</v>
      </c>
      <c r="J1688">
        <v>11</v>
      </c>
      <c r="K1688">
        <v>2004</v>
      </c>
      <c r="L1688" s="1" t="s">
        <v>27</v>
      </c>
      <c r="M1688">
        <v>69</v>
      </c>
      <c r="N1688" s="1" t="s">
        <v>960</v>
      </c>
      <c r="O1688" s="1" t="s">
        <v>591</v>
      </c>
      <c r="P1688" s="1" t="s">
        <v>592</v>
      </c>
      <c r="Q1688" s="1" t="s">
        <v>593</v>
      </c>
      <c r="R1688" s="1" t="s">
        <v>32</v>
      </c>
      <c r="S1688" s="1" t="s">
        <v>594</v>
      </c>
      <c r="T1688" s="1" t="s">
        <v>32</v>
      </c>
      <c r="U1688" s="1" t="s">
        <v>595</v>
      </c>
      <c r="V1688" s="1" t="s">
        <v>596</v>
      </c>
      <c r="W1688" s="1" t="s">
        <v>264</v>
      </c>
      <c r="X1688" s="1" t="s">
        <v>597</v>
      </c>
      <c r="Y1688" s="1" t="s">
        <v>598</v>
      </c>
      <c r="Z1688" s="1" t="str">
        <f>TRIM(_xlfn.CONCAT(sales_data_sample[[#This Row],[CONTACTFIRSTNAME]],", ",sales_data_sample[[#This Row],[CONTACTLASTNAME]]))</f>
        <v>Arnold, Cruz</v>
      </c>
      <c r="AA1688" s="1" t="s">
        <v>59</v>
      </c>
    </row>
    <row r="1689" spans="1:27" x14ac:dyDescent="0.25">
      <c r="A1689" s="10">
        <v>10341</v>
      </c>
      <c r="B1689" s="9">
        <v>32</v>
      </c>
      <c r="C1689" s="9">
        <v>100</v>
      </c>
      <c r="D1689" s="9">
        <f>PRODUCT(sales_data_sample[[#This Row],[QUANTITYORDERED]],sales_data_sample[[#This Row],[PRICEEACH]])</f>
        <v>3200</v>
      </c>
      <c r="E1689" s="9">
        <f>IF(OR(sales_data_sample[[#This Row],[STATUS]]="Shipped",sales_data_sample[[#This Row],[STATUS]]="Resolved"),sales_data_sample[[#This Row],[SALES]],0)</f>
        <v>3200</v>
      </c>
      <c r="F1689" s="10">
        <v>6</v>
      </c>
      <c r="G1689" s="12" t="s">
        <v>190</v>
      </c>
      <c r="H1689" s="1" t="s">
        <v>26</v>
      </c>
      <c r="I1689">
        <v>4</v>
      </c>
      <c r="J1689">
        <v>11</v>
      </c>
      <c r="K1689">
        <v>2004</v>
      </c>
      <c r="L1689" s="1" t="s">
        <v>27</v>
      </c>
      <c r="M1689">
        <v>69</v>
      </c>
      <c r="N1689" s="1" t="s">
        <v>960</v>
      </c>
      <c r="O1689" s="1" t="s">
        <v>191</v>
      </c>
      <c r="P1689" s="1" t="s">
        <v>192</v>
      </c>
      <c r="Q1689" s="1" t="s">
        <v>193</v>
      </c>
      <c r="R1689" s="1" t="s">
        <v>32</v>
      </c>
      <c r="S1689" s="1" t="s">
        <v>194</v>
      </c>
      <c r="T1689" s="1" t="s">
        <v>32</v>
      </c>
      <c r="U1689" s="1" t="s">
        <v>195</v>
      </c>
      <c r="V1689" s="1" t="s">
        <v>196</v>
      </c>
      <c r="W1689" s="1" t="s">
        <v>48</v>
      </c>
      <c r="X1689" s="1" t="s">
        <v>197</v>
      </c>
      <c r="Y1689" s="1" t="s">
        <v>198</v>
      </c>
      <c r="Z1689" s="1" t="str">
        <f>TRIM(_xlfn.CONCAT(sales_data_sample[[#This Row],[CONTACTFIRSTNAME]],", ",sales_data_sample[[#This Row],[CONTACTLASTNAME]]))</f>
        <v>Georg, Pipps</v>
      </c>
      <c r="AA1689" s="1" t="s">
        <v>59</v>
      </c>
    </row>
    <row r="1690" spans="1:27" x14ac:dyDescent="0.25">
      <c r="A1690" s="10">
        <v>10355</v>
      </c>
      <c r="B1690" s="9">
        <v>41</v>
      </c>
      <c r="C1690" s="9">
        <v>7065</v>
      </c>
      <c r="D1690" s="9">
        <f>PRODUCT(sales_data_sample[[#This Row],[QUANTITYORDERED]],sales_data_sample[[#This Row],[PRICEEACH]])</f>
        <v>289665</v>
      </c>
      <c r="E1690" s="9">
        <f>IF(OR(sales_data_sample[[#This Row],[STATUS]]="Shipped",sales_data_sample[[#This Row],[STATUS]]="Resolved"),sales_data_sample[[#This Row],[SALES]],0)</f>
        <v>289665</v>
      </c>
      <c r="F1690" s="10">
        <v>3</v>
      </c>
      <c r="G1690" s="12" t="s">
        <v>928</v>
      </c>
      <c r="H1690" s="1" t="s">
        <v>26</v>
      </c>
      <c r="I1690">
        <v>4</v>
      </c>
      <c r="J1690">
        <v>12</v>
      </c>
      <c r="K1690">
        <v>2004</v>
      </c>
      <c r="L1690" s="1" t="s">
        <v>27</v>
      </c>
      <c r="M1690">
        <v>69</v>
      </c>
      <c r="N1690" s="1" t="s">
        <v>960</v>
      </c>
      <c r="O1690" s="1" t="s">
        <v>230</v>
      </c>
      <c r="P1690" s="1" t="s">
        <v>231</v>
      </c>
      <c r="Q1690" s="1" t="s">
        <v>232</v>
      </c>
      <c r="R1690" s="1" t="s">
        <v>32</v>
      </c>
      <c r="S1690" s="1" t="s">
        <v>233</v>
      </c>
      <c r="T1690" s="1" t="s">
        <v>32</v>
      </c>
      <c r="U1690" s="1" t="s">
        <v>234</v>
      </c>
      <c r="V1690" s="1" t="s">
        <v>235</v>
      </c>
      <c r="W1690" s="1" t="s">
        <v>48</v>
      </c>
      <c r="X1690" s="1" t="s">
        <v>236</v>
      </c>
      <c r="Y1690" s="1" t="s">
        <v>237</v>
      </c>
      <c r="Z1690" s="1" t="str">
        <f>TRIM(_xlfn.CONCAT(sales_data_sample[[#This Row],[CONTACTFIRSTNAME]],", ",sales_data_sample[[#This Row],[CONTACTLASTNAME]]))</f>
        <v>Diego, Freyre</v>
      </c>
      <c r="AA1690" s="1" t="s">
        <v>40</v>
      </c>
    </row>
    <row r="1691" spans="1:27" x14ac:dyDescent="0.25">
      <c r="A1691" s="10">
        <v>10363</v>
      </c>
      <c r="B1691" s="9">
        <v>43</v>
      </c>
      <c r="C1691" s="9">
        <v>6123</v>
      </c>
      <c r="D1691" s="9">
        <f>PRODUCT(sales_data_sample[[#This Row],[QUANTITYORDERED]],sales_data_sample[[#This Row],[PRICEEACH]])</f>
        <v>263289</v>
      </c>
      <c r="E1691" s="9">
        <f>IF(OR(sales_data_sample[[#This Row],[STATUS]]="Shipped",sales_data_sample[[#This Row],[STATUS]]="Resolved"),sales_data_sample[[#This Row],[SALES]],0)</f>
        <v>263289</v>
      </c>
      <c r="F1691" s="10">
        <v>14</v>
      </c>
      <c r="G1691" s="12" t="s">
        <v>655</v>
      </c>
      <c r="H1691" s="1" t="s">
        <v>26</v>
      </c>
      <c r="I1691">
        <v>1</v>
      </c>
      <c r="J1691">
        <v>1</v>
      </c>
      <c r="K1691">
        <v>2005</v>
      </c>
      <c r="L1691" s="1" t="s">
        <v>27</v>
      </c>
      <c r="M1691">
        <v>69</v>
      </c>
      <c r="N1691" s="1" t="s">
        <v>960</v>
      </c>
      <c r="O1691" s="1" t="s">
        <v>656</v>
      </c>
      <c r="P1691" s="1" t="s">
        <v>657</v>
      </c>
      <c r="Q1691" s="1" t="s">
        <v>658</v>
      </c>
      <c r="R1691" s="1" t="s">
        <v>32</v>
      </c>
      <c r="S1691" s="1" t="s">
        <v>659</v>
      </c>
      <c r="T1691" s="1" t="s">
        <v>32</v>
      </c>
      <c r="U1691" s="1" t="s">
        <v>660</v>
      </c>
      <c r="V1691" s="1" t="s">
        <v>170</v>
      </c>
      <c r="W1691" s="1" t="s">
        <v>48</v>
      </c>
      <c r="X1691" s="1" t="s">
        <v>661</v>
      </c>
      <c r="Y1691" s="1" t="s">
        <v>662</v>
      </c>
      <c r="Z1691" s="1" t="str">
        <f>TRIM(_xlfn.CONCAT(sales_data_sample[[#This Row],[CONTACTFIRSTNAME]],", ",sales_data_sample[[#This Row],[CONTACTLASTNAME]]))</f>
        <v>Kalle, Suominen</v>
      </c>
      <c r="AA1691" s="1" t="s">
        <v>40</v>
      </c>
    </row>
    <row r="1692" spans="1:27" x14ac:dyDescent="0.25">
      <c r="A1692" s="10">
        <v>10375</v>
      </c>
      <c r="B1692" s="9">
        <v>20</v>
      </c>
      <c r="C1692" s="9">
        <v>100</v>
      </c>
      <c r="D1692" s="9">
        <f>PRODUCT(sales_data_sample[[#This Row],[QUANTITYORDERED]],sales_data_sample[[#This Row],[PRICEEACH]])</f>
        <v>2000</v>
      </c>
      <c r="E1692" s="9">
        <f>IF(OR(sales_data_sample[[#This Row],[STATUS]]="Shipped",sales_data_sample[[#This Row],[STATUS]]="Resolved"),sales_data_sample[[#This Row],[SALES]],0)</f>
        <v>2000</v>
      </c>
      <c r="F1692" s="10">
        <v>14</v>
      </c>
      <c r="G1692" s="12" t="s">
        <v>210</v>
      </c>
      <c r="H1692" s="1" t="s">
        <v>26</v>
      </c>
      <c r="I1692">
        <v>1</v>
      </c>
      <c r="J1692">
        <v>2</v>
      </c>
      <c r="K1692">
        <v>2005</v>
      </c>
      <c r="L1692" s="1" t="s">
        <v>27</v>
      </c>
      <c r="M1692">
        <v>69</v>
      </c>
      <c r="N1692" s="1" t="s">
        <v>960</v>
      </c>
      <c r="O1692" s="1" t="s">
        <v>148</v>
      </c>
      <c r="P1692" s="1" t="s">
        <v>149</v>
      </c>
      <c r="Q1692" s="1" t="s">
        <v>150</v>
      </c>
      <c r="R1692" s="1" t="s">
        <v>32</v>
      </c>
      <c r="S1692" s="1" t="s">
        <v>151</v>
      </c>
      <c r="T1692" s="1" t="s">
        <v>32</v>
      </c>
      <c r="U1692" s="1" t="s">
        <v>152</v>
      </c>
      <c r="V1692" s="1" t="s">
        <v>47</v>
      </c>
      <c r="W1692" s="1" t="s">
        <v>48</v>
      </c>
      <c r="X1692" s="1" t="s">
        <v>153</v>
      </c>
      <c r="Y1692" s="1" t="s">
        <v>154</v>
      </c>
      <c r="Z1692" s="1" t="str">
        <f>TRIM(_xlfn.CONCAT(sales_data_sample[[#This Row],[CONTACTFIRSTNAME]],", ",sales_data_sample[[#This Row],[CONTACTLASTNAME]]))</f>
        <v>Janine, Labrune</v>
      </c>
      <c r="AA1692" s="1" t="s">
        <v>40</v>
      </c>
    </row>
    <row r="1693" spans="1:27" x14ac:dyDescent="0.25">
      <c r="A1693" s="10">
        <v>10390</v>
      </c>
      <c r="B1693" s="9">
        <v>35</v>
      </c>
      <c r="C1693" s="9">
        <v>6513</v>
      </c>
      <c r="D1693" s="9">
        <f>PRODUCT(sales_data_sample[[#This Row],[QUANTITYORDERED]],sales_data_sample[[#This Row],[PRICEEACH]])</f>
        <v>227955</v>
      </c>
      <c r="E1693" s="9">
        <f>IF(OR(sales_data_sample[[#This Row],[STATUS]]="Shipped",sales_data_sample[[#This Row],[STATUS]]="Resolved"),sales_data_sample[[#This Row],[SALES]],0)</f>
        <v>227955</v>
      </c>
      <c r="F1693" s="10">
        <v>4</v>
      </c>
      <c r="G1693" s="12" t="s">
        <v>796</v>
      </c>
      <c r="H1693" s="1" t="s">
        <v>26</v>
      </c>
      <c r="I1693">
        <v>1</v>
      </c>
      <c r="J1693">
        <v>3</v>
      </c>
      <c r="K1693">
        <v>2005</v>
      </c>
      <c r="L1693" s="1" t="s">
        <v>27</v>
      </c>
      <c r="M1693">
        <v>69</v>
      </c>
      <c r="N1693" s="1" t="s">
        <v>960</v>
      </c>
      <c r="O1693" s="1" t="s">
        <v>361</v>
      </c>
      <c r="P1693" s="1" t="s">
        <v>362</v>
      </c>
      <c r="Q1693" s="1" t="s">
        <v>363</v>
      </c>
      <c r="R1693" s="1" t="s">
        <v>32</v>
      </c>
      <c r="S1693" s="1" t="s">
        <v>364</v>
      </c>
      <c r="T1693" s="1" t="s">
        <v>65</v>
      </c>
      <c r="U1693" s="1" t="s">
        <v>145</v>
      </c>
      <c r="V1693" s="1" t="s">
        <v>36</v>
      </c>
      <c r="W1693" s="1" t="s">
        <v>37</v>
      </c>
      <c r="X1693" s="1" t="s">
        <v>365</v>
      </c>
      <c r="Y1693" s="1" t="s">
        <v>366</v>
      </c>
      <c r="Z1693" s="1" t="str">
        <f>TRIM(_xlfn.CONCAT(sales_data_sample[[#This Row],[CONTACTFIRSTNAME]],", ",sales_data_sample[[#This Row],[CONTACTLASTNAME]]))</f>
        <v>Valarie, Nelson</v>
      </c>
      <c r="AA1693" s="1" t="s">
        <v>40</v>
      </c>
    </row>
    <row r="1694" spans="1:27" x14ac:dyDescent="0.25">
      <c r="A1694" s="10">
        <v>10403</v>
      </c>
      <c r="B1694" s="9">
        <v>27</v>
      </c>
      <c r="C1694" s="9">
        <v>7965</v>
      </c>
      <c r="D1694" s="9">
        <f>PRODUCT(sales_data_sample[[#This Row],[QUANTITYORDERED]],sales_data_sample[[#This Row],[PRICEEACH]])</f>
        <v>215055</v>
      </c>
      <c r="E1694" s="9">
        <f>IF(OR(sales_data_sample[[#This Row],[STATUS]]="Shipped",sales_data_sample[[#This Row],[STATUS]]="Resolved"),sales_data_sample[[#This Row],[SALES]],0)</f>
        <v>215055</v>
      </c>
      <c r="F1694" s="10">
        <v>4</v>
      </c>
      <c r="G1694" s="12" t="s">
        <v>219</v>
      </c>
      <c r="H1694" s="1" t="s">
        <v>26</v>
      </c>
      <c r="I1694">
        <v>2</v>
      </c>
      <c r="J1694">
        <v>4</v>
      </c>
      <c r="K1694">
        <v>2005</v>
      </c>
      <c r="L1694" s="1" t="s">
        <v>27</v>
      </c>
      <c r="M1694">
        <v>69</v>
      </c>
      <c r="N1694" s="1" t="s">
        <v>960</v>
      </c>
      <c r="O1694" s="1" t="s">
        <v>220</v>
      </c>
      <c r="P1694" s="1" t="s">
        <v>221</v>
      </c>
      <c r="Q1694" s="1" t="s">
        <v>222</v>
      </c>
      <c r="R1694" s="1" t="s">
        <v>32</v>
      </c>
      <c r="S1694" s="1" t="s">
        <v>223</v>
      </c>
      <c r="T1694" s="1" t="s">
        <v>32</v>
      </c>
      <c r="U1694" s="1" t="s">
        <v>224</v>
      </c>
      <c r="V1694" s="1" t="s">
        <v>225</v>
      </c>
      <c r="W1694" s="1" t="s">
        <v>48</v>
      </c>
      <c r="X1694" s="1" t="s">
        <v>226</v>
      </c>
      <c r="Y1694" s="1" t="s">
        <v>227</v>
      </c>
      <c r="Z1694" s="1" t="str">
        <f>TRIM(_xlfn.CONCAT(sales_data_sample[[#This Row],[CONTACTFIRSTNAME]],", ",sales_data_sample[[#This Row],[CONTACTLASTNAME]]))</f>
        <v>Elizabeth, Devon</v>
      </c>
      <c r="AA1694" s="1" t="s">
        <v>40</v>
      </c>
    </row>
    <row r="1695" spans="1:27" x14ac:dyDescent="0.25">
      <c r="A1695" s="10">
        <v>10110</v>
      </c>
      <c r="B1695" s="9">
        <v>43</v>
      </c>
      <c r="C1695" s="9">
        <v>7815</v>
      </c>
      <c r="D1695" s="9">
        <f>PRODUCT(sales_data_sample[[#This Row],[QUANTITYORDERED]],sales_data_sample[[#This Row],[PRICEEACH]])</f>
        <v>336045</v>
      </c>
      <c r="E1695" s="9">
        <f>IF(OR(sales_data_sample[[#This Row],[STATUS]]="Shipped",sales_data_sample[[#This Row],[STATUS]]="Resolved"),sales_data_sample[[#This Row],[SALES]],0)</f>
        <v>336045</v>
      </c>
      <c r="F1695" s="10">
        <v>11</v>
      </c>
      <c r="G1695" s="12" t="s">
        <v>829</v>
      </c>
      <c r="H1695" s="1" t="s">
        <v>26</v>
      </c>
      <c r="I1695">
        <v>1</v>
      </c>
      <c r="J1695">
        <v>3</v>
      </c>
      <c r="K1695">
        <v>2003</v>
      </c>
      <c r="L1695" s="1" t="s">
        <v>239</v>
      </c>
      <c r="M1695">
        <v>90</v>
      </c>
      <c r="N1695" s="1" t="s">
        <v>962</v>
      </c>
      <c r="O1695" s="1" t="s">
        <v>695</v>
      </c>
      <c r="P1695" s="1" t="s">
        <v>696</v>
      </c>
      <c r="Q1695" s="1" t="s">
        <v>697</v>
      </c>
      <c r="R1695" s="1" t="s">
        <v>32</v>
      </c>
      <c r="S1695" s="1" t="s">
        <v>698</v>
      </c>
      <c r="T1695" s="1" t="s">
        <v>32</v>
      </c>
      <c r="U1695" s="1" t="s">
        <v>699</v>
      </c>
      <c r="V1695" s="1" t="s">
        <v>225</v>
      </c>
      <c r="W1695" s="1" t="s">
        <v>48</v>
      </c>
      <c r="X1695" s="1" t="s">
        <v>700</v>
      </c>
      <c r="Y1695" s="1" t="s">
        <v>118</v>
      </c>
      <c r="Z1695" s="1" t="str">
        <f>TRIM(_xlfn.CONCAT(sales_data_sample[[#This Row],[CONTACTFIRSTNAME]],", ",sales_data_sample[[#This Row],[CONTACTLASTNAME]]))</f>
        <v>Victoria, Ashworth</v>
      </c>
      <c r="AA1695" s="1" t="s">
        <v>59</v>
      </c>
    </row>
    <row r="1696" spans="1:27" x14ac:dyDescent="0.25">
      <c r="A1696" s="10">
        <v>10124</v>
      </c>
      <c r="B1696" s="9">
        <v>32</v>
      </c>
      <c r="C1696" s="9">
        <v>727</v>
      </c>
      <c r="D1696" s="9">
        <f>PRODUCT(sales_data_sample[[#This Row],[QUANTITYORDERED]],sales_data_sample[[#This Row],[PRICEEACH]])</f>
        <v>23264</v>
      </c>
      <c r="E1696" s="9">
        <f>IF(OR(sales_data_sample[[#This Row],[STATUS]]="Shipped",sales_data_sample[[#This Row],[STATUS]]="Resolved"),sales_data_sample[[#This Row],[SALES]],0)</f>
        <v>23264</v>
      </c>
      <c r="F1696" s="10">
        <v>10</v>
      </c>
      <c r="G1696" s="12" t="s">
        <v>802</v>
      </c>
      <c r="H1696" s="1" t="s">
        <v>26</v>
      </c>
      <c r="I1696">
        <v>2</v>
      </c>
      <c r="J1696">
        <v>5</v>
      </c>
      <c r="K1696">
        <v>2003</v>
      </c>
      <c r="L1696" s="1" t="s">
        <v>239</v>
      </c>
      <c r="M1696">
        <v>90</v>
      </c>
      <c r="N1696" s="1" t="s">
        <v>962</v>
      </c>
      <c r="O1696" s="1" t="s">
        <v>779</v>
      </c>
      <c r="P1696" s="1" t="s">
        <v>780</v>
      </c>
      <c r="Q1696" s="1" t="s">
        <v>781</v>
      </c>
      <c r="R1696" s="1" t="s">
        <v>32</v>
      </c>
      <c r="S1696" s="1" t="s">
        <v>782</v>
      </c>
      <c r="T1696" s="1" t="s">
        <v>783</v>
      </c>
      <c r="U1696" s="1" t="s">
        <v>784</v>
      </c>
      <c r="V1696" s="1" t="s">
        <v>36</v>
      </c>
      <c r="W1696" s="1" t="s">
        <v>37</v>
      </c>
      <c r="X1696" s="1" t="s">
        <v>146</v>
      </c>
      <c r="Y1696" s="1" t="s">
        <v>551</v>
      </c>
      <c r="Z1696" s="1" t="str">
        <f>TRIM(_xlfn.CONCAT(sales_data_sample[[#This Row],[CONTACTFIRSTNAME]],", ",sales_data_sample[[#This Row],[CONTACTLASTNAME]]))</f>
        <v>Sue, King</v>
      </c>
      <c r="AA1696" s="1" t="s">
        <v>40</v>
      </c>
    </row>
    <row r="1697" spans="1:27" x14ac:dyDescent="0.25">
      <c r="A1697">
        <v>10148</v>
      </c>
      <c r="B1697">
        <v>21</v>
      </c>
      <c r="C1697">
        <v>736</v>
      </c>
      <c r="D1697">
        <f>PRODUCT(sales_data_sample[[#This Row],[QUANTITYORDERED]],sales_data_sample[[#This Row],[PRICEEACH]])</f>
        <v>15456</v>
      </c>
      <c r="E1697" s="9">
        <f>IF(OR(sales_data_sample[[#This Row],[STATUS]]="Shipped",sales_data_sample[[#This Row],[STATUS]]="Resolved"),sales_data_sample[[#This Row],[SALES]],0)</f>
        <v>15456</v>
      </c>
      <c r="F1697">
        <v>4</v>
      </c>
      <c r="G1697" s="12" t="s">
        <v>774</v>
      </c>
      <c r="H1697" s="1" t="s">
        <v>26</v>
      </c>
      <c r="I1697">
        <v>3</v>
      </c>
      <c r="J1697">
        <v>9</v>
      </c>
      <c r="K1697">
        <v>2003</v>
      </c>
      <c r="L1697" s="1" t="s">
        <v>239</v>
      </c>
      <c r="M1697">
        <v>90</v>
      </c>
      <c r="N1697" s="1" t="s">
        <v>962</v>
      </c>
      <c r="O1697" s="1" t="s">
        <v>385</v>
      </c>
      <c r="P1697" s="1" t="s">
        <v>386</v>
      </c>
      <c r="Q1697" s="1" t="s">
        <v>387</v>
      </c>
      <c r="R1697" s="1" t="s">
        <v>388</v>
      </c>
      <c r="S1697" s="1" t="s">
        <v>389</v>
      </c>
      <c r="T1697" s="1" t="s">
        <v>206</v>
      </c>
      <c r="U1697" s="1" t="s">
        <v>390</v>
      </c>
      <c r="V1697" s="1" t="s">
        <v>120</v>
      </c>
      <c r="W1697" s="1" t="s">
        <v>121</v>
      </c>
      <c r="X1697" s="1" t="s">
        <v>391</v>
      </c>
      <c r="Y1697" s="1" t="s">
        <v>392</v>
      </c>
      <c r="Z1697" s="1" t="str">
        <f>TRIM(_xlfn.CONCAT(sales_data_sample[[#This Row],[CONTACTFIRSTNAME]],", ",sales_data_sample[[#This Row],[CONTACTLASTNAME]]))</f>
        <v>Anna, O'Hara</v>
      </c>
      <c r="AA1697" s="1" t="s">
        <v>40</v>
      </c>
    </row>
    <row r="1698" spans="1:27" x14ac:dyDescent="0.25">
      <c r="A1698" s="10">
        <v>10161</v>
      </c>
      <c r="B1698" s="9">
        <v>20</v>
      </c>
      <c r="C1698" s="9">
        <v>100</v>
      </c>
      <c r="D1698" s="9">
        <f>PRODUCT(sales_data_sample[[#This Row],[QUANTITYORDERED]],sales_data_sample[[#This Row],[PRICEEACH]])</f>
        <v>2000</v>
      </c>
      <c r="E1698" s="9">
        <f>IF(OR(sales_data_sample[[#This Row],[STATUS]]="Shipped",sales_data_sample[[#This Row],[STATUS]]="Resolved"),sales_data_sample[[#This Row],[SALES]],0)</f>
        <v>2000</v>
      </c>
      <c r="F1698" s="10">
        <v>3</v>
      </c>
      <c r="G1698" s="12" t="s">
        <v>775</v>
      </c>
      <c r="H1698" s="1" t="s">
        <v>26</v>
      </c>
      <c r="I1698">
        <v>4</v>
      </c>
      <c r="J1698">
        <v>10</v>
      </c>
      <c r="K1698">
        <v>2003</v>
      </c>
      <c r="L1698" s="1" t="s">
        <v>239</v>
      </c>
      <c r="M1698">
        <v>90</v>
      </c>
      <c r="N1698" s="1" t="s">
        <v>962</v>
      </c>
      <c r="O1698" s="1" t="s">
        <v>701</v>
      </c>
      <c r="P1698" s="1" t="s">
        <v>702</v>
      </c>
      <c r="Q1698" s="1" t="s">
        <v>703</v>
      </c>
      <c r="R1698" s="1" t="s">
        <v>32</v>
      </c>
      <c r="S1698" s="1" t="s">
        <v>704</v>
      </c>
      <c r="T1698" s="1" t="s">
        <v>32</v>
      </c>
      <c r="U1698" s="1" t="s">
        <v>705</v>
      </c>
      <c r="V1698" s="1" t="s">
        <v>442</v>
      </c>
      <c r="W1698" s="1" t="s">
        <v>48</v>
      </c>
      <c r="X1698" s="1" t="s">
        <v>706</v>
      </c>
      <c r="Y1698" s="1" t="s">
        <v>707</v>
      </c>
      <c r="Z1698" s="1" t="str">
        <f>TRIM(_xlfn.CONCAT(sales_data_sample[[#This Row],[CONTACTFIRSTNAME]],", ",sales_data_sample[[#This Row],[CONTACTLASTNAME]]))</f>
        <v>Palle, Ibsen</v>
      </c>
      <c r="AA1698" s="1" t="s">
        <v>40</v>
      </c>
    </row>
    <row r="1699" spans="1:27" x14ac:dyDescent="0.25">
      <c r="A1699" s="10">
        <v>10172</v>
      </c>
      <c r="B1699" s="9">
        <v>22</v>
      </c>
      <c r="C1699" s="9">
        <v>7451</v>
      </c>
      <c r="D1699" s="9">
        <f>PRODUCT(sales_data_sample[[#This Row],[QUANTITYORDERED]],sales_data_sample[[#This Row],[PRICEEACH]])</f>
        <v>163922</v>
      </c>
      <c r="E1699" s="9">
        <f>IF(OR(sales_data_sample[[#This Row],[STATUS]]="Shipped",sales_data_sample[[#This Row],[STATUS]]="Resolved"),sales_data_sample[[#This Row],[SALES]],0)</f>
        <v>163922</v>
      </c>
      <c r="F1699" s="10">
        <v>1</v>
      </c>
      <c r="G1699" s="12" t="s">
        <v>776</v>
      </c>
      <c r="H1699" s="1" t="s">
        <v>26</v>
      </c>
      <c r="I1699">
        <v>4</v>
      </c>
      <c r="J1699">
        <v>11</v>
      </c>
      <c r="K1699">
        <v>2003</v>
      </c>
      <c r="L1699" s="1" t="s">
        <v>239</v>
      </c>
      <c r="M1699">
        <v>90</v>
      </c>
      <c r="N1699" s="1" t="s">
        <v>962</v>
      </c>
      <c r="O1699" s="1" t="s">
        <v>140</v>
      </c>
      <c r="P1699" s="1" t="s">
        <v>141</v>
      </c>
      <c r="Q1699" s="1" t="s">
        <v>142</v>
      </c>
      <c r="R1699" s="1" t="s">
        <v>32</v>
      </c>
      <c r="S1699" s="1" t="s">
        <v>143</v>
      </c>
      <c r="T1699" s="1" t="s">
        <v>144</v>
      </c>
      <c r="U1699" s="1" t="s">
        <v>145</v>
      </c>
      <c r="V1699" s="1" t="s">
        <v>36</v>
      </c>
      <c r="W1699" s="1" t="s">
        <v>37</v>
      </c>
      <c r="X1699" s="1" t="s">
        <v>146</v>
      </c>
      <c r="Y1699" s="1" t="s">
        <v>68</v>
      </c>
      <c r="Z1699" s="1" t="str">
        <f>TRIM(_xlfn.CONCAT(sales_data_sample[[#This Row],[CONTACTFIRSTNAME]],", ",sales_data_sample[[#This Row],[CONTACTLASTNAME]]))</f>
        <v>Julie, King</v>
      </c>
      <c r="AA1699" s="1" t="s">
        <v>40</v>
      </c>
    </row>
    <row r="1700" spans="1:27" x14ac:dyDescent="0.25">
      <c r="A1700" s="10">
        <v>10182</v>
      </c>
      <c r="B1700" s="9">
        <v>36</v>
      </c>
      <c r="C1700" s="9">
        <v>736</v>
      </c>
      <c r="D1700" s="9">
        <f>PRODUCT(sales_data_sample[[#This Row],[QUANTITYORDERED]],sales_data_sample[[#This Row],[PRICEEACH]])</f>
        <v>26496</v>
      </c>
      <c r="E1700" s="9">
        <f>IF(OR(sales_data_sample[[#This Row],[STATUS]]="Shipped",sales_data_sample[[#This Row],[STATUS]]="Resolved"),sales_data_sample[[#This Row],[SALES]],0)</f>
        <v>26496</v>
      </c>
      <c r="F1700" s="10">
        <v>14</v>
      </c>
      <c r="G1700" s="12" t="s">
        <v>610</v>
      </c>
      <c r="H1700" s="1" t="s">
        <v>26</v>
      </c>
      <c r="I1700">
        <v>4</v>
      </c>
      <c r="J1700">
        <v>11</v>
      </c>
      <c r="K1700">
        <v>2003</v>
      </c>
      <c r="L1700" s="1" t="s">
        <v>239</v>
      </c>
      <c r="M1700">
        <v>90</v>
      </c>
      <c r="N1700" s="1" t="s">
        <v>962</v>
      </c>
      <c r="O1700" s="1" t="s">
        <v>361</v>
      </c>
      <c r="P1700" s="1" t="s">
        <v>362</v>
      </c>
      <c r="Q1700" s="1" t="s">
        <v>363</v>
      </c>
      <c r="R1700" s="1" t="s">
        <v>32</v>
      </c>
      <c r="S1700" s="1" t="s">
        <v>364</v>
      </c>
      <c r="T1700" s="1" t="s">
        <v>65</v>
      </c>
      <c r="U1700" s="1" t="s">
        <v>145</v>
      </c>
      <c r="V1700" s="1" t="s">
        <v>36</v>
      </c>
      <c r="W1700" s="1" t="s">
        <v>37</v>
      </c>
      <c r="X1700" s="1" t="s">
        <v>365</v>
      </c>
      <c r="Y1700" s="1" t="s">
        <v>366</v>
      </c>
      <c r="Z1700" s="1" t="str">
        <f>TRIM(_xlfn.CONCAT(sales_data_sample[[#This Row],[CONTACTFIRSTNAME]],", ",sales_data_sample[[#This Row],[CONTACTLASTNAME]]))</f>
        <v>Valarie, Nelson</v>
      </c>
      <c r="AA1700" s="1" t="s">
        <v>40</v>
      </c>
    </row>
    <row r="1701" spans="1:27" x14ac:dyDescent="0.25">
      <c r="A1701" s="10">
        <v>10192</v>
      </c>
      <c r="B1701" s="9">
        <v>46</v>
      </c>
      <c r="C1701" s="9">
        <v>836</v>
      </c>
      <c r="D1701" s="9">
        <f>PRODUCT(sales_data_sample[[#This Row],[QUANTITYORDERED]],sales_data_sample[[#This Row],[PRICEEACH]])</f>
        <v>38456</v>
      </c>
      <c r="E1701" s="9">
        <f>IF(OR(sales_data_sample[[#This Row],[STATUS]]="Shipped",sales_data_sample[[#This Row],[STATUS]]="Resolved"),sales_data_sample[[#This Row],[SALES]],0)</f>
        <v>38456</v>
      </c>
      <c r="F1701" s="10">
        <v>2</v>
      </c>
      <c r="G1701" s="12" t="s">
        <v>611</v>
      </c>
      <c r="H1701" s="1" t="s">
        <v>26</v>
      </c>
      <c r="I1701">
        <v>4</v>
      </c>
      <c r="J1701">
        <v>11</v>
      </c>
      <c r="K1701">
        <v>2003</v>
      </c>
      <c r="L1701" s="1" t="s">
        <v>239</v>
      </c>
      <c r="M1701">
        <v>90</v>
      </c>
      <c r="N1701" s="1" t="s">
        <v>962</v>
      </c>
      <c r="O1701" s="1" t="s">
        <v>368</v>
      </c>
      <c r="P1701" s="1" t="s">
        <v>369</v>
      </c>
      <c r="Q1701" s="1" t="s">
        <v>370</v>
      </c>
      <c r="R1701" s="1" t="s">
        <v>32</v>
      </c>
      <c r="S1701" s="1" t="s">
        <v>371</v>
      </c>
      <c r="T1701" s="1" t="s">
        <v>372</v>
      </c>
      <c r="U1701" s="1" t="s">
        <v>373</v>
      </c>
      <c r="V1701" s="1" t="s">
        <v>36</v>
      </c>
      <c r="W1701" s="1" t="s">
        <v>37</v>
      </c>
      <c r="X1701" s="1" t="s">
        <v>67</v>
      </c>
      <c r="Y1701" s="1" t="s">
        <v>366</v>
      </c>
      <c r="Z1701" s="1" t="str">
        <f>TRIM(_xlfn.CONCAT(sales_data_sample[[#This Row],[CONTACTFIRSTNAME]],", ",sales_data_sample[[#This Row],[CONTACTLASTNAME]]))</f>
        <v>Valarie, Young</v>
      </c>
      <c r="AA1701" s="1" t="s">
        <v>59</v>
      </c>
    </row>
    <row r="1702" spans="1:27" x14ac:dyDescent="0.25">
      <c r="A1702">
        <v>10204</v>
      </c>
      <c r="B1702">
        <v>47</v>
      </c>
      <c r="C1702">
        <v>9632</v>
      </c>
      <c r="D1702">
        <f>PRODUCT(sales_data_sample[[#This Row],[QUANTITYORDERED]],sales_data_sample[[#This Row],[PRICEEACH]])</f>
        <v>452704</v>
      </c>
      <c r="E1702" s="9">
        <f>IF(OR(sales_data_sample[[#This Row],[STATUS]]="Shipped",sales_data_sample[[#This Row],[STATUS]]="Resolved"),sales_data_sample[[#This Row],[SALES]],0)</f>
        <v>452704</v>
      </c>
      <c r="F1702">
        <v>8</v>
      </c>
      <c r="G1702" s="12" t="s">
        <v>620</v>
      </c>
      <c r="H1702" s="1" t="s">
        <v>26</v>
      </c>
      <c r="I1702">
        <v>4</v>
      </c>
      <c r="J1702">
        <v>12</v>
      </c>
      <c r="K1702">
        <v>2003</v>
      </c>
      <c r="L1702" s="1" t="s">
        <v>239</v>
      </c>
      <c r="M1702">
        <v>90</v>
      </c>
      <c r="N1702" s="1" t="s">
        <v>962</v>
      </c>
      <c r="O1702" s="1" t="s">
        <v>667</v>
      </c>
      <c r="P1702" s="1" t="s">
        <v>668</v>
      </c>
      <c r="Q1702" s="1" t="s">
        <v>669</v>
      </c>
      <c r="R1702" s="1" t="s">
        <v>670</v>
      </c>
      <c r="S1702" s="1" t="s">
        <v>33</v>
      </c>
      <c r="T1702" s="1" t="s">
        <v>34</v>
      </c>
      <c r="U1702" s="1" t="s">
        <v>35</v>
      </c>
      <c r="V1702" s="1" t="s">
        <v>36</v>
      </c>
      <c r="W1702" s="1" t="s">
        <v>37</v>
      </c>
      <c r="X1702" s="1" t="s">
        <v>67</v>
      </c>
      <c r="Y1702" s="1" t="s">
        <v>671</v>
      </c>
      <c r="Z1702" s="1" t="str">
        <f>TRIM(_xlfn.CONCAT(sales_data_sample[[#This Row],[CONTACTFIRSTNAME]],", ",sales_data_sample[[#This Row],[CONTACTLASTNAME]]))</f>
        <v>Jeff, Young</v>
      </c>
      <c r="AA1702" s="1" t="s">
        <v>59</v>
      </c>
    </row>
    <row r="1703" spans="1:27" x14ac:dyDescent="0.25">
      <c r="A1703" s="10">
        <v>10212</v>
      </c>
      <c r="B1703" s="9">
        <v>45</v>
      </c>
      <c r="C1703" s="9">
        <v>8814</v>
      </c>
      <c r="D1703" s="9">
        <f>PRODUCT(sales_data_sample[[#This Row],[QUANTITYORDERED]],sales_data_sample[[#This Row],[PRICEEACH]])</f>
        <v>396630</v>
      </c>
      <c r="E1703" s="9">
        <f>IF(OR(sales_data_sample[[#This Row],[STATUS]]="Shipped",sales_data_sample[[#This Row],[STATUS]]="Resolved"),sales_data_sample[[#This Row],[SALES]],0)</f>
        <v>396630</v>
      </c>
      <c r="F1703" s="10">
        <v>1</v>
      </c>
      <c r="G1703" s="12" t="s">
        <v>729</v>
      </c>
      <c r="H1703" s="1" t="s">
        <v>26</v>
      </c>
      <c r="I1703">
        <v>1</v>
      </c>
      <c r="J1703">
        <v>1</v>
      </c>
      <c r="K1703">
        <v>2004</v>
      </c>
      <c r="L1703" s="1" t="s">
        <v>239</v>
      </c>
      <c r="M1703">
        <v>90</v>
      </c>
      <c r="N1703" s="1" t="s">
        <v>962</v>
      </c>
      <c r="O1703" s="1" t="s">
        <v>230</v>
      </c>
      <c r="P1703" s="1" t="s">
        <v>231</v>
      </c>
      <c r="Q1703" s="1" t="s">
        <v>232</v>
      </c>
      <c r="R1703" s="1" t="s">
        <v>32</v>
      </c>
      <c r="S1703" s="1" t="s">
        <v>233</v>
      </c>
      <c r="T1703" s="1" t="s">
        <v>32</v>
      </c>
      <c r="U1703" s="1" t="s">
        <v>234</v>
      </c>
      <c r="V1703" s="1" t="s">
        <v>235</v>
      </c>
      <c r="W1703" s="1" t="s">
        <v>48</v>
      </c>
      <c r="X1703" s="1" t="s">
        <v>236</v>
      </c>
      <c r="Y1703" s="1" t="s">
        <v>237</v>
      </c>
      <c r="Z1703" s="1" t="str">
        <f>TRIM(_xlfn.CONCAT(sales_data_sample[[#This Row],[CONTACTFIRSTNAME]],", ",sales_data_sample[[#This Row],[CONTACTLASTNAME]]))</f>
        <v>Diego, Freyre</v>
      </c>
      <c r="AA1703" s="1" t="s">
        <v>59</v>
      </c>
    </row>
    <row r="1704" spans="1:27" x14ac:dyDescent="0.25">
      <c r="A1704" s="10">
        <v>10227</v>
      </c>
      <c r="B1704" s="9">
        <v>47</v>
      </c>
      <c r="C1704" s="9">
        <v>8814</v>
      </c>
      <c r="D1704" s="9">
        <f>PRODUCT(sales_data_sample[[#This Row],[QUANTITYORDERED]],sales_data_sample[[#This Row],[PRICEEACH]])</f>
        <v>414258</v>
      </c>
      <c r="E1704" s="9">
        <f>IF(OR(sales_data_sample[[#This Row],[STATUS]]="Shipped",sales_data_sample[[#This Row],[STATUS]]="Resolved"),sales_data_sample[[#This Row],[SALES]],0)</f>
        <v>414258</v>
      </c>
      <c r="F1704" s="10">
        <v>14</v>
      </c>
      <c r="G1704" s="12" t="s">
        <v>822</v>
      </c>
      <c r="H1704" s="1" t="s">
        <v>26</v>
      </c>
      <c r="I1704">
        <v>1</v>
      </c>
      <c r="J1704">
        <v>3</v>
      </c>
      <c r="K1704">
        <v>2004</v>
      </c>
      <c r="L1704" s="1" t="s">
        <v>239</v>
      </c>
      <c r="M1704">
        <v>90</v>
      </c>
      <c r="N1704" s="1" t="s">
        <v>962</v>
      </c>
      <c r="O1704" s="1" t="s">
        <v>291</v>
      </c>
      <c r="P1704" s="1" t="s">
        <v>292</v>
      </c>
      <c r="Q1704" s="1" t="s">
        <v>293</v>
      </c>
      <c r="R1704" s="1" t="s">
        <v>32</v>
      </c>
      <c r="S1704" s="1" t="s">
        <v>294</v>
      </c>
      <c r="T1704" s="1" t="s">
        <v>32</v>
      </c>
      <c r="U1704" s="1" t="s">
        <v>295</v>
      </c>
      <c r="V1704" s="1" t="s">
        <v>47</v>
      </c>
      <c r="W1704" s="1" t="s">
        <v>48</v>
      </c>
      <c r="X1704" s="1" t="s">
        <v>296</v>
      </c>
      <c r="Y1704" s="1" t="s">
        <v>297</v>
      </c>
      <c r="Z1704" s="1" t="str">
        <f>TRIM(_xlfn.CONCAT(sales_data_sample[[#This Row],[CONTACTFIRSTNAME]],", ",sales_data_sample[[#This Row],[CONTACTLASTNAME]]))</f>
        <v>Mary, Saveley</v>
      </c>
      <c r="AA1704" s="1" t="s">
        <v>59</v>
      </c>
    </row>
    <row r="1705" spans="1:27" x14ac:dyDescent="0.25">
      <c r="A1705" s="10">
        <v>10241</v>
      </c>
      <c r="B1705" s="9">
        <v>47</v>
      </c>
      <c r="C1705" s="9">
        <v>945</v>
      </c>
      <c r="D1705" s="9">
        <f>PRODUCT(sales_data_sample[[#This Row],[QUANTITYORDERED]],sales_data_sample[[#This Row],[PRICEEACH]])</f>
        <v>44415</v>
      </c>
      <c r="E1705" s="9">
        <f>IF(OR(sales_data_sample[[#This Row],[STATUS]]="Shipped",sales_data_sample[[#This Row],[STATUS]]="Resolved"),sales_data_sample[[#This Row],[SALES]],0)</f>
        <v>44415</v>
      </c>
      <c r="F1705" s="10">
        <v>6</v>
      </c>
      <c r="G1705" s="12" t="s">
        <v>777</v>
      </c>
      <c r="H1705" s="1" t="s">
        <v>26</v>
      </c>
      <c r="I1705">
        <v>2</v>
      </c>
      <c r="J1705">
        <v>4</v>
      </c>
      <c r="K1705">
        <v>2004</v>
      </c>
      <c r="L1705" s="1" t="s">
        <v>239</v>
      </c>
      <c r="M1705">
        <v>90</v>
      </c>
      <c r="N1705" s="1" t="s">
        <v>962</v>
      </c>
      <c r="O1705" s="1" t="s">
        <v>763</v>
      </c>
      <c r="P1705" s="1" t="s">
        <v>764</v>
      </c>
      <c r="Q1705" s="1" t="s">
        <v>765</v>
      </c>
      <c r="R1705" s="1" t="s">
        <v>32</v>
      </c>
      <c r="S1705" s="1" t="s">
        <v>766</v>
      </c>
      <c r="T1705" s="1" t="s">
        <v>32</v>
      </c>
      <c r="U1705" s="1" t="s">
        <v>767</v>
      </c>
      <c r="V1705" s="1" t="s">
        <v>47</v>
      </c>
      <c r="W1705" s="1" t="s">
        <v>48</v>
      </c>
      <c r="X1705" s="1" t="s">
        <v>768</v>
      </c>
      <c r="Y1705" s="1" t="s">
        <v>769</v>
      </c>
      <c r="Z1705" s="1" t="str">
        <f>TRIM(_xlfn.CONCAT(sales_data_sample[[#This Row],[CONTACTFIRSTNAME]],", ",sales_data_sample[[#This Row],[CONTACTLASTNAME]]))</f>
        <v>Frederique, Citeaux</v>
      </c>
      <c r="AA1705" s="1" t="s">
        <v>59</v>
      </c>
    </row>
    <row r="1706" spans="1:27" x14ac:dyDescent="0.25">
      <c r="A1706">
        <v>10267</v>
      </c>
      <c r="B1706">
        <v>38</v>
      </c>
      <c r="C1706">
        <v>8724</v>
      </c>
      <c r="D1706">
        <f>PRODUCT(sales_data_sample[[#This Row],[QUANTITYORDERED]],sales_data_sample[[#This Row],[PRICEEACH]])</f>
        <v>331512</v>
      </c>
      <c r="E1706" s="9">
        <f>IF(OR(sales_data_sample[[#This Row],[STATUS]]="Shipped",sales_data_sample[[#This Row],[STATUS]]="Resolved"),sales_data_sample[[#This Row],[SALES]],0)</f>
        <v>331512</v>
      </c>
      <c r="F1706">
        <v>3</v>
      </c>
      <c r="G1706" s="12" t="s">
        <v>948</v>
      </c>
      <c r="H1706" s="1" t="s">
        <v>26</v>
      </c>
      <c r="I1706">
        <v>3</v>
      </c>
      <c r="J1706">
        <v>7</v>
      </c>
      <c r="K1706">
        <v>2004</v>
      </c>
      <c r="L1706" s="1" t="s">
        <v>239</v>
      </c>
      <c r="M1706">
        <v>90</v>
      </c>
      <c r="N1706" s="1" t="s">
        <v>962</v>
      </c>
      <c r="O1706" s="1" t="s">
        <v>667</v>
      </c>
      <c r="P1706" s="1" t="s">
        <v>668</v>
      </c>
      <c r="Q1706" s="1" t="s">
        <v>669</v>
      </c>
      <c r="R1706" s="1" t="s">
        <v>670</v>
      </c>
      <c r="S1706" s="1" t="s">
        <v>33</v>
      </c>
      <c r="T1706" s="1" t="s">
        <v>34</v>
      </c>
      <c r="U1706" s="1" t="s">
        <v>35</v>
      </c>
      <c r="V1706" s="1" t="s">
        <v>36</v>
      </c>
      <c r="W1706" s="1" t="s">
        <v>37</v>
      </c>
      <c r="X1706" s="1" t="s">
        <v>67</v>
      </c>
      <c r="Y1706" s="1" t="s">
        <v>671</v>
      </c>
      <c r="Z1706" s="1" t="str">
        <f>TRIM(_xlfn.CONCAT(sales_data_sample[[#This Row],[CONTACTFIRSTNAME]],", ",sales_data_sample[[#This Row],[CONTACTLASTNAME]]))</f>
        <v>Jeff, Young</v>
      </c>
      <c r="AA1706" s="1" t="s">
        <v>59</v>
      </c>
    </row>
    <row r="1707" spans="1:27" x14ac:dyDescent="0.25">
      <c r="A1707" s="10">
        <v>10279</v>
      </c>
      <c r="B1707" s="9">
        <v>49</v>
      </c>
      <c r="C1707" s="9">
        <v>7997</v>
      </c>
      <c r="D1707" s="9">
        <f>PRODUCT(sales_data_sample[[#This Row],[QUANTITYORDERED]],sales_data_sample[[#This Row],[PRICEEACH]])</f>
        <v>391853</v>
      </c>
      <c r="E1707" s="9">
        <f>IF(OR(sales_data_sample[[#This Row],[STATUS]]="Shipped",sales_data_sample[[#This Row],[STATUS]]="Resolved"),sales_data_sample[[#This Row],[SALES]],0)</f>
        <v>391853</v>
      </c>
      <c r="F1707" s="10">
        <v>3</v>
      </c>
      <c r="G1707" s="12" t="s">
        <v>949</v>
      </c>
      <c r="H1707" s="1" t="s">
        <v>26</v>
      </c>
      <c r="I1707">
        <v>3</v>
      </c>
      <c r="J1707">
        <v>8</v>
      </c>
      <c r="K1707">
        <v>2004</v>
      </c>
      <c r="L1707" s="1" t="s">
        <v>239</v>
      </c>
      <c r="M1707">
        <v>90</v>
      </c>
      <c r="N1707" s="1" t="s">
        <v>962</v>
      </c>
      <c r="O1707" s="1" t="s">
        <v>230</v>
      </c>
      <c r="P1707" s="1" t="s">
        <v>231</v>
      </c>
      <c r="Q1707" s="1" t="s">
        <v>232</v>
      </c>
      <c r="R1707" s="1" t="s">
        <v>32</v>
      </c>
      <c r="S1707" s="1" t="s">
        <v>233</v>
      </c>
      <c r="T1707" s="1" t="s">
        <v>32</v>
      </c>
      <c r="U1707" s="1" t="s">
        <v>234</v>
      </c>
      <c r="V1707" s="1" t="s">
        <v>235</v>
      </c>
      <c r="W1707" s="1" t="s">
        <v>48</v>
      </c>
      <c r="X1707" s="1" t="s">
        <v>236</v>
      </c>
      <c r="Y1707" s="1" t="s">
        <v>237</v>
      </c>
      <c r="Z1707" s="1" t="str">
        <f>TRIM(_xlfn.CONCAT(sales_data_sample[[#This Row],[CONTACTFIRSTNAME]],", ",sales_data_sample[[#This Row],[CONTACTLASTNAME]]))</f>
        <v>Diego, Freyre</v>
      </c>
      <c r="AA1707" s="1" t="s">
        <v>59</v>
      </c>
    </row>
    <row r="1708" spans="1:27" x14ac:dyDescent="0.25">
      <c r="A1708">
        <v>10288</v>
      </c>
      <c r="B1708">
        <v>35</v>
      </c>
      <c r="C1708">
        <v>8087</v>
      </c>
      <c r="D1708">
        <f>PRODUCT(sales_data_sample[[#This Row],[QUANTITYORDERED]],sales_data_sample[[#This Row],[PRICEEACH]])</f>
        <v>283045</v>
      </c>
      <c r="E1708" s="9">
        <f>IF(OR(sales_data_sample[[#This Row],[STATUS]]="Shipped",sales_data_sample[[#This Row],[STATUS]]="Resolved"),sales_data_sample[[#This Row],[SALES]],0)</f>
        <v>283045</v>
      </c>
      <c r="F1708">
        <v>9</v>
      </c>
      <c r="G1708" s="12" t="s">
        <v>834</v>
      </c>
      <c r="H1708" s="1" t="s">
        <v>26</v>
      </c>
      <c r="I1708">
        <v>3</v>
      </c>
      <c r="J1708">
        <v>9</v>
      </c>
      <c r="K1708">
        <v>2004</v>
      </c>
      <c r="L1708" s="1" t="s">
        <v>239</v>
      </c>
      <c r="M1708">
        <v>90</v>
      </c>
      <c r="N1708" s="1" t="s">
        <v>962</v>
      </c>
      <c r="O1708" s="1" t="s">
        <v>577</v>
      </c>
      <c r="P1708" s="1" t="s">
        <v>578</v>
      </c>
      <c r="Q1708" s="1" t="s">
        <v>579</v>
      </c>
      <c r="R1708" s="1" t="s">
        <v>580</v>
      </c>
      <c r="S1708" s="1" t="s">
        <v>262</v>
      </c>
      <c r="T1708" s="1" t="s">
        <v>32</v>
      </c>
      <c r="U1708" s="1" t="s">
        <v>581</v>
      </c>
      <c r="V1708" s="1" t="s">
        <v>262</v>
      </c>
      <c r="W1708" s="1" t="s">
        <v>121</v>
      </c>
      <c r="X1708" s="1" t="s">
        <v>582</v>
      </c>
      <c r="Y1708" s="1" t="s">
        <v>583</v>
      </c>
      <c r="Z1708" s="1" t="str">
        <f>TRIM(_xlfn.CONCAT(sales_data_sample[[#This Row],[CONTACTFIRSTNAME]],", ",sales_data_sample[[#This Row],[CONTACTLASTNAME]]))</f>
        <v>Wendy, Victorino</v>
      </c>
      <c r="AA1708" s="1" t="s">
        <v>40</v>
      </c>
    </row>
    <row r="1709" spans="1:27" x14ac:dyDescent="0.25">
      <c r="A1709" s="10">
        <v>10302</v>
      </c>
      <c r="B1709" s="9">
        <v>49</v>
      </c>
      <c r="C1709" s="9">
        <v>100</v>
      </c>
      <c r="D1709" s="9">
        <f>PRODUCT(sales_data_sample[[#This Row],[QUANTITYORDERED]],sales_data_sample[[#This Row],[PRICEEACH]])</f>
        <v>4900</v>
      </c>
      <c r="E1709" s="9">
        <f>IF(OR(sales_data_sample[[#This Row],[STATUS]]="Shipped",sales_data_sample[[#This Row],[STATUS]]="Resolved"),sales_data_sample[[#This Row],[SALES]],0)</f>
        <v>4900</v>
      </c>
      <c r="F1709" s="10">
        <v>5</v>
      </c>
      <c r="G1709" s="12" t="s">
        <v>459</v>
      </c>
      <c r="H1709" s="1" t="s">
        <v>26</v>
      </c>
      <c r="I1709">
        <v>4</v>
      </c>
      <c r="J1709">
        <v>10</v>
      </c>
      <c r="K1709">
        <v>2003</v>
      </c>
      <c r="L1709" s="1" t="s">
        <v>239</v>
      </c>
      <c r="M1709">
        <v>90</v>
      </c>
      <c r="N1709" s="1" t="s">
        <v>962</v>
      </c>
      <c r="O1709" s="1" t="s">
        <v>220</v>
      </c>
      <c r="P1709" s="1" t="s">
        <v>221</v>
      </c>
      <c r="Q1709" s="1" t="s">
        <v>222</v>
      </c>
      <c r="R1709" s="1" t="s">
        <v>32</v>
      </c>
      <c r="S1709" s="1" t="s">
        <v>223</v>
      </c>
      <c r="T1709" s="1" t="s">
        <v>32</v>
      </c>
      <c r="U1709" s="1" t="s">
        <v>224</v>
      </c>
      <c r="V1709" s="1" t="s">
        <v>225</v>
      </c>
      <c r="W1709" s="1" t="s">
        <v>48</v>
      </c>
      <c r="X1709" s="1" t="s">
        <v>226</v>
      </c>
      <c r="Y1709" s="1" t="s">
        <v>227</v>
      </c>
      <c r="Z1709" s="1" t="str">
        <f>TRIM(_xlfn.CONCAT(sales_data_sample[[#This Row],[CONTACTFIRSTNAME]],", ",sales_data_sample[[#This Row],[CONTACTLASTNAME]]))</f>
        <v>Elizabeth, Devon</v>
      </c>
      <c r="AA1709" s="1" t="s">
        <v>59</v>
      </c>
    </row>
    <row r="1710" spans="1:27" x14ac:dyDescent="0.25">
      <c r="A1710" s="10">
        <v>10311</v>
      </c>
      <c r="B1710" s="9">
        <v>28</v>
      </c>
      <c r="C1710" s="9">
        <v>936</v>
      </c>
      <c r="D1710" s="9">
        <f>PRODUCT(sales_data_sample[[#This Row],[QUANTITYORDERED]],sales_data_sample[[#This Row],[PRICEEACH]])</f>
        <v>26208</v>
      </c>
      <c r="E1710" s="9">
        <f>IF(OR(sales_data_sample[[#This Row],[STATUS]]="Shipped",sales_data_sample[[#This Row],[STATUS]]="Resolved"),sales_data_sample[[#This Row],[SALES]],0)</f>
        <v>26208</v>
      </c>
      <c r="F1710" s="10">
        <v>4</v>
      </c>
      <c r="G1710" s="12" t="s">
        <v>653</v>
      </c>
      <c r="H1710" s="1" t="s">
        <v>26</v>
      </c>
      <c r="I1710">
        <v>4</v>
      </c>
      <c r="J1710">
        <v>10</v>
      </c>
      <c r="K1710">
        <v>2004</v>
      </c>
      <c r="L1710" s="1" t="s">
        <v>239</v>
      </c>
      <c r="M1710">
        <v>90</v>
      </c>
      <c r="N1710" s="1" t="s">
        <v>962</v>
      </c>
      <c r="O1710" s="1" t="s">
        <v>230</v>
      </c>
      <c r="P1710" s="1" t="s">
        <v>231</v>
      </c>
      <c r="Q1710" s="1" t="s">
        <v>232</v>
      </c>
      <c r="R1710" s="1" t="s">
        <v>32</v>
      </c>
      <c r="S1710" s="1" t="s">
        <v>233</v>
      </c>
      <c r="T1710" s="1" t="s">
        <v>32</v>
      </c>
      <c r="U1710" s="1" t="s">
        <v>234</v>
      </c>
      <c r="V1710" s="1" t="s">
        <v>235</v>
      </c>
      <c r="W1710" s="1" t="s">
        <v>48</v>
      </c>
      <c r="X1710" s="1" t="s">
        <v>236</v>
      </c>
      <c r="Y1710" s="1" t="s">
        <v>237</v>
      </c>
      <c r="Z1710" s="1" t="str">
        <f>TRIM(_xlfn.CONCAT(sales_data_sample[[#This Row],[CONTACTFIRSTNAME]],", ",sales_data_sample[[#This Row],[CONTACTLASTNAME]]))</f>
        <v>Diego, Freyre</v>
      </c>
      <c r="AA1710" s="1" t="s">
        <v>40</v>
      </c>
    </row>
    <row r="1711" spans="1:27" x14ac:dyDescent="0.25">
      <c r="A1711" s="10">
        <v>10321</v>
      </c>
      <c r="B1711" s="9">
        <v>30</v>
      </c>
      <c r="C1711" s="9">
        <v>727</v>
      </c>
      <c r="D1711" s="9">
        <f>PRODUCT(sales_data_sample[[#This Row],[QUANTITYORDERED]],sales_data_sample[[#This Row],[PRICEEACH]])</f>
        <v>21810</v>
      </c>
      <c r="E1711" s="9">
        <f>IF(OR(sales_data_sample[[#This Row],[STATUS]]="Shipped",sales_data_sample[[#This Row],[STATUS]]="Resolved"),sales_data_sample[[#This Row],[SALES]],0)</f>
        <v>21810</v>
      </c>
      <c r="F1711" s="10">
        <v>1</v>
      </c>
      <c r="G1711" s="12" t="s">
        <v>367</v>
      </c>
      <c r="H1711" s="1" t="s">
        <v>26</v>
      </c>
      <c r="I1711">
        <v>4</v>
      </c>
      <c r="J1711">
        <v>11</v>
      </c>
      <c r="K1711">
        <v>2004</v>
      </c>
      <c r="L1711" s="1" t="s">
        <v>239</v>
      </c>
      <c r="M1711">
        <v>90</v>
      </c>
      <c r="N1711" s="1" t="s">
        <v>962</v>
      </c>
      <c r="O1711" s="1" t="s">
        <v>212</v>
      </c>
      <c r="P1711" s="1" t="s">
        <v>213</v>
      </c>
      <c r="Q1711" s="1" t="s">
        <v>214</v>
      </c>
      <c r="R1711" s="1" t="s">
        <v>32</v>
      </c>
      <c r="S1711" s="1" t="s">
        <v>215</v>
      </c>
      <c r="T1711" s="1" t="s">
        <v>160</v>
      </c>
      <c r="U1711" s="1" t="s">
        <v>216</v>
      </c>
      <c r="V1711" s="1" t="s">
        <v>36</v>
      </c>
      <c r="W1711" s="1" t="s">
        <v>37</v>
      </c>
      <c r="X1711" s="1" t="s">
        <v>217</v>
      </c>
      <c r="Y1711" s="1" t="s">
        <v>218</v>
      </c>
      <c r="Z1711" s="1" t="str">
        <f>TRIM(_xlfn.CONCAT(sales_data_sample[[#This Row],[CONTACTFIRSTNAME]],", ",sales_data_sample[[#This Row],[CONTACTLASTNAME]]))</f>
        <v>Violeta, Benitez</v>
      </c>
      <c r="AA1711" s="1" t="s">
        <v>40</v>
      </c>
    </row>
    <row r="1712" spans="1:27" x14ac:dyDescent="0.25">
      <c r="A1712" s="10">
        <v>10332</v>
      </c>
      <c r="B1712" s="9">
        <v>39</v>
      </c>
      <c r="C1712" s="9">
        <v>8672</v>
      </c>
      <c r="D1712" s="9">
        <f>PRODUCT(sales_data_sample[[#This Row],[QUANTITYORDERED]],sales_data_sample[[#This Row],[PRICEEACH]])</f>
        <v>338208</v>
      </c>
      <c r="E1712" s="9">
        <f>IF(OR(sales_data_sample[[#This Row],[STATUS]]="Shipped",sales_data_sample[[#This Row],[STATUS]]="Resolved"),sales_data_sample[[#This Row],[SALES]],0)</f>
        <v>338208</v>
      </c>
      <c r="F1712" s="10">
        <v>7</v>
      </c>
      <c r="G1712" s="12" t="s">
        <v>793</v>
      </c>
      <c r="H1712" s="1" t="s">
        <v>26</v>
      </c>
      <c r="I1712">
        <v>4</v>
      </c>
      <c r="J1712">
        <v>11</v>
      </c>
      <c r="K1712">
        <v>2004</v>
      </c>
      <c r="L1712" s="1" t="s">
        <v>239</v>
      </c>
      <c r="M1712">
        <v>90</v>
      </c>
      <c r="N1712" s="1" t="s">
        <v>962</v>
      </c>
      <c r="O1712" s="1" t="s">
        <v>695</v>
      </c>
      <c r="P1712" s="1" t="s">
        <v>696</v>
      </c>
      <c r="Q1712" s="1" t="s">
        <v>697</v>
      </c>
      <c r="R1712" s="1" t="s">
        <v>32</v>
      </c>
      <c r="S1712" s="1" t="s">
        <v>698</v>
      </c>
      <c r="T1712" s="1" t="s">
        <v>32</v>
      </c>
      <c r="U1712" s="1" t="s">
        <v>699</v>
      </c>
      <c r="V1712" s="1" t="s">
        <v>225</v>
      </c>
      <c r="W1712" s="1" t="s">
        <v>48</v>
      </c>
      <c r="X1712" s="1" t="s">
        <v>700</v>
      </c>
      <c r="Y1712" s="1" t="s">
        <v>118</v>
      </c>
      <c r="Z1712" s="1" t="str">
        <f>TRIM(_xlfn.CONCAT(sales_data_sample[[#This Row],[CONTACTFIRSTNAME]],", ",sales_data_sample[[#This Row],[CONTACTLASTNAME]]))</f>
        <v>Victoria, Ashworth</v>
      </c>
      <c r="AA1712" s="1" t="s">
        <v>59</v>
      </c>
    </row>
    <row r="1713" spans="1:27" x14ac:dyDescent="0.25">
      <c r="A1713" s="10">
        <v>10346</v>
      </c>
      <c r="B1713" s="9">
        <v>25</v>
      </c>
      <c r="C1713" s="9">
        <v>100</v>
      </c>
      <c r="D1713" s="9">
        <f>PRODUCT(sales_data_sample[[#This Row],[QUANTITYORDERED]],sales_data_sample[[#This Row],[PRICEEACH]])</f>
        <v>2500</v>
      </c>
      <c r="E1713" s="9">
        <f>IF(OR(sales_data_sample[[#This Row],[STATUS]]="Shipped",sales_data_sample[[#This Row],[STATUS]]="Resolved"),sales_data_sample[[#This Row],[SALES]],0)</f>
        <v>2500</v>
      </c>
      <c r="F1713" s="10">
        <v>1</v>
      </c>
      <c r="G1713" s="12" t="s">
        <v>375</v>
      </c>
      <c r="H1713" s="1" t="s">
        <v>26</v>
      </c>
      <c r="I1713">
        <v>4</v>
      </c>
      <c r="J1713">
        <v>11</v>
      </c>
      <c r="K1713">
        <v>2004</v>
      </c>
      <c r="L1713" s="1" t="s">
        <v>239</v>
      </c>
      <c r="M1713">
        <v>90</v>
      </c>
      <c r="N1713" s="1" t="s">
        <v>962</v>
      </c>
      <c r="O1713" s="1" t="s">
        <v>779</v>
      </c>
      <c r="P1713" s="1" t="s">
        <v>780</v>
      </c>
      <c r="Q1713" s="1" t="s">
        <v>781</v>
      </c>
      <c r="R1713" s="1" t="s">
        <v>32</v>
      </c>
      <c r="S1713" s="1" t="s">
        <v>782</v>
      </c>
      <c r="T1713" s="1" t="s">
        <v>783</v>
      </c>
      <c r="U1713" s="1" t="s">
        <v>784</v>
      </c>
      <c r="V1713" s="1" t="s">
        <v>36</v>
      </c>
      <c r="W1713" s="1" t="s">
        <v>37</v>
      </c>
      <c r="X1713" s="1" t="s">
        <v>146</v>
      </c>
      <c r="Y1713" s="1" t="s">
        <v>551</v>
      </c>
      <c r="Z1713" s="1" t="str">
        <f>TRIM(_xlfn.CONCAT(sales_data_sample[[#This Row],[CONTACTFIRSTNAME]],", ",sales_data_sample[[#This Row],[CONTACTLASTNAME]]))</f>
        <v>Sue, King</v>
      </c>
      <c r="AA1713" s="1" t="s">
        <v>40</v>
      </c>
    </row>
    <row r="1714" spans="1:27" x14ac:dyDescent="0.25">
      <c r="A1714" s="10">
        <v>10368</v>
      </c>
      <c r="B1714" s="9">
        <v>40</v>
      </c>
      <c r="C1714" s="9">
        <v>100</v>
      </c>
      <c r="D1714" s="9">
        <f>PRODUCT(sales_data_sample[[#This Row],[QUANTITYORDERED]],sales_data_sample[[#This Row],[PRICEEACH]])</f>
        <v>4000</v>
      </c>
      <c r="E1714" s="9">
        <f>IF(OR(sales_data_sample[[#This Row],[STATUS]]="Shipped",sales_data_sample[[#This Row],[STATUS]]="Resolved"),sales_data_sample[[#This Row],[SALES]],0)</f>
        <v>4000</v>
      </c>
      <c r="F1714" s="10">
        <v>2</v>
      </c>
      <c r="G1714" s="12" t="s">
        <v>963</v>
      </c>
      <c r="H1714" s="1" t="s">
        <v>26</v>
      </c>
      <c r="I1714">
        <v>1</v>
      </c>
      <c r="J1714">
        <v>1</v>
      </c>
      <c r="K1714">
        <v>2005</v>
      </c>
      <c r="L1714" s="1" t="s">
        <v>239</v>
      </c>
      <c r="M1714">
        <v>90</v>
      </c>
      <c r="N1714" s="1" t="s">
        <v>962</v>
      </c>
      <c r="O1714" s="1" t="s">
        <v>361</v>
      </c>
      <c r="P1714" s="1" t="s">
        <v>362</v>
      </c>
      <c r="Q1714" s="1" t="s">
        <v>363</v>
      </c>
      <c r="R1714" s="1" t="s">
        <v>32</v>
      </c>
      <c r="S1714" s="1" t="s">
        <v>364</v>
      </c>
      <c r="T1714" s="1" t="s">
        <v>65</v>
      </c>
      <c r="U1714" s="1" t="s">
        <v>145</v>
      </c>
      <c r="V1714" s="1" t="s">
        <v>36</v>
      </c>
      <c r="W1714" s="1" t="s">
        <v>37</v>
      </c>
      <c r="X1714" s="1" t="s">
        <v>365</v>
      </c>
      <c r="Y1714" s="1" t="s">
        <v>366</v>
      </c>
      <c r="Z1714" s="1" t="str">
        <f>TRIM(_xlfn.CONCAT(sales_data_sample[[#This Row],[CONTACTFIRSTNAME]],", ",sales_data_sample[[#This Row],[CONTACTLASTNAME]]))</f>
        <v>Valarie, Nelson</v>
      </c>
      <c r="AA1714" s="1" t="s">
        <v>59</v>
      </c>
    </row>
    <row r="1715" spans="1:27" x14ac:dyDescent="0.25">
      <c r="A1715" s="10">
        <v>10380</v>
      </c>
      <c r="B1715" s="9">
        <v>36</v>
      </c>
      <c r="C1715" s="9">
        <v>375</v>
      </c>
      <c r="D1715" s="9">
        <f>PRODUCT(sales_data_sample[[#This Row],[QUANTITYORDERED]],sales_data_sample[[#This Row],[PRICEEACH]])</f>
        <v>13500</v>
      </c>
      <c r="E1715" s="9">
        <f>IF(OR(sales_data_sample[[#This Row],[STATUS]]="Shipped",sales_data_sample[[#This Row],[STATUS]]="Resolved"),sales_data_sample[[#This Row],[SALES]],0)</f>
        <v>13500</v>
      </c>
      <c r="F1715" s="10">
        <v>6</v>
      </c>
      <c r="G1715" s="12" t="s">
        <v>826</v>
      </c>
      <c r="H1715" s="1" t="s">
        <v>26</v>
      </c>
      <c r="I1715">
        <v>1</v>
      </c>
      <c r="J1715">
        <v>2</v>
      </c>
      <c r="K1715">
        <v>2005</v>
      </c>
      <c r="L1715" s="1" t="s">
        <v>239</v>
      </c>
      <c r="M1715">
        <v>90</v>
      </c>
      <c r="N1715" s="1" t="s">
        <v>962</v>
      </c>
      <c r="O1715" s="1" t="s">
        <v>230</v>
      </c>
      <c r="P1715" s="1" t="s">
        <v>231</v>
      </c>
      <c r="Q1715" s="1" t="s">
        <v>232</v>
      </c>
      <c r="R1715" s="1" t="s">
        <v>32</v>
      </c>
      <c r="S1715" s="1" t="s">
        <v>233</v>
      </c>
      <c r="T1715" s="1" t="s">
        <v>32</v>
      </c>
      <c r="U1715" s="1" t="s">
        <v>234</v>
      </c>
      <c r="V1715" s="1" t="s">
        <v>235</v>
      </c>
      <c r="W1715" s="1" t="s">
        <v>48</v>
      </c>
      <c r="X1715" s="1" t="s">
        <v>236</v>
      </c>
      <c r="Y1715" s="1" t="s">
        <v>237</v>
      </c>
      <c r="Z1715" s="1" t="str">
        <f>TRIM(_xlfn.CONCAT(sales_data_sample[[#This Row],[CONTACTFIRSTNAME]],", ",sales_data_sample[[#This Row],[CONTACTLASTNAME]]))</f>
        <v>Diego, Freyre</v>
      </c>
      <c r="AA1715" s="1" t="s">
        <v>40</v>
      </c>
    </row>
    <row r="1716" spans="1:27" x14ac:dyDescent="0.25">
      <c r="A1716" s="10">
        <v>10407</v>
      </c>
      <c r="B1716" s="9">
        <v>76</v>
      </c>
      <c r="C1716" s="9">
        <v>945</v>
      </c>
      <c r="D1716" s="9">
        <f>PRODUCT(sales_data_sample[[#This Row],[QUANTITYORDERED]],sales_data_sample[[#This Row],[PRICEEACH]])</f>
        <v>71820</v>
      </c>
      <c r="E1716" s="9">
        <f>IF(OR(sales_data_sample[[#This Row],[STATUS]]="Shipped",sales_data_sample[[#This Row],[STATUS]]="Resolved"),sales_data_sample[[#This Row],[SALES]],0)</f>
        <v>0</v>
      </c>
      <c r="F1716" s="10">
        <v>6</v>
      </c>
      <c r="G1716" s="12" t="s">
        <v>837</v>
      </c>
      <c r="H1716" s="1" t="s">
        <v>553</v>
      </c>
      <c r="I1716">
        <v>2</v>
      </c>
      <c r="J1716">
        <v>4</v>
      </c>
      <c r="K1716">
        <v>2005</v>
      </c>
      <c r="L1716" s="1" t="s">
        <v>239</v>
      </c>
      <c r="M1716">
        <v>90</v>
      </c>
      <c r="N1716" s="1" t="s">
        <v>962</v>
      </c>
      <c r="O1716" s="1" t="s">
        <v>547</v>
      </c>
      <c r="P1716" s="1" t="s">
        <v>548</v>
      </c>
      <c r="Q1716" s="1" t="s">
        <v>549</v>
      </c>
      <c r="R1716" s="1" t="s">
        <v>32</v>
      </c>
      <c r="S1716" s="1" t="s">
        <v>550</v>
      </c>
      <c r="T1716" s="1" t="s">
        <v>65</v>
      </c>
      <c r="U1716" s="1" t="s">
        <v>80</v>
      </c>
      <c r="V1716" s="1" t="s">
        <v>36</v>
      </c>
      <c r="W1716" s="1" t="s">
        <v>37</v>
      </c>
      <c r="X1716" s="1" t="s">
        <v>129</v>
      </c>
      <c r="Y1716" s="1" t="s">
        <v>551</v>
      </c>
      <c r="Z1716" s="1" t="str">
        <f>TRIM(_xlfn.CONCAT(sales_data_sample[[#This Row],[CONTACTFIRSTNAME]],", ",sales_data_sample[[#This Row],[CONTACTLASTNAME]]))</f>
        <v>Sue, Frick</v>
      </c>
      <c r="AA1716" s="1" t="s">
        <v>199</v>
      </c>
    </row>
    <row r="1717" spans="1:27" x14ac:dyDescent="0.25">
      <c r="A1717">
        <v>10420</v>
      </c>
      <c r="B1717">
        <v>39</v>
      </c>
      <c r="C1717">
        <v>100</v>
      </c>
      <c r="D1717">
        <f>PRODUCT(sales_data_sample[[#This Row],[QUANTITYORDERED]],sales_data_sample[[#This Row],[PRICEEACH]])</f>
        <v>3900</v>
      </c>
      <c r="E1717" s="9">
        <f>IF(OR(sales_data_sample[[#This Row],[STATUS]]="Shipped",sales_data_sample[[#This Row],[STATUS]]="Resolved"),sales_data_sample[[#This Row],[SALES]],0)</f>
        <v>0</v>
      </c>
      <c r="F1717">
        <v>9</v>
      </c>
      <c r="G1717" s="12" t="s">
        <v>876</v>
      </c>
      <c r="H1717" s="1" t="s">
        <v>403</v>
      </c>
      <c r="I1717">
        <v>2</v>
      </c>
      <c r="J1717">
        <v>5</v>
      </c>
      <c r="K1717">
        <v>2005</v>
      </c>
      <c r="L1717" s="1" t="s">
        <v>239</v>
      </c>
      <c r="M1717">
        <v>90</v>
      </c>
      <c r="N1717" s="1" t="s">
        <v>962</v>
      </c>
      <c r="O1717" s="1" t="s">
        <v>201</v>
      </c>
      <c r="P1717" s="1" t="s">
        <v>202</v>
      </c>
      <c r="Q1717" s="1" t="s">
        <v>203</v>
      </c>
      <c r="R1717" s="1" t="s">
        <v>204</v>
      </c>
      <c r="S1717" s="1" t="s">
        <v>205</v>
      </c>
      <c r="T1717" s="1" t="s">
        <v>206</v>
      </c>
      <c r="U1717" s="1" t="s">
        <v>207</v>
      </c>
      <c r="V1717" s="1" t="s">
        <v>120</v>
      </c>
      <c r="W1717" s="1" t="s">
        <v>121</v>
      </c>
      <c r="X1717" s="1" t="s">
        <v>208</v>
      </c>
      <c r="Y1717" s="1" t="s">
        <v>209</v>
      </c>
      <c r="Z1717" s="1" t="str">
        <f>TRIM(_xlfn.CONCAT(sales_data_sample[[#This Row],[CONTACTFIRSTNAME]],", ",sales_data_sample[[#This Row],[CONTACTLASTNAME]]))</f>
        <v>Adrian, Huxley</v>
      </c>
      <c r="AA1717" s="1" t="s">
        <v>59</v>
      </c>
    </row>
    <row r="1718" spans="1:27" x14ac:dyDescent="0.25">
      <c r="A1718" s="10">
        <v>10104</v>
      </c>
      <c r="B1718" s="9">
        <v>44</v>
      </c>
      <c r="C1718" s="9">
        <v>396</v>
      </c>
      <c r="D1718" s="9">
        <f>PRODUCT(sales_data_sample[[#This Row],[QUANTITYORDERED]],sales_data_sample[[#This Row],[PRICEEACH]])</f>
        <v>17424</v>
      </c>
      <c r="E1718" s="9">
        <f>IF(OR(sales_data_sample[[#This Row],[STATUS]]="Shipped",sales_data_sample[[#This Row],[STATUS]]="Resolved"),sales_data_sample[[#This Row],[SALES]],0)</f>
        <v>17424</v>
      </c>
      <c r="F1718" s="10">
        <v>10</v>
      </c>
      <c r="G1718" s="12" t="s">
        <v>723</v>
      </c>
      <c r="H1718" s="1" t="s">
        <v>26</v>
      </c>
      <c r="I1718">
        <v>1</v>
      </c>
      <c r="J1718">
        <v>1</v>
      </c>
      <c r="K1718">
        <v>2003</v>
      </c>
      <c r="L1718" s="1" t="s">
        <v>239</v>
      </c>
      <c r="M1718">
        <v>35</v>
      </c>
      <c r="N1718" s="1" t="s">
        <v>964</v>
      </c>
      <c r="O1718" s="1" t="s">
        <v>230</v>
      </c>
      <c r="P1718" s="1" t="s">
        <v>231</v>
      </c>
      <c r="Q1718" s="1" t="s">
        <v>232</v>
      </c>
      <c r="R1718" s="1" t="s">
        <v>32</v>
      </c>
      <c r="S1718" s="1" t="s">
        <v>233</v>
      </c>
      <c r="T1718" s="1" t="s">
        <v>32</v>
      </c>
      <c r="U1718" s="1" t="s">
        <v>234</v>
      </c>
      <c r="V1718" s="1" t="s">
        <v>235</v>
      </c>
      <c r="W1718" s="1" t="s">
        <v>48</v>
      </c>
      <c r="X1718" s="1" t="s">
        <v>236</v>
      </c>
      <c r="Y1718" s="1" t="s">
        <v>237</v>
      </c>
      <c r="Z1718" s="1" t="str">
        <f>TRIM(_xlfn.CONCAT(sales_data_sample[[#This Row],[CONTACTFIRSTNAME]],", ",sales_data_sample[[#This Row],[CONTACTLASTNAME]]))</f>
        <v>Diego, Freyre</v>
      </c>
      <c r="AA1718" s="1" t="s">
        <v>40</v>
      </c>
    </row>
    <row r="1719" spans="1:27" x14ac:dyDescent="0.25">
      <c r="A1719" s="10">
        <v>10114</v>
      </c>
      <c r="B1719" s="9">
        <v>24</v>
      </c>
      <c r="C1719" s="9">
        <v>3006</v>
      </c>
      <c r="D1719" s="9">
        <f>PRODUCT(sales_data_sample[[#This Row],[QUANTITYORDERED]],sales_data_sample[[#This Row],[PRICEEACH]])</f>
        <v>72144</v>
      </c>
      <c r="E1719" s="9">
        <f>IF(OR(sales_data_sample[[#This Row],[STATUS]]="Shipped",sales_data_sample[[#This Row],[STATUS]]="Resolved"),sales_data_sample[[#This Row],[SALES]],0)</f>
        <v>72144</v>
      </c>
      <c r="F1719" s="10">
        <v>1</v>
      </c>
      <c r="G1719" s="12" t="s">
        <v>555</v>
      </c>
      <c r="H1719" s="1" t="s">
        <v>26</v>
      </c>
      <c r="I1719">
        <v>2</v>
      </c>
      <c r="J1719">
        <v>4</v>
      </c>
      <c r="K1719">
        <v>2003</v>
      </c>
      <c r="L1719" s="1" t="s">
        <v>239</v>
      </c>
      <c r="M1719">
        <v>35</v>
      </c>
      <c r="N1719" s="1" t="s">
        <v>964</v>
      </c>
      <c r="O1719" s="1" t="s">
        <v>556</v>
      </c>
      <c r="P1719" s="1" t="s">
        <v>557</v>
      </c>
      <c r="Q1719" s="1" t="s">
        <v>558</v>
      </c>
      <c r="R1719" s="1" t="s">
        <v>32</v>
      </c>
      <c r="S1719" s="1" t="s">
        <v>55</v>
      </c>
      <c r="T1719" s="1" t="s">
        <v>32</v>
      </c>
      <c r="U1719" s="1" t="s">
        <v>559</v>
      </c>
      <c r="V1719" s="1" t="s">
        <v>47</v>
      </c>
      <c r="W1719" s="1" t="s">
        <v>48</v>
      </c>
      <c r="X1719" s="1" t="s">
        <v>560</v>
      </c>
      <c r="Y1719" s="1" t="s">
        <v>561</v>
      </c>
      <c r="Z1719" s="1" t="str">
        <f>TRIM(_xlfn.CONCAT(sales_data_sample[[#This Row],[CONTACTFIRSTNAME]],", ",sales_data_sample[[#This Row],[CONTACTLASTNAME]]))</f>
        <v>Marie, Bertrand</v>
      </c>
      <c r="AA1719" s="1" t="s">
        <v>40</v>
      </c>
    </row>
    <row r="1720" spans="1:27" x14ac:dyDescent="0.25">
      <c r="A1720">
        <v>10127</v>
      </c>
      <c r="B1720">
        <v>39</v>
      </c>
      <c r="C1720">
        <v>3819</v>
      </c>
      <c r="D1720">
        <f>PRODUCT(sales_data_sample[[#This Row],[QUANTITYORDERED]],sales_data_sample[[#This Row],[PRICEEACH]])</f>
        <v>148941</v>
      </c>
      <c r="E1720" s="9">
        <f>IF(OR(sales_data_sample[[#This Row],[STATUS]]="Shipped",sales_data_sample[[#This Row],[STATUS]]="Resolved"),sales_data_sample[[#This Row],[SALES]],0)</f>
        <v>148941</v>
      </c>
      <c r="F1720">
        <v>12</v>
      </c>
      <c r="G1720" s="12" t="s">
        <v>666</v>
      </c>
      <c r="H1720" s="1" t="s">
        <v>26</v>
      </c>
      <c r="I1720">
        <v>2</v>
      </c>
      <c r="J1720">
        <v>6</v>
      </c>
      <c r="K1720">
        <v>2003</v>
      </c>
      <c r="L1720" s="1" t="s">
        <v>239</v>
      </c>
      <c r="M1720">
        <v>35</v>
      </c>
      <c r="N1720" s="1" t="s">
        <v>964</v>
      </c>
      <c r="O1720" s="1" t="s">
        <v>667</v>
      </c>
      <c r="P1720" s="1" t="s">
        <v>668</v>
      </c>
      <c r="Q1720" s="1" t="s">
        <v>669</v>
      </c>
      <c r="R1720" s="1" t="s">
        <v>670</v>
      </c>
      <c r="S1720" s="1" t="s">
        <v>33</v>
      </c>
      <c r="T1720" s="1" t="s">
        <v>34</v>
      </c>
      <c r="U1720" s="1" t="s">
        <v>35</v>
      </c>
      <c r="V1720" s="1" t="s">
        <v>36</v>
      </c>
      <c r="W1720" s="1" t="s">
        <v>37</v>
      </c>
      <c r="X1720" s="1" t="s">
        <v>67</v>
      </c>
      <c r="Y1720" s="1" t="s">
        <v>671</v>
      </c>
      <c r="Z1720" s="1" t="str">
        <f>TRIM(_xlfn.CONCAT(sales_data_sample[[#This Row],[CONTACTFIRSTNAME]],", ",sales_data_sample[[#This Row],[CONTACTLASTNAME]]))</f>
        <v>Jeff, Young</v>
      </c>
      <c r="AA1720" s="1" t="s">
        <v>40</v>
      </c>
    </row>
    <row r="1721" spans="1:27" x14ac:dyDescent="0.25">
      <c r="A1721" s="10">
        <v>10141</v>
      </c>
      <c r="B1721" s="9">
        <v>21</v>
      </c>
      <c r="C1721" s="9">
        <v>4243</v>
      </c>
      <c r="D1721" s="9">
        <f>PRODUCT(sales_data_sample[[#This Row],[QUANTITYORDERED]],sales_data_sample[[#This Row],[PRICEEACH]])</f>
        <v>89103</v>
      </c>
      <c r="E1721" s="9">
        <f>IF(OR(sales_data_sample[[#This Row],[STATUS]]="Shipped",sales_data_sample[[#This Row],[STATUS]]="Resolved"),sales_data_sample[[#This Row],[SALES]],0)</f>
        <v>89103</v>
      </c>
      <c r="F1721" s="10">
        <v>6</v>
      </c>
      <c r="G1721" s="12" t="s">
        <v>743</v>
      </c>
      <c r="H1721" s="1" t="s">
        <v>26</v>
      </c>
      <c r="I1721">
        <v>3</v>
      </c>
      <c r="J1721">
        <v>8</v>
      </c>
      <c r="K1721">
        <v>2003</v>
      </c>
      <c r="L1721" s="1" t="s">
        <v>239</v>
      </c>
      <c r="M1721">
        <v>35</v>
      </c>
      <c r="N1721" s="1" t="s">
        <v>964</v>
      </c>
      <c r="O1721" s="1" t="s">
        <v>656</v>
      </c>
      <c r="P1721" s="1" t="s">
        <v>657</v>
      </c>
      <c r="Q1721" s="1" t="s">
        <v>658</v>
      </c>
      <c r="R1721" s="1" t="s">
        <v>32</v>
      </c>
      <c r="S1721" s="1" t="s">
        <v>659</v>
      </c>
      <c r="T1721" s="1" t="s">
        <v>32</v>
      </c>
      <c r="U1721" s="1" t="s">
        <v>660</v>
      </c>
      <c r="V1721" s="1" t="s">
        <v>170</v>
      </c>
      <c r="W1721" s="1" t="s">
        <v>48</v>
      </c>
      <c r="X1721" s="1" t="s">
        <v>661</v>
      </c>
      <c r="Y1721" s="1" t="s">
        <v>662</v>
      </c>
      <c r="Z1721" s="1" t="str">
        <f>TRIM(_xlfn.CONCAT(sales_data_sample[[#This Row],[CONTACTFIRSTNAME]],", ",sales_data_sample[[#This Row],[CONTACTLASTNAME]]))</f>
        <v>Kalle, Suominen</v>
      </c>
      <c r="AA1721" s="1" t="s">
        <v>40</v>
      </c>
    </row>
    <row r="1722" spans="1:27" x14ac:dyDescent="0.25">
      <c r="A1722" s="10">
        <v>10151</v>
      </c>
      <c r="B1722" s="9">
        <v>30</v>
      </c>
      <c r="C1722" s="9">
        <v>4031</v>
      </c>
      <c r="D1722" s="9">
        <f>PRODUCT(sales_data_sample[[#This Row],[QUANTITYORDERED]],sales_data_sample[[#This Row],[PRICEEACH]])</f>
        <v>120930</v>
      </c>
      <c r="E1722" s="9">
        <f>IF(OR(sales_data_sample[[#This Row],[STATUS]]="Shipped",sales_data_sample[[#This Row],[STATUS]]="Resolved"),sales_data_sample[[#This Row],[SALES]],0)</f>
        <v>120930</v>
      </c>
      <c r="F1722" s="10">
        <v>4</v>
      </c>
      <c r="G1722" s="12" t="s">
        <v>744</v>
      </c>
      <c r="H1722" s="1" t="s">
        <v>26</v>
      </c>
      <c r="I1722">
        <v>3</v>
      </c>
      <c r="J1722">
        <v>9</v>
      </c>
      <c r="K1722">
        <v>2003</v>
      </c>
      <c r="L1722" s="1" t="s">
        <v>239</v>
      </c>
      <c r="M1722">
        <v>35</v>
      </c>
      <c r="N1722" s="1" t="s">
        <v>964</v>
      </c>
      <c r="O1722" s="1" t="s">
        <v>537</v>
      </c>
      <c r="P1722" s="1" t="s">
        <v>538</v>
      </c>
      <c r="Q1722" s="1" t="s">
        <v>539</v>
      </c>
      <c r="R1722" s="1" t="s">
        <v>32</v>
      </c>
      <c r="S1722" s="1" t="s">
        <v>540</v>
      </c>
      <c r="T1722" s="1" t="s">
        <v>32</v>
      </c>
      <c r="U1722" s="1" t="s">
        <v>541</v>
      </c>
      <c r="V1722" s="1" t="s">
        <v>170</v>
      </c>
      <c r="W1722" s="1" t="s">
        <v>48</v>
      </c>
      <c r="X1722" s="1" t="s">
        <v>542</v>
      </c>
      <c r="Y1722" s="1" t="s">
        <v>543</v>
      </c>
      <c r="Z1722" s="1" t="str">
        <f>TRIM(_xlfn.CONCAT(sales_data_sample[[#This Row],[CONTACTFIRSTNAME]],", ",sales_data_sample[[#This Row],[CONTACTLASTNAME]]))</f>
        <v>Pirkko, Koskitalo</v>
      </c>
      <c r="AA1722" s="1" t="s">
        <v>40</v>
      </c>
    </row>
    <row r="1723" spans="1:27" x14ac:dyDescent="0.25">
      <c r="A1723" s="10">
        <v>10165</v>
      </c>
      <c r="B1723" s="9">
        <v>27</v>
      </c>
      <c r="C1723" s="9">
        <v>3182</v>
      </c>
      <c r="D1723" s="9">
        <f>PRODUCT(sales_data_sample[[#This Row],[QUANTITYORDERED]],sales_data_sample[[#This Row],[PRICEEACH]])</f>
        <v>85914</v>
      </c>
      <c r="E1723" s="9">
        <f>IF(OR(sales_data_sample[[#This Row],[STATUS]]="Shipped",sales_data_sample[[#This Row],[STATUS]]="Resolved"),sales_data_sample[[#This Row],[SALES]],0)</f>
        <v>85914</v>
      </c>
      <c r="F1723" s="10">
        <v>13</v>
      </c>
      <c r="G1723" s="12" t="s">
        <v>674</v>
      </c>
      <c r="H1723" s="1" t="s">
        <v>26</v>
      </c>
      <c r="I1723">
        <v>4</v>
      </c>
      <c r="J1723">
        <v>10</v>
      </c>
      <c r="K1723">
        <v>2003</v>
      </c>
      <c r="L1723" s="1" t="s">
        <v>239</v>
      </c>
      <c r="M1723">
        <v>35</v>
      </c>
      <c r="N1723" s="1" t="s">
        <v>964</v>
      </c>
      <c r="O1723" s="1" t="s">
        <v>259</v>
      </c>
      <c r="P1723" s="1" t="s">
        <v>260</v>
      </c>
      <c r="Q1723" s="1" t="s">
        <v>261</v>
      </c>
      <c r="R1723" s="1" t="s">
        <v>32</v>
      </c>
      <c r="S1723" s="1" t="s">
        <v>262</v>
      </c>
      <c r="T1723" s="1" t="s">
        <v>32</v>
      </c>
      <c r="U1723" s="1" t="s">
        <v>263</v>
      </c>
      <c r="V1723" s="1" t="s">
        <v>262</v>
      </c>
      <c r="W1723" s="1" t="s">
        <v>264</v>
      </c>
      <c r="X1723" s="1" t="s">
        <v>265</v>
      </c>
      <c r="Y1723" s="1" t="s">
        <v>266</v>
      </c>
      <c r="Z1723" s="1" t="str">
        <f>TRIM(_xlfn.CONCAT(sales_data_sample[[#This Row],[CONTACTFIRSTNAME]],", ",sales_data_sample[[#This Row],[CONTACTLASTNAME]]))</f>
        <v>Eric, Natividad</v>
      </c>
      <c r="AA1723" s="1" t="s">
        <v>40</v>
      </c>
    </row>
    <row r="1724" spans="1:27" x14ac:dyDescent="0.25">
      <c r="A1724" s="10">
        <v>10175</v>
      </c>
      <c r="B1724" s="9">
        <v>37</v>
      </c>
      <c r="C1724" s="9">
        <v>3112</v>
      </c>
      <c r="D1724" s="9">
        <f>PRODUCT(sales_data_sample[[#This Row],[QUANTITYORDERED]],sales_data_sample[[#This Row],[PRICEEACH]])</f>
        <v>115144</v>
      </c>
      <c r="E1724" s="9">
        <f>IF(OR(sales_data_sample[[#This Row],[STATUS]]="Shipped",sales_data_sample[[#This Row],[STATUS]]="Resolved"),sales_data_sample[[#This Row],[SALES]],0)</f>
        <v>115144</v>
      </c>
      <c r="F1724" s="10">
        <v>2</v>
      </c>
      <c r="G1724" s="12" t="s">
        <v>273</v>
      </c>
      <c r="H1724" s="1" t="s">
        <v>26</v>
      </c>
      <c r="I1724">
        <v>4</v>
      </c>
      <c r="J1724">
        <v>11</v>
      </c>
      <c r="K1724">
        <v>2003</v>
      </c>
      <c r="L1724" s="1" t="s">
        <v>239</v>
      </c>
      <c r="M1724">
        <v>35</v>
      </c>
      <c r="N1724" s="1" t="s">
        <v>964</v>
      </c>
      <c r="O1724" s="1" t="s">
        <v>447</v>
      </c>
      <c r="P1724" s="1" t="s">
        <v>448</v>
      </c>
      <c r="Q1724" s="1" t="s">
        <v>449</v>
      </c>
      <c r="R1724" s="1" t="s">
        <v>32</v>
      </c>
      <c r="S1724" s="1" t="s">
        <v>450</v>
      </c>
      <c r="T1724" s="1" t="s">
        <v>32</v>
      </c>
      <c r="U1724" s="1" t="s">
        <v>451</v>
      </c>
      <c r="V1724" s="1" t="s">
        <v>225</v>
      </c>
      <c r="W1724" s="1" t="s">
        <v>48</v>
      </c>
      <c r="X1724" s="1" t="s">
        <v>74</v>
      </c>
      <c r="Y1724" s="1" t="s">
        <v>452</v>
      </c>
      <c r="Z1724" s="1" t="str">
        <f>TRIM(_xlfn.CONCAT(sales_data_sample[[#This Row],[CONTACTFIRSTNAME]],", ",sales_data_sample[[#This Row],[CONTACTLASTNAME]]))</f>
        <v>Ann, Brown</v>
      </c>
      <c r="AA1724" s="1" t="s">
        <v>40</v>
      </c>
    </row>
    <row r="1725" spans="1:27" x14ac:dyDescent="0.25">
      <c r="A1725" s="10">
        <v>10184</v>
      </c>
      <c r="B1725" s="9">
        <v>42</v>
      </c>
      <c r="C1725" s="9">
        <v>3182</v>
      </c>
      <c r="D1725" s="9">
        <f>PRODUCT(sales_data_sample[[#This Row],[QUANTITYORDERED]],sales_data_sample[[#This Row],[PRICEEACH]])</f>
        <v>133644</v>
      </c>
      <c r="E1725" s="9">
        <f>IF(OR(sales_data_sample[[#This Row],[STATUS]]="Shipped",sales_data_sample[[#This Row],[STATUS]]="Resolved"),sales_data_sample[[#This Row],[SALES]],0)</f>
        <v>133644</v>
      </c>
      <c r="F1725" s="10">
        <v>7</v>
      </c>
      <c r="G1725" s="12" t="s">
        <v>470</v>
      </c>
      <c r="H1725" s="1" t="s">
        <v>26</v>
      </c>
      <c r="I1725">
        <v>4</v>
      </c>
      <c r="J1725">
        <v>11</v>
      </c>
      <c r="K1725">
        <v>2003</v>
      </c>
      <c r="L1725" s="1" t="s">
        <v>239</v>
      </c>
      <c r="M1725">
        <v>35</v>
      </c>
      <c r="N1725" s="1" t="s">
        <v>964</v>
      </c>
      <c r="O1725" s="1" t="s">
        <v>745</v>
      </c>
      <c r="P1725" s="1" t="s">
        <v>746</v>
      </c>
      <c r="Q1725" s="1" t="s">
        <v>747</v>
      </c>
      <c r="R1725" s="1" t="s">
        <v>32</v>
      </c>
      <c r="S1725" s="1" t="s">
        <v>748</v>
      </c>
      <c r="T1725" s="1" t="s">
        <v>32</v>
      </c>
      <c r="U1725" s="1" t="s">
        <v>749</v>
      </c>
      <c r="V1725" s="1" t="s">
        <v>235</v>
      </c>
      <c r="W1725" s="1" t="s">
        <v>48</v>
      </c>
      <c r="X1725" s="1" t="s">
        <v>750</v>
      </c>
      <c r="Y1725" s="1" t="s">
        <v>751</v>
      </c>
      <c r="Z1725" s="1" t="str">
        <f>TRIM(_xlfn.CONCAT(sales_data_sample[[#This Row],[CONTACTFIRSTNAME]],", ",sales_data_sample[[#This Row],[CONTACTLASTNAME]]))</f>
        <v>Jose Pedro, Roel</v>
      </c>
      <c r="AA1725" s="1" t="s">
        <v>40</v>
      </c>
    </row>
    <row r="1726" spans="1:27" x14ac:dyDescent="0.25">
      <c r="A1726" s="10">
        <v>10195</v>
      </c>
      <c r="B1726" s="9">
        <v>32</v>
      </c>
      <c r="C1726" s="9">
        <v>2829</v>
      </c>
      <c r="D1726" s="9">
        <f>PRODUCT(sales_data_sample[[#This Row],[QUANTITYORDERED]],sales_data_sample[[#This Row],[PRICEEACH]])</f>
        <v>90528</v>
      </c>
      <c r="E1726" s="9">
        <f>IF(OR(sales_data_sample[[#This Row],[STATUS]]="Shipped",sales_data_sample[[#This Row],[STATUS]]="Resolved"),sales_data_sample[[#This Row],[SALES]],0)</f>
        <v>90528</v>
      </c>
      <c r="F1726" s="10">
        <v>7</v>
      </c>
      <c r="G1726" s="12" t="s">
        <v>290</v>
      </c>
      <c r="H1726" s="1" t="s">
        <v>26</v>
      </c>
      <c r="I1726">
        <v>4</v>
      </c>
      <c r="J1726">
        <v>11</v>
      </c>
      <c r="K1726">
        <v>2003</v>
      </c>
      <c r="L1726" s="1" t="s">
        <v>239</v>
      </c>
      <c r="M1726">
        <v>35</v>
      </c>
      <c r="N1726" s="1" t="s">
        <v>964</v>
      </c>
      <c r="O1726" s="1" t="s">
        <v>425</v>
      </c>
      <c r="P1726" s="1" t="s">
        <v>426</v>
      </c>
      <c r="Q1726" s="1" t="s">
        <v>427</v>
      </c>
      <c r="R1726" s="1" t="s">
        <v>32</v>
      </c>
      <c r="S1726" s="1" t="s">
        <v>428</v>
      </c>
      <c r="T1726" s="1" t="s">
        <v>34</v>
      </c>
      <c r="U1726" s="1" t="s">
        <v>429</v>
      </c>
      <c r="V1726" s="1" t="s">
        <v>36</v>
      </c>
      <c r="W1726" s="1" t="s">
        <v>37</v>
      </c>
      <c r="X1726" s="1" t="s">
        <v>129</v>
      </c>
      <c r="Y1726" s="1" t="s">
        <v>314</v>
      </c>
      <c r="Z1726" s="1" t="str">
        <f>TRIM(_xlfn.CONCAT(sales_data_sample[[#This Row],[CONTACTFIRSTNAME]],", ",sales_data_sample[[#This Row],[CONTACTLASTNAME]]))</f>
        <v>Steve, Frick</v>
      </c>
      <c r="AA1726" s="1" t="s">
        <v>40</v>
      </c>
    </row>
    <row r="1727" spans="1:27" x14ac:dyDescent="0.25">
      <c r="A1727" s="10">
        <v>10207</v>
      </c>
      <c r="B1727" s="9">
        <v>42</v>
      </c>
      <c r="C1727" s="9">
        <v>297</v>
      </c>
      <c r="D1727" s="9">
        <f>PRODUCT(sales_data_sample[[#This Row],[QUANTITYORDERED]],sales_data_sample[[#This Row],[PRICEEACH]])</f>
        <v>12474</v>
      </c>
      <c r="E1727" s="9">
        <f>IF(OR(sales_data_sample[[#This Row],[STATUS]]="Shipped",sales_data_sample[[#This Row],[STATUS]]="Resolved"),sales_data_sample[[#This Row],[SALES]],0)</f>
        <v>12474</v>
      </c>
      <c r="F1727" s="10">
        <v>8</v>
      </c>
      <c r="G1727" s="12" t="s">
        <v>571</v>
      </c>
      <c r="H1727" s="1" t="s">
        <v>26</v>
      </c>
      <c r="I1727">
        <v>4</v>
      </c>
      <c r="J1727">
        <v>12</v>
      </c>
      <c r="K1727">
        <v>2003</v>
      </c>
      <c r="L1727" s="1" t="s">
        <v>239</v>
      </c>
      <c r="M1727">
        <v>35</v>
      </c>
      <c r="N1727" s="1" t="s">
        <v>964</v>
      </c>
      <c r="O1727" s="1" t="s">
        <v>572</v>
      </c>
      <c r="P1727" s="1" t="s">
        <v>573</v>
      </c>
      <c r="Q1727" s="1" t="s">
        <v>574</v>
      </c>
      <c r="R1727" s="1" t="s">
        <v>32</v>
      </c>
      <c r="S1727" s="1" t="s">
        <v>519</v>
      </c>
      <c r="T1727" s="1" t="s">
        <v>160</v>
      </c>
      <c r="U1727" s="1" t="s">
        <v>520</v>
      </c>
      <c r="V1727" s="1" t="s">
        <v>36</v>
      </c>
      <c r="W1727" s="1" t="s">
        <v>37</v>
      </c>
      <c r="X1727" s="1" t="s">
        <v>575</v>
      </c>
      <c r="Y1727" s="1" t="s">
        <v>366</v>
      </c>
      <c r="Z1727" s="1" t="str">
        <f>TRIM(_xlfn.CONCAT(sales_data_sample[[#This Row],[CONTACTFIRSTNAME]],", ",sales_data_sample[[#This Row],[CONTACTLASTNAME]]))</f>
        <v>Valarie, Franco</v>
      </c>
      <c r="AA1727" s="1" t="s">
        <v>40</v>
      </c>
    </row>
    <row r="1728" spans="1:27" x14ac:dyDescent="0.25">
      <c r="A1728" s="10">
        <v>10219</v>
      </c>
      <c r="B1728" s="9">
        <v>21</v>
      </c>
      <c r="C1728" s="9">
        <v>4031</v>
      </c>
      <c r="D1728" s="9">
        <f>PRODUCT(sales_data_sample[[#This Row],[QUANTITYORDERED]],sales_data_sample[[#This Row],[PRICEEACH]])</f>
        <v>84651</v>
      </c>
      <c r="E1728" s="9">
        <f>IF(OR(sales_data_sample[[#This Row],[STATUS]]="Shipped",sales_data_sample[[#This Row],[STATUS]]="Resolved"),sales_data_sample[[#This Row],[SALES]],0)</f>
        <v>84651</v>
      </c>
      <c r="F1728" s="10">
        <v>3</v>
      </c>
      <c r="G1728" s="12" t="s">
        <v>752</v>
      </c>
      <c r="H1728" s="1" t="s">
        <v>26</v>
      </c>
      <c r="I1728">
        <v>1</v>
      </c>
      <c r="J1728">
        <v>2</v>
      </c>
      <c r="K1728">
        <v>2004</v>
      </c>
      <c r="L1728" s="1" t="s">
        <v>239</v>
      </c>
      <c r="M1728">
        <v>35</v>
      </c>
      <c r="N1728" s="1" t="s">
        <v>964</v>
      </c>
      <c r="O1728" s="1" t="s">
        <v>753</v>
      </c>
      <c r="P1728" s="1" t="s">
        <v>754</v>
      </c>
      <c r="Q1728" s="1" t="s">
        <v>755</v>
      </c>
      <c r="R1728" s="1" t="s">
        <v>32</v>
      </c>
      <c r="S1728" s="1" t="s">
        <v>756</v>
      </c>
      <c r="T1728" s="1" t="s">
        <v>65</v>
      </c>
      <c r="U1728" s="1" t="s">
        <v>80</v>
      </c>
      <c r="V1728" s="1" t="s">
        <v>36</v>
      </c>
      <c r="W1728" s="1" t="s">
        <v>37</v>
      </c>
      <c r="X1728" s="1" t="s">
        <v>757</v>
      </c>
      <c r="Y1728" s="1" t="s">
        <v>551</v>
      </c>
      <c r="Z1728" s="1" t="str">
        <f>TRIM(_xlfn.CONCAT(sales_data_sample[[#This Row],[CONTACTFIRSTNAME]],", ",sales_data_sample[[#This Row],[CONTACTLASTNAME]]))</f>
        <v>Sue, Taylor</v>
      </c>
      <c r="AA1728" s="1" t="s">
        <v>40</v>
      </c>
    </row>
    <row r="1729" spans="1:27" x14ac:dyDescent="0.25">
      <c r="A1729" s="10">
        <v>10229</v>
      </c>
      <c r="B1729" s="9">
        <v>33</v>
      </c>
      <c r="C1729" s="9">
        <v>3288</v>
      </c>
      <c r="D1729" s="9">
        <f>PRODUCT(sales_data_sample[[#This Row],[QUANTITYORDERED]],sales_data_sample[[#This Row],[PRICEEACH]])</f>
        <v>108504</v>
      </c>
      <c r="E1729" s="9">
        <f>IF(OR(sales_data_sample[[#This Row],[STATUS]]="Shipped",sales_data_sample[[#This Row],[STATUS]]="Resolved"),sales_data_sample[[#This Row],[SALES]],0)</f>
        <v>108504</v>
      </c>
      <c r="F1729" s="10">
        <v>2</v>
      </c>
      <c r="G1729" s="12" t="s">
        <v>584</v>
      </c>
      <c r="H1729" s="1" t="s">
        <v>26</v>
      </c>
      <c r="I1729">
        <v>1</v>
      </c>
      <c r="J1729">
        <v>3</v>
      </c>
      <c r="K1729">
        <v>2004</v>
      </c>
      <c r="L1729" s="1" t="s">
        <v>239</v>
      </c>
      <c r="M1729">
        <v>35</v>
      </c>
      <c r="N1729" s="1" t="s">
        <v>964</v>
      </c>
      <c r="O1729" s="1" t="s">
        <v>361</v>
      </c>
      <c r="P1729" s="1" t="s">
        <v>362</v>
      </c>
      <c r="Q1729" s="1" t="s">
        <v>363</v>
      </c>
      <c r="R1729" s="1" t="s">
        <v>32</v>
      </c>
      <c r="S1729" s="1" t="s">
        <v>364</v>
      </c>
      <c r="T1729" s="1" t="s">
        <v>65</v>
      </c>
      <c r="U1729" s="1" t="s">
        <v>145</v>
      </c>
      <c r="V1729" s="1" t="s">
        <v>36</v>
      </c>
      <c r="W1729" s="1" t="s">
        <v>37</v>
      </c>
      <c r="X1729" s="1" t="s">
        <v>365</v>
      </c>
      <c r="Y1729" s="1" t="s">
        <v>366</v>
      </c>
      <c r="Z1729" s="1" t="str">
        <f>TRIM(_xlfn.CONCAT(sales_data_sample[[#This Row],[CONTACTFIRSTNAME]],", ",sales_data_sample[[#This Row],[CONTACTLASTNAME]]))</f>
        <v>Valarie, Nelson</v>
      </c>
      <c r="AA1729" s="1" t="s">
        <v>40</v>
      </c>
    </row>
    <row r="1730" spans="1:27" x14ac:dyDescent="0.25">
      <c r="A1730" s="10">
        <v>10246</v>
      </c>
      <c r="B1730" s="9">
        <v>49</v>
      </c>
      <c r="C1730" s="9">
        <v>3607</v>
      </c>
      <c r="D1730" s="9">
        <f>PRODUCT(sales_data_sample[[#This Row],[QUANTITYORDERED]],sales_data_sample[[#This Row],[PRICEEACH]])</f>
        <v>176743</v>
      </c>
      <c r="E1730" s="9">
        <f>IF(OR(sales_data_sample[[#This Row],[STATUS]]="Shipped",sales_data_sample[[#This Row],[STATUS]]="Resolved"),sales_data_sample[[#This Row],[SALES]],0)</f>
        <v>176743</v>
      </c>
      <c r="F1730" s="10">
        <v>6</v>
      </c>
      <c r="G1730" s="12" t="s">
        <v>692</v>
      </c>
      <c r="H1730" s="1" t="s">
        <v>26</v>
      </c>
      <c r="I1730">
        <v>2</v>
      </c>
      <c r="J1730">
        <v>5</v>
      </c>
      <c r="K1730">
        <v>2004</v>
      </c>
      <c r="L1730" s="1" t="s">
        <v>239</v>
      </c>
      <c r="M1730">
        <v>35</v>
      </c>
      <c r="N1730" s="1" t="s">
        <v>964</v>
      </c>
      <c r="O1730" s="1" t="s">
        <v>230</v>
      </c>
      <c r="P1730" s="1" t="s">
        <v>231</v>
      </c>
      <c r="Q1730" s="1" t="s">
        <v>232</v>
      </c>
      <c r="R1730" s="1" t="s">
        <v>32</v>
      </c>
      <c r="S1730" s="1" t="s">
        <v>233</v>
      </c>
      <c r="T1730" s="1" t="s">
        <v>32</v>
      </c>
      <c r="U1730" s="1" t="s">
        <v>234</v>
      </c>
      <c r="V1730" s="1" t="s">
        <v>235</v>
      </c>
      <c r="W1730" s="1" t="s">
        <v>48</v>
      </c>
      <c r="X1730" s="1" t="s">
        <v>236</v>
      </c>
      <c r="Y1730" s="1" t="s">
        <v>237</v>
      </c>
      <c r="Z1730" s="1" t="str">
        <f>TRIM(_xlfn.CONCAT(sales_data_sample[[#This Row],[CONTACTFIRSTNAME]],", ",sales_data_sample[[#This Row],[CONTACTLASTNAME]]))</f>
        <v>Diego, Freyre</v>
      </c>
      <c r="AA1730" s="1" t="s">
        <v>40</v>
      </c>
    </row>
    <row r="1731" spans="1:27" x14ac:dyDescent="0.25">
      <c r="A1731">
        <v>10259</v>
      </c>
      <c r="B1731">
        <v>31</v>
      </c>
      <c r="C1731">
        <v>3324</v>
      </c>
      <c r="D1731">
        <f>PRODUCT(sales_data_sample[[#This Row],[QUANTITYORDERED]],sales_data_sample[[#This Row],[PRICEEACH]])</f>
        <v>103044</v>
      </c>
      <c r="E1731" s="9">
        <f>IF(OR(sales_data_sample[[#This Row],[STATUS]]="Shipped",sales_data_sample[[#This Row],[STATUS]]="Resolved"),sales_data_sample[[#This Row],[SALES]],0)</f>
        <v>103044</v>
      </c>
      <c r="F1731">
        <v>5</v>
      </c>
      <c r="G1731" s="12" t="s">
        <v>327</v>
      </c>
      <c r="H1731" s="1" t="s">
        <v>26</v>
      </c>
      <c r="I1731">
        <v>2</v>
      </c>
      <c r="J1731">
        <v>6</v>
      </c>
      <c r="K1731">
        <v>2004</v>
      </c>
      <c r="L1731" s="1" t="s">
        <v>239</v>
      </c>
      <c r="M1731">
        <v>35</v>
      </c>
      <c r="N1731" s="1" t="s">
        <v>964</v>
      </c>
      <c r="O1731" s="1" t="s">
        <v>577</v>
      </c>
      <c r="P1731" s="1" t="s">
        <v>578</v>
      </c>
      <c r="Q1731" s="1" t="s">
        <v>579</v>
      </c>
      <c r="R1731" s="1" t="s">
        <v>580</v>
      </c>
      <c r="S1731" s="1" t="s">
        <v>262</v>
      </c>
      <c r="T1731" s="1" t="s">
        <v>32</v>
      </c>
      <c r="U1731" s="1" t="s">
        <v>581</v>
      </c>
      <c r="V1731" s="1" t="s">
        <v>262</v>
      </c>
      <c r="W1731" s="1" t="s">
        <v>121</v>
      </c>
      <c r="X1731" s="1" t="s">
        <v>582</v>
      </c>
      <c r="Y1731" s="1" t="s">
        <v>583</v>
      </c>
      <c r="Z1731" s="1" t="str">
        <f>TRIM(_xlfn.CONCAT(sales_data_sample[[#This Row],[CONTACTFIRSTNAME]],", ",sales_data_sample[[#This Row],[CONTACTLASTNAME]]))</f>
        <v>Wendy, Victorino</v>
      </c>
      <c r="AA1731" s="1" t="s">
        <v>40</v>
      </c>
    </row>
    <row r="1732" spans="1:27" x14ac:dyDescent="0.25">
      <c r="A1732" s="10">
        <v>10271</v>
      </c>
      <c r="B1732" s="9">
        <v>38</v>
      </c>
      <c r="C1732" s="9">
        <v>4172</v>
      </c>
      <c r="D1732" s="9">
        <f>PRODUCT(sales_data_sample[[#This Row],[QUANTITYORDERED]],sales_data_sample[[#This Row],[PRICEEACH]])</f>
        <v>158536</v>
      </c>
      <c r="E1732" s="9">
        <f>IF(OR(sales_data_sample[[#This Row],[STATUS]]="Shipped",sales_data_sample[[#This Row],[STATUS]]="Resolved"),sales_data_sample[[#This Row],[SALES]],0)</f>
        <v>158536</v>
      </c>
      <c r="F1732" s="10">
        <v>6</v>
      </c>
      <c r="G1732" s="12" t="s">
        <v>693</v>
      </c>
      <c r="H1732" s="1" t="s">
        <v>26</v>
      </c>
      <c r="I1732">
        <v>3</v>
      </c>
      <c r="J1732">
        <v>7</v>
      </c>
      <c r="K1732">
        <v>2004</v>
      </c>
      <c r="L1732" s="1" t="s">
        <v>239</v>
      </c>
      <c r="M1732">
        <v>35</v>
      </c>
      <c r="N1732" s="1" t="s">
        <v>964</v>
      </c>
      <c r="O1732" s="1" t="s">
        <v>361</v>
      </c>
      <c r="P1732" s="1" t="s">
        <v>362</v>
      </c>
      <c r="Q1732" s="1" t="s">
        <v>363</v>
      </c>
      <c r="R1732" s="1" t="s">
        <v>32</v>
      </c>
      <c r="S1732" s="1" t="s">
        <v>364</v>
      </c>
      <c r="T1732" s="1" t="s">
        <v>65</v>
      </c>
      <c r="U1732" s="1" t="s">
        <v>145</v>
      </c>
      <c r="V1732" s="1" t="s">
        <v>36</v>
      </c>
      <c r="W1732" s="1" t="s">
        <v>37</v>
      </c>
      <c r="X1732" s="1" t="s">
        <v>365</v>
      </c>
      <c r="Y1732" s="1" t="s">
        <v>366</v>
      </c>
      <c r="Z1732" s="1" t="str">
        <f>TRIM(_xlfn.CONCAT(sales_data_sample[[#This Row],[CONTACTFIRSTNAME]],", ",sales_data_sample[[#This Row],[CONTACTLASTNAME]]))</f>
        <v>Valarie, Nelson</v>
      </c>
      <c r="AA1732" s="1" t="s">
        <v>40</v>
      </c>
    </row>
    <row r="1733" spans="1:27" x14ac:dyDescent="0.25">
      <c r="A1733" s="10">
        <v>10281</v>
      </c>
      <c r="B1733" s="9">
        <v>20</v>
      </c>
      <c r="C1733" s="9">
        <v>4066</v>
      </c>
      <c r="D1733" s="9">
        <f>PRODUCT(sales_data_sample[[#This Row],[QUANTITYORDERED]],sales_data_sample[[#This Row],[PRICEEACH]])</f>
        <v>81320</v>
      </c>
      <c r="E1733" s="9">
        <f>IF(OR(sales_data_sample[[#This Row],[STATUS]]="Shipped",sales_data_sample[[#This Row],[STATUS]]="Resolved"),sales_data_sample[[#This Row],[SALES]],0)</f>
        <v>81320</v>
      </c>
      <c r="F1733" s="10">
        <v>2</v>
      </c>
      <c r="G1733" s="12" t="s">
        <v>585</v>
      </c>
      <c r="H1733" s="1" t="s">
        <v>26</v>
      </c>
      <c r="I1733">
        <v>3</v>
      </c>
      <c r="J1733">
        <v>8</v>
      </c>
      <c r="K1733">
        <v>2004</v>
      </c>
      <c r="L1733" s="1" t="s">
        <v>239</v>
      </c>
      <c r="M1733">
        <v>35</v>
      </c>
      <c r="N1733" s="1" t="s">
        <v>964</v>
      </c>
      <c r="O1733" s="1" t="s">
        <v>182</v>
      </c>
      <c r="P1733" s="1" t="s">
        <v>183</v>
      </c>
      <c r="Q1733" s="1" t="s">
        <v>184</v>
      </c>
      <c r="R1733" s="1" t="s">
        <v>32</v>
      </c>
      <c r="S1733" s="1" t="s">
        <v>185</v>
      </c>
      <c r="T1733" s="1" t="s">
        <v>186</v>
      </c>
      <c r="U1733" s="1" t="s">
        <v>187</v>
      </c>
      <c r="V1733" s="1" t="s">
        <v>36</v>
      </c>
      <c r="W1733" s="1" t="s">
        <v>37</v>
      </c>
      <c r="X1733" s="1" t="s">
        <v>38</v>
      </c>
      <c r="Y1733" s="1" t="s">
        <v>188</v>
      </c>
      <c r="Z1733" s="1" t="str">
        <f>TRIM(_xlfn.CONCAT(sales_data_sample[[#This Row],[CONTACTFIRSTNAME]],", ",sales_data_sample[[#This Row],[CONTACTLASTNAME]]))</f>
        <v>Kyung, Yu</v>
      </c>
      <c r="AA1733" s="1" t="s">
        <v>40</v>
      </c>
    </row>
    <row r="1734" spans="1:27" x14ac:dyDescent="0.25">
      <c r="A1734" s="10">
        <v>10292</v>
      </c>
      <c r="B1734" s="9">
        <v>39</v>
      </c>
      <c r="C1734" s="9">
        <v>3006</v>
      </c>
      <c r="D1734" s="9">
        <f>PRODUCT(sales_data_sample[[#This Row],[QUANTITYORDERED]],sales_data_sample[[#This Row],[PRICEEACH]])</f>
        <v>117234</v>
      </c>
      <c r="E1734" s="9">
        <f>IF(OR(sales_data_sample[[#This Row],[STATUS]]="Shipped",sales_data_sample[[#This Row],[STATUS]]="Resolved"),sales_data_sample[[#This Row],[SALES]],0)</f>
        <v>117234</v>
      </c>
      <c r="F1734" s="10">
        <v>9</v>
      </c>
      <c r="G1734" s="12" t="s">
        <v>346</v>
      </c>
      <c r="H1734" s="1" t="s">
        <v>26</v>
      </c>
      <c r="I1734">
        <v>3</v>
      </c>
      <c r="J1734">
        <v>9</v>
      </c>
      <c r="K1734">
        <v>2004</v>
      </c>
      <c r="L1734" s="1" t="s">
        <v>239</v>
      </c>
      <c r="M1734">
        <v>35</v>
      </c>
      <c r="N1734" s="1" t="s">
        <v>964</v>
      </c>
      <c r="O1734" s="1" t="s">
        <v>29</v>
      </c>
      <c r="P1734" s="1" t="s">
        <v>30</v>
      </c>
      <c r="Q1734" s="1" t="s">
        <v>31</v>
      </c>
      <c r="R1734" s="1" t="s">
        <v>32</v>
      </c>
      <c r="S1734" s="1" t="s">
        <v>33</v>
      </c>
      <c r="T1734" s="1" t="s">
        <v>34</v>
      </c>
      <c r="U1734" s="1" t="s">
        <v>35</v>
      </c>
      <c r="V1734" s="1" t="s">
        <v>36</v>
      </c>
      <c r="W1734" s="1" t="s">
        <v>37</v>
      </c>
      <c r="X1734" s="1" t="s">
        <v>38</v>
      </c>
      <c r="Y1734" s="1" t="s">
        <v>39</v>
      </c>
      <c r="Z1734" s="1" t="str">
        <f>TRIM(_xlfn.CONCAT(sales_data_sample[[#This Row],[CONTACTFIRSTNAME]],", ",sales_data_sample[[#This Row],[CONTACTLASTNAME]]))</f>
        <v>Kwai, Yu</v>
      </c>
      <c r="AA1734" s="1" t="s">
        <v>40</v>
      </c>
    </row>
    <row r="1735" spans="1:27" x14ac:dyDescent="0.25">
      <c r="A1735" s="10">
        <v>10305</v>
      </c>
      <c r="B1735" s="9">
        <v>48</v>
      </c>
      <c r="C1735" s="9">
        <v>3147</v>
      </c>
      <c r="D1735" s="9">
        <f>PRODUCT(sales_data_sample[[#This Row],[QUANTITYORDERED]],sales_data_sample[[#This Row],[PRICEEACH]])</f>
        <v>151056</v>
      </c>
      <c r="E1735" s="9">
        <f>IF(OR(sales_data_sample[[#This Row],[STATUS]]="Shipped",sales_data_sample[[#This Row],[STATUS]]="Resolved"),sales_data_sample[[#This Row],[SALES]],0)</f>
        <v>151056</v>
      </c>
      <c r="F1735" s="10">
        <v>6</v>
      </c>
      <c r="G1735" s="12" t="s">
        <v>586</v>
      </c>
      <c r="H1735" s="1" t="s">
        <v>26</v>
      </c>
      <c r="I1735">
        <v>4</v>
      </c>
      <c r="J1735">
        <v>10</v>
      </c>
      <c r="K1735">
        <v>2004</v>
      </c>
      <c r="L1735" s="1" t="s">
        <v>239</v>
      </c>
      <c r="M1735">
        <v>35</v>
      </c>
      <c r="N1735" s="1" t="s">
        <v>964</v>
      </c>
      <c r="O1735" s="1" t="s">
        <v>156</v>
      </c>
      <c r="P1735" s="1" t="s">
        <v>157</v>
      </c>
      <c r="Q1735" s="1" t="s">
        <v>158</v>
      </c>
      <c r="R1735" s="1" t="s">
        <v>32</v>
      </c>
      <c r="S1735" s="1" t="s">
        <v>159</v>
      </c>
      <c r="T1735" s="1" t="s">
        <v>160</v>
      </c>
      <c r="U1735" s="1" t="s">
        <v>161</v>
      </c>
      <c r="V1735" s="1" t="s">
        <v>36</v>
      </c>
      <c r="W1735" s="1" t="s">
        <v>37</v>
      </c>
      <c r="X1735" s="1" t="s">
        <v>162</v>
      </c>
      <c r="Y1735" s="1" t="s">
        <v>163</v>
      </c>
      <c r="Z1735" s="1" t="str">
        <f>TRIM(_xlfn.CONCAT(sales_data_sample[[#This Row],[CONTACTFIRSTNAME]],", ",sales_data_sample[[#This Row],[CONTACTLASTNAME]]))</f>
        <v>Marta, Hernandez</v>
      </c>
      <c r="AA1735" s="1" t="s">
        <v>40</v>
      </c>
    </row>
    <row r="1736" spans="1:27" x14ac:dyDescent="0.25">
      <c r="A1736" s="10">
        <v>10314</v>
      </c>
      <c r="B1736" s="9">
        <v>39</v>
      </c>
      <c r="C1736" s="9">
        <v>3713</v>
      </c>
      <c r="D1736" s="9">
        <f>PRODUCT(sales_data_sample[[#This Row],[QUANTITYORDERED]],sales_data_sample[[#This Row],[PRICEEACH]])</f>
        <v>144807</v>
      </c>
      <c r="E1736" s="9">
        <f>IF(OR(sales_data_sample[[#This Row],[STATUS]]="Shipped",sales_data_sample[[#This Row],[STATUS]]="Resolved"),sales_data_sample[[#This Row],[SALES]],0)</f>
        <v>144807</v>
      </c>
      <c r="F1736" s="10">
        <v>15</v>
      </c>
      <c r="G1736" s="12" t="s">
        <v>587</v>
      </c>
      <c r="H1736" s="1" t="s">
        <v>26</v>
      </c>
      <c r="I1736">
        <v>4</v>
      </c>
      <c r="J1736">
        <v>10</v>
      </c>
      <c r="K1736">
        <v>2004</v>
      </c>
      <c r="L1736" s="1" t="s">
        <v>239</v>
      </c>
      <c r="M1736">
        <v>35</v>
      </c>
      <c r="N1736" s="1" t="s">
        <v>964</v>
      </c>
      <c r="O1736" s="1" t="s">
        <v>701</v>
      </c>
      <c r="P1736" s="1" t="s">
        <v>702</v>
      </c>
      <c r="Q1736" s="1" t="s">
        <v>703</v>
      </c>
      <c r="R1736" s="1" t="s">
        <v>32</v>
      </c>
      <c r="S1736" s="1" t="s">
        <v>704</v>
      </c>
      <c r="T1736" s="1" t="s">
        <v>32</v>
      </c>
      <c r="U1736" s="1" t="s">
        <v>705</v>
      </c>
      <c r="V1736" s="1" t="s">
        <v>442</v>
      </c>
      <c r="W1736" s="1" t="s">
        <v>48</v>
      </c>
      <c r="X1736" s="1" t="s">
        <v>706</v>
      </c>
      <c r="Y1736" s="1" t="s">
        <v>707</v>
      </c>
      <c r="Z1736" s="1" t="str">
        <f>TRIM(_xlfn.CONCAT(sales_data_sample[[#This Row],[CONTACTFIRSTNAME]],", ",sales_data_sample[[#This Row],[CONTACTLASTNAME]]))</f>
        <v>Palle, Ibsen</v>
      </c>
      <c r="AA1736" s="1" t="s">
        <v>40</v>
      </c>
    </row>
    <row r="1737" spans="1:27" x14ac:dyDescent="0.25">
      <c r="A1737">
        <v>10324</v>
      </c>
      <c r="B1737">
        <v>30</v>
      </c>
      <c r="C1737">
        <v>100</v>
      </c>
      <c r="D1737">
        <f>PRODUCT(sales_data_sample[[#This Row],[QUANTITYORDERED]],sales_data_sample[[#This Row],[PRICEEACH]])</f>
        <v>3000</v>
      </c>
      <c r="E1737" s="9">
        <f>IF(OR(sales_data_sample[[#This Row],[STATUS]]="Shipped",sales_data_sample[[#This Row],[STATUS]]="Resolved"),sales_data_sample[[#This Row],[SALES]],0)</f>
        <v>3000</v>
      </c>
      <c r="F1737">
        <v>9</v>
      </c>
      <c r="G1737" s="12" t="s">
        <v>532</v>
      </c>
      <c r="H1737" s="1" t="s">
        <v>26</v>
      </c>
      <c r="I1737">
        <v>4</v>
      </c>
      <c r="J1737">
        <v>11</v>
      </c>
      <c r="K1737">
        <v>2004</v>
      </c>
      <c r="L1737" s="1" t="s">
        <v>239</v>
      </c>
      <c r="M1737">
        <v>35</v>
      </c>
      <c r="N1737" s="1" t="s">
        <v>964</v>
      </c>
      <c r="O1737" s="1" t="s">
        <v>125</v>
      </c>
      <c r="P1737" s="1" t="s">
        <v>126</v>
      </c>
      <c r="Q1737" s="1" t="s">
        <v>127</v>
      </c>
      <c r="R1737" s="1" t="s">
        <v>128</v>
      </c>
      <c r="S1737" s="1" t="s">
        <v>33</v>
      </c>
      <c r="T1737" s="1" t="s">
        <v>34</v>
      </c>
      <c r="U1737" s="1" t="s">
        <v>35</v>
      </c>
      <c r="V1737" s="1" t="s">
        <v>36</v>
      </c>
      <c r="W1737" s="1" t="s">
        <v>37</v>
      </c>
      <c r="X1737" s="1" t="s">
        <v>129</v>
      </c>
      <c r="Y1737" s="1" t="s">
        <v>130</v>
      </c>
      <c r="Z1737" s="1" t="str">
        <f>TRIM(_xlfn.CONCAT(sales_data_sample[[#This Row],[CONTACTFIRSTNAME]],", ",sales_data_sample[[#This Row],[CONTACTLASTNAME]]))</f>
        <v>Michael, Frick</v>
      </c>
      <c r="AA1737" s="1" t="s">
        <v>59</v>
      </c>
    </row>
    <row r="1738" spans="1:27" x14ac:dyDescent="0.25">
      <c r="A1738" s="10">
        <v>10335</v>
      </c>
      <c r="B1738" s="9">
        <v>33</v>
      </c>
      <c r="C1738" s="9">
        <v>3713</v>
      </c>
      <c r="D1738" s="9">
        <f>PRODUCT(sales_data_sample[[#This Row],[QUANTITYORDERED]],sales_data_sample[[#This Row],[PRICEEACH]])</f>
        <v>122529</v>
      </c>
      <c r="E1738" s="9">
        <f>IF(OR(sales_data_sample[[#This Row],[STATUS]]="Shipped",sales_data_sample[[#This Row],[STATUS]]="Resolved"),sales_data_sample[[#This Row],[SALES]],0)</f>
        <v>122529</v>
      </c>
      <c r="F1738" s="10">
        <v>2</v>
      </c>
      <c r="G1738" s="12" t="s">
        <v>588</v>
      </c>
      <c r="H1738" s="1" t="s">
        <v>26</v>
      </c>
      <c r="I1738">
        <v>4</v>
      </c>
      <c r="J1738">
        <v>11</v>
      </c>
      <c r="K1738">
        <v>2004</v>
      </c>
      <c r="L1738" s="1" t="s">
        <v>239</v>
      </c>
      <c r="M1738">
        <v>35</v>
      </c>
      <c r="N1738" s="1" t="s">
        <v>964</v>
      </c>
      <c r="O1738" s="1" t="s">
        <v>361</v>
      </c>
      <c r="P1738" s="1" t="s">
        <v>362</v>
      </c>
      <c r="Q1738" s="1" t="s">
        <v>363</v>
      </c>
      <c r="R1738" s="1" t="s">
        <v>32</v>
      </c>
      <c r="S1738" s="1" t="s">
        <v>364</v>
      </c>
      <c r="T1738" s="1" t="s">
        <v>65</v>
      </c>
      <c r="U1738" s="1" t="s">
        <v>145</v>
      </c>
      <c r="V1738" s="1" t="s">
        <v>36</v>
      </c>
      <c r="W1738" s="1" t="s">
        <v>37</v>
      </c>
      <c r="X1738" s="1" t="s">
        <v>365</v>
      </c>
      <c r="Y1738" s="1" t="s">
        <v>366</v>
      </c>
      <c r="Z1738" s="1" t="str">
        <f>TRIM(_xlfn.CONCAT(sales_data_sample[[#This Row],[CONTACTFIRSTNAME]],", ",sales_data_sample[[#This Row],[CONTACTLASTNAME]]))</f>
        <v>Valarie, Nelson</v>
      </c>
      <c r="AA1738" s="1" t="s">
        <v>40</v>
      </c>
    </row>
    <row r="1739" spans="1:27" x14ac:dyDescent="0.25">
      <c r="A1739">
        <v>10349</v>
      </c>
      <c r="B1739">
        <v>36</v>
      </c>
      <c r="C1739">
        <v>3713</v>
      </c>
      <c r="D1739">
        <f>PRODUCT(sales_data_sample[[#This Row],[QUANTITYORDERED]],sales_data_sample[[#This Row],[PRICEEACH]])</f>
        <v>133668</v>
      </c>
      <c r="E1739" s="9">
        <f>IF(OR(sales_data_sample[[#This Row],[STATUS]]="Shipped",sales_data_sample[[#This Row],[STATUS]]="Resolved"),sales_data_sample[[#This Row],[SALES]],0)</f>
        <v>133668</v>
      </c>
      <c r="F1739">
        <v>3</v>
      </c>
      <c r="G1739" s="12" t="s">
        <v>737</v>
      </c>
      <c r="H1739" s="1" t="s">
        <v>26</v>
      </c>
      <c r="I1739">
        <v>4</v>
      </c>
      <c r="J1739">
        <v>12</v>
      </c>
      <c r="K1739">
        <v>2004</v>
      </c>
      <c r="L1739" s="1" t="s">
        <v>239</v>
      </c>
      <c r="M1739">
        <v>35</v>
      </c>
      <c r="N1739" s="1" t="s">
        <v>964</v>
      </c>
      <c r="O1739" s="1" t="s">
        <v>667</v>
      </c>
      <c r="P1739" s="1" t="s">
        <v>668</v>
      </c>
      <c r="Q1739" s="1" t="s">
        <v>669</v>
      </c>
      <c r="R1739" s="1" t="s">
        <v>670</v>
      </c>
      <c r="S1739" s="1" t="s">
        <v>33</v>
      </c>
      <c r="T1739" s="1" t="s">
        <v>34</v>
      </c>
      <c r="U1739" s="1" t="s">
        <v>35</v>
      </c>
      <c r="V1739" s="1" t="s">
        <v>36</v>
      </c>
      <c r="W1739" s="1" t="s">
        <v>37</v>
      </c>
      <c r="X1739" s="1" t="s">
        <v>67</v>
      </c>
      <c r="Y1739" s="1" t="s">
        <v>671</v>
      </c>
      <c r="Z1739" s="1" t="str">
        <f>TRIM(_xlfn.CONCAT(sales_data_sample[[#This Row],[CONTACTFIRSTNAME]],", ",sales_data_sample[[#This Row],[CONTACTLASTNAME]]))</f>
        <v>Jeff, Young</v>
      </c>
      <c r="AA1739" s="1" t="s">
        <v>40</v>
      </c>
    </row>
    <row r="1740" spans="1:27" x14ac:dyDescent="0.25">
      <c r="A1740" s="10">
        <v>10358</v>
      </c>
      <c r="B1740" s="9">
        <v>36</v>
      </c>
      <c r="C1740" s="9">
        <v>8294</v>
      </c>
      <c r="D1740" s="9">
        <f>PRODUCT(sales_data_sample[[#This Row],[QUANTITYORDERED]],sales_data_sample[[#This Row],[PRICEEACH]])</f>
        <v>298584</v>
      </c>
      <c r="E1740" s="9">
        <f>IF(OR(sales_data_sample[[#This Row],[STATUS]]="Shipped",sales_data_sample[[#This Row],[STATUS]]="Resolved"),sales_data_sample[[#This Row],[SALES]],0)</f>
        <v>298584</v>
      </c>
      <c r="F1740" s="10">
        <v>4</v>
      </c>
      <c r="G1740" s="12" t="s">
        <v>376</v>
      </c>
      <c r="H1740" s="1" t="s">
        <v>26</v>
      </c>
      <c r="I1740">
        <v>4</v>
      </c>
      <c r="J1740">
        <v>12</v>
      </c>
      <c r="K1740">
        <v>2004</v>
      </c>
      <c r="L1740" s="1" t="s">
        <v>239</v>
      </c>
      <c r="M1740">
        <v>35</v>
      </c>
      <c r="N1740" s="1" t="s">
        <v>964</v>
      </c>
      <c r="O1740" s="1" t="s">
        <v>230</v>
      </c>
      <c r="P1740" s="1" t="s">
        <v>231</v>
      </c>
      <c r="Q1740" s="1" t="s">
        <v>232</v>
      </c>
      <c r="R1740" s="1" t="s">
        <v>32</v>
      </c>
      <c r="S1740" s="1" t="s">
        <v>233</v>
      </c>
      <c r="T1740" s="1" t="s">
        <v>32</v>
      </c>
      <c r="U1740" s="1" t="s">
        <v>234</v>
      </c>
      <c r="V1740" s="1" t="s">
        <v>235</v>
      </c>
      <c r="W1740" s="1" t="s">
        <v>48</v>
      </c>
      <c r="X1740" s="1" t="s">
        <v>236</v>
      </c>
      <c r="Y1740" s="1" t="s">
        <v>237</v>
      </c>
      <c r="Z1740" s="1" t="str">
        <f>TRIM(_xlfn.CONCAT(sales_data_sample[[#This Row],[CONTACTFIRSTNAME]],", ",sales_data_sample[[#This Row],[CONTACTLASTNAME]]))</f>
        <v>Diego, Freyre</v>
      </c>
      <c r="AA1740" s="1" t="s">
        <v>40</v>
      </c>
    </row>
    <row r="1741" spans="1:27" x14ac:dyDescent="0.25">
      <c r="A1741" s="10">
        <v>10371</v>
      </c>
      <c r="B1741" s="9">
        <v>45</v>
      </c>
      <c r="C1741" s="9">
        <v>100</v>
      </c>
      <c r="D1741" s="9">
        <f>PRODUCT(sales_data_sample[[#This Row],[QUANTITYORDERED]],sales_data_sample[[#This Row],[PRICEEACH]])</f>
        <v>4500</v>
      </c>
      <c r="E1741" s="9">
        <f>IF(OR(sales_data_sample[[#This Row],[STATUS]]="Shipped",sales_data_sample[[#This Row],[STATUS]]="Resolved"),sales_data_sample[[#This Row],[SALES]],0)</f>
        <v>4500</v>
      </c>
      <c r="F1741" s="10">
        <v>8</v>
      </c>
      <c r="G1741" s="12" t="s">
        <v>709</v>
      </c>
      <c r="H1741" s="1" t="s">
        <v>26</v>
      </c>
      <c r="I1741">
        <v>1</v>
      </c>
      <c r="J1741">
        <v>1</v>
      </c>
      <c r="K1741">
        <v>2005</v>
      </c>
      <c r="L1741" s="1" t="s">
        <v>239</v>
      </c>
      <c r="M1741">
        <v>35</v>
      </c>
      <c r="N1741" s="1" t="s">
        <v>964</v>
      </c>
      <c r="O1741" s="1" t="s">
        <v>361</v>
      </c>
      <c r="P1741" s="1" t="s">
        <v>362</v>
      </c>
      <c r="Q1741" s="1" t="s">
        <v>363</v>
      </c>
      <c r="R1741" s="1" t="s">
        <v>32</v>
      </c>
      <c r="S1741" s="1" t="s">
        <v>364</v>
      </c>
      <c r="T1741" s="1" t="s">
        <v>65</v>
      </c>
      <c r="U1741" s="1" t="s">
        <v>145</v>
      </c>
      <c r="V1741" s="1" t="s">
        <v>36</v>
      </c>
      <c r="W1741" s="1" t="s">
        <v>37</v>
      </c>
      <c r="X1741" s="1" t="s">
        <v>365</v>
      </c>
      <c r="Y1741" s="1" t="s">
        <v>366</v>
      </c>
      <c r="Z1741" s="1" t="str">
        <f>TRIM(_xlfn.CONCAT(sales_data_sample[[#This Row],[CONTACTFIRSTNAME]],", ",sales_data_sample[[#This Row],[CONTACTLASTNAME]]))</f>
        <v>Valarie, Nelson</v>
      </c>
      <c r="AA1741" s="1" t="s">
        <v>59</v>
      </c>
    </row>
    <row r="1742" spans="1:27" x14ac:dyDescent="0.25">
      <c r="A1742" s="10">
        <v>10383</v>
      </c>
      <c r="B1742" s="9">
        <v>40</v>
      </c>
      <c r="C1742" s="9">
        <v>100</v>
      </c>
      <c r="D1742" s="9">
        <f>PRODUCT(sales_data_sample[[#This Row],[QUANTITYORDERED]],sales_data_sample[[#This Row],[PRICEEACH]])</f>
        <v>4000</v>
      </c>
      <c r="E1742" s="9">
        <f>IF(OR(sales_data_sample[[#This Row],[STATUS]]="Shipped",sales_data_sample[[#This Row],[STATUS]]="Resolved"),sales_data_sample[[#This Row],[SALES]],0)</f>
        <v>4000</v>
      </c>
      <c r="F1742" s="10">
        <v>3</v>
      </c>
      <c r="G1742" s="12" t="s">
        <v>884</v>
      </c>
      <c r="H1742" s="1" t="s">
        <v>26</v>
      </c>
      <c r="I1742">
        <v>1</v>
      </c>
      <c r="J1742">
        <v>2</v>
      </c>
      <c r="K1742">
        <v>2005</v>
      </c>
      <c r="L1742" s="1" t="s">
        <v>239</v>
      </c>
      <c r="M1742">
        <v>35</v>
      </c>
      <c r="N1742" s="1" t="s">
        <v>964</v>
      </c>
      <c r="O1742" s="1" t="s">
        <v>230</v>
      </c>
      <c r="P1742" s="1" t="s">
        <v>231</v>
      </c>
      <c r="Q1742" s="1" t="s">
        <v>232</v>
      </c>
      <c r="R1742" s="1" t="s">
        <v>32</v>
      </c>
      <c r="S1742" s="1" t="s">
        <v>233</v>
      </c>
      <c r="T1742" s="1" t="s">
        <v>32</v>
      </c>
      <c r="U1742" s="1" t="s">
        <v>234</v>
      </c>
      <c r="V1742" s="1" t="s">
        <v>235</v>
      </c>
      <c r="W1742" s="1" t="s">
        <v>48</v>
      </c>
      <c r="X1742" s="1" t="s">
        <v>236</v>
      </c>
      <c r="Y1742" s="1" t="s">
        <v>237</v>
      </c>
      <c r="Z1742" s="1" t="str">
        <f>TRIM(_xlfn.CONCAT(sales_data_sample[[#This Row],[CONTACTFIRSTNAME]],", ",sales_data_sample[[#This Row],[CONTACTLASTNAME]]))</f>
        <v>Diego, Freyre</v>
      </c>
      <c r="AA1742" s="1" t="s">
        <v>59</v>
      </c>
    </row>
    <row r="1743" spans="1:27" x14ac:dyDescent="0.25">
      <c r="A1743" s="10">
        <v>10394</v>
      </c>
      <c r="B1743" s="9">
        <v>46</v>
      </c>
      <c r="C1743" s="9">
        <v>389</v>
      </c>
      <c r="D1743" s="9">
        <f>PRODUCT(sales_data_sample[[#This Row],[QUANTITYORDERED]],sales_data_sample[[#This Row],[PRICEEACH]])</f>
        <v>17894</v>
      </c>
      <c r="E1743" s="9">
        <f>IF(OR(sales_data_sample[[#This Row],[STATUS]]="Shipped",sales_data_sample[[#This Row],[STATUS]]="Resolved"),sales_data_sample[[#This Row],[SALES]],0)</f>
        <v>17894</v>
      </c>
      <c r="F1743" s="10">
        <v>6</v>
      </c>
      <c r="G1743" s="12" t="s">
        <v>917</v>
      </c>
      <c r="H1743" s="1" t="s">
        <v>26</v>
      </c>
      <c r="I1743">
        <v>1</v>
      </c>
      <c r="J1743">
        <v>3</v>
      </c>
      <c r="K1743">
        <v>2005</v>
      </c>
      <c r="L1743" s="1" t="s">
        <v>239</v>
      </c>
      <c r="M1743">
        <v>35</v>
      </c>
      <c r="N1743" s="1" t="s">
        <v>964</v>
      </c>
      <c r="O1743" s="1" t="s">
        <v>230</v>
      </c>
      <c r="P1743" s="1" t="s">
        <v>231</v>
      </c>
      <c r="Q1743" s="1" t="s">
        <v>232</v>
      </c>
      <c r="R1743" s="1" t="s">
        <v>32</v>
      </c>
      <c r="S1743" s="1" t="s">
        <v>233</v>
      </c>
      <c r="T1743" s="1" t="s">
        <v>32</v>
      </c>
      <c r="U1743" s="1" t="s">
        <v>234</v>
      </c>
      <c r="V1743" s="1" t="s">
        <v>235</v>
      </c>
      <c r="W1743" s="1" t="s">
        <v>48</v>
      </c>
      <c r="X1743" s="1" t="s">
        <v>236</v>
      </c>
      <c r="Y1743" s="1" t="s">
        <v>237</v>
      </c>
      <c r="Z1743" s="1" t="str">
        <f>TRIM(_xlfn.CONCAT(sales_data_sample[[#This Row],[CONTACTFIRSTNAME]],", ",sales_data_sample[[#This Row],[CONTACTLASTNAME]]))</f>
        <v>Diego, Freyre</v>
      </c>
      <c r="AA1743" s="1" t="s">
        <v>40</v>
      </c>
    </row>
    <row r="1744" spans="1:27" x14ac:dyDescent="0.25">
      <c r="A1744" s="10">
        <v>10412</v>
      </c>
      <c r="B1744" s="9">
        <v>30</v>
      </c>
      <c r="C1744" s="9">
        <v>3607</v>
      </c>
      <c r="D1744" s="9">
        <f>PRODUCT(sales_data_sample[[#This Row],[QUANTITYORDERED]],sales_data_sample[[#This Row],[PRICEEACH]])</f>
        <v>108210</v>
      </c>
      <c r="E1744" s="9">
        <f>IF(OR(sales_data_sample[[#This Row],[STATUS]]="Shipped",sales_data_sample[[#This Row],[STATUS]]="Resolved"),sales_data_sample[[#This Row],[SALES]],0)</f>
        <v>108210</v>
      </c>
      <c r="F1744" s="10">
        <v>6</v>
      </c>
      <c r="G1744" s="12" t="s">
        <v>758</v>
      </c>
      <c r="H1744" s="1" t="s">
        <v>26</v>
      </c>
      <c r="I1744">
        <v>2</v>
      </c>
      <c r="J1744">
        <v>5</v>
      </c>
      <c r="K1744">
        <v>2005</v>
      </c>
      <c r="L1744" s="1" t="s">
        <v>239</v>
      </c>
      <c r="M1744">
        <v>35</v>
      </c>
      <c r="N1744" s="1" t="s">
        <v>964</v>
      </c>
      <c r="O1744" s="1" t="s">
        <v>230</v>
      </c>
      <c r="P1744" s="1" t="s">
        <v>231</v>
      </c>
      <c r="Q1744" s="1" t="s">
        <v>232</v>
      </c>
      <c r="R1744" s="1" t="s">
        <v>32</v>
      </c>
      <c r="S1744" s="1" t="s">
        <v>233</v>
      </c>
      <c r="T1744" s="1" t="s">
        <v>32</v>
      </c>
      <c r="U1744" s="1" t="s">
        <v>234</v>
      </c>
      <c r="V1744" s="1" t="s">
        <v>235</v>
      </c>
      <c r="W1744" s="1" t="s">
        <v>48</v>
      </c>
      <c r="X1744" s="1" t="s">
        <v>236</v>
      </c>
      <c r="Y1744" s="1" t="s">
        <v>237</v>
      </c>
      <c r="Z1744" s="1" t="str">
        <f>TRIM(_xlfn.CONCAT(sales_data_sample[[#This Row],[CONTACTFIRSTNAME]],", ",sales_data_sample[[#This Row],[CONTACTLASTNAME]]))</f>
        <v>Diego, Freyre</v>
      </c>
      <c r="AA1744" s="1" t="s">
        <v>40</v>
      </c>
    </row>
    <row r="1745" spans="1:27" x14ac:dyDescent="0.25">
      <c r="A1745" s="10">
        <v>10425</v>
      </c>
      <c r="B1745" s="9">
        <v>31</v>
      </c>
      <c r="C1745" s="9">
        <v>3324</v>
      </c>
      <c r="D1745" s="9">
        <f>PRODUCT(sales_data_sample[[#This Row],[QUANTITYORDERED]],sales_data_sample[[#This Row],[PRICEEACH]])</f>
        <v>103044</v>
      </c>
      <c r="E1745" s="9">
        <f>IF(OR(sales_data_sample[[#This Row],[STATUS]]="Shipped",sales_data_sample[[#This Row],[STATUS]]="Resolved"),sales_data_sample[[#This Row],[SALES]],0)</f>
        <v>0</v>
      </c>
      <c r="F1745" s="10">
        <v>5</v>
      </c>
      <c r="G1745" s="12" t="s">
        <v>402</v>
      </c>
      <c r="H1745" s="1" t="s">
        <v>403</v>
      </c>
      <c r="I1745">
        <v>2</v>
      </c>
      <c r="J1745">
        <v>5</v>
      </c>
      <c r="K1745">
        <v>2005</v>
      </c>
      <c r="L1745" s="1" t="s">
        <v>239</v>
      </c>
      <c r="M1745">
        <v>35</v>
      </c>
      <c r="N1745" s="1" t="s">
        <v>964</v>
      </c>
      <c r="O1745" s="1" t="s">
        <v>148</v>
      </c>
      <c r="P1745" s="1" t="s">
        <v>149</v>
      </c>
      <c r="Q1745" s="1" t="s">
        <v>150</v>
      </c>
      <c r="R1745" s="1" t="s">
        <v>32</v>
      </c>
      <c r="S1745" s="1" t="s">
        <v>151</v>
      </c>
      <c r="T1745" s="1" t="s">
        <v>32</v>
      </c>
      <c r="U1745" s="1" t="s">
        <v>152</v>
      </c>
      <c r="V1745" s="1" t="s">
        <v>47</v>
      </c>
      <c r="W1745" s="1" t="s">
        <v>48</v>
      </c>
      <c r="X1745" s="1" t="s">
        <v>153</v>
      </c>
      <c r="Y1745" s="1" t="s">
        <v>154</v>
      </c>
      <c r="Z1745" s="1" t="str">
        <f>TRIM(_xlfn.CONCAT(sales_data_sample[[#This Row],[CONTACTFIRSTNAME]],", ",sales_data_sample[[#This Row],[CONTACTLASTNAME]]))</f>
        <v>Janine, Labrune</v>
      </c>
      <c r="AA1745" s="1" t="s">
        <v>40</v>
      </c>
    </row>
    <row r="1746" spans="1:27" x14ac:dyDescent="0.25">
      <c r="A1746" s="10">
        <v>10106</v>
      </c>
      <c r="B1746" s="9">
        <v>49</v>
      </c>
      <c r="C1746" s="9">
        <v>7468</v>
      </c>
      <c r="D1746" s="9">
        <f>PRODUCT(sales_data_sample[[#This Row],[QUANTITYORDERED]],sales_data_sample[[#This Row],[PRICEEACH]])</f>
        <v>365932</v>
      </c>
      <c r="E1746" s="9">
        <f>IF(OR(sales_data_sample[[#This Row],[STATUS]]="Shipped",sales_data_sample[[#This Row],[STATUS]]="Resolved"),sales_data_sample[[#This Row],[SALES]],0)</f>
        <v>365932</v>
      </c>
      <c r="F1746" s="10">
        <v>13</v>
      </c>
      <c r="G1746" s="12" t="s">
        <v>838</v>
      </c>
      <c r="H1746" s="1" t="s">
        <v>26</v>
      </c>
      <c r="I1746">
        <v>1</v>
      </c>
      <c r="J1746">
        <v>2</v>
      </c>
      <c r="K1746">
        <v>2003</v>
      </c>
      <c r="L1746" s="1" t="s">
        <v>839</v>
      </c>
      <c r="M1746">
        <v>68</v>
      </c>
      <c r="N1746" s="1" t="s">
        <v>965</v>
      </c>
      <c r="O1746" s="1" t="s">
        <v>806</v>
      </c>
      <c r="P1746" s="1" t="s">
        <v>807</v>
      </c>
      <c r="Q1746" s="1" t="s">
        <v>808</v>
      </c>
      <c r="R1746" s="1" t="s">
        <v>32</v>
      </c>
      <c r="S1746" s="1" t="s">
        <v>809</v>
      </c>
      <c r="T1746" s="1" t="s">
        <v>32</v>
      </c>
      <c r="U1746" s="1" t="s">
        <v>810</v>
      </c>
      <c r="V1746" s="1" t="s">
        <v>343</v>
      </c>
      <c r="W1746" s="1" t="s">
        <v>48</v>
      </c>
      <c r="X1746" s="1" t="s">
        <v>811</v>
      </c>
      <c r="Y1746" s="1" t="s">
        <v>812</v>
      </c>
      <c r="Z1746" s="1" t="str">
        <f>TRIM(_xlfn.CONCAT(sales_data_sample[[#This Row],[CONTACTFIRSTNAME]],", ",sales_data_sample[[#This Row],[CONTACTLASTNAME]]))</f>
        <v>Giovanni, Rovelli</v>
      </c>
      <c r="AA1746" s="1" t="s">
        <v>59</v>
      </c>
    </row>
    <row r="1747" spans="1:27" x14ac:dyDescent="0.25">
      <c r="A1747" s="10">
        <v>10119</v>
      </c>
      <c r="B1747" s="9">
        <v>41</v>
      </c>
      <c r="C1747" s="9">
        <v>596</v>
      </c>
      <c r="D1747" s="9">
        <f>PRODUCT(sales_data_sample[[#This Row],[QUANTITYORDERED]],sales_data_sample[[#This Row],[PRICEEACH]])</f>
        <v>24436</v>
      </c>
      <c r="E1747" s="9">
        <f>IF(OR(sales_data_sample[[#This Row],[STATUS]]="Shipped",sales_data_sample[[#This Row],[STATUS]]="Resolved"),sales_data_sample[[#This Row],[SALES]],0)</f>
        <v>24436</v>
      </c>
      <c r="F1747" s="10">
        <v>4</v>
      </c>
      <c r="G1747" s="12" t="s">
        <v>445</v>
      </c>
      <c r="H1747" s="1" t="s">
        <v>26</v>
      </c>
      <c r="I1747">
        <v>2</v>
      </c>
      <c r="J1747">
        <v>4</v>
      </c>
      <c r="K1747">
        <v>2003</v>
      </c>
      <c r="L1747" s="1" t="s">
        <v>839</v>
      </c>
      <c r="M1747">
        <v>68</v>
      </c>
      <c r="N1747" s="1" t="s">
        <v>965</v>
      </c>
      <c r="O1747" s="1" t="s">
        <v>191</v>
      </c>
      <c r="P1747" s="1" t="s">
        <v>192</v>
      </c>
      <c r="Q1747" s="1" t="s">
        <v>193</v>
      </c>
      <c r="R1747" s="1" t="s">
        <v>32</v>
      </c>
      <c r="S1747" s="1" t="s">
        <v>194</v>
      </c>
      <c r="T1747" s="1" t="s">
        <v>32</v>
      </c>
      <c r="U1747" s="1" t="s">
        <v>195</v>
      </c>
      <c r="V1747" s="1" t="s">
        <v>196</v>
      </c>
      <c r="W1747" s="1" t="s">
        <v>48</v>
      </c>
      <c r="X1747" s="1" t="s">
        <v>197</v>
      </c>
      <c r="Y1747" s="1" t="s">
        <v>198</v>
      </c>
      <c r="Z1747" s="1" t="str">
        <f>TRIM(_xlfn.CONCAT(sales_data_sample[[#This Row],[CONTACTFIRSTNAME]],", ",sales_data_sample[[#This Row],[CONTACTLASTNAME]]))</f>
        <v>Georg, Pipps</v>
      </c>
      <c r="AA1747" s="1" t="s">
        <v>40</v>
      </c>
    </row>
    <row r="1748" spans="1:27" x14ac:dyDescent="0.25">
      <c r="A1748" s="10">
        <v>10131</v>
      </c>
      <c r="B1748" s="9">
        <v>35</v>
      </c>
      <c r="C1748" s="9">
        <v>6714</v>
      </c>
      <c r="D1748" s="9">
        <f>PRODUCT(sales_data_sample[[#This Row],[QUANTITYORDERED]],sales_data_sample[[#This Row],[PRICEEACH]])</f>
        <v>234990</v>
      </c>
      <c r="E1748" s="9">
        <f>IF(OR(sales_data_sample[[#This Row],[STATUS]]="Shipped",sales_data_sample[[#This Row],[STATUS]]="Resolved"),sales_data_sample[[#This Row],[SALES]],0)</f>
        <v>234990</v>
      </c>
      <c r="F1748" s="10">
        <v>5</v>
      </c>
      <c r="G1748" s="12" t="s">
        <v>841</v>
      </c>
      <c r="H1748" s="1" t="s">
        <v>26</v>
      </c>
      <c r="I1748">
        <v>2</v>
      </c>
      <c r="J1748">
        <v>6</v>
      </c>
      <c r="K1748">
        <v>2003</v>
      </c>
      <c r="L1748" s="1" t="s">
        <v>839</v>
      </c>
      <c r="M1748">
        <v>68</v>
      </c>
      <c r="N1748" s="1" t="s">
        <v>965</v>
      </c>
      <c r="O1748" s="1" t="s">
        <v>842</v>
      </c>
      <c r="P1748" s="1" t="s">
        <v>843</v>
      </c>
      <c r="Q1748" s="1" t="s">
        <v>844</v>
      </c>
      <c r="R1748" s="1" t="s">
        <v>32</v>
      </c>
      <c r="S1748" s="1" t="s">
        <v>734</v>
      </c>
      <c r="T1748" s="1" t="s">
        <v>144</v>
      </c>
      <c r="U1748" s="1" t="s">
        <v>845</v>
      </c>
      <c r="V1748" s="1" t="s">
        <v>36</v>
      </c>
      <c r="W1748" s="1" t="s">
        <v>37</v>
      </c>
      <c r="X1748" s="1" t="s">
        <v>846</v>
      </c>
      <c r="Y1748" s="1" t="s">
        <v>847</v>
      </c>
      <c r="Z1748" s="1" t="str">
        <f>TRIM(_xlfn.CONCAT(sales_data_sample[[#This Row],[CONTACTFIRSTNAME]],", ",sales_data_sample[[#This Row],[CONTACTLASTNAME]]))</f>
        <v>Dan, Lewis</v>
      </c>
      <c r="AA1748" s="1" t="s">
        <v>40</v>
      </c>
    </row>
    <row r="1749" spans="1:27" x14ac:dyDescent="0.25">
      <c r="A1749" s="10">
        <v>10143</v>
      </c>
      <c r="B1749" s="9">
        <v>27</v>
      </c>
      <c r="C1749" s="9">
        <v>6097</v>
      </c>
      <c r="D1749" s="9">
        <f>PRODUCT(sales_data_sample[[#This Row],[QUANTITYORDERED]],sales_data_sample[[#This Row],[PRICEEACH]])</f>
        <v>164619</v>
      </c>
      <c r="E1749" s="9">
        <f>IF(OR(sales_data_sample[[#This Row],[STATUS]]="Shipped",sales_data_sample[[#This Row],[STATUS]]="Resolved"),sales_data_sample[[#This Row],[SALES]],0)</f>
        <v>164619</v>
      </c>
      <c r="F1749" s="10">
        <v>8</v>
      </c>
      <c r="G1749" s="12" t="s">
        <v>453</v>
      </c>
      <c r="H1749" s="1" t="s">
        <v>26</v>
      </c>
      <c r="I1749">
        <v>3</v>
      </c>
      <c r="J1749">
        <v>8</v>
      </c>
      <c r="K1749">
        <v>2003</v>
      </c>
      <c r="L1749" s="1" t="s">
        <v>839</v>
      </c>
      <c r="M1749">
        <v>68</v>
      </c>
      <c r="N1749" s="1" t="s">
        <v>965</v>
      </c>
      <c r="O1749" s="1" t="s">
        <v>454</v>
      </c>
      <c r="P1749" s="1" t="s">
        <v>455</v>
      </c>
      <c r="Q1749" s="1" t="s">
        <v>456</v>
      </c>
      <c r="R1749" s="1" t="s">
        <v>32</v>
      </c>
      <c r="S1749" s="1" t="s">
        <v>215</v>
      </c>
      <c r="T1749" s="1" t="s">
        <v>160</v>
      </c>
      <c r="U1749" s="1" t="s">
        <v>216</v>
      </c>
      <c r="V1749" s="1" t="s">
        <v>36</v>
      </c>
      <c r="W1749" s="1" t="s">
        <v>37</v>
      </c>
      <c r="X1749" s="1" t="s">
        <v>457</v>
      </c>
      <c r="Y1749" s="1" t="s">
        <v>458</v>
      </c>
      <c r="Z1749" s="1" t="str">
        <f>TRIM(_xlfn.CONCAT(sales_data_sample[[#This Row],[CONTACTFIRSTNAME]],", ",sales_data_sample[[#This Row],[CONTACTLASTNAME]]))</f>
        <v>Wing C, Tam</v>
      </c>
      <c r="AA1749" s="1" t="s">
        <v>40</v>
      </c>
    </row>
    <row r="1750" spans="1:27" x14ac:dyDescent="0.25">
      <c r="A1750" s="10">
        <v>10155</v>
      </c>
      <c r="B1750" s="9">
        <v>23</v>
      </c>
      <c r="C1750" s="9">
        <v>7262</v>
      </c>
      <c r="D1750" s="9">
        <f>PRODUCT(sales_data_sample[[#This Row],[QUANTITYORDERED]],sales_data_sample[[#This Row],[PRICEEACH]])</f>
        <v>167026</v>
      </c>
      <c r="E1750" s="9">
        <f>IF(OR(sales_data_sample[[#This Row],[STATUS]]="Shipped",sales_data_sample[[#This Row],[STATUS]]="Resolved"),sales_data_sample[[#This Row],[SALES]],0)</f>
        <v>167026</v>
      </c>
      <c r="F1750" s="10">
        <v>6</v>
      </c>
      <c r="G1750" s="12" t="s">
        <v>459</v>
      </c>
      <c r="H1750" s="1" t="s">
        <v>26</v>
      </c>
      <c r="I1750">
        <v>4</v>
      </c>
      <c r="J1750">
        <v>10</v>
      </c>
      <c r="K1750">
        <v>2003</v>
      </c>
      <c r="L1750" s="1" t="s">
        <v>839</v>
      </c>
      <c r="M1750">
        <v>68</v>
      </c>
      <c r="N1750" s="1" t="s">
        <v>965</v>
      </c>
      <c r="O1750" s="1" t="s">
        <v>165</v>
      </c>
      <c r="P1750" s="1" t="s">
        <v>166</v>
      </c>
      <c r="Q1750" s="1" t="s">
        <v>167</v>
      </c>
      <c r="R1750" s="1" t="s">
        <v>32</v>
      </c>
      <c r="S1750" s="1" t="s">
        <v>168</v>
      </c>
      <c r="T1750" s="1" t="s">
        <v>32</v>
      </c>
      <c r="U1750" s="1" t="s">
        <v>169</v>
      </c>
      <c r="V1750" s="1" t="s">
        <v>170</v>
      </c>
      <c r="W1750" s="1" t="s">
        <v>48</v>
      </c>
      <c r="X1750" s="1" t="s">
        <v>171</v>
      </c>
      <c r="Y1750" s="1" t="s">
        <v>172</v>
      </c>
      <c r="Z1750" s="1" t="str">
        <f>TRIM(_xlfn.CONCAT(sales_data_sample[[#This Row],[CONTACTFIRSTNAME]],", ",sales_data_sample[[#This Row],[CONTACTLASTNAME]]))</f>
        <v>Matti, Karttunen</v>
      </c>
      <c r="AA1750" s="1" t="s">
        <v>40</v>
      </c>
    </row>
    <row r="1751" spans="1:27" x14ac:dyDescent="0.25">
      <c r="A1751" s="10">
        <v>10167</v>
      </c>
      <c r="B1751" s="9">
        <v>21</v>
      </c>
      <c r="C1751" s="9">
        <v>6988</v>
      </c>
      <c r="D1751" s="9">
        <f>PRODUCT(sales_data_sample[[#This Row],[QUANTITYORDERED]],sales_data_sample[[#This Row],[PRICEEACH]])</f>
        <v>146748</v>
      </c>
      <c r="E1751" s="9">
        <f>IF(OR(sales_data_sample[[#This Row],[STATUS]]="Shipped",sales_data_sample[[#This Row],[STATUS]]="Resolved"),sales_data_sample[[#This Row],[SALES]],0)</f>
        <v>0</v>
      </c>
      <c r="F1751" s="10">
        <v>2</v>
      </c>
      <c r="G1751" s="12" t="s">
        <v>460</v>
      </c>
      <c r="H1751" s="1" t="s">
        <v>461</v>
      </c>
      <c r="I1751">
        <v>4</v>
      </c>
      <c r="J1751">
        <v>10</v>
      </c>
      <c r="K1751">
        <v>2003</v>
      </c>
      <c r="L1751" s="1" t="s">
        <v>839</v>
      </c>
      <c r="M1751">
        <v>68</v>
      </c>
      <c r="N1751" s="1" t="s">
        <v>965</v>
      </c>
      <c r="O1751" s="1" t="s">
        <v>347</v>
      </c>
      <c r="P1751" s="1" t="s">
        <v>348</v>
      </c>
      <c r="Q1751" s="1" t="s">
        <v>349</v>
      </c>
      <c r="R1751" s="1" t="s">
        <v>32</v>
      </c>
      <c r="S1751" s="1" t="s">
        <v>350</v>
      </c>
      <c r="T1751" s="1" t="s">
        <v>32</v>
      </c>
      <c r="U1751" s="1" t="s">
        <v>351</v>
      </c>
      <c r="V1751" s="1" t="s">
        <v>247</v>
      </c>
      <c r="W1751" s="1" t="s">
        <v>48</v>
      </c>
      <c r="X1751" s="1" t="s">
        <v>352</v>
      </c>
      <c r="Y1751" s="1" t="s">
        <v>272</v>
      </c>
      <c r="Z1751" s="1" t="str">
        <f>TRIM(_xlfn.CONCAT(sales_data_sample[[#This Row],[CONTACTFIRSTNAME]],", ",sales_data_sample[[#This Row],[CONTACTLASTNAME]]))</f>
        <v>Maria, Larsson</v>
      </c>
      <c r="AA1751" s="1" t="s">
        <v>40</v>
      </c>
    </row>
    <row r="1752" spans="1:27" x14ac:dyDescent="0.25">
      <c r="A1752" s="10">
        <v>10178</v>
      </c>
      <c r="B1752" s="9">
        <v>34</v>
      </c>
      <c r="C1752" s="9">
        <v>8084</v>
      </c>
      <c r="D1752" s="9">
        <f>PRODUCT(sales_data_sample[[#This Row],[QUANTITYORDERED]],sales_data_sample[[#This Row],[PRICEEACH]])</f>
        <v>274856</v>
      </c>
      <c r="E1752" s="9">
        <f>IF(OR(sales_data_sample[[#This Row],[STATUS]]="Shipped",sales_data_sample[[#This Row],[STATUS]]="Resolved"),sales_data_sample[[#This Row],[SALES]],0)</f>
        <v>274856</v>
      </c>
      <c r="F1752" s="10">
        <v>5</v>
      </c>
      <c r="G1752" s="12" t="s">
        <v>462</v>
      </c>
      <c r="H1752" s="1" t="s">
        <v>26</v>
      </c>
      <c r="I1752">
        <v>4</v>
      </c>
      <c r="J1752">
        <v>11</v>
      </c>
      <c r="K1752">
        <v>2003</v>
      </c>
      <c r="L1752" s="1" t="s">
        <v>839</v>
      </c>
      <c r="M1752">
        <v>68</v>
      </c>
      <c r="N1752" s="1" t="s">
        <v>965</v>
      </c>
      <c r="O1752" s="1" t="s">
        <v>463</v>
      </c>
      <c r="P1752" s="1" t="s">
        <v>464</v>
      </c>
      <c r="Q1752" s="1" t="s">
        <v>465</v>
      </c>
      <c r="R1752" s="1" t="s">
        <v>32</v>
      </c>
      <c r="S1752" s="1" t="s">
        <v>466</v>
      </c>
      <c r="T1752" s="1" t="s">
        <v>32</v>
      </c>
      <c r="U1752" s="1" t="s">
        <v>467</v>
      </c>
      <c r="V1752" s="1" t="s">
        <v>47</v>
      </c>
      <c r="W1752" s="1" t="s">
        <v>48</v>
      </c>
      <c r="X1752" s="1" t="s">
        <v>468</v>
      </c>
      <c r="Y1752" s="1" t="s">
        <v>469</v>
      </c>
      <c r="Z1752" s="1" t="str">
        <f>TRIM(_xlfn.CONCAT(sales_data_sample[[#This Row],[CONTACTFIRSTNAME]],", ",sales_data_sample[[#This Row],[CONTACTLASTNAME]]))</f>
        <v>Annette, Roulet</v>
      </c>
      <c r="AA1752" s="1" t="s">
        <v>40</v>
      </c>
    </row>
    <row r="1753" spans="1:27" x14ac:dyDescent="0.25">
      <c r="A1753" s="10">
        <v>10186</v>
      </c>
      <c r="B1753" s="9">
        <v>22</v>
      </c>
      <c r="C1753" s="9">
        <v>692</v>
      </c>
      <c r="D1753" s="9">
        <f>PRODUCT(sales_data_sample[[#This Row],[QUANTITYORDERED]],sales_data_sample[[#This Row],[PRICEEACH]])</f>
        <v>15224</v>
      </c>
      <c r="E1753" s="9">
        <f>IF(OR(sales_data_sample[[#This Row],[STATUS]]="Shipped",sales_data_sample[[#This Row],[STATUS]]="Resolved"),sales_data_sample[[#This Row],[SALES]],0)</f>
        <v>15224</v>
      </c>
      <c r="F1753" s="10">
        <v>2</v>
      </c>
      <c r="G1753" s="12" t="s">
        <v>470</v>
      </c>
      <c r="H1753" s="1" t="s">
        <v>26</v>
      </c>
      <c r="I1753">
        <v>4</v>
      </c>
      <c r="J1753">
        <v>11</v>
      </c>
      <c r="K1753">
        <v>2003</v>
      </c>
      <c r="L1753" s="1" t="s">
        <v>839</v>
      </c>
      <c r="M1753">
        <v>68</v>
      </c>
      <c r="N1753" s="1" t="s">
        <v>965</v>
      </c>
      <c r="O1753" s="1" t="s">
        <v>471</v>
      </c>
      <c r="P1753" s="1" t="s">
        <v>472</v>
      </c>
      <c r="Q1753" s="1" t="s">
        <v>473</v>
      </c>
      <c r="R1753" s="1" t="s">
        <v>32</v>
      </c>
      <c r="S1753" s="1" t="s">
        <v>450</v>
      </c>
      <c r="T1753" s="1" t="s">
        <v>32</v>
      </c>
      <c r="U1753" s="1" t="s">
        <v>474</v>
      </c>
      <c r="V1753" s="1" t="s">
        <v>225</v>
      </c>
      <c r="W1753" s="1" t="s">
        <v>48</v>
      </c>
      <c r="X1753" s="1" t="s">
        <v>475</v>
      </c>
      <c r="Y1753" s="1" t="s">
        <v>476</v>
      </c>
      <c r="Z1753" s="1" t="str">
        <f>TRIM(_xlfn.CONCAT(sales_data_sample[[#This Row],[CONTACTFIRSTNAME]],", ",sales_data_sample[[#This Row],[CONTACTLASTNAME]]))</f>
        <v>Thomas, Hardy</v>
      </c>
      <c r="AA1753" s="1" t="s">
        <v>40</v>
      </c>
    </row>
    <row r="1754" spans="1:27" x14ac:dyDescent="0.25">
      <c r="A1754" s="10">
        <v>10198</v>
      </c>
      <c r="B1754" s="9">
        <v>48</v>
      </c>
      <c r="C1754" s="9">
        <v>6782</v>
      </c>
      <c r="D1754" s="9">
        <f>PRODUCT(sales_data_sample[[#This Row],[QUANTITYORDERED]],sales_data_sample[[#This Row],[PRICEEACH]])</f>
        <v>325536</v>
      </c>
      <c r="E1754" s="9">
        <f>IF(OR(sales_data_sample[[#This Row],[STATUS]]="Shipped",sales_data_sample[[#This Row],[STATUS]]="Resolved"),sales_data_sample[[#This Row],[SALES]],0)</f>
        <v>325536</v>
      </c>
      <c r="F1754" s="10">
        <v>5</v>
      </c>
      <c r="G1754" s="12" t="s">
        <v>848</v>
      </c>
      <c r="H1754" s="1" t="s">
        <v>26</v>
      </c>
      <c r="I1754">
        <v>4</v>
      </c>
      <c r="J1754">
        <v>11</v>
      </c>
      <c r="K1754">
        <v>2003</v>
      </c>
      <c r="L1754" s="1" t="s">
        <v>839</v>
      </c>
      <c r="M1754">
        <v>68</v>
      </c>
      <c r="N1754" s="1" t="s">
        <v>965</v>
      </c>
      <c r="O1754" s="1" t="s">
        <v>591</v>
      </c>
      <c r="P1754" s="1" t="s">
        <v>592</v>
      </c>
      <c r="Q1754" s="1" t="s">
        <v>593</v>
      </c>
      <c r="R1754" s="1" t="s">
        <v>32</v>
      </c>
      <c r="S1754" s="1" t="s">
        <v>594</v>
      </c>
      <c r="T1754" s="1" t="s">
        <v>32</v>
      </c>
      <c r="U1754" s="1" t="s">
        <v>595</v>
      </c>
      <c r="V1754" s="1" t="s">
        <v>596</v>
      </c>
      <c r="W1754" s="1" t="s">
        <v>264</v>
      </c>
      <c r="X1754" s="1" t="s">
        <v>597</v>
      </c>
      <c r="Y1754" s="1" t="s">
        <v>598</v>
      </c>
      <c r="Z1754" s="1" t="str">
        <f>TRIM(_xlfn.CONCAT(sales_data_sample[[#This Row],[CONTACTFIRSTNAME]],", ",sales_data_sample[[#This Row],[CONTACTLASTNAME]]))</f>
        <v>Arnold, Cruz</v>
      </c>
      <c r="AA1754" s="1" t="s">
        <v>59</v>
      </c>
    </row>
    <row r="1755" spans="1:27" x14ac:dyDescent="0.25">
      <c r="A1755" s="10">
        <v>10209</v>
      </c>
      <c r="B1755" s="9">
        <v>43</v>
      </c>
      <c r="C1755" s="9">
        <v>8221</v>
      </c>
      <c r="D1755" s="9">
        <f>PRODUCT(sales_data_sample[[#This Row],[QUANTITYORDERED]],sales_data_sample[[#This Row],[PRICEEACH]])</f>
        <v>353503</v>
      </c>
      <c r="E1755" s="9">
        <f>IF(OR(sales_data_sample[[#This Row],[STATUS]]="Shipped",sales_data_sample[[#This Row],[STATUS]]="Resolved"),sales_data_sample[[#This Row],[SALES]],0)</f>
        <v>353503</v>
      </c>
      <c r="F1755" s="10">
        <v>1</v>
      </c>
      <c r="G1755" s="12" t="s">
        <v>485</v>
      </c>
      <c r="H1755" s="1" t="s">
        <v>26</v>
      </c>
      <c r="I1755">
        <v>1</v>
      </c>
      <c r="J1755">
        <v>1</v>
      </c>
      <c r="K1755">
        <v>2004</v>
      </c>
      <c r="L1755" s="1" t="s">
        <v>839</v>
      </c>
      <c r="M1755">
        <v>68</v>
      </c>
      <c r="N1755" s="1" t="s">
        <v>965</v>
      </c>
      <c r="O1755" s="1" t="s">
        <v>486</v>
      </c>
      <c r="P1755" s="1" t="s">
        <v>487</v>
      </c>
      <c r="Q1755" s="1" t="s">
        <v>488</v>
      </c>
      <c r="R1755" s="1" t="s">
        <v>32</v>
      </c>
      <c r="S1755" s="1" t="s">
        <v>489</v>
      </c>
      <c r="T1755" s="1" t="s">
        <v>65</v>
      </c>
      <c r="U1755" s="1" t="s">
        <v>32</v>
      </c>
      <c r="V1755" s="1" t="s">
        <v>36</v>
      </c>
      <c r="W1755" s="1" t="s">
        <v>37</v>
      </c>
      <c r="X1755" s="1" t="s">
        <v>490</v>
      </c>
      <c r="Y1755" s="1" t="s">
        <v>130</v>
      </c>
      <c r="Z1755" s="1" t="str">
        <f>TRIM(_xlfn.CONCAT(sales_data_sample[[#This Row],[CONTACTFIRSTNAME]],", ",sales_data_sample[[#This Row],[CONTACTLASTNAME]]))</f>
        <v>Michael, Chandler</v>
      </c>
      <c r="AA1755" s="1" t="s">
        <v>59</v>
      </c>
    </row>
    <row r="1756" spans="1:27" x14ac:dyDescent="0.25">
      <c r="A1756" s="10">
        <v>10222</v>
      </c>
      <c r="B1756" s="9">
        <v>32</v>
      </c>
      <c r="C1756" s="9">
        <v>8153</v>
      </c>
      <c r="D1756" s="9">
        <f>PRODUCT(sales_data_sample[[#This Row],[QUANTITYORDERED]],sales_data_sample[[#This Row],[PRICEEACH]])</f>
        <v>260896</v>
      </c>
      <c r="E1756" s="9">
        <f>IF(OR(sales_data_sample[[#This Row],[STATUS]]="Shipped",sales_data_sample[[#This Row],[STATUS]]="Resolved"),sales_data_sample[[#This Row],[SALES]],0)</f>
        <v>260896</v>
      </c>
      <c r="F1756" s="10">
        <v>5</v>
      </c>
      <c r="G1756" s="12" t="s">
        <v>491</v>
      </c>
      <c r="H1756" s="1" t="s">
        <v>26</v>
      </c>
      <c r="I1756">
        <v>1</v>
      </c>
      <c r="J1756">
        <v>2</v>
      </c>
      <c r="K1756">
        <v>2004</v>
      </c>
      <c r="L1756" s="1" t="s">
        <v>839</v>
      </c>
      <c r="M1756">
        <v>68</v>
      </c>
      <c r="N1756" s="1" t="s">
        <v>965</v>
      </c>
      <c r="O1756" s="1" t="s">
        <v>492</v>
      </c>
      <c r="P1756" s="1" t="s">
        <v>493</v>
      </c>
      <c r="Q1756" s="1" t="s">
        <v>494</v>
      </c>
      <c r="R1756" s="1" t="s">
        <v>32</v>
      </c>
      <c r="S1756" s="1" t="s">
        <v>495</v>
      </c>
      <c r="T1756" s="1" t="s">
        <v>65</v>
      </c>
      <c r="U1756" s="1" t="s">
        <v>496</v>
      </c>
      <c r="V1756" s="1" t="s">
        <v>36</v>
      </c>
      <c r="W1756" s="1" t="s">
        <v>37</v>
      </c>
      <c r="X1756" s="1" t="s">
        <v>313</v>
      </c>
      <c r="Y1756" s="1" t="s">
        <v>366</v>
      </c>
      <c r="Z1756" s="1" t="str">
        <f>TRIM(_xlfn.CONCAT(sales_data_sample[[#This Row],[CONTACTFIRSTNAME]],", ",sales_data_sample[[#This Row],[CONTACTLASTNAME]]))</f>
        <v>Valarie, Thompson</v>
      </c>
      <c r="AA1756" s="1" t="s">
        <v>40</v>
      </c>
    </row>
    <row r="1757" spans="1:27" x14ac:dyDescent="0.25">
      <c r="A1757" s="10">
        <v>10249</v>
      </c>
      <c r="B1757" s="9">
        <v>20</v>
      </c>
      <c r="C1757" s="9">
        <v>6782</v>
      </c>
      <c r="D1757" s="9">
        <f>PRODUCT(sales_data_sample[[#This Row],[QUANTITYORDERED]],sales_data_sample[[#This Row],[PRICEEACH]])</f>
        <v>135640</v>
      </c>
      <c r="E1757" s="9">
        <f>IF(OR(sales_data_sample[[#This Row],[STATUS]]="Shipped",sales_data_sample[[#This Row],[STATUS]]="Resolved"),sales_data_sample[[#This Row],[SALES]],0)</f>
        <v>135640</v>
      </c>
      <c r="F1757" s="10">
        <v>1</v>
      </c>
      <c r="G1757" s="12" t="s">
        <v>935</v>
      </c>
      <c r="H1757" s="1" t="s">
        <v>26</v>
      </c>
      <c r="I1757">
        <v>2</v>
      </c>
      <c r="J1757">
        <v>5</v>
      </c>
      <c r="K1757">
        <v>2004</v>
      </c>
      <c r="L1757" s="1" t="s">
        <v>839</v>
      </c>
      <c r="M1757">
        <v>68</v>
      </c>
      <c r="N1757" s="1" t="s">
        <v>965</v>
      </c>
      <c r="O1757" s="1" t="s">
        <v>316</v>
      </c>
      <c r="P1757" s="1" t="s">
        <v>317</v>
      </c>
      <c r="Q1757" s="1" t="s">
        <v>318</v>
      </c>
      <c r="R1757" s="1" t="s">
        <v>32</v>
      </c>
      <c r="S1757" s="1" t="s">
        <v>159</v>
      </c>
      <c r="T1757" s="1" t="s">
        <v>160</v>
      </c>
      <c r="U1757" s="1" t="s">
        <v>161</v>
      </c>
      <c r="V1757" s="1" t="s">
        <v>36</v>
      </c>
      <c r="W1757" s="1" t="s">
        <v>37</v>
      </c>
      <c r="X1757" s="1" t="s">
        <v>319</v>
      </c>
      <c r="Y1757" s="1" t="s">
        <v>188</v>
      </c>
      <c r="Z1757" s="1" t="str">
        <f>TRIM(_xlfn.CONCAT(sales_data_sample[[#This Row],[CONTACTFIRSTNAME]],", ",sales_data_sample[[#This Row],[CONTACTLASTNAME]]))</f>
        <v>Kyung, Tseng</v>
      </c>
      <c r="AA1757" s="1" t="s">
        <v>40</v>
      </c>
    </row>
    <row r="1758" spans="1:27" x14ac:dyDescent="0.25">
      <c r="A1758" s="10">
        <v>10262</v>
      </c>
      <c r="B1758" s="9">
        <v>24</v>
      </c>
      <c r="C1758" s="9">
        <v>6714</v>
      </c>
      <c r="D1758" s="9">
        <f>PRODUCT(sales_data_sample[[#This Row],[QUANTITYORDERED]],sales_data_sample[[#This Row],[PRICEEACH]])</f>
        <v>161136</v>
      </c>
      <c r="E1758" s="9">
        <f>IF(OR(sales_data_sample[[#This Row],[STATUS]]="Shipped",sales_data_sample[[#This Row],[STATUS]]="Resolved"),sales_data_sample[[#This Row],[SALES]],0)</f>
        <v>0</v>
      </c>
      <c r="F1758" s="10">
        <v>10</v>
      </c>
      <c r="G1758" s="12" t="s">
        <v>850</v>
      </c>
      <c r="H1758" s="1" t="s">
        <v>461</v>
      </c>
      <c r="I1758">
        <v>2</v>
      </c>
      <c r="J1758">
        <v>6</v>
      </c>
      <c r="K1758">
        <v>2004</v>
      </c>
      <c r="L1758" s="1" t="s">
        <v>839</v>
      </c>
      <c r="M1758">
        <v>68</v>
      </c>
      <c r="N1758" s="1" t="s">
        <v>965</v>
      </c>
      <c r="O1758" s="1" t="s">
        <v>230</v>
      </c>
      <c r="P1758" s="1" t="s">
        <v>231</v>
      </c>
      <c r="Q1758" s="1" t="s">
        <v>232</v>
      </c>
      <c r="R1758" s="1" t="s">
        <v>32</v>
      </c>
      <c r="S1758" s="1" t="s">
        <v>233</v>
      </c>
      <c r="T1758" s="1" t="s">
        <v>32</v>
      </c>
      <c r="U1758" s="1" t="s">
        <v>234</v>
      </c>
      <c r="V1758" s="1" t="s">
        <v>235</v>
      </c>
      <c r="W1758" s="1" t="s">
        <v>48</v>
      </c>
      <c r="X1758" s="1" t="s">
        <v>236</v>
      </c>
      <c r="Y1758" s="1" t="s">
        <v>237</v>
      </c>
      <c r="Z1758" s="1" t="str">
        <f>TRIM(_xlfn.CONCAT(sales_data_sample[[#This Row],[CONTACTFIRSTNAME]],", ",sales_data_sample[[#This Row],[CONTACTLASTNAME]]))</f>
        <v>Diego, Freyre</v>
      </c>
      <c r="AA1758" s="1" t="s">
        <v>40</v>
      </c>
    </row>
    <row r="1759" spans="1:27" x14ac:dyDescent="0.25">
      <c r="A1759" s="10">
        <v>10274</v>
      </c>
      <c r="B1759" s="9">
        <v>40</v>
      </c>
      <c r="C1759" s="9">
        <v>6508</v>
      </c>
      <c r="D1759" s="9">
        <f>PRODUCT(sales_data_sample[[#This Row],[QUANTITYORDERED]],sales_data_sample[[#This Row],[PRICEEACH]])</f>
        <v>260320</v>
      </c>
      <c r="E1759" s="9">
        <f>IF(OR(sales_data_sample[[#This Row],[STATUS]]="Shipped",sales_data_sample[[#This Row],[STATUS]]="Resolved"),sales_data_sample[[#This Row],[SALES]],0)</f>
        <v>260320</v>
      </c>
      <c r="F1759" s="10">
        <v>2</v>
      </c>
      <c r="G1759" s="12" t="s">
        <v>499</v>
      </c>
      <c r="H1759" s="1" t="s">
        <v>26</v>
      </c>
      <c r="I1759">
        <v>3</v>
      </c>
      <c r="J1759">
        <v>7</v>
      </c>
      <c r="K1759">
        <v>2004</v>
      </c>
      <c r="L1759" s="1" t="s">
        <v>839</v>
      </c>
      <c r="M1759">
        <v>68</v>
      </c>
      <c r="N1759" s="1" t="s">
        <v>965</v>
      </c>
      <c r="O1759" s="1" t="s">
        <v>378</v>
      </c>
      <c r="P1759" s="1" t="s">
        <v>157</v>
      </c>
      <c r="Q1759" s="1" t="s">
        <v>379</v>
      </c>
      <c r="R1759" s="1" t="s">
        <v>32</v>
      </c>
      <c r="S1759" s="1" t="s">
        <v>380</v>
      </c>
      <c r="T1759" s="1" t="s">
        <v>160</v>
      </c>
      <c r="U1759" s="1" t="s">
        <v>381</v>
      </c>
      <c r="V1759" s="1" t="s">
        <v>36</v>
      </c>
      <c r="W1759" s="1" t="s">
        <v>37</v>
      </c>
      <c r="X1759" s="1" t="s">
        <v>365</v>
      </c>
      <c r="Y1759" s="1" t="s">
        <v>382</v>
      </c>
      <c r="Z1759" s="1" t="str">
        <f>TRIM(_xlfn.CONCAT(sales_data_sample[[#This Row],[CONTACTFIRSTNAME]],", ",sales_data_sample[[#This Row],[CONTACTLASTNAME]]))</f>
        <v>Allen, Nelson</v>
      </c>
      <c r="AA1759" s="1" t="s">
        <v>40</v>
      </c>
    </row>
    <row r="1760" spans="1:27" x14ac:dyDescent="0.25">
      <c r="A1760" s="10">
        <v>10284</v>
      </c>
      <c r="B1760" s="9">
        <v>30</v>
      </c>
      <c r="C1760" s="9">
        <v>7399</v>
      </c>
      <c r="D1760" s="9">
        <f>PRODUCT(sales_data_sample[[#This Row],[QUANTITYORDERED]],sales_data_sample[[#This Row],[PRICEEACH]])</f>
        <v>221970</v>
      </c>
      <c r="E1760" s="9">
        <f>IF(OR(sales_data_sample[[#This Row],[STATUS]]="Shipped",sales_data_sample[[#This Row],[STATUS]]="Resolved"),sales_data_sample[[#This Row],[SALES]],0)</f>
        <v>221970</v>
      </c>
      <c r="F1760" s="10">
        <v>12</v>
      </c>
      <c r="G1760" s="12" t="s">
        <v>851</v>
      </c>
      <c r="H1760" s="1" t="s">
        <v>26</v>
      </c>
      <c r="I1760">
        <v>3</v>
      </c>
      <c r="J1760">
        <v>8</v>
      </c>
      <c r="K1760">
        <v>2004</v>
      </c>
      <c r="L1760" s="1" t="s">
        <v>839</v>
      </c>
      <c r="M1760">
        <v>68</v>
      </c>
      <c r="N1760" s="1" t="s">
        <v>965</v>
      </c>
      <c r="O1760" s="1" t="s">
        <v>786</v>
      </c>
      <c r="P1760" s="1" t="s">
        <v>787</v>
      </c>
      <c r="Q1760" s="1" t="s">
        <v>788</v>
      </c>
      <c r="R1760" s="1" t="s">
        <v>32</v>
      </c>
      <c r="S1760" s="1" t="s">
        <v>789</v>
      </c>
      <c r="T1760" s="1" t="s">
        <v>32</v>
      </c>
      <c r="U1760" s="1" t="s">
        <v>790</v>
      </c>
      <c r="V1760" s="1" t="s">
        <v>97</v>
      </c>
      <c r="W1760" s="1" t="s">
        <v>48</v>
      </c>
      <c r="X1760" s="1" t="s">
        <v>791</v>
      </c>
      <c r="Y1760" s="1" t="s">
        <v>792</v>
      </c>
      <c r="Z1760" s="1" t="str">
        <f>TRIM(_xlfn.CONCAT(sales_data_sample[[#This Row],[CONTACTFIRSTNAME]],", ",sales_data_sample[[#This Row],[CONTACTLASTNAME]]))</f>
        <v>Jan, Klaeboe</v>
      </c>
      <c r="AA1760" s="1" t="s">
        <v>40</v>
      </c>
    </row>
    <row r="1761" spans="1:27" x14ac:dyDescent="0.25">
      <c r="A1761" s="10">
        <v>10296</v>
      </c>
      <c r="B1761" s="9">
        <v>21</v>
      </c>
      <c r="C1761" s="9">
        <v>7125</v>
      </c>
      <c r="D1761" s="9">
        <f>PRODUCT(sales_data_sample[[#This Row],[QUANTITYORDERED]],sales_data_sample[[#This Row],[PRICEEACH]])</f>
        <v>149625</v>
      </c>
      <c r="E1761" s="9">
        <f>IF(OR(sales_data_sample[[#This Row],[STATUS]]="Shipped",sales_data_sample[[#This Row],[STATUS]]="Resolved"),sales_data_sample[[#This Row],[SALES]],0)</f>
        <v>149625</v>
      </c>
      <c r="F1761" s="10">
        <v>8</v>
      </c>
      <c r="G1761" s="12" t="s">
        <v>852</v>
      </c>
      <c r="H1761" s="1" t="s">
        <v>26</v>
      </c>
      <c r="I1761">
        <v>3</v>
      </c>
      <c r="J1761">
        <v>9</v>
      </c>
      <c r="K1761">
        <v>2004</v>
      </c>
      <c r="L1761" s="1" t="s">
        <v>839</v>
      </c>
      <c r="M1761">
        <v>68</v>
      </c>
      <c r="N1761" s="1" t="s">
        <v>965</v>
      </c>
      <c r="O1761" s="1" t="s">
        <v>853</v>
      </c>
      <c r="P1761" s="1" t="s">
        <v>854</v>
      </c>
      <c r="Q1761" s="1" t="s">
        <v>855</v>
      </c>
      <c r="R1761" s="1" t="s">
        <v>32</v>
      </c>
      <c r="S1761" s="1" t="s">
        <v>856</v>
      </c>
      <c r="T1761" s="1" t="s">
        <v>32</v>
      </c>
      <c r="U1761" s="1" t="s">
        <v>857</v>
      </c>
      <c r="V1761" s="1" t="s">
        <v>617</v>
      </c>
      <c r="W1761" s="1" t="s">
        <v>48</v>
      </c>
      <c r="X1761" s="1" t="s">
        <v>858</v>
      </c>
      <c r="Y1761" s="1" t="s">
        <v>130</v>
      </c>
      <c r="Z1761" s="1" t="str">
        <f>TRIM(_xlfn.CONCAT(sales_data_sample[[#This Row],[CONTACTFIRSTNAME]],", ",sales_data_sample[[#This Row],[CONTACTLASTNAME]]))</f>
        <v>Michael, Donnermeyer</v>
      </c>
      <c r="AA1761" s="1" t="s">
        <v>40</v>
      </c>
    </row>
    <row r="1762" spans="1:27" x14ac:dyDescent="0.25">
      <c r="A1762" s="10">
        <v>10307</v>
      </c>
      <c r="B1762" s="9">
        <v>25</v>
      </c>
      <c r="C1762" s="9">
        <v>7536</v>
      </c>
      <c r="D1762" s="9">
        <f>PRODUCT(sales_data_sample[[#This Row],[QUANTITYORDERED]],sales_data_sample[[#This Row],[PRICEEACH]])</f>
        <v>188400</v>
      </c>
      <c r="E1762" s="9">
        <f>IF(OR(sales_data_sample[[#This Row],[STATUS]]="Shipped",sales_data_sample[[#This Row],[STATUS]]="Resolved"),sales_data_sample[[#This Row],[SALES]],0)</f>
        <v>188400</v>
      </c>
      <c r="F1762" s="10">
        <v>2</v>
      </c>
      <c r="G1762" s="12" t="s">
        <v>522</v>
      </c>
      <c r="H1762" s="1" t="s">
        <v>26</v>
      </c>
      <c r="I1762">
        <v>4</v>
      </c>
      <c r="J1762">
        <v>10</v>
      </c>
      <c r="K1762">
        <v>2004</v>
      </c>
      <c r="L1762" s="1" t="s">
        <v>839</v>
      </c>
      <c r="M1762">
        <v>68</v>
      </c>
      <c r="N1762" s="1" t="s">
        <v>965</v>
      </c>
      <c r="O1762" s="1" t="s">
        <v>283</v>
      </c>
      <c r="P1762" s="1" t="s">
        <v>284</v>
      </c>
      <c r="Q1762" s="1" t="s">
        <v>285</v>
      </c>
      <c r="R1762" s="1" t="s">
        <v>32</v>
      </c>
      <c r="S1762" s="1" t="s">
        <v>286</v>
      </c>
      <c r="T1762" s="1" t="s">
        <v>186</v>
      </c>
      <c r="U1762" s="1" t="s">
        <v>287</v>
      </c>
      <c r="V1762" s="1" t="s">
        <v>36</v>
      </c>
      <c r="W1762" s="1" t="s">
        <v>37</v>
      </c>
      <c r="X1762" s="1" t="s">
        <v>288</v>
      </c>
      <c r="Y1762" s="1" t="s">
        <v>289</v>
      </c>
      <c r="Z1762" s="1" t="str">
        <f>TRIM(_xlfn.CONCAT(sales_data_sample[[#This Row],[CONTACTFIRSTNAME]],", ",sales_data_sample[[#This Row],[CONTACTLASTNAME]]))</f>
        <v>Francisca, Cervantes</v>
      </c>
      <c r="AA1762" s="1" t="s">
        <v>40</v>
      </c>
    </row>
    <row r="1763" spans="1:27" x14ac:dyDescent="0.25">
      <c r="A1763" s="10">
        <v>10316</v>
      </c>
      <c r="B1763" s="9">
        <v>34</v>
      </c>
      <c r="C1763" s="9">
        <v>6371</v>
      </c>
      <c r="D1763" s="9">
        <f>PRODUCT(sales_data_sample[[#This Row],[QUANTITYORDERED]],sales_data_sample[[#This Row],[PRICEEACH]])</f>
        <v>216614</v>
      </c>
      <c r="E1763" s="9">
        <f>IF(OR(sales_data_sample[[#This Row],[STATUS]]="Shipped",sales_data_sample[[#This Row],[STATUS]]="Resolved"),sales_data_sample[[#This Row],[SALES]],0)</f>
        <v>216614</v>
      </c>
      <c r="F1763" s="10">
        <v>10</v>
      </c>
      <c r="G1763" s="12" t="s">
        <v>523</v>
      </c>
      <c r="H1763" s="1" t="s">
        <v>26</v>
      </c>
      <c r="I1763">
        <v>4</v>
      </c>
      <c r="J1763">
        <v>11</v>
      </c>
      <c r="K1763">
        <v>2004</v>
      </c>
      <c r="L1763" s="1" t="s">
        <v>839</v>
      </c>
      <c r="M1763">
        <v>68</v>
      </c>
      <c r="N1763" s="1" t="s">
        <v>965</v>
      </c>
      <c r="O1763" s="1" t="s">
        <v>524</v>
      </c>
      <c r="P1763" s="1" t="s">
        <v>525</v>
      </c>
      <c r="Q1763" s="1" t="s">
        <v>526</v>
      </c>
      <c r="R1763" s="1" t="s">
        <v>32</v>
      </c>
      <c r="S1763" s="1" t="s">
        <v>527</v>
      </c>
      <c r="T1763" s="1" t="s">
        <v>528</v>
      </c>
      <c r="U1763" s="1" t="s">
        <v>529</v>
      </c>
      <c r="V1763" s="1" t="s">
        <v>225</v>
      </c>
      <c r="W1763" s="1" t="s">
        <v>48</v>
      </c>
      <c r="X1763" s="1" t="s">
        <v>530</v>
      </c>
      <c r="Y1763" s="1" t="s">
        <v>531</v>
      </c>
      <c r="Z1763" s="1" t="str">
        <f>TRIM(_xlfn.CONCAT(sales_data_sample[[#This Row],[CONTACTFIRSTNAME]],", ",sales_data_sample[[#This Row],[CONTACTLASTNAME]]))</f>
        <v>Helen, Bennett</v>
      </c>
      <c r="AA1763" s="1" t="s">
        <v>40</v>
      </c>
    </row>
    <row r="1764" spans="1:27" x14ac:dyDescent="0.25">
      <c r="A1764" s="10">
        <v>10328</v>
      </c>
      <c r="B1764" s="9">
        <v>48</v>
      </c>
      <c r="C1764" s="9">
        <v>5892</v>
      </c>
      <c r="D1764" s="9">
        <f>PRODUCT(sales_data_sample[[#This Row],[QUANTITYORDERED]],sales_data_sample[[#This Row],[PRICEEACH]])</f>
        <v>282816</v>
      </c>
      <c r="E1764" s="9">
        <f>IF(OR(sales_data_sample[[#This Row],[STATUS]]="Shipped",sales_data_sample[[#This Row],[STATUS]]="Resolved"),sales_data_sample[[#This Row],[SALES]],0)</f>
        <v>282816</v>
      </c>
      <c r="F1764" s="10">
        <v>1</v>
      </c>
      <c r="G1764" s="12" t="s">
        <v>936</v>
      </c>
      <c r="H1764" s="1" t="s">
        <v>26</v>
      </c>
      <c r="I1764">
        <v>4</v>
      </c>
      <c r="J1764">
        <v>11</v>
      </c>
      <c r="K1764">
        <v>2004</v>
      </c>
      <c r="L1764" s="1" t="s">
        <v>839</v>
      </c>
      <c r="M1764">
        <v>68</v>
      </c>
      <c r="N1764" s="1" t="s">
        <v>965</v>
      </c>
      <c r="O1764" s="1" t="s">
        <v>806</v>
      </c>
      <c r="P1764" s="1" t="s">
        <v>807</v>
      </c>
      <c r="Q1764" s="1" t="s">
        <v>808</v>
      </c>
      <c r="R1764" s="1" t="s">
        <v>32</v>
      </c>
      <c r="S1764" s="1" t="s">
        <v>809</v>
      </c>
      <c r="T1764" s="1" t="s">
        <v>32</v>
      </c>
      <c r="U1764" s="1" t="s">
        <v>810</v>
      </c>
      <c r="V1764" s="1" t="s">
        <v>343</v>
      </c>
      <c r="W1764" s="1" t="s">
        <v>48</v>
      </c>
      <c r="X1764" s="1" t="s">
        <v>811</v>
      </c>
      <c r="Y1764" s="1" t="s">
        <v>812</v>
      </c>
      <c r="Z1764" s="1" t="str">
        <f>TRIM(_xlfn.CONCAT(sales_data_sample[[#This Row],[CONTACTFIRSTNAME]],", ",sales_data_sample[[#This Row],[CONTACTLASTNAME]]))</f>
        <v>Giovanni, Rovelli</v>
      </c>
      <c r="AA1764" s="1" t="s">
        <v>40</v>
      </c>
    </row>
    <row r="1765" spans="1:27" x14ac:dyDescent="0.25">
      <c r="A1765" s="10">
        <v>10339</v>
      </c>
      <c r="B1765" s="9">
        <v>55</v>
      </c>
      <c r="C1765" s="9">
        <v>100</v>
      </c>
      <c r="D1765" s="9">
        <f>PRODUCT(sales_data_sample[[#This Row],[QUANTITYORDERED]],sales_data_sample[[#This Row],[PRICEEACH]])</f>
        <v>5500</v>
      </c>
      <c r="E1765" s="9">
        <f>IF(OR(sales_data_sample[[#This Row],[STATUS]]="Shipped",sales_data_sample[[#This Row],[STATUS]]="Resolved"),sales_data_sample[[#This Row],[SALES]],0)</f>
        <v>5500</v>
      </c>
      <c r="F1765" s="10">
        <v>12</v>
      </c>
      <c r="G1765" s="12" t="s">
        <v>430</v>
      </c>
      <c r="H1765" s="1" t="s">
        <v>26</v>
      </c>
      <c r="I1765">
        <v>4</v>
      </c>
      <c r="J1765">
        <v>11</v>
      </c>
      <c r="K1765">
        <v>2004</v>
      </c>
      <c r="L1765" s="1" t="s">
        <v>839</v>
      </c>
      <c r="M1765">
        <v>68</v>
      </c>
      <c r="N1765" s="1" t="s">
        <v>965</v>
      </c>
      <c r="O1765" s="1" t="s">
        <v>328</v>
      </c>
      <c r="P1765" s="1" t="s">
        <v>329</v>
      </c>
      <c r="Q1765" s="1" t="s">
        <v>330</v>
      </c>
      <c r="R1765" s="1" t="s">
        <v>32</v>
      </c>
      <c r="S1765" s="1" t="s">
        <v>331</v>
      </c>
      <c r="T1765" s="1" t="s">
        <v>332</v>
      </c>
      <c r="U1765" s="1" t="s">
        <v>333</v>
      </c>
      <c r="V1765" s="1" t="s">
        <v>264</v>
      </c>
      <c r="W1765" s="1" t="s">
        <v>264</v>
      </c>
      <c r="X1765" s="1" t="s">
        <v>334</v>
      </c>
      <c r="Y1765" s="1" t="s">
        <v>335</v>
      </c>
      <c r="Z1765" s="1" t="str">
        <f>TRIM(_xlfn.CONCAT(sales_data_sample[[#This Row],[CONTACTFIRSTNAME]],", ",sales_data_sample[[#This Row],[CONTACTLASTNAME]]))</f>
        <v>Akiko, Shimamura</v>
      </c>
      <c r="AA1765" s="1" t="s">
        <v>59</v>
      </c>
    </row>
    <row r="1766" spans="1:27" x14ac:dyDescent="0.25">
      <c r="A1766" s="10">
        <v>10351</v>
      </c>
      <c r="B1766" s="9">
        <v>25</v>
      </c>
      <c r="C1766" s="9">
        <v>7468</v>
      </c>
      <c r="D1766" s="9">
        <f>PRODUCT(sales_data_sample[[#This Row],[QUANTITYORDERED]],sales_data_sample[[#This Row],[PRICEEACH]])</f>
        <v>186700</v>
      </c>
      <c r="E1766" s="9">
        <f>IF(OR(sales_data_sample[[#This Row],[STATUS]]="Shipped",sales_data_sample[[#This Row],[STATUS]]="Resolved"),sales_data_sample[[#This Row],[SALES]],0)</f>
        <v>186700</v>
      </c>
      <c r="F1766" s="10">
        <v>5</v>
      </c>
      <c r="G1766" s="12" t="s">
        <v>868</v>
      </c>
      <c r="H1766" s="1" t="s">
        <v>26</v>
      </c>
      <c r="I1766">
        <v>4</v>
      </c>
      <c r="J1766">
        <v>12</v>
      </c>
      <c r="K1766">
        <v>2004</v>
      </c>
      <c r="L1766" s="1" t="s">
        <v>839</v>
      </c>
      <c r="M1766">
        <v>68</v>
      </c>
      <c r="N1766" s="1" t="s">
        <v>965</v>
      </c>
      <c r="O1766" s="1" t="s">
        <v>447</v>
      </c>
      <c r="P1766" s="1" t="s">
        <v>448</v>
      </c>
      <c r="Q1766" s="1" t="s">
        <v>449</v>
      </c>
      <c r="R1766" s="1" t="s">
        <v>32</v>
      </c>
      <c r="S1766" s="1" t="s">
        <v>450</v>
      </c>
      <c r="T1766" s="1" t="s">
        <v>32</v>
      </c>
      <c r="U1766" s="1" t="s">
        <v>451</v>
      </c>
      <c r="V1766" s="1" t="s">
        <v>225</v>
      </c>
      <c r="W1766" s="1" t="s">
        <v>48</v>
      </c>
      <c r="X1766" s="1" t="s">
        <v>74</v>
      </c>
      <c r="Y1766" s="1" t="s">
        <v>452</v>
      </c>
      <c r="Z1766" s="1" t="str">
        <f>TRIM(_xlfn.CONCAT(sales_data_sample[[#This Row],[CONTACTFIRSTNAME]],", ",sales_data_sample[[#This Row],[CONTACTLASTNAME]]))</f>
        <v>Ann, Brown</v>
      </c>
      <c r="AA1766" s="1" t="s">
        <v>40</v>
      </c>
    </row>
    <row r="1767" spans="1:27" x14ac:dyDescent="0.25">
      <c r="A1767" s="10">
        <v>10373</v>
      </c>
      <c r="B1767" s="9">
        <v>38</v>
      </c>
      <c r="C1767" s="9">
        <v>7044</v>
      </c>
      <c r="D1767" s="9">
        <f>PRODUCT(sales_data_sample[[#This Row],[QUANTITYORDERED]],sales_data_sample[[#This Row],[PRICEEACH]])</f>
        <v>267672</v>
      </c>
      <c r="E1767" s="9">
        <f>IF(OR(sales_data_sample[[#This Row],[STATUS]]="Shipped",sales_data_sample[[#This Row],[STATUS]]="Resolved"),sales_data_sample[[#This Row],[SALES]],0)</f>
        <v>267672</v>
      </c>
      <c r="F1767" s="10">
        <v>7</v>
      </c>
      <c r="G1767" s="12" t="s">
        <v>536</v>
      </c>
      <c r="H1767" s="1" t="s">
        <v>26</v>
      </c>
      <c r="I1767">
        <v>1</v>
      </c>
      <c r="J1767">
        <v>1</v>
      </c>
      <c r="K1767">
        <v>2005</v>
      </c>
      <c r="L1767" s="1" t="s">
        <v>839</v>
      </c>
      <c r="M1767">
        <v>68</v>
      </c>
      <c r="N1767" s="1" t="s">
        <v>965</v>
      </c>
      <c r="O1767" s="1" t="s">
        <v>537</v>
      </c>
      <c r="P1767" s="1" t="s">
        <v>538</v>
      </c>
      <c r="Q1767" s="1" t="s">
        <v>539</v>
      </c>
      <c r="R1767" s="1" t="s">
        <v>32</v>
      </c>
      <c r="S1767" s="1" t="s">
        <v>540</v>
      </c>
      <c r="T1767" s="1" t="s">
        <v>32</v>
      </c>
      <c r="U1767" s="1" t="s">
        <v>541</v>
      </c>
      <c r="V1767" s="1" t="s">
        <v>170</v>
      </c>
      <c r="W1767" s="1" t="s">
        <v>48</v>
      </c>
      <c r="X1767" s="1" t="s">
        <v>542</v>
      </c>
      <c r="Y1767" s="1" t="s">
        <v>543</v>
      </c>
      <c r="Z1767" s="1" t="str">
        <f>TRIM(_xlfn.CONCAT(sales_data_sample[[#This Row],[CONTACTFIRSTNAME]],", ",sales_data_sample[[#This Row],[CONTACTLASTNAME]]))</f>
        <v>Pirkko, Koskitalo</v>
      </c>
      <c r="AA1767" s="1" t="s">
        <v>40</v>
      </c>
    </row>
    <row r="1768" spans="1:27" x14ac:dyDescent="0.25">
      <c r="A1768" s="10">
        <v>10386</v>
      </c>
      <c r="B1768" s="9">
        <v>39</v>
      </c>
      <c r="C1768" s="9">
        <v>5596</v>
      </c>
      <c r="D1768" s="9">
        <f>PRODUCT(sales_data_sample[[#This Row],[QUANTITYORDERED]],sales_data_sample[[#This Row],[PRICEEACH]])</f>
        <v>218244</v>
      </c>
      <c r="E1768" s="9">
        <f>IF(OR(sales_data_sample[[#This Row],[STATUS]]="Shipped",sales_data_sample[[#This Row],[STATUS]]="Resolved"),sales_data_sample[[#This Row],[SALES]],0)</f>
        <v>218244</v>
      </c>
      <c r="F1768" s="10">
        <v>1</v>
      </c>
      <c r="G1768" s="12" t="s">
        <v>869</v>
      </c>
      <c r="H1768" s="1" t="s">
        <v>563</v>
      </c>
      <c r="I1768">
        <v>1</v>
      </c>
      <c r="J1768">
        <v>3</v>
      </c>
      <c r="K1768">
        <v>2005</v>
      </c>
      <c r="L1768" s="1" t="s">
        <v>839</v>
      </c>
      <c r="M1768">
        <v>68</v>
      </c>
      <c r="N1768" s="1" t="s">
        <v>965</v>
      </c>
      <c r="O1768" s="1" t="s">
        <v>230</v>
      </c>
      <c r="P1768" s="1" t="s">
        <v>231</v>
      </c>
      <c r="Q1768" s="1" t="s">
        <v>232</v>
      </c>
      <c r="R1768" s="1" t="s">
        <v>32</v>
      </c>
      <c r="S1768" s="1" t="s">
        <v>233</v>
      </c>
      <c r="T1768" s="1" t="s">
        <v>32</v>
      </c>
      <c r="U1768" s="1" t="s">
        <v>234</v>
      </c>
      <c r="V1768" s="1" t="s">
        <v>235</v>
      </c>
      <c r="W1768" s="1" t="s">
        <v>48</v>
      </c>
      <c r="X1768" s="1" t="s">
        <v>236</v>
      </c>
      <c r="Y1768" s="1" t="s">
        <v>237</v>
      </c>
      <c r="Z1768" s="1" t="str">
        <f>TRIM(_xlfn.CONCAT(sales_data_sample[[#This Row],[CONTACTFIRSTNAME]],", ",sales_data_sample[[#This Row],[CONTACTLASTNAME]]))</f>
        <v>Diego, Freyre</v>
      </c>
      <c r="AA1768" s="1" t="s">
        <v>40</v>
      </c>
    </row>
    <row r="1769" spans="1:27" x14ac:dyDescent="0.25">
      <c r="A1769" s="10">
        <v>10398</v>
      </c>
      <c r="B1769" s="9">
        <v>28</v>
      </c>
      <c r="C1769" s="9">
        <v>5755</v>
      </c>
      <c r="D1769" s="9">
        <f>PRODUCT(sales_data_sample[[#This Row],[QUANTITYORDERED]],sales_data_sample[[#This Row],[PRICEEACH]])</f>
        <v>161140</v>
      </c>
      <c r="E1769" s="9">
        <f>IF(OR(sales_data_sample[[#This Row],[STATUS]]="Shipped",sales_data_sample[[#This Row],[STATUS]]="Resolved"),sales_data_sample[[#This Row],[SALES]],0)</f>
        <v>161140</v>
      </c>
      <c r="F1769" s="10">
        <v>3</v>
      </c>
      <c r="G1769" s="12" t="s">
        <v>870</v>
      </c>
      <c r="H1769" s="1" t="s">
        <v>26</v>
      </c>
      <c r="I1769">
        <v>1</v>
      </c>
      <c r="J1769">
        <v>3</v>
      </c>
      <c r="K1769">
        <v>2005</v>
      </c>
      <c r="L1769" s="1" t="s">
        <v>839</v>
      </c>
      <c r="M1769">
        <v>68</v>
      </c>
      <c r="N1769" s="1" t="s">
        <v>965</v>
      </c>
      <c r="O1769" s="1" t="s">
        <v>42</v>
      </c>
      <c r="P1769" s="1" t="s">
        <v>43</v>
      </c>
      <c r="Q1769" s="1" t="s">
        <v>44</v>
      </c>
      <c r="R1769" s="1" t="s">
        <v>32</v>
      </c>
      <c r="S1769" s="1" t="s">
        <v>45</v>
      </c>
      <c r="T1769" s="1" t="s">
        <v>32</v>
      </c>
      <c r="U1769" s="1" t="s">
        <v>46</v>
      </c>
      <c r="V1769" s="1" t="s">
        <v>47</v>
      </c>
      <c r="W1769" s="1" t="s">
        <v>48</v>
      </c>
      <c r="X1769" s="1" t="s">
        <v>49</v>
      </c>
      <c r="Y1769" s="1" t="s">
        <v>50</v>
      </c>
      <c r="Z1769" s="1" t="str">
        <f>TRIM(_xlfn.CONCAT(sales_data_sample[[#This Row],[CONTACTFIRSTNAME]],", ",sales_data_sample[[#This Row],[CONTACTLASTNAME]]))</f>
        <v>Paul, Henriot</v>
      </c>
      <c r="AA1769" s="1" t="s">
        <v>40</v>
      </c>
    </row>
    <row r="1770" spans="1:27" x14ac:dyDescent="0.25">
      <c r="A1770" s="10">
        <v>10400</v>
      </c>
      <c r="B1770" s="9">
        <v>24</v>
      </c>
      <c r="C1770" s="9">
        <v>6166</v>
      </c>
      <c r="D1770" s="9">
        <f>PRODUCT(sales_data_sample[[#This Row],[QUANTITYORDERED]],sales_data_sample[[#This Row],[PRICEEACH]])</f>
        <v>147984</v>
      </c>
      <c r="E1770" s="9">
        <f>IF(OR(sales_data_sample[[#This Row],[STATUS]]="Shipped",sales_data_sample[[#This Row],[STATUS]]="Resolved"),sales_data_sample[[#This Row],[SALES]],0)</f>
        <v>147984</v>
      </c>
      <c r="F1770" s="10">
        <v>2</v>
      </c>
      <c r="G1770" s="12" t="s">
        <v>546</v>
      </c>
      <c r="H1770" s="1" t="s">
        <v>26</v>
      </c>
      <c r="I1770">
        <v>2</v>
      </c>
      <c r="J1770">
        <v>4</v>
      </c>
      <c r="K1770">
        <v>2005</v>
      </c>
      <c r="L1770" s="1" t="s">
        <v>839</v>
      </c>
      <c r="M1770">
        <v>68</v>
      </c>
      <c r="N1770" s="1" t="s">
        <v>965</v>
      </c>
      <c r="O1770" s="1" t="s">
        <v>547</v>
      </c>
      <c r="P1770" s="1" t="s">
        <v>548</v>
      </c>
      <c r="Q1770" s="1" t="s">
        <v>549</v>
      </c>
      <c r="R1770" s="1" t="s">
        <v>32</v>
      </c>
      <c r="S1770" s="1" t="s">
        <v>550</v>
      </c>
      <c r="T1770" s="1" t="s">
        <v>65</v>
      </c>
      <c r="U1770" s="1" t="s">
        <v>80</v>
      </c>
      <c r="V1770" s="1" t="s">
        <v>36</v>
      </c>
      <c r="W1770" s="1" t="s">
        <v>37</v>
      </c>
      <c r="X1770" s="1" t="s">
        <v>129</v>
      </c>
      <c r="Y1770" s="1" t="s">
        <v>551</v>
      </c>
      <c r="Z1770" s="1" t="str">
        <f>TRIM(_xlfn.CONCAT(sales_data_sample[[#This Row],[CONTACTFIRSTNAME]],", ",sales_data_sample[[#This Row],[CONTACTLASTNAME]]))</f>
        <v>Sue, Frick</v>
      </c>
      <c r="AA1770" s="1" t="s">
        <v>40</v>
      </c>
    </row>
    <row r="1771" spans="1:27" x14ac:dyDescent="0.25">
      <c r="A1771" s="10">
        <v>10415</v>
      </c>
      <c r="B1771" s="9">
        <v>21</v>
      </c>
      <c r="C1771" s="9">
        <v>6782</v>
      </c>
      <c r="D1771" s="9">
        <f>PRODUCT(sales_data_sample[[#This Row],[QUANTITYORDERED]],sales_data_sample[[#This Row],[PRICEEACH]])</f>
        <v>142422</v>
      </c>
      <c r="E1771" s="9">
        <f>IF(OR(sales_data_sample[[#This Row],[STATUS]]="Shipped",sales_data_sample[[#This Row],[STATUS]]="Resolved"),sales_data_sample[[#This Row],[SALES]],0)</f>
        <v>0</v>
      </c>
      <c r="F1771" s="10">
        <v>1</v>
      </c>
      <c r="G1771" s="12" t="s">
        <v>937</v>
      </c>
      <c r="H1771" s="1" t="s">
        <v>229</v>
      </c>
      <c r="I1771">
        <v>2</v>
      </c>
      <c r="J1771">
        <v>5</v>
      </c>
      <c r="K1771">
        <v>2005</v>
      </c>
      <c r="L1771" s="1" t="s">
        <v>839</v>
      </c>
      <c r="M1771">
        <v>68</v>
      </c>
      <c r="N1771" s="1" t="s">
        <v>965</v>
      </c>
      <c r="O1771" s="1" t="s">
        <v>814</v>
      </c>
      <c r="P1771" s="1" t="s">
        <v>815</v>
      </c>
      <c r="Q1771" s="1" t="s">
        <v>816</v>
      </c>
      <c r="R1771" s="1" t="s">
        <v>32</v>
      </c>
      <c r="S1771" s="1" t="s">
        <v>817</v>
      </c>
      <c r="T1771" s="1" t="s">
        <v>118</v>
      </c>
      <c r="U1771" s="1" t="s">
        <v>818</v>
      </c>
      <c r="V1771" s="1" t="s">
        <v>120</v>
      </c>
      <c r="W1771" s="1" t="s">
        <v>121</v>
      </c>
      <c r="X1771" s="1" t="s">
        <v>819</v>
      </c>
      <c r="Y1771" s="1" t="s">
        <v>820</v>
      </c>
      <c r="Z1771" s="1" t="str">
        <f>TRIM(_xlfn.CONCAT(sales_data_sample[[#This Row],[CONTACTFIRSTNAME]],", ",sales_data_sample[[#This Row],[CONTACTLASTNAME]]))</f>
        <v>Sean, Connery</v>
      </c>
      <c r="AA1771" s="1" t="s">
        <v>40</v>
      </c>
    </row>
    <row r="1772" spans="1:27" x14ac:dyDescent="0.25">
      <c r="A1772" s="10">
        <v>10110</v>
      </c>
      <c r="B1772" s="9">
        <v>46</v>
      </c>
      <c r="C1772" s="9">
        <v>100</v>
      </c>
      <c r="D1772" s="9">
        <f>PRODUCT(sales_data_sample[[#This Row],[QUANTITYORDERED]],sales_data_sample[[#This Row],[PRICEEACH]])</f>
        <v>4600</v>
      </c>
      <c r="E1772" s="9">
        <f>IF(OR(sales_data_sample[[#This Row],[STATUS]]="Shipped",sales_data_sample[[#This Row],[STATUS]]="Resolved"),sales_data_sample[[#This Row],[SALES]],0)</f>
        <v>4600</v>
      </c>
      <c r="F1772" s="10">
        <v>10</v>
      </c>
      <c r="G1772" s="12" t="s">
        <v>829</v>
      </c>
      <c r="H1772" s="1" t="s">
        <v>26</v>
      </c>
      <c r="I1772">
        <v>1</v>
      </c>
      <c r="J1772">
        <v>3</v>
      </c>
      <c r="K1772">
        <v>2003</v>
      </c>
      <c r="L1772" s="1" t="s">
        <v>239</v>
      </c>
      <c r="M1772">
        <v>117</v>
      </c>
      <c r="N1772" s="1" t="s">
        <v>966</v>
      </c>
      <c r="O1772" s="1" t="s">
        <v>695</v>
      </c>
      <c r="P1772" s="1" t="s">
        <v>696</v>
      </c>
      <c r="Q1772" s="1" t="s">
        <v>697</v>
      </c>
      <c r="R1772" s="1" t="s">
        <v>32</v>
      </c>
      <c r="S1772" s="1" t="s">
        <v>698</v>
      </c>
      <c r="T1772" s="1" t="s">
        <v>32</v>
      </c>
      <c r="U1772" s="1" t="s">
        <v>699</v>
      </c>
      <c r="V1772" s="1" t="s">
        <v>225</v>
      </c>
      <c r="W1772" s="1" t="s">
        <v>48</v>
      </c>
      <c r="X1772" s="1" t="s">
        <v>700</v>
      </c>
      <c r="Y1772" s="1" t="s">
        <v>118</v>
      </c>
      <c r="Z1772" s="1" t="str">
        <f>TRIM(_xlfn.CONCAT(sales_data_sample[[#This Row],[CONTACTFIRSTNAME]],", ",sales_data_sample[[#This Row],[CONTACTLASTNAME]]))</f>
        <v>Victoria, Ashworth</v>
      </c>
      <c r="AA1772" s="1" t="s">
        <v>59</v>
      </c>
    </row>
    <row r="1773" spans="1:27" x14ac:dyDescent="0.25">
      <c r="A1773" s="10">
        <v>10124</v>
      </c>
      <c r="B1773" s="9">
        <v>25</v>
      </c>
      <c r="C1773" s="9">
        <v>9395</v>
      </c>
      <c r="D1773" s="9">
        <f>PRODUCT(sales_data_sample[[#This Row],[QUANTITYORDERED]],sales_data_sample[[#This Row],[PRICEEACH]])</f>
        <v>234875</v>
      </c>
      <c r="E1773" s="9">
        <f>IF(OR(sales_data_sample[[#This Row],[STATUS]]="Shipped",sales_data_sample[[#This Row],[STATUS]]="Resolved"),sales_data_sample[[#This Row],[SALES]],0)</f>
        <v>234875</v>
      </c>
      <c r="F1773" s="10">
        <v>9</v>
      </c>
      <c r="G1773" s="12" t="s">
        <v>802</v>
      </c>
      <c r="H1773" s="1" t="s">
        <v>26</v>
      </c>
      <c r="I1773">
        <v>2</v>
      </c>
      <c r="J1773">
        <v>5</v>
      </c>
      <c r="K1773">
        <v>2003</v>
      </c>
      <c r="L1773" s="1" t="s">
        <v>239</v>
      </c>
      <c r="M1773">
        <v>117</v>
      </c>
      <c r="N1773" s="1" t="s">
        <v>966</v>
      </c>
      <c r="O1773" s="1" t="s">
        <v>779</v>
      </c>
      <c r="P1773" s="1" t="s">
        <v>780</v>
      </c>
      <c r="Q1773" s="1" t="s">
        <v>781</v>
      </c>
      <c r="R1773" s="1" t="s">
        <v>32</v>
      </c>
      <c r="S1773" s="1" t="s">
        <v>782</v>
      </c>
      <c r="T1773" s="1" t="s">
        <v>783</v>
      </c>
      <c r="U1773" s="1" t="s">
        <v>784</v>
      </c>
      <c r="V1773" s="1" t="s">
        <v>36</v>
      </c>
      <c r="W1773" s="1" t="s">
        <v>37</v>
      </c>
      <c r="X1773" s="1" t="s">
        <v>146</v>
      </c>
      <c r="Y1773" s="1" t="s">
        <v>551</v>
      </c>
      <c r="Z1773" s="1" t="str">
        <f>TRIM(_xlfn.CONCAT(sales_data_sample[[#This Row],[CONTACTFIRSTNAME]],", ",sales_data_sample[[#This Row],[CONTACTLASTNAME]]))</f>
        <v>Sue, King</v>
      </c>
      <c r="AA1773" s="1" t="s">
        <v>40</v>
      </c>
    </row>
    <row r="1774" spans="1:27" x14ac:dyDescent="0.25">
      <c r="A1774">
        <v>10148</v>
      </c>
      <c r="B1774">
        <v>34</v>
      </c>
      <c r="C1774">
        <v>100</v>
      </c>
      <c r="D1774">
        <f>PRODUCT(sales_data_sample[[#This Row],[QUANTITYORDERED]],sales_data_sample[[#This Row],[PRICEEACH]])</f>
        <v>3400</v>
      </c>
      <c r="E1774" s="9">
        <f>IF(OR(sales_data_sample[[#This Row],[STATUS]]="Shipped",sales_data_sample[[#This Row],[STATUS]]="Resolved"),sales_data_sample[[#This Row],[SALES]],0)</f>
        <v>3400</v>
      </c>
      <c r="F1774">
        <v>3</v>
      </c>
      <c r="G1774" s="12" t="s">
        <v>774</v>
      </c>
      <c r="H1774" s="1" t="s">
        <v>26</v>
      </c>
      <c r="I1774">
        <v>3</v>
      </c>
      <c r="J1774">
        <v>9</v>
      </c>
      <c r="K1774">
        <v>2003</v>
      </c>
      <c r="L1774" s="1" t="s">
        <v>239</v>
      </c>
      <c r="M1774">
        <v>117</v>
      </c>
      <c r="N1774" s="1" t="s">
        <v>966</v>
      </c>
      <c r="O1774" s="1" t="s">
        <v>385</v>
      </c>
      <c r="P1774" s="1" t="s">
        <v>386</v>
      </c>
      <c r="Q1774" s="1" t="s">
        <v>387</v>
      </c>
      <c r="R1774" s="1" t="s">
        <v>388</v>
      </c>
      <c r="S1774" s="1" t="s">
        <v>389</v>
      </c>
      <c r="T1774" s="1" t="s">
        <v>206</v>
      </c>
      <c r="U1774" s="1" t="s">
        <v>390</v>
      </c>
      <c r="V1774" s="1" t="s">
        <v>120</v>
      </c>
      <c r="W1774" s="1" t="s">
        <v>121</v>
      </c>
      <c r="X1774" s="1" t="s">
        <v>391</v>
      </c>
      <c r="Y1774" s="1" t="s">
        <v>392</v>
      </c>
      <c r="Z1774" s="1" t="str">
        <f>TRIM(_xlfn.CONCAT(sales_data_sample[[#This Row],[CONTACTFIRSTNAME]],", ",sales_data_sample[[#This Row],[CONTACTLASTNAME]]))</f>
        <v>Anna, O'Hara</v>
      </c>
      <c r="AA1774" s="1" t="s">
        <v>59</v>
      </c>
    </row>
    <row r="1775" spans="1:27" x14ac:dyDescent="0.25">
      <c r="A1775" s="10">
        <v>10161</v>
      </c>
      <c r="B1775" s="9">
        <v>25</v>
      </c>
      <c r="C1775" s="9">
        <v>100</v>
      </c>
      <c r="D1775" s="9">
        <f>PRODUCT(sales_data_sample[[#This Row],[QUANTITYORDERED]],sales_data_sample[[#This Row],[PRICEEACH]])</f>
        <v>2500</v>
      </c>
      <c r="E1775" s="9">
        <f>IF(OR(sales_data_sample[[#This Row],[STATUS]]="Shipped",sales_data_sample[[#This Row],[STATUS]]="Resolved"),sales_data_sample[[#This Row],[SALES]],0)</f>
        <v>2500</v>
      </c>
      <c r="F1775" s="10">
        <v>2</v>
      </c>
      <c r="G1775" s="12" t="s">
        <v>775</v>
      </c>
      <c r="H1775" s="1" t="s">
        <v>26</v>
      </c>
      <c r="I1775">
        <v>4</v>
      </c>
      <c r="J1775">
        <v>10</v>
      </c>
      <c r="K1775">
        <v>2003</v>
      </c>
      <c r="L1775" s="1" t="s">
        <v>239</v>
      </c>
      <c r="M1775">
        <v>117</v>
      </c>
      <c r="N1775" s="1" t="s">
        <v>966</v>
      </c>
      <c r="O1775" s="1" t="s">
        <v>701</v>
      </c>
      <c r="P1775" s="1" t="s">
        <v>702</v>
      </c>
      <c r="Q1775" s="1" t="s">
        <v>703</v>
      </c>
      <c r="R1775" s="1" t="s">
        <v>32</v>
      </c>
      <c r="S1775" s="1" t="s">
        <v>704</v>
      </c>
      <c r="T1775" s="1" t="s">
        <v>32</v>
      </c>
      <c r="U1775" s="1" t="s">
        <v>705</v>
      </c>
      <c r="V1775" s="1" t="s">
        <v>442</v>
      </c>
      <c r="W1775" s="1" t="s">
        <v>48</v>
      </c>
      <c r="X1775" s="1" t="s">
        <v>706</v>
      </c>
      <c r="Y1775" s="1" t="s">
        <v>707</v>
      </c>
      <c r="Z1775" s="1" t="str">
        <f>TRIM(_xlfn.CONCAT(sales_data_sample[[#This Row],[CONTACTFIRSTNAME]],", ",sales_data_sample[[#This Row],[CONTACTLASTNAME]]))</f>
        <v>Palle, Ibsen</v>
      </c>
      <c r="AA1775" s="1" t="s">
        <v>40</v>
      </c>
    </row>
    <row r="1776" spans="1:27" x14ac:dyDescent="0.25">
      <c r="A1776" s="10">
        <v>10173</v>
      </c>
      <c r="B1776" s="9">
        <v>23</v>
      </c>
      <c r="C1776" s="9">
        <v>100</v>
      </c>
      <c r="D1776" s="9">
        <f>PRODUCT(sales_data_sample[[#This Row],[QUANTITYORDERED]],sales_data_sample[[#This Row],[PRICEEACH]])</f>
        <v>2300</v>
      </c>
      <c r="E1776" s="9">
        <f>IF(OR(sales_data_sample[[#This Row],[STATUS]]="Shipped",sales_data_sample[[#This Row],[STATUS]]="Resolved"),sales_data_sample[[#This Row],[SALES]],0)</f>
        <v>2300</v>
      </c>
      <c r="F1776" s="10">
        <v>16</v>
      </c>
      <c r="G1776" s="12" t="s">
        <v>776</v>
      </c>
      <c r="H1776" s="1" t="s">
        <v>26</v>
      </c>
      <c r="I1776">
        <v>4</v>
      </c>
      <c r="J1776">
        <v>11</v>
      </c>
      <c r="K1776">
        <v>2003</v>
      </c>
      <c r="L1776" s="1" t="s">
        <v>239</v>
      </c>
      <c r="M1776">
        <v>117</v>
      </c>
      <c r="N1776" s="1" t="s">
        <v>966</v>
      </c>
      <c r="O1776" s="1" t="s">
        <v>806</v>
      </c>
      <c r="P1776" s="1" t="s">
        <v>807</v>
      </c>
      <c r="Q1776" s="1" t="s">
        <v>808</v>
      </c>
      <c r="R1776" s="1" t="s">
        <v>32</v>
      </c>
      <c r="S1776" s="1" t="s">
        <v>809</v>
      </c>
      <c r="T1776" s="1" t="s">
        <v>32</v>
      </c>
      <c r="U1776" s="1" t="s">
        <v>810</v>
      </c>
      <c r="V1776" s="1" t="s">
        <v>343</v>
      </c>
      <c r="W1776" s="1" t="s">
        <v>48</v>
      </c>
      <c r="X1776" s="1" t="s">
        <v>811</v>
      </c>
      <c r="Y1776" s="1" t="s">
        <v>812</v>
      </c>
      <c r="Z1776" s="1" t="str">
        <f>TRIM(_xlfn.CONCAT(sales_data_sample[[#This Row],[CONTACTFIRSTNAME]],", ",sales_data_sample[[#This Row],[CONTACTLASTNAME]]))</f>
        <v>Giovanni, Rovelli</v>
      </c>
      <c r="AA1776" s="1" t="s">
        <v>40</v>
      </c>
    </row>
    <row r="1777" spans="1:27" x14ac:dyDescent="0.25">
      <c r="A1777" s="10">
        <v>10182</v>
      </c>
      <c r="B1777" s="9">
        <v>20</v>
      </c>
      <c r="C1777" s="9">
        <v>100</v>
      </c>
      <c r="D1777" s="9">
        <f>PRODUCT(sales_data_sample[[#This Row],[QUANTITYORDERED]],sales_data_sample[[#This Row],[PRICEEACH]])</f>
        <v>2000</v>
      </c>
      <c r="E1777" s="9">
        <f>IF(OR(sales_data_sample[[#This Row],[STATUS]]="Shipped",sales_data_sample[[#This Row],[STATUS]]="Resolved"),sales_data_sample[[#This Row],[SALES]],0)</f>
        <v>2000</v>
      </c>
      <c r="F1777" s="10">
        <v>13</v>
      </c>
      <c r="G1777" s="12" t="s">
        <v>610</v>
      </c>
      <c r="H1777" s="1" t="s">
        <v>26</v>
      </c>
      <c r="I1777">
        <v>4</v>
      </c>
      <c r="J1777">
        <v>11</v>
      </c>
      <c r="K1777">
        <v>2003</v>
      </c>
      <c r="L1777" s="1" t="s">
        <v>239</v>
      </c>
      <c r="M1777">
        <v>117</v>
      </c>
      <c r="N1777" s="1" t="s">
        <v>966</v>
      </c>
      <c r="O1777" s="1" t="s">
        <v>361</v>
      </c>
      <c r="P1777" s="1" t="s">
        <v>362</v>
      </c>
      <c r="Q1777" s="1" t="s">
        <v>363</v>
      </c>
      <c r="R1777" s="1" t="s">
        <v>32</v>
      </c>
      <c r="S1777" s="1" t="s">
        <v>364</v>
      </c>
      <c r="T1777" s="1" t="s">
        <v>65</v>
      </c>
      <c r="U1777" s="1" t="s">
        <v>145</v>
      </c>
      <c r="V1777" s="1" t="s">
        <v>36</v>
      </c>
      <c r="W1777" s="1" t="s">
        <v>37</v>
      </c>
      <c r="X1777" s="1" t="s">
        <v>365</v>
      </c>
      <c r="Y1777" s="1" t="s">
        <v>366</v>
      </c>
      <c r="Z1777" s="1" t="str">
        <f>TRIM(_xlfn.CONCAT(sales_data_sample[[#This Row],[CONTACTFIRSTNAME]],", ",sales_data_sample[[#This Row],[CONTACTLASTNAME]]))</f>
        <v>Valarie, Nelson</v>
      </c>
      <c r="AA1777" s="1" t="s">
        <v>40</v>
      </c>
    </row>
    <row r="1778" spans="1:27" x14ac:dyDescent="0.25">
      <c r="A1778" s="10">
        <v>10192</v>
      </c>
      <c r="B1778" s="9">
        <v>23</v>
      </c>
      <c r="C1778" s="9">
        <v>100</v>
      </c>
      <c r="D1778" s="9">
        <f>PRODUCT(sales_data_sample[[#This Row],[QUANTITYORDERED]],sales_data_sample[[#This Row],[PRICEEACH]])</f>
        <v>2300</v>
      </c>
      <c r="E1778" s="9">
        <f>IF(OR(sales_data_sample[[#This Row],[STATUS]]="Shipped",sales_data_sample[[#This Row],[STATUS]]="Resolved"),sales_data_sample[[#This Row],[SALES]],0)</f>
        <v>2300</v>
      </c>
      <c r="F1778" s="10">
        <v>1</v>
      </c>
      <c r="G1778" s="12" t="s">
        <v>611</v>
      </c>
      <c r="H1778" s="1" t="s">
        <v>26</v>
      </c>
      <c r="I1778">
        <v>4</v>
      </c>
      <c r="J1778">
        <v>11</v>
      </c>
      <c r="K1778">
        <v>2003</v>
      </c>
      <c r="L1778" s="1" t="s">
        <v>239</v>
      </c>
      <c r="M1778">
        <v>117</v>
      </c>
      <c r="N1778" s="1" t="s">
        <v>966</v>
      </c>
      <c r="O1778" s="1" t="s">
        <v>368</v>
      </c>
      <c r="P1778" s="1" t="s">
        <v>369</v>
      </c>
      <c r="Q1778" s="1" t="s">
        <v>370</v>
      </c>
      <c r="R1778" s="1" t="s">
        <v>32</v>
      </c>
      <c r="S1778" s="1" t="s">
        <v>371</v>
      </c>
      <c r="T1778" s="1" t="s">
        <v>372</v>
      </c>
      <c r="U1778" s="1" t="s">
        <v>373</v>
      </c>
      <c r="V1778" s="1" t="s">
        <v>36</v>
      </c>
      <c r="W1778" s="1" t="s">
        <v>37</v>
      </c>
      <c r="X1778" s="1" t="s">
        <v>67</v>
      </c>
      <c r="Y1778" s="1" t="s">
        <v>366</v>
      </c>
      <c r="Z1778" s="1" t="str">
        <f>TRIM(_xlfn.CONCAT(sales_data_sample[[#This Row],[CONTACTFIRSTNAME]],", ",sales_data_sample[[#This Row],[CONTACTLASTNAME]]))</f>
        <v>Valarie, Young</v>
      </c>
      <c r="AA1778" s="1" t="s">
        <v>59</v>
      </c>
    </row>
    <row r="1779" spans="1:27" x14ac:dyDescent="0.25">
      <c r="A1779">
        <v>10204</v>
      </c>
      <c r="B1779">
        <v>42</v>
      </c>
      <c r="C1779">
        <v>100</v>
      </c>
      <c r="D1779">
        <f>PRODUCT(sales_data_sample[[#This Row],[QUANTITYORDERED]],sales_data_sample[[#This Row],[PRICEEACH]])</f>
        <v>4200</v>
      </c>
      <c r="E1779" s="9">
        <f>IF(OR(sales_data_sample[[#This Row],[STATUS]]="Shipped",sales_data_sample[[#This Row],[STATUS]]="Resolved"),sales_data_sample[[#This Row],[SALES]],0)</f>
        <v>4200</v>
      </c>
      <c r="F1779">
        <v>7</v>
      </c>
      <c r="G1779" s="12" t="s">
        <v>620</v>
      </c>
      <c r="H1779" s="1" t="s">
        <v>26</v>
      </c>
      <c r="I1779">
        <v>4</v>
      </c>
      <c r="J1779">
        <v>12</v>
      </c>
      <c r="K1779">
        <v>2003</v>
      </c>
      <c r="L1779" s="1" t="s">
        <v>239</v>
      </c>
      <c r="M1779">
        <v>117</v>
      </c>
      <c r="N1779" s="1" t="s">
        <v>966</v>
      </c>
      <c r="O1779" s="1" t="s">
        <v>667</v>
      </c>
      <c r="P1779" s="1" t="s">
        <v>668</v>
      </c>
      <c r="Q1779" s="1" t="s">
        <v>669</v>
      </c>
      <c r="R1779" s="1" t="s">
        <v>670</v>
      </c>
      <c r="S1779" s="1" t="s">
        <v>33</v>
      </c>
      <c r="T1779" s="1" t="s">
        <v>34</v>
      </c>
      <c r="U1779" s="1" t="s">
        <v>35</v>
      </c>
      <c r="V1779" s="1" t="s">
        <v>36</v>
      </c>
      <c r="W1779" s="1" t="s">
        <v>37</v>
      </c>
      <c r="X1779" s="1" t="s">
        <v>67</v>
      </c>
      <c r="Y1779" s="1" t="s">
        <v>671</v>
      </c>
      <c r="Z1779" s="1" t="str">
        <f>TRIM(_xlfn.CONCAT(sales_data_sample[[#This Row],[CONTACTFIRSTNAME]],", ",sales_data_sample[[#This Row],[CONTACTLASTNAME]]))</f>
        <v>Jeff, Young</v>
      </c>
      <c r="AA1779" s="1" t="s">
        <v>59</v>
      </c>
    </row>
    <row r="1780" spans="1:27" x14ac:dyDescent="0.25">
      <c r="A1780" s="10">
        <v>10213</v>
      </c>
      <c r="B1780" s="9">
        <v>27</v>
      </c>
      <c r="C1780" s="9">
        <v>100</v>
      </c>
      <c r="D1780" s="9">
        <f>PRODUCT(sales_data_sample[[#This Row],[QUANTITYORDERED]],sales_data_sample[[#This Row],[PRICEEACH]])</f>
        <v>2700</v>
      </c>
      <c r="E1780" s="9">
        <f>IF(OR(sales_data_sample[[#This Row],[STATUS]]="Shipped",sales_data_sample[[#This Row],[STATUS]]="Resolved"),sales_data_sample[[#This Row],[SALES]],0)</f>
        <v>2700</v>
      </c>
      <c r="F1780" s="10">
        <v>3</v>
      </c>
      <c r="G1780" s="12" t="s">
        <v>941</v>
      </c>
      <c r="H1780" s="1" t="s">
        <v>26</v>
      </c>
      <c r="I1780">
        <v>1</v>
      </c>
      <c r="J1780">
        <v>1</v>
      </c>
      <c r="K1780">
        <v>2004</v>
      </c>
      <c r="L1780" s="1" t="s">
        <v>239</v>
      </c>
      <c r="M1780">
        <v>117</v>
      </c>
      <c r="N1780" s="1" t="s">
        <v>966</v>
      </c>
      <c r="O1780" s="1" t="s">
        <v>471</v>
      </c>
      <c r="P1780" s="1" t="s">
        <v>472</v>
      </c>
      <c r="Q1780" s="1" t="s">
        <v>473</v>
      </c>
      <c r="R1780" s="1" t="s">
        <v>32</v>
      </c>
      <c r="S1780" s="1" t="s">
        <v>450</v>
      </c>
      <c r="T1780" s="1" t="s">
        <v>32</v>
      </c>
      <c r="U1780" s="1" t="s">
        <v>474</v>
      </c>
      <c r="V1780" s="1" t="s">
        <v>225</v>
      </c>
      <c r="W1780" s="1" t="s">
        <v>48</v>
      </c>
      <c r="X1780" s="1" t="s">
        <v>475</v>
      </c>
      <c r="Y1780" s="1" t="s">
        <v>476</v>
      </c>
      <c r="Z1780" s="1" t="str">
        <f>TRIM(_xlfn.CONCAT(sales_data_sample[[#This Row],[CONTACTFIRSTNAME]],", ",sales_data_sample[[#This Row],[CONTACTLASTNAME]]))</f>
        <v>Thomas, Hardy</v>
      </c>
      <c r="AA1780" s="1" t="s">
        <v>40</v>
      </c>
    </row>
    <row r="1781" spans="1:27" x14ac:dyDescent="0.25">
      <c r="A1781" s="10">
        <v>10227</v>
      </c>
      <c r="B1781" s="9">
        <v>33</v>
      </c>
      <c r="C1781" s="9">
        <v>100</v>
      </c>
      <c r="D1781" s="9">
        <f>PRODUCT(sales_data_sample[[#This Row],[QUANTITYORDERED]],sales_data_sample[[#This Row],[PRICEEACH]])</f>
        <v>3300</v>
      </c>
      <c r="E1781" s="9">
        <f>IF(OR(sales_data_sample[[#This Row],[STATUS]]="Shipped",sales_data_sample[[#This Row],[STATUS]]="Resolved"),sales_data_sample[[#This Row],[SALES]],0)</f>
        <v>3300</v>
      </c>
      <c r="F1781" s="10">
        <v>13</v>
      </c>
      <c r="G1781" s="12" t="s">
        <v>822</v>
      </c>
      <c r="H1781" s="1" t="s">
        <v>26</v>
      </c>
      <c r="I1781">
        <v>1</v>
      </c>
      <c r="J1781">
        <v>3</v>
      </c>
      <c r="K1781">
        <v>2004</v>
      </c>
      <c r="L1781" s="1" t="s">
        <v>239</v>
      </c>
      <c r="M1781">
        <v>117</v>
      </c>
      <c r="N1781" s="1" t="s">
        <v>966</v>
      </c>
      <c r="O1781" s="1" t="s">
        <v>291</v>
      </c>
      <c r="P1781" s="1" t="s">
        <v>292</v>
      </c>
      <c r="Q1781" s="1" t="s">
        <v>293</v>
      </c>
      <c r="R1781" s="1" t="s">
        <v>32</v>
      </c>
      <c r="S1781" s="1" t="s">
        <v>294</v>
      </c>
      <c r="T1781" s="1" t="s">
        <v>32</v>
      </c>
      <c r="U1781" s="1" t="s">
        <v>295</v>
      </c>
      <c r="V1781" s="1" t="s">
        <v>47</v>
      </c>
      <c r="W1781" s="1" t="s">
        <v>48</v>
      </c>
      <c r="X1781" s="1" t="s">
        <v>296</v>
      </c>
      <c r="Y1781" s="1" t="s">
        <v>297</v>
      </c>
      <c r="Z1781" s="1" t="str">
        <f>TRIM(_xlfn.CONCAT(sales_data_sample[[#This Row],[CONTACTFIRSTNAME]],", ",sales_data_sample[[#This Row],[CONTACTLASTNAME]]))</f>
        <v>Mary, Saveley</v>
      </c>
      <c r="AA1781" s="1" t="s">
        <v>59</v>
      </c>
    </row>
    <row r="1782" spans="1:27" x14ac:dyDescent="0.25">
      <c r="A1782" s="10">
        <v>10241</v>
      </c>
      <c r="B1782" s="9">
        <v>28</v>
      </c>
      <c r="C1782" s="9">
        <v>9865</v>
      </c>
      <c r="D1782" s="9">
        <f>PRODUCT(sales_data_sample[[#This Row],[QUANTITYORDERED]],sales_data_sample[[#This Row],[PRICEEACH]])</f>
        <v>276220</v>
      </c>
      <c r="E1782" s="9">
        <f>IF(OR(sales_data_sample[[#This Row],[STATUS]]="Shipped",sales_data_sample[[#This Row],[STATUS]]="Resolved"),sales_data_sample[[#This Row],[SALES]],0)</f>
        <v>276220</v>
      </c>
      <c r="F1782" s="10">
        <v>5</v>
      </c>
      <c r="G1782" s="12" t="s">
        <v>777</v>
      </c>
      <c r="H1782" s="1" t="s">
        <v>26</v>
      </c>
      <c r="I1782">
        <v>2</v>
      </c>
      <c r="J1782">
        <v>4</v>
      </c>
      <c r="K1782">
        <v>2004</v>
      </c>
      <c r="L1782" s="1" t="s">
        <v>239</v>
      </c>
      <c r="M1782">
        <v>117</v>
      </c>
      <c r="N1782" s="1" t="s">
        <v>966</v>
      </c>
      <c r="O1782" s="1" t="s">
        <v>763</v>
      </c>
      <c r="P1782" s="1" t="s">
        <v>764</v>
      </c>
      <c r="Q1782" s="1" t="s">
        <v>765</v>
      </c>
      <c r="R1782" s="1" t="s">
        <v>32</v>
      </c>
      <c r="S1782" s="1" t="s">
        <v>766</v>
      </c>
      <c r="T1782" s="1" t="s">
        <v>32</v>
      </c>
      <c r="U1782" s="1" t="s">
        <v>767</v>
      </c>
      <c r="V1782" s="1" t="s">
        <v>47</v>
      </c>
      <c r="W1782" s="1" t="s">
        <v>48</v>
      </c>
      <c r="X1782" s="1" t="s">
        <v>768</v>
      </c>
      <c r="Y1782" s="1" t="s">
        <v>769</v>
      </c>
      <c r="Z1782" s="1" t="str">
        <f>TRIM(_xlfn.CONCAT(sales_data_sample[[#This Row],[CONTACTFIRSTNAME]],", ",sales_data_sample[[#This Row],[CONTACTLASTNAME]]))</f>
        <v>Frederique, Citeaux</v>
      </c>
      <c r="AA1782" s="1" t="s">
        <v>40</v>
      </c>
    </row>
    <row r="1783" spans="1:27" x14ac:dyDescent="0.25">
      <c r="A1783">
        <v>10267</v>
      </c>
      <c r="B1783">
        <v>43</v>
      </c>
      <c r="C1783">
        <v>100</v>
      </c>
      <c r="D1783">
        <f>PRODUCT(sales_data_sample[[#This Row],[QUANTITYORDERED]],sales_data_sample[[#This Row],[PRICEEACH]])</f>
        <v>4300</v>
      </c>
      <c r="E1783" s="9">
        <f>IF(OR(sales_data_sample[[#This Row],[STATUS]]="Shipped",sales_data_sample[[#This Row],[STATUS]]="Resolved"),sales_data_sample[[#This Row],[SALES]],0)</f>
        <v>4300</v>
      </c>
      <c r="F1783">
        <v>2</v>
      </c>
      <c r="G1783" s="12" t="s">
        <v>948</v>
      </c>
      <c r="H1783" s="1" t="s">
        <v>26</v>
      </c>
      <c r="I1783">
        <v>3</v>
      </c>
      <c r="J1783">
        <v>7</v>
      </c>
      <c r="K1783">
        <v>2004</v>
      </c>
      <c r="L1783" s="1" t="s">
        <v>239</v>
      </c>
      <c r="M1783">
        <v>117</v>
      </c>
      <c r="N1783" s="1" t="s">
        <v>966</v>
      </c>
      <c r="O1783" s="1" t="s">
        <v>667</v>
      </c>
      <c r="P1783" s="1" t="s">
        <v>668</v>
      </c>
      <c r="Q1783" s="1" t="s">
        <v>669</v>
      </c>
      <c r="R1783" s="1" t="s">
        <v>670</v>
      </c>
      <c r="S1783" s="1" t="s">
        <v>33</v>
      </c>
      <c r="T1783" s="1" t="s">
        <v>34</v>
      </c>
      <c r="U1783" s="1" t="s">
        <v>35</v>
      </c>
      <c r="V1783" s="1" t="s">
        <v>36</v>
      </c>
      <c r="W1783" s="1" t="s">
        <v>37</v>
      </c>
      <c r="X1783" s="1" t="s">
        <v>67</v>
      </c>
      <c r="Y1783" s="1" t="s">
        <v>671</v>
      </c>
      <c r="Z1783" s="1" t="str">
        <f>TRIM(_xlfn.CONCAT(sales_data_sample[[#This Row],[CONTACTFIRSTNAME]],", ",sales_data_sample[[#This Row],[CONTACTLASTNAME]]))</f>
        <v>Jeff, Young</v>
      </c>
      <c r="AA1783" s="1" t="s">
        <v>59</v>
      </c>
    </row>
    <row r="1784" spans="1:27" x14ac:dyDescent="0.25">
      <c r="A1784" s="10">
        <v>10279</v>
      </c>
      <c r="B1784" s="9">
        <v>48</v>
      </c>
      <c r="C1784" s="9">
        <v>100</v>
      </c>
      <c r="D1784" s="9">
        <f>PRODUCT(sales_data_sample[[#This Row],[QUANTITYORDERED]],sales_data_sample[[#This Row],[PRICEEACH]])</f>
        <v>4800</v>
      </c>
      <c r="E1784" s="9">
        <f>IF(OR(sales_data_sample[[#This Row],[STATUS]]="Shipped",sales_data_sample[[#This Row],[STATUS]]="Resolved"),sales_data_sample[[#This Row],[SALES]],0)</f>
        <v>4800</v>
      </c>
      <c r="F1784" s="10">
        <v>2</v>
      </c>
      <c r="G1784" s="12" t="s">
        <v>949</v>
      </c>
      <c r="H1784" s="1" t="s">
        <v>26</v>
      </c>
      <c r="I1784">
        <v>3</v>
      </c>
      <c r="J1784">
        <v>8</v>
      </c>
      <c r="K1784">
        <v>2004</v>
      </c>
      <c r="L1784" s="1" t="s">
        <v>239</v>
      </c>
      <c r="M1784">
        <v>117</v>
      </c>
      <c r="N1784" s="1" t="s">
        <v>966</v>
      </c>
      <c r="O1784" s="1" t="s">
        <v>230</v>
      </c>
      <c r="P1784" s="1" t="s">
        <v>231</v>
      </c>
      <c r="Q1784" s="1" t="s">
        <v>232</v>
      </c>
      <c r="R1784" s="1" t="s">
        <v>32</v>
      </c>
      <c r="S1784" s="1" t="s">
        <v>233</v>
      </c>
      <c r="T1784" s="1" t="s">
        <v>32</v>
      </c>
      <c r="U1784" s="1" t="s">
        <v>234</v>
      </c>
      <c r="V1784" s="1" t="s">
        <v>235</v>
      </c>
      <c r="W1784" s="1" t="s">
        <v>48</v>
      </c>
      <c r="X1784" s="1" t="s">
        <v>236</v>
      </c>
      <c r="Y1784" s="1" t="s">
        <v>237</v>
      </c>
      <c r="Z1784" s="1" t="str">
        <f>TRIM(_xlfn.CONCAT(sales_data_sample[[#This Row],[CONTACTFIRSTNAME]],", ",sales_data_sample[[#This Row],[CONTACTLASTNAME]]))</f>
        <v>Diego, Freyre</v>
      </c>
      <c r="AA1784" s="1" t="s">
        <v>59</v>
      </c>
    </row>
    <row r="1785" spans="1:27" x14ac:dyDescent="0.25">
      <c r="A1785">
        <v>10288</v>
      </c>
      <c r="B1785">
        <v>48</v>
      </c>
      <c r="C1785">
        <v>100</v>
      </c>
      <c r="D1785">
        <f>PRODUCT(sales_data_sample[[#This Row],[QUANTITYORDERED]],sales_data_sample[[#This Row],[PRICEEACH]])</f>
        <v>4800</v>
      </c>
      <c r="E1785" s="9">
        <f>IF(OR(sales_data_sample[[#This Row],[STATUS]]="Shipped",sales_data_sample[[#This Row],[STATUS]]="Resolved"),sales_data_sample[[#This Row],[SALES]],0)</f>
        <v>4800</v>
      </c>
      <c r="F1785">
        <v>8</v>
      </c>
      <c r="G1785" s="12" t="s">
        <v>834</v>
      </c>
      <c r="H1785" s="1" t="s">
        <v>26</v>
      </c>
      <c r="I1785">
        <v>3</v>
      </c>
      <c r="J1785">
        <v>9</v>
      </c>
      <c r="K1785">
        <v>2004</v>
      </c>
      <c r="L1785" s="1" t="s">
        <v>239</v>
      </c>
      <c r="M1785">
        <v>117</v>
      </c>
      <c r="N1785" s="1" t="s">
        <v>966</v>
      </c>
      <c r="O1785" s="1" t="s">
        <v>577</v>
      </c>
      <c r="P1785" s="1" t="s">
        <v>578</v>
      </c>
      <c r="Q1785" s="1" t="s">
        <v>579</v>
      </c>
      <c r="R1785" s="1" t="s">
        <v>580</v>
      </c>
      <c r="S1785" s="1" t="s">
        <v>262</v>
      </c>
      <c r="T1785" s="1" t="s">
        <v>32</v>
      </c>
      <c r="U1785" s="1" t="s">
        <v>581</v>
      </c>
      <c r="V1785" s="1" t="s">
        <v>262</v>
      </c>
      <c r="W1785" s="1" t="s">
        <v>121</v>
      </c>
      <c r="X1785" s="1" t="s">
        <v>582</v>
      </c>
      <c r="Y1785" s="1" t="s">
        <v>583</v>
      </c>
      <c r="Z1785" s="1" t="str">
        <f>TRIM(_xlfn.CONCAT(sales_data_sample[[#This Row],[CONTACTFIRSTNAME]],", ",sales_data_sample[[#This Row],[CONTACTLASTNAME]]))</f>
        <v>Wendy, Victorino</v>
      </c>
      <c r="AA1785" s="1" t="s">
        <v>59</v>
      </c>
    </row>
    <row r="1786" spans="1:27" x14ac:dyDescent="0.25">
      <c r="A1786" s="10">
        <v>10302</v>
      </c>
      <c r="B1786" s="9">
        <v>45</v>
      </c>
      <c r="C1786" s="9">
        <v>100</v>
      </c>
      <c r="D1786" s="9">
        <f>PRODUCT(sales_data_sample[[#This Row],[QUANTITYORDERED]],sales_data_sample[[#This Row],[PRICEEACH]])</f>
        <v>4500</v>
      </c>
      <c r="E1786" s="9">
        <f>IF(OR(sales_data_sample[[#This Row],[STATUS]]="Shipped",sales_data_sample[[#This Row],[STATUS]]="Resolved"),sales_data_sample[[#This Row],[SALES]],0)</f>
        <v>4500</v>
      </c>
      <c r="F1786" s="10">
        <v>4</v>
      </c>
      <c r="G1786" s="12" t="s">
        <v>459</v>
      </c>
      <c r="H1786" s="1" t="s">
        <v>26</v>
      </c>
      <c r="I1786">
        <v>4</v>
      </c>
      <c r="J1786">
        <v>10</v>
      </c>
      <c r="K1786">
        <v>2003</v>
      </c>
      <c r="L1786" s="1" t="s">
        <v>239</v>
      </c>
      <c r="M1786">
        <v>117</v>
      </c>
      <c r="N1786" s="1" t="s">
        <v>966</v>
      </c>
      <c r="O1786" s="1" t="s">
        <v>220</v>
      </c>
      <c r="P1786" s="1" t="s">
        <v>221</v>
      </c>
      <c r="Q1786" s="1" t="s">
        <v>222</v>
      </c>
      <c r="R1786" s="1" t="s">
        <v>32</v>
      </c>
      <c r="S1786" s="1" t="s">
        <v>223</v>
      </c>
      <c r="T1786" s="1" t="s">
        <v>32</v>
      </c>
      <c r="U1786" s="1" t="s">
        <v>224</v>
      </c>
      <c r="V1786" s="1" t="s">
        <v>225</v>
      </c>
      <c r="W1786" s="1" t="s">
        <v>48</v>
      </c>
      <c r="X1786" s="1" t="s">
        <v>226</v>
      </c>
      <c r="Y1786" s="1" t="s">
        <v>227</v>
      </c>
      <c r="Z1786" s="1" t="str">
        <f>TRIM(_xlfn.CONCAT(sales_data_sample[[#This Row],[CONTACTFIRSTNAME]],", ",sales_data_sample[[#This Row],[CONTACTLASTNAME]]))</f>
        <v>Elizabeth, Devon</v>
      </c>
      <c r="AA1786" s="1" t="s">
        <v>59</v>
      </c>
    </row>
    <row r="1787" spans="1:27" x14ac:dyDescent="0.25">
      <c r="A1787" s="10">
        <v>10311</v>
      </c>
      <c r="B1787" s="9">
        <v>43</v>
      </c>
      <c r="C1787" s="9">
        <v>100</v>
      </c>
      <c r="D1787" s="9">
        <f>PRODUCT(sales_data_sample[[#This Row],[QUANTITYORDERED]],sales_data_sample[[#This Row],[PRICEEACH]])</f>
        <v>4300</v>
      </c>
      <c r="E1787" s="9">
        <f>IF(OR(sales_data_sample[[#This Row],[STATUS]]="Shipped",sales_data_sample[[#This Row],[STATUS]]="Resolved"),sales_data_sample[[#This Row],[SALES]],0)</f>
        <v>4300</v>
      </c>
      <c r="F1787" s="10">
        <v>3</v>
      </c>
      <c r="G1787" s="12" t="s">
        <v>653</v>
      </c>
      <c r="H1787" s="1" t="s">
        <v>26</v>
      </c>
      <c r="I1787">
        <v>4</v>
      </c>
      <c r="J1787">
        <v>10</v>
      </c>
      <c r="K1787">
        <v>2004</v>
      </c>
      <c r="L1787" s="1" t="s">
        <v>239</v>
      </c>
      <c r="M1787">
        <v>117</v>
      </c>
      <c r="N1787" s="1" t="s">
        <v>966</v>
      </c>
      <c r="O1787" s="1" t="s">
        <v>230</v>
      </c>
      <c r="P1787" s="1" t="s">
        <v>231</v>
      </c>
      <c r="Q1787" s="1" t="s">
        <v>232</v>
      </c>
      <c r="R1787" s="1" t="s">
        <v>32</v>
      </c>
      <c r="S1787" s="1" t="s">
        <v>233</v>
      </c>
      <c r="T1787" s="1" t="s">
        <v>32</v>
      </c>
      <c r="U1787" s="1" t="s">
        <v>234</v>
      </c>
      <c r="V1787" s="1" t="s">
        <v>235</v>
      </c>
      <c r="W1787" s="1" t="s">
        <v>48</v>
      </c>
      <c r="X1787" s="1" t="s">
        <v>236</v>
      </c>
      <c r="Y1787" s="1" t="s">
        <v>237</v>
      </c>
      <c r="Z1787" s="1" t="str">
        <f>TRIM(_xlfn.CONCAT(sales_data_sample[[#This Row],[CONTACTFIRSTNAME]],", ",sales_data_sample[[#This Row],[CONTACTLASTNAME]]))</f>
        <v>Diego, Freyre</v>
      </c>
      <c r="AA1787" s="1" t="s">
        <v>59</v>
      </c>
    </row>
    <row r="1788" spans="1:27" x14ac:dyDescent="0.25">
      <c r="A1788" s="10">
        <v>10332</v>
      </c>
      <c r="B1788" s="9">
        <v>44</v>
      </c>
      <c r="C1788" s="9">
        <v>4226</v>
      </c>
      <c r="D1788" s="9">
        <f>PRODUCT(sales_data_sample[[#This Row],[QUANTITYORDERED]],sales_data_sample[[#This Row],[PRICEEACH]])</f>
        <v>185944</v>
      </c>
      <c r="E1788" s="9">
        <f>IF(OR(sales_data_sample[[#This Row],[STATUS]]="Shipped",sales_data_sample[[#This Row],[STATUS]]="Resolved"),sales_data_sample[[#This Row],[SALES]],0)</f>
        <v>185944</v>
      </c>
      <c r="F1788" s="10">
        <v>11</v>
      </c>
      <c r="G1788" s="12" t="s">
        <v>793</v>
      </c>
      <c r="H1788" s="1" t="s">
        <v>26</v>
      </c>
      <c r="I1788">
        <v>4</v>
      </c>
      <c r="J1788">
        <v>11</v>
      </c>
      <c r="K1788">
        <v>2004</v>
      </c>
      <c r="L1788" s="1" t="s">
        <v>239</v>
      </c>
      <c r="M1788">
        <v>117</v>
      </c>
      <c r="N1788" s="1" t="s">
        <v>966</v>
      </c>
      <c r="O1788" s="1" t="s">
        <v>695</v>
      </c>
      <c r="P1788" s="1" t="s">
        <v>696</v>
      </c>
      <c r="Q1788" s="1" t="s">
        <v>697</v>
      </c>
      <c r="R1788" s="1" t="s">
        <v>32</v>
      </c>
      <c r="S1788" s="1" t="s">
        <v>698</v>
      </c>
      <c r="T1788" s="1" t="s">
        <v>32</v>
      </c>
      <c r="U1788" s="1" t="s">
        <v>699</v>
      </c>
      <c r="V1788" s="1" t="s">
        <v>225</v>
      </c>
      <c r="W1788" s="1" t="s">
        <v>48</v>
      </c>
      <c r="X1788" s="1" t="s">
        <v>700</v>
      </c>
      <c r="Y1788" s="1" t="s">
        <v>118</v>
      </c>
      <c r="Z1788" s="1" t="str">
        <f>TRIM(_xlfn.CONCAT(sales_data_sample[[#This Row],[CONTACTFIRSTNAME]],", ",sales_data_sample[[#This Row],[CONTACTLASTNAME]]))</f>
        <v>Victoria, Ashworth</v>
      </c>
      <c r="AA1788" s="1" t="s">
        <v>40</v>
      </c>
    </row>
    <row r="1789" spans="1:27" x14ac:dyDescent="0.25">
      <c r="A1789" s="10">
        <v>10346</v>
      </c>
      <c r="B1789" s="9">
        <v>24</v>
      </c>
      <c r="C1789" s="9">
        <v>8724</v>
      </c>
      <c r="D1789" s="9">
        <f>PRODUCT(sales_data_sample[[#This Row],[QUANTITYORDERED]],sales_data_sample[[#This Row],[PRICEEACH]])</f>
        <v>209376</v>
      </c>
      <c r="E1789" s="9">
        <f>IF(OR(sales_data_sample[[#This Row],[STATUS]]="Shipped",sales_data_sample[[#This Row],[STATUS]]="Resolved"),sales_data_sample[[#This Row],[SALES]],0)</f>
        <v>209376</v>
      </c>
      <c r="F1789" s="10">
        <v>5</v>
      </c>
      <c r="G1789" s="12" t="s">
        <v>375</v>
      </c>
      <c r="H1789" s="1" t="s">
        <v>26</v>
      </c>
      <c r="I1789">
        <v>4</v>
      </c>
      <c r="J1789">
        <v>11</v>
      </c>
      <c r="K1789">
        <v>2004</v>
      </c>
      <c r="L1789" s="1" t="s">
        <v>239</v>
      </c>
      <c r="M1789">
        <v>117</v>
      </c>
      <c r="N1789" s="1" t="s">
        <v>966</v>
      </c>
      <c r="O1789" s="1" t="s">
        <v>779</v>
      </c>
      <c r="P1789" s="1" t="s">
        <v>780</v>
      </c>
      <c r="Q1789" s="1" t="s">
        <v>781</v>
      </c>
      <c r="R1789" s="1" t="s">
        <v>32</v>
      </c>
      <c r="S1789" s="1" t="s">
        <v>782</v>
      </c>
      <c r="T1789" s="1" t="s">
        <v>783</v>
      </c>
      <c r="U1789" s="1" t="s">
        <v>784</v>
      </c>
      <c r="V1789" s="1" t="s">
        <v>36</v>
      </c>
      <c r="W1789" s="1" t="s">
        <v>37</v>
      </c>
      <c r="X1789" s="1" t="s">
        <v>146</v>
      </c>
      <c r="Y1789" s="1" t="s">
        <v>551</v>
      </c>
      <c r="Z1789" s="1" t="str">
        <f>TRIM(_xlfn.CONCAT(sales_data_sample[[#This Row],[CONTACTFIRSTNAME]],", ",sales_data_sample[[#This Row],[CONTACTLASTNAME]]))</f>
        <v>Sue, King</v>
      </c>
      <c r="AA1789" s="1" t="s">
        <v>40</v>
      </c>
    </row>
    <row r="1790" spans="1:27" x14ac:dyDescent="0.25">
      <c r="A1790" s="10">
        <v>10368</v>
      </c>
      <c r="B1790" s="9">
        <v>31</v>
      </c>
      <c r="C1790" s="9">
        <v>100</v>
      </c>
      <c r="D1790" s="9">
        <f>PRODUCT(sales_data_sample[[#This Row],[QUANTITYORDERED]],sales_data_sample[[#This Row],[PRICEEACH]])</f>
        <v>3100</v>
      </c>
      <c r="E1790" s="9">
        <f>IF(OR(sales_data_sample[[#This Row],[STATUS]]="Shipped",sales_data_sample[[#This Row],[STATUS]]="Resolved"),sales_data_sample[[#This Row],[SALES]],0)</f>
        <v>3100</v>
      </c>
      <c r="F1790" s="10">
        <v>5</v>
      </c>
      <c r="G1790" s="12" t="s">
        <v>963</v>
      </c>
      <c r="H1790" s="1" t="s">
        <v>26</v>
      </c>
      <c r="I1790">
        <v>1</v>
      </c>
      <c r="J1790">
        <v>1</v>
      </c>
      <c r="K1790">
        <v>2005</v>
      </c>
      <c r="L1790" s="1" t="s">
        <v>239</v>
      </c>
      <c r="M1790">
        <v>117</v>
      </c>
      <c r="N1790" s="1" t="s">
        <v>966</v>
      </c>
      <c r="O1790" s="1" t="s">
        <v>361</v>
      </c>
      <c r="P1790" s="1" t="s">
        <v>362</v>
      </c>
      <c r="Q1790" s="1" t="s">
        <v>363</v>
      </c>
      <c r="R1790" s="1" t="s">
        <v>32</v>
      </c>
      <c r="S1790" s="1" t="s">
        <v>364</v>
      </c>
      <c r="T1790" s="1" t="s">
        <v>65</v>
      </c>
      <c r="U1790" s="1" t="s">
        <v>145</v>
      </c>
      <c r="V1790" s="1" t="s">
        <v>36</v>
      </c>
      <c r="W1790" s="1" t="s">
        <v>37</v>
      </c>
      <c r="X1790" s="1" t="s">
        <v>365</v>
      </c>
      <c r="Y1790" s="1" t="s">
        <v>366</v>
      </c>
      <c r="Z1790" s="1" t="str">
        <f>TRIM(_xlfn.CONCAT(sales_data_sample[[#This Row],[CONTACTFIRSTNAME]],", ",sales_data_sample[[#This Row],[CONTACTLASTNAME]]))</f>
        <v>Valarie, Nelson</v>
      </c>
      <c r="AA1790" s="1" t="s">
        <v>59</v>
      </c>
    </row>
    <row r="1791" spans="1:27" x14ac:dyDescent="0.25">
      <c r="A1791" s="10">
        <v>10380</v>
      </c>
      <c r="B1791" s="9">
        <v>44</v>
      </c>
      <c r="C1791" s="9">
        <v>3629</v>
      </c>
      <c r="D1791" s="9">
        <f>PRODUCT(sales_data_sample[[#This Row],[QUANTITYORDERED]],sales_data_sample[[#This Row],[PRICEEACH]])</f>
        <v>159676</v>
      </c>
      <c r="E1791" s="9">
        <f>IF(OR(sales_data_sample[[#This Row],[STATUS]]="Shipped",sales_data_sample[[#This Row],[STATUS]]="Resolved"),sales_data_sample[[#This Row],[SALES]],0)</f>
        <v>159676</v>
      </c>
      <c r="F1791" s="10">
        <v>7</v>
      </c>
      <c r="G1791" s="12" t="s">
        <v>826</v>
      </c>
      <c r="H1791" s="1" t="s">
        <v>26</v>
      </c>
      <c r="I1791">
        <v>1</v>
      </c>
      <c r="J1791">
        <v>2</v>
      </c>
      <c r="K1791">
        <v>2005</v>
      </c>
      <c r="L1791" s="1" t="s">
        <v>239</v>
      </c>
      <c r="M1791">
        <v>117</v>
      </c>
      <c r="N1791" s="1" t="s">
        <v>966</v>
      </c>
      <c r="O1791" s="1" t="s">
        <v>230</v>
      </c>
      <c r="P1791" s="1" t="s">
        <v>231</v>
      </c>
      <c r="Q1791" s="1" t="s">
        <v>232</v>
      </c>
      <c r="R1791" s="1" t="s">
        <v>32</v>
      </c>
      <c r="S1791" s="1" t="s">
        <v>233</v>
      </c>
      <c r="T1791" s="1" t="s">
        <v>32</v>
      </c>
      <c r="U1791" s="1" t="s">
        <v>234</v>
      </c>
      <c r="V1791" s="1" t="s">
        <v>235</v>
      </c>
      <c r="W1791" s="1" t="s">
        <v>48</v>
      </c>
      <c r="X1791" s="1" t="s">
        <v>236</v>
      </c>
      <c r="Y1791" s="1" t="s">
        <v>237</v>
      </c>
      <c r="Z1791" s="1" t="str">
        <f>TRIM(_xlfn.CONCAT(sales_data_sample[[#This Row],[CONTACTFIRSTNAME]],", ",sales_data_sample[[#This Row],[CONTACTLASTNAME]]))</f>
        <v>Diego, Freyre</v>
      </c>
      <c r="AA1791" s="1" t="s">
        <v>40</v>
      </c>
    </row>
    <row r="1792" spans="1:27" x14ac:dyDescent="0.25">
      <c r="A1792" s="10">
        <v>10407</v>
      </c>
      <c r="B1792" s="9">
        <v>59</v>
      </c>
      <c r="C1792" s="9">
        <v>9865</v>
      </c>
      <c r="D1792" s="9">
        <f>PRODUCT(sales_data_sample[[#This Row],[QUANTITYORDERED]],sales_data_sample[[#This Row],[PRICEEACH]])</f>
        <v>582035</v>
      </c>
      <c r="E1792" s="9">
        <f>IF(OR(sales_data_sample[[#This Row],[STATUS]]="Shipped",sales_data_sample[[#This Row],[STATUS]]="Resolved"),sales_data_sample[[#This Row],[SALES]],0)</f>
        <v>0</v>
      </c>
      <c r="F1792" s="10">
        <v>5</v>
      </c>
      <c r="G1792" s="12" t="s">
        <v>837</v>
      </c>
      <c r="H1792" s="1" t="s">
        <v>553</v>
      </c>
      <c r="I1792">
        <v>2</v>
      </c>
      <c r="J1792">
        <v>4</v>
      </c>
      <c r="K1792">
        <v>2005</v>
      </c>
      <c r="L1792" s="1" t="s">
        <v>239</v>
      </c>
      <c r="M1792">
        <v>117</v>
      </c>
      <c r="N1792" s="1" t="s">
        <v>966</v>
      </c>
      <c r="O1792" s="1" t="s">
        <v>547</v>
      </c>
      <c r="P1792" s="1" t="s">
        <v>548</v>
      </c>
      <c r="Q1792" s="1" t="s">
        <v>549</v>
      </c>
      <c r="R1792" s="1" t="s">
        <v>32</v>
      </c>
      <c r="S1792" s="1" t="s">
        <v>550</v>
      </c>
      <c r="T1792" s="1" t="s">
        <v>65</v>
      </c>
      <c r="U1792" s="1" t="s">
        <v>80</v>
      </c>
      <c r="V1792" s="1" t="s">
        <v>36</v>
      </c>
      <c r="W1792" s="1" t="s">
        <v>37</v>
      </c>
      <c r="X1792" s="1" t="s">
        <v>129</v>
      </c>
      <c r="Y1792" s="1" t="s">
        <v>551</v>
      </c>
      <c r="Z1792" s="1" t="str">
        <f>TRIM(_xlfn.CONCAT(sales_data_sample[[#This Row],[CONTACTFIRSTNAME]],", ",sales_data_sample[[#This Row],[CONTACTLASTNAME]]))</f>
        <v>Sue, Frick</v>
      </c>
      <c r="AA1792" s="1" t="s">
        <v>59</v>
      </c>
    </row>
    <row r="1793" spans="1:27" x14ac:dyDescent="0.25">
      <c r="A1793">
        <v>10420</v>
      </c>
      <c r="B1793">
        <v>55</v>
      </c>
      <c r="C1793">
        <v>963</v>
      </c>
      <c r="D1793">
        <f>PRODUCT(sales_data_sample[[#This Row],[QUANTITYORDERED]],sales_data_sample[[#This Row],[PRICEEACH]])</f>
        <v>52965</v>
      </c>
      <c r="E1793" s="9">
        <f>IF(OR(sales_data_sample[[#This Row],[STATUS]]="Shipped",sales_data_sample[[#This Row],[STATUS]]="Resolved"),sales_data_sample[[#This Row],[SALES]],0)</f>
        <v>0</v>
      </c>
      <c r="F1793">
        <v>8</v>
      </c>
      <c r="G1793" s="12" t="s">
        <v>876</v>
      </c>
      <c r="H1793" s="1" t="s">
        <v>403</v>
      </c>
      <c r="I1793">
        <v>2</v>
      </c>
      <c r="J1793">
        <v>5</v>
      </c>
      <c r="K1793">
        <v>2005</v>
      </c>
      <c r="L1793" s="1" t="s">
        <v>239</v>
      </c>
      <c r="M1793">
        <v>117</v>
      </c>
      <c r="N1793" s="1" t="s">
        <v>966</v>
      </c>
      <c r="O1793" s="1" t="s">
        <v>201</v>
      </c>
      <c r="P1793" s="1" t="s">
        <v>202</v>
      </c>
      <c r="Q1793" s="1" t="s">
        <v>203</v>
      </c>
      <c r="R1793" s="1" t="s">
        <v>204</v>
      </c>
      <c r="S1793" s="1" t="s">
        <v>205</v>
      </c>
      <c r="T1793" s="1" t="s">
        <v>206</v>
      </c>
      <c r="U1793" s="1" t="s">
        <v>207</v>
      </c>
      <c r="V1793" s="1" t="s">
        <v>120</v>
      </c>
      <c r="W1793" s="1" t="s">
        <v>121</v>
      </c>
      <c r="X1793" s="1" t="s">
        <v>208</v>
      </c>
      <c r="Y1793" s="1" t="s">
        <v>209</v>
      </c>
      <c r="Z1793" s="1" t="str">
        <f>TRIM(_xlfn.CONCAT(sales_data_sample[[#This Row],[CONTACTFIRSTNAME]],", ",sales_data_sample[[#This Row],[CONTACTLASTNAME]]))</f>
        <v>Adrian, Huxley</v>
      </c>
      <c r="AA1793" s="1" t="s">
        <v>59</v>
      </c>
    </row>
    <row r="1794" spans="1:27" x14ac:dyDescent="0.25">
      <c r="A1794" s="10">
        <v>10109</v>
      </c>
      <c r="B1794" s="9">
        <v>29</v>
      </c>
      <c r="C1794" s="9">
        <v>321</v>
      </c>
      <c r="D1794" s="9">
        <f>PRODUCT(sales_data_sample[[#This Row],[QUANTITYORDERED]],sales_data_sample[[#This Row],[PRICEEACH]])</f>
        <v>9309</v>
      </c>
      <c r="E1794" s="9">
        <f>IF(OR(sales_data_sample[[#This Row],[STATUS]]="Shipped",sales_data_sample[[#This Row],[STATUS]]="Resolved"),sales_data_sample[[#This Row],[SALES]],0)</f>
        <v>9309</v>
      </c>
      <c r="F1794" s="10">
        <v>6</v>
      </c>
      <c r="G1794" s="12" t="s">
        <v>771</v>
      </c>
      <c r="H1794" s="1" t="s">
        <v>26</v>
      </c>
      <c r="I1794">
        <v>1</v>
      </c>
      <c r="J1794">
        <v>3</v>
      </c>
      <c r="K1794">
        <v>2003</v>
      </c>
      <c r="L1794" s="1" t="s">
        <v>239</v>
      </c>
      <c r="M1794">
        <v>37</v>
      </c>
      <c r="N1794" s="1" t="s">
        <v>967</v>
      </c>
      <c r="O1794" s="1" t="s">
        <v>415</v>
      </c>
      <c r="P1794" s="1" t="s">
        <v>416</v>
      </c>
      <c r="Q1794" s="1" t="s">
        <v>417</v>
      </c>
      <c r="R1794" s="1" t="s">
        <v>32</v>
      </c>
      <c r="S1794" s="1" t="s">
        <v>286</v>
      </c>
      <c r="T1794" s="1" t="s">
        <v>186</v>
      </c>
      <c r="U1794" s="1" t="s">
        <v>287</v>
      </c>
      <c r="V1794" s="1" t="s">
        <v>36</v>
      </c>
      <c r="W1794" s="1" t="s">
        <v>37</v>
      </c>
      <c r="X1794" s="1" t="s">
        <v>162</v>
      </c>
      <c r="Y1794" s="1" t="s">
        <v>418</v>
      </c>
      <c r="Z1794" s="1" t="str">
        <f>TRIM(_xlfn.CONCAT(sales_data_sample[[#This Row],[CONTACTFIRSTNAME]],", ",sales_data_sample[[#This Row],[CONTACTLASTNAME]]))</f>
        <v>Rosa, Hernandez</v>
      </c>
      <c r="AA1794" s="1" t="s">
        <v>40</v>
      </c>
    </row>
    <row r="1795" spans="1:27" x14ac:dyDescent="0.25">
      <c r="A1795" s="10">
        <v>10122</v>
      </c>
      <c r="B1795" s="9">
        <v>39</v>
      </c>
      <c r="C1795" s="9">
        <v>3096</v>
      </c>
      <c r="D1795" s="9">
        <f>PRODUCT(sales_data_sample[[#This Row],[QUANTITYORDERED]],sales_data_sample[[#This Row],[PRICEEACH]])</f>
        <v>120744</v>
      </c>
      <c r="E1795" s="9">
        <f>IF(OR(sales_data_sample[[#This Row],[STATUS]]="Shipped",sales_data_sample[[#This Row],[STATUS]]="Resolved"),sales_data_sample[[#This Row],[SALES]],0)</f>
        <v>120744</v>
      </c>
      <c r="F1795" s="10">
        <v>4</v>
      </c>
      <c r="G1795" s="12" t="s">
        <v>599</v>
      </c>
      <c r="H1795" s="1" t="s">
        <v>26</v>
      </c>
      <c r="I1795">
        <v>2</v>
      </c>
      <c r="J1795">
        <v>5</v>
      </c>
      <c r="K1795">
        <v>2003</v>
      </c>
      <c r="L1795" s="1" t="s">
        <v>239</v>
      </c>
      <c r="M1795">
        <v>37</v>
      </c>
      <c r="N1795" s="1" t="s">
        <v>967</v>
      </c>
      <c r="O1795" s="1" t="s">
        <v>600</v>
      </c>
      <c r="P1795" s="1" t="s">
        <v>601</v>
      </c>
      <c r="Q1795" s="1" t="s">
        <v>602</v>
      </c>
      <c r="R1795" s="1" t="s">
        <v>32</v>
      </c>
      <c r="S1795" s="1" t="s">
        <v>603</v>
      </c>
      <c r="T1795" s="1" t="s">
        <v>32</v>
      </c>
      <c r="U1795" s="1" t="s">
        <v>604</v>
      </c>
      <c r="V1795" s="1" t="s">
        <v>47</v>
      </c>
      <c r="W1795" s="1" t="s">
        <v>48</v>
      </c>
      <c r="X1795" s="1" t="s">
        <v>605</v>
      </c>
      <c r="Y1795" s="1" t="s">
        <v>606</v>
      </c>
      <c r="Z1795" s="1" t="str">
        <f>TRIM(_xlfn.CONCAT(sales_data_sample[[#This Row],[CONTACTFIRSTNAME]],", ",sales_data_sample[[#This Row],[CONTACTLASTNAME]]))</f>
        <v>Laurence, Lebihan</v>
      </c>
      <c r="AA1795" s="1" t="s">
        <v>40</v>
      </c>
    </row>
    <row r="1796" spans="1:27" x14ac:dyDescent="0.25">
      <c r="A1796" s="10">
        <v>10135</v>
      </c>
      <c r="B1796" s="9">
        <v>20</v>
      </c>
      <c r="C1796" s="9">
        <v>3587</v>
      </c>
      <c r="D1796" s="9">
        <f>PRODUCT(sales_data_sample[[#This Row],[QUANTITYORDERED]],sales_data_sample[[#This Row],[PRICEEACH]])</f>
        <v>71740</v>
      </c>
      <c r="E1796" s="9">
        <f>IF(OR(sales_data_sample[[#This Row],[STATUS]]="Shipped",sales_data_sample[[#This Row],[STATUS]]="Resolved"),sales_data_sample[[#This Row],[SALES]],0)</f>
        <v>71740</v>
      </c>
      <c r="F1796" s="10">
        <v>1</v>
      </c>
      <c r="G1796" s="12" t="s">
        <v>607</v>
      </c>
      <c r="H1796" s="1" t="s">
        <v>26</v>
      </c>
      <c r="I1796">
        <v>3</v>
      </c>
      <c r="J1796">
        <v>7</v>
      </c>
      <c r="K1796">
        <v>2003</v>
      </c>
      <c r="L1796" s="1" t="s">
        <v>239</v>
      </c>
      <c r="M1796">
        <v>37</v>
      </c>
      <c r="N1796" s="1" t="s">
        <v>967</v>
      </c>
      <c r="O1796" s="1" t="s">
        <v>361</v>
      </c>
      <c r="P1796" s="1" t="s">
        <v>362</v>
      </c>
      <c r="Q1796" s="1" t="s">
        <v>363</v>
      </c>
      <c r="R1796" s="1" t="s">
        <v>32</v>
      </c>
      <c r="S1796" s="1" t="s">
        <v>364</v>
      </c>
      <c r="T1796" s="1" t="s">
        <v>65</v>
      </c>
      <c r="U1796" s="1" t="s">
        <v>145</v>
      </c>
      <c r="V1796" s="1" t="s">
        <v>36</v>
      </c>
      <c r="W1796" s="1" t="s">
        <v>37</v>
      </c>
      <c r="X1796" s="1" t="s">
        <v>365</v>
      </c>
      <c r="Y1796" s="1" t="s">
        <v>366</v>
      </c>
      <c r="Z1796" s="1" t="str">
        <f>TRIM(_xlfn.CONCAT(sales_data_sample[[#This Row],[CONTACTFIRSTNAME]],", ",sales_data_sample[[#This Row],[CONTACTLASTNAME]]))</f>
        <v>Valarie, Nelson</v>
      </c>
      <c r="AA1796" s="1" t="s">
        <v>40</v>
      </c>
    </row>
    <row r="1797" spans="1:27" x14ac:dyDescent="0.25">
      <c r="A1797" s="10">
        <v>10147</v>
      </c>
      <c r="B1797" s="9">
        <v>25</v>
      </c>
      <c r="C1797" s="9">
        <v>4267</v>
      </c>
      <c r="D1797" s="9">
        <f>PRODUCT(sales_data_sample[[#This Row],[QUANTITYORDERED]],sales_data_sample[[#This Row],[PRICEEACH]])</f>
        <v>106675</v>
      </c>
      <c r="E1797" s="9">
        <f>IF(OR(sales_data_sample[[#This Row],[STATUS]]="Shipped",sales_data_sample[[#This Row],[STATUS]]="Resolved"),sales_data_sample[[#This Row],[SALES]],0)</f>
        <v>106675</v>
      </c>
      <c r="F1797" s="10">
        <v>1</v>
      </c>
      <c r="G1797" s="12" t="s">
        <v>608</v>
      </c>
      <c r="H1797" s="1" t="s">
        <v>26</v>
      </c>
      <c r="I1797">
        <v>3</v>
      </c>
      <c r="J1797">
        <v>9</v>
      </c>
      <c r="K1797">
        <v>2003</v>
      </c>
      <c r="L1797" s="1" t="s">
        <v>239</v>
      </c>
      <c r="M1797">
        <v>37</v>
      </c>
      <c r="N1797" s="1" t="s">
        <v>967</v>
      </c>
      <c r="O1797" s="1" t="s">
        <v>378</v>
      </c>
      <c r="P1797" s="1" t="s">
        <v>157</v>
      </c>
      <c r="Q1797" s="1" t="s">
        <v>379</v>
      </c>
      <c r="R1797" s="1" t="s">
        <v>32</v>
      </c>
      <c r="S1797" s="1" t="s">
        <v>380</v>
      </c>
      <c r="T1797" s="1" t="s">
        <v>160</v>
      </c>
      <c r="U1797" s="1" t="s">
        <v>381</v>
      </c>
      <c r="V1797" s="1" t="s">
        <v>36</v>
      </c>
      <c r="W1797" s="1" t="s">
        <v>37</v>
      </c>
      <c r="X1797" s="1" t="s">
        <v>365</v>
      </c>
      <c r="Y1797" s="1" t="s">
        <v>382</v>
      </c>
      <c r="Z1797" s="1" t="str">
        <f>TRIM(_xlfn.CONCAT(sales_data_sample[[#This Row],[CONTACTFIRSTNAME]],", ",sales_data_sample[[#This Row],[CONTACTLASTNAME]]))</f>
        <v>Allen, Nelson</v>
      </c>
      <c r="AA1797" s="1" t="s">
        <v>40</v>
      </c>
    </row>
    <row r="1798" spans="1:27" x14ac:dyDescent="0.25">
      <c r="A1798" s="10">
        <v>10160</v>
      </c>
      <c r="B1798" s="9">
        <v>42</v>
      </c>
      <c r="C1798" s="9">
        <v>37</v>
      </c>
      <c r="D1798" s="9">
        <f>PRODUCT(sales_data_sample[[#This Row],[QUANTITYORDERED]],sales_data_sample[[#This Row],[PRICEEACH]])</f>
        <v>1554</v>
      </c>
      <c r="E1798" s="9">
        <f>IF(OR(sales_data_sample[[#This Row],[STATUS]]="Shipped",sales_data_sample[[#This Row],[STATUS]]="Resolved"),sales_data_sample[[#This Row],[SALES]],0)</f>
        <v>1554</v>
      </c>
      <c r="F1798" s="10">
        <v>2</v>
      </c>
      <c r="G1798" s="12" t="s">
        <v>728</v>
      </c>
      <c r="H1798" s="1" t="s">
        <v>26</v>
      </c>
      <c r="I1798">
        <v>4</v>
      </c>
      <c r="J1798">
        <v>10</v>
      </c>
      <c r="K1798">
        <v>2003</v>
      </c>
      <c r="L1798" s="1" t="s">
        <v>239</v>
      </c>
      <c r="M1798">
        <v>37</v>
      </c>
      <c r="N1798" s="1" t="s">
        <v>967</v>
      </c>
      <c r="O1798" s="1" t="s">
        <v>486</v>
      </c>
      <c r="P1798" s="1" t="s">
        <v>487</v>
      </c>
      <c r="Q1798" s="1" t="s">
        <v>488</v>
      </c>
      <c r="R1798" s="1" t="s">
        <v>32</v>
      </c>
      <c r="S1798" s="1" t="s">
        <v>489</v>
      </c>
      <c r="T1798" s="1" t="s">
        <v>65</v>
      </c>
      <c r="U1798" s="1" t="s">
        <v>32</v>
      </c>
      <c r="V1798" s="1" t="s">
        <v>36</v>
      </c>
      <c r="W1798" s="1" t="s">
        <v>37</v>
      </c>
      <c r="X1798" s="1" t="s">
        <v>490</v>
      </c>
      <c r="Y1798" s="1" t="s">
        <v>130</v>
      </c>
      <c r="Z1798" s="1" t="str">
        <f>TRIM(_xlfn.CONCAT(sales_data_sample[[#This Row],[CONTACTFIRSTNAME]],", ",sales_data_sample[[#This Row],[CONTACTLASTNAME]]))</f>
        <v>Michael, Chandler</v>
      </c>
      <c r="AA1798" s="1" t="s">
        <v>40</v>
      </c>
    </row>
    <row r="1799" spans="1:27" x14ac:dyDescent="0.25">
      <c r="A1799" s="10">
        <v>10171</v>
      </c>
      <c r="B1799" s="9">
        <v>36</v>
      </c>
      <c r="C1799" s="9">
        <v>3549</v>
      </c>
      <c r="D1799" s="9">
        <f>PRODUCT(sales_data_sample[[#This Row],[QUANTITYORDERED]],sales_data_sample[[#This Row],[PRICEEACH]])</f>
        <v>127764</v>
      </c>
      <c r="E1799" s="9">
        <f>IF(OR(sales_data_sample[[#This Row],[STATUS]]="Shipped",sales_data_sample[[#This Row],[STATUS]]="Resolved"),sales_data_sample[[#This Row],[SALES]],0)</f>
        <v>127764</v>
      </c>
      <c r="F1799" s="10">
        <v>4</v>
      </c>
      <c r="G1799" s="12" t="s">
        <v>776</v>
      </c>
      <c r="H1799" s="1" t="s">
        <v>26</v>
      </c>
      <c r="I1799">
        <v>4</v>
      </c>
      <c r="J1799">
        <v>11</v>
      </c>
      <c r="K1799">
        <v>2003</v>
      </c>
      <c r="L1799" s="1" t="s">
        <v>239</v>
      </c>
      <c r="M1799">
        <v>37</v>
      </c>
      <c r="N1799" s="1" t="s">
        <v>967</v>
      </c>
      <c r="O1799" s="1" t="s">
        <v>394</v>
      </c>
      <c r="P1799" s="1" t="s">
        <v>395</v>
      </c>
      <c r="Q1799" s="1" t="s">
        <v>396</v>
      </c>
      <c r="R1799" s="1" t="s">
        <v>32</v>
      </c>
      <c r="S1799" s="1" t="s">
        <v>397</v>
      </c>
      <c r="T1799" s="1" t="s">
        <v>398</v>
      </c>
      <c r="U1799" s="1" t="s">
        <v>399</v>
      </c>
      <c r="V1799" s="1" t="s">
        <v>305</v>
      </c>
      <c r="W1799" s="1" t="s">
        <v>37</v>
      </c>
      <c r="X1799" s="1" t="s">
        <v>400</v>
      </c>
      <c r="Y1799" s="1" t="s">
        <v>401</v>
      </c>
      <c r="Z1799" s="1" t="str">
        <f>TRIM(_xlfn.CONCAT(sales_data_sample[[#This Row],[CONTACTFIRSTNAME]],", ",sales_data_sample[[#This Row],[CONTACTLASTNAME]]))</f>
        <v>Jean, Fresnisre</v>
      </c>
      <c r="AA1799" s="1" t="s">
        <v>40</v>
      </c>
    </row>
    <row r="1800" spans="1:27" x14ac:dyDescent="0.25">
      <c r="A1800" s="10">
        <v>10181</v>
      </c>
      <c r="B1800" s="9">
        <v>37</v>
      </c>
      <c r="C1800" s="9">
        <v>4267</v>
      </c>
      <c r="D1800" s="9">
        <f>PRODUCT(sales_data_sample[[#This Row],[QUANTITYORDERED]],sales_data_sample[[#This Row],[PRICEEACH]])</f>
        <v>157879</v>
      </c>
      <c r="E1800" s="9">
        <f>IF(OR(sales_data_sample[[#This Row],[STATUS]]="Shipped",sales_data_sample[[#This Row],[STATUS]]="Resolved"),sales_data_sample[[#This Row],[SALES]],0)</f>
        <v>157879</v>
      </c>
      <c r="F1800" s="10">
        <v>8</v>
      </c>
      <c r="G1800" s="12" t="s">
        <v>610</v>
      </c>
      <c r="H1800" s="1" t="s">
        <v>26</v>
      </c>
      <c r="I1800">
        <v>4</v>
      </c>
      <c r="J1800">
        <v>11</v>
      </c>
      <c r="K1800">
        <v>2003</v>
      </c>
      <c r="L1800" s="1" t="s">
        <v>239</v>
      </c>
      <c r="M1800">
        <v>37</v>
      </c>
      <c r="N1800" s="1" t="s">
        <v>967</v>
      </c>
      <c r="O1800" s="1" t="s">
        <v>92</v>
      </c>
      <c r="P1800" s="1" t="s">
        <v>93</v>
      </c>
      <c r="Q1800" s="1" t="s">
        <v>94</v>
      </c>
      <c r="R1800" s="1" t="s">
        <v>32</v>
      </c>
      <c r="S1800" s="1" t="s">
        <v>95</v>
      </c>
      <c r="T1800" s="1" t="s">
        <v>32</v>
      </c>
      <c r="U1800" s="1" t="s">
        <v>96</v>
      </c>
      <c r="V1800" s="1" t="s">
        <v>97</v>
      </c>
      <c r="W1800" s="1" t="s">
        <v>48</v>
      </c>
      <c r="X1800" s="1" t="s">
        <v>98</v>
      </c>
      <c r="Y1800" s="1" t="s">
        <v>99</v>
      </c>
      <c r="Z1800" s="1" t="str">
        <f>TRIM(_xlfn.CONCAT(sales_data_sample[[#This Row],[CONTACTFIRSTNAME]],", ",sales_data_sample[[#This Row],[CONTACTLASTNAME]]))</f>
        <v>Veysel, Oeztan</v>
      </c>
      <c r="AA1800" s="1" t="s">
        <v>40</v>
      </c>
    </row>
    <row r="1801" spans="1:27" x14ac:dyDescent="0.25">
      <c r="A1801" s="10">
        <v>10192</v>
      </c>
      <c r="B1801" s="9">
        <v>30</v>
      </c>
      <c r="C1801" s="9">
        <v>3059</v>
      </c>
      <c r="D1801" s="9">
        <f>PRODUCT(sales_data_sample[[#This Row],[QUANTITYORDERED]],sales_data_sample[[#This Row],[PRICEEACH]])</f>
        <v>91770</v>
      </c>
      <c r="E1801" s="9">
        <f>IF(OR(sales_data_sample[[#This Row],[STATUS]]="Shipped",sales_data_sample[[#This Row],[STATUS]]="Resolved"),sales_data_sample[[#This Row],[SALES]],0)</f>
        <v>91770</v>
      </c>
      <c r="F1801" s="10">
        <v>13</v>
      </c>
      <c r="G1801" s="12" t="s">
        <v>611</v>
      </c>
      <c r="H1801" s="1" t="s">
        <v>26</v>
      </c>
      <c r="I1801">
        <v>4</v>
      </c>
      <c r="J1801">
        <v>11</v>
      </c>
      <c r="K1801">
        <v>2003</v>
      </c>
      <c r="L1801" s="1" t="s">
        <v>239</v>
      </c>
      <c r="M1801">
        <v>37</v>
      </c>
      <c r="N1801" s="1" t="s">
        <v>967</v>
      </c>
      <c r="O1801" s="1" t="s">
        <v>368</v>
      </c>
      <c r="P1801" s="1" t="s">
        <v>369</v>
      </c>
      <c r="Q1801" s="1" t="s">
        <v>370</v>
      </c>
      <c r="R1801" s="1" t="s">
        <v>32</v>
      </c>
      <c r="S1801" s="1" t="s">
        <v>371</v>
      </c>
      <c r="T1801" s="1" t="s">
        <v>372</v>
      </c>
      <c r="U1801" s="1" t="s">
        <v>373</v>
      </c>
      <c r="V1801" s="1" t="s">
        <v>36</v>
      </c>
      <c r="W1801" s="1" t="s">
        <v>37</v>
      </c>
      <c r="X1801" s="1" t="s">
        <v>67</v>
      </c>
      <c r="Y1801" s="1" t="s">
        <v>366</v>
      </c>
      <c r="Z1801" s="1" t="str">
        <f>TRIM(_xlfn.CONCAT(sales_data_sample[[#This Row],[CONTACTFIRSTNAME]],", ",sales_data_sample[[#This Row],[CONTACTLASTNAME]]))</f>
        <v>Valarie, Young</v>
      </c>
      <c r="AA1801" s="1" t="s">
        <v>40</v>
      </c>
    </row>
    <row r="1802" spans="1:27" x14ac:dyDescent="0.25">
      <c r="A1802" s="10">
        <v>10203</v>
      </c>
      <c r="B1802" s="9">
        <v>21</v>
      </c>
      <c r="C1802" s="9">
        <v>37</v>
      </c>
      <c r="D1802" s="9">
        <f>PRODUCT(sales_data_sample[[#This Row],[QUANTITYORDERED]],sales_data_sample[[#This Row],[PRICEEACH]])</f>
        <v>777</v>
      </c>
      <c r="E1802" s="9">
        <f>IF(OR(sales_data_sample[[#This Row],[STATUS]]="Shipped",sales_data_sample[[#This Row],[STATUS]]="Resolved"),sales_data_sample[[#This Row],[SALES]],0)</f>
        <v>777</v>
      </c>
      <c r="F1802" s="10">
        <v>2</v>
      </c>
      <c r="G1802" s="12" t="s">
        <v>620</v>
      </c>
      <c r="H1802" s="1" t="s">
        <v>26</v>
      </c>
      <c r="I1802">
        <v>4</v>
      </c>
      <c r="J1802">
        <v>12</v>
      </c>
      <c r="K1802">
        <v>2003</v>
      </c>
      <c r="L1802" s="1" t="s">
        <v>239</v>
      </c>
      <c r="M1802">
        <v>37</v>
      </c>
      <c r="N1802" s="1" t="s">
        <v>967</v>
      </c>
      <c r="O1802" s="1" t="s">
        <v>230</v>
      </c>
      <c r="P1802" s="1" t="s">
        <v>231</v>
      </c>
      <c r="Q1802" s="1" t="s">
        <v>232</v>
      </c>
      <c r="R1802" s="1" t="s">
        <v>32</v>
      </c>
      <c r="S1802" s="1" t="s">
        <v>233</v>
      </c>
      <c r="T1802" s="1" t="s">
        <v>32</v>
      </c>
      <c r="U1802" s="1" t="s">
        <v>234</v>
      </c>
      <c r="V1802" s="1" t="s">
        <v>235</v>
      </c>
      <c r="W1802" s="1" t="s">
        <v>48</v>
      </c>
      <c r="X1802" s="1" t="s">
        <v>236</v>
      </c>
      <c r="Y1802" s="1" t="s">
        <v>237</v>
      </c>
      <c r="Z1802" s="1" t="str">
        <f>TRIM(_xlfn.CONCAT(sales_data_sample[[#This Row],[CONTACTFIRSTNAME]],", ",sales_data_sample[[#This Row],[CONTACTLASTNAME]]))</f>
        <v>Diego, Freyre</v>
      </c>
      <c r="AA1802" s="1" t="s">
        <v>40</v>
      </c>
    </row>
    <row r="1803" spans="1:27" x14ac:dyDescent="0.25">
      <c r="A1803" s="10">
        <v>10212</v>
      </c>
      <c r="B1803" s="9">
        <v>34</v>
      </c>
      <c r="C1803" s="9">
        <v>4342</v>
      </c>
      <c r="D1803" s="9">
        <f>PRODUCT(sales_data_sample[[#This Row],[QUANTITYORDERED]],sales_data_sample[[#This Row],[PRICEEACH]])</f>
        <v>147628</v>
      </c>
      <c r="E1803" s="9">
        <f>IF(OR(sales_data_sample[[#This Row],[STATUS]]="Shipped",sales_data_sample[[#This Row],[STATUS]]="Resolved"),sales_data_sample[[#This Row],[SALES]],0)</f>
        <v>147628</v>
      </c>
      <c r="F1803" s="10">
        <v>12</v>
      </c>
      <c r="G1803" s="12" t="s">
        <v>729</v>
      </c>
      <c r="H1803" s="1" t="s">
        <v>26</v>
      </c>
      <c r="I1803">
        <v>1</v>
      </c>
      <c r="J1803">
        <v>1</v>
      </c>
      <c r="K1803">
        <v>2004</v>
      </c>
      <c r="L1803" s="1" t="s">
        <v>239</v>
      </c>
      <c r="M1803">
        <v>37</v>
      </c>
      <c r="N1803" s="1" t="s">
        <v>967</v>
      </c>
      <c r="O1803" s="1" t="s">
        <v>230</v>
      </c>
      <c r="P1803" s="1" t="s">
        <v>231</v>
      </c>
      <c r="Q1803" s="1" t="s">
        <v>232</v>
      </c>
      <c r="R1803" s="1" t="s">
        <v>32</v>
      </c>
      <c r="S1803" s="1" t="s">
        <v>233</v>
      </c>
      <c r="T1803" s="1" t="s">
        <v>32</v>
      </c>
      <c r="U1803" s="1" t="s">
        <v>234</v>
      </c>
      <c r="V1803" s="1" t="s">
        <v>235</v>
      </c>
      <c r="W1803" s="1" t="s">
        <v>48</v>
      </c>
      <c r="X1803" s="1" t="s">
        <v>236</v>
      </c>
      <c r="Y1803" s="1" t="s">
        <v>237</v>
      </c>
      <c r="Z1803" s="1" t="str">
        <f>TRIM(_xlfn.CONCAT(sales_data_sample[[#This Row],[CONTACTFIRSTNAME]],", ",sales_data_sample[[#This Row],[CONTACTLASTNAME]]))</f>
        <v>Diego, Freyre</v>
      </c>
      <c r="AA1803" s="1" t="s">
        <v>40</v>
      </c>
    </row>
    <row r="1804" spans="1:27" x14ac:dyDescent="0.25">
      <c r="A1804" s="10">
        <v>10225</v>
      </c>
      <c r="B1804" s="9">
        <v>42</v>
      </c>
      <c r="C1804" s="9">
        <v>3663</v>
      </c>
      <c r="D1804" s="9">
        <f>PRODUCT(sales_data_sample[[#This Row],[QUANTITYORDERED]],sales_data_sample[[#This Row],[PRICEEACH]])</f>
        <v>153846</v>
      </c>
      <c r="E1804" s="9">
        <f>IF(OR(sales_data_sample[[#This Row],[STATUS]]="Shipped",sales_data_sample[[#This Row],[STATUS]]="Resolved"),sales_data_sample[[#This Row],[SALES]],0)</f>
        <v>153846</v>
      </c>
      <c r="F1804" s="10">
        <v>3</v>
      </c>
      <c r="G1804" s="12" t="s">
        <v>621</v>
      </c>
      <c r="H1804" s="1" t="s">
        <v>26</v>
      </c>
      <c r="I1804">
        <v>1</v>
      </c>
      <c r="J1804">
        <v>2</v>
      </c>
      <c r="K1804">
        <v>2004</v>
      </c>
      <c r="L1804" s="1" t="s">
        <v>239</v>
      </c>
      <c r="M1804">
        <v>37</v>
      </c>
      <c r="N1804" s="1" t="s">
        <v>967</v>
      </c>
      <c r="O1804" s="1" t="s">
        <v>622</v>
      </c>
      <c r="P1804" s="1" t="s">
        <v>623</v>
      </c>
      <c r="Q1804" s="1" t="s">
        <v>624</v>
      </c>
      <c r="R1804" s="1" t="s">
        <v>32</v>
      </c>
      <c r="S1804" s="1" t="s">
        <v>625</v>
      </c>
      <c r="T1804" s="1" t="s">
        <v>32</v>
      </c>
      <c r="U1804" s="1" t="s">
        <v>626</v>
      </c>
      <c r="V1804" s="1" t="s">
        <v>627</v>
      </c>
      <c r="W1804" s="1" t="s">
        <v>48</v>
      </c>
      <c r="X1804" s="1" t="s">
        <v>628</v>
      </c>
      <c r="Y1804" s="1" t="s">
        <v>130</v>
      </c>
      <c r="Z1804" s="1" t="str">
        <f>TRIM(_xlfn.CONCAT(sales_data_sample[[#This Row],[CONTACTFIRSTNAME]],", ",sales_data_sample[[#This Row],[CONTACTLASTNAME]]))</f>
        <v>Michael, Holz</v>
      </c>
      <c r="AA1804" s="1" t="s">
        <v>40</v>
      </c>
    </row>
    <row r="1805" spans="1:27" x14ac:dyDescent="0.25">
      <c r="A1805" s="10">
        <v>10239</v>
      </c>
      <c r="B1805" s="9">
        <v>20</v>
      </c>
      <c r="C1805" s="9">
        <v>4456</v>
      </c>
      <c r="D1805" s="9">
        <f>PRODUCT(sales_data_sample[[#This Row],[QUANTITYORDERED]],sales_data_sample[[#This Row],[PRICEEACH]])</f>
        <v>89120</v>
      </c>
      <c r="E1805" s="9">
        <f>IF(OR(sales_data_sample[[#This Row],[STATUS]]="Shipped",sales_data_sample[[#This Row],[STATUS]]="Resolved"),sales_data_sample[[#This Row],[SALES]],0)</f>
        <v>89120</v>
      </c>
      <c r="F1805" s="10">
        <v>2</v>
      </c>
      <c r="G1805" s="12" t="s">
        <v>760</v>
      </c>
      <c r="H1805" s="1" t="s">
        <v>26</v>
      </c>
      <c r="I1805">
        <v>2</v>
      </c>
      <c r="J1805">
        <v>4</v>
      </c>
      <c r="K1805">
        <v>2004</v>
      </c>
      <c r="L1805" s="1" t="s">
        <v>239</v>
      </c>
      <c r="M1805">
        <v>37</v>
      </c>
      <c r="N1805" s="1" t="s">
        <v>967</v>
      </c>
      <c r="O1805" s="1" t="s">
        <v>537</v>
      </c>
      <c r="P1805" s="1" t="s">
        <v>538</v>
      </c>
      <c r="Q1805" s="1" t="s">
        <v>539</v>
      </c>
      <c r="R1805" s="1" t="s">
        <v>32</v>
      </c>
      <c r="S1805" s="1" t="s">
        <v>540</v>
      </c>
      <c r="T1805" s="1" t="s">
        <v>32</v>
      </c>
      <c r="U1805" s="1" t="s">
        <v>541</v>
      </c>
      <c r="V1805" s="1" t="s">
        <v>170</v>
      </c>
      <c r="W1805" s="1" t="s">
        <v>48</v>
      </c>
      <c r="X1805" s="1" t="s">
        <v>542</v>
      </c>
      <c r="Y1805" s="1" t="s">
        <v>543</v>
      </c>
      <c r="Z1805" s="1" t="str">
        <f>TRIM(_xlfn.CONCAT(sales_data_sample[[#This Row],[CONTACTFIRSTNAME]],", ",sales_data_sample[[#This Row],[CONTACTLASTNAME]]))</f>
        <v>Pirkko, Koskitalo</v>
      </c>
      <c r="AA1805" s="1" t="s">
        <v>40</v>
      </c>
    </row>
    <row r="1806" spans="1:27" x14ac:dyDescent="0.25">
      <c r="A1806" s="10">
        <v>10253</v>
      </c>
      <c r="B1806" s="9">
        <v>40</v>
      </c>
      <c r="C1806" s="9">
        <v>4267</v>
      </c>
      <c r="D1806" s="9">
        <f>PRODUCT(sales_data_sample[[#This Row],[QUANTITYORDERED]],sales_data_sample[[#This Row],[PRICEEACH]])</f>
        <v>170680</v>
      </c>
      <c r="E1806" s="9">
        <f>IF(OR(sales_data_sample[[#This Row],[STATUS]]="Shipped",sales_data_sample[[#This Row],[STATUS]]="Resolved"),sales_data_sample[[#This Row],[SALES]],0)</f>
        <v>0</v>
      </c>
      <c r="F1806" s="10">
        <v>7</v>
      </c>
      <c r="G1806" s="12" t="s">
        <v>630</v>
      </c>
      <c r="H1806" s="1" t="s">
        <v>461</v>
      </c>
      <c r="I1806">
        <v>2</v>
      </c>
      <c r="J1806">
        <v>6</v>
      </c>
      <c r="K1806">
        <v>2004</v>
      </c>
      <c r="L1806" s="1" t="s">
        <v>239</v>
      </c>
      <c r="M1806">
        <v>37</v>
      </c>
      <c r="N1806" s="1" t="s">
        <v>967</v>
      </c>
      <c r="O1806" s="1" t="s">
        <v>220</v>
      </c>
      <c r="P1806" s="1" t="s">
        <v>221</v>
      </c>
      <c r="Q1806" s="1" t="s">
        <v>222</v>
      </c>
      <c r="R1806" s="1" t="s">
        <v>32</v>
      </c>
      <c r="S1806" s="1" t="s">
        <v>223</v>
      </c>
      <c r="T1806" s="1" t="s">
        <v>32</v>
      </c>
      <c r="U1806" s="1" t="s">
        <v>224</v>
      </c>
      <c r="V1806" s="1" t="s">
        <v>225</v>
      </c>
      <c r="W1806" s="1" t="s">
        <v>48</v>
      </c>
      <c r="X1806" s="1" t="s">
        <v>226</v>
      </c>
      <c r="Y1806" s="1" t="s">
        <v>227</v>
      </c>
      <c r="Z1806" s="1" t="str">
        <f>TRIM(_xlfn.CONCAT(sales_data_sample[[#This Row],[CONTACTFIRSTNAME]],", ",sales_data_sample[[#This Row],[CONTACTLASTNAME]]))</f>
        <v>Elizabeth, Devon</v>
      </c>
      <c r="AA1806" s="1" t="s">
        <v>40</v>
      </c>
    </row>
    <row r="1807" spans="1:27" x14ac:dyDescent="0.25">
      <c r="A1807" s="10">
        <v>10266</v>
      </c>
      <c r="B1807" s="9">
        <v>34</v>
      </c>
      <c r="C1807" s="9">
        <v>404</v>
      </c>
      <c r="D1807" s="9">
        <f>PRODUCT(sales_data_sample[[#This Row],[QUANTITYORDERED]],sales_data_sample[[#This Row],[PRICEEACH]])</f>
        <v>13736</v>
      </c>
      <c r="E1807" s="9">
        <f>IF(OR(sales_data_sample[[#This Row],[STATUS]]="Shipped",sales_data_sample[[#This Row],[STATUS]]="Resolved"),sales_data_sample[[#This Row],[SALES]],0)</f>
        <v>13736</v>
      </c>
      <c r="F1807" s="10">
        <v>8</v>
      </c>
      <c r="G1807" s="12" t="s">
        <v>631</v>
      </c>
      <c r="H1807" s="1" t="s">
        <v>26</v>
      </c>
      <c r="I1807">
        <v>3</v>
      </c>
      <c r="J1807">
        <v>7</v>
      </c>
      <c r="K1807">
        <v>2004</v>
      </c>
      <c r="L1807" s="1" t="s">
        <v>239</v>
      </c>
      <c r="M1807">
        <v>37</v>
      </c>
      <c r="N1807" s="1" t="s">
        <v>967</v>
      </c>
      <c r="O1807" s="1" t="s">
        <v>632</v>
      </c>
      <c r="P1807" s="1" t="s">
        <v>633</v>
      </c>
      <c r="Q1807" s="1" t="s">
        <v>634</v>
      </c>
      <c r="R1807" s="1" t="s">
        <v>32</v>
      </c>
      <c r="S1807" s="1" t="s">
        <v>635</v>
      </c>
      <c r="T1807" s="1" t="s">
        <v>32</v>
      </c>
      <c r="U1807" s="1" t="s">
        <v>636</v>
      </c>
      <c r="V1807" s="1" t="s">
        <v>343</v>
      </c>
      <c r="W1807" s="1" t="s">
        <v>48</v>
      </c>
      <c r="X1807" s="1" t="s">
        <v>637</v>
      </c>
      <c r="Y1807" s="1" t="s">
        <v>638</v>
      </c>
      <c r="Z1807" s="1" t="str">
        <f>TRIM(_xlfn.CONCAT(sales_data_sample[[#This Row],[CONTACTFIRSTNAME]],", ",sales_data_sample[[#This Row],[CONTACTLASTNAME]]))</f>
        <v>Maurizio, Moroni</v>
      </c>
      <c r="AA1807" s="1" t="s">
        <v>40</v>
      </c>
    </row>
    <row r="1808" spans="1:27" x14ac:dyDescent="0.25">
      <c r="A1808" s="10">
        <v>10278</v>
      </c>
      <c r="B1808" s="9">
        <v>31</v>
      </c>
      <c r="C1808" s="9">
        <v>3889</v>
      </c>
      <c r="D1808" s="9">
        <f>PRODUCT(sales_data_sample[[#This Row],[QUANTITYORDERED]],sales_data_sample[[#This Row],[PRICEEACH]])</f>
        <v>120559</v>
      </c>
      <c r="E1808" s="9">
        <f>IF(OR(sales_data_sample[[#This Row],[STATUS]]="Shipped",sales_data_sample[[#This Row],[STATUS]]="Resolved"),sales_data_sample[[#This Row],[SALES]],0)</f>
        <v>120559</v>
      </c>
      <c r="F1808" s="10">
        <v>8</v>
      </c>
      <c r="G1808" s="12" t="s">
        <v>778</v>
      </c>
      <c r="H1808" s="1" t="s">
        <v>26</v>
      </c>
      <c r="I1808">
        <v>3</v>
      </c>
      <c r="J1808">
        <v>8</v>
      </c>
      <c r="K1808">
        <v>2004</v>
      </c>
      <c r="L1808" s="1" t="s">
        <v>239</v>
      </c>
      <c r="M1808">
        <v>37</v>
      </c>
      <c r="N1808" s="1" t="s">
        <v>967</v>
      </c>
      <c r="O1808" s="1" t="s">
        <v>779</v>
      </c>
      <c r="P1808" s="1" t="s">
        <v>780</v>
      </c>
      <c r="Q1808" s="1" t="s">
        <v>781</v>
      </c>
      <c r="R1808" s="1" t="s">
        <v>32</v>
      </c>
      <c r="S1808" s="1" t="s">
        <v>782</v>
      </c>
      <c r="T1808" s="1" t="s">
        <v>783</v>
      </c>
      <c r="U1808" s="1" t="s">
        <v>784</v>
      </c>
      <c r="V1808" s="1" t="s">
        <v>36</v>
      </c>
      <c r="W1808" s="1" t="s">
        <v>37</v>
      </c>
      <c r="X1808" s="1" t="s">
        <v>146</v>
      </c>
      <c r="Y1808" s="1" t="s">
        <v>551</v>
      </c>
      <c r="Z1808" s="1" t="str">
        <f>TRIM(_xlfn.CONCAT(sales_data_sample[[#This Row],[CONTACTFIRSTNAME]],", ",sales_data_sample[[#This Row],[CONTACTLASTNAME]]))</f>
        <v>Sue, King</v>
      </c>
      <c r="AA1808" s="1" t="s">
        <v>40</v>
      </c>
    </row>
    <row r="1809" spans="1:27" x14ac:dyDescent="0.25">
      <c r="A1809" s="10">
        <v>10287</v>
      </c>
      <c r="B1809" s="9">
        <v>36</v>
      </c>
      <c r="C1809" s="9">
        <v>3965</v>
      </c>
      <c r="D1809" s="9">
        <f>PRODUCT(sales_data_sample[[#This Row],[QUANTITYORDERED]],sales_data_sample[[#This Row],[PRICEEACH]])</f>
        <v>142740</v>
      </c>
      <c r="E1809" s="9">
        <f>IF(OR(sales_data_sample[[#This Row],[STATUS]]="Shipped",sales_data_sample[[#This Row],[STATUS]]="Resolved"),sales_data_sample[[#This Row],[SALES]],0)</f>
        <v>142740</v>
      </c>
      <c r="F1809" s="10">
        <v>6</v>
      </c>
      <c r="G1809" s="12" t="s">
        <v>645</v>
      </c>
      <c r="H1809" s="1" t="s">
        <v>26</v>
      </c>
      <c r="I1809">
        <v>3</v>
      </c>
      <c r="J1809">
        <v>8</v>
      </c>
      <c r="K1809">
        <v>2004</v>
      </c>
      <c r="L1809" s="1" t="s">
        <v>239</v>
      </c>
      <c r="M1809">
        <v>37</v>
      </c>
      <c r="N1809" s="1" t="s">
        <v>967</v>
      </c>
      <c r="O1809" s="1" t="s">
        <v>622</v>
      </c>
      <c r="P1809" s="1" t="s">
        <v>623</v>
      </c>
      <c r="Q1809" s="1" t="s">
        <v>624</v>
      </c>
      <c r="R1809" s="1" t="s">
        <v>32</v>
      </c>
      <c r="S1809" s="1" t="s">
        <v>625</v>
      </c>
      <c r="T1809" s="1" t="s">
        <v>32</v>
      </c>
      <c r="U1809" s="1" t="s">
        <v>626</v>
      </c>
      <c r="V1809" s="1" t="s">
        <v>627</v>
      </c>
      <c r="W1809" s="1" t="s">
        <v>48</v>
      </c>
      <c r="X1809" s="1" t="s">
        <v>628</v>
      </c>
      <c r="Y1809" s="1" t="s">
        <v>130</v>
      </c>
      <c r="Z1809" s="1" t="str">
        <f>TRIM(_xlfn.CONCAT(sales_data_sample[[#This Row],[CONTACTFIRSTNAME]],", ",sales_data_sample[[#This Row],[CONTACTLASTNAME]]))</f>
        <v>Michael, Holz</v>
      </c>
      <c r="AA1809" s="1" t="s">
        <v>40</v>
      </c>
    </row>
    <row r="1810" spans="1:27" x14ac:dyDescent="0.25">
      <c r="A1810" s="10">
        <v>10301</v>
      </c>
      <c r="B1810" s="9">
        <v>48</v>
      </c>
      <c r="C1810" s="9">
        <v>3436</v>
      </c>
      <c r="D1810" s="9">
        <f>PRODUCT(sales_data_sample[[#This Row],[QUANTITYORDERED]],sales_data_sample[[#This Row],[PRICEEACH]])</f>
        <v>164928</v>
      </c>
      <c r="E1810" s="9">
        <f>IF(OR(sales_data_sample[[#This Row],[STATUS]]="Shipped",sales_data_sample[[#This Row],[STATUS]]="Resolved"),sales_data_sample[[#This Row],[SALES]],0)</f>
        <v>164928</v>
      </c>
      <c r="F1810" s="10">
        <v>10</v>
      </c>
      <c r="G1810" s="12" t="s">
        <v>785</v>
      </c>
      <c r="H1810" s="1" t="s">
        <v>26</v>
      </c>
      <c r="I1810">
        <v>4</v>
      </c>
      <c r="J1810">
        <v>10</v>
      </c>
      <c r="K1810">
        <v>2003</v>
      </c>
      <c r="L1810" s="1" t="s">
        <v>239</v>
      </c>
      <c r="M1810">
        <v>37</v>
      </c>
      <c r="N1810" s="1" t="s">
        <v>967</v>
      </c>
      <c r="O1810" s="1" t="s">
        <v>786</v>
      </c>
      <c r="P1810" s="1" t="s">
        <v>787</v>
      </c>
      <c r="Q1810" s="1" t="s">
        <v>788</v>
      </c>
      <c r="R1810" s="1" t="s">
        <v>32</v>
      </c>
      <c r="S1810" s="1" t="s">
        <v>789</v>
      </c>
      <c r="T1810" s="1" t="s">
        <v>32</v>
      </c>
      <c r="U1810" s="1" t="s">
        <v>790</v>
      </c>
      <c r="V1810" s="1" t="s">
        <v>97</v>
      </c>
      <c r="W1810" s="1" t="s">
        <v>48</v>
      </c>
      <c r="X1810" s="1" t="s">
        <v>791</v>
      </c>
      <c r="Y1810" s="1" t="s">
        <v>792</v>
      </c>
      <c r="Z1810" s="1" t="str">
        <f>TRIM(_xlfn.CONCAT(sales_data_sample[[#This Row],[CONTACTFIRSTNAME]],", ",sales_data_sample[[#This Row],[CONTACTLASTNAME]]))</f>
        <v>Jan, Klaeboe</v>
      </c>
      <c r="AA1810" s="1" t="s">
        <v>40</v>
      </c>
    </row>
    <row r="1811" spans="1:27" x14ac:dyDescent="0.25">
      <c r="A1811" s="10">
        <v>10310</v>
      </c>
      <c r="B1811" s="9">
        <v>33</v>
      </c>
      <c r="C1811" s="9">
        <v>4191</v>
      </c>
      <c r="D1811" s="9">
        <f>PRODUCT(sales_data_sample[[#This Row],[QUANTITYORDERED]],sales_data_sample[[#This Row],[PRICEEACH]])</f>
        <v>138303</v>
      </c>
      <c r="E1811" s="9">
        <f>IF(OR(sales_data_sample[[#This Row],[STATUS]]="Shipped",sales_data_sample[[#This Row],[STATUS]]="Resolved"),sales_data_sample[[#This Row],[SALES]],0)</f>
        <v>138303</v>
      </c>
      <c r="F1811" s="10">
        <v>4</v>
      </c>
      <c r="G1811" s="12" t="s">
        <v>653</v>
      </c>
      <c r="H1811" s="1" t="s">
        <v>26</v>
      </c>
      <c r="I1811">
        <v>4</v>
      </c>
      <c r="J1811">
        <v>10</v>
      </c>
      <c r="K1811">
        <v>2004</v>
      </c>
      <c r="L1811" s="1" t="s">
        <v>239</v>
      </c>
      <c r="M1811">
        <v>37</v>
      </c>
      <c r="N1811" s="1" t="s">
        <v>967</v>
      </c>
      <c r="O1811" s="1" t="s">
        <v>612</v>
      </c>
      <c r="P1811" s="1" t="s">
        <v>613</v>
      </c>
      <c r="Q1811" s="1" t="s">
        <v>614</v>
      </c>
      <c r="R1811" s="1" t="s">
        <v>32</v>
      </c>
      <c r="S1811" s="1" t="s">
        <v>615</v>
      </c>
      <c r="T1811" s="1" t="s">
        <v>32</v>
      </c>
      <c r="U1811" s="1" t="s">
        <v>616</v>
      </c>
      <c r="V1811" s="1" t="s">
        <v>617</v>
      </c>
      <c r="W1811" s="1" t="s">
        <v>48</v>
      </c>
      <c r="X1811" s="1" t="s">
        <v>618</v>
      </c>
      <c r="Y1811" s="1" t="s">
        <v>619</v>
      </c>
      <c r="Z1811" s="1" t="str">
        <f>TRIM(_xlfn.CONCAT(sales_data_sample[[#This Row],[CONTACTFIRSTNAME]],", ",sales_data_sample[[#This Row],[CONTACTLASTNAME]]))</f>
        <v>Henriette, Pfalzheim</v>
      </c>
      <c r="AA1811" s="1" t="s">
        <v>40</v>
      </c>
    </row>
    <row r="1812" spans="1:27" x14ac:dyDescent="0.25">
      <c r="A1812" s="10">
        <v>10321</v>
      </c>
      <c r="B1812" s="9">
        <v>37</v>
      </c>
      <c r="C1812" s="9">
        <v>3323</v>
      </c>
      <c r="D1812" s="9">
        <f>PRODUCT(sales_data_sample[[#This Row],[QUANTITYORDERED]],sales_data_sample[[#This Row],[PRICEEACH]])</f>
        <v>122951</v>
      </c>
      <c r="E1812" s="9">
        <f>IF(OR(sales_data_sample[[#This Row],[STATUS]]="Shipped",sales_data_sample[[#This Row],[STATUS]]="Resolved"),sales_data_sample[[#This Row],[SALES]],0)</f>
        <v>122951</v>
      </c>
      <c r="F1812" s="10">
        <v>12</v>
      </c>
      <c r="G1812" s="12" t="s">
        <v>367</v>
      </c>
      <c r="H1812" s="1" t="s">
        <v>26</v>
      </c>
      <c r="I1812">
        <v>4</v>
      </c>
      <c r="J1812">
        <v>11</v>
      </c>
      <c r="K1812">
        <v>2004</v>
      </c>
      <c r="L1812" s="1" t="s">
        <v>239</v>
      </c>
      <c r="M1812">
        <v>37</v>
      </c>
      <c r="N1812" s="1" t="s">
        <v>967</v>
      </c>
      <c r="O1812" s="1" t="s">
        <v>212</v>
      </c>
      <c r="P1812" s="1" t="s">
        <v>213</v>
      </c>
      <c r="Q1812" s="1" t="s">
        <v>214</v>
      </c>
      <c r="R1812" s="1" t="s">
        <v>32</v>
      </c>
      <c r="S1812" s="1" t="s">
        <v>215</v>
      </c>
      <c r="T1812" s="1" t="s">
        <v>160</v>
      </c>
      <c r="U1812" s="1" t="s">
        <v>216</v>
      </c>
      <c r="V1812" s="1" t="s">
        <v>36</v>
      </c>
      <c r="W1812" s="1" t="s">
        <v>37</v>
      </c>
      <c r="X1812" s="1" t="s">
        <v>217</v>
      </c>
      <c r="Y1812" s="1" t="s">
        <v>218</v>
      </c>
      <c r="Z1812" s="1" t="str">
        <f>TRIM(_xlfn.CONCAT(sales_data_sample[[#This Row],[CONTACTFIRSTNAME]],", ",sales_data_sample[[#This Row],[CONTACTLASTNAME]]))</f>
        <v>Violeta, Benitez</v>
      </c>
      <c r="AA1812" s="1" t="s">
        <v>40</v>
      </c>
    </row>
    <row r="1813" spans="1:27" x14ac:dyDescent="0.25">
      <c r="A1813" s="10">
        <v>10331</v>
      </c>
      <c r="B1813" s="9">
        <v>27</v>
      </c>
      <c r="C1813" s="9">
        <v>4224</v>
      </c>
      <c r="D1813" s="9">
        <f>PRODUCT(sales_data_sample[[#This Row],[QUANTITYORDERED]],sales_data_sample[[#This Row],[PRICEEACH]])</f>
        <v>114048</v>
      </c>
      <c r="E1813" s="9">
        <f>IF(OR(sales_data_sample[[#This Row],[STATUS]]="Shipped",sales_data_sample[[#This Row],[STATUS]]="Resolved"),sales_data_sample[[#This Row],[SALES]],0)</f>
        <v>114048</v>
      </c>
      <c r="F1813" s="10">
        <v>13</v>
      </c>
      <c r="G1813" s="12" t="s">
        <v>793</v>
      </c>
      <c r="H1813" s="1" t="s">
        <v>26</v>
      </c>
      <c r="I1813">
        <v>4</v>
      </c>
      <c r="J1813">
        <v>11</v>
      </c>
      <c r="K1813">
        <v>2004</v>
      </c>
      <c r="L1813" s="1" t="s">
        <v>239</v>
      </c>
      <c r="M1813">
        <v>37</v>
      </c>
      <c r="N1813" s="1" t="s">
        <v>967</v>
      </c>
      <c r="O1813" s="1" t="s">
        <v>415</v>
      </c>
      <c r="P1813" s="1" t="s">
        <v>416</v>
      </c>
      <c r="Q1813" s="1" t="s">
        <v>417</v>
      </c>
      <c r="R1813" s="1" t="s">
        <v>32</v>
      </c>
      <c r="S1813" s="1" t="s">
        <v>286</v>
      </c>
      <c r="T1813" s="1" t="s">
        <v>186</v>
      </c>
      <c r="U1813" s="1" t="s">
        <v>287</v>
      </c>
      <c r="V1813" s="1" t="s">
        <v>36</v>
      </c>
      <c r="W1813" s="1" t="s">
        <v>37</v>
      </c>
      <c r="X1813" s="1" t="s">
        <v>162</v>
      </c>
      <c r="Y1813" s="1" t="s">
        <v>418</v>
      </c>
      <c r="Z1813" s="1" t="str">
        <f>TRIM(_xlfn.CONCAT(sales_data_sample[[#This Row],[CONTACTFIRSTNAME]],", ",sales_data_sample[[#This Row],[CONTACTLASTNAME]]))</f>
        <v>Rosa, Hernandez</v>
      </c>
      <c r="AA1813" s="1" t="s">
        <v>40</v>
      </c>
    </row>
    <row r="1814" spans="1:27" x14ac:dyDescent="0.25">
      <c r="A1814">
        <v>10342</v>
      </c>
      <c r="B1814">
        <v>39</v>
      </c>
      <c r="C1814">
        <v>404</v>
      </c>
      <c r="D1814">
        <f>PRODUCT(sales_data_sample[[#This Row],[QUANTITYORDERED]],sales_data_sample[[#This Row],[PRICEEACH]])</f>
        <v>15756</v>
      </c>
      <c r="E1814" s="9">
        <f>IF(OR(sales_data_sample[[#This Row],[STATUS]]="Shipped",sales_data_sample[[#This Row],[STATUS]]="Resolved"),sales_data_sample[[#This Row],[SALES]],0)</f>
        <v>15756</v>
      </c>
      <c r="F1814">
        <v>9</v>
      </c>
      <c r="G1814" s="12" t="s">
        <v>190</v>
      </c>
      <c r="H1814" s="1" t="s">
        <v>26</v>
      </c>
      <c r="I1814">
        <v>4</v>
      </c>
      <c r="J1814">
        <v>11</v>
      </c>
      <c r="K1814">
        <v>2004</v>
      </c>
      <c r="L1814" s="1" t="s">
        <v>239</v>
      </c>
      <c r="M1814">
        <v>37</v>
      </c>
      <c r="N1814" s="1" t="s">
        <v>967</v>
      </c>
      <c r="O1814" s="1" t="s">
        <v>113</v>
      </c>
      <c r="P1814" s="1" t="s">
        <v>114</v>
      </c>
      <c r="Q1814" s="1" t="s">
        <v>115</v>
      </c>
      <c r="R1814" s="1" t="s">
        <v>116</v>
      </c>
      <c r="S1814" s="1" t="s">
        <v>117</v>
      </c>
      <c r="T1814" s="1" t="s">
        <v>118</v>
      </c>
      <c r="U1814" s="1" t="s">
        <v>119</v>
      </c>
      <c r="V1814" s="1" t="s">
        <v>120</v>
      </c>
      <c r="W1814" s="1" t="s">
        <v>121</v>
      </c>
      <c r="X1814" s="1" t="s">
        <v>122</v>
      </c>
      <c r="Y1814" s="1" t="s">
        <v>123</v>
      </c>
      <c r="Z1814" s="1" t="str">
        <f>TRIM(_xlfn.CONCAT(sales_data_sample[[#This Row],[CONTACTFIRSTNAME]],", ",sales_data_sample[[#This Row],[CONTACTLASTNAME]]))</f>
        <v>Peter, Ferguson</v>
      </c>
      <c r="AA1814" s="1" t="s">
        <v>40</v>
      </c>
    </row>
    <row r="1815" spans="1:27" x14ac:dyDescent="0.25">
      <c r="A1815" s="10">
        <v>10355</v>
      </c>
      <c r="B1815" s="9">
        <v>36</v>
      </c>
      <c r="C1815" s="9">
        <v>3852</v>
      </c>
      <c r="D1815" s="9">
        <f>PRODUCT(sales_data_sample[[#This Row],[QUANTITYORDERED]],sales_data_sample[[#This Row],[PRICEEACH]])</f>
        <v>138672</v>
      </c>
      <c r="E1815" s="9">
        <f>IF(OR(sales_data_sample[[#This Row],[STATUS]]="Shipped",sales_data_sample[[#This Row],[STATUS]]="Resolved"),sales_data_sample[[#This Row],[SALES]],0)</f>
        <v>138672</v>
      </c>
      <c r="F1815" s="10">
        <v>4</v>
      </c>
      <c r="G1815" s="12" t="s">
        <v>928</v>
      </c>
      <c r="H1815" s="1" t="s">
        <v>26</v>
      </c>
      <c r="I1815">
        <v>4</v>
      </c>
      <c r="J1815">
        <v>12</v>
      </c>
      <c r="K1815">
        <v>2004</v>
      </c>
      <c r="L1815" s="1" t="s">
        <v>239</v>
      </c>
      <c r="M1815">
        <v>37</v>
      </c>
      <c r="N1815" s="1" t="s">
        <v>967</v>
      </c>
      <c r="O1815" s="1" t="s">
        <v>230</v>
      </c>
      <c r="P1815" s="1" t="s">
        <v>231</v>
      </c>
      <c r="Q1815" s="1" t="s">
        <v>232</v>
      </c>
      <c r="R1815" s="1" t="s">
        <v>32</v>
      </c>
      <c r="S1815" s="1" t="s">
        <v>233</v>
      </c>
      <c r="T1815" s="1" t="s">
        <v>32</v>
      </c>
      <c r="U1815" s="1" t="s">
        <v>234</v>
      </c>
      <c r="V1815" s="1" t="s">
        <v>235</v>
      </c>
      <c r="W1815" s="1" t="s">
        <v>48</v>
      </c>
      <c r="X1815" s="1" t="s">
        <v>236</v>
      </c>
      <c r="Y1815" s="1" t="s">
        <v>237</v>
      </c>
      <c r="Z1815" s="1" t="str">
        <f>TRIM(_xlfn.CONCAT(sales_data_sample[[#This Row],[CONTACTFIRSTNAME]],", ",sales_data_sample[[#This Row],[CONTACTLASTNAME]]))</f>
        <v>Diego, Freyre</v>
      </c>
      <c r="AA1815" s="1" t="s">
        <v>40</v>
      </c>
    </row>
    <row r="1816" spans="1:27" x14ac:dyDescent="0.25">
      <c r="A1816" s="10">
        <v>10367</v>
      </c>
      <c r="B1816" s="9">
        <v>36</v>
      </c>
      <c r="C1816" s="9">
        <v>100</v>
      </c>
      <c r="D1816" s="9">
        <f>PRODUCT(sales_data_sample[[#This Row],[QUANTITYORDERED]],sales_data_sample[[#This Row],[PRICEEACH]])</f>
        <v>3600</v>
      </c>
      <c r="E1816" s="9">
        <f>IF(OR(sales_data_sample[[#This Row],[STATUS]]="Shipped",sales_data_sample[[#This Row],[STATUS]]="Resolved"),sales_data_sample[[#This Row],[SALES]],0)</f>
        <v>3600</v>
      </c>
      <c r="F1816" s="10">
        <v>2</v>
      </c>
      <c r="G1816" s="12" t="s">
        <v>835</v>
      </c>
      <c r="H1816" s="1" t="s">
        <v>563</v>
      </c>
      <c r="I1816">
        <v>1</v>
      </c>
      <c r="J1816">
        <v>1</v>
      </c>
      <c r="K1816">
        <v>2005</v>
      </c>
      <c r="L1816" s="1" t="s">
        <v>239</v>
      </c>
      <c r="M1816">
        <v>37</v>
      </c>
      <c r="N1816" s="1" t="s">
        <v>967</v>
      </c>
      <c r="O1816" s="1" t="s">
        <v>61</v>
      </c>
      <c r="P1816" s="1" t="s">
        <v>62</v>
      </c>
      <c r="Q1816" s="1" t="s">
        <v>63</v>
      </c>
      <c r="R1816" s="1" t="s">
        <v>32</v>
      </c>
      <c r="S1816" s="1" t="s">
        <v>64</v>
      </c>
      <c r="T1816" s="1" t="s">
        <v>65</v>
      </c>
      <c r="U1816" s="1" t="s">
        <v>66</v>
      </c>
      <c r="V1816" s="1" t="s">
        <v>36</v>
      </c>
      <c r="W1816" s="1" t="s">
        <v>37</v>
      </c>
      <c r="X1816" s="1" t="s">
        <v>67</v>
      </c>
      <c r="Y1816" s="1" t="s">
        <v>68</v>
      </c>
      <c r="Z1816" s="1" t="str">
        <f>TRIM(_xlfn.CONCAT(sales_data_sample[[#This Row],[CONTACTFIRSTNAME]],", ",sales_data_sample[[#This Row],[CONTACTLASTNAME]]))</f>
        <v>Julie, Young</v>
      </c>
      <c r="AA1816" s="1" t="s">
        <v>59</v>
      </c>
    </row>
    <row r="1817" spans="1:27" x14ac:dyDescent="0.25">
      <c r="A1817" s="10">
        <v>10378</v>
      </c>
      <c r="B1817" s="9">
        <v>41</v>
      </c>
      <c r="C1817" s="9">
        <v>100</v>
      </c>
      <c r="D1817" s="9">
        <f>PRODUCT(sales_data_sample[[#This Row],[QUANTITYORDERED]],sales_data_sample[[#This Row],[PRICEEACH]])</f>
        <v>4100</v>
      </c>
      <c r="E1817" s="9">
        <f>IF(OR(sales_data_sample[[#This Row],[STATUS]]="Shipped",sales_data_sample[[#This Row],[STATUS]]="Resolved"),sales_data_sample[[#This Row],[SALES]],0)</f>
        <v>4100</v>
      </c>
      <c r="F1817" s="10">
        <v>7</v>
      </c>
      <c r="G1817" s="12" t="s">
        <v>836</v>
      </c>
      <c r="H1817" s="1" t="s">
        <v>26</v>
      </c>
      <c r="I1817">
        <v>1</v>
      </c>
      <c r="J1817">
        <v>2</v>
      </c>
      <c r="K1817">
        <v>2005</v>
      </c>
      <c r="L1817" s="1" t="s">
        <v>239</v>
      </c>
      <c r="M1817">
        <v>37</v>
      </c>
      <c r="N1817" s="1" t="s">
        <v>967</v>
      </c>
      <c r="O1817" s="1" t="s">
        <v>230</v>
      </c>
      <c r="P1817" s="1" t="s">
        <v>231</v>
      </c>
      <c r="Q1817" s="1" t="s">
        <v>232</v>
      </c>
      <c r="R1817" s="1" t="s">
        <v>32</v>
      </c>
      <c r="S1817" s="1" t="s">
        <v>233</v>
      </c>
      <c r="T1817" s="1" t="s">
        <v>32</v>
      </c>
      <c r="U1817" s="1" t="s">
        <v>234</v>
      </c>
      <c r="V1817" s="1" t="s">
        <v>235</v>
      </c>
      <c r="W1817" s="1" t="s">
        <v>48</v>
      </c>
      <c r="X1817" s="1" t="s">
        <v>236</v>
      </c>
      <c r="Y1817" s="1" t="s">
        <v>237</v>
      </c>
      <c r="Z1817" s="1" t="str">
        <f>TRIM(_xlfn.CONCAT(sales_data_sample[[#This Row],[CONTACTFIRSTNAME]],", ",sales_data_sample[[#This Row],[CONTACTLASTNAME]]))</f>
        <v>Diego, Freyre</v>
      </c>
      <c r="AA1817" s="1" t="s">
        <v>59</v>
      </c>
    </row>
    <row r="1818" spans="1:27" x14ac:dyDescent="0.25">
      <c r="A1818" s="10">
        <v>10390</v>
      </c>
      <c r="B1818" s="9">
        <v>37</v>
      </c>
      <c r="C1818" s="9">
        <v>100</v>
      </c>
      <c r="D1818" s="9">
        <f>PRODUCT(sales_data_sample[[#This Row],[QUANTITYORDERED]],sales_data_sample[[#This Row],[PRICEEACH]])</f>
        <v>3700</v>
      </c>
      <c r="E1818" s="9">
        <f>IF(OR(sales_data_sample[[#This Row],[STATUS]]="Shipped",sales_data_sample[[#This Row],[STATUS]]="Resolved"),sales_data_sample[[#This Row],[SALES]],0)</f>
        <v>3700</v>
      </c>
      <c r="F1818" s="10">
        <v>5</v>
      </c>
      <c r="G1818" s="12" t="s">
        <v>796</v>
      </c>
      <c r="H1818" s="1" t="s">
        <v>26</v>
      </c>
      <c r="I1818">
        <v>1</v>
      </c>
      <c r="J1818">
        <v>3</v>
      </c>
      <c r="K1818">
        <v>2005</v>
      </c>
      <c r="L1818" s="1" t="s">
        <v>239</v>
      </c>
      <c r="M1818">
        <v>37</v>
      </c>
      <c r="N1818" s="1" t="s">
        <v>967</v>
      </c>
      <c r="O1818" s="1" t="s">
        <v>361</v>
      </c>
      <c r="P1818" s="1" t="s">
        <v>362</v>
      </c>
      <c r="Q1818" s="1" t="s">
        <v>363</v>
      </c>
      <c r="R1818" s="1" t="s">
        <v>32</v>
      </c>
      <c r="S1818" s="1" t="s">
        <v>364</v>
      </c>
      <c r="T1818" s="1" t="s">
        <v>65</v>
      </c>
      <c r="U1818" s="1" t="s">
        <v>145</v>
      </c>
      <c r="V1818" s="1" t="s">
        <v>36</v>
      </c>
      <c r="W1818" s="1" t="s">
        <v>37</v>
      </c>
      <c r="X1818" s="1" t="s">
        <v>365</v>
      </c>
      <c r="Y1818" s="1" t="s">
        <v>366</v>
      </c>
      <c r="Z1818" s="1" t="str">
        <f>TRIM(_xlfn.CONCAT(sales_data_sample[[#This Row],[CONTACTFIRSTNAME]],", ",sales_data_sample[[#This Row],[CONTACTLASTNAME]]))</f>
        <v>Valarie, Nelson</v>
      </c>
      <c r="AA1818" s="1" t="s">
        <v>59</v>
      </c>
    </row>
    <row r="1819" spans="1:27" x14ac:dyDescent="0.25">
      <c r="A1819" s="10">
        <v>10405</v>
      </c>
      <c r="B1819" s="9">
        <v>47</v>
      </c>
      <c r="C1819" s="9">
        <v>4456</v>
      </c>
      <c r="D1819" s="9">
        <f>PRODUCT(sales_data_sample[[#This Row],[QUANTITYORDERED]],sales_data_sample[[#This Row],[PRICEEACH]])</f>
        <v>209432</v>
      </c>
      <c r="E1819" s="9">
        <f>IF(OR(sales_data_sample[[#This Row],[STATUS]]="Shipped",sales_data_sample[[#This Row],[STATUS]]="Resolved"),sales_data_sample[[#This Row],[SALES]],0)</f>
        <v>209432</v>
      </c>
      <c r="F1819" s="10">
        <v>2</v>
      </c>
      <c r="G1819" s="12" t="s">
        <v>762</v>
      </c>
      <c r="H1819" s="1" t="s">
        <v>26</v>
      </c>
      <c r="I1819">
        <v>2</v>
      </c>
      <c r="J1819">
        <v>4</v>
      </c>
      <c r="K1819">
        <v>2005</v>
      </c>
      <c r="L1819" s="1" t="s">
        <v>239</v>
      </c>
      <c r="M1819">
        <v>37</v>
      </c>
      <c r="N1819" s="1" t="s">
        <v>967</v>
      </c>
      <c r="O1819" s="1" t="s">
        <v>763</v>
      </c>
      <c r="P1819" s="1" t="s">
        <v>764</v>
      </c>
      <c r="Q1819" s="1" t="s">
        <v>765</v>
      </c>
      <c r="R1819" s="1" t="s">
        <v>32</v>
      </c>
      <c r="S1819" s="1" t="s">
        <v>766</v>
      </c>
      <c r="T1819" s="1" t="s">
        <v>32</v>
      </c>
      <c r="U1819" s="1" t="s">
        <v>767</v>
      </c>
      <c r="V1819" s="1" t="s">
        <v>47</v>
      </c>
      <c r="W1819" s="1" t="s">
        <v>48</v>
      </c>
      <c r="X1819" s="1" t="s">
        <v>768</v>
      </c>
      <c r="Y1819" s="1" t="s">
        <v>769</v>
      </c>
      <c r="Z1819" s="1" t="str">
        <f>TRIM(_xlfn.CONCAT(sales_data_sample[[#This Row],[CONTACTFIRSTNAME]],", ",sales_data_sample[[#This Row],[CONTACTLASTNAME]]))</f>
        <v>Frederique, Citeaux</v>
      </c>
      <c r="AA1819" s="1" t="s">
        <v>40</v>
      </c>
    </row>
    <row r="1820" spans="1:27" x14ac:dyDescent="0.25">
      <c r="A1820" s="10">
        <v>10419</v>
      </c>
      <c r="B1820" s="9">
        <v>15</v>
      </c>
      <c r="C1820" s="9">
        <v>4267</v>
      </c>
      <c r="D1820" s="9">
        <f>PRODUCT(sales_data_sample[[#This Row],[QUANTITYORDERED]],sales_data_sample[[#This Row],[PRICEEACH]])</f>
        <v>64005</v>
      </c>
      <c r="E1820" s="9">
        <f>IF(OR(sales_data_sample[[#This Row],[STATUS]]="Shipped",sales_data_sample[[#This Row],[STATUS]]="Resolved"),sales_data_sample[[#This Row],[SALES]],0)</f>
        <v>64005</v>
      </c>
      <c r="F1820" s="10">
        <v>7</v>
      </c>
      <c r="G1820" s="12" t="s">
        <v>663</v>
      </c>
      <c r="H1820" s="1" t="s">
        <v>26</v>
      </c>
      <c r="I1820">
        <v>2</v>
      </c>
      <c r="J1820">
        <v>5</v>
      </c>
      <c r="K1820">
        <v>2005</v>
      </c>
      <c r="L1820" s="1" t="s">
        <v>239</v>
      </c>
      <c r="M1820">
        <v>37</v>
      </c>
      <c r="N1820" s="1" t="s">
        <v>967</v>
      </c>
      <c r="O1820" s="1" t="s">
        <v>191</v>
      </c>
      <c r="P1820" s="1" t="s">
        <v>192</v>
      </c>
      <c r="Q1820" s="1" t="s">
        <v>193</v>
      </c>
      <c r="R1820" s="1" t="s">
        <v>32</v>
      </c>
      <c r="S1820" s="1" t="s">
        <v>194</v>
      </c>
      <c r="T1820" s="1" t="s">
        <v>32</v>
      </c>
      <c r="U1820" s="1" t="s">
        <v>195</v>
      </c>
      <c r="V1820" s="1" t="s">
        <v>196</v>
      </c>
      <c r="W1820" s="1" t="s">
        <v>48</v>
      </c>
      <c r="X1820" s="1" t="s">
        <v>197</v>
      </c>
      <c r="Y1820" s="1" t="s">
        <v>198</v>
      </c>
      <c r="Z1820" s="1" t="str">
        <f>TRIM(_xlfn.CONCAT(sales_data_sample[[#This Row],[CONTACTFIRSTNAME]],", ",sales_data_sample[[#This Row],[CONTACTLASTNAME]]))</f>
        <v>Georg, Pipps</v>
      </c>
      <c r="AA1820" s="1" t="s">
        <v>40</v>
      </c>
    </row>
    <row r="1821" spans="1:27" x14ac:dyDescent="0.25">
      <c r="A1821" s="10">
        <v>10105</v>
      </c>
      <c r="B1821" s="9">
        <v>44</v>
      </c>
      <c r="C1821" s="9">
        <v>7258</v>
      </c>
      <c r="D1821" s="9">
        <f>PRODUCT(sales_data_sample[[#This Row],[QUANTITYORDERED]],sales_data_sample[[#This Row],[PRICEEACH]])</f>
        <v>319352</v>
      </c>
      <c r="E1821" s="9">
        <f>IF(OR(sales_data_sample[[#This Row],[STATUS]]="Shipped",sales_data_sample[[#This Row],[STATUS]]="Resolved"),sales_data_sample[[#This Row],[SALES]],0)</f>
        <v>319352</v>
      </c>
      <c r="F1821" s="10">
        <v>4</v>
      </c>
      <c r="G1821" s="12" t="s">
        <v>435</v>
      </c>
      <c r="H1821" s="1" t="s">
        <v>26</v>
      </c>
      <c r="I1821">
        <v>1</v>
      </c>
      <c r="J1821">
        <v>2</v>
      </c>
      <c r="K1821">
        <v>2003</v>
      </c>
      <c r="L1821" s="1" t="s">
        <v>799</v>
      </c>
      <c r="M1821">
        <v>88</v>
      </c>
      <c r="N1821" s="1" t="s">
        <v>968</v>
      </c>
      <c r="O1821" s="1" t="s">
        <v>437</v>
      </c>
      <c r="P1821" s="1" t="s">
        <v>438</v>
      </c>
      <c r="Q1821" s="1" t="s">
        <v>439</v>
      </c>
      <c r="R1821" s="1" t="s">
        <v>32</v>
      </c>
      <c r="S1821" s="1" t="s">
        <v>440</v>
      </c>
      <c r="T1821" s="1" t="s">
        <v>32</v>
      </c>
      <c r="U1821" s="1" t="s">
        <v>441</v>
      </c>
      <c r="V1821" s="1" t="s">
        <v>442</v>
      </c>
      <c r="W1821" s="1" t="s">
        <v>48</v>
      </c>
      <c r="X1821" s="1" t="s">
        <v>443</v>
      </c>
      <c r="Y1821" s="1" t="s">
        <v>444</v>
      </c>
      <c r="Z1821" s="1" t="str">
        <f>TRIM(_xlfn.CONCAT(sales_data_sample[[#This Row],[CONTACTFIRSTNAME]],", ",sales_data_sample[[#This Row],[CONTACTLASTNAME]]))</f>
        <v>Jytte, Petersen</v>
      </c>
      <c r="AA1821" s="1" t="s">
        <v>59</v>
      </c>
    </row>
    <row r="1822" spans="1:27" x14ac:dyDescent="0.25">
      <c r="A1822" s="10">
        <v>10119</v>
      </c>
      <c r="B1822" s="9">
        <v>35</v>
      </c>
      <c r="C1822" s="9">
        <v>8762</v>
      </c>
      <c r="D1822" s="9">
        <f>PRODUCT(sales_data_sample[[#This Row],[QUANTITYORDERED]],sales_data_sample[[#This Row],[PRICEEACH]])</f>
        <v>306670</v>
      </c>
      <c r="E1822" s="9">
        <f>IF(OR(sales_data_sample[[#This Row],[STATUS]]="Shipped",sales_data_sample[[#This Row],[STATUS]]="Resolved"),sales_data_sample[[#This Row],[SALES]],0)</f>
        <v>306670</v>
      </c>
      <c r="F1822" s="10">
        <v>13</v>
      </c>
      <c r="G1822" s="12" t="s">
        <v>445</v>
      </c>
      <c r="H1822" s="1" t="s">
        <v>26</v>
      </c>
      <c r="I1822">
        <v>2</v>
      </c>
      <c r="J1822">
        <v>4</v>
      </c>
      <c r="K1822">
        <v>2003</v>
      </c>
      <c r="L1822" s="1" t="s">
        <v>799</v>
      </c>
      <c r="M1822">
        <v>88</v>
      </c>
      <c r="N1822" s="1" t="s">
        <v>968</v>
      </c>
      <c r="O1822" s="1" t="s">
        <v>191</v>
      </c>
      <c r="P1822" s="1" t="s">
        <v>192</v>
      </c>
      <c r="Q1822" s="1" t="s">
        <v>193</v>
      </c>
      <c r="R1822" s="1" t="s">
        <v>32</v>
      </c>
      <c r="S1822" s="1" t="s">
        <v>194</v>
      </c>
      <c r="T1822" s="1" t="s">
        <v>32</v>
      </c>
      <c r="U1822" s="1" t="s">
        <v>195</v>
      </c>
      <c r="V1822" s="1" t="s">
        <v>196</v>
      </c>
      <c r="W1822" s="1" t="s">
        <v>48</v>
      </c>
      <c r="X1822" s="1" t="s">
        <v>197</v>
      </c>
      <c r="Y1822" s="1" t="s">
        <v>198</v>
      </c>
      <c r="Z1822" s="1" t="str">
        <f>TRIM(_xlfn.CONCAT(sales_data_sample[[#This Row],[CONTACTFIRSTNAME]],", ",sales_data_sample[[#This Row],[CONTACTLASTNAME]]))</f>
        <v>Georg, Pipps</v>
      </c>
      <c r="AA1822" s="1" t="s">
        <v>59</v>
      </c>
    </row>
    <row r="1823" spans="1:27" x14ac:dyDescent="0.25">
      <c r="A1823" s="10">
        <v>10129</v>
      </c>
      <c r="B1823" s="9">
        <v>41</v>
      </c>
      <c r="C1823" s="9">
        <v>9471</v>
      </c>
      <c r="D1823" s="9">
        <f>PRODUCT(sales_data_sample[[#This Row],[QUANTITYORDERED]],sales_data_sample[[#This Row],[PRICEEACH]])</f>
        <v>388311</v>
      </c>
      <c r="E1823" s="9">
        <f>IF(OR(sales_data_sample[[#This Row],[STATUS]]="Shipped",sales_data_sample[[#This Row],[STATUS]]="Resolved"),sales_data_sample[[#This Row],[SALES]],0)</f>
        <v>388311</v>
      </c>
      <c r="F1823" s="10">
        <v>4</v>
      </c>
      <c r="G1823" s="12" t="s">
        <v>446</v>
      </c>
      <c r="H1823" s="1" t="s">
        <v>26</v>
      </c>
      <c r="I1823">
        <v>2</v>
      </c>
      <c r="J1823">
        <v>6</v>
      </c>
      <c r="K1823">
        <v>2003</v>
      </c>
      <c r="L1823" s="1" t="s">
        <v>799</v>
      </c>
      <c r="M1823">
        <v>88</v>
      </c>
      <c r="N1823" s="1" t="s">
        <v>968</v>
      </c>
      <c r="O1823" s="1" t="s">
        <v>447</v>
      </c>
      <c r="P1823" s="1" t="s">
        <v>448</v>
      </c>
      <c r="Q1823" s="1" t="s">
        <v>449</v>
      </c>
      <c r="R1823" s="1" t="s">
        <v>32</v>
      </c>
      <c r="S1823" s="1" t="s">
        <v>450</v>
      </c>
      <c r="T1823" s="1" t="s">
        <v>32</v>
      </c>
      <c r="U1823" s="1" t="s">
        <v>451</v>
      </c>
      <c r="V1823" s="1" t="s">
        <v>225</v>
      </c>
      <c r="W1823" s="1" t="s">
        <v>48</v>
      </c>
      <c r="X1823" s="1" t="s">
        <v>74</v>
      </c>
      <c r="Y1823" s="1" t="s">
        <v>452</v>
      </c>
      <c r="Z1823" s="1" t="str">
        <f>TRIM(_xlfn.CONCAT(sales_data_sample[[#This Row],[CONTACTFIRSTNAME]],", ",sales_data_sample[[#This Row],[CONTACTLASTNAME]]))</f>
        <v>Ann, Brown</v>
      </c>
      <c r="AA1823" s="1" t="s">
        <v>59</v>
      </c>
    </row>
    <row r="1824" spans="1:27" x14ac:dyDescent="0.25">
      <c r="A1824" s="10">
        <v>10142</v>
      </c>
      <c r="B1824" s="9">
        <v>49</v>
      </c>
      <c r="C1824" s="9">
        <v>9825</v>
      </c>
      <c r="D1824" s="9">
        <f>PRODUCT(sales_data_sample[[#This Row],[QUANTITYORDERED]],sales_data_sample[[#This Row],[PRICEEACH]])</f>
        <v>481425</v>
      </c>
      <c r="E1824" s="9">
        <f>IF(OR(sales_data_sample[[#This Row],[STATUS]]="Shipped",sales_data_sample[[#This Row],[STATUS]]="Resolved"),sales_data_sample[[#This Row],[SALES]],0)</f>
        <v>481425</v>
      </c>
      <c r="F1824" s="10">
        <v>1</v>
      </c>
      <c r="G1824" s="12" t="s">
        <v>672</v>
      </c>
      <c r="H1824" s="1" t="s">
        <v>26</v>
      </c>
      <c r="I1824">
        <v>3</v>
      </c>
      <c r="J1824">
        <v>8</v>
      </c>
      <c r="K1824">
        <v>2003</v>
      </c>
      <c r="L1824" s="1" t="s">
        <v>799</v>
      </c>
      <c r="M1824">
        <v>88</v>
      </c>
      <c r="N1824" s="1" t="s">
        <v>968</v>
      </c>
      <c r="O1824" s="1" t="s">
        <v>361</v>
      </c>
      <c r="P1824" s="1" t="s">
        <v>362</v>
      </c>
      <c r="Q1824" s="1" t="s">
        <v>363</v>
      </c>
      <c r="R1824" s="1" t="s">
        <v>32</v>
      </c>
      <c r="S1824" s="1" t="s">
        <v>364</v>
      </c>
      <c r="T1824" s="1" t="s">
        <v>65</v>
      </c>
      <c r="U1824" s="1" t="s">
        <v>145</v>
      </c>
      <c r="V1824" s="1" t="s">
        <v>36</v>
      </c>
      <c r="W1824" s="1" t="s">
        <v>37</v>
      </c>
      <c r="X1824" s="1" t="s">
        <v>365</v>
      </c>
      <c r="Y1824" s="1" t="s">
        <v>366</v>
      </c>
      <c r="Z1824" s="1" t="str">
        <f>TRIM(_xlfn.CONCAT(sales_data_sample[[#This Row],[CONTACTFIRSTNAME]],", ",sales_data_sample[[#This Row],[CONTACTLASTNAME]]))</f>
        <v>Valarie, Nelson</v>
      </c>
      <c r="AA1824" s="1" t="s">
        <v>59</v>
      </c>
    </row>
    <row r="1825" spans="1:27" x14ac:dyDescent="0.25">
      <c r="A1825" s="10">
        <v>10154</v>
      </c>
      <c r="B1825" s="9">
        <v>31</v>
      </c>
      <c r="C1825" s="9">
        <v>9117</v>
      </c>
      <c r="D1825" s="9">
        <f>PRODUCT(sales_data_sample[[#This Row],[QUANTITYORDERED]],sales_data_sample[[#This Row],[PRICEEACH]])</f>
        <v>282627</v>
      </c>
      <c r="E1825" s="9">
        <f>IF(OR(sales_data_sample[[#This Row],[STATUS]]="Shipped",sales_data_sample[[#This Row],[STATUS]]="Resolved"),sales_data_sample[[#This Row],[SALES]],0)</f>
        <v>282627</v>
      </c>
      <c r="F1825" s="10">
        <v>2</v>
      </c>
      <c r="G1825" s="12" t="s">
        <v>969</v>
      </c>
      <c r="H1825" s="1" t="s">
        <v>26</v>
      </c>
      <c r="I1825">
        <v>4</v>
      </c>
      <c r="J1825">
        <v>10</v>
      </c>
      <c r="K1825">
        <v>2003</v>
      </c>
      <c r="L1825" s="1" t="s">
        <v>799</v>
      </c>
      <c r="M1825">
        <v>88</v>
      </c>
      <c r="N1825" s="1" t="s">
        <v>968</v>
      </c>
      <c r="O1825" s="1" t="s">
        <v>731</v>
      </c>
      <c r="P1825" s="1" t="s">
        <v>732</v>
      </c>
      <c r="Q1825" s="1" t="s">
        <v>733</v>
      </c>
      <c r="R1825" s="1" t="s">
        <v>32</v>
      </c>
      <c r="S1825" s="1" t="s">
        <v>734</v>
      </c>
      <c r="T1825" s="1" t="s">
        <v>65</v>
      </c>
      <c r="U1825" s="1" t="s">
        <v>735</v>
      </c>
      <c r="V1825" s="1" t="s">
        <v>36</v>
      </c>
      <c r="W1825" s="1" t="s">
        <v>37</v>
      </c>
      <c r="X1825" s="1" t="s">
        <v>67</v>
      </c>
      <c r="Y1825" s="1" t="s">
        <v>326</v>
      </c>
      <c r="Z1825" s="1" t="str">
        <f>TRIM(_xlfn.CONCAT(sales_data_sample[[#This Row],[CONTACTFIRSTNAME]],", ",sales_data_sample[[#This Row],[CONTACTLASTNAME]]))</f>
        <v>Leslie, Young</v>
      </c>
      <c r="AA1825" s="1" t="s">
        <v>40</v>
      </c>
    </row>
    <row r="1826" spans="1:27" x14ac:dyDescent="0.25">
      <c r="A1826" s="10">
        <v>10167</v>
      </c>
      <c r="B1826" s="9">
        <v>20</v>
      </c>
      <c r="C1826" s="9">
        <v>7966</v>
      </c>
      <c r="D1826" s="9">
        <f>PRODUCT(sales_data_sample[[#This Row],[QUANTITYORDERED]],sales_data_sample[[#This Row],[PRICEEACH]])</f>
        <v>159320</v>
      </c>
      <c r="E1826" s="9">
        <f>IF(OR(sales_data_sample[[#This Row],[STATUS]]="Shipped",sales_data_sample[[#This Row],[STATUS]]="Resolved"),sales_data_sample[[#This Row],[SALES]],0)</f>
        <v>0</v>
      </c>
      <c r="F1826" s="10">
        <v>11</v>
      </c>
      <c r="G1826" s="12" t="s">
        <v>460</v>
      </c>
      <c r="H1826" s="1" t="s">
        <v>461</v>
      </c>
      <c r="I1826">
        <v>4</v>
      </c>
      <c r="J1826">
        <v>10</v>
      </c>
      <c r="K1826">
        <v>2003</v>
      </c>
      <c r="L1826" s="1" t="s">
        <v>799</v>
      </c>
      <c r="M1826">
        <v>88</v>
      </c>
      <c r="N1826" s="1" t="s">
        <v>968</v>
      </c>
      <c r="O1826" s="1" t="s">
        <v>347</v>
      </c>
      <c r="P1826" s="1" t="s">
        <v>348</v>
      </c>
      <c r="Q1826" s="1" t="s">
        <v>349</v>
      </c>
      <c r="R1826" s="1" t="s">
        <v>32</v>
      </c>
      <c r="S1826" s="1" t="s">
        <v>350</v>
      </c>
      <c r="T1826" s="1" t="s">
        <v>32</v>
      </c>
      <c r="U1826" s="1" t="s">
        <v>351</v>
      </c>
      <c r="V1826" s="1" t="s">
        <v>247</v>
      </c>
      <c r="W1826" s="1" t="s">
        <v>48</v>
      </c>
      <c r="X1826" s="1" t="s">
        <v>352</v>
      </c>
      <c r="Y1826" s="1" t="s">
        <v>272</v>
      </c>
      <c r="Z1826" s="1" t="str">
        <f>TRIM(_xlfn.CONCAT(sales_data_sample[[#This Row],[CONTACTFIRSTNAME]],", ",sales_data_sample[[#This Row],[CONTACTLASTNAME]]))</f>
        <v>Maria, Larsson</v>
      </c>
      <c r="AA1826" s="1" t="s">
        <v>40</v>
      </c>
    </row>
    <row r="1827" spans="1:27" x14ac:dyDescent="0.25">
      <c r="A1827" s="10">
        <v>10177</v>
      </c>
      <c r="B1827" s="9">
        <v>45</v>
      </c>
      <c r="C1827" s="9">
        <v>7258</v>
      </c>
      <c r="D1827" s="9">
        <f>PRODUCT(sales_data_sample[[#This Row],[QUANTITYORDERED]],sales_data_sample[[#This Row],[PRICEEACH]])</f>
        <v>326610</v>
      </c>
      <c r="E1827" s="9">
        <f>IF(OR(sales_data_sample[[#This Row],[STATUS]]="Shipped",sales_data_sample[[#This Row],[STATUS]]="Resolved"),sales_data_sample[[#This Row],[SALES]],0)</f>
        <v>326610</v>
      </c>
      <c r="F1827" s="10">
        <v>2</v>
      </c>
      <c r="G1827" s="12" t="s">
        <v>913</v>
      </c>
      <c r="H1827" s="1" t="s">
        <v>26</v>
      </c>
      <c r="I1827">
        <v>4</v>
      </c>
      <c r="J1827">
        <v>11</v>
      </c>
      <c r="K1827">
        <v>2003</v>
      </c>
      <c r="L1827" s="1" t="s">
        <v>799</v>
      </c>
      <c r="M1827">
        <v>88</v>
      </c>
      <c r="N1827" s="1" t="s">
        <v>968</v>
      </c>
      <c r="O1827" s="1" t="s">
        <v>687</v>
      </c>
      <c r="P1827" s="1" t="s">
        <v>688</v>
      </c>
      <c r="Q1827" s="1" t="s">
        <v>689</v>
      </c>
      <c r="R1827" s="1" t="s">
        <v>32</v>
      </c>
      <c r="S1827" s="1" t="s">
        <v>233</v>
      </c>
      <c r="T1827" s="1" t="s">
        <v>32</v>
      </c>
      <c r="U1827" s="1" t="s">
        <v>254</v>
      </c>
      <c r="V1827" s="1" t="s">
        <v>235</v>
      </c>
      <c r="W1827" s="1" t="s">
        <v>48</v>
      </c>
      <c r="X1827" s="1" t="s">
        <v>690</v>
      </c>
      <c r="Y1827" s="1" t="s">
        <v>691</v>
      </c>
      <c r="Z1827" s="1" t="str">
        <f>TRIM(_xlfn.CONCAT(sales_data_sample[[#This Row],[CONTACTFIRSTNAME]],", ",sales_data_sample[[#This Row],[CONTACTLASTNAME]]))</f>
        <v>Jesus, Fernandez</v>
      </c>
      <c r="AA1827" s="1" t="s">
        <v>59</v>
      </c>
    </row>
    <row r="1828" spans="1:27" x14ac:dyDescent="0.25">
      <c r="A1828" s="10">
        <v>10185</v>
      </c>
      <c r="B1828" s="9">
        <v>33</v>
      </c>
      <c r="C1828" s="9">
        <v>7435</v>
      </c>
      <c r="D1828" s="9">
        <f>PRODUCT(sales_data_sample[[#This Row],[QUANTITYORDERED]],sales_data_sample[[#This Row],[PRICEEACH]])</f>
        <v>245355</v>
      </c>
      <c r="E1828" s="9">
        <f>IF(OR(sales_data_sample[[#This Row],[STATUS]]="Shipped",sales_data_sample[[#This Row],[STATUS]]="Resolved"),sales_data_sample[[#This Row],[SALES]],0)</f>
        <v>245355</v>
      </c>
      <c r="F1828" s="10">
        <v>2</v>
      </c>
      <c r="G1828" s="12" t="s">
        <v>470</v>
      </c>
      <c r="H1828" s="1" t="s">
        <v>26</v>
      </c>
      <c r="I1828">
        <v>4</v>
      </c>
      <c r="J1828">
        <v>11</v>
      </c>
      <c r="K1828">
        <v>2003</v>
      </c>
      <c r="L1828" s="1" t="s">
        <v>799</v>
      </c>
      <c r="M1828">
        <v>88</v>
      </c>
      <c r="N1828" s="1" t="s">
        <v>968</v>
      </c>
      <c r="O1828" s="1" t="s">
        <v>454</v>
      </c>
      <c r="P1828" s="1" t="s">
        <v>455</v>
      </c>
      <c r="Q1828" s="1" t="s">
        <v>456</v>
      </c>
      <c r="R1828" s="1" t="s">
        <v>32</v>
      </c>
      <c r="S1828" s="1" t="s">
        <v>215</v>
      </c>
      <c r="T1828" s="1" t="s">
        <v>160</v>
      </c>
      <c r="U1828" s="1" t="s">
        <v>216</v>
      </c>
      <c r="V1828" s="1" t="s">
        <v>36</v>
      </c>
      <c r="W1828" s="1" t="s">
        <v>37</v>
      </c>
      <c r="X1828" s="1" t="s">
        <v>457</v>
      </c>
      <c r="Y1828" s="1" t="s">
        <v>458</v>
      </c>
      <c r="Z1828" s="1" t="str">
        <f>TRIM(_xlfn.CONCAT(sales_data_sample[[#This Row],[CONTACTFIRSTNAME]],", ",sales_data_sample[[#This Row],[CONTACTLASTNAME]]))</f>
        <v>Wing C, Tam</v>
      </c>
      <c r="AA1828" s="1" t="s">
        <v>40</v>
      </c>
    </row>
    <row r="1829" spans="1:27" x14ac:dyDescent="0.25">
      <c r="A1829" s="10">
        <v>10197</v>
      </c>
      <c r="B1829" s="9">
        <v>47</v>
      </c>
      <c r="C1829" s="9">
        <v>832</v>
      </c>
      <c r="D1829" s="9">
        <f>PRODUCT(sales_data_sample[[#This Row],[QUANTITYORDERED]],sales_data_sample[[#This Row],[PRICEEACH]])</f>
        <v>39104</v>
      </c>
      <c r="E1829" s="9">
        <f>IF(OR(sales_data_sample[[#This Row],[STATUS]]="Shipped",sales_data_sample[[#This Row],[STATUS]]="Resolved"),sales_data_sample[[#This Row],[SALES]],0)</f>
        <v>39104</v>
      </c>
      <c r="F1829" s="10">
        <v>8</v>
      </c>
      <c r="G1829" s="12" t="s">
        <v>477</v>
      </c>
      <c r="H1829" s="1" t="s">
        <v>26</v>
      </c>
      <c r="I1829">
        <v>4</v>
      </c>
      <c r="J1829">
        <v>11</v>
      </c>
      <c r="K1829">
        <v>2003</v>
      </c>
      <c r="L1829" s="1" t="s">
        <v>799</v>
      </c>
      <c r="M1829">
        <v>88</v>
      </c>
      <c r="N1829" s="1" t="s">
        <v>968</v>
      </c>
      <c r="O1829" s="1" t="s">
        <v>478</v>
      </c>
      <c r="P1829" s="1" t="s">
        <v>479</v>
      </c>
      <c r="Q1829" s="1" t="s">
        <v>480</v>
      </c>
      <c r="R1829" s="1" t="s">
        <v>32</v>
      </c>
      <c r="S1829" s="1" t="s">
        <v>481</v>
      </c>
      <c r="T1829" s="1" t="s">
        <v>32</v>
      </c>
      <c r="U1829" s="1" t="s">
        <v>482</v>
      </c>
      <c r="V1829" s="1" t="s">
        <v>235</v>
      </c>
      <c r="W1829" s="1" t="s">
        <v>48</v>
      </c>
      <c r="X1829" s="1" t="s">
        <v>483</v>
      </c>
      <c r="Y1829" s="1" t="s">
        <v>484</v>
      </c>
      <c r="Z1829" s="1" t="str">
        <f>TRIM(_xlfn.CONCAT(sales_data_sample[[#This Row],[CONTACTFIRSTNAME]],", ",sales_data_sample[[#This Row],[CONTACTLASTNAME]]))</f>
        <v>Eduardo, Saavedra</v>
      </c>
      <c r="AA1829" s="1" t="s">
        <v>59</v>
      </c>
    </row>
    <row r="1830" spans="1:27" x14ac:dyDescent="0.25">
      <c r="A1830" s="10">
        <v>10208</v>
      </c>
      <c r="B1830" s="9">
        <v>20</v>
      </c>
      <c r="C1830" s="9">
        <v>894</v>
      </c>
      <c r="D1830" s="9">
        <f>PRODUCT(sales_data_sample[[#This Row],[QUANTITYORDERED]],sales_data_sample[[#This Row],[PRICEEACH]])</f>
        <v>17880</v>
      </c>
      <c r="E1830" s="9">
        <f>IF(OR(sales_data_sample[[#This Row],[STATUS]]="Shipped",sales_data_sample[[#This Row],[STATUS]]="Resolved"),sales_data_sample[[#This Row],[SALES]],0)</f>
        <v>17880</v>
      </c>
      <c r="F1830" s="10">
        <v>2</v>
      </c>
      <c r="G1830" s="12" t="s">
        <v>675</v>
      </c>
      <c r="H1830" s="1" t="s">
        <v>26</v>
      </c>
      <c r="I1830">
        <v>1</v>
      </c>
      <c r="J1830">
        <v>1</v>
      </c>
      <c r="K1830">
        <v>2004</v>
      </c>
      <c r="L1830" s="1" t="s">
        <v>799</v>
      </c>
      <c r="M1830">
        <v>88</v>
      </c>
      <c r="N1830" s="1" t="s">
        <v>968</v>
      </c>
      <c r="O1830" s="1" t="s">
        <v>291</v>
      </c>
      <c r="P1830" s="1" t="s">
        <v>292</v>
      </c>
      <c r="Q1830" s="1" t="s">
        <v>293</v>
      </c>
      <c r="R1830" s="1" t="s">
        <v>32</v>
      </c>
      <c r="S1830" s="1" t="s">
        <v>294</v>
      </c>
      <c r="T1830" s="1" t="s">
        <v>32</v>
      </c>
      <c r="U1830" s="1" t="s">
        <v>295</v>
      </c>
      <c r="V1830" s="1" t="s">
        <v>47</v>
      </c>
      <c r="W1830" s="1" t="s">
        <v>48</v>
      </c>
      <c r="X1830" s="1" t="s">
        <v>296</v>
      </c>
      <c r="Y1830" s="1" t="s">
        <v>297</v>
      </c>
      <c r="Z1830" s="1" t="str">
        <f>TRIM(_xlfn.CONCAT(sales_data_sample[[#This Row],[CONTACTFIRSTNAME]],", ",sales_data_sample[[#This Row],[CONTACTLASTNAME]]))</f>
        <v>Mary, Saveley</v>
      </c>
      <c r="AA1830" s="1" t="s">
        <v>40</v>
      </c>
    </row>
    <row r="1831" spans="1:27" x14ac:dyDescent="0.25">
      <c r="A1831" s="10">
        <v>10222</v>
      </c>
      <c r="B1831" s="9">
        <v>47</v>
      </c>
      <c r="C1831" s="9">
        <v>7081</v>
      </c>
      <c r="D1831" s="9">
        <f>PRODUCT(sales_data_sample[[#This Row],[QUANTITYORDERED]],sales_data_sample[[#This Row],[PRICEEACH]])</f>
        <v>332807</v>
      </c>
      <c r="E1831" s="9">
        <f>IF(OR(sales_data_sample[[#This Row],[STATUS]]="Shipped",sales_data_sample[[#This Row],[STATUS]]="Resolved"),sales_data_sample[[#This Row],[SALES]],0)</f>
        <v>332807</v>
      </c>
      <c r="F1831" s="10">
        <v>14</v>
      </c>
      <c r="G1831" s="12" t="s">
        <v>491</v>
      </c>
      <c r="H1831" s="1" t="s">
        <v>26</v>
      </c>
      <c r="I1831">
        <v>1</v>
      </c>
      <c r="J1831">
        <v>2</v>
      </c>
      <c r="K1831">
        <v>2004</v>
      </c>
      <c r="L1831" s="1" t="s">
        <v>799</v>
      </c>
      <c r="M1831">
        <v>88</v>
      </c>
      <c r="N1831" s="1" t="s">
        <v>968</v>
      </c>
      <c r="O1831" s="1" t="s">
        <v>492</v>
      </c>
      <c r="P1831" s="1" t="s">
        <v>493</v>
      </c>
      <c r="Q1831" s="1" t="s">
        <v>494</v>
      </c>
      <c r="R1831" s="1" t="s">
        <v>32</v>
      </c>
      <c r="S1831" s="1" t="s">
        <v>495</v>
      </c>
      <c r="T1831" s="1" t="s">
        <v>65</v>
      </c>
      <c r="U1831" s="1" t="s">
        <v>496</v>
      </c>
      <c r="V1831" s="1" t="s">
        <v>36</v>
      </c>
      <c r="W1831" s="1" t="s">
        <v>37</v>
      </c>
      <c r="X1831" s="1" t="s">
        <v>313</v>
      </c>
      <c r="Y1831" s="1" t="s">
        <v>366</v>
      </c>
      <c r="Z1831" s="1" t="str">
        <f>TRIM(_xlfn.CONCAT(sales_data_sample[[#This Row],[CONTACTFIRSTNAME]],", ",sales_data_sample[[#This Row],[CONTACTLASTNAME]]))</f>
        <v>Valarie, Thompson</v>
      </c>
      <c r="AA1831" s="1" t="s">
        <v>59</v>
      </c>
    </row>
    <row r="1832" spans="1:27" x14ac:dyDescent="0.25">
      <c r="A1832" s="10">
        <v>10233</v>
      </c>
      <c r="B1832" s="9">
        <v>40</v>
      </c>
      <c r="C1832" s="9">
        <v>9471</v>
      </c>
      <c r="D1832" s="9">
        <f>PRODUCT(sales_data_sample[[#This Row],[QUANTITYORDERED]],sales_data_sample[[#This Row],[PRICEEACH]])</f>
        <v>378840</v>
      </c>
      <c r="E1832" s="9">
        <f>IF(OR(sales_data_sample[[#This Row],[STATUS]]="Shipped",sales_data_sample[[#This Row],[STATUS]]="Resolved"),sales_data_sample[[#This Row],[SALES]],0)</f>
        <v>378840</v>
      </c>
      <c r="F1832" s="10">
        <v>2</v>
      </c>
      <c r="G1832" s="12" t="s">
        <v>970</v>
      </c>
      <c r="H1832" s="1" t="s">
        <v>26</v>
      </c>
      <c r="I1832">
        <v>1</v>
      </c>
      <c r="J1832">
        <v>3</v>
      </c>
      <c r="K1832">
        <v>2004</v>
      </c>
      <c r="L1832" s="1" t="s">
        <v>799</v>
      </c>
      <c r="M1832">
        <v>88</v>
      </c>
      <c r="N1832" s="1" t="s">
        <v>968</v>
      </c>
      <c r="O1832" s="1" t="s">
        <v>132</v>
      </c>
      <c r="P1832" s="1" t="s">
        <v>133</v>
      </c>
      <c r="Q1832" s="1" t="s">
        <v>134</v>
      </c>
      <c r="R1832" s="1" t="s">
        <v>32</v>
      </c>
      <c r="S1832" s="1" t="s">
        <v>135</v>
      </c>
      <c r="T1832" s="1" t="s">
        <v>136</v>
      </c>
      <c r="U1832" s="1" t="s">
        <v>137</v>
      </c>
      <c r="V1832" s="1" t="s">
        <v>36</v>
      </c>
      <c r="W1832" s="1" t="s">
        <v>37</v>
      </c>
      <c r="X1832" s="1" t="s">
        <v>74</v>
      </c>
      <c r="Y1832" s="1" t="s">
        <v>138</v>
      </c>
      <c r="Z1832" s="1" t="str">
        <f>TRIM(_xlfn.CONCAT(sales_data_sample[[#This Row],[CONTACTFIRSTNAME]],", ",sales_data_sample[[#This Row],[CONTACTLASTNAME]]))</f>
        <v>William, Brown</v>
      </c>
      <c r="AA1832" s="1" t="s">
        <v>59</v>
      </c>
    </row>
    <row r="1833" spans="1:27" x14ac:dyDescent="0.25">
      <c r="A1833" s="10">
        <v>10248</v>
      </c>
      <c r="B1833" s="9">
        <v>30</v>
      </c>
      <c r="C1833" s="9">
        <v>100</v>
      </c>
      <c r="D1833" s="9">
        <f>PRODUCT(sales_data_sample[[#This Row],[QUANTITYORDERED]],sales_data_sample[[#This Row],[PRICEEACH]])</f>
        <v>3000</v>
      </c>
      <c r="E1833" s="9">
        <f>IF(OR(sales_data_sample[[#This Row],[STATUS]]="Shipped",sales_data_sample[[#This Row],[STATUS]]="Resolved"),sales_data_sample[[#This Row],[SALES]],0)</f>
        <v>0</v>
      </c>
      <c r="F1833" s="10">
        <v>5</v>
      </c>
      <c r="G1833" s="12" t="s">
        <v>497</v>
      </c>
      <c r="H1833" s="1" t="s">
        <v>461</v>
      </c>
      <c r="I1833">
        <v>2</v>
      </c>
      <c r="J1833">
        <v>5</v>
      </c>
      <c r="K1833">
        <v>2004</v>
      </c>
      <c r="L1833" s="1" t="s">
        <v>799</v>
      </c>
      <c r="M1833">
        <v>88</v>
      </c>
      <c r="N1833" s="1" t="s">
        <v>968</v>
      </c>
      <c r="O1833" s="1" t="s">
        <v>29</v>
      </c>
      <c r="P1833" s="1" t="s">
        <v>30</v>
      </c>
      <c r="Q1833" s="1" t="s">
        <v>31</v>
      </c>
      <c r="R1833" s="1" t="s">
        <v>32</v>
      </c>
      <c r="S1833" s="1" t="s">
        <v>33</v>
      </c>
      <c r="T1833" s="1" t="s">
        <v>34</v>
      </c>
      <c r="U1833" s="1" t="s">
        <v>35</v>
      </c>
      <c r="V1833" s="1" t="s">
        <v>36</v>
      </c>
      <c r="W1833" s="1" t="s">
        <v>37</v>
      </c>
      <c r="X1833" s="1" t="s">
        <v>38</v>
      </c>
      <c r="Y1833" s="1" t="s">
        <v>39</v>
      </c>
      <c r="Z1833" s="1" t="str">
        <f>TRIM(_xlfn.CONCAT(sales_data_sample[[#This Row],[CONTACTFIRSTNAME]],", ",sales_data_sample[[#This Row],[CONTACTLASTNAME]]))</f>
        <v>Kwai, Yu</v>
      </c>
      <c r="AA1833" s="1" t="s">
        <v>59</v>
      </c>
    </row>
    <row r="1834" spans="1:27" x14ac:dyDescent="0.25">
      <c r="A1834" s="10">
        <v>10261</v>
      </c>
      <c r="B1834" s="9">
        <v>22</v>
      </c>
      <c r="C1834" s="9">
        <v>9117</v>
      </c>
      <c r="D1834" s="9">
        <f>PRODUCT(sales_data_sample[[#This Row],[QUANTITYORDERED]],sales_data_sample[[#This Row],[PRICEEACH]])</f>
        <v>200574</v>
      </c>
      <c r="E1834" s="9">
        <f>IF(OR(sales_data_sample[[#This Row],[STATUS]]="Shipped",sales_data_sample[[#This Row],[STATUS]]="Resolved"),sales_data_sample[[#This Row],[SALES]],0)</f>
        <v>200574</v>
      </c>
      <c r="F1834" s="10">
        <v>3</v>
      </c>
      <c r="G1834" s="12" t="s">
        <v>498</v>
      </c>
      <c r="H1834" s="1" t="s">
        <v>26</v>
      </c>
      <c r="I1834">
        <v>2</v>
      </c>
      <c r="J1834">
        <v>6</v>
      </c>
      <c r="K1834">
        <v>2004</v>
      </c>
      <c r="L1834" s="1" t="s">
        <v>799</v>
      </c>
      <c r="M1834">
        <v>88</v>
      </c>
      <c r="N1834" s="1" t="s">
        <v>968</v>
      </c>
      <c r="O1834" s="1" t="s">
        <v>394</v>
      </c>
      <c r="P1834" s="1" t="s">
        <v>395</v>
      </c>
      <c r="Q1834" s="1" t="s">
        <v>396</v>
      </c>
      <c r="R1834" s="1" t="s">
        <v>32</v>
      </c>
      <c r="S1834" s="1" t="s">
        <v>397</v>
      </c>
      <c r="T1834" s="1" t="s">
        <v>398</v>
      </c>
      <c r="U1834" s="1" t="s">
        <v>399</v>
      </c>
      <c r="V1834" s="1" t="s">
        <v>305</v>
      </c>
      <c r="W1834" s="1" t="s">
        <v>37</v>
      </c>
      <c r="X1834" s="1" t="s">
        <v>400</v>
      </c>
      <c r="Y1834" s="1" t="s">
        <v>401</v>
      </c>
      <c r="Z1834" s="1" t="str">
        <f>TRIM(_xlfn.CONCAT(sales_data_sample[[#This Row],[CONTACTFIRSTNAME]],", ",sales_data_sample[[#This Row],[CONTACTLASTNAME]]))</f>
        <v>Jean, Fresnisre</v>
      </c>
      <c r="AA1834" s="1" t="s">
        <v>40</v>
      </c>
    </row>
    <row r="1835" spans="1:27" x14ac:dyDescent="0.25">
      <c r="A1835" s="10">
        <v>10273</v>
      </c>
      <c r="B1835" s="9">
        <v>27</v>
      </c>
      <c r="C1835" s="9">
        <v>100</v>
      </c>
      <c r="D1835" s="9">
        <f>PRODUCT(sales_data_sample[[#This Row],[QUANTITYORDERED]],sales_data_sample[[#This Row],[PRICEEACH]])</f>
        <v>2700</v>
      </c>
      <c r="E1835" s="9">
        <f>IF(OR(sales_data_sample[[#This Row],[STATUS]]="Shipped",sales_data_sample[[#This Row],[STATUS]]="Resolved"),sales_data_sample[[#This Row],[SALES]],0)</f>
        <v>2700</v>
      </c>
      <c r="F1835" s="10">
        <v>6</v>
      </c>
      <c r="G1835" s="12" t="s">
        <v>499</v>
      </c>
      <c r="H1835" s="1" t="s">
        <v>26</v>
      </c>
      <c r="I1835">
        <v>3</v>
      </c>
      <c r="J1835">
        <v>7</v>
      </c>
      <c r="K1835">
        <v>2004</v>
      </c>
      <c r="L1835" s="1" t="s">
        <v>799</v>
      </c>
      <c r="M1835">
        <v>88</v>
      </c>
      <c r="N1835" s="1" t="s">
        <v>968</v>
      </c>
      <c r="O1835" s="1" t="s">
        <v>500</v>
      </c>
      <c r="P1835" s="1" t="s">
        <v>501</v>
      </c>
      <c r="Q1835" s="1" t="s">
        <v>502</v>
      </c>
      <c r="R1835" s="1" t="s">
        <v>32</v>
      </c>
      <c r="S1835" s="1" t="s">
        <v>503</v>
      </c>
      <c r="T1835" s="1" t="s">
        <v>32</v>
      </c>
      <c r="U1835" s="1" t="s">
        <v>504</v>
      </c>
      <c r="V1835" s="1" t="s">
        <v>505</v>
      </c>
      <c r="W1835" s="1" t="s">
        <v>48</v>
      </c>
      <c r="X1835" s="1" t="s">
        <v>506</v>
      </c>
      <c r="Y1835" s="1" t="s">
        <v>507</v>
      </c>
      <c r="Z1835" s="1" t="str">
        <f>TRIM(_xlfn.CONCAT(sales_data_sample[[#This Row],[CONTACTFIRSTNAME]],", ",sales_data_sample[[#This Row],[CONTACTLASTNAME]]))</f>
        <v>Catherine, Dewey</v>
      </c>
      <c r="AA1835" s="1" t="s">
        <v>40</v>
      </c>
    </row>
    <row r="1836" spans="1:27" x14ac:dyDescent="0.25">
      <c r="A1836" s="10">
        <v>10283</v>
      </c>
      <c r="B1836" s="9">
        <v>34</v>
      </c>
      <c r="C1836" s="9">
        <v>9294</v>
      </c>
      <c r="D1836" s="9">
        <f>PRODUCT(sales_data_sample[[#This Row],[QUANTITYORDERED]],sales_data_sample[[#This Row],[PRICEEACH]])</f>
        <v>315996</v>
      </c>
      <c r="E1836" s="9">
        <f>IF(OR(sales_data_sample[[#This Row],[STATUS]]="Shipped",sales_data_sample[[#This Row],[STATUS]]="Resolved"),sales_data_sample[[#This Row],[SALES]],0)</f>
        <v>315996</v>
      </c>
      <c r="F1836" s="10">
        <v>8</v>
      </c>
      <c r="G1836" s="12" t="s">
        <v>508</v>
      </c>
      <c r="H1836" s="1" t="s">
        <v>26</v>
      </c>
      <c r="I1836">
        <v>3</v>
      </c>
      <c r="J1836">
        <v>8</v>
      </c>
      <c r="K1836">
        <v>2004</v>
      </c>
      <c r="L1836" s="1" t="s">
        <v>799</v>
      </c>
      <c r="M1836">
        <v>88</v>
      </c>
      <c r="N1836" s="1" t="s">
        <v>968</v>
      </c>
      <c r="O1836" s="1" t="s">
        <v>509</v>
      </c>
      <c r="P1836" s="1" t="s">
        <v>510</v>
      </c>
      <c r="Q1836" s="1" t="s">
        <v>511</v>
      </c>
      <c r="R1836" s="1" t="s">
        <v>32</v>
      </c>
      <c r="S1836" s="1" t="s">
        <v>512</v>
      </c>
      <c r="T1836" s="1" t="s">
        <v>303</v>
      </c>
      <c r="U1836" s="1" t="s">
        <v>513</v>
      </c>
      <c r="V1836" s="1" t="s">
        <v>305</v>
      </c>
      <c r="W1836" s="1" t="s">
        <v>37</v>
      </c>
      <c r="X1836" s="1" t="s">
        <v>514</v>
      </c>
      <c r="Y1836" s="1" t="s">
        <v>227</v>
      </c>
      <c r="Z1836" s="1" t="str">
        <f>TRIM(_xlfn.CONCAT(sales_data_sample[[#This Row],[CONTACTFIRSTNAME]],", ",sales_data_sample[[#This Row],[CONTACTLASTNAME]]))</f>
        <v>Elizabeth, Lincoln</v>
      </c>
      <c r="AA1836" s="1" t="s">
        <v>59</v>
      </c>
    </row>
    <row r="1837" spans="1:27" x14ac:dyDescent="0.25">
      <c r="A1837" s="10">
        <v>10295</v>
      </c>
      <c r="B1837" s="9">
        <v>46</v>
      </c>
      <c r="C1837" s="9">
        <v>8497</v>
      </c>
      <c r="D1837" s="9">
        <f>PRODUCT(sales_data_sample[[#This Row],[QUANTITYORDERED]],sales_data_sample[[#This Row],[PRICEEACH]])</f>
        <v>390862</v>
      </c>
      <c r="E1837" s="9">
        <f>IF(OR(sales_data_sample[[#This Row],[STATUS]]="Shipped",sales_data_sample[[#This Row],[STATUS]]="Resolved"),sales_data_sample[[#This Row],[SALES]],0)</f>
        <v>390862</v>
      </c>
      <c r="F1837" s="10">
        <v>3</v>
      </c>
      <c r="G1837" s="12" t="s">
        <v>515</v>
      </c>
      <c r="H1837" s="1" t="s">
        <v>26</v>
      </c>
      <c r="I1837">
        <v>3</v>
      </c>
      <c r="J1837">
        <v>9</v>
      </c>
      <c r="K1837">
        <v>2004</v>
      </c>
      <c r="L1837" s="1" t="s">
        <v>799</v>
      </c>
      <c r="M1837">
        <v>88</v>
      </c>
      <c r="N1837" s="1" t="s">
        <v>968</v>
      </c>
      <c r="O1837" s="1" t="s">
        <v>516</v>
      </c>
      <c r="P1837" s="1" t="s">
        <v>517</v>
      </c>
      <c r="Q1837" s="1" t="s">
        <v>518</v>
      </c>
      <c r="R1837" s="1" t="s">
        <v>32</v>
      </c>
      <c r="S1837" s="1" t="s">
        <v>519</v>
      </c>
      <c r="T1837" s="1" t="s">
        <v>160</v>
      </c>
      <c r="U1837" s="1" t="s">
        <v>520</v>
      </c>
      <c r="V1837" s="1" t="s">
        <v>36</v>
      </c>
      <c r="W1837" s="1" t="s">
        <v>37</v>
      </c>
      <c r="X1837" s="1" t="s">
        <v>521</v>
      </c>
      <c r="Y1837" s="1" t="s">
        <v>82</v>
      </c>
      <c r="Z1837" s="1" t="str">
        <f>TRIM(_xlfn.CONCAT(sales_data_sample[[#This Row],[CONTACTFIRSTNAME]],", ",sales_data_sample[[#This Row],[CONTACTLASTNAME]]))</f>
        <v>Juri, Yoshido</v>
      </c>
      <c r="AA1837" s="1" t="s">
        <v>59</v>
      </c>
    </row>
    <row r="1838" spans="1:27" x14ac:dyDescent="0.25">
      <c r="A1838" s="10">
        <v>10306</v>
      </c>
      <c r="B1838" s="9">
        <v>31</v>
      </c>
      <c r="C1838" s="9">
        <v>8408</v>
      </c>
      <c r="D1838" s="9">
        <f>PRODUCT(sales_data_sample[[#This Row],[QUANTITYORDERED]],sales_data_sample[[#This Row],[PRICEEACH]])</f>
        <v>260648</v>
      </c>
      <c r="E1838" s="9">
        <f>IF(OR(sales_data_sample[[#This Row],[STATUS]]="Shipped",sales_data_sample[[#This Row],[STATUS]]="Resolved"),sales_data_sample[[#This Row],[SALES]],0)</f>
        <v>260648</v>
      </c>
      <c r="F1838" s="10">
        <v>2</v>
      </c>
      <c r="G1838" s="12" t="s">
        <v>522</v>
      </c>
      <c r="H1838" s="1" t="s">
        <v>26</v>
      </c>
      <c r="I1838">
        <v>4</v>
      </c>
      <c r="J1838">
        <v>10</v>
      </c>
      <c r="K1838">
        <v>2004</v>
      </c>
      <c r="L1838" s="1" t="s">
        <v>799</v>
      </c>
      <c r="M1838">
        <v>88</v>
      </c>
      <c r="N1838" s="1" t="s">
        <v>968</v>
      </c>
      <c r="O1838" s="1" t="s">
        <v>695</v>
      </c>
      <c r="P1838" s="1" t="s">
        <v>696</v>
      </c>
      <c r="Q1838" s="1" t="s">
        <v>697</v>
      </c>
      <c r="R1838" s="1" t="s">
        <v>32</v>
      </c>
      <c r="S1838" s="1" t="s">
        <v>698</v>
      </c>
      <c r="T1838" s="1" t="s">
        <v>32</v>
      </c>
      <c r="U1838" s="1" t="s">
        <v>699</v>
      </c>
      <c r="V1838" s="1" t="s">
        <v>225</v>
      </c>
      <c r="W1838" s="1" t="s">
        <v>48</v>
      </c>
      <c r="X1838" s="1" t="s">
        <v>700</v>
      </c>
      <c r="Y1838" s="1" t="s">
        <v>118</v>
      </c>
      <c r="Z1838" s="1" t="str">
        <f>TRIM(_xlfn.CONCAT(sales_data_sample[[#This Row],[CONTACTFIRSTNAME]],", ",sales_data_sample[[#This Row],[CONTACTLASTNAME]]))</f>
        <v>Victoria, Ashworth</v>
      </c>
      <c r="AA1838" s="1" t="s">
        <v>40</v>
      </c>
    </row>
    <row r="1839" spans="1:27" x14ac:dyDescent="0.25">
      <c r="A1839" s="10">
        <v>10315</v>
      </c>
      <c r="B1839" s="9">
        <v>24</v>
      </c>
      <c r="C1839" s="9">
        <v>8674</v>
      </c>
      <c r="D1839" s="9">
        <f>PRODUCT(sales_data_sample[[#This Row],[QUANTITYORDERED]],sales_data_sample[[#This Row],[PRICEEACH]])</f>
        <v>208176</v>
      </c>
      <c r="E1839" s="9">
        <f>IF(OR(sales_data_sample[[#This Row],[STATUS]]="Shipped",sales_data_sample[[#This Row],[STATUS]]="Resolved"),sales_data_sample[[#This Row],[SALES]],0)</f>
        <v>208176</v>
      </c>
      <c r="F1839" s="10">
        <v>1</v>
      </c>
      <c r="G1839" s="12" t="s">
        <v>943</v>
      </c>
      <c r="H1839" s="1" t="s">
        <v>26</v>
      </c>
      <c r="I1839">
        <v>4</v>
      </c>
      <c r="J1839">
        <v>10</v>
      </c>
      <c r="K1839">
        <v>2004</v>
      </c>
      <c r="L1839" s="1" t="s">
        <v>799</v>
      </c>
      <c r="M1839">
        <v>88</v>
      </c>
      <c r="N1839" s="1" t="s">
        <v>968</v>
      </c>
      <c r="O1839" s="1" t="s">
        <v>148</v>
      </c>
      <c r="P1839" s="1" t="s">
        <v>149</v>
      </c>
      <c r="Q1839" s="1" t="s">
        <v>150</v>
      </c>
      <c r="R1839" s="1" t="s">
        <v>32</v>
      </c>
      <c r="S1839" s="1" t="s">
        <v>151</v>
      </c>
      <c r="T1839" s="1" t="s">
        <v>32</v>
      </c>
      <c r="U1839" s="1" t="s">
        <v>152</v>
      </c>
      <c r="V1839" s="1" t="s">
        <v>47</v>
      </c>
      <c r="W1839" s="1" t="s">
        <v>48</v>
      </c>
      <c r="X1839" s="1" t="s">
        <v>153</v>
      </c>
      <c r="Y1839" s="1" t="s">
        <v>154</v>
      </c>
      <c r="Z1839" s="1" t="str">
        <f>TRIM(_xlfn.CONCAT(sales_data_sample[[#This Row],[CONTACTFIRSTNAME]],", ",sales_data_sample[[#This Row],[CONTACTLASTNAME]]))</f>
        <v>Janine, Labrune</v>
      </c>
      <c r="AA1839" s="1" t="s">
        <v>40</v>
      </c>
    </row>
    <row r="1840" spans="1:27" x14ac:dyDescent="0.25">
      <c r="A1840" s="10">
        <v>10326</v>
      </c>
      <c r="B1840" s="9">
        <v>41</v>
      </c>
      <c r="C1840" s="9">
        <v>8585</v>
      </c>
      <c r="D1840" s="9">
        <f>PRODUCT(sales_data_sample[[#This Row],[QUANTITYORDERED]],sales_data_sample[[#This Row],[PRICEEACH]])</f>
        <v>351985</v>
      </c>
      <c r="E1840" s="9">
        <f>IF(OR(sales_data_sample[[#This Row],[STATUS]]="Shipped",sales_data_sample[[#This Row],[STATUS]]="Resolved"),sales_data_sample[[#This Row],[SALES]],0)</f>
        <v>351985</v>
      </c>
      <c r="F1840" s="10">
        <v>3</v>
      </c>
      <c r="G1840" s="12" t="s">
        <v>920</v>
      </c>
      <c r="H1840" s="1" t="s">
        <v>26</v>
      </c>
      <c r="I1840">
        <v>4</v>
      </c>
      <c r="J1840">
        <v>11</v>
      </c>
      <c r="K1840">
        <v>2004</v>
      </c>
      <c r="L1840" s="1" t="s">
        <v>799</v>
      </c>
      <c r="M1840">
        <v>88</v>
      </c>
      <c r="N1840" s="1" t="s">
        <v>968</v>
      </c>
      <c r="O1840" s="1" t="s">
        <v>242</v>
      </c>
      <c r="P1840" s="1" t="s">
        <v>243</v>
      </c>
      <c r="Q1840" s="1" t="s">
        <v>244</v>
      </c>
      <c r="R1840" s="1" t="s">
        <v>32</v>
      </c>
      <c r="S1840" s="1" t="s">
        <v>245</v>
      </c>
      <c r="T1840" s="1" t="s">
        <v>32</v>
      </c>
      <c r="U1840" s="1" t="s">
        <v>246</v>
      </c>
      <c r="V1840" s="1" t="s">
        <v>247</v>
      </c>
      <c r="W1840" s="1" t="s">
        <v>48</v>
      </c>
      <c r="X1840" s="1" t="s">
        <v>248</v>
      </c>
      <c r="Y1840" s="1" t="s">
        <v>249</v>
      </c>
      <c r="Z1840" s="1" t="str">
        <f>TRIM(_xlfn.CONCAT(sales_data_sample[[#This Row],[CONTACTFIRSTNAME]],", ",sales_data_sample[[#This Row],[CONTACTLASTNAME]]))</f>
        <v>Christina, Berglund</v>
      </c>
      <c r="AA1840" s="1" t="s">
        <v>59</v>
      </c>
    </row>
    <row r="1841" spans="1:27" x14ac:dyDescent="0.25">
      <c r="A1841" s="10">
        <v>10339</v>
      </c>
      <c r="B1841" s="9">
        <v>55</v>
      </c>
      <c r="C1841" s="9">
        <v>100</v>
      </c>
      <c r="D1841" s="9">
        <f>PRODUCT(sales_data_sample[[#This Row],[QUANTITYORDERED]],sales_data_sample[[#This Row],[PRICEEACH]])</f>
        <v>5500</v>
      </c>
      <c r="E1841" s="9">
        <f>IF(OR(sales_data_sample[[#This Row],[STATUS]]="Shipped",sales_data_sample[[#This Row],[STATUS]]="Resolved"),sales_data_sample[[#This Row],[SALES]],0)</f>
        <v>5500</v>
      </c>
      <c r="F1841" s="10">
        <v>13</v>
      </c>
      <c r="G1841" s="12" t="s">
        <v>430</v>
      </c>
      <c r="H1841" s="1" t="s">
        <v>26</v>
      </c>
      <c r="I1841">
        <v>4</v>
      </c>
      <c r="J1841">
        <v>11</v>
      </c>
      <c r="K1841">
        <v>2004</v>
      </c>
      <c r="L1841" s="1" t="s">
        <v>799</v>
      </c>
      <c r="M1841">
        <v>88</v>
      </c>
      <c r="N1841" s="1" t="s">
        <v>968</v>
      </c>
      <c r="O1841" s="1" t="s">
        <v>328</v>
      </c>
      <c r="P1841" s="1" t="s">
        <v>329</v>
      </c>
      <c r="Q1841" s="1" t="s">
        <v>330</v>
      </c>
      <c r="R1841" s="1" t="s">
        <v>32</v>
      </c>
      <c r="S1841" s="1" t="s">
        <v>331</v>
      </c>
      <c r="T1841" s="1" t="s">
        <v>332</v>
      </c>
      <c r="U1841" s="1" t="s">
        <v>333</v>
      </c>
      <c r="V1841" s="1" t="s">
        <v>264</v>
      </c>
      <c r="W1841" s="1" t="s">
        <v>264</v>
      </c>
      <c r="X1841" s="1" t="s">
        <v>334</v>
      </c>
      <c r="Y1841" s="1" t="s">
        <v>335</v>
      </c>
      <c r="Z1841" s="1" t="str">
        <f>TRIM(_xlfn.CONCAT(sales_data_sample[[#This Row],[CONTACTFIRSTNAME]],", ",sales_data_sample[[#This Row],[CONTACTLASTNAME]]))</f>
        <v>Akiko, Shimamura</v>
      </c>
      <c r="AA1841" s="1" t="s">
        <v>199</v>
      </c>
    </row>
    <row r="1842" spans="1:27" x14ac:dyDescent="0.25">
      <c r="A1842" s="10">
        <v>10350</v>
      </c>
      <c r="B1842" s="9">
        <v>30</v>
      </c>
      <c r="C1842" s="9">
        <v>100</v>
      </c>
      <c r="D1842" s="9">
        <f>PRODUCT(sales_data_sample[[#This Row],[QUANTITYORDERED]],sales_data_sample[[#This Row],[PRICEEACH]])</f>
        <v>3000</v>
      </c>
      <c r="E1842" s="9">
        <f>IF(OR(sales_data_sample[[#This Row],[STATUS]]="Shipped",sales_data_sample[[#This Row],[STATUS]]="Resolved"),sales_data_sample[[#This Row],[SALES]],0)</f>
        <v>3000</v>
      </c>
      <c r="F1842" s="10">
        <v>9</v>
      </c>
      <c r="G1842" s="12" t="s">
        <v>534</v>
      </c>
      <c r="H1842" s="1" t="s">
        <v>26</v>
      </c>
      <c r="I1842">
        <v>4</v>
      </c>
      <c r="J1842">
        <v>12</v>
      </c>
      <c r="K1842">
        <v>2004</v>
      </c>
      <c r="L1842" s="1" t="s">
        <v>799</v>
      </c>
      <c r="M1842">
        <v>88</v>
      </c>
      <c r="N1842" s="1" t="s">
        <v>968</v>
      </c>
      <c r="O1842" s="1" t="s">
        <v>230</v>
      </c>
      <c r="P1842" s="1" t="s">
        <v>231</v>
      </c>
      <c r="Q1842" s="1" t="s">
        <v>232</v>
      </c>
      <c r="R1842" s="1" t="s">
        <v>32</v>
      </c>
      <c r="S1842" s="1" t="s">
        <v>233</v>
      </c>
      <c r="T1842" s="1" t="s">
        <v>32</v>
      </c>
      <c r="U1842" s="1" t="s">
        <v>234</v>
      </c>
      <c r="V1842" s="1" t="s">
        <v>235</v>
      </c>
      <c r="W1842" s="1" t="s">
        <v>48</v>
      </c>
      <c r="X1842" s="1" t="s">
        <v>236</v>
      </c>
      <c r="Y1842" s="1" t="s">
        <v>237</v>
      </c>
      <c r="Z1842" s="1" t="str">
        <f>TRIM(_xlfn.CONCAT(sales_data_sample[[#This Row],[CONTACTFIRSTNAME]],", ",sales_data_sample[[#This Row],[CONTACTLASTNAME]]))</f>
        <v>Diego, Freyre</v>
      </c>
      <c r="AA1842" s="1" t="s">
        <v>59</v>
      </c>
    </row>
    <row r="1843" spans="1:27" x14ac:dyDescent="0.25">
      <c r="A1843" s="10">
        <v>10373</v>
      </c>
      <c r="B1843" s="9">
        <v>33</v>
      </c>
      <c r="C1843" s="9">
        <v>5732</v>
      </c>
      <c r="D1843" s="9">
        <f>PRODUCT(sales_data_sample[[#This Row],[QUANTITYORDERED]],sales_data_sample[[#This Row],[PRICEEACH]])</f>
        <v>189156</v>
      </c>
      <c r="E1843" s="9">
        <f>IF(OR(sales_data_sample[[#This Row],[STATUS]]="Shipped",sales_data_sample[[#This Row],[STATUS]]="Resolved"),sales_data_sample[[#This Row],[SALES]],0)</f>
        <v>189156</v>
      </c>
      <c r="F1843" s="10">
        <v>12</v>
      </c>
      <c r="G1843" s="12" t="s">
        <v>536</v>
      </c>
      <c r="H1843" s="1" t="s">
        <v>26</v>
      </c>
      <c r="I1843">
        <v>1</v>
      </c>
      <c r="J1843">
        <v>1</v>
      </c>
      <c r="K1843">
        <v>2005</v>
      </c>
      <c r="L1843" s="1" t="s">
        <v>799</v>
      </c>
      <c r="M1843">
        <v>88</v>
      </c>
      <c r="N1843" s="1" t="s">
        <v>968</v>
      </c>
      <c r="O1843" s="1" t="s">
        <v>537</v>
      </c>
      <c r="P1843" s="1" t="s">
        <v>538</v>
      </c>
      <c r="Q1843" s="1" t="s">
        <v>539</v>
      </c>
      <c r="R1843" s="1" t="s">
        <v>32</v>
      </c>
      <c r="S1843" s="1" t="s">
        <v>540</v>
      </c>
      <c r="T1843" s="1" t="s">
        <v>32</v>
      </c>
      <c r="U1843" s="1" t="s">
        <v>541</v>
      </c>
      <c r="V1843" s="1" t="s">
        <v>170</v>
      </c>
      <c r="W1843" s="1" t="s">
        <v>48</v>
      </c>
      <c r="X1843" s="1" t="s">
        <v>542</v>
      </c>
      <c r="Y1843" s="1" t="s">
        <v>543</v>
      </c>
      <c r="Z1843" s="1" t="str">
        <f>TRIM(_xlfn.CONCAT(sales_data_sample[[#This Row],[CONTACTFIRSTNAME]],", ",sales_data_sample[[#This Row],[CONTACTLASTNAME]]))</f>
        <v>Pirkko, Koskitalo</v>
      </c>
      <c r="AA1843" s="1" t="s">
        <v>40</v>
      </c>
    </row>
    <row r="1844" spans="1:27" x14ac:dyDescent="0.25">
      <c r="A1844" s="10">
        <v>10384</v>
      </c>
      <c r="B1844" s="9">
        <v>43</v>
      </c>
      <c r="C1844" s="9">
        <v>9787</v>
      </c>
      <c r="D1844" s="9">
        <f>PRODUCT(sales_data_sample[[#This Row],[QUANTITYORDERED]],sales_data_sample[[#This Row],[PRICEEACH]])</f>
        <v>420841</v>
      </c>
      <c r="E1844" s="9">
        <f>IF(OR(sales_data_sample[[#This Row],[STATUS]]="Shipped",sales_data_sample[[#This Row],[STATUS]]="Resolved"),sales_data_sample[[#This Row],[SALES]],0)</f>
        <v>420841</v>
      </c>
      <c r="F1844" s="10">
        <v>2</v>
      </c>
      <c r="G1844" s="12" t="s">
        <v>544</v>
      </c>
      <c r="H1844" s="1" t="s">
        <v>26</v>
      </c>
      <c r="I1844">
        <v>1</v>
      </c>
      <c r="J1844">
        <v>2</v>
      </c>
      <c r="K1844">
        <v>2005</v>
      </c>
      <c r="L1844" s="1" t="s">
        <v>799</v>
      </c>
      <c r="M1844">
        <v>88</v>
      </c>
      <c r="N1844" s="1" t="s">
        <v>968</v>
      </c>
      <c r="O1844" s="1" t="s">
        <v>70</v>
      </c>
      <c r="P1844" s="1" t="s">
        <v>71</v>
      </c>
      <c r="Q1844" s="1" t="s">
        <v>72</v>
      </c>
      <c r="R1844" s="1" t="s">
        <v>32</v>
      </c>
      <c r="S1844" s="1" t="s">
        <v>73</v>
      </c>
      <c r="T1844" s="1" t="s">
        <v>65</v>
      </c>
      <c r="U1844" s="1" t="s">
        <v>32</v>
      </c>
      <c r="V1844" s="1" t="s">
        <v>36</v>
      </c>
      <c r="W1844" s="1" t="s">
        <v>37</v>
      </c>
      <c r="X1844" s="1" t="s">
        <v>74</v>
      </c>
      <c r="Y1844" s="1" t="s">
        <v>68</v>
      </c>
      <c r="Z1844" s="1" t="str">
        <f>TRIM(_xlfn.CONCAT(sales_data_sample[[#This Row],[CONTACTFIRSTNAME]],", ",sales_data_sample[[#This Row],[CONTACTLASTNAME]]))</f>
        <v>Julie, Brown</v>
      </c>
      <c r="AA1844" s="1" t="s">
        <v>59</v>
      </c>
    </row>
    <row r="1845" spans="1:27" x14ac:dyDescent="0.25">
      <c r="A1845" s="10">
        <v>10396</v>
      </c>
      <c r="B1845" s="9">
        <v>27</v>
      </c>
      <c r="C1845" s="9">
        <v>832</v>
      </c>
      <c r="D1845" s="9">
        <f>PRODUCT(sales_data_sample[[#This Row],[QUANTITYORDERED]],sales_data_sample[[#This Row],[PRICEEACH]])</f>
        <v>22464</v>
      </c>
      <c r="E1845" s="9">
        <f>IF(OR(sales_data_sample[[#This Row],[STATUS]]="Shipped",sales_data_sample[[#This Row],[STATUS]]="Resolved"),sales_data_sample[[#This Row],[SALES]],0)</f>
        <v>22464</v>
      </c>
      <c r="F1845" s="10">
        <v>7</v>
      </c>
      <c r="G1845" s="12" t="s">
        <v>738</v>
      </c>
      <c r="H1845" s="1" t="s">
        <v>26</v>
      </c>
      <c r="I1845">
        <v>1</v>
      </c>
      <c r="J1845">
        <v>3</v>
      </c>
      <c r="K1845">
        <v>2005</v>
      </c>
      <c r="L1845" s="1" t="s">
        <v>799</v>
      </c>
      <c r="M1845">
        <v>88</v>
      </c>
      <c r="N1845" s="1" t="s">
        <v>968</v>
      </c>
      <c r="O1845" s="1" t="s">
        <v>361</v>
      </c>
      <c r="P1845" s="1" t="s">
        <v>362</v>
      </c>
      <c r="Q1845" s="1" t="s">
        <v>363</v>
      </c>
      <c r="R1845" s="1" t="s">
        <v>32</v>
      </c>
      <c r="S1845" s="1" t="s">
        <v>364</v>
      </c>
      <c r="T1845" s="1" t="s">
        <v>65</v>
      </c>
      <c r="U1845" s="1" t="s">
        <v>145</v>
      </c>
      <c r="V1845" s="1" t="s">
        <v>36</v>
      </c>
      <c r="W1845" s="1" t="s">
        <v>37</v>
      </c>
      <c r="X1845" s="1" t="s">
        <v>365</v>
      </c>
      <c r="Y1845" s="1" t="s">
        <v>366</v>
      </c>
      <c r="Z1845" s="1" t="str">
        <f>TRIM(_xlfn.CONCAT(sales_data_sample[[#This Row],[CONTACTFIRSTNAME]],", ",sales_data_sample[[#This Row],[CONTACTLASTNAME]]))</f>
        <v>Valarie, Nelson</v>
      </c>
      <c r="AA1845" s="1" t="s">
        <v>40</v>
      </c>
    </row>
    <row r="1846" spans="1:27" x14ac:dyDescent="0.25">
      <c r="A1846" s="10">
        <v>10414</v>
      </c>
      <c r="B1846" s="9">
        <v>60</v>
      </c>
      <c r="C1846" s="9">
        <v>100</v>
      </c>
      <c r="D1846" s="9">
        <f>PRODUCT(sales_data_sample[[#This Row],[QUANTITYORDERED]],sales_data_sample[[#This Row],[PRICEEACH]])</f>
        <v>6000</v>
      </c>
      <c r="E1846" s="9">
        <f>IF(OR(sales_data_sample[[#This Row],[STATUS]]="Shipped",sales_data_sample[[#This Row],[STATUS]]="Resolved"),sales_data_sample[[#This Row],[SALES]],0)</f>
        <v>0</v>
      </c>
      <c r="F1846" s="10">
        <v>5</v>
      </c>
      <c r="G1846" s="12" t="s">
        <v>552</v>
      </c>
      <c r="H1846" s="1" t="s">
        <v>553</v>
      </c>
      <c r="I1846">
        <v>2</v>
      </c>
      <c r="J1846">
        <v>5</v>
      </c>
      <c r="K1846">
        <v>2005</v>
      </c>
      <c r="L1846" s="1" t="s">
        <v>799</v>
      </c>
      <c r="M1846">
        <v>88</v>
      </c>
      <c r="N1846" s="1" t="s">
        <v>968</v>
      </c>
      <c r="O1846" s="1" t="s">
        <v>516</v>
      </c>
      <c r="P1846" s="1" t="s">
        <v>517</v>
      </c>
      <c r="Q1846" s="1" t="s">
        <v>518</v>
      </c>
      <c r="R1846" s="1" t="s">
        <v>32</v>
      </c>
      <c r="S1846" s="1" t="s">
        <v>519</v>
      </c>
      <c r="T1846" s="1" t="s">
        <v>160</v>
      </c>
      <c r="U1846" s="1" t="s">
        <v>520</v>
      </c>
      <c r="V1846" s="1" t="s">
        <v>36</v>
      </c>
      <c r="W1846" s="1" t="s">
        <v>37</v>
      </c>
      <c r="X1846" s="1" t="s">
        <v>521</v>
      </c>
      <c r="Y1846" s="1" t="s">
        <v>82</v>
      </c>
      <c r="Z1846" s="1" t="str">
        <f>TRIM(_xlfn.CONCAT(sales_data_sample[[#This Row],[CONTACTFIRSTNAME]],", ",sales_data_sample[[#This Row],[CONTACTLASTNAME]]))</f>
        <v>Juri, Yoshido</v>
      </c>
      <c r="AA1846" s="1" t="s">
        <v>59</v>
      </c>
    </row>
    <row r="1847" spans="1:27" x14ac:dyDescent="0.25">
      <c r="A1847" s="10">
        <v>10110</v>
      </c>
      <c r="B1847" s="9">
        <v>27</v>
      </c>
      <c r="C1847" s="9">
        <v>7362</v>
      </c>
      <c r="D1847" s="9">
        <f>PRODUCT(sales_data_sample[[#This Row],[QUANTITYORDERED]],sales_data_sample[[#This Row],[PRICEEACH]])</f>
        <v>198774</v>
      </c>
      <c r="E1847" s="9">
        <f>IF(OR(sales_data_sample[[#This Row],[STATUS]]="Shipped",sales_data_sample[[#This Row],[STATUS]]="Resolved"),sales_data_sample[[#This Row],[SALES]],0)</f>
        <v>198774</v>
      </c>
      <c r="F1847" s="10">
        <v>12</v>
      </c>
      <c r="G1847" s="12" t="s">
        <v>829</v>
      </c>
      <c r="H1847" s="1" t="s">
        <v>26</v>
      </c>
      <c r="I1847">
        <v>1</v>
      </c>
      <c r="J1847">
        <v>3</v>
      </c>
      <c r="K1847">
        <v>2003</v>
      </c>
      <c r="L1847" s="1" t="s">
        <v>239</v>
      </c>
      <c r="M1847">
        <v>85</v>
      </c>
      <c r="N1847" s="1" t="s">
        <v>971</v>
      </c>
      <c r="O1847" s="1" t="s">
        <v>695</v>
      </c>
      <c r="P1847" s="1" t="s">
        <v>696</v>
      </c>
      <c r="Q1847" s="1" t="s">
        <v>697</v>
      </c>
      <c r="R1847" s="1" t="s">
        <v>32</v>
      </c>
      <c r="S1847" s="1" t="s">
        <v>698</v>
      </c>
      <c r="T1847" s="1" t="s">
        <v>32</v>
      </c>
      <c r="U1847" s="1" t="s">
        <v>699</v>
      </c>
      <c r="V1847" s="1" t="s">
        <v>225</v>
      </c>
      <c r="W1847" s="1" t="s">
        <v>48</v>
      </c>
      <c r="X1847" s="1" t="s">
        <v>700</v>
      </c>
      <c r="Y1847" s="1" t="s">
        <v>118</v>
      </c>
      <c r="Z1847" s="1" t="str">
        <f>TRIM(_xlfn.CONCAT(sales_data_sample[[#This Row],[CONTACTFIRSTNAME]],", ",sales_data_sample[[#This Row],[CONTACTLASTNAME]]))</f>
        <v>Victoria, Ashworth</v>
      </c>
      <c r="AA1847" s="1" t="s">
        <v>40</v>
      </c>
    </row>
    <row r="1848" spans="1:27" x14ac:dyDescent="0.25">
      <c r="A1848" s="10">
        <v>10124</v>
      </c>
      <c r="B1848" s="9">
        <v>49</v>
      </c>
      <c r="C1848" s="9">
        <v>8304</v>
      </c>
      <c r="D1848" s="9">
        <f>PRODUCT(sales_data_sample[[#This Row],[QUANTITYORDERED]],sales_data_sample[[#This Row],[PRICEEACH]])</f>
        <v>406896</v>
      </c>
      <c r="E1848" s="9">
        <f>IF(OR(sales_data_sample[[#This Row],[STATUS]]="Shipped",sales_data_sample[[#This Row],[STATUS]]="Resolved"),sales_data_sample[[#This Row],[SALES]],0)</f>
        <v>406896</v>
      </c>
      <c r="F1848" s="10">
        <v>11</v>
      </c>
      <c r="G1848" s="12" t="s">
        <v>802</v>
      </c>
      <c r="H1848" s="1" t="s">
        <v>26</v>
      </c>
      <c r="I1848">
        <v>2</v>
      </c>
      <c r="J1848">
        <v>5</v>
      </c>
      <c r="K1848">
        <v>2003</v>
      </c>
      <c r="L1848" s="1" t="s">
        <v>239</v>
      </c>
      <c r="M1848">
        <v>85</v>
      </c>
      <c r="N1848" s="1" t="s">
        <v>971</v>
      </c>
      <c r="O1848" s="1" t="s">
        <v>779</v>
      </c>
      <c r="P1848" s="1" t="s">
        <v>780</v>
      </c>
      <c r="Q1848" s="1" t="s">
        <v>781</v>
      </c>
      <c r="R1848" s="1" t="s">
        <v>32</v>
      </c>
      <c r="S1848" s="1" t="s">
        <v>782</v>
      </c>
      <c r="T1848" s="1" t="s">
        <v>783</v>
      </c>
      <c r="U1848" s="1" t="s">
        <v>784</v>
      </c>
      <c r="V1848" s="1" t="s">
        <v>36</v>
      </c>
      <c r="W1848" s="1" t="s">
        <v>37</v>
      </c>
      <c r="X1848" s="1" t="s">
        <v>146</v>
      </c>
      <c r="Y1848" s="1" t="s">
        <v>551</v>
      </c>
      <c r="Z1848" s="1" t="str">
        <f>TRIM(_xlfn.CONCAT(sales_data_sample[[#This Row],[CONTACTFIRSTNAME]],", ",sales_data_sample[[#This Row],[CONTACTLASTNAME]]))</f>
        <v>Sue, King</v>
      </c>
      <c r="AA1848" s="1" t="s">
        <v>59</v>
      </c>
    </row>
    <row r="1849" spans="1:27" x14ac:dyDescent="0.25">
      <c r="A1849">
        <v>10148</v>
      </c>
      <c r="B1849">
        <v>31</v>
      </c>
      <c r="C1849">
        <v>7362</v>
      </c>
      <c r="D1849">
        <f>PRODUCT(sales_data_sample[[#This Row],[QUANTITYORDERED]],sales_data_sample[[#This Row],[PRICEEACH]])</f>
        <v>228222</v>
      </c>
      <c r="E1849" s="9">
        <f>IF(OR(sales_data_sample[[#This Row],[STATUS]]="Shipped",sales_data_sample[[#This Row],[STATUS]]="Resolved"),sales_data_sample[[#This Row],[SALES]],0)</f>
        <v>228222</v>
      </c>
      <c r="F1849">
        <v>5</v>
      </c>
      <c r="G1849" s="12" t="s">
        <v>774</v>
      </c>
      <c r="H1849" s="1" t="s">
        <v>26</v>
      </c>
      <c r="I1849">
        <v>3</v>
      </c>
      <c r="J1849">
        <v>9</v>
      </c>
      <c r="K1849">
        <v>2003</v>
      </c>
      <c r="L1849" s="1" t="s">
        <v>239</v>
      </c>
      <c r="M1849">
        <v>85</v>
      </c>
      <c r="N1849" s="1" t="s">
        <v>971</v>
      </c>
      <c r="O1849" s="1" t="s">
        <v>385</v>
      </c>
      <c r="P1849" s="1" t="s">
        <v>386</v>
      </c>
      <c r="Q1849" s="1" t="s">
        <v>387</v>
      </c>
      <c r="R1849" s="1" t="s">
        <v>388</v>
      </c>
      <c r="S1849" s="1" t="s">
        <v>389</v>
      </c>
      <c r="T1849" s="1" t="s">
        <v>206</v>
      </c>
      <c r="U1849" s="1" t="s">
        <v>390</v>
      </c>
      <c r="V1849" s="1" t="s">
        <v>120</v>
      </c>
      <c r="W1849" s="1" t="s">
        <v>121</v>
      </c>
      <c r="X1849" s="1" t="s">
        <v>391</v>
      </c>
      <c r="Y1849" s="1" t="s">
        <v>392</v>
      </c>
      <c r="Z1849" s="1" t="str">
        <f>TRIM(_xlfn.CONCAT(sales_data_sample[[#This Row],[CONTACTFIRSTNAME]],", ",sales_data_sample[[#This Row],[CONTACTLASTNAME]]))</f>
        <v>Anna, O'Hara</v>
      </c>
      <c r="AA1849" s="1" t="s">
        <v>40</v>
      </c>
    </row>
    <row r="1850" spans="1:27" x14ac:dyDescent="0.25">
      <c r="A1850" s="10">
        <v>10161</v>
      </c>
      <c r="B1850" s="9">
        <v>20</v>
      </c>
      <c r="C1850" s="9">
        <v>7705</v>
      </c>
      <c r="D1850" s="9">
        <f>PRODUCT(sales_data_sample[[#This Row],[QUANTITYORDERED]],sales_data_sample[[#This Row],[PRICEEACH]])</f>
        <v>154100</v>
      </c>
      <c r="E1850" s="9">
        <f>IF(OR(sales_data_sample[[#This Row],[STATUS]]="Shipped",sales_data_sample[[#This Row],[STATUS]]="Resolved"),sales_data_sample[[#This Row],[SALES]],0)</f>
        <v>154100</v>
      </c>
      <c r="F1850" s="10">
        <v>4</v>
      </c>
      <c r="G1850" s="12" t="s">
        <v>775</v>
      </c>
      <c r="H1850" s="1" t="s">
        <v>26</v>
      </c>
      <c r="I1850">
        <v>4</v>
      </c>
      <c r="J1850">
        <v>10</v>
      </c>
      <c r="K1850">
        <v>2003</v>
      </c>
      <c r="L1850" s="1" t="s">
        <v>239</v>
      </c>
      <c r="M1850">
        <v>85</v>
      </c>
      <c r="N1850" s="1" t="s">
        <v>971</v>
      </c>
      <c r="O1850" s="1" t="s">
        <v>701</v>
      </c>
      <c r="P1850" s="1" t="s">
        <v>702</v>
      </c>
      <c r="Q1850" s="1" t="s">
        <v>703</v>
      </c>
      <c r="R1850" s="1" t="s">
        <v>32</v>
      </c>
      <c r="S1850" s="1" t="s">
        <v>704</v>
      </c>
      <c r="T1850" s="1" t="s">
        <v>32</v>
      </c>
      <c r="U1850" s="1" t="s">
        <v>705</v>
      </c>
      <c r="V1850" s="1" t="s">
        <v>442</v>
      </c>
      <c r="W1850" s="1" t="s">
        <v>48</v>
      </c>
      <c r="X1850" s="1" t="s">
        <v>706</v>
      </c>
      <c r="Y1850" s="1" t="s">
        <v>707</v>
      </c>
      <c r="Z1850" s="1" t="str">
        <f>TRIM(_xlfn.CONCAT(sales_data_sample[[#This Row],[CONTACTFIRSTNAME]],", ",sales_data_sample[[#This Row],[CONTACTLASTNAME]]))</f>
        <v>Palle, Ibsen</v>
      </c>
      <c r="AA1850" s="1" t="s">
        <v>40</v>
      </c>
    </row>
    <row r="1851" spans="1:27" x14ac:dyDescent="0.25">
      <c r="A1851" s="10">
        <v>10172</v>
      </c>
      <c r="B1851" s="9">
        <v>24</v>
      </c>
      <c r="C1851" s="9">
        <v>8133</v>
      </c>
      <c r="D1851" s="9">
        <f>PRODUCT(sales_data_sample[[#This Row],[QUANTITYORDERED]],sales_data_sample[[#This Row],[PRICEEACH]])</f>
        <v>195192</v>
      </c>
      <c r="E1851" s="9">
        <f>IF(OR(sales_data_sample[[#This Row],[STATUS]]="Shipped",sales_data_sample[[#This Row],[STATUS]]="Resolved"),sales_data_sample[[#This Row],[SALES]],0)</f>
        <v>195192</v>
      </c>
      <c r="F1851" s="10">
        <v>2</v>
      </c>
      <c r="G1851" s="12" t="s">
        <v>776</v>
      </c>
      <c r="H1851" s="1" t="s">
        <v>26</v>
      </c>
      <c r="I1851">
        <v>4</v>
      </c>
      <c r="J1851">
        <v>11</v>
      </c>
      <c r="K1851">
        <v>2003</v>
      </c>
      <c r="L1851" s="1" t="s">
        <v>239</v>
      </c>
      <c r="M1851">
        <v>85</v>
      </c>
      <c r="N1851" s="1" t="s">
        <v>971</v>
      </c>
      <c r="O1851" s="1" t="s">
        <v>140</v>
      </c>
      <c r="P1851" s="1" t="s">
        <v>141</v>
      </c>
      <c r="Q1851" s="1" t="s">
        <v>142</v>
      </c>
      <c r="R1851" s="1" t="s">
        <v>32</v>
      </c>
      <c r="S1851" s="1" t="s">
        <v>143</v>
      </c>
      <c r="T1851" s="1" t="s">
        <v>144</v>
      </c>
      <c r="U1851" s="1" t="s">
        <v>145</v>
      </c>
      <c r="V1851" s="1" t="s">
        <v>36</v>
      </c>
      <c r="W1851" s="1" t="s">
        <v>37</v>
      </c>
      <c r="X1851" s="1" t="s">
        <v>146</v>
      </c>
      <c r="Y1851" s="1" t="s">
        <v>68</v>
      </c>
      <c r="Z1851" s="1" t="str">
        <f>TRIM(_xlfn.CONCAT(sales_data_sample[[#This Row],[CONTACTFIRSTNAME]],", ",sales_data_sample[[#This Row],[CONTACTLASTNAME]]))</f>
        <v>Julie, King</v>
      </c>
      <c r="AA1851" s="1" t="s">
        <v>40</v>
      </c>
    </row>
    <row r="1852" spans="1:27" x14ac:dyDescent="0.25">
      <c r="A1852" s="10">
        <v>10182</v>
      </c>
      <c r="B1852" s="9">
        <v>33</v>
      </c>
      <c r="C1852" s="9">
        <v>9417</v>
      </c>
      <c r="D1852" s="9">
        <f>PRODUCT(sales_data_sample[[#This Row],[QUANTITYORDERED]],sales_data_sample[[#This Row],[PRICEEACH]])</f>
        <v>310761</v>
      </c>
      <c r="E1852" s="9">
        <f>IF(OR(sales_data_sample[[#This Row],[STATUS]]="Shipped",sales_data_sample[[#This Row],[STATUS]]="Resolved"),sales_data_sample[[#This Row],[SALES]],0)</f>
        <v>310761</v>
      </c>
      <c r="F1852" s="10">
        <v>15</v>
      </c>
      <c r="G1852" s="12" t="s">
        <v>610</v>
      </c>
      <c r="H1852" s="1" t="s">
        <v>26</v>
      </c>
      <c r="I1852">
        <v>4</v>
      </c>
      <c r="J1852">
        <v>11</v>
      </c>
      <c r="K1852">
        <v>2003</v>
      </c>
      <c r="L1852" s="1" t="s">
        <v>239</v>
      </c>
      <c r="M1852">
        <v>85</v>
      </c>
      <c r="N1852" s="1" t="s">
        <v>971</v>
      </c>
      <c r="O1852" s="1" t="s">
        <v>361</v>
      </c>
      <c r="P1852" s="1" t="s">
        <v>362</v>
      </c>
      <c r="Q1852" s="1" t="s">
        <v>363</v>
      </c>
      <c r="R1852" s="1" t="s">
        <v>32</v>
      </c>
      <c r="S1852" s="1" t="s">
        <v>364</v>
      </c>
      <c r="T1852" s="1" t="s">
        <v>65</v>
      </c>
      <c r="U1852" s="1" t="s">
        <v>145</v>
      </c>
      <c r="V1852" s="1" t="s">
        <v>36</v>
      </c>
      <c r="W1852" s="1" t="s">
        <v>37</v>
      </c>
      <c r="X1852" s="1" t="s">
        <v>365</v>
      </c>
      <c r="Y1852" s="1" t="s">
        <v>366</v>
      </c>
      <c r="Z1852" s="1" t="str">
        <f>TRIM(_xlfn.CONCAT(sales_data_sample[[#This Row],[CONTACTFIRSTNAME]],", ",sales_data_sample[[#This Row],[CONTACTLASTNAME]]))</f>
        <v>Valarie, Nelson</v>
      </c>
      <c r="AA1852" s="1" t="s">
        <v>59</v>
      </c>
    </row>
    <row r="1853" spans="1:27" x14ac:dyDescent="0.25">
      <c r="A1853" s="10">
        <v>10192</v>
      </c>
      <c r="B1853" s="9">
        <v>32</v>
      </c>
      <c r="C1853" s="9">
        <v>7277</v>
      </c>
      <c r="D1853" s="9">
        <f>PRODUCT(sales_data_sample[[#This Row],[QUANTITYORDERED]],sales_data_sample[[#This Row],[PRICEEACH]])</f>
        <v>232864</v>
      </c>
      <c r="E1853" s="9">
        <f>IF(OR(sales_data_sample[[#This Row],[STATUS]]="Shipped",sales_data_sample[[#This Row],[STATUS]]="Resolved"),sales_data_sample[[#This Row],[SALES]],0)</f>
        <v>232864</v>
      </c>
      <c r="F1853" s="10">
        <v>3</v>
      </c>
      <c r="G1853" s="12" t="s">
        <v>611</v>
      </c>
      <c r="H1853" s="1" t="s">
        <v>26</v>
      </c>
      <c r="I1853">
        <v>4</v>
      </c>
      <c r="J1853">
        <v>11</v>
      </c>
      <c r="K1853">
        <v>2003</v>
      </c>
      <c r="L1853" s="1" t="s">
        <v>239</v>
      </c>
      <c r="M1853">
        <v>85</v>
      </c>
      <c r="N1853" s="1" t="s">
        <v>971</v>
      </c>
      <c r="O1853" s="1" t="s">
        <v>368</v>
      </c>
      <c r="P1853" s="1" t="s">
        <v>369</v>
      </c>
      <c r="Q1853" s="1" t="s">
        <v>370</v>
      </c>
      <c r="R1853" s="1" t="s">
        <v>32</v>
      </c>
      <c r="S1853" s="1" t="s">
        <v>371</v>
      </c>
      <c r="T1853" s="1" t="s">
        <v>372</v>
      </c>
      <c r="U1853" s="1" t="s">
        <v>373</v>
      </c>
      <c r="V1853" s="1" t="s">
        <v>36</v>
      </c>
      <c r="W1853" s="1" t="s">
        <v>37</v>
      </c>
      <c r="X1853" s="1" t="s">
        <v>67</v>
      </c>
      <c r="Y1853" s="1" t="s">
        <v>366</v>
      </c>
      <c r="Z1853" s="1" t="str">
        <f>TRIM(_xlfn.CONCAT(sales_data_sample[[#This Row],[CONTACTFIRSTNAME]],", ",sales_data_sample[[#This Row],[CONTACTLASTNAME]]))</f>
        <v>Valarie, Young</v>
      </c>
      <c r="AA1853" s="1" t="s">
        <v>40</v>
      </c>
    </row>
    <row r="1854" spans="1:27" x14ac:dyDescent="0.25">
      <c r="A1854">
        <v>10204</v>
      </c>
      <c r="B1854">
        <v>40</v>
      </c>
      <c r="C1854">
        <v>7962</v>
      </c>
      <c r="D1854">
        <f>PRODUCT(sales_data_sample[[#This Row],[QUANTITYORDERED]],sales_data_sample[[#This Row],[PRICEEACH]])</f>
        <v>318480</v>
      </c>
      <c r="E1854" s="9">
        <f>IF(OR(sales_data_sample[[#This Row],[STATUS]]="Shipped",sales_data_sample[[#This Row],[STATUS]]="Resolved"),sales_data_sample[[#This Row],[SALES]],0)</f>
        <v>318480</v>
      </c>
      <c r="F1854">
        <v>9</v>
      </c>
      <c r="G1854" s="12" t="s">
        <v>620</v>
      </c>
      <c r="H1854" s="1" t="s">
        <v>26</v>
      </c>
      <c r="I1854">
        <v>4</v>
      </c>
      <c r="J1854">
        <v>12</v>
      </c>
      <c r="K1854">
        <v>2003</v>
      </c>
      <c r="L1854" s="1" t="s">
        <v>239</v>
      </c>
      <c r="M1854">
        <v>85</v>
      </c>
      <c r="N1854" s="1" t="s">
        <v>971</v>
      </c>
      <c r="O1854" s="1" t="s">
        <v>667</v>
      </c>
      <c r="P1854" s="1" t="s">
        <v>668</v>
      </c>
      <c r="Q1854" s="1" t="s">
        <v>669</v>
      </c>
      <c r="R1854" s="1" t="s">
        <v>670</v>
      </c>
      <c r="S1854" s="1" t="s">
        <v>33</v>
      </c>
      <c r="T1854" s="1" t="s">
        <v>34</v>
      </c>
      <c r="U1854" s="1" t="s">
        <v>35</v>
      </c>
      <c r="V1854" s="1" t="s">
        <v>36</v>
      </c>
      <c r="W1854" s="1" t="s">
        <v>37</v>
      </c>
      <c r="X1854" s="1" t="s">
        <v>67</v>
      </c>
      <c r="Y1854" s="1" t="s">
        <v>671</v>
      </c>
      <c r="Z1854" s="1" t="str">
        <f>TRIM(_xlfn.CONCAT(sales_data_sample[[#This Row],[CONTACTFIRSTNAME]],", ",sales_data_sample[[#This Row],[CONTACTLASTNAME]]))</f>
        <v>Jeff, Young</v>
      </c>
      <c r="AA1854" s="1" t="s">
        <v>59</v>
      </c>
    </row>
    <row r="1855" spans="1:27" x14ac:dyDescent="0.25">
      <c r="A1855" s="10">
        <v>10212</v>
      </c>
      <c r="B1855" s="9">
        <v>27</v>
      </c>
      <c r="C1855" s="9">
        <v>7962</v>
      </c>
      <c r="D1855" s="9">
        <f>PRODUCT(sales_data_sample[[#This Row],[QUANTITYORDERED]],sales_data_sample[[#This Row],[PRICEEACH]])</f>
        <v>214974</v>
      </c>
      <c r="E1855" s="9">
        <f>IF(OR(sales_data_sample[[#This Row],[STATUS]]="Shipped",sales_data_sample[[#This Row],[STATUS]]="Resolved"),sales_data_sample[[#This Row],[SALES]],0)</f>
        <v>214974</v>
      </c>
      <c r="F1855" s="10">
        <v>2</v>
      </c>
      <c r="G1855" s="12" t="s">
        <v>729</v>
      </c>
      <c r="H1855" s="1" t="s">
        <v>26</v>
      </c>
      <c r="I1855">
        <v>1</v>
      </c>
      <c r="J1855">
        <v>1</v>
      </c>
      <c r="K1855">
        <v>2004</v>
      </c>
      <c r="L1855" s="1" t="s">
        <v>239</v>
      </c>
      <c r="M1855">
        <v>85</v>
      </c>
      <c r="N1855" s="1" t="s">
        <v>971</v>
      </c>
      <c r="O1855" s="1" t="s">
        <v>230</v>
      </c>
      <c r="P1855" s="1" t="s">
        <v>231</v>
      </c>
      <c r="Q1855" s="1" t="s">
        <v>232</v>
      </c>
      <c r="R1855" s="1" t="s">
        <v>32</v>
      </c>
      <c r="S1855" s="1" t="s">
        <v>233</v>
      </c>
      <c r="T1855" s="1" t="s">
        <v>32</v>
      </c>
      <c r="U1855" s="1" t="s">
        <v>234</v>
      </c>
      <c r="V1855" s="1" t="s">
        <v>235</v>
      </c>
      <c r="W1855" s="1" t="s">
        <v>48</v>
      </c>
      <c r="X1855" s="1" t="s">
        <v>236</v>
      </c>
      <c r="Y1855" s="1" t="s">
        <v>237</v>
      </c>
      <c r="Z1855" s="1" t="str">
        <f>TRIM(_xlfn.CONCAT(sales_data_sample[[#This Row],[CONTACTFIRSTNAME]],", ",sales_data_sample[[#This Row],[CONTACTLASTNAME]]))</f>
        <v>Diego, Freyre</v>
      </c>
      <c r="AA1855" s="1" t="s">
        <v>40</v>
      </c>
    </row>
    <row r="1856" spans="1:27" x14ac:dyDescent="0.25">
      <c r="A1856" s="10">
        <v>10227</v>
      </c>
      <c r="B1856" s="9">
        <v>40</v>
      </c>
      <c r="C1856" s="9">
        <v>7962</v>
      </c>
      <c r="D1856" s="9">
        <f>PRODUCT(sales_data_sample[[#This Row],[QUANTITYORDERED]],sales_data_sample[[#This Row],[PRICEEACH]])</f>
        <v>318480</v>
      </c>
      <c r="E1856" s="9">
        <f>IF(OR(sales_data_sample[[#This Row],[STATUS]]="Shipped",sales_data_sample[[#This Row],[STATUS]]="Resolved"),sales_data_sample[[#This Row],[SALES]],0)</f>
        <v>318480</v>
      </c>
      <c r="F1856" s="10">
        <v>15</v>
      </c>
      <c r="G1856" s="12" t="s">
        <v>822</v>
      </c>
      <c r="H1856" s="1" t="s">
        <v>26</v>
      </c>
      <c r="I1856">
        <v>1</v>
      </c>
      <c r="J1856">
        <v>3</v>
      </c>
      <c r="K1856">
        <v>2004</v>
      </c>
      <c r="L1856" s="1" t="s">
        <v>239</v>
      </c>
      <c r="M1856">
        <v>85</v>
      </c>
      <c r="N1856" s="1" t="s">
        <v>971</v>
      </c>
      <c r="O1856" s="1" t="s">
        <v>291</v>
      </c>
      <c r="P1856" s="1" t="s">
        <v>292</v>
      </c>
      <c r="Q1856" s="1" t="s">
        <v>293</v>
      </c>
      <c r="R1856" s="1" t="s">
        <v>32</v>
      </c>
      <c r="S1856" s="1" t="s">
        <v>294</v>
      </c>
      <c r="T1856" s="1" t="s">
        <v>32</v>
      </c>
      <c r="U1856" s="1" t="s">
        <v>295</v>
      </c>
      <c r="V1856" s="1" t="s">
        <v>47</v>
      </c>
      <c r="W1856" s="1" t="s">
        <v>48</v>
      </c>
      <c r="X1856" s="1" t="s">
        <v>296</v>
      </c>
      <c r="Y1856" s="1" t="s">
        <v>297</v>
      </c>
      <c r="Z1856" s="1" t="str">
        <f>TRIM(_xlfn.CONCAT(sales_data_sample[[#This Row],[CONTACTFIRSTNAME]],", ",sales_data_sample[[#This Row],[CONTACTLASTNAME]]))</f>
        <v>Mary, Saveley</v>
      </c>
      <c r="AA1856" s="1" t="s">
        <v>59</v>
      </c>
    </row>
    <row r="1857" spans="1:27" x14ac:dyDescent="0.25">
      <c r="A1857" s="10">
        <v>10241</v>
      </c>
      <c r="B1857" s="9">
        <v>26</v>
      </c>
      <c r="C1857" s="9">
        <v>8133</v>
      </c>
      <c r="D1857" s="9">
        <f>PRODUCT(sales_data_sample[[#This Row],[QUANTITYORDERED]],sales_data_sample[[#This Row],[PRICEEACH]])</f>
        <v>211458</v>
      </c>
      <c r="E1857" s="9">
        <f>IF(OR(sales_data_sample[[#This Row],[STATUS]]="Shipped",sales_data_sample[[#This Row],[STATUS]]="Resolved"),sales_data_sample[[#This Row],[SALES]],0)</f>
        <v>211458</v>
      </c>
      <c r="F1857" s="10">
        <v>7</v>
      </c>
      <c r="G1857" s="12" t="s">
        <v>777</v>
      </c>
      <c r="H1857" s="1" t="s">
        <v>26</v>
      </c>
      <c r="I1857">
        <v>2</v>
      </c>
      <c r="J1857">
        <v>4</v>
      </c>
      <c r="K1857">
        <v>2004</v>
      </c>
      <c r="L1857" s="1" t="s">
        <v>239</v>
      </c>
      <c r="M1857">
        <v>85</v>
      </c>
      <c r="N1857" s="1" t="s">
        <v>971</v>
      </c>
      <c r="O1857" s="1" t="s">
        <v>763</v>
      </c>
      <c r="P1857" s="1" t="s">
        <v>764</v>
      </c>
      <c r="Q1857" s="1" t="s">
        <v>765</v>
      </c>
      <c r="R1857" s="1" t="s">
        <v>32</v>
      </c>
      <c r="S1857" s="1" t="s">
        <v>766</v>
      </c>
      <c r="T1857" s="1" t="s">
        <v>32</v>
      </c>
      <c r="U1857" s="1" t="s">
        <v>767</v>
      </c>
      <c r="V1857" s="1" t="s">
        <v>47</v>
      </c>
      <c r="W1857" s="1" t="s">
        <v>48</v>
      </c>
      <c r="X1857" s="1" t="s">
        <v>768</v>
      </c>
      <c r="Y1857" s="1" t="s">
        <v>769</v>
      </c>
      <c r="Z1857" s="1" t="str">
        <f>TRIM(_xlfn.CONCAT(sales_data_sample[[#This Row],[CONTACTFIRSTNAME]],", ",sales_data_sample[[#This Row],[CONTACTLASTNAME]]))</f>
        <v>Frederique, Citeaux</v>
      </c>
      <c r="AA1857" s="1" t="s">
        <v>40</v>
      </c>
    </row>
    <row r="1858" spans="1:27" x14ac:dyDescent="0.25">
      <c r="A1858">
        <v>10267</v>
      </c>
      <c r="B1858">
        <v>44</v>
      </c>
      <c r="C1858">
        <v>9674</v>
      </c>
      <c r="D1858">
        <f>PRODUCT(sales_data_sample[[#This Row],[QUANTITYORDERED]],sales_data_sample[[#This Row],[PRICEEACH]])</f>
        <v>425656</v>
      </c>
      <c r="E1858" s="9">
        <f>IF(OR(sales_data_sample[[#This Row],[STATUS]]="Shipped",sales_data_sample[[#This Row],[STATUS]]="Resolved"),sales_data_sample[[#This Row],[SALES]],0)</f>
        <v>425656</v>
      </c>
      <c r="F1858">
        <v>4</v>
      </c>
      <c r="G1858" s="12" t="s">
        <v>948</v>
      </c>
      <c r="H1858" s="1" t="s">
        <v>26</v>
      </c>
      <c r="I1858">
        <v>3</v>
      </c>
      <c r="J1858">
        <v>7</v>
      </c>
      <c r="K1858">
        <v>2004</v>
      </c>
      <c r="L1858" s="1" t="s">
        <v>239</v>
      </c>
      <c r="M1858">
        <v>85</v>
      </c>
      <c r="N1858" s="1" t="s">
        <v>971</v>
      </c>
      <c r="O1858" s="1" t="s">
        <v>667</v>
      </c>
      <c r="P1858" s="1" t="s">
        <v>668</v>
      </c>
      <c r="Q1858" s="1" t="s">
        <v>669</v>
      </c>
      <c r="R1858" s="1" t="s">
        <v>670</v>
      </c>
      <c r="S1858" s="1" t="s">
        <v>33</v>
      </c>
      <c r="T1858" s="1" t="s">
        <v>34</v>
      </c>
      <c r="U1858" s="1" t="s">
        <v>35</v>
      </c>
      <c r="V1858" s="1" t="s">
        <v>36</v>
      </c>
      <c r="W1858" s="1" t="s">
        <v>37</v>
      </c>
      <c r="X1858" s="1" t="s">
        <v>67</v>
      </c>
      <c r="Y1858" s="1" t="s">
        <v>671</v>
      </c>
      <c r="Z1858" s="1" t="str">
        <f>TRIM(_xlfn.CONCAT(sales_data_sample[[#This Row],[CONTACTFIRSTNAME]],", ",sales_data_sample[[#This Row],[CONTACTLASTNAME]]))</f>
        <v>Jeff, Young</v>
      </c>
      <c r="AA1858" s="1" t="s">
        <v>59</v>
      </c>
    </row>
    <row r="1859" spans="1:27" x14ac:dyDescent="0.25">
      <c r="A1859" s="10">
        <v>10279</v>
      </c>
      <c r="B1859" s="9">
        <v>33</v>
      </c>
      <c r="C1859" s="9">
        <v>7106</v>
      </c>
      <c r="D1859" s="9">
        <f>PRODUCT(sales_data_sample[[#This Row],[QUANTITYORDERED]],sales_data_sample[[#This Row],[PRICEEACH]])</f>
        <v>234498</v>
      </c>
      <c r="E1859" s="9">
        <f>IF(OR(sales_data_sample[[#This Row],[STATUS]]="Shipped",sales_data_sample[[#This Row],[STATUS]]="Resolved"),sales_data_sample[[#This Row],[SALES]],0)</f>
        <v>234498</v>
      </c>
      <c r="F1859" s="10">
        <v>4</v>
      </c>
      <c r="G1859" s="12" t="s">
        <v>949</v>
      </c>
      <c r="H1859" s="1" t="s">
        <v>26</v>
      </c>
      <c r="I1859">
        <v>3</v>
      </c>
      <c r="J1859">
        <v>8</v>
      </c>
      <c r="K1859">
        <v>2004</v>
      </c>
      <c r="L1859" s="1" t="s">
        <v>239</v>
      </c>
      <c r="M1859">
        <v>85</v>
      </c>
      <c r="N1859" s="1" t="s">
        <v>971</v>
      </c>
      <c r="O1859" s="1" t="s">
        <v>230</v>
      </c>
      <c r="P1859" s="1" t="s">
        <v>231</v>
      </c>
      <c r="Q1859" s="1" t="s">
        <v>232</v>
      </c>
      <c r="R1859" s="1" t="s">
        <v>32</v>
      </c>
      <c r="S1859" s="1" t="s">
        <v>233</v>
      </c>
      <c r="T1859" s="1" t="s">
        <v>32</v>
      </c>
      <c r="U1859" s="1" t="s">
        <v>234</v>
      </c>
      <c r="V1859" s="1" t="s">
        <v>235</v>
      </c>
      <c r="W1859" s="1" t="s">
        <v>48</v>
      </c>
      <c r="X1859" s="1" t="s">
        <v>236</v>
      </c>
      <c r="Y1859" s="1" t="s">
        <v>237</v>
      </c>
      <c r="Z1859" s="1" t="str">
        <f>TRIM(_xlfn.CONCAT(sales_data_sample[[#This Row],[CONTACTFIRSTNAME]],", ",sales_data_sample[[#This Row],[CONTACTLASTNAME]]))</f>
        <v>Diego, Freyre</v>
      </c>
      <c r="AA1859" s="1" t="s">
        <v>40</v>
      </c>
    </row>
    <row r="1860" spans="1:27" x14ac:dyDescent="0.25">
      <c r="A1860">
        <v>10288</v>
      </c>
      <c r="B1860">
        <v>34</v>
      </c>
      <c r="C1860">
        <v>6849</v>
      </c>
      <c r="D1860">
        <f>PRODUCT(sales_data_sample[[#This Row],[QUANTITYORDERED]],sales_data_sample[[#This Row],[PRICEEACH]])</f>
        <v>232866</v>
      </c>
      <c r="E1860" s="9">
        <f>IF(OR(sales_data_sample[[#This Row],[STATUS]]="Shipped",sales_data_sample[[#This Row],[STATUS]]="Resolved"),sales_data_sample[[#This Row],[SALES]],0)</f>
        <v>232866</v>
      </c>
      <c r="F1860">
        <v>10</v>
      </c>
      <c r="G1860" s="12" t="s">
        <v>834</v>
      </c>
      <c r="H1860" s="1" t="s">
        <v>26</v>
      </c>
      <c r="I1860">
        <v>3</v>
      </c>
      <c r="J1860">
        <v>9</v>
      </c>
      <c r="K1860">
        <v>2004</v>
      </c>
      <c r="L1860" s="1" t="s">
        <v>239</v>
      </c>
      <c r="M1860">
        <v>85</v>
      </c>
      <c r="N1860" s="1" t="s">
        <v>971</v>
      </c>
      <c r="O1860" s="1" t="s">
        <v>577</v>
      </c>
      <c r="P1860" s="1" t="s">
        <v>578</v>
      </c>
      <c r="Q1860" s="1" t="s">
        <v>579</v>
      </c>
      <c r="R1860" s="1" t="s">
        <v>580</v>
      </c>
      <c r="S1860" s="1" t="s">
        <v>262</v>
      </c>
      <c r="T1860" s="1" t="s">
        <v>32</v>
      </c>
      <c r="U1860" s="1" t="s">
        <v>581</v>
      </c>
      <c r="V1860" s="1" t="s">
        <v>262</v>
      </c>
      <c r="W1860" s="1" t="s">
        <v>121</v>
      </c>
      <c r="X1860" s="1" t="s">
        <v>582</v>
      </c>
      <c r="Y1860" s="1" t="s">
        <v>583</v>
      </c>
      <c r="Z1860" s="1" t="str">
        <f>TRIM(_xlfn.CONCAT(sales_data_sample[[#This Row],[CONTACTFIRSTNAME]],", ",sales_data_sample[[#This Row],[CONTACTLASTNAME]]))</f>
        <v>Wendy, Victorino</v>
      </c>
      <c r="AA1860" s="1" t="s">
        <v>40</v>
      </c>
    </row>
    <row r="1861" spans="1:27" x14ac:dyDescent="0.25">
      <c r="A1861" s="10">
        <v>10302</v>
      </c>
      <c r="B1861" s="9">
        <v>48</v>
      </c>
      <c r="C1861" s="9">
        <v>7448</v>
      </c>
      <c r="D1861" s="9">
        <f>PRODUCT(sales_data_sample[[#This Row],[QUANTITYORDERED]],sales_data_sample[[#This Row],[PRICEEACH]])</f>
        <v>357504</v>
      </c>
      <c r="E1861" s="9">
        <f>IF(OR(sales_data_sample[[#This Row],[STATUS]]="Shipped",sales_data_sample[[#This Row],[STATUS]]="Resolved"),sales_data_sample[[#This Row],[SALES]],0)</f>
        <v>357504</v>
      </c>
      <c r="F1861" s="10">
        <v>6</v>
      </c>
      <c r="G1861" s="12" t="s">
        <v>459</v>
      </c>
      <c r="H1861" s="1" t="s">
        <v>26</v>
      </c>
      <c r="I1861">
        <v>4</v>
      </c>
      <c r="J1861">
        <v>10</v>
      </c>
      <c r="K1861">
        <v>2003</v>
      </c>
      <c r="L1861" s="1" t="s">
        <v>239</v>
      </c>
      <c r="M1861">
        <v>85</v>
      </c>
      <c r="N1861" s="1" t="s">
        <v>971</v>
      </c>
      <c r="O1861" s="1" t="s">
        <v>220</v>
      </c>
      <c r="P1861" s="1" t="s">
        <v>221</v>
      </c>
      <c r="Q1861" s="1" t="s">
        <v>222</v>
      </c>
      <c r="R1861" s="1" t="s">
        <v>32</v>
      </c>
      <c r="S1861" s="1" t="s">
        <v>223</v>
      </c>
      <c r="T1861" s="1" t="s">
        <v>32</v>
      </c>
      <c r="U1861" s="1" t="s">
        <v>224</v>
      </c>
      <c r="V1861" s="1" t="s">
        <v>225</v>
      </c>
      <c r="W1861" s="1" t="s">
        <v>48</v>
      </c>
      <c r="X1861" s="1" t="s">
        <v>226</v>
      </c>
      <c r="Y1861" s="1" t="s">
        <v>227</v>
      </c>
      <c r="Z1861" s="1" t="str">
        <f>TRIM(_xlfn.CONCAT(sales_data_sample[[#This Row],[CONTACTFIRSTNAME]],", ",sales_data_sample[[#This Row],[CONTACTLASTNAME]]))</f>
        <v>Elizabeth, Devon</v>
      </c>
      <c r="AA1861" s="1" t="s">
        <v>59</v>
      </c>
    </row>
    <row r="1862" spans="1:27" x14ac:dyDescent="0.25">
      <c r="A1862" s="10">
        <v>10311</v>
      </c>
      <c r="B1862" s="9">
        <v>25</v>
      </c>
      <c r="C1862" s="9">
        <v>8304</v>
      </c>
      <c r="D1862" s="9">
        <f>PRODUCT(sales_data_sample[[#This Row],[QUANTITYORDERED]],sales_data_sample[[#This Row],[PRICEEACH]])</f>
        <v>207600</v>
      </c>
      <c r="E1862" s="9">
        <f>IF(OR(sales_data_sample[[#This Row],[STATUS]]="Shipped",sales_data_sample[[#This Row],[STATUS]]="Resolved"),sales_data_sample[[#This Row],[SALES]],0)</f>
        <v>207600</v>
      </c>
      <c r="F1862" s="10">
        <v>5</v>
      </c>
      <c r="G1862" s="12" t="s">
        <v>653</v>
      </c>
      <c r="H1862" s="1" t="s">
        <v>26</v>
      </c>
      <c r="I1862">
        <v>4</v>
      </c>
      <c r="J1862">
        <v>10</v>
      </c>
      <c r="K1862">
        <v>2004</v>
      </c>
      <c r="L1862" s="1" t="s">
        <v>239</v>
      </c>
      <c r="M1862">
        <v>85</v>
      </c>
      <c r="N1862" s="1" t="s">
        <v>971</v>
      </c>
      <c r="O1862" s="1" t="s">
        <v>230</v>
      </c>
      <c r="P1862" s="1" t="s">
        <v>231</v>
      </c>
      <c r="Q1862" s="1" t="s">
        <v>232</v>
      </c>
      <c r="R1862" s="1" t="s">
        <v>32</v>
      </c>
      <c r="S1862" s="1" t="s">
        <v>233</v>
      </c>
      <c r="T1862" s="1" t="s">
        <v>32</v>
      </c>
      <c r="U1862" s="1" t="s">
        <v>234</v>
      </c>
      <c r="V1862" s="1" t="s">
        <v>235</v>
      </c>
      <c r="W1862" s="1" t="s">
        <v>48</v>
      </c>
      <c r="X1862" s="1" t="s">
        <v>236</v>
      </c>
      <c r="Y1862" s="1" t="s">
        <v>237</v>
      </c>
      <c r="Z1862" s="1" t="str">
        <f>TRIM(_xlfn.CONCAT(sales_data_sample[[#This Row],[CONTACTFIRSTNAME]],", ",sales_data_sample[[#This Row],[CONTACTLASTNAME]]))</f>
        <v>Diego, Freyre</v>
      </c>
      <c r="AA1862" s="1" t="s">
        <v>40</v>
      </c>
    </row>
    <row r="1863" spans="1:27" x14ac:dyDescent="0.25">
      <c r="A1863" s="10">
        <v>10321</v>
      </c>
      <c r="B1863" s="9">
        <v>39</v>
      </c>
      <c r="C1863" s="9">
        <v>8475</v>
      </c>
      <c r="D1863" s="9">
        <f>PRODUCT(sales_data_sample[[#This Row],[QUANTITYORDERED]],sales_data_sample[[#This Row],[PRICEEACH]])</f>
        <v>330525</v>
      </c>
      <c r="E1863" s="9">
        <f>IF(OR(sales_data_sample[[#This Row],[STATUS]]="Shipped",sales_data_sample[[#This Row],[STATUS]]="Resolved"),sales_data_sample[[#This Row],[SALES]],0)</f>
        <v>330525</v>
      </c>
      <c r="F1863" s="10">
        <v>2</v>
      </c>
      <c r="G1863" s="12" t="s">
        <v>367</v>
      </c>
      <c r="H1863" s="1" t="s">
        <v>26</v>
      </c>
      <c r="I1863">
        <v>4</v>
      </c>
      <c r="J1863">
        <v>11</v>
      </c>
      <c r="K1863">
        <v>2004</v>
      </c>
      <c r="L1863" s="1" t="s">
        <v>239</v>
      </c>
      <c r="M1863">
        <v>85</v>
      </c>
      <c r="N1863" s="1" t="s">
        <v>971</v>
      </c>
      <c r="O1863" s="1" t="s">
        <v>212</v>
      </c>
      <c r="P1863" s="1" t="s">
        <v>213</v>
      </c>
      <c r="Q1863" s="1" t="s">
        <v>214</v>
      </c>
      <c r="R1863" s="1" t="s">
        <v>32</v>
      </c>
      <c r="S1863" s="1" t="s">
        <v>215</v>
      </c>
      <c r="T1863" s="1" t="s">
        <v>160</v>
      </c>
      <c r="U1863" s="1" t="s">
        <v>216</v>
      </c>
      <c r="V1863" s="1" t="s">
        <v>36</v>
      </c>
      <c r="W1863" s="1" t="s">
        <v>37</v>
      </c>
      <c r="X1863" s="1" t="s">
        <v>217</v>
      </c>
      <c r="Y1863" s="1" t="s">
        <v>218</v>
      </c>
      <c r="Z1863" s="1" t="str">
        <f>TRIM(_xlfn.CONCAT(sales_data_sample[[#This Row],[CONTACTFIRSTNAME]],", ",sales_data_sample[[#This Row],[CONTACTLASTNAME]]))</f>
        <v>Violeta, Benitez</v>
      </c>
      <c r="AA1863" s="1" t="s">
        <v>59</v>
      </c>
    </row>
    <row r="1864" spans="1:27" x14ac:dyDescent="0.25">
      <c r="A1864" s="10">
        <v>10332</v>
      </c>
      <c r="B1864" s="9">
        <v>45</v>
      </c>
      <c r="C1864" s="9">
        <v>3419</v>
      </c>
      <c r="D1864" s="9">
        <f>PRODUCT(sales_data_sample[[#This Row],[QUANTITYORDERED]],sales_data_sample[[#This Row],[PRICEEACH]])</f>
        <v>153855</v>
      </c>
      <c r="E1864" s="9">
        <f>IF(OR(sales_data_sample[[#This Row],[STATUS]]="Shipped",sales_data_sample[[#This Row],[STATUS]]="Resolved"),sales_data_sample[[#This Row],[SALES]],0)</f>
        <v>153855</v>
      </c>
      <c r="F1864" s="10">
        <v>12</v>
      </c>
      <c r="G1864" s="12" t="s">
        <v>793</v>
      </c>
      <c r="H1864" s="1" t="s">
        <v>26</v>
      </c>
      <c r="I1864">
        <v>4</v>
      </c>
      <c r="J1864">
        <v>11</v>
      </c>
      <c r="K1864">
        <v>2004</v>
      </c>
      <c r="L1864" s="1" t="s">
        <v>239</v>
      </c>
      <c r="M1864">
        <v>85</v>
      </c>
      <c r="N1864" s="1" t="s">
        <v>971</v>
      </c>
      <c r="O1864" s="1" t="s">
        <v>695</v>
      </c>
      <c r="P1864" s="1" t="s">
        <v>696</v>
      </c>
      <c r="Q1864" s="1" t="s">
        <v>697</v>
      </c>
      <c r="R1864" s="1" t="s">
        <v>32</v>
      </c>
      <c r="S1864" s="1" t="s">
        <v>698</v>
      </c>
      <c r="T1864" s="1" t="s">
        <v>32</v>
      </c>
      <c r="U1864" s="1" t="s">
        <v>699</v>
      </c>
      <c r="V1864" s="1" t="s">
        <v>225</v>
      </c>
      <c r="W1864" s="1" t="s">
        <v>48</v>
      </c>
      <c r="X1864" s="1" t="s">
        <v>700</v>
      </c>
      <c r="Y1864" s="1" t="s">
        <v>118</v>
      </c>
      <c r="Z1864" s="1" t="str">
        <f>TRIM(_xlfn.CONCAT(sales_data_sample[[#This Row],[CONTACTFIRSTNAME]],", ",sales_data_sample[[#This Row],[CONTACTLASTNAME]]))</f>
        <v>Victoria, Ashworth</v>
      </c>
      <c r="AA1864" s="1" t="s">
        <v>40</v>
      </c>
    </row>
    <row r="1865" spans="1:27" x14ac:dyDescent="0.25">
      <c r="A1865" s="10">
        <v>10346</v>
      </c>
      <c r="B1865" s="9">
        <v>24</v>
      </c>
      <c r="C1865" s="9">
        <v>100</v>
      </c>
      <c r="D1865" s="9">
        <f>PRODUCT(sales_data_sample[[#This Row],[QUANTITYORDERED]],sales_data_sample[[#This Row],[PRICEEACH]])</f>
        <v>2400</v>
      </c>
      <c r="E1865" s="9">
        <f>IF(OR(sales_data_sample[[#This Row],[STATUS]]="Shipped",sales_data_sample[[#This Row],[STATUS]]="Resolved"),sales_data_sample[[#This Row],[SALES]],0)</f>
        <v>2400</v>
      </c>
      <c r="F1865" s="10">
        <v>2</v>
      </c>
      <c r="G1865" s="12" t="s">
        <v>375</v>
      </c>
      <c r="H1865" s="1" t="s">
        <v>26</v>
      </c>
      <c r="I1865">
        <v>4</v>
      </c>
      <c r="J1865">
        <v>11</v>
      </c>
      <c r="K1865">
        <v>2004</v>
      </c>
      <c r="L1865" s="1" t="s">
        <v>239</v>
      </c>
      <c r="M1865">
        <v>85</v>
      </c>
      <c r="N1865" s="1" t="s">
        <v>971</v>
      </c>
      <c r="O1865" s="1" t="s">
        <v>779</v>
      </c>
      <c r="P1865" s="1" t="s">
        <v>780</v>
      </c>
      <c r="Q1865" s="1" t="s">
        <v>781</v>
      </c>
      <c r="R1865" s="1" t="s">
        <v>32</v>
      </c>
      <c r="S1865" s="1" t="s">
        <v>782</v>
      </c>
      <c r="T1865" s="1" t="s">
        <v>783</v>
      </c>
      <c r="U1865" s="1" t="s">
        <v>784</v>
      </c>
      <c r="V1865" s="1" t="s">
        <v>36</v>
      </c>
      <c r="W1865" s="1" t="s">
        <v>37</v>
      </c>
      <c r="X1865" s="1" t="s">
        <v>146</v>
      </c>
      <c r="Y1865" s="1" t="s">
        <v>551</v>
      </c>
      <c r="Z1865" s="1" t="str">
        <f>TRIM(_xlfn.CONCAT(sales_data_sample[[#This Row],[CONTACTFIRSTNAME]],", ",sales_data_sample[[#This Row],[CONTACTLASTNAME]]))</f>
        <v>Sue, King</v>
      </c>
      <c r="AA1865" s="1" t="s">
        <v>59</v>
      </c>
    </row>
    <row r="1866" spans="1:27" x14ac:dyDescent="0.25">
      <c r="A1866" s="10">
        <v>10368</v>
      </c>
      <c r="B1866" s="9">
        <v>46</v>
      </c>
      <c r="C1866" s="9">
        <v>7962</v>
      </c>
      <c r="D1866" s="9">
        <f>PRODUCT(sales_data_sample[[#This Row],[QUANTITYORDERED]],sales_data_sample[[#This Row],[PRICEEACH]])</f>
        <v>366252</v>
      </c>
      <c r="E1866" s="9">
        <f>IF(OR(sales_data_sample[[#This Row],[STATUS]]="Shipped",sales_data_sample[[#This Row],[STATUS]]="Resolved"),sales_data_sample[[#This Row],[SALES]],0)</f>
        <v>366252</v>
      </c>
      <c r="F1866" s="10">
        <v>1</v>
      </c>
      <c r="G1866" s="12" t="s">
        <v>963</v>
      </c>
      <c r="H1866" s="1" t="s">
        <v>26</v>
      </c>
      <c r="I1866">
        <v>1</v>
      </c>
      <c r="J1866">
        <v>1</v>
      </c>
      <c r="K1866">
        <v>2005</v>
      </c>
      <c r="L1866" s="1" t="s">
        <v>239</v>
      </c>
      <c r="M1866">
        <v>85</v>
      </c>
      <c r="N1866" s="1" t="s">
        <v>971</v>
      </c>
      <c r="O1866" s="1" t="s">
        <v>361</v>
      </c>
      <c r="P1866" s="1" t="s">
        <v>362</v>
      </c>
      <c r="Q1866" s="1" t="s">
        <v>363</v>
      </c>
      <c r="R1866" s="1" t="s">
        <v>32</v>
      </c>
      <c r="S1866" s="1" t="s">
        <v>364</v>
      </c>
      <c r="T1866" s="1" t="s">
        <v>65</v>
      </c>
      <c r="U1866" s="1" t="s">
        <v>145</v>
      </c>
      <c r="V1866" s="1" t="s">
        <v>36</v>
      </c>
      <c r="W1866" s="1" t="s">
        <v>37</v>
      </c>
      <c r="X1866" s="1" t="s">
        <v>365</v>
      </c>
      <c r="Y1866" s="1" t="s">
        <v>366</v>
      </c>
      <c r="Z1866" s="1" t="str">
        <f>TRIM(_xlfn.CONCAT(sales_data_sample[[#This Row],[CONTACTFIRSTNAME]],", ",sales_data_sample[[#This Row],[CONTACTLASTNAME]]))</f>
        <v>Valarie, Nelson</v>
      </c>
      <c r="AA1866" s="1" t="s">
        <v>59</v>
      </c>
    </row>
    <row r="1867" spans="1:27" x14ac:dyDescent="0.25">
      <c r="A1867" s="10">
        <v>10380</v>
      </c>
      <c r="B1867" s="9">
        <v>44</v>
      </c>
      <c r="C1867" s="9">
        <v>7906</v>
      </c>
      <c r="D1867" s="9">
        <f>PRODUCT(sales_data_sample[[#This Row],[QUANTITYORDERED]],sales_data_sample[[#This Row],[PRICEEACH]])</f>
        <v>347864</v>
      </c>
      <c r="E1867" s="9">
        <f>IF(OR(sales_data_sample[[#This Row],[STATUS]]="Shipped",sales_data_sample[[#This Row],[STATUS]]="Resolved"),sales_data_sample[[#This Row],[SALES]],0)</f>
        <v>347864</v>
      </c>
      <c r="F1867" s="10">
        <v>9</v>
      </c>
      <c r="G1867" s="12" t="s">
        <v>826</v>
      </c>
      <c r="H1867" s="1" t="s">
        <v>26</v>
      </c>
      <c r="I1867">
        <v>1</v>
      </c>
      <c r="J1867">
        <v>2</v>
      </c>
      <c r="K1867">
        <v>2005</v>
      </c>
      <c r="L1867" s="1" t="s">
        <v>239</v>
      </c>
      <c r="M1867">
        <v>85</v>
      </c>
      <c r="N1867" s="1" t="s">
        <v>971</v>
      </c>
      <c r="O1867" s="1" t="s">
        <v>230</v>
      </c>
      <c r="P1867" s="1" t="s">
        <v>231</v>
      </c>
      <c r="Q1867" s="1" t="s">
        <v>232</v>
      </c>
      <c r="R1867" s="1" t="s">
        <v>32</v>
      </c>
      <c r="S1867" s="1" t="s">
        <v>233</v>
      </c>
      <c r="T1867" s="1" t="s">
        <v>32</v>
      </c>
      <c r="U1867" s="1" t="s">
        <v>234</v>
      </c>
      <c r="V1867" s="1" t="s">
        <v>235</v>
      </c>
      <c r="W1867" s="1" t="s">
        <v>48</v>
      </c>
      <c r="X1867" s="1" t="s">
        <v>236</v>
      </c>
      <c r="Y1867" s="1" t="s">
        <v>237</v>
      </c>
      <c r="Z1867" s="1" t="str">
        <f>TRIM(_xlfn.CONCAT(sales_data_sample[[#This Row],[CONTACTFIRSTNAME]],", ",sales_data_sample[[#This Row],[CONTACTLASTNAME]]))</f>
        <v>Diego, Freyre</v>
      </c>
      <c r="AA1867" s="1" t="s">
        <v>59</v>
      </c>
    </row>
    <row r="1868" spans="1:27" x14ac:dyDescent="0.25">
      <c r="A1868" s="10">
        <v>10407</v>
      </c>
      <c r="B1868" s="9">
        <v>13</v>
      </c>
      <c r="C1868" s="9">
        <v>8133</v>
      </c>
      <c r="D1868" s="9">
        <f>PRODUCT(sales_data_sample[[#This Row],[QUANTITYORDERED]],sales_data_sample[[#This Row],[PRICEEACH]])</f>
        <v>105729</v>
      </c>
      <c r="E1868" s="9">
        <f>IF(OR(sales_data_sample[[#This Row],[STATUS]]="Shipped",sales_data_sample[[#This Row],[STATUS]]="Resolved"),sales_data_sample[[#This Row],[SALES]],0)</f>
        <v>0</v>
      </c>
      <c r="F1868" s="10">
        <v>7</v>
      </c>
      <c r="G1868" s="12" t="s">
        <v>837</v>
      </c>
      <c r="H1868" s="1" t="s">
        <v>553</v>
      </c>
      <c r="I1868">
        <v>2</v>
      </c>
      <c r="J1868">
        <v>4</v>
      </c>
      <c r="K1868">
        <v>2005</v>
      </c>
      <c r="L1868" s="1" t="s">
        <v>239</v>
      </c>
      <c r="M1868">
        <v>85</v>
      </c>
      <c r="N1868" s="1" t="s">
        <v>971</v>
      </c>
      <c r="O1868" s="1" t="s">
        <v>547</v>
      </c>
      <c r="P1868" s="1" t="s">
        <v>548</v>
      </c>
      <c r="Q1868" s="1" t="s">
        <v>549</v>
      </c>
      <c r="R1868" s="1" t="s">
        <v>32</v>
      </c>
      <c r="S1868" s="1" t="s">
        <v>550</v>
      </c>
      <c r="T1868" s="1" t="s">
        <v>65</v>
      </c>
      <c r="U1868" s="1" t="s">
        <v>80</v>
      </c>
      <c r="V1868" s="1" t="s">
        <v>36</v>
      </c>
      <c r="W1868" s="1" t="s">
        <v>37</v>
      </c>
      <c r="X1868" s="1" t="s">
        <v>129</v>
      </c>
      <c r="Y1868" s="1" t="s">
        <v>551</v>
      </c>
      <c r="Z1868" s="1" t="str">
        <f>TRIM(_xlfn.CONCAT(sales_data_sample[[#This Row],[CONTACTFIRSTNAME]],", ",sales_data_sample[[#This Row],[CONTACTLASTNAME]]))</f>
        <v>Sue, Frick</v>
      </c>
      <c r="AA1868" s="1" t="s">
        <v>40</v>
      </c>
    </row>
    <row r="1869" spans="1:27" x14ac:dyDescent="0.25">
      <c r="A1869">
        <v>10420</v>
      </c>
      <c r="B1869">
        <v>35</v>
      </c>
      <c r="C1869">
        <v>9674</v>
      </c>
      <c r="D1869">
        <f>PRODUCT(sales_data_sample[[#This Row],[QUANTITYORDERED]],sales_data_sample[[#This Row],[PRICEEACH]])</f>
        <v>338590</v>
      </c>
      <c r="E1869" s="9">
        <f>IF(OR(sales_data_sample[[#This Row],[STATUS]]="Shipped",sales_data_sample[[#This Row],[STATUS]]="Resolved"),sales_data_sample[[#This Row],[SALES]],0)</f>
        <v>0</v>
      </c>
      <c r="F1869">
        <v>10</v>
      </c>
      <c r="G1869" s="12" t="s">
        <v>876</v>
      </c>
      <c r="H1869" s="1" t="s">
        <v>403</v>
      </c>
      <c r="I1869">
        <v>2</v>
      </c>
      <c r="J1869">
        <v>5</v>
      </c>
      <c r="K1869">
        <v>2005</v>
      </c>
      <c r="L1869" s="1" t="s">
        <v>239</v>
      </c>
      <c r="M1869">
        <v>85</v>
      </c>
      <c r="N1869" s="1" t="s">
        <v>971</v>
      </c>
      <c r="O1869" s="1" t="s">
        <v>201</v>
      </c>
      <c r="P1869" s="1" t="s">
        <v>202</v>
      </c>
      <c r="Q1869" s="1" t="s">
        <v>203</v>
      </c>
      <c r="R1869" s="1" t="s">
        <v>204</v>
      </c>
      <c r="S1869" s="1" t="s">
        <v>205</v>
      </c>
      <c r="T1869" s="1" t="s">
        <v>206</v>
      </c>
      <c r="U1869" s="1" t="s">
        <v>207</v>
      </c>
      <c r="V1869" s="1" t="s">
        <v>120</v>
      </c>
      <c r="W1869" s="1" t="s">
        <v>121</v>
      </c>
      <c r="X1869" s="1" t="s">
        <v>208</v>
      </c>
      <c r="Y1869" s="1" t="s">
        <v>209</v>
      </c>
      <c r="Z1869" s="1" t="str">
        <f>TRIM(_xlfn.CONCAT(sales_data_sample[[#This Row],[CONTACTFIRSTNAME]],", ",sales_data_sample[[#This Row],[CONTACTLASTNAME]]))</f>
        <v>Adrian, Huxley</v>
      </c>
      <c r="AA1869" s="1" t="s">
        <v>59</v>
      </c>
    </row>
    <row r="1870" spans="1:27" x14ac:dyDescent="0.25">
      <c r="A1870" s="10">
        <v>10108</v>
      </c>
      <c r="B1870" s="9">
        <v>30</v>
      </c>
      <c r="C1870" s="9">
        <v>6307</v>
      </c>
      <c r="D1870" s="9">
        <f>PRODUCT(sales_data_sample[[#This Row],[QUANTITYORDERED]],sales_data_sample[[#This Row],[PRICEEACH]])</f>
        <v>189210</v>
      </c>
      <c r="E1870" s="9">
        <f>IF(OR(sales_data_sample[[#This Row],[STATUS]]="Shipped",sales_data_sample[[#This Row],[STATUS]]="Resolved"),sales_data_sample[[#This Row],[SALES]],0)</f>
        <v>189210</v>
      </c>
      <c r="F1870" s="10">
        <v>5</v>
      </c>
      <c r="G1870" s="12" t="s">
        <v>589</v>
      </c>
      <c r="H1870" s="1" t="s">
        <v>26</v>
      </c>
      <c r="I1870">
        <v>1</v>
      </c>
      <c r="J1870">
        <v>3</v>
      </c>
      <c r="K1870">
        <v>2003</v>
      </c>
      <c r="L1870" s="1" t="s">
        <v>239</v>
      </c>
      <c r="M1870">
        <v>61</v>
      </c>
      <c r="N1870" s="1" t="s">
        <v>972</v>
      </c>
      <c r="O1870" s="1" t="s">
        <v>591</v>
      </c>
      <c r="P1870" s="1" t="s">
        <v>592</v>
      </c>
      <c r="Q1870" s="1" t="s">
        <v>593</v>
      </c>
      <c r="R1870" s="1" t="s">
        <v>32</v>
      </c>
      <c r="S1870" s="1" t="s">
        <v>594</v>
      </c>
      <c r="T1870" s="1" t="s">
        <v>32</v>
      </c>
      <c r="U1870" s="1" t="s">
        <v>595</v>
      </c>
      <c r="V1870" s="1" t="s">
        <v>596</v>
      </c>
      <c r="W1870" s="1" t="s">
        <v>264</v>
      </c>
      <c r="X1870" s="1" t="s">
        <v>597</v>
      </c>
      <c r="Y1870" s="1" t="s">
        <v>598</v>
      </c>
      <c r="Z1870" s="1" t="str">
        <f>TRIM(_xlfn.CONCAT(sales_data_sample[[#This Row],[CONTACTFIRSTNAME]],", ",sales_data_sample[[#This Row],[CONTACTLASTNAME]]))</f>
        <v>Arnold, Cruz</v>
      </c>
      <c r="AA1870" s="1" t="s">
        <v>40</v>
      </c>
    </row>
    <row r="1871" spans="1:27" x14ac:dyDescent="0.25">
      <c r="A1871" s="10">
        <v>10122</v>
      </c>
      <c r="B1871" s="9">
        <v>34</v>
      </c>
      <c r="C1871" s="9">
        <v>5021</v>
      </c>
      <c r="D1871" s="9">
        <f>PRODUCT(sales_data_sample[[#This Row],[QUANTITYORDERED]],sales_data_sample[[#This Row],[PRICEEACH]])</f>
        <v>170714</v>
      </c>
      <c r="E1871" s="9">
        <f>IF(OR(sales_data_sample[[#This Row],[STATUS]]="Shipped",sales_data_sample[[#This Row],[STATUS]]="Resolved"),sales_data_sample[[#This Row],[SALES]],0)</f>
        <v>170714</v>
      </c>
      <c r="F1871" s="10">
        <v>9</v>
      </c>
      <c r="G1871" s="12" t="s">
        <v>599</v>
      </c>
      <c r="H1871" s="1" t="s">
        <v>26</v>
      </c>
      <c r="I1871">
        <v>2</v>
      </c>
      <c r="J1871">
        <v>5</v>
      </c>
      <c r="K1871">
        <v>2003</v>
      </c>
      <c r="L1871" s="1" t="s">
        <v>239</v>
      </c>
      <c r="M1871">
        <v>61</v>
      </c>
      <c r="N1871" s="1" t="s">
        <v>972</v>
      </c>
      <c r="O1871" s="1" t="s">
        <v>600</v>
      </c>
      <c r="P1871" s="1" t="s">
        <v>601</v>
      </c>
      <c r="Q1871" s="1" t="s">
        <v>602</v>
      </c>
      <c r="R1871" s="1" t="s">
        <v>32</v>
      </c>
      <c r="S1871" s="1" t="s">
        <v>603</v>
      </c>
      <c r="T1871" s="1" t="s">
        <v>32</v>
      </c>
      <c r="U1871" s="1" t="s">
        <v>604</v>
      </c>
      <c r="V1871" s="1" t="s">
        <v>47</v>
      </c>
      <c r="W1871" s="1" t="s">
        <v>48</v>
      </c>
      <c r="X1871" s="1" t="s">
        <v>605</v>
      </c>
      <c r="Y1871" s="1" t="s">
        <v>606</v>
      </c>
      <c r="Z1871" s="1" t="str">
        <f>TRIM(_xlfn.CONCAT(sales_data_sample[[#This Row],[CONTACTFIRSTNAME]],", ",sales_data_sample[[#This Row],[CONTACTLASTNAME]]))</f>
        <v>Laurence, Lebihan</v>
      </c>
      <c r="AA1871" s="1" t="s">
        <v>40</v>
      </c>
    </row>
    <row r="1872" spans="1:27" x14ac:dyDescent="0.25">
      <c r="A1872" s="10">
        <v>10135</v>
      </c>
      <c r="B1872" s="9">
        <v>27</v>
      </c>
      <c r="C1872" s="9">
        <v>6613</v>
      </c>
      <c r="D1872" s="9">
        <f>PRODUCT(sales_data_sample[[#This Row],[QUANTITYORDERED]],sales_data_sample[[#This Row],[PRICEEACH]])</f>
        <v>178551</v>
      </c>
      <c r="E1872" s="9">
        <f>IF(OR(sales_data_sample[[#This Row],[STATUS]]="Shipped",sales_data_sample[[#This Row],[STATUS]]="Resolved"),sales_data_sample[[#This Row],[SALES]],0)</f>
        <v>178551</v>
      </c>
      <c r="F1872" s="10">
        <v>6</v>
      </c>
      <c r="G1872" s="12" t="s">
        <v>607</v>
      </c>
      <c r="H1872" s="1" t="s">
        <v>26</v>
      </c>
      <c r="I1872">
        <v>3</v>
      </c>
      <c r="J1872">
        <v>7</v>
      </c>
      <c r="K1872">
        <v>2003</v>
      </c>
      <c r="L1872" s="1" t="s">
        <v>239</v>
      </c>
      <c r="M1872">
        <v>61</v>
      </c>
      <c r="N1872" s="1" t="s">
        <v>972</v>
      </c>
      <c r="O1872" s="1" t="s">
        <v>361</v>
      </c>
      <c r="P1872" s="1" t="s">
        <v>362</v>
      </c>
      <c r="Q1872" s="1" t="s">
        <v>363</v>
      </c>
      <c r="R1872" s="1" t="s">
        <v>32</v>
      </c>
      <c r="S1872" s="1" t="s">
        <v>364</v>
      </c>
      <c r="T1872" s="1" t="s">
        <v>65</v>
      </c>
      <c r="U1872" s="1" t="s">
        <v>145</v>
      </c>
      <c r="V1872" s="1" t="s">
        <v>36</v>
      </c>
      <c r="W1872" s="1" t="s">
        <v>37</v>
      </c>
      <c r="X1872" s="1" t="s">
        <v>365</v>
      </c>
      <c r="Y1872" s="1" t="s">
        <v>366</v>
      </c>
      <c r="Z1872" s="1" t="str">
        <f>TRIM(_xlfn.CONCAT(sales_data_sample[[#This Row],[CONTACTFIRSTNAME]],", ",sales_data_sample[[#This Row],[CONTACTLASTNAME]]))</f>
        <v>Valarie, Nelson</v>
      </c>
      <c r="AA1872" s="1" t="s">
        <v>40</v>
      </c>
    </row>
    <row r="1873" spans="1:27" x14ac:dyDescent="0.25">
      <c r="A1873" s="10">
        <v>10147</v>
      </c>
      <c r="B1873" s="9">
        <v>30</v>
      </c>
      <c r="C1873" s="9">
        <v>6858</v>
      </c>
      <c r="D1873" s="9">
        <f>PRODUCT(sales_data_sample[[#This Row],[QUANTITYORDERED]],sales_data_sample[[#This Row],[PRICEEACH]])</f>
        <v>205740</v>
      </c>
      <c r="E1873" s="9">
        <f>IF(OR(sales_data_sample[[#This Row],[STATUS]]="Shipped",sales_data_sample[[#This Row],[STATUS]]="Resolved"),sales_data_sample[[#This Row],[SALES]],0)</f>
        <v>205740</v>
      </c>
      <c r="F1873" s="10">
        <v>6</v>
      </c>
      <c r="G1873" s="12" t="s">
        <v>608</v>
      </c>
      <c r="H1873" s="1" t="s">
        <v>26</v>
      </c>
      <c r="I1873">
        <v>3</v>
      </c>
      <c r="J1873">
        <v>9</v>
      </c>
      <c r="K1873">
        <v>2003</v>
      </c>
      <c r="L1873" s="1" t="s">
        <v>239</v>
      </c>
      <c r="M1873">
        <v>61</v>
      </c>
      <c r="N1873" s="1" t="s">
        <v>972</v>
      </c>
      <c r="O1873" s="1" t="s">
        <v>378</v>
      </c>
      <c r="P1873" s="1" t="s">
        <v>157</v>
      </c>
      <c r="Q1873" s="1" t="s">
        <v>379</v>
      </c>
      <c r="R1873" s="1" t="s">
        <v>32</v>
      </c>
      <c r="S1873" s="1" t="s">
        <v>380</v>
      </c>
      <c r="T1873" s="1" t="s">
        <v>160</v>
      </c>
      <c r="U1873" s="1" t="s">
        <v>381</v>
      </c>
      <c r="V1873" s="1" t="s">
        <v>36</v>
      </c>
      <c r="W1873" s="1" t="s">
        <v>37</v>
      </c>
      <c r="X1873" s="1" t="s">
        <v>365</v>
      </c>
      <c r="Y1873" s="1" t="s">
        <v>382</v>
      </c>
      <c r="Z1873" s="1" t="str">
        <f>TRIM(_xlfn.CONCAT(sales_data_sample[[#This Row],[CONTACTFIRSTNAME]],", ",sales_data_sample[[#This Row],[CONTACTLASTNAME]]))</f>
        <v>Allen, Nelson</v>
      </c>
      <c r="AA1873" s="1" t="s">
        <v>40</v>
      </c>
    </row>
    <row r="1874" spans="1:27" x14ac:dyDescent="0.25">
      <c r="A1874" s="10">
        <v>10159</v>
      </c>
      <c r="B1874" s="9">
        <v>50</v>
      </c>
      <c r="C1874" s="9">
        <v>698</v>
      </c>
      <c r="D1874" s="9">
        <f>PRODUCT(sales_data_sample[[#This Row],[QUANTITYORDERED]],sales_data_sample[[#This Row],[PRICEEACH]])</f>
        <v>34900</v>
      </c>
      <c r="E1874" s="9">
        <f>IF(OR(sales_data_sample[[#This Row],[STATUS]]="Shipped",sales_data_sample[[#This Row],[STATUS]]="Resolved"),sales_data_sample[[#This Row],[SALES]],0)</f>
        <v>34900</v>
      </c>
      <c r="F1874" s="10">
        <v>1</v>
      </c>
      <c r="G1874" s="12" t="s">
        <v>69</v>
      </c>
      <c r="H1874" s="1" t="s">
        <v>26</v>
      </c>
      <c r="I1874">
        <v>4</v>
      </c>
      <c r="J1874">
        <v>10</v>
      </c>
      <c r="K1874">
        <v>2003</v>
      </c>
      <c r="L1874" s="1" t="s">
        <v>239</v>
      </c>
      <c r="M1874">
        <v>61</v>
      </c>
      <c r="N1874" s="1" t="s">
        <v>972</v>
      </c>
      <c r="O1874" s="1" t="s">
        <v>70</v>
      </c>
      <c r="P1874" s="1" t="s">
        <v>71</v>
      </c>
      <c r="Q1874" s="1" t="s">
        <v>72</v>
      </c>
      <c r="R1874" s="1" t="s">
        <v>32</v>
      </c>
      <c r="S1874" s="1" t="s">
        <v>73</v>
      </c>
      <c r="T1874" s="1" t="s">
        <v>65</v>
      </c>
      <c r="U1874" s="1" t="s">
        <v>32</v>
      </c>
      <c r="V1874" s="1" t="s">
        <v>36</v>
      </c>
      <c r="W1874" s="1" t="s">
        <v>37</v>
      </c>
      <c r="X1874" s="1" t="s">
        <v>74</v>
      </c>
      <c r="Y1874" s="1" t="s">
        <v>68</v>
      </c>
      <c r="Z1874" s="1" t="str">
        <f>TRIM(_xlfn.CONCAT(sales_data_sample[[#This Row],[CONTACTFIRSTNAME]],", ",sales_data_sample[[#This Row],[CONTACTLASTNAME]]))</f>
        <v>Julie, Brown</v>
      </c>
      <c r="AA1874" s="1" t="s">
        <v>59</v>
      </c>
    </row>
    <row r="1875" spans="1:27" x14ac:dyDescent="0.25">
      <c r="A1875">
        <v>10169</v>
      </c>
      <c r="B1875">
        <v>34</v>
      </c>
      <c r="C1875">
        <v>5021</v>
      </c>
      <c r="D1875">
        <f>PRODUCT(sales_data_sample[[#This Row],[QUANTITYORDERED]],sales_data_sample[[#This Row],[PRICEEACH]])</f>
        <v>170714</v>
      </c>
      <c r="E1875" s="9">
        <f>IF(OR(sales_data_sample[[#This Row],[STATUS]]="Shipped",sales_data_sample[[#This Row],[STATUS]]="Resolved"),sales_data_sample[[#This Row],[SALES]],0)</f>
        <v>170714</v>
      </c>
      <c r="F1875">
        <v>1</v>
      </c>
      <c r="G1875" s="12" t="s">
        <v>609</v>
      </c>
      <c r="H1875" s="1" t="s">
        <v>26</v>
      </c>
      <c r="I1875">
        <v>4</v>
      </c>
      <c r="J1875">
        <v>11</v>
      </c>
      <c r="K1875">
        <v>2003</v>
      </c>
      <c r="L1875" s="1" t="s">
        <v>239</v>
      </c>
      <c r="M1875">
        <v>61</v>
      </c>
      <c r="N1875" s="1" t="s">
        <v>972</v>
      </c>
      <c r="O1875" s="1" t="s">
        <v>385</v>
      </c>
      <c r="P1875" s="1" t="s">
        <v>386</v>
      </c>
      <c r="Q1875" s="1" t="s">
        <v>387</v>
      </c>
      <c r="R1875" s="1" t="s">
        <v>388</v>
      </c>
      <c r="S1875" s="1" t="s">
        <v>389</v>
      </c>
      <c r="T1875" s="1" t="s">
        <v>206</v>
      </c>
      <c r="U1875" s="1" t="s">
        <v>390</v>
      </c>
      <c r="V1875" s="1" t="s">
        <v>120</v>
      </c>
      <c r="W1875" s="1" t="s">
        <v>121</v>
      </c>
      <c r="X1875" s="1" t="s">
        <v>391</v>
      </c>
      <c r="Y1875" s="1" t="s">
        <v>392</v>
      </c>
      <c r="Z1875" s="1" t="str">
        <f>TRIM(_xlfn.CONCAT(sales_data_sample[[#This Row],[CONTACTFIRSTNAME]],", ",sales_data_sample[[#This Row],[CONTACTLASTNAME]]))</f>
        <v>Anna, O'Hara</v>
      </c>
      <c r="AA1875" s="1" t="s">
        <v>40</v>
      </c>
    </row>
    <row r="1876" spans="1:27" x14ac:dyDescent="0.25">
      <c r="A1876" s="10">
        <v>10181</v>
      </c>
      <c r="B1876" s="9">
        <v>23</v>
      </c>
      <c r="C1876" s="9">
        <v>6552</v>
      </c>
      <c r="D1876" s="9">
        <f>PRODUCT(sales_data_sample[[#This Row],[QUANTITYORDERED]],sales_data_sample[[#This Row],[PRICEEACH]])</f>
        <v>150696</v>
      </c>
      <c r="E1876" s="9">
        <f>IF(OR(sales_data_sample[[#This Row],[STATUS]]="Shipped",sales_data_sample[[#This Row],[STATUS]]="Resolved"),sales_data_sample[[#This Row],[SALES]],0)</f>
        <v>150696</v>
      </c>
      <c r="F1876" s="10">
        <v>13</v>
      </c>
      <c r="G1876" s="12" t="s">
        <v>610</v>
      </c>
      <c r="H1876" s="1" t="s">
        <v>26</v>
      </c>
      <c r="I1876">
        <v>4</v>
      </c>
      <c r="J1876">
        <v>11</v>
      </c>
      <c r="K1876">
        <v>2003</v>
      </c>
      <c r="L1876" s="1" t="s">
        <v>239</v>
      </c>
      <c r="M1876">
        <v>61</v>
      </c>
      <c r="N1876" s="1" t="s">
        <v>972</v>
      </c>
      <c r="O1876" s="1" t="s">
        <v>92</v>
      </c>
      <c r="P1876" s="1" t="s">
        <v>93</v>
      </c>
      <c r="Q1876" s="1" t="s">
        <v>94</v>
      </c>
      <c r="R1876" s="1" t="s">
        <v>32</v>
      </c>
      <c r="S1876" s="1" t="s">
        <v>95</v>
      </c>
      <c r="T1876" s="1" t="s">
        <v>32</v>
      </c>
      <c r="U1876" s="1" t="s">
        <v>96</v>
      </c>
      <c r="V1876" s="1" t="s">
        <v>97</v>
      </c>
      <c r="W1876" s="1" t="s">
        <v>48</v>
      </c>
      <c r="X1876" s="1" t="s">
        <v>98</v>
      </c>
      <c r="Y1876" s="1" t="s">
        <v>99</v>
      </c>
      <c r="Z1876" s="1" t="str">
        <f>TRIM(_xlfn.CONCAT(sales_data_sample[[#This Row],[CONTACTFIRSTNAME]],", ",sales_data_sample[[#This Row],[CONTACTLASTNAME]]))</f>
        <v>Veysel, Oeztan</v>
      </c>
      <c r="AA1876" s="1" t="s">
        <v>40</v>
      </c>
    </row>
    <row r="1877" spans="1:27" x14ac:dyDescent="0.25">
      <c r="A1877" s="10">
        <v>10191</v>
      </c>
      <c r="B1877" s="9">
        <v>48</v>
      </c>
      <c r="C1877" s="9">
        <v>6001</v>
      </c>
      <c r="D1877" s="9">
        <f>PRODUCT(sales_data_sample[[#This Row],[QUANTITYORDERED]],sales_data_sample[[#This Row],[PRICEEACH]])</f>
        <v>288048</v>
      </c>
      <c r="E1877" s="9">
        <f>IF(OR(sales_data_sample[[#This Row],[STATUS]]="Shipped",sales_data_sample[[#This Row],[STATUS]]="Resolved"),sales_data_sample[[#This Row],[SALES]],0)</f>
        <v>288048</v>
      </c>
      <c r="F1877" s="10">
        <v>2</v>
      </c>
      <c r="G1877" s="12" t="s">
        <v>611</v>
      </c>
      <c r="H1877" s="1" t="s">
        <v>26</v>
      </c>
      <c r="I1877">
        <v>4</v>
      </c>
      <c r="J1877">
        <v>11</v>
      </c>
      <c r="K1877">
        <v>2003</v>
      </c>
      <c r="L1877" s="1" t="s">
        <v>239</v>
      </c>
      <c r="M1877">
        <v>61</v>
      </c>
      <c r="N1877" s="1" t="s">
        <v>972</v>
      </c>
      <c r="O1877" s="1" t="s">
        <v>612</v>
      </c>
      <c r="P1877" s="1" t="s">
        <v>613</v>
      </c>
      <c r="Q1877" s="1" t="s">
        <v>614</v>
      </c>
      <c r="R1877" s="1" t="s">
        <v>32</v>
      </c>
      <c r="S1877" s="1" t="s">
        <v>615</v>
      </c>
      <c r="T1877" s="1" t="s">
        <v>32</v>
      </c>
      <c r="U1877" s="1" t="s">
        <v>616</v>
      </c>
      <c r="V1877" s="1" t="s">
        <v>617</v>
      </c>
      <c r="W1877" s="1" t="s">
        <v>48</v>
      </c>
      <c r="X1877" s="1" t="s">
        <v>618</v>
      </c>
      <c r="Y1877" s="1" t="s">
        <v>619</v>
      </c>
      <c r="Z1877" s="1" t="str">
        <f>TRIM(_xlfn.CONCAT(sales_data_sample[[#This Row],[CONTACTFIRSTNAME]],", ",sales_data_sample[[#This Row],[CONTACTLASTNAME]]))</f>
        <v>Henriette, Pfalzheim</v>
      </c>
      <c r="AA1877" s="1" t="s">
        <v>40</v>
      </c>
    </row>
    <row r="1878" spans="1:27" x14ac:dyDescent="0.25">
      <c r="A1878" s="10">
        <v>10203</v>
      </c>
      <c r="B1878" s="9">
        <v>34</v>
      </c>
      <c r="C1878" s="9">
        <v>649</v>
      </c>
      <c r="D1878" s="9">
        <f>PRODUCT(sales_data_sample[[#This Row],[QUANTITYORDERED]],sales_data_sample[[#This Row],[PRICEEACH]])</f>
        <v>22066</v>
      </c>
      <c r="E1878" s="9">
        <f>IF(OR(sales_data_sample[[#This Row],[STATUS]]="Shipped",sales_data_sample[[#This Row],[STATUS]]="Resolved"),sales_data_sample[[#This Row],[SALES]],0)</f>
        <v>22066</v>
      </c>
      <c r="F1878" s="10">
        <v>7</v>
      </c>
      <c r="G1878" s="12" t="s">
        <v>620</v>
      </c>
      <c r="H1878" s="1" t="s">
        <v>26</v>
      </c>
      <c r="I1878">
        <v>4</v>
      </c>
      <c r="J1878">
        <v>12</v>
      </c>
      <c r="K1878">
        <v>2003</v>
      </c>
      <c r="L1878" s="1" t="s">
        <v>239</v>
      </c>
      <c r="M1878">
        <v>61</v>
      </c>
      <c r="N1878" s="1" t="s">
        <v>972</v>
      </c>
      <c r="O1878" s="1" t="s">
        <v>230</v>
      </c>
      <c r="P1878" s="1" t="s">
        <v>231</v>
      </c>
      <c r="Q1878" s="1" t="s">
        <v>232</v>
      </c>
      <c r="R1878" s="1" t="s">
        <v>32</v>
      </c>
      <c r="S1878" s="1" t="s">
        <v>233</v>
      </c>
      <c r="T1878" s="1" t="s">
        <v>32</v>
      </c>
      <c r="U1878" s="1" t="s">
        <v>234</v>
      </c>
      <c r="V1878" s="1" t="s">
        <v>235</v>
      </c>
      <c r="W1878" s="1" t="s">
        <v>48</v>
      </c>
      <c r="X1878" s="1" t="s">
        <v>236</v>
      </c>
      <c r="Y1878" s="1" t="s">
        <v>237</v>
      </c>
      <c r="Z1878" s="1" t="str">
        <f>TRIM(_xlfn.CONCAT(sales_data_sample[[#This Row],[CONTACTFIRSTNAME]],", ",sales_data_sample[[#This Row],[CONTACTLASTNAME]]))</f>
        <v>Diego, Freyre</v>
      </c>
      <c r="AA1878" s="1" t="s">
        <v>40</v>
      </c>
    </row>
    <row r="1879" spans="1:27" x14ac:dyDescent="0.25">
      <c r="A1879" s="10">
        <v>10211</v>
      </c>
      <c r="B1879" s="9">
        <v>48</v>
      </c>
      <c r="C1879" s="9">
        <v>4898</v>
      </c>
      <c r="D1879" s="9">
        <f>PRODUCT(sales_data_sample[[#This Row],[QUANTITYORDERED]],sales_data_sample[[#This Row],[PRICEEACH]])</f>
        <v>235104</v>
      </c>
      <c r="E1879" s="9">
        <f>IF(OR(sales_data_sample[[#This Row],[STATUS]]="Shipped",sales_data_sample[[#This Row],[STATUS]]="Resolved"),sales_data_sample[[#This Row],[SALES]],0)</f>
        <v>235104</v>
      </c>
      <c r="F1879" s="10">
        <v>1</v>
      </c>
      <c r="G1879" s="12" t="s">
        <v>105</v>
      </c>
      <c r="H1879" s="1" t="s">
        <v>26</v>
      </c>
      <c r="I1879">
        <v>1</v>
      </c>
      <c r="J1879">
        <v>1</v>
      </c>
      <c r="K1879">
        <v>2004</v>
      </c>
      <c r="L1879" s="1" t="s">
        <v>239</v>
      </c>
      <c r="M1879">
        <v>61</v>
      </c>
      <c r="N1879" s="1" t="s">
        <v>972</v>
      </c>
      <c r="O1879" s="1" t="s">
        <v>106</v>
      </c>
      <c r="P1879" s="1" t="s">
        <v>107</v>
      </c>
      <c r="Q1879" s="1" t="s">
        <v>108</v>
      </c>
      <c r="R1879" s="1" t="s">
        <v>32</v>
      </c>
      <c r="S1879" s="1" t="s">
        <v>55</v>
      </c>
      <c r="T1879" s="1" t="s">
        <v>32</v>
      </c>
      <c r="U1879" s="1" t="s">
        <v>109</v>
      </c>
      <c r="V1879" s="1" t="s">
        <v>47</v>
      </c>
      <c r="W1879" s="1" t="s">
        <v>48</v>
      </c>
      <c r="X1879" s="1" t="s">
        <v>110</v>
      </c>
      <c r="Y1879" s="1" t="s">
        <v>111</v>
      </c>
      <c r="Z1879" s="1" t="str">
        <f>TRIM(_xlfn.CONCAT(sales_data_sample[[#This Row],[CONTACTFIRSTNAME]],", ",sales_data_sample[[#This Row],[CONTACTLASTNAME]]))</f>
        <v>Dominique, Perrier</v>
      </c>
      <c r="AA1879" s="1" t="s">
        <v>40</v>
      </c>
    </row>
    <row r="1880" spans="1:27" x14ac:dyDescent="0.25">
      <c r="A1880" s="10">
        <v>10225</v>
      </c>
      <c r="B1880" s="9">
        <v>24</v>
      </c>
      <c r="C1880" s="9">
        <v>5021</v>
      </c>
      <c r="D1880" s="9">
        <f>PRODUCT(sales_data_sample[[#This Row],[QUANTITYORDERED]],sales_data_sample[[#This Row],[PRICEEACH]])</f>
        <v>120504</v>
      </c>
      <c r="E1880" s="9">
        <f>IF(OR(sales_data_sample[[#This Row],[STATUS]]="Shipped",sales_data_sample[[#This Row],[STATUS]]="Resolved"),sales_data_sample[[#This Row],[SALES]],0)</f>
        <v>120504</v>
      </c>
      <c r="F1880" s="10">
        <v>8</v>
      </c>
      <c r="G1880" s="12" t="s">
        <v>621</v>
      </c>
      <c r="H1880" s="1" t="s">
        <v>26</v>
      </c>
      <c r="I1880">
        <v>1</v>
      </c>
      <c r="J1880">
        <v>2</v>
      </c>
      <c r="K1880">
        <v>2004</v>
      </c>
      <c r="L1880" s="1" t="s">
        <v>239</v>
      </c>
      <c r="M1880">
        <v>61</v>
      </c>
      <c r="N1880" s="1" t="s">
        <v>972</v>
      </c>
      <c r="O1880" s="1" t="s">
        <v>622</v>
      </c>
      <c r="P1880" s="1" t="s">
        <v>623</v>
      </c>
      <c r="Q1880" s="1" t="s">
        <v>624</v>
      </c>
      <c r="R1880" s="1" t="s">
        <v>32</v>
      </c>
      <c r="S1880" s="1" t="s">
        <v>625</v>
      </c>
      <c r="T1880" s="1" t="s">
        <v>32</v>
      </c>
      <c r="U1880" s="1" t="s">
        <v>626</v>
      </c>
      <c r="V1880" s="1" t="s">
        <v>627</v>
      </c>
      <c r="W1880" s="1" t="s">
        <v>48</v>
      </c>
      <c r="X1880" s="1" t="s">
        <v>628</v>
      </c>
      <c r="Y1880" s="1" t="s">
        <v>130</v>
      </c>
      <c r="Z1880" s="1" t="str">
        <f>TRIM(_xlfn.CONCAT(sales_data_sample[[#This Row],[CONTACTFIRSTNAME]],", ",sales_data_sample[[#This Row],[CONTACTLASTNAME]]))</f>
        <v>Michael, Holz</v>
      </c>
      <c r="AA1880" s="1" t="s">
        <v>40</v>
      </c>
    </row>
    <row r="1881" spans="1:27" x14ac:dyDescent="0.25">
      <c r="A1881" s="10">
        <v>10238</v>
      </c>
      <c r="B1881" s="9">
        <v>47</v>
      </c>
      <c r="C1881" s="9">
        <v>6245</v>
      </c>
      <c r="D1881" s="9">
        <f>PRODUCT(sales_data_sample[[#This Row],[QUANTITYORDERED]],sales_data_sample[[#This Row],[PRICEEACH]])</f>
        <v>293515</v>
      </c>
      <c r="E1881" s="9">
        <f>IF(OR(sales_data_sample[[#This Row],[STATUS]]="Shipped",sales_data_sample[[#This Row],[STATUS]]="Resolved"),sales_data_sample[[#This Row],[SALES]],0)</f>
        <v>293515</v>
      </c>
      <c r="F1881" s="10">
        <v>2</v>
      </c>
      <c r="G1881" s="12" t="s">
        <v>629</v>
      </c>
      <c r="H1881" s="1" t="s">
        <v>26</v>
      </c>
      <c r="I1881">
        <v>2</v>
      </c>
      <c r="J1881">
        <v>4</v>
      </c>
      <c r="K1881">
        <v>2004</v>
      </c>
      <c r="L1881" s="1" t="s">
        <v>239</v>
      </c>
      <c r="M1881">
        <v>61</v>
      </c>
      <c r="N1881" s="1" t="s">
        <v>972</v>
      </c>
      <c r="O1881" s="1" t="s">
        <v>437</v>
      </c>
      <c r="P1881" s="1" t="s">
        <v>438</v>
      </c>
      <c r="Q1881" s="1" t="s">
        <v>439</v>
      </c>
      <c r="R1881" s="1" t="s">
        <v>32</v>
      </c>
      <c r="S1881" s="1" t="s">
        <v>440</v>
      </c>
      <c r="T1881" s="1" t="s">
        <v>32</v>
      </c>
      <c r="U1881" s="1" t="s">
        <v>441</v>
      </c>
      <c r="V1881" s="1" t="s">
        <v>442</v>
      </c>
      <c r="W1881" s="1" t="s">
        <v>48</v>
      </c>
      <c r="X1881" s="1" t="s">
        <v>443</v>
      </c>
      <c r="Y1881" s="1" t="s">
        <v>444</v>
      </c>
      <c r="Z1881" s="1" t="str">
        <f>TRIM(_xlfn.CONCAT(sales_data_sample[[#This Row],[CONTACTFIRSTNAME]],", ",sales_data_sample[[#This Row],[CONTACTLASTNAME]]))</f>
        <v>Jytte, Petersen</v>
      </c>
      <c r="AA1881" s="1" t="s">
        <v>40</v>
      </c>
    </row>
    <row r="1882" spans="1:27" x14ac:dyDescent="0.25">
      <c r="A1882" s="10">
        <v>10253</v>
      </c>
      <c r="B1882" s="9">
        <v>24</v>
      </c>
      <c r="C1882" s="9">
        <v>5266</v>
      </c>
      <c r="D1882" s="9">
        <f>PRODUCT(sales_data_sample[[#This Row],[QUANTITYORDERED]],sales_data_sample[[#This Row],[PRICEEACH]])</f>
        <v>126384</v>
      </c>
      <c r="E1882" s="9">
        <f>IF(OR(sales_data_sample[[#This Row],[STATUS]]="Shipped",sales_data_sample[[#This Row],[STATUS]]="Resolved"),sales_data_sample[[#This Row],[SALES]],0)</f>
        <v>0</v>
      </c>
      <c r="F1882" s="10">
        <v>12</v>
      </c>
      <c r="G1882" s="12" t="s">
        <v>630</v>
      </c>
      <c r="H1882" s="1" t="s">
        <v>461</v>
      </c>
      <c r="I1882">
        <v>2</v>
      </c>
      <c r="J1882">
        <v>6</v>
      </c>
      <c r="K1882">
        <v>2004</v>
      </c>
      <c r="L1882" s="1" t="s">
        <v>239</v>
      </c>
      <c r="M1882">
        <v>61</v>
      </c>
      <c r="N1882" s="1" t="s">
        <v>972</v>
      </c>
      <c r="O1882" s="1" t="s">
        <v>220</v>
      </c>
      <c r="P1882" s="1" t="s">
        <v>221</v>
      </c>
      <c r="Q1882" s="1" t="s">
        <v>222</v>
      </c>
      <c r="R1882" s="1" t="s">
        <v>32</v>
      </c>
      <c r="S1882" s="1" t="s">
        <v>223</v>
      </c>
      <c r="T1882" s="1" t="s">
        <v>32</v>
      </c>
      <c r="U1882" s="1" t="s">
        <v>224</v>
      </c>
      <c r="V1882" s="1" t="s">
        <v>225</v>
      </c>
      <c r="W1882" s="1" t="s">
        <v>48</v>
      </c>
      <c r="X1882" s="1" t="s">
        <v>226</v>
      </c>
      <c r="Y1882" s="1" t="s">
        <v>227</v>
      </c>
      <c r="Z1882" s="1" t="str">
        <f>TRIM(_xlfn.CONCAT(sales_data_sample[[#This Row],[CONTACTFIRSTNAME]],", ",sales_data_sample[[#This Row],[CONTACTLASTNAME]]))</f>
        <v>Elizabeth, Devon</v>
      </c>
      <c r="AA1882" s="1" t="s">
        <v>40</v>
      </c>
    </row>
    <row r="1883" spans="1:27" x14ac:dyDescent="0.25">
      <c r="A1883" s="10">
        <v>10266</v>
      </c>
      <c r="B1883" s="9">
        <v>47</v>
      </c>
      <c r="C1883" s="9">
        <v>6245</v>
      </c>
      <c r="D1883" s="9">
        <f>PRODUCT(sales_data_sample[[#This Row],[QUANTITYORDERED]],sales_data_sample[[#This Row],[PRICEEACH]])</f>
        <v>293515</v>
      </c>
      <c r="E1883" s="9">
        <f>IF(OR(sales_data_sample[[#This Row],[STATUS]]="Shipped",sales_data_sample[[#This Row],[STATUS]]="Resolved"),sales_data_sample[[#This Row],[SALES]],0)</f>
        <v>293515</v>
      </c>
      <c r="F1883" s="10">
        <v>13</v>
      </c>
      <c r="G1883" s="12" t="s">
        <v>631</v>
      </c>
      <c r="H1883" s="1" t="s">
        <v>26</v>
      </c>
      <c r="I1883">
        <v>3</v>
      </c>
      <c r="J1883">
        <v>7</v>
      </c>
      <c r="K1883">
        <v>2004</v>
      </c>
      <c r="L1883" s="1" t="s">
        <v>239</v>
      </c>
      <c r="M1883">
        <v>61</v>
      </c>
      <c r="N1883" s="1" t="s">
        <v>972</v>
      </c>
      <c r="O1883" s="1" t="s">
        <v>632</v>
      </c>
      <c r="P1883" s="1" t="s">
        <v>633</v>
      </c>
      <c r="Q1883" s="1" t="s">
        <v>634</v>
      </c>
      <c r="R1883" s="1" t="s">
        <v>32</v>
      </c>
      <c r="S1883" s="1" t="s">
        <v>635</v>
      </c>
      <c r="T1883" s="1" t="s">
        <v>32</v>
      </c>
      <c r="U1883" s="1" t="s">
        <v>636</v>
      </c>
      <c r="V1883" s="1" t="s">
        <v>343</v>
      </c>
      <c r="W1883" s="1" t="s">
        <v>48</v>
      </c>
      <c r="X1883" s="1" t="s">
        <v>637</v>
      </c>
      <c r="Y1883" s="1" t="s">
        <v>638</v>
      </c>
      <c r="Z1883" s="1" t="str">
        <f>TRIM(_xlfn.CONCAT(sales_data_sample[[#This Row],[CONTACTFIRSTNAME]],", ",sales_data_sample[[#This Row],[CONTACTLASTNAME]]))</f>
        <v>Maurizio, Moroni</v>
      </c>
      <c r="AA1883" s="1" t="s">
        <v>40</v>
      </c>
    </row>
    <row r="1884" spans="1:27" x14ac:dyDescent="0.25">
      <c r="A1884" s="10">
        <v>10276</v>
      </c>
      <c r="B1884" s="9">
        <v>20</v>
      </c>
      <c r="C1884" s="9">
        <v>6123</v>
      </c>
      <c r="D1884" s="9">
        <f>PRODUCT(sales_data_sample[[#This Row],[QUANTITYORDERED]],sales_data_sample[[#This Row],[PRICEEACH]])</f>
        <v>122460</v>
      </c>
      <c r="E1884" s="9">
        <f>IF(OR(sales_data_sample[[#This Row],[STATUS]]="Shipped",sales_data_sample[[#This Row],[STATUS]]="Resolved"),sales_data_sample[[#This Row],[SALES]],0)</f>
        <v>122460</v>
      </c>
      <c r="F1884" s="10">
        <v>2</v>
      </c>
      <c r="G1884" s="12" t="s">
        <v>639</v>
      </c>
      <c r="H1884" s="1" t="s">
        <v>26</v>
      </c>
      <c r="I1884">
        <v>3</v>
      </c>
      <c r="J1884">
        <v>8</v>
      </c>
      <c r="K1884">
        <v>2004</v>
      </c>
      <c r="L1884" s="1" t="s">
        <v>239</v>
      </c>
      <c r="M1884">
        <v>61</v>
      </c>
      <c r="N1884" s="1" t="s">
        <v>972</v>
      </c>
      <c r="O1884" s="1" t="s">
        <v>640</v>
      </c>
      <c r="P1884" s="1" t="s">
        <v>641</v>
      </c>
      <c r="Q1884" s="1" t="s">
        <v>642</v>
      </c>
      <c r="R1884" s="1" t="s">
        <v>32</v>
      </c>
      <c r="S1884" s="1" t="s">
        <v>380</v>
      </c>
      <c r="T1884" s="1" t="s">
        <v>160</v>
      </c>
      <c r="U1884" s="1" t="s">
        <v>381</v>
      </c>
      <c r="V1884" s="1" t="s">
        <v>36</v>
      </c>
      <c r="W1884" s="1" t="s">
        <v>37</v>
      </c>
      <c r="X1884" s="1" t="s">
        <v>643</v>
      </c>
      <c r="Y1884" s="1" t="s">
        <v>644</v>
      </c>
      <c r="Z1884" s="1" t="str">
        <f>TRIM(_xlfn.CONCAT(sales_data_sample[[#This Row],[CONTACTFIRSTNAME]],", ",sales_data_sample[[#This Row],[CONTACTLASTNAME]]))</f>
        <v>Miguel, Barajas</v>
      </c>
      <c r="AA1884" s="1" t="s">
        <v>40</v>
      </c>
    </row>
    <row r="1885" spans="1:27" x14ac:dyDescent="0.25">
      <c r="A1885" s="10">
        <v>10287</v>
      </c>
      <c r="B1885" s="9">
        <v>20</v>
      </c>
      <c r="C1885" s="9">
        <v>6797</v>
      </c>
      <c r="D1885" s="9">
        <f>PRODUCT(sales_data_sample[[#This Row],[QUANTITYORDERED]],sales_data_sample[[#This Row],[PRICEEACH]])</f>
        <v>135940</v>
      </c>
      <c r="E1885" s="9">
        <f>IF(OR(sales_data_sample[[#This Row],[STATUS]]="Shipped",sales_data_sample[[#This Row],[STATUS]]="Resolved"),sales_data_sample[[#This Row],[SALES]],0)</f>
        <v>135940</v>
      </c>
      <c r="F1885" s="10">
        <v>11</v>
      </c>
      <c r="G1885" s="12" t="s">
        <v>645</v>
      </c>
      <c r="H1885" s="1" t="s">
        <v>26</v>
      </c>
      <c r="I1885">
        <v>3</v>
      </c>
      <c r="J1885">
        <v>8</v>
      </c>
      <c r="K1885">
        <v>2004</v>
      </c>
      <c r="L1885" s="1" t="s">
        <v>239</v>
      </c>
      <c r="M1885">
        <v>61</v>
      </c>
      <c r="N1885" s="1" t="s">
        <v>972</v>
      </c>
      <c r="O1885" s="1" t="s">
        <v>622</v>
      </c>
      <c r="P1885" s="1" t="s">
        <v>623</v>
      </c>
      <c r="Q1885" s="1" t="s">
        <v>624</v>
      </c>
      <c r="R1885" s="1" t="s">
        <v>32</v>
      </c>
      <c r="S1885" s="1" t="s">
        <v>625</v>
      </c>
      <c r="T1885" s="1" t="s">
        <v>32</v>
      </c>
      <c r="U1885" s="1" t="s">
        <v>626</v>
      </c>
      <c r="V1885" s="1" t="s">
        <v>627</v>
      </c>
      <c r="W1885" s="1" t="s">
        <v>48</v>
      </c>
      <c r="X1885" s="1" t="s">
        <v>628</v>
      </c>
      <c r="Y1885" s="1" t="s">
        <v>130</v>
      </c>
      <c r="Z1885" s="1" t="str">
        <f>TRIM(_xlfn.CONCAT(sales_data_sample[[#This Row],[CONTACTFIRSTNAME]],", ",sales_data_sample[[#This Row],[CONTACTLASTNAME]]))</f>
        <v>Michael, Holz</v>
      </c>
      <c r="AA1885" s="1" t="s">
        <v>40</v>
      </c>
    </row>
    <row r="1886" spans="1:27" x14ac:dyDescent="0.25">
      <c r="A1886" s="10">
        <v>10300</v>
      </c>
      <c r="B1886" s="9">
        <v>31</v>
      </c>
      <c r="C1886" s="9">
        <v>5878</v>
      </c>
      <c r="D1886" s="9">
        <f>PRODUCT(sales_data_sample[[#This Row],[QUANTITYORDERED]],sales_data_sample[[#This Row],[PRICEEACH]])</f>
        <v>182218</v>
      </c>
      <c r="E1886" s="9">
        <f>IF(OR(sales_data_sample[[#This Row],[STATUS]]="Shipped",sales_data_sample[[#This Row],[STATUS]]="Resolved"),sales_data_sample[[#This Row],[SALES]],0)</f>
        <v>182218</v>
      </c>
      <c r="F1886" s="10">
        <v>4</v>
      </c>
      <c r="G1886" s="12" t="s">
        <v>646</v>
      </c>
      <c r="H1886" s="1" t="s">
        <v>26</v>
      </c>
      <c r="I1886">
        <v>4</v>
      </c>
      <c r="J1886">
        <v>10</v>
      </c>
      <c r="K1886">
        <v>2003</v>
      </c>
      <c r="L1886" s="1" t="s">
        <v>239</v>
      </c>
      <c r="M1886">
        <v>61</v>
      </c>
      <c r="N1886" s="1" t="s">
        <v>972</v>
      </c>
      <c r="O1886" s="1" t="s">
        <v>647</v>
      </c>
      <c r="P1886" s="1" t="s">
        <v>648</v>
      </c>
      <c r="Q1886" s="1" t="s">
        <v>649</v>
      </c>
      <c r="R1886" s="1" t="s">
        <v>32</v>
      </c>
      <c r="S1886" s="1" t="s">
        <v>650</v>
      </c>
      <c r="T1886" s="1" t="s">
        <v>32</v>
      </c>
      <c r="U1886" s="1" t="s">
        <v>651</v>
      </c>
      <c r="V1886" s="1" t="s">
        <v>617</v>
      </c>
      <c r="W1886" s="1" t="s">
        <v>48</v>
      </c>
      <c r="X1886" s="1" t="s">
        <v>652</v>
      </c>
      <c r="Y1886" s="1" t="s">
        <v>570</v>
      </c>
      <c r="Z1886" s="1" t="str">
        <f>TRIM(_xlfn.CONCAT(sales_data_sample[[#This Row],[CONTACTFIRSTNAME]],", ",sales_data_sample[[#This Row],[CONTACTLASTNAME]]))</f>
        <v>Roland, Keitel</v>
      </c>
      <c r="AA1886" s="1" t="s">
        <v>40</v>
      </c>
    </row>
    <row r="1887" spans="1:27" x14ac:dyDescent="0.25">
      <c r="A1887" s="10">
        <v>10310</v>
      </c>
      <c r="B1887" s="9">
        <v>38</v>
      </c>
      <c r="C1887" s="9">
        <v>5694</v>
      </c>
      <c r="D1887" s="9">
        <f>PRODUCT(sales_data_sample[[#This Row],[QUANTITYORDERED]],sales_data_sample[[#This Row],[PRICEEACH]])</f>
        <v>216372</v>
      </c>
      <c r="E1887" s="9">
        <f>IF(OR(sales_data_sample[[#This Row],[STATUS]]="Shipped",sales_data_sample[[#This Row],[STATUS]]="Resolved"),sales_data_sample[[#This Row],[SALES]],0)</f>
        <v>216372</v>
      </c>
      <c r="F1887" s="10">
        <v>9</v>
      </c>
      <c r="G1887" s="12" t="s">
        <v>653</v>
      </c>
      <c r="H1887" s="1" t="s">
        <v>26</v>
      </c>
      <c r="I1887">
        <v>4</v>
      </c>
      <c r="J1887">
        <v>10</v>
      </c>
      <c r="K1887">
        <v>2004</v>
      </c>
      <c r="L1887" s="1" t="s">
        <v>239</v>
      </c>
      <c r="M1887">
        <v>61</v>
      </c>
      <c r="N1887" s="1" t="s">
        <v>972</v>
      </c>
      <c r="O1887" s="1" t="s">
        <v>612</v>
      </c>
      <c r="P1887" s="1" t="s">
        <v>613</v>
      </c>
      <c r="Q1887" s="1" t="s">
        <v>614</v>
      </c>
      <c r="R1887" s="1" t="s">
        <v>32</v>
      </c>
      <c r="S1887" s="1" t="s">
        <v>615</v>
      </c>
      <c r="T1887" s="1" t="s">
        <v>32</v>
      </c>
      <c r="U1887" s="1" t="s">
        <v>616</v>
      </c>
      <c r="V1887" s="1" t="s">
        <v>617</v>
      </c>
      <c r="W1887" s="1" t="s">
        <v>48</v>
      </c>
      <c r="X1887" s="1" t="s">
        <v>618</v>
      </c>
      <c r="Y1887" s="1" t="s">
        <v>619</v>
      </c>
      <c r="Z1887" s="1" t="str">
        <f>TRIM(_xlfn.CONCAT(sales_data_sample[[#This Row],[CONTACTFIRSTNAME]],", ",sales_data_sample[[#This Row],[CONTACTLASTNAME]]))</f>
        <v>Henriette, Pfalzheim</v>
      </c>
      <c r="AA1887" s="1" t="s">
        <v>40</v>
      </c>
    </row>
    <row r="1888" spans="1:27" x14ac:dyDescent="0.25">
      <c r="A1888" s="10">
        <v>10320</v>
      </c>
      <c r="B1888" s="9">
        <v>26</v>
      </c>
      <c r="C1888" s="9">
        <v>6123</v>
      </c>
      <c r="D1888" s="9">
        <f>PRODUCT(sales_data_sample[[#This Row],[QUANTITYORDERED]],sales_data_sample[[#This Row],[PRICEEACH]])</f>
        <v>159198</v>
      </c>
      <c r="E1888" s="9">
        <f>IF(OR(sales_data_sample[[#This Row],[STATUS]]="Shipped",sales_data_sample[[#This Row],[STATUS]]="Resolved"),sales_data_sample[[#This Row],[SALES]],0)</f>
        <v>159198</v>
      </c>
      <c r="F1888" s="10">
        <v>2</v>
      </c>
      <c r="G1888" s="12" t="s">
        <v>654</v>
      </c>
      <c r="H1888" s="1" t="s">
        <v>26</v>
      </c>
      <c r="I1888">
        <v>4</v>
      </c>
      <c r="J1888">
        <v>11</v>
      </c>
      <c r="K1888">
        <v>2004</v>
      </c>
      <c r="L1888" s="1" t="s">
        <v>239</v>
      </c>
      <c r="M1888">
        <v>61</v>
      </c>
      <c r="N1888" s="1" t="s">
        <v>972</v>
      </c>
      <c r="O1888" s="1" t="s">
        <v>242</v>
      </c>
      <c r="P1888" s="1" t="s">
        <v>243</v>
      </c>
      <c r="Q1888" s="1" t="s">
        <v>244</v>
      </c>
      <c r="R1888" s="1" t="s">
        <v>32</v>
      </c>
      <c r="S1888" s="1" t="s">
        <v>245</v>
      </c>
      <c r="T1888" s="1" t="s">
        <v>32</v>
      </c>
      <c r="U1888" s="1" t="s">
        <v>246</v>
      </c>
      <c r="V1888" s="1" t="s">
        <v>247</v>
      </c>
      <c r="W1888" s="1" t="s">
        <v>48</v>
      </c>
      <c r="X1888" s="1" t="s">
        <v>248</v>
      </c>
      <c r="Y1888" s="1" t="s">
        <v>249</v>
      </c>
      <c r="Z1888" s="1" t="str">
        <f>TRIM(_xlfn.CONCAT(sales_data_sample[[#This Row],[CONTACTFIRSTNAME]],", ",sales_data_sample[[#This Row],[CONTACTLASTNAME]]))</f>
        <v>Christina, Berglund</v>
      </c>
      <c r="AA1888" s="1" t="s">
        <v>40</v>
      </c>
    </row>
    <row r="1889" spans="1:27" x14ac:dyDescent="0.25">
      <c r="A1889" s="10">
        <v>10331</v>
      </c>
      <c r="B1889" s="9">
        <v>25</v>
      </c>
      <c r="C1889" s="9">
        <v>100</v>
      </c>
      <c r="D1889" s="9">
        <f>PRODUCT(sales_data_sample[[#This Row],[QUANTITYORDERED]],sales_data_sample[[#This Row],[PRICEEACH]])</f>
        <v>2500</v>
      </c>
      <c r="E1889" s="9">
        <f>IF(OR(sales_data_sample[[#This Row],[STATUS]]="Shipped",sales_data_sample[[#This Row],[STATUS]]="Resolved"),sales_data_sample[[#This Row],[SALES]],0)</f>
        <v>2500</v>
      </c>
      <c r="F1889" s="10">
        <v>9</v>
      </c>
      <c r="G1889" s="12" t="s">
        <v>793</v>
      </c>
      <c r="H1889" s="1" t="s">
        <v>26</v>
      </c>
      <c r="I1889">
        <v>4</v>
      </c>
      <c r="J1889">
        <v>11</v>
      </c>
      <c r="K1889">
        <v>2004</v>
      </c>
      <c r="L1889" s="1" t="s">
        <v>239</v>
      </c>
      <c r="M1889">
        <v>61</v>
      </c>
      <c r="N1889" s="1" t="s">
        <v>972</v>
      </c>
      <c r="O1889" s="1" t="s">
        <v>415</v>
      </c>
      <c r="P1889" s="1" t="s">
        <v>416</v>
      </c>
      <c r="Q1889" s="1" t="s">
        <v>417</v>
      </c>
      <c r="R1889" s="1" t="s">
        <v>32</v>
      </c>
      <c r="S1889" s="1" t="s">
        <v>286</v>
      </c>
      <c r="T1889" s="1" t="s">
        <v>186</v>
      </c>
      <c r="U1889" s="1" t="s">
        <v>287</v>
      </c>
      <c r="V1889" s="1" t="s">
        <v>36</v>
      </c>
      <c r="W1889" s="1" t="s">
        <v>37</v>
      </c>
      <c r="X1889" s="1" t="s">
        <v>162</v>
      </c>
      <c r="Y1889" s="1" t="s">
        <v>418</v>
      </c>
      <c r="Z1889" s="1" t="str">
        <f>TRIM(_xlfn.CONCAT(sales_data_sample[[#This Row],[CONTACTFIRSTNAME]],", ",sales_data_sample[[#This Row],[CONTACTLASTNAME]]))</f>
        <v>Rosa, Hernandez</v>
      </c>
      <c r="AA1889" s="1" t="s">
        <v>59</v>
      </c>
    </row>
    <row r="1890" spans="1:27" x14ac:dyDescent="0.25">
      <c r="A1890">
        <v>10342</v>
      </c>
      <c r="B1890">
        <v>48</v>
      </c>
      <c r="C1890">
        <v>6245</v>
      </c>
      <c r="D1890">
        <f>PRODUCT(sales_data_sample[[#This Row],[QUANTITYORDERED]],sales_data_sample[[#This Row],[PRICEEACH]])</f>
        <v>299760</v>
      </c>
      <c r="E1890" s="9">
        <f>IF(OR(sales_data_sample[[#This Row],[STATUS]]="Shipped",sales_data_sample[[#This Row],[STATUS]]="Resolved"),sales_data_sample[[#This Row],[SALES]],0)</f>
        <v>299760</v>
      </c>
      <c r="F1890">
        <v>10</v>
      </c>
      <c r="G1890" s="12" t="s">
        <v>190</v>
      </c>
      <c r="H1890" s="1" t="s">
        <v>26</v>
      </c>
      <c r="I1890">
        <v>4</v>
      </c>
      <c r="J1890">
        <v>11</v>
      </c>
      <c r="K1890">
        <v>2004</v>
      </c>
      <c r="L1890" s="1" t="s">
        <v>239</v>
      </c>
      <c r="M1890">
        <v>61</v>
      </c>
      <c r="N1890" s="1" t="s">
        <v>972</v>
      </c>
      <c r="O1890" s="1" t="s">
        <v>113</v>
      </c>
      <c r="P1890" s="1" t="s">
        <v>114</v>
      </c>
      <c r="Q1890" s="1" t="s">
        <v>115</v>
      </c>
      <c r="R1890" s="1" t="s">
        <v>116</v>
      </c>
      <c r="S1890" s="1" t="s">
        <v>117</v>
      </c>
      <c r="T1890" s="1" t="s">
        <v>118</v>
      </c>
      <c r="U1890" s="1" t="s">
        <v>119</v>
      </c>
      <c r="V1890" s="1" t="s">
        <v>120</v>
      </c>
      <c r="W1890" s="1" t="s">
        <v>121</v>
      </c>
      <c r="X1890" s="1" t="s">
        <v>122</v>
      </c>
      <c r="Y1890" s="1" t="s">
        <v>123</v>
      </c>
      <c r="Z1890" s="1" t="str">
        <f>TRIM(_xlfn.CONCAT(sales_data_sample[[#This Row],[CONTACTFIRSTNAME]],", ",sales_data_sample[[#This Row],[CONTACTLASTNAME]]))</f>
        <v>Peter, Ferguson</v>
      </c>
      <c r="AA1890" s="1" t="s">
        <v>40</v>
      </c>
    </row>
    <row r="1891" spans="1:27" x14ac:dyDescent="0.25">
      <c r="A1891" s="10">
        <v>10355</v>
      </c>
      <c r="B1891" s="9">
        <v>44</v>
      </c>
      <c r="C1891" s="9">
        <v>6245</v>
      </c>
      <c r="D1891" s="9">
        <f>PRODUCT(sales_data_sample[[#This Row],[QUANTITYORDERED]],sales_data_sample[[#This Row],[PRICEEACH]])</f>
        <v>274780</v>
      </c>
      <c r="E1891" s="9">
        <f>IF(OR(sales_data_sample[[#This Row],[STATUS]]="Shipped",sales_data_sample[[#This Row],[STATUS]]="Resolved"),sales_data_sample[[#This Row],[SALES]],0)</f>
        <v>274780</v>
      </c>
      <c r="F1891" s="10">
        <v>6</v>
      </c>
      <c r="G1891" s="12" t="s">
        <v>928</v>
      </c>
      <c r="H1891" s="1" t="s">
        <v>26</v>
      </c>
      <c r="I1891">
        <v>4</v>
      </c>
      <c r="J1891">
        <v>12</v>
      </c>
      <c r="K1891">
        <v>2004</v>
      </c>
      <c r="L1891" s="1" t="s">
        <v>239</v>
      </c>
      <c r="M1891">
        <v>61</v>
      </c>
      <c r="N1891" s="1" t="s">
        <v>972</v>
      </c>
      <c r="O1891" s="1" t="s">
        <v>230</v>
      </c>
      <c r="P1891" s="1" t="s">
        <v>231</v>
      </c>
      <c r="Q1891" s="1" t="s">
        <v>232</v>
      </c>
      <c r="R1891" s="1" t="s">
        <v>32</v>
      </c>
      <c r="S1891" s="1" t="s">
        <v>233</v>
      </c>
      <c r="T1891" s="1" t="s">
        <v>32</v>
      </c>
      <c r="U1891" s="1" t="s">
        <v>234</v>
      </c>
      <c r="V1891" s="1" t="s">
        <v>235</v>
      </c>
      <c r="W1891" s="1" t="s">
        <v>48</v>
      </c>
      <c r="X1891" s="1" t="s">
        <v>236</v>
      </c>
      <c r="Y1891" s="1" t="s">
        <v>237</v>
      </c>
      <c r="Z1891" s="1" t="str">
        <f>TRIM(_xlfn.CONCAT(sales_data_sample[[#This Row],[CONTACTFIRSTNAME]],", ",sales_data_sample[[#This Row],[CONTACTLASTNAME]]))</f>
        <v>Diego, Freyre</v>
      </c>
      <c r="AA1891" s="1" t="s">
        <v>40</v>
      </c>
    </row>
    <row r="1892" spans="1:27" x14ac:dyDescent="0.25">
      <c r="A1892" s="10">
        <v>10363</v>
      </c>
      <c r="B1892" s="9">
        <v>21</v>
      </c>
      <c r="C1892" s="9">
        <v>100</v>
      </c>
      <c r="D1892" s="9">
        <f>PRODUCT(sales_data_sample[[#This Row],[QUANTITYORDERED]],sales_data_sample[[#This Row],[PRICEEACH]])</f>
        <v>2100</v>
      </c>
      <c r="E1892" s="9">
        <f>IF(OR(sales_data_sample[[#This Row],[STATUS]]="Shipped",sales_data_sample[[#This Row],[STATUS]]="Resolved"),sales_data_sample[[#This Row],[SALES]],0)</f>
        <v>2100</v>
      </c>
      <c r="F1892" s="10">
        <v>15</v>
      </c>
      <c r="G1892" s="12" t="s">
        <v>655</v>
      </c>
      <c r="H1892" s="1" t="s">
        <v>26</v>
      </c>
      <c r="I1892">
        <v>1</v>
      </c>
      <c r="J1892">
        <v>1</v>
      </c>
      <c r="K1892">
        <v>2005</v>
      </c>
      <c r="L1892" s="1" t="s">
        <v>239</v>
      </c>
      <c r="M1892">
        <v>61</v>
      </c>
      <c r="N1892" s="1" t="s">
        <v>972</v>
      </c>
      <c r="O1892" s="1" t="s">
        <v>656</v>
      </c>
      <c r="P1892" s="1" t="s">
        <v>657</v>
      </c>
      <c r="Q1892" s="1" t="s">
        <v>658</v>
      </c>
      <c r="R1892" s="1" t="s">
        <v>32</v>
      </c>
      <c r="S1892" s="1" t="s">
        <v>659</v>
      </c>
      <c r="T1892" s="1" t="s">
        <v>32</v>
      </c>
      <c r="U1892" s="1" t="s">
        <v>660</v>
      </c>
      <c r="V1892" s="1" t="s">
        <v>170</v>
      </c>
      <c r="W1892" s="1" t="s">
        <v>48</v>
      </c>
      <c r="X1892" s="1" t="s">
        <v>661</v>
      </c>
      <c r="Y1892" s="1" t="s">
        <v>662</v>
      </c>
      <c r="Z1892" s="1" t="str">
        <f>TRIM(_xlfn.CONCAT(sales_data_sample[[#This Row],[CONTACTFIRSTNAME]],", ",sales_data_sample[[#This Row],[CONTACTLASTNAME]]))</f>
        <v>Kalle, Suominen</v>
      </c>
      <c r="AA1892" s="1" t="s">
        <v>40</v>
      </c>
    </row>
    <row r="1893" spans="1:27" x14ac:dyDescent="0.25">
      <c r="A1893" s="10">
        <v>10378</v>
      </c>
      <c r="B1893" s="9">
        <v>46</v>
      </c>
      <c r="C1893" s="9">
        <v>4154</v>
      </c>
      <c r="D1893" s="9">
        <f>PRODUCT(sales_data_sample[[#This Row],[QUANTITYORDERED]],sales_data_sample[[#This Row],[PRICEEACH]])</f>
        <v>191084</v>
      </c>
      <c r="E1893" s="9">
        <f>IF(OR(sales_data_sample[[#This Row],[STATUS]]="Shipped",sales_data_sample[[#This Row],[STATUS]]="Resolved"),sales_data_sample[[#This Row],[SALES]],0)</f>
        <v>191084</v>
      </c>
      <c r="F1893" s="10">
        <v>6</v>
      </c>
      <c r="G1893" s="12" t="s">
        <v>836</v>
      </c>
      <c r="H1893" s="1" t="s">
        <v>26</v>
      </c>
      <c r="I1893">
        <v>1</v>
      </c>
      <c r="J1893">
        <v>2</v>
      </c>
      <c r="K1893">
        <v>2005</v>
      </c>
      <c r="L1893" s="1" t="s">
        <v>239</v>
      </c>
      <c r="M1893">
        <v>61</v>
      </c>
      <c r="N1893" s="1" t="s">
        <v>972</v>
      </c>
      <c r="O1893" s="1" t="s">
        <v>230</v>
      </c>
      <c r="P1893" s="1" t="s">
        <v>231</v>
      </c>
      <c r="Q1893" s="1" t="s">
        <v>232</v>
      </c>
      <c r="R1893" s="1" t="s">
        <v>32</v>
      </c>
      <c r="S1893" s="1" t="s">
        <v>233</v>
      </c>
      <c r="T1893" s="1" t="s">
        <v>32</v>
      </c>
      <c r="U1893" s="1" t="s">
        <v>234</v>
      </c>
      <c r="V1893" s="1" t="s">
        <v>235</v>
      </c>
      <c r="W1893" s="1" t="s">
        <v>48</v>
      </c>
      <c r="X1893" s="1" t="s">
        <v>236</v>
      </c>
      <c r="Y1893" s="1" t="s">
        <v>237</v>
      </c>
      <c r="Z1893" s="1" t="str">
        <f>TRIM(_xlfn.CONCAT(sales_data_sample[[#This Row],[CONTACTFIRSTNAME]],", ",sales_data_sample[[#This Row],[CONTACTLASTNAME]]))</f>
        <v>Diego, Freyre</v>
      </c>
      <c r="AA1893" s="1" t="s">
        <v>40</v>
      </c>
    </row>
    <row r="1894" spans="1:27" x14ac:dyDescent="0.25">
      <c r="A1894" s="10">
        <v>10390</v>
      </c>
      <c r="B1894" s="9">
        <v>46</v>
      </c>
      <c r="C1894" s="9">
        <v>5284</v>
      </c>
      <c r="D1894" s="9">
        <f>PRODUCT(sales_data_sample[[#This Row],[QUANTITYORDERED]],sales_data_sample[[#This Row],[PRICEEACH]])</f>
        <v>243064</v>
      </c>
      <c r="E1894" s="9">
        <f>IF(OR(sales_data_sample[[#This Row],[STATUS]]="Shipped",sales_data_sample[[#This Row],[STATUS]]="Resolved"),sales_data_sample[[#This Row],[SALES]],0)</f>
        <v>243064</v>
      </c>
      <c r="F1894" s="10">
        <v>6</v>
      </c>
      <c r="G1894" s="12" t="s">
        <v>796</v>
      </c>
      <c r="H1894" s="1" t="s">
        <v>26</v>
      </c>
      <c r="I1894">
        <v>1</v>
      </c>
      <c r="J1894">
        <v>3</v>
      </c>
      <c r="K1894">
        <v>2005</v>
      </c>
      <c r="L1894" s="1" t="s">
        <v>239</v>
      </c>
      <c r="M1894">
        <v>61</v>
      </c>
      <c r="N1894" s="1" t="s">
        <v>972</v>
      </c>
      <c r="O1894" s="1" t="s">
        <v>361</v>
      </c>
      <c r="P1894" s="1" t="s">
        <v>362</v>
      </c>
      <c r="Q1894" s="1" t="s">
        <v>363</v>
      </c>
      <c r="R1894" s="1" t="s">
        <v>32</v>
      </c>
      <c r="S1894" s="1" t="s">
        <v>364</v>
      </c>
      <c r="T1894" s="1" t="s">
        <v>65</v>
      </c>
      <c r="U1894" s="1" t="s">
        <v>145</v>
      </c>
      <c r="V1894" s="1" t="s">
        <v>36</v>
      </c>
      <c r="W1894" s="1" t="s">
        <v>37</v>
      </c>
      <c r="X1894" s="1" t="s">
        <v>365</v>
      </c>
      <c r="Y1894" s="1" t="s">
        <v>366</v>
      </c>
      <c r="Z1894" s="1" t="str">
        <f>TRIM(_xlfn.CONCAT(sales_data_sample[[#This Row],[CONTACTFIRSTNAME]],", ",sales_data_sample[[#This Row],[CONTACTLASTNAME]]))</f>
        <v>Valarie, Nelson</v>
      </c>
      <c r="AA1894" s="1" t="s">
        <v>40</v>
      </c>
    </row>
    <row r="1895" spans="1:27" x14ac:dyDescent="0.25">
      <c r="A1895" s="10">
        <v>10419</v>
      </c>
      <c r="B1895" s="9">
        <v>55</v>
      </c>
      <c r="C1895" s="9">
        <v>5266</v>
      </c>
      <c r="D1895" s="9">
        <f>PRODUCT(sales_data_sample[[#This Row],[QUANTITYORDERED]],sales_data_sample[[#This Row],[PRICEEACH]])</f>
        <v>289630</v>
      </c>
      <c r="E1895" s="9">
        <f>IF(OR(sales_data_sample[[#This Row],[STATUS]]="Shipped",sales_data_sample[[#This Row],[STATUS]]="Resolved"),sales_data_sample[[#This Row],[SALES]],0)</f>
        <v>289630</v>
      </c>
      <c r="F1895" s="10">
        <v>12</v>
      </c>
      <c r="G1895" s="12" t="s">
        <v>663</v>
      </c>
      <c r="H1895" s="1" t="s">
        <v>26</v>
      </c>
      <c r="I1895">
        <v>2</v>
      </c>
      <c r="J1895">
        <v>5</v>
      </c>
      <c r="K1895">
        <v>2005</v>
      </c>
      <c r="L1895" s="1" t="s">
        <v>239</v>
      </c>
      <c r="M1895">
        <v>61</v>
      </c>
      <c r="N1895" s="1" t="s">
        <v>972</v>
      </c>
      <c r="O1895" s="1" t="s">
        <v>191</v>
      </c>
      <c r="P1895" s="1" t="s">
        <v>192</v>
      </c>
      <c r="Q1895" s="1" t="s">
        <v>193</v>
      </c>
      <c r="R1895" s="1" t="s">
        <v>32</v>
      </c>
      <c r="S1895" s="1" t="s">
        <v>194</v>
      </c>
      <c r="T1895" s="1" t="s">
        <v>32</v>
      </c>
      <c r="U1895" s="1" t="s">
        <v>195</v>
      </c>
      <c r="V1895" s="1" t="s">
        <v>196</v>
      </c>
      <c r="W1895" s="1" t="s">
        <v>48</v>
      </c>
      <c r="X1895" s="1" t="s">
        <v>197</v>
      </c>
      <c r="Y1895" s="1" t="s">
        <v>198</v>
      </c>
      <c r="Z1895" s="1" t="str">
        <f>TRIM(_xlfn.CONCAT(sales_data_sample[[#This Row],[CONTACTFIRSTNAME]],", ",sales_data_sample[[#This Row],[CONTACTLASTNAME]]))</f>
        <v>Georg, Pipps</v>
      </c>
      <c r="AA1895" s="1" t="s">
        <v>40</v>
      </c>
    </row>
    <row r="1896" spans="1:27" x14ac:dyDescent="0.25">
      <c r="A1896" s="10">
        <v>10106</v>
      </c>
      <c r="B1896" s="9">
        <v>31</v>
      </c>
      <c r="C1896" s="9">
        <v>526</v>
      </c>
      <c r="D1896" s="9">
        <f>PRODUCT(sales_data_sample[[#This Row],[QUANTITYORDERED]],sales_data_sample[[#This Row],[PRICEEACH]])</f>
        <v>16306</v>
      </c>
      <c r="E1896" s="9">
        <f>IF(OR(sales_data_sample[[#This Row],[STATUS]]="Shipped",sales_data_sample[[#This Row],[STATUS]]="Resolved"),sales_data_sample[[#This Row],[SALES]],0)</f>
        <v>16306</v>
      </c>
      <c r="F1896" s="10">
        <v>14</v>
      </c>
      <c r="G1896" s="12" t="s">
        <v>838</v>
      </c>
      <c r="H1896" s="1" t="s">
        <v>26</v>
      </c>
      <c r="I1896">
        <v>1</v>
      </c>
      <c r="J1896">
        <v>2</v>
      </c>
      <c r="K1896">
        <v>2003</v>
      </c>
      <c r="L1896" s="1" t="s">
        <v>799</v>
      </c>
      <c r="M1896">
        <v>65</v>
      </c>
      <c r="N1896" s="1" t="s">
        <v>973</v>
      </c>
      <c r="O1896" s="1" t="s">
        <v>806</v>
      </c>
      <c r="P1896" s="1" t="s">
        <v>807</v>
      </c>
      <c r="Q1896" s="1" t="s">
        <v>808</v>
      </c>
      <c r="R1896" s="1" t="s">
        <v>32</v>
      </c>
      <c r="S1896" s="1" t="s">
        <v>809</v>
      </c>
      <c r="T1896" s="1" t="s">
        <v>32</v>
      </c>
      <c r="U1896" s="1" t="s">
        <v>810</v>
      </c>
      <c r="V1896" s="1" t="s">
        <v>343</v>
      </c>
      <c r="W1896" s="1" t="s">
        <v>48</v>
      </c>
      <c r="X1896" s="1" t="s">
        <v>811</v>
      </c>
      <c r="Y1896" s="1" t="s">
        <v>812</v>
      </c>
      <c r="Z1896" s="1" t="str">
        <f>TRIM(_xlfn.CONCAT(sales_data_sample[[#This Row],[CONTACTFIRSTNAME]],", ",sales_data_sample[[#This Row],[CONTACTLASTNAME]]))</f>
        <v>Giovanni, Rovelli</v>
      </c>
      <c r="AA1896" s="1" t="s">
        <v>40</v>
      </c>
    </row>
    <row r="1897" spans="1:27" x14ac:dyDescent="0.25">
      <c r="A1897" s="10">
        <v>10119</v>
      </c>
      <c r="B1897" s="9">
        <v>20</v>
      </c>
      <c r="C1897" s="9">
        <v>7298</v>
      </c>
      <c r="D1897" s="9">
        <f>PRODUCT(sales_data_sample[[#This Row],[QUANTITYORDERED]],sales_data_sample[[#This Row],[PRICEEACH]])</f>
        <v>145960</v>
      </c>
      <c r="E1897" s="9">
        <f>IF(OR(sales_data_sample[[#This Row],[STATUS]]="Shipped",sales_data_sample[[#This Row],[STATUS]]="Resolved"),sales_data_sample[[#This Row],[SALES]],0)</f>
        <v>145960</v>
      </c>
      <c r="F1897" s="10">
        <v>5</v>
      </c>
      <c r="G1897" s="12" t="s">
        <v>445</v>
      </c>
      <c r="H1897" s="1" t="s">
        <v>26</v>
      </c>
      <c r="I1897">
        <v>2</v>
      </c>
      <c r="J1897">
        <v>4</v>
      </c>
      <c r="K1897">
        <v>2003</v>
      </c>
      <c r="L1897" s="1" t="s">
        <v>799</v>
      </c>
      <c r="M1897">
        <v>65</v>
      </c>
      <c r="N1897" s="1" t="s">
        <v>973</v>
      </c>
      <c r="O1897" s="1" t="s">
        <v>191</v>
      </c>
      <c r="P1897" s="1" t="s">
        <v>192</v>
      </c>
      <c r="Q1897" s="1" t="s">
        <v>193</v>
      </c>
      <c r="R1897" s="1" t="s">
        <v>32</v>
      </c>
      <c r="S1897" s="1" t="s">
        <v>194</v>
      </c>
      <c r="T1897" s="1" t="s">
        <v>32</v>
      </c>
      <c r="U1897" s="1" t="s">
        <v>195</v>
      </c>
      <c r="V1897" s="1" t="s">
        <v>196</v>
      </c>
      <c r="W1897" s="1" t="s">
        <v>48</v>
      </c>
      <c r="X1897" s="1" t="s">
        <v>197</v>
      </c>
      <c r="Y1897" s="1" t="s">
        <v>198</v>
      </c>
      <c r="Z1897" s="1" t="str">
        <f>TRIM(_xlfn.CONCAT(sales_data_sample[[#This Row],[CONTACTFIRSTNAME]],", ",sales_data_sample[[#This Row],[CONTACTLASTNAME]]))</f>
        <v>Georg, Pipps</v>
      </c>
      <c r="AA1897" s="1" t="s">
        <v>40</v>
      </c>
    </row>
    <row r="1898" spans="1:27" x14ac:dyDescent="0.25">
      <c r="A1898" s="10">
        <v>10131</v>
      </c>
      <c r="B1898" s="9">
        <v>29</v>
      </c>
      <c r="C1898" s="9">
        <v>5918</v>
      </c>
      <c r="D1898" s="9">
        <f>PRODUCT(sales_data_sample[[#This Row],[QUANTITYORDERED]],sales_data_sample[[#This Row],[PRICEEACH]])</f>
        <v>171622</v>
      </c>
      <c r="E1898" s="9">
        <f>IF(OR(sales_data_sample[[#This Row],[STATUS]]="Shipped",sales_data_sample[[#This Row],[STATUS]]="Resolved"),sales_data_sample[[#This Row],[SALES]],0)</f>
        <v>171622</v>
      </c>
      <c r="F1898" s="10">
        <v>6</v>
      </c>
      <c r="G1898" s="12" t="s">
        <v>841</v>
      </c>
      <c r="H1898" s="1" t="s">
        <v>26</v>
      </c>
      <c r="I1898">
        <v>2</v>
      </c>
      <c r="J1898">
        <v>6</v>
      </c>
      <c r="K1898">
        <v>2003</v>
      </c>
      <c r="L1898" s="1" t="s">
        <v>799</v>
      </c>
      <c r="M1898">
        <v>65</v>
      </c>
      <c r="N1898" s="1" t="s">
        <v>973</v>
      </c>
      <c r="O1898" s="1" t="s">
        <v>842</v>
      </c>
      <c r="P1898" s="1" t="s">
        <v>843</v>
      </c>
      <c r="Q1898" s="1" t="s">
        <v>844</v>
      </c>
      <c r="R1898" s="1" t="s">
        <v>32</v>
      </c>
      <c r="S1898" s="1" t="s">
        <v>734</v>
      </c>
      <c r="T1898" s="1" t="s">
        <v>144</v>
      </c>
      <c r="U1898" s="1" t="s">
        <v>845</v>
      </c>
      <c r="V1898" s="1" t="s">
        <v>36</v>
      </c>
      <c r="W1898" s="1" t="s">
        <v>37</v>
      </c>
      <c r="X1898" s="1" t="s">
        <v>846</v>
      </c>
      <c r="Y1898" s="1" t="s">
        <v>847</v>
      </c>
      <c r="Z1898" s="1" t="str">
        <f>TRIM(_xlfn.CONCAT(sales_data_sample[[#This Row],[CONTACTFIRSTNAME]],", ",sales_data_sample[[#This Row],[CONTACTLASTNAME]]))</f>
        <v>Dan, Lewis</v>
      </c>
      <c r="AA1898" s="1" t="s">
        <v>40</v>
      </c>
    </row>
    <row r="1899" spans="1:27" x14ac:dyDescent="0.25">
      <c r="A1899" s="10">
        <v>10143</v>
      </c>
      <c r="B1899" s="9">
        <v>33</v>
      </c>
      <c r="C1899" s="9">
        <v>7759</v>
      </c>
      <c r="D1899" s="9">
        <f>PRODUCT(sales_data_sample[[#This Row],[QUANTITYORDERED]],sales_data_sample[[#This Row],[PRICEEACH]])</f>
        <v>256047</v>
      </c>
      <c r="E1899" s="9">
        <f>IF(OR(sales_data_sample[[#This Row],[STATUS]]="Shipped",sales_data_sample[[#This Row],[STATUS]]="Resolved"),sales_data_sample[[#This Row],[SALES]],0)</f>
        <v>256047</v>
      </c>
      <c r="F1899" s="10">
        <v>9</v>
      </c>
      <c r="G1899" s="12" t="s">
        <v>453</v>
      </c>
      <c r="H1899" s="1" t="s">
        <v>26</v>
      </c>
      <c r="I1899">
        <v>3</v>
      </c>
      <c r="J1899">
        <v>8</v>
      </c>
      <c r="K1899">
        <v>2003</v>
      </c>
      <c r="L1899" s="1" t="s">
        <v>799</v>
      </c>
      <c r="M1899">
        <v>65</v>
      </c>
      <c r="N1899" s="1" t="s">
        <v>973</v>
      </c>
      <c r="O1899" s="1" t="s">
        <v>454</v>
      </c>
      <c r="P1899" s="1" t="s">
        <v>455</v>
      </c>
      <c r="Q1899" s="1" t="s">
        <v>456</v>
      </c>
      <c r="R1899" s="1" t="s">
        <v>32</v>
      </c>
      <c r="S1899" s="1" t="s">
        <v>215</v>
      </c>
      <c r="T1899" s="1" t="s">
        <v>160</v>
      </c>
      <c r="U1899" s="1" t="s">
        <v>216</v>
      </c>
      <c r="V1899" s="1" t="s">
        <v>36</v>
      </c>
      <c r="W1899" s="1" t="s">
        <v>37</v>
      </c>
      <c r="X1899" s="1" t="s">
        <v>457</v>
      </c>
      <c r="Y1899" s="1" t="s">
        <v>458</v>
      </c>
      <c r="Z1899" s="1" t="str">
        <f>TRIM(_xlfn.CONCAT(sales_data_sample[[#This Row],[CONTACTFIRSTNAME]],", ",sales_data_sample[[#This Row],[CONTACTLASTNAME]]))</f>
        <v>Wing C, Tam</v>
      </c>
      <c r="AA1899" s="1" t="s">
        <v>40</v>
      </c>
    </row>
    <row r="1900" spans="1:27" x14ac:dyDescent="0.25">
      <c r="A1900" s="10">
        <v>10155</v>
      </c>
      <c r="B1900" s="9">
        <v>34</v>
      </c>
      <c r="C1900" s="9">
        <v>5589</v>
      </c>
      <c r="D1900" s="9">
        <f>PRODUCT(sales_data_sample[[#This Row],[QUANTITYORDERED]],sales_data_sample[[#This Row],[PRICEEACH]])</f>
        <v>190026</v>
      </c>
      <c r="E1900" s="9">
        <f>IF(OR(sales_data_sample[[#This Row],[STATUS]]="Shipped",sales_data_sample[[#This Row],[STATUS]]="Resolved"),sales_data_sample[[#This Row],[SALES]],0)</f>
        <v>190026</v>
      </c>
      <c r="F1900" s="10">
        <v>7</v>
      </c>
      <c r="G1900" s="12" t="s">
        <v>459</v>
      </c>
      <c r="H1900" s="1" t="s">
        <v>26</v>
      </c>
      <c r="I1900">
        <v>4</v>
      </c>
      <c r="J1900">
        <v>10</v>
      </c>
      <c r="K1900">
        <v>2003</v>
      </c>
      <c r="L1900" s="1" t="s">
        <v>799</v>
      </c>
      <c r="M1900">
        <v>65</v>
      </c>
      <c r="N1900" s="1" t="s">
        <v>973</v>
      </c>
      <c r="O1900" s="1" t="s">
        <v>165</v>
      </c>
      <c r="P1900" s="1" t="s">
        <v>166</v>
      </c>
      <c r="Q1900" s="1" t="s">
        <v>167</v>
      </c>
      <c r="R1900" s="1" t="s">
        <v>32</v>
      </c>
      <c r="S1900" s="1" t="s">
        <v>168</v>
      </c>
      <c r="T1900" s="1" t="s">
        <v>32</v>
      </c>
      <c r="U1900" s="1" t="s">
        <v>169</v>
      </c>
      <c r="V1900" s="1" t="s">
        <v>170</v>
      </c>
      <c r="W1900" s="1" t="s">
        <v>48</v>
      </c>
      <c r="X1900" s="1" t="s">
        <v>171</v>
      </c>
      <c r="Y1900" s="1" t="s">
        <v>172</v>
      </c>
      <c r="Z1900" s="1" t="str">
        <f>TRIM(_xlfn.CONCAT(sales_data_sample[[#This Row],[CONTACTFIRSTNAME]],", ",sales_data_sample[[#This Row],[CONTACTLASTNAME]]))</f>
        <v>Matti, Karttunen</v>
      </c>
      <c r="AA1900" s="1" t="s">
        <v>40</v>
      </c>
    </row>
    <row r="1901" spans="1:27" x14ac:dyDescent="0.25">
      <c r="A1901" s="10">
        <v>10167</v>
      </c>
      <c r="B1901" s="9">
        <v>32</v>
      </c>
      <c r="C1901" s="9">
        <v>6312</v>
      </c>
      <c r="D1901" s="9">
        <f>PRODUCT(sales_data_sample[[#This Row],[QUANTITYORDERED]],sales_data_sample[[#This Row],[PRICEEACH]])</f>
        <v>201984</v>
      </c>
      <c r="E1901" s="9">
        <f>IF(OR(sales_data_sample[[#This Row],[STATUS]]="Shipped",sales_data_sample[[#This Row],[STATUS]]="Resolved"),sales_data_sample[[#This Row],[SALES]],0)</f>
        <v>0</v>
      </c>
      <c r="F1901" s="10">
        <v>3</v>
      </c>
      <c r="G1901" s="12" t="s">
        <v>460</v>
      </c>
      <c r="H1901" s="1" t="s">
        <v>461</v>
      </c>
      <c r="I1901">
        <v>4</v>
      </c>
      <c r="J1901">
        <v>10</v>
      </c>
      <c r="K1901">
        <v>2003</v>
      </c>
      <c r="L1901" s="1" t="s">
        <v>799</v>
      </c>
      <c r="M1901">
        <v>65</v>
      </c>
      <c r="N1901" s="1" t="s">
        <v>973</v>
      </c>
      <c r="O1901" s="1" t="s">
        <v>347</v>
      </c>
      <c r="P1901" s="1" t="s">
        <v>348</v>
      </c>
      <c r="Q1901" s="1" t="s">
        <v>349</v>
      </c>
      <c r="R1901" s="1" t="s">
        <v>32</v>
      </c>
      <c r="S1901" s="1" t="s">
        <v>350</v>
      </c>
      <c r="T1901" s="1" t="s">
        <v>32</v>
      </c>
      <c r="U1901" s="1" t="s">
        <v>351</v>
      </c>
      <c r="V1901" s="1" t="s">
        <v>247</v>
      </c>
      <c r="W1901" s="1" t="s">
        <v>48</v>
      </c>
      <c r="X1901" s="1" t="s">
        <v>352</v>
      </c>
      <c r="Y1901" s="1" t="s">
        <v>272</v>
      </c>
      <c r="Z1901" s="1" t="str">
        <f>TRIM(_xlfn.CONCAT(sales_data_sample[[#This Row],[CONTACTFIRSTNAME]],", ",sales_data_sample[[#This Row],[CONTACTLASTNAME]]))</f>
        <v>Maria, Larsson</v>
      </c>
      <c r="AA1901" s="1" t="s">
        <v>40</v>
      </c>
    </row>
    <row r="1902" spans="1:27" x14ac:dyDescent="0.25">
      <c r="A1902" s="10">
        <v>10178</v>
      </c>
      <c r="B1902" s="9">
        <v>27</v>
      </c>
      <c r="C1902" s="9">
        <v>7364</v>
      </c>
      <c r="D1902" s="9">
        <f>PRODUCT(sales_data_sample[[#This Row],[QUANTITYORDERED]],sales_data_sample[[#This Row],[PRICEEACH]])</f>
        <v>198828</v>
      </c>
      <c r="E1902" s="9">
        <f>IF(OR(sales_data_sample[[#This Row],[STATUS]]="Shipped",sales_data_sample[[#This Row],[STATUS]]="Resolved"),sales_data_sample[[#This Row],[SALES]],0)</f>
        <v>198828</v>
      </c>
      <c r="F1902" s="10">
        <v>6</v>
      </c>
      <c r="G1902" s="12" t="s">
        <v>462</v>
      </c>
      <c r="H1902" s="1" t="s">
        <v>26</v>
      </c>
      <c r="I1902">
        <v>4</v>
      </c>
      <c r="J1902">
        <v>11</v>
      </c>
      <c r="K1902">
        <v>2003</v>
      </c>
      <c r="L1902" s="1" t="s">
        <v>799</v>
      </c>
      <c r="M1902">
        <v>65</v>
      </c>
      <c r="N1902" s="1" t="s">
        <v>973</v>
      </c>
      <c r="O1902" s="1" t="s">
        <v>463</v>
      </c>
      <c r="P1902" s="1" t="s">
        <v>464</v>
      </c>
      <c r="Q1902" s="1" t="s">
        <v>465</v>
      </c>
      <c r="R1902" s="1" t="s">
        <v>32</v>
      </c>
      <c r="S1902" s="1" t="s">
        <v>466</v>
      </c>
      <c r="T1902" s="1" t="s">
        <v>32</v>
      </c>
      <c r="U1902" s="1" t="s">
        <v>467</v>
      </c>
      <c r="V1902" s="1" t="s">
        <v>47</v>
      </c>
      <c r="W1902" s="1" t="s">
        <v>48</v>
      </c>
      <c r="X1902" s="1" t="s">
        <v>468</v>
      </c>
      <c r="Y1902" s="1" t="s">
        <v>469</v>
      </c>
      <c r="Z1902" s="1" t="str">
        <f>TRIM(_xlfn.CONCAT(sales_data_sample[[#This Row],[CONTACTFIRSTNAME]],", ",sales_data_sample[[#This Row],[CONTACTLASTNAME]]))</f>
        <v>Annette, Roulet</v>
      </c>
      <c r="AA1902" s="1" t="s">
        <v>40</v>
      </c>
    </row>
    <row r="1903" spans="1:27" x14ac:dyDescent="0.25">
      <c r="A1903" s="10">
        <v>10186</v>
      </c>
      <c r="B1903" s="9">
        <v>21</v>
      </c>
      <c r="C1903" s="9">
        <v>6904</v>
      </c>
      <c r="D1903" s="9">
        <f>PRODUCT(sales_data_sample[[#This Row],[QUANTITYORDERED]],sales_data_sample[[#This Row],[PRICEEACH]])</f>
        <v>144984</v>
      </c>
      <c r="E1903" s="9">
        <f>IF(OR(sales_data_sample[[#This Row],[STATUS]]="Shipped",sales_data_sample[[#This Row],[STATUS]]="Resolved"),sales_data_sample[[#This Row],[SALES]],0)</f>
        <v>144984</v>
      </c>
      <c r="F1903" s="10">
        <v>3</v>
      </c>
      <c r="G1903" s="12" t="s">
        <v>470</v>
      </c>
      <c r="H1903" s="1" t="s">
        <v>26</v>
      </c>
      <c r="I1903">
        <v>4</v>
      </c>
      <c r="J1903">
        <v>11</v>
      </c>
      <c r="K1903">
        <v>2003</v>
      </c>
      <c r="L1903" s="1" t="s">
        <v>799</v>
      </c>
      <c r="M1903">
        <v>65</v>
      </c>
      <c r="N1903" s="1" t="s">
        <v>973</v>
      </c>
      <c r="O1903" s="1" t="s">
        <v>471</v>
      </c>
      <c r="P1903" s="1" t="s">
        <v>472</v>
      </c>
      <c r="Q1903" s="1" t="s">
        <v>473</v>
      </c>
      <c r="R1903" s="1" t="s">
        <v>32</v>
      </c>
      <c r="S1903" s="1" t="s">
        <v>450</v>
      </c>
      <c r="T1903" s="1" t="s">
        <v>32</v>
      </c>
      <c r="U1903" s="1" t="s">
        <v>474</v>
      </c>
      <c r="V1903" s="1" t="s">
        <v>225</v>
      </c>
      <c r="W1903" s="1" t="s">
        <v>48</v>
      </c>
      <c r="X1903" s="1" t="s">
        <v>475</v>
      </c>
      <c r="Y1903" s="1" t="s">
        <v>476</v>
      </c>
      <c r="Z1903" s="1" t="str">
        <f>TRIM(_xlfn.CONCAT(sales_data_sample[[#This Row],[CONTACTFIRSTNAME]],", ",sales_data_sample[[#This Row],[CONTACTLASTNAME]]))</f>
        <v>Thomas, Hardy</v>
      </c>
      <c r="AA1903" s="1" t="s">
        <v>40</v>
      </c>
    </row>
    <row r="1904" spans="1:27" x14ac:dyDescent="0.25">
      <c r="A1904" s="10">
        <v>10198</v>
      </c>
      <c r="B1904" s="9">
        <v>27</v>
      </c>
      <c r="C1904" s="9">
        <v>7167</v>
      </c>
      <c r="D1904" s="9">
        <f>PRODUCT(sales_data_sample[[#This Row],[QUANTITYORDERED]],sales_data_sample[[#This Row],[PRICEEACH]])</f>
        <v>193509</v>
      </c>
      <c r="E1904" s="9">
        <f>IF(OR(sales_data_sample[[#This Row],[STATUS]]="Shipped",sales_data_sample[[#This Row],[STATUS]]="Resolved"),sales_data_sample[[#This Row],[SALES]],0)</f>
        <v>193509</v>
      </c>
      <c r="F1904" s="10">
        <v>6</v>
      </c>
      <c r="G1904" s="12" t="s">
        <v>848</v>
      </c>
      <c r="H1904" s="1" t="s">
        <v>26</v>
      </c>
      <c r="I1904">
        <v>4</v>
      </c>
      <c r="J1904">
        <v>11</v>
      </c>
      <c r="K1904">
        <v>2003</v>
      </c>
      <c r="L1904" s="1" t="s">
        <v>799</v>
      </c>
      <c r="M1904">
        <v>65</v>
      </c>
      <c r="N1904" s="1" t="s">
        <v>973</v>
      </c>
      <c r="O1904" s="1" t="s">
        <v>591</v>
      </c>
      <c r="P1904" s="1" t="s">
        <v>592</v>
      </c>
      <c r="Q1904" s="1" t="s">
        <v>593</v>
      </c>
      <c r="R1904" s="1" t="s">
        <v>32</v>
      </c>
      <c r="S1904" s="1" t="s">
        <v>594</v>
      </c>
      <c r="T1904" s="1" t="s">
        <v>32</v>
      </c>
      <c r="U1904" s="1" t="s">
        <v>595</v>
      </c>
      <c r="V1904" s="1" t="s">
        <v>596</v>
      </c>
      <c r="W1904" s="1" t="s">
        <v>264</v>
      </c>
      <c r="X1904" s="1" t="s">
        <v>597</v>
      </c>
      <c r="Y1904" s="1" t="s">
        <v>598</v>
      </c>
      <c r="Z1904" s="1" t="str">
        <f>TRIM(_xlfn.CONCAT(sales_data_sample[[#This Row],[CONTACTFIRSTNAME]],", ",sales_data_sample[[#This Row],[CONTACTLASTNAME]]))</f>
        <v>Arnold, Cruz</v>
      </c>
      <c r="AA1904" s="1" t="s">
        <v>40</v>
      </c>
    </row>
    <row r="1905" spans="1:27" x14ac:dyDescent="0.25">
      <c r="A1905" s="10">
        <v>10209</v>
      </c>
      <c r="B1905" s="9">
        <v>36</v>
      </c>
      <c r="C1905" s="9">
        <v>7759</v>
      </c>
      <c r="D1905" s="9">
        <f>PRODUCT(sales_data_sample[[#This Row],[QUANTITYORDERED]],sales_data_sample[[#This Row],[PRICEEACH]])</f>
        <v>279324</v>
      </c>
      <c r="E1905" s="9">
        <f>IF(OR(sales_data_sample[[#This Row],[STATUS]]="Shipped",sales_data_sample[[#This Row],[STATUS]]="Resolved"),sales_data_sample[[#This Row],[SALES]],0)</f>
        <v>279324</v>
      </c>
      <c r="F1905" s="10">
        <v>2</v>
      </c>
      <c r="G1905" s="12" t="s">
        <v>485</v>
      </c>
      <c r="H1905" s="1" t="s">
        <v>26</v>
      </c>
      <c r="I1905">
        <v>1</v>
      </c>
      <c r="J1905">
        <v>1</v>
      </c>
      <c r="K1905">
        <v>2004</v>
      </c>
      <c r="L1905" s="1" t="s">
        <v>799</v>
      </c>
      <c r="M1905">
        <v>65</v>
      </c>
      <c r="N1905" s="1" t="s">
        <v>973</v>
      </c>
      <c r="O1905" s="1" t="s">
        <v>486</v>
      </c>
      <c r="P1905" s="1" t="s">
        <v>487</v>
      </c>
      <c r="Q1905" s="1" t="s">
        <v>488</v>
      </c>
      <c r="R1905" s="1" t="s">
        <v>32</v>
      </c>
      <c r="S1905" s="1" t="s">
        <v>489</v>
      </c>
      <c r="T1905" s="1" t="s">
        <v>65</v>
      </c>
      <c r="U1905" s="1" t="s">
        <v>32</v>
      </c>
      <c r="V1905" s="1" t="s">
        <v>36</v>
      </c>
      <c r="W1905" s="1" t="s">
        <v>37</v>
      </c>
      <c r="X1905" s="1" t="s">
        <v>490</v>
      </c>
      <c r="Y1905" s="1" t="s">
        <v>130</v>
      </c>
      <c r="Z1905" s="1" t="str">
        <f>TRIM(_xlfn.CONCAT(sales_data_sample[[#This Row],[CONTACTFIRSTNAME]],", ",sales_data_sample[[#This Row],[CONTACTLASTNAME]]))</f>
        <v>Michael, Chandler</v>
      </c>
      <c r="AA1905" s="1" t="s">
        <v>40</v>
      </c>
    </row>
    <row r="1906" spans="1:27" x14ac:dyDescent="0.25">
      <c r="A1906" s="10">
        <v>10222</v>
      </c>
      <c r="B1906" s="9">
        <v>43</v>
      </c>
      <c r="C1906" s="9">
        <v>7035</v>
      </c>
      <c r="D1906" s="9">
        <f>PRODUCT(sales_data_sample[[#This Row],[QUANTITYORDERED]],sales_data_sample[[#This Row],[PRICEEACH]])</f>
        <v>302505</v>
      </c>
      <c r="E1906" s="9">
        <f>IF(OR(sales_data_sample[[#This Row],[STATUS]]="Shipped",sales_data_sample[[#This Row],[STATUS]]="Resolved"),sales_data_sample[[#This Row],[SALES]],0)</f>
        <v>302505</v>
      </c>
      <c r="F1906" s="10">
        <v>6</v>
      </c>
      <c r="G1906" s="12" t="s">
        <v>491</v>
      </c>
      <c r="H1906" s="1" t="s">
        <v>26</v>
      </c>
      <c r="I1906">
        <v>1</v>
      </c>
      <c r="J1906">
        <v>2</v>
      </c>
      <c r="K1906">
        <v>2004</v>
      </c>
      <c r="L1906" s="1" t="s">
        <v>799</v>
      </c>
      <c r="M1906">
        <v>65</v>
      </c>
      <c r="N1906" s="1" t="s">
        <v>973</v>
      </c>
      <c r="O1906" s="1" t="s">
        <v>492</v>
      </c>
      <c r="P1906" s="1" t="s">
        <v>493</v>
      </c>
      <c r="Q1906" s="1" t="s">
        <v>494</v>
      </c>
      <c r="R1906" s="1" t="s">
        <v>32</v>
      </c>
      <c r="S1906" s="1" t="s">
        <v>495</v>
      </c>
      <c r="T1906" s="1" t="s">
        <v>65</v>
      </c>
      <c r="U1906" s="1" t="s">
        <v>496</v>
      </c>
      <c r="V1906" s="1" t="s">
        <v>36</v>
      </c>
      <c r="W1906" s="1" t="s">
        <v>37</v>
      </c>
      <c r="X1906" s="1" t="s">
        <v>313</v>
      </c>
      <c r="Y1906" s="1" t="s">
        <v>366</v>
      </c>
      <c r="Z1906" s="1" t="str">
        <f>TRIM(_xlfn.CONCAT(sales_data_sample[[#This Row],[CONTACTFIRSTNAME]],", ",sales_data_sample[[#This Row],[CONTACTLASTNAME]]))</f>
        <v>Valarie, Thompson</v>
      </c>
      <c r="AA1906" s="1" t="s">
        <v>59</v>
      </c>
    </row>
    <row r="1907" spans="1:27" x14ac:dyDescent="0.25">
      <c r="A1907" s="10">
        <v>10249</v>
      </c>
      <c r="B1907" s="9">
        <v>25</v>
      </c>
      <c r="C1907" s="9">
        <v>697</v>
      </c>
      <c r="D1907" s="9">
        <f>PRODUCT(sales_data_sample[[#This Row],[QUANTITYORDERED]],sales_data_sample[[#This Row],[PRICEEACH]])</f>
        <v>17425</v>
      </c>
      <c r="E1907" s="9">
        <f>IF(OR(sales_data_sample[[#This Row],[STATUS]]="Shipped",sales_data_sample[[#This Row],[STATUS]]="Resolved"),sales_data_sample[[#This Row],[SALES]],0)</f>
        <v>17425</v>
      </c>
      <c r="F1907" s="10">
        <v>2</v>
      </c>
      <c r="G1907" s="12" t="s">
        <v>935</v>
      </c>
      <c r="H1907" s="1" t="s">
        <v>26</v>
      </c>
      <c r="I1907">
        <v>2</v>
      </c>
      <c r="J1907">
        <v>5</v>
      </c>
      <c r="K1907">
        <v>2004</v>
      </c>
      <c r="L1907" s="1" t="s">
        <v>799</v>
      </c>
      <c r="M1907">
        <v>65</v>
      </c>
      <c r="N1907" s="1" t="s">
        <v>973</v>
      </c>
      <c r="O1907" s="1" t="s">
        <v>316</v>
      </c>
      <c r="P1907" s="1" t="s">
        <v>317</v>
      </c>
      <c r="Q1907" s="1" t="s">
        <v>318</v>
      </c>
      <c r="R1907" s="1" t="s">
        <v>32</v>
      </c>
      <c r="S1907" s="1" t="s">
        <v>159</v>
      </c>
      <c r="T1907" s="1" t="s">
        <v>160</v>
      </c>
      <c r="U1907" s="1" t="s">
        <v>161</v>
      </c>
      <c r="V1907" s="1" t="s">
        <v>36</v>
      </c>
      <c r="W1907" s="1" t="s">
        <v>37</v>
      </c>
      <c r="X1907" s="1" t="s">
        <v>319</v>
      </c>
      <c r="Y1907" s="1" t="s">
        <v>188</v>
      </c>
      <c r="Z1907" s="1" t="str">
        <f>TRIM(_xlfn.CONCAT(sales_data_sample[[#This Row],[CONTACTFIRSTNAME]],", ",sales_data_sample[[#This Row],[CONTACTLASTNAME]]))</f>
        <v>Kyung, Tseng</v>
      </c>
      <c r="AA1907" s="1" t="s">
        <v>40</v>
      </c>
    </row>
    <row r="1908" spans="1:27" x14ac:dyDescent="0.25">
      <c r="A1908" s="10">
        <v>10262</v>
      </c>
      <c r="B1908" s="9">
        <v>46</v>
      </c>
      <c r="C1908" s="9">
        <v>7035</v>
      </c>
      <c r="D1908" s="9">
        <f>PRODUCT(sales_data_sample[[#This Row],[QUANTITYORDERED]],sales_data_sample[[#This Row],[PRICEEACH]])</f>
        <v>323610</v>
      </c>
      <c r="E1908" s="9">
        <f>IF(OR(sales_data_sample[[#This Row],[STATUS]]="Shipped",sales_data_sample[[#This Row],[STATUS]]="Resolved"),sales_data_sample[[#This Row],[SALES]],0)</f>
        <v>0</v>
      </c>
      <c r="F1908" s="10">
        <v>11</v>
      </c>
      <c r="G1908" s="12" t="s">
        <v>850</v>
      </c>
      <c r="H1908" s="1" t="s">
        <v>461</v>
      </c>
      <c r="I1908">
        <v>2</v>
      </c>
      <c r="J1908">
        <v>6</v>
      </c>
      <c r="K1908">
        <v>2004</v>
      </c>
      <c r="L1908" s="1" t="s">
        <v>799</v>
      </c>
      <c r="M1908">
        <v>65</v>
      </c>
      <c r="N1908" s="1" t="s">
        <v>973</v>
      </c>
      <c r="O1908" s="1" t="s">
        <v>230</v>
      </c>
      <c r="P1908" s="1" t="s">
        <v>231</v>
      </c>
      <c r="Q1908" s="1" t="s">
        <v>232</v>
      </c>
      <c r="R1908" s="1" t="s">
        <v>32</v>
      </c>
      <c r="S1908" s="1" t="s">
        <v>233</v>
      </c>
      <c r="T1908" s="1" t="s">
        <v>32</v>
      </c>
      <c r="U1908" s="1" t="s">
        <v>234</v>
      </c>
      <c r="V1908" s="1" t="s">
        <v>235</v>
      </c>
      <c r="W1908" s="1" t="s">
        <v>48</v>
      </c>
      <c r="X1908" s="1" t="s">
        <v>236</v>
      </c>
      <c r="Y1908" s="1" t="s">
        <v>237</v>
      </c>
      <c r="Z1908" s="1" t="str">
        <f>TRIM(_xlfn.CONCAT(sales_data_sample[[#This Row],[CONTACTFIRSTNAME]],", ",sales_data_sample[[#This Row],[CONTACTLASTNAME]]))</f>
        <v>Diego, Freyre</v>
      </c>
      <c r="AA1908" s="1" t="s">
        <v>59</v>
      </c>
    </row>
    <row r="1909" spans="1:27" x14ac:dyDescent="0.25">
      <c r="A1909" s="10">
        <v>10274</v>
      </c>
      <c r="B1909" s="9">
        <v>24</v>
      </c>
      <c r="C1909" s="9">
        <v>7233</v>
      </c>
      <c r="D1909" s="9">
        <f>PRODUCT(sales_data_sample[[#This Row],[QUANTITYORDERED]],sales_data_sample[[#This Row],[PRICEEACH]])</f>
        <v>173592</v>
      </c>
      <c r="E1909" s="9">
        <f>IF(OR(sales_data_sample[[#This Row],[STATUS]]="Shipped",sales_data_sample[[#This Row],[STATUS]]="Resolved"),sales_data_sample[[#This Row],[SALES]],0)</f>
        <v>173592</v>
      </c>
      <c r="F1909" s="10">
        <v>3</v>
      </c>
      <c r="G1909" s="12" t="s">
        <v>499</v>
      </c>
      <c r="H1909" s="1" t="s">
        <v>26</v>
      </c>
      <c r="I1909">
        <v>3</v>
      </c>
      <c r="J1909">
        <v>7</v>
      </c>
      <c r="K1909">
        <v>2004</v>
      </c>
      <c r="L1909" s="1" t="s">
        <v>799</v>
      </c>
      <c r="M1909">
        <v>65</v>
      </c>
      <c r="N1909" s="1" t="s">
        <v>973</v>
      </c>
      <c r="O1909" s="1" t="s">
        <v>378</v>
      </c>
      <c r="P1909" s="1" t="s">
        <v>157</v>
      </c>
      <c r="Q1909" s="1" t="s">
        <v>379</v>
      </c>
      <c r="R1909" s="1" t="s">
        <v>32</v>
      </c>
      <c r="S1909" s="1" t="s">
        <v>380</v>
      </c>
      <c r="T1909" s="1" t="s">
        <v>160</v>
      </c>
      <c r="U1909" s="1" t="s">
        <v>381</v>
      </c>
      <c r="V1909" s="1" t="s">
        <v>36</v>
      </c>
      <c r="W1909" s="1" t="s">
        <v>37</v>
      </c>
      <c r="X1909" s="1" t="s">
        <v>365</v>
      </c>
      <c r="Y1909" s="1" t="s">
        <v>382</v>
      </c>
      <c r="Z1909" s="1" t="str">
        <f>TRIM(_xlfn.CONCAT(sales_data_sample[[#This Row],[CONTACTFIRSTNAME]],", ",sales_data_sample[[#This Row],[CONTACTLASTNAME]]))</f>
        <v>Allen, Nelson</v>
      </c>
      <c r="AA1909" s="1" t="s">
        <v>40</v>
      </c>
    </row>
    <row r="1910" spans="1:27" x14ac:dyDescent="0.25">
      <c r="A1910" s="10">
        <v>10284</v>
      </c>
      <c r="B1910" s="9">
        <v>39</v>
      </c>
      <c r="C1910" s="9">
        <v>7167</v>
      </c>
      <c r="D1910" s="9">
        <f>PRODUCT(sales_data_sample[[#This Row],[QUANTITYORDERED]],sales_data_sample[[#This Row],[PRICEEACH]])</f>
        <v>279513</v>
      </c>
      <c r="E1910" s="9">
        <f>IF(OR(sales_data_sample[[#This Row],[STATUS]]="Shipped",sales_data_sample[[#This Row],[STATUS]]="Resolved"),sales_data_sample[[#This Row],[SALES]],0)</f>
        <v>279513</v>
      </c>
      <c r="F1910" s="10">
        <v>13</v>
      </c>
      <c r="G1910" s="12" t="s">
        <v>851</v>
      </c>
      <c r="H1910" s="1" t="s">
        <v>26</v>
      </c>
      <c r="I1910">
        <v>3</v>
      </c>
      <c r="J1910">
        <v>8</v>
      </c>
      <c r="K1910">
        <v>2004</v>
      </c>
      <c r="L1910" s="1" t="s">
        <v>799</v>
      </c>
      <c r="M1910">
        <v>65</v>
      </c>
      <c r="N1910" s="1" t="s">
        <v>973</v>
      </c>
      <c r="O1910" s="1" t="s">
        <v>786</v>
      </c>
      <c r="P1910" s="1" t="s">
        <v>787</v>
      </c>
      <c r="Q1910" s="1" t="s">
        <v>788</v>
      </c>
      <c r="R1910" s="1" t="s">
        <v>32</v>
      </c>
      <c r="S1910" s="1" t="s">
        <v>789</v>
      </c>
      <c r="T1910" s="1" t="s">
        <v>32</v>
      </c>
      <c r="U1910" s="1" t="s">
        <v>790</v>
      </c>
      <c r="V1910" s="1" t="s">
        <v>97</v>
      </c>
      <c r="W1910" s="1" t="s">
        <v>48</v>
      </c>
      <c r="X1910" s="1" t="s">
        <v>791</v>
      </c>
      <c r="Y1910" s="1" t="s">
        <v>792</v>
      </c>
      <c r="Z1910" s="1" t="str">
        <f>TRIM(_xlfn.CONCAT(sales_data_sample[[#This Row],[CONTACTFIRSTNAME]],", ",sales_data_sample[[#This Row],[CONTACTLASTNAME]]))</f>
        <v>Jan, Klaeboe</v>
      </c>
      <c r="AA1910" s="1" t="s">
        <v>40</v>
      </c>
    </row>
    <row r="1911" spans="1:27" x14ac:dyDescent="0.25">
      <c r="A1911" s="10">
        <v>10296</v>
      </c>
      <c r="B1911" s="9">
        <v>31</v>
      </c>
      <c r="C1911" s="9">
        <v>5392</v>
      </c>
      <c r="D1911" s="9">
        <f>PRODUCT(sales_data_sample[[#This Row],[QUANTITYORDERED]],sales_data_sample[[#This Row],[PRICEEACH]])</f>
        <v>167152</v>
      </c>
      <c r="E1911" s="9">
        <f>IF(OR(sales_data_sample[[#This Row],[STATUS]]="Shipped",sales_data_sample[[#This Row],[STATUS]]="Resolved"),sales_data_sample[[#This Row],[SALES]],0)</f>
        <v>167152</v>
      </c>
      <c r="F1911" s="10">
        <v>9</v>
      </c>
      <c r="G1911" s="12" t="s">
        <v>852</v>
      </c>
      <c r="H1911" s="1" t="s">
        <v>26</v>
      </c>
      <c r="I1911">
        <v>3</v>
      </c>
      <c r="J1911">
        <v>9</v>
      </c>
      <c r="K1911">
        <v>2004</v>
      </c>
      <c r="L1911" s="1" t="s">
        <v>799</v>
      </c>
      <c r="M1911">
        <v>65</v>
      </c>
      <c r="N1911" s="1" t="s">
        <v>973</v>
      </c>
      <c r="O1911" s="1" t="s">
        <v>853</v>
      </c>
      <c r="P1911" s="1" t="s">
        <v>854</v>
      </c>
      <c r="Q1911" s="1" t="s">
        <v>855</v>
      </c>
      <c r="R1911" s="1" t="s">
        <v>32</v>
      </c>
      <c r="S1911" s="1" t="s">
        <v>856</v>
      </c>
      <c r="T1911" s="1" t="s">
        <v>32</v>
      </c>
      <c r="U1911" s="1" t="s">
        <v>857</v>
      </c>
      <c r="V1911" s="1" t="s">
        <v>617</v>
      </c>
      <c r="W1911" s="1" t="s">
        <v>48</v>
      </c>
      <c r="X1911" s="1" t="s">
        <v>858</v>
      </c>
      <c r="Y1911" s="1" t="s">
        <v>130</v>
      </c>
      <c r="Z1911" s="1" t="str">
        <f>TRIM(_xlfn.CONCAT(sales_data_sample[[#This Row],[CONTACTFIRSTNAME]],", ",sales_data_sample[[#This Row],[CONTACTLASTNAME]]))</f>
        <v>Michael, Donnermeyer</v>
      </c>
      <c r="AA1911" s="1" t="s">
        <v>40</v>
      </c>
    </row>
    <row r="1912" spans="1:27" x14ac:dyDescent="0.25">
      <c r="A1912" s="10">
        <v>10307</v>
      </c>
      <c r="B1912" s="9">
        <v>22</v>
      </c>
      <c r="C1912" s="9">
        <v>7167</v>
      </c>
      <c r="D1912" s="9">
        <f>PRODUCT(sales_data_sample[[#This Row],[QUANTITYORDERED]],sales_data_sample[[#This Row],[PRICEEACH]])</f>
        <v>157674</v>
      </c>
      <c r="E1912" s="9">
        <f>IF(OR(sales_data_sample[[#This Row],[STATUS]]="Shipped",sales_data_sample[[#This Row],[STATUS]]="Resolved"),sales_data_sample[[#This Row],[SALES]],0)</f>
        <v>157674</v>
      </c>
      <c r="F1912" s="10">
        <v>3</v>
      </c>
      <c r="G1912" s="12" t="s">
        <v>522</v>
      </c>
      <c r="H1912" s="1" t="s">
        <v>26</v>
      </c>
      <c r="I1912">
        <v>4</v>
      </c>
      <c r="J1912">
        <v>10</v>
      </c>
      <c r="K1912">
        <v>2004</v>
      </c>
      <c r="L1912" s="1" t="s">
        <v>799</v>
      </c>
      <c r="M1912">
        <v>65</v>
      </c>
      <c r="N1912" s="1" t="s">
        <v>973</v>
      </c>
      <c r="O1912" s="1" t="s">
        <v>283</v>
      </c>
      <c r="P1912" s="1" t="s">
        <v>284</v>
      </c>
      <c r="Q1912" s="1" t="s">
        <v>285</v>
      </c>
      <c r="R1912" s="1" t="s">
        <v>32</v>
      </c>
      <c r="S1912" s="1" t="s">
        <v>286</v>
      </c>
      <c r="T1912" s="1" t="s">
        <v>186</v>
      </c>
      <c r="U1912" s="1" t="s">
        <v>287</v>
      </c>
      <c r="V1912" s="1" t="s">
        <v>36</v>
      </c>
      <c r="W1912" s="1" t="s">
        <v>37</v>
      </c>
      <c r="X1912" s="1" t="s">
        <v>288</v>
      </c>
      <c r="Y1912" s="1" t="s">
        <v>289</v>
      </c>
      <c r="Z1912" s="1" t="str">
        <f>TRIM(_xlfn.CONCAT(sales_data_sample[[#This Row],[CONTACTFIRSTNAME]],", ",sales_data_sample[[#This Row],[CONTACTLASTNAME]]))</f>
        <v>Francisca, Cervantes</v>
      </c>
      <c r="AA1912" s="1" t="s">
        <v>40</v>
      </c>
    </row>
    <row r="1913" spans="1:27" x14ac:dyDescent="0.25">
      <c r="A1913" s="10">
        <v>10316</v>
      </c>
      <c r="B1913" s="9">
        <v>47</v>
      </c>
      <c r="C1913" s="9">
        <v>7693</v>
      </c>
      <c r="D1913" s="9">
        <f>PRODUCT(sales_data_sample[[#This Row],[QUANTITYORDERED]],sales_data_sample[[#This Row],[PRICEEACH]])</f>
        <v>361571</v>
      </c>
      <c r="E1913" s="9">
        <f>IF(OR(sales_data_sample[[#This Row],[STATUS]]="Shipped",sales_data_sample[[#This Row],[STATUS]]="Resolved"),sales_data_sample[[#This Row],[SALES]],0)</f>
        <v>361571</v>
      </c>
      <c r="F1913" s="10">
        <v>11</v>
      </c>
      <c r="G1913" s="12" t="s">
        <v>523</v>
      </c>
      <c r="H1913" s="1" t="s">
        <v>26</v>
      </c>
      <c r="I1913">
        <v>4</v>
      </c>
      <c r="J1913">
        <v>11</v>
      </c>
      <c r="K1913">
        <v>2004</v>
      </c>
      <c r="L1913" s="1" t="s">
        <v>799</v>
      </c>
      <c r="M1913">
        <v>65</v>
      </c>
      <c r="N1913" s="1" t="s">
        <v>973</v>
      </c>
      <c r="O1913" s="1" t="s">
        <v>524</v>
      </c>
      <c r="P1913" s="1" t="s">
        <v>525</v>
      </c>
      <c r="Q1913" s="1" t="s">
        <v>526</v>
      </c>
      <c r="R1913" s="1" t="s">
        <v>32</v>
      </c>
      <c r="S1913" s="1" t="s">
        <v>527</v>
      </c>
      <c r="T1913" s="1" t="s">
        <v>528</v>
      </c>
      <c r="U1913" s="1" t="s">
        <v>529</v>
      </c>
      <c r="V1913" s="1" t="s">
        <v>225</v>
      </c>
      <c r="W1913" s="1" t="s">
        <v>48</v>
      </c>
      <c r="X1913" s="1" t="s">
        <v>530</v>
      </c>
      <c r="Y1913" s="1" t="s">
        <v>531</v>
      </c>
      <c r="Z1913" s="1" t="str">
        <f>TRIM(_xlfn.CONCAT(sales_data_sample[[#This Row],[CONTACTFIRSTNAME]],", ",sales_data_sample[[#This Row],[CONTACTLASTNAME]]))</f>
        <v>Helen, Bennett</v>
      </c>
      <c r="AA1913" s="1" t="s">
        <v>59</v>
      </c>
    </row>
    <row r="1914" spans="1:27" x14ac:dyDescent="0.25">
      <c r="A1914" s="10">
        <v>10328</v>
      </c>
      <c r="B1914" s="9">
        <v>20</v>
      </c>
      <c r="C1914" s="9">
        <v>7298</v>
      </c>
      <c r="D1914" s="9">
        <f>PRODUCT(sales_data_sample[[#This Row],[QUANTITYORDERED]],sales_data_sample[[#This Row],[PRICEEACH]])</f>
        <v>145960</v>
      </c>
      <c r="E1914" s="9">
        <f>IF(OR(sales_data_sample[[#This Row],[STATUS]]="Shipped",sales_data_sample[[#This Row],[STATUS]]="Resolved"),sales_data_sample[[#This Row],[SALES]],0)</f>
        <v>145960</v>
      </c>
      <c r="F1914" s="10">
        <v>2</v>
      </c>
      <c r="G1914" s="12" t="s">
        <v>936</v>
      </c>
      <c r="H1914" s="1" t="s">
        <v>26</v>
      </c>
      <c r="I1914">
        <v>4</v>
      </c>
      <c r="J1914">
        <v>11</v>
      </c>
      <c r="K1914">
        <v>2004</v>
      </c>
      <c r="L1914" s="1" t="s">
        <v>799</v>
      </c>
      <c r="M1914">
        <v>65</v>
      </c>
      <c r="N1914" s="1" t="s">
        <v>973</v>
      </c>
      <c r="O1914" s="1" t="s">
        <v>806</v>
      </c>
      <c r="P1914" s="1" t="s">
        <v>807</v>
      </c>
      <c r="Q1914" s="1" t="s">
        <v>808</v>
      </c>
      <c r="R1914" s="1" t="s">
        <v>32</v>
      </c>
      <c r="S1914" s="1" t="s">
        <v>809</v>
      </c>
      <c r="T1914" s="1" t="s">
        <v>32</v>
      </c>
      <c r="U1914" s="1" t="s">
        <v>810</v>
      </c>
      <c r="V1914" s="1" t="s">
        <v>343</v>
      </c>
      <c r="W1914" s="1" t="s">
        <v>48</v>
      </c>
      <c r="X1914" s="1" t="s">
        <v>811</v>
      </c>
      <c r="Y1914" s="1" t="s">
        <v>812</v>
      </c>
      <c r="Z1914" s="1" t="str">
        <f>TRIM(_xlfn.CONCAT(sales_data_sample[[#This Row],[CONTACTFIRSTNAME]],", ",sales_data_sample[[#This Row],[CONTACTLASTNAME]]))</f>
        <v>Giovanni, Rovelli</v>
      </c>
      <c r="AA1914" s="1" t="s">
        <v>40</v>
      </c>
    </row>
    <row r="1915" spans="1:27" x14ac:dyDescent="0.25">
      <c r="A1915" s="10">
        <v>10339</v>
      </c>
      <c r="B1915" s="9">
        <v>29</v>
      </c>
      <c r="C1915" s="9">
        <v>9969</v>
      </c>
      <c r="D1915" s="9">
        <f>PRODUCT(sales_data_sample[[#This Row],[QUANTITYORDERED]],sales_data_sample[[#This Row],[PRICEEACH]])</f>
        <v>289101</v>
      </c>
      <c r="E1915" s="9">
        <f>IF(OR(sales_data_sample[[#This Row],[STATUS]]="Shipped",sales_data_sample[[#This Row],[STATUS]]="Resolved"),sales_data_sample[[#This Row],[SALES]],0)</f>
        <v>289101</v>
      </c>
      <c r="F1915" s="10">
        <v>14</v>
      </c>
      <c r="G1915" s="12" t="s">
        <v>430</v>
      </c>
      <c r="H1915" s="1" t="s">
        <v>26</v>
      </c>
      <c r="I1915">
        <v>4</v>
      </c>
      <c r="J1915">
        <v>11</v>
      </c>
      <c r="K1915">
        <v>2004</v>
      </c>
      <c r="L1915" s="1" t="s">
        <v>799</v>
      </c>
      <c r="M1915">
        <v>65</v>
      </c>
      <c r="N1915" s="1" t="s">
        <v>973</v>
      </c>
      <c r="O1915" s="1" t="s">
        <v>328</v>
      </c>
      <c r="P1915" s="1" t="s">
        <v>329</v>
      </c>
      <c r="Q1915" s="1" t="s">
        <v>330</v>
      </c>
      <c r="R1915" s="1" t="s">
        <v>32</v>
      </c>
      <c r="S1915" s="1" t="s">
        <v>331</v>
      </c>
      <c r="T1915" s="1" t="s">
        <v>332</v>
      </c>
      <c r="U1915" s="1" t="s">
        <v>333</v>
      </c>
      <c r="V1915" s="1" t="s">
        <v>264</v>
      </c>
      <c r="W1915" s="1" t="s">
        <v>264</v>
      </c>
      <c r="X1915" s="1" t="s">
        <v>334</v>
      </c>
      <c r="Y1915" s="1" t="s">
        <v>335</v>
      </c>
      <c r="Z1915" s="1" t="str">
        <f>TRIM(_xlfn.CONCAT(sales_data_sample[[#This Row],[CONTACTFIRSTNAME]],", ",sales_data_sample[[#This Row],[CONTACTLASTNAME]]))</f>
        <v>Akiko, Shimamura</v>
      </c>
      <c r="AA1915" s="1" t="s">
        <v>40</v>
      </c>
    </row>
    <row r="1916" spans="1:27" x14ac:dyDescent="0.25">
      <c r="A1916" s="10">
        <v>10351</v>
      </c>
      <c r="B1916" s="9">
        <v>38</v>
      </c>
      <c r="C1916" s="9">
        <v>6838</v>
      </c>
      <c r="D1916" s="9">
        <f>PRODUCT(sales_data_sample[[#This Row],[QUANTITYORDERED]],sales_data_sample[[#This Row],[PRICEEACH]])</f>
        <v>259844</v>
      </c>
      <c r="E1916" s="9">
        <f>IF(OR(sales_data_sample[[#This Row],[STATUS]]="Shipped",sales_data_sample[[#This Row],[STATUS]]="Resolved"),sales_data_sample[[#This Row],[SALES]],0)</f>
        <v>259844</v>
      </c>
      <c r="F1916" s="10">
        <v>4</v>
      </c>
      <c r="G1916" s="12" t="s">
        <v>868</v>
      </c>
      <c r="H1916" s="1" t="s">
        <v>26</v>
      </c>
      <c r="I1916">
        <v>4</v>
      </c>
      <c r="J1916">
        <v>12</v>
      </c>
      <c r="K1916">
        <v>2004</v>
      </c>
      <c r="L1916" s="1" t="s">
        <v>799</v>
      </c>
      <c r="M1916">
        <v>65</v>
      </c>
      <c r="N1916" s="1" t="s">
        <v>973</v>
      </c>
      <c r="O1916" s="1" t="s">
        <v>447</v>
      </c>
      <c r="P1916" s="1" t="s">
        <v>448</v>
      </c>
      <c r="Q1916" s="1" t="s">
        <v>449</v>
      </c>
      <c r="R1916" s="1" t="s">
        <v>32</v>
      </c>
      <c r="S1916" s="1" t="s">
        <v>450</v>
      </c>
      <c r="T1916" s="1" t="s">
        <v>32</v>
      </c>
      <c r="U1916" s="1" t="s">
        <v>451</v>
      </c>
      <c r="V1916" s="1" t="s">
        <v>225</v>
      </c>
      <c r="W1916" s="1" t="s">
        <v>48</v>
      </c>
      <c r="X1916" s="1" t="s">
        <v>74</v>
      </c>
      <c r="Y1916" s="1" t="s">
        <v>452</v>
      </c>
      <c r="Z1916" s="1" t="str">
        <f>TRIM(_xlfn.CONCAT(sales_data_sample[[#This Row],[CONTACTFIRSTNAME]],", ",sales_data_sample[[#This Row],[CONTACTLASTNAME]]))</f>
        <v>Ann, Brown</v>
      </c>
      <c r="AA1916" s="1" t="s">
        <v>40</v>
      </c>
    </row>
    <row r="1917" spans="1:27" x14ac:dyDescent="0.25">
      <c r="A1917">
        <v>10361</v>
      </c>
      <c r="B1917">
        <v>34</v>
      </c>
      <c r="C1917">
        <v>100</v>
      </c>
      <c r="D1917">
        <f>PRODUCT(sales_data_sample[[#This Row],[QUANTITYORDERED]],sales_data_sample[[#This Row],[PRICEEACH]])</f>
        <v>3400</v>
      </c>
      <c r="E1917" s="9">
        <f>IF(OR(sales_data_sample[[#This Row],[STATUS]]="Shipped",sales_data_sample[[#This Row],[STATUS]]="Resolved"),sales_data_sample[[#This Row],[SALES]],0)</f>
        <v>3400</v>
      </c>
      <c r="F1917">
        <v>6</v>
      </c>
      <c r="G1917" s="12" t="s">
        <v>200</v>
      </c>
      <c r="H1917" s="1" t="s">
        <v>26</v>
      </c>
      <c r="I1917">
        <v>4</v>
      </c>
      <c r="J1917">
        <v>12</v>
      </c>
      <c r="K1917">
        <v>2004</v>
      </c>
      <c r="L1917" s="1" t="s">
        <v>799</v>
      </c>
      <c r="M1917">
        <v>65</v>
      </c>
      <c r="N1917" s="1" t="s">
        <v>973</v>
      </c>
      <c r="O1917" s="1" t="s">
        <v>201</v>
      </c>
      <c r="P1917" s="1" t="s">
        <v>202</v>
      </c>
      <c r="Q1917" s="1" t="s">
        <v>203</v>
      </c>
      <c r="R1917" s="1" t="s">
        <v>204</v>
      </c>
      <c r="S1917" s="1" t="s">
        <v>205</v>
      </c>
      <c r="T1917" s="1" t="s">
        <v>206</v>
      </c>
      <c r="U1917" s="1" t="s">
        <v>207</v>
      </c>
      <c r="V1917" s="1" t="s">
        <v>120</v>
      </c>
      <c r="W1917" s="1" t="s">
        <v>121</v>
      </c>
      <c r="X1917" s="1" t="s">
        <v>208</v>
      </c>
      <c r="Y1917" s="1" t="s">
        <v>209</v>
      </c>
      <c r="Z1917" s="1" t="str">
        <f>TRIM(_xlfn.CONCAT(sales_data_sample[[#This Row],[CONTACTFIRSTNAME]],", ",sales_data_sample[[#This Row],[CONTACTLASTNAME]]))</f>
        <v>Adrian, Huxley</v>
      </c>
      <c r="AA1917" s="1" t="s">
        <v>59</v>
      </c>
    </row>
    <row r="1918" spans="1:27" x14ac:dyDescent="0.25">
      <c r="A1918" s="10">
        <v>10373</v>
      </c>
      <c r="B1918" s="9">
        <v>46</v>
      </c>
      <c r="C1918" s="9">
        <v>66</v>
      </c>
      <c r="D1918" s="9">
        <f>PRODUCT(sales_data_sample[[#This Row],[QUANTITYORDERED]],sales_data_sample[[#This Row],[PRICEEACH]])</f>
        <v>3036</v>
      </c>
      <c r="E1918" s="9">
        <f>IF(OR(sales_data_sample[[#This Row],[STATUS]]="Shipped",sales_data_sample[[#This Row],[STATUS]]="Resolved"),sales_data_sample[[#This Row],[SALES]],0)</f>
        <v>3036</v>
      </c>
      <c r="F1918" s="10">
        <v>11</v>
      </c>
      <c r="G1918" s="12" t="s">
        <v>536</v>
      </c>
      <c r="H1918" s="1" t="s">
        <v>26</v>
      </c>
      <c r="I1918">
        <v>1</v>
      </c>
      <c r="J1918">
        <v>1</v>
      </c>
      <c r="K1918">
        <v>2005</v>
      </c>
      <c r="L1918" s="1" t="s">
        <v>799</v>
      </c>
      <c r="M1918">
        <v>65</v>
      </c>
      <c r="N1918" s="1" t="s">
        <v>973</v>
      </c>
      <c r="O1918" s="1" t="s">
        <v>537</v>
      </c>
      <c r="P1918" s="1" t="s">
        <v>538</v>
      </c>
      <c r="Q1918" s="1" t="s">
        <v>539</v>
      </c>
      <c r="R1918" s="1" t="s">
        <v>32</v>
      </c>
      <c r="S1918" s="1" t="s">
        <v>540</v>
      </c>
      <c r="T1918" s="1" t="s">
        <v>32</v>
      </c>
      <c r="U1918" s="1" t="s">
        <v>541</v>
      </c>
      <c r="V1918" s="1" t="s">
        <v>170</v>
      </c>
      <c r="W1918" s="1" t="s">
        <v>48</v>
      </c>
      <c r="X1918" s="1" t="s">
        <v>542</v>
      </c>
      <c r="Y1918" s="1" t="s">
        <v>543</v>
      </c>
      <c r="Z1918" s="1" t="str">
        <f>TRIM(_xlfn.CONCAT(sales_data_sample[[#This Row],[CONTACTFIRSTNAME]],", ",sales_data_sample[[#This Row],[CONTACTLASTNAME]]))</f>
        <v>Pirkko, Koskitalo</v>
      </c>
      <c r="AA1918" s="1" t="s">
        <v>59</v>
      </c>
    </row>
    <row r="1919" spans="1:27" x14ac:dyDescent="0.25">
      <c r="A1919" s="10">
        <v>10386</v>
      </c>
      <c r="B1919" s="9">
        <v>35</v>
      </c>
      <c r="C1919" s="9">
        <v>6376</v>
      </c>
      <c r="D1919" s="9">
        <f>PRODUCT(sales_data_sample[[#This Row],[QUANTITYORDERED]],sales_data_sample[[#This Row],[PRICEEACH]])</f>
        <v>223160</v>
      </c>
      <c r="E1919" s="9">
        <f>IF(OR(sales_data_sample[[#This Row],[STATUS]]="Shipped",sales_data_sample[[#This Row],[STATUS]]="Resolved"),sales_data_sample[[#This Row],[SALES]],0)</f>
        <v>223160</v>
      </c>
      <c r="F1919" s="10">
        <v>9</v>
      </c>
      <c r="G1919" s="12" t="s">
        <v>869</v>
      </c>
      <c r="H1919" s="1" t="s">
        <v>563</v>
      </c>
      <c r="I1919">
        <v>1</v>
      </c>
      <c r="J1919">
        <v>3</v>
      </c>
      <c r="K1919">
        <v>2005</v>
      </c>
      <c r="L1919" s="1" t="s">
        <v>799</v>
      </c>
      <c r="M1919">
        <v>65</v>
      </c>
      <c r="N1919" s="1" t="s">
        <v>973</v>
      </c>
      <c r="O1919" s="1" t="s">
        <v>230</v>
      </c>
      <c r="P1919" s="1" t="s">
        <v>231</v>
      </c>
      <c r="Q1919" s="1" t="s">
        <v>232</v>
      </c>
      <c r="R1919" s="1" t="s">
        <v>32</v>
      </c>
      <c r="S1919" s="1" t="s">
        <v>233</v>
      </c>
      <c r="T1919" s="1" t="s">
        <v>32</v>
      </c>
      <c r="U1919" s="1" t="s">
        <v>234</v>
      </c>
      <c r="V1919" s="1" t="s">
        <v>235</v>
      </c>
      <c r="W1919" s="1" t="s">
        <v>48</v>
      </c>
      <c r="X1919" s="1" t="s">
        <v>236</v>
      </c>
      <c r="Y1919" s="1" t="s">
        <v>237</v>
      </c>
      <c r="Z1919" s="1" t="str">
        <f>TRIM(_xlfn.CONCAT(sales_data_sample[[#This Row],[CONTACTFIRSTNAME]],", ",sales_data_sample[[#This Row],[CONTACTLASTNAME]]))</f>
        <v>Diego, Freyre</v>
      </c>
      <c r="AA1919" s="1" t="s">
        <v>40</v>
      </c>
    </row>
    <row r="1920" spans="1:27" x14ac:dyDescent="0.25">
      <c r="A1920" s="10">
        <v>10398</v>
      </c>
      <c r="B1920" s="9">
        <v>34</v>
      </c>
      <c r="C1920" s="9">
        <v>7167</v>
      </c>
      <c r="D1920" s="9">
        <f>PRODUCT(sales_data_sample[[#This Row],[QUANTITYORDERED]],sales_data_sample[[#This Row],[PRICEEACH]])</f>
        <v>243678</v>
      </c>
      <c r="E1920" s="9">
        <f>IF(OR(sales_data_sample[[#This Row],[STATUS]]="Shipped",sales_data_sample[[#This Row],[STATUS]]="Resolved"),sales_data_sample[[#This Row],[SALES]],0)</f>
        <v>243678</v>
      </c>
      <c r="F1920" s="10">
        <v>13</v>
      </c>
      <c r="G1920" s="12" t="s">
        <v>870</v>
      </c>
      <c r="H1920" s="1" t="s">
        <v>26</v>
      </c>
      <c r="I1920">
        <v>1</v>
      </c>
      <c r="J1920">
        <v>3</v>
      </c>
      <c r="K1920">
        <v>2005</v>
      </c>
      <c r="L1920" s="1" t="s">
        <v>799</v>
      </c>
      <c r="M1920">
        <v>65</v>
      </c>
      <c r="N1920" s="1" t="s">
        <v>973</v>
      </c>
      <c r="O1920" s="1" t="s">
        <v>42</v>
      </c>
      <c r="P1920" s="1" t="s">
        <v>43</v>
      </c>
      <c r="Q1920" s="1" t="s">
        <v>44</v>
      </c>
      <c r="R1920" s="1" t="s">
        <v>32</v>
      </c>
      <c r="S1920" s="1" t="s">
        <v>45</v>
      </c>
      <c r="T1920" s="1" t="s">
        <v>32</v>
      </c>
      <c r="U1920" s="1" t="s">
        <v>46</v>
      </c>
      <c r="V1920" s="1" t="s">
        <v>47</v>
      </c>
      <c r="W1920" s="1" t="s">
        <v>48</v>
      </c>
      <c r="X1920" s="1" t="s">
        <v>49</v>
      </c>
      <c r="Y1920" s="1" t="s">
        <v>50</v>
      </c>
      <c r="Z1920" s="1" t="str">
        <f>TRIM(_xlfn.CONCAT(sales_data_sample[[#This Row],[CONTACTFIRSTNAME]],", ",sales_data_sample[[#This Row],[CONTACTLASTNAME]]))</f>
        <v>Paul, Henriot</v>
      </c>
      <c r="AA1920" s="1" t="s">
        <v>40</v>
      </c>
    </row>
    <row r="1921" spans="1:27" x14ac:dyDescent="0.25">
      <c r="A1921" s="10">
        <v>10400</v>
      </c>
      <c r="B1921" s="9">
        <v>38</v>
      </c>
      <c r="C1921" s="9">
        <v>572</v>
      </c>
      <c r="D1921" s="9">
        <f>PRODUCT(sales_data_sample[[#This Row],[QUANTITYORDERED]],sales_data_sample[[#This Row],[PRICEEACH]])</f>
        <v>21736</v>
      </c>
      <c r="E1921" s="9">
        <f>IF(OR(sales_data_sample[[#This Row],[STATUS]]="Shipped",sales_data_sample[[#This Row],[STATUS]]="Resolved"),sales_data_sample[[#This Row],[SALES]],0)</f>
        <v>21736</v>
      </c>
      <c r="F1921" s="10">
        <v>3</v>
      </c>
      <c r="G1921" s="12" t="s">
        <v>546</v>
      </c>
      <c r="H1921" s="1" t="s">
        <v>26</v>
      </c>
      <c r="I1921">
        <v>2</v>
      </c>
      <c r="J1921">
        <v>4</v>
      </c>
      <c r="K1921">
        <v>2005</v>
      </c>
      <c r="L1921" s="1" t="s">
        <v>799</v>
      </c>
      <c r="M1921">
        <v>65</v>
      </c>
      <c r="N1921" s="1" t="s">
        <v>973</v>
      </c>
      <c r="O1921" s="1" t="s">
        <v>547</v>
      </c>
      <c r="P1921" s="1" t="s">
        <v>548</v>
      </c>
      <c r="Q1921" s="1" t="s">
        <v>549</v>
      </c>
      <c r="R1921" s="1" t="s">
        <v>32</v>
      </c>
      <c r="S1921" s="1" t="s">
        <v>550</v>
      </c>
      <c r="T1921" s="1" t="s">
        <v>65</v>
      </c>
      <c r="U1921" s="1" t="s">
        <v>80</v>
      </c>
      <c r="V1921" s="1" t="s">
        <v>36</v>
      </c>
      <c r="W1921" s="1" t="s">
        <v>37</v>
      </c>
      <c r="X1921" s="1" t="s">
        <v>129</v>
      </c>
      <c r="Y1921" s="1" t="s">
        <v>551</v>
      </c>
      <c r="Z1921" s="1" t="str">
        <f>TRIM(_xlfn.CONCAT(sales_data_sample[[#This Row],[CONTACTFIRSTNAME]],", ",sales_data_sample[[#This Row],[CONTACTLASTNAME]]))</f>
        <v>Sue, Frick</v>
      </c>
      <c r="AA1921" s="1" t="s">
        <v>40</v>
      </c>
    </row>
    <row r="1922" spans="1:27" x14ac:dyDescent="0.25">
      <c r="A1922" s="10">
        <v>10415</v>
      </c>
      <c r="B1922" s="9">
        <v>18</v>
      </c>
      <c r="C1922" s="9">
        <v>697</v>
      </c>
      <c r="D1922" s="9">
        <f>PRODUCT(sales_data_sample[[#This Row],[QUANTITYORDERED]],sales_data_sample[[#This Row],[PRICEEACH]])</f>
        <v>12546</v>
      </c>
      <c r="E1922" s="9">
        <f>IF(OR(sales_data_sample[[#This Row],[STATUS]]="Shipped",sales_data_sample[[#This Row],[STATUS]]="Resolved"),sales_data_sample[[#This Row],[SALES]],0)</f>
        <v>0</v>
      </c>
      <c r="F1922" s="10">
        <v>2</v>
      </c>
      <c r="G1922" s="12" t="s">
        <v>937</v>
      </c>
      <c r="H1922" s="1" t="s">
        <v>229</v>
      </c>
      <c r="I1922">
        <v>2</v>
      </c>
      <c r="J1922">
        <v>5</v>
      </c>
      <c r="K1922">
        <v>2005</v>
      </c>
      <c r="L1922" s="1" t="s">
        <v>799</v>
      </c>
      <c r="M1922">
        <v>65</v>
      </c>
      <c r="N1922" s="1" t="s">
        <v>973</v>
      </c>
      <c r="O1922" s="1" t="s">
        <v>814</v>
      </c>
      <c r="P1922" s="1" t="s">
        <v>815</v>
      </c>
      <c r="Q1922" s="1" t="s">
        <v>816</v>
      </c>
      <c r="R1922" s="1" t="s">
        <v>32</v>
      </c>
      <c r="S1922" s="1" t="s">
        <v>817</v>
      </c>
      <c r="T1922" s="1" t="s">
        <v>118</v>
      </c>
      <c r="U1922" s="1" t="s">
        <v>818</v>
      </c>
      <c r="V1922" s="1" t="s">
        <v>120</v>
      </c>
      <c r="W1922" s="1" t="s">
        <v>121</v>
      </c>
      <c r="X1922" s="1" t="s">
        <v>819</v>
      </c>
      <c r="Y1922" s="1" t="s">
        <v>820</v>
      </c>
      <c r="Z1922" s="1" t="str">
        <f>TRIM(_xlfn.CONCAT(sales_data_sample[[#This Row],[CONTACTFIRSTNAME]],", ",sales_data_sample[[#This Row],[CONTACTLASTNAME]]))</f>
        <v>Sean, Connery</v>
      </c>
      <c r="AA1922" s="1" t="s">
        <v>40</v>
      </c>
    </row>
    <row r="1923" spans="1:27" x14ac:dyDescent="0.25">
      <c r="A1923" s="10">
        <v>10110</v>
      </c>
      <c r="B1923" s="9">
        <v>37</v>
      </c>
      <c r="C1923" s="9">
        <v>100</v>
      </c>
      <c r="D1923" s="9">
        <f>PRODUCT(sales_data_sample[[#This Row],[QUANTITYORDERED]],sales_data_sample[[#This Row],[PRICEEACH]])</f>
        <v>3700</v>
      </c>
      <c r="E1923" s="9">
        <f>IF(OR(sales_data_sample[[#This Row],[STATUS]]="Shipped",sales_data_sample[[#This Row],[STATUS]]="Resolved"),sales_data_sample[[#This Row],[SALES]],0)</f>
        <v>3700</v>
      </c>
      <c r="F1923" s="10">
        <v>14</v>
      </c>
      <c r="G1923" s="12" t="s">
        <v>829</v>
      </c>
      <c r="H1923" s="1" t="s">
        <v>26</v>
      </c>
      <c r="I1923">
        <v>1</v>
      </c>
      <c r="J1923">
        <v>3</v>
      </c>
      <c r="K1923">
        <v>2003</v>
      </c>
      <c r="L1923" s="1" t="s">
        <v>239</v>
      </c>
      <c r="M1923">
        <v>107</v>
      </c>
      <c r="N1923" s="1" t="s">
        <v>974</v>
      </c>
      <c r="O1923" s="1" t="s">
        <v>695</v>
      </c>
      <c r="P1923" s="1" t="s">
        <v>696</v>
      </c>
      <c r="Q1923" s="1" t="s">
        <v>697</v>
      </c>
      <c r="R1923" s="1" t="s">
        <v>32</v>
      </c>
      <c r="S1923" s="1" t="s">
        <v>698</v>
      </c>
      <c r="T1923" s="1" t="s">
        <v>32</v>
      </c>
      <c r="U1923" s="1" t="s">
        <v>699</v>
      </c>
      <c r="V1923" s="1" t="s">
        <v>225</v>
      </c>
      <c r="W1923" s="1" t="s">
        <v>48</v>
      </c>
      <c r="X1923" s="1" t="s">
        <v>700</v>
      </c>
      <c r="Y1923" s="1" t="s">
        <v>118</v>
      </c>
      <c r="Z1923" s="1" t="str">
        <f>TRIM(_xlfn.CONCAT(sales_data_sample[[#This Row],[CONTACTFIRSTNAME]],", ",sales_data_sample[[#This Row],[CONTACTLASTNAME]]))</f>
        <v>Victoria, Ashworth</v>
      </c>
      <c r="AA1923" s="1" t="s">
        <v>59</v>
      </c>
    </row>
    <row r="1924" spans="1:27" x14ac:dyDescent="0.25">
      <c r="A1924" s="10">
        <v>10124</v>
      </c>
      <c r="B1924" s="9">
        <v>43</v>
      </c>
      <c r="C1924" s="9">
        <v>100</v>
      </c>
      <c r="D1924" s="9">
        <f>PRODUCT(sales_data_sample[[#This Row],[QUANTITYORDERED]],sales_data_sample[[#This Row],[PRICEEACH]])</f>
        <v>4300</v>
      </c>
      <c r="E1924" s="9">
        <f>IF(OR(sales_data_sample[[#This Row],[STATUS]]="Shipped",sales_data_sample[[#This Row],[STATUS]]="Resolved"),sales_data_sample[[#This Row],[SALES]],0)</f>
        <v>4300</v>
      </c>
      <c r="F1924" s="10">
        <v>13</v>
      </c>
      <c r="G1924" s="12" t="s">
        <v>802</v>
      </c>
      <c r="H1924" s="1" t="s">
        <v>26</v>
      </c>
      <c r="I1924">
        <v>2</v>
      </c>
      <c r="J1924">
        <v>5</v>
      </c>
      <c r="K1924">
        <v>2003</v>
      </c>
      <c r="L1924" s="1" t="s">
        <v>239</v>
      </c>
      <c r="M1924">
        <v>107</v>
      </c>
      <c r="N1924" s="1" t="s">
        <v>974</v>
      </c>
      <c r="O1924" s="1" t="s">
        <v>779</v>
      </c>
      <c r="P1924" s="1" t="s">
        <v>780</v>
      </c>
      <c r="Q1924" s="1" t="s">
        <v>781</v>
      </c>
      <c r="R1924" s="1" t="s">
        <v>32</v>
      </c>
      <c r="S1924" s="1" t="s">
        <v>782</v>
      </c>
      <c r="T1924" s="1" t="s">
        <v>783</v>
      </c>
      <c r="U1924" s="1" t="s">
        <v>784</v>
      </c>
      <c r="V1924" s="1" t="s">
        <v>36</v>
      </c>
      <c r="W1924" s="1" t="s">
        <v>37</v>
      </c>
      <c r="X1924" s="1" t="s">
        <v>146</v>
      </c>
      <c r="Y1924" s="1" t="s">
        <v>551</v>
      </c>
      <c r="Z1924" s="1" t="str">
        <f>TRIM(_xlfn.CONCAT(sales_data_sample[[#This Row],[CONTACTFIRSTNAME]],", ",sales_data_sample[[#This Row],[CONTACTLASTNAME]]))</f>
        <v>Sue, King</v>
      </c>
      <c r="AA1924" s="1" t="s">
        <v>59</v>
      </c>
    </row>
    <row r="1925" spans="1:27" x14ac:dyDescent="0.25">
      <c r="A1925">
        <v>10148</v>
      </c>
      <c r="B1925">
        <v>27</v>
      </c>
      <c r="C1925">
        <v>100</v>
      </c>
      <c r="D1925">
        <f>PRODUCT(sales_data_sample[[#This Row],[QUANTITYORDERED]],sales_data_sample[[#This Row],[PRICEEACH]])</f>
        <v>2700</v>
      </c>
      <c r="E1925" s="9">
        <f>IF(OR(sales_data_sample[[#This Row],[STATUS]]="Shipped",sales_data_sample[[#This Row],[STATUS]]="Resolved"),sales_data_sample[[#This Row],[SALES]],0)</f>
        <v>2700</v>
      </c>
      <c r="F1925">
        <v>7</v>
      </c>
      <c r="G1925" s="12" t="s">
        <v>774</v>
      </c>
      <c r="H1925" s="1" t="s">
        <v>26</v>
      </c>
      <c r="I1925">
        <v>3</v>
      </c>
      <c r="J1925">
        <v>9</v>
      </c>
      <c r="K1925">
        <v>2003</v>
      </c>
      <c r="L1925" s="1" t="s">
        <v>239</v>
      </c>
      <c r="M1925">
        <v>107</v>
      </c>
      <c r="N1925" s="1" t="s">
        <v>974</v>
      </c>
      <c r="O1925" s="1" t="s">
        <v>385</v>
      </c>
      <c r="P1925" s="1" t="s">
        <v>386</v>
      </c>
      <c r="Q1925" s="1" t="s">
        <v>387</v>
      </c>
      <c r="R1925" s="1" t="s">
        <v>388</v>
      </c>
      <c r="S1925" s="1" t="s">
        <v>389</v>
      </c>
      <c r="T1925" s="1" t="s">
        <v>206</v>
      </c>
      <c r="U1925" s="1" t="s">
        <v>390</v>
      </c>
      <c r="V1925" s="1" t="s">
        <v>120</v>
      </c>
      <c r="W1925" s="1" t="s">
        <v>121</v>
      </c>
      <c r="X1925" s="1" t="s">
        <v>391</v>
      </c>
      <c r="Y1925" s="1" t="s">
        <v>392</v>
      </c>
      <c r="Z1925" s="1" t="str">
        <f>TRIM(_xlfn.CONCAT(sales_data_sample[[#This Row],[CONTACTFIRSTNAME]],", ",sales_data_sample[[#This Row],[CONTACTLASTNAME]]))</f>
        <v>Anna, O'Hara</v>
      </c>
      <c r="AA1925" s="1" t="s">
        <v>59</v>
      </c>
    </row>
    <row r="1926" spans="1:27" x14ac:dyDescent="0.25">
      <c r="A1926" s="10">
        <v>10161</v>
      </c>
      <c r="B1926" s="9">
        <v>30</v>
      </c>
      <c r="C1926" s="9">
        <v>100</v>
      </c>
      <c r="D1926" s="9">
        <f>PRODUCT(sales_data_sample[[#This Row],[QUANTITYORDERED]],sales_data_sample[[#This Row],[PRICEEACH]])</f>
        <v>3000</v>
      </c>
      <c r="E1926" s="9">
        <f>IF(OR(sales_data_sample[[#This Row],[STATUS]]="Shipped",sales_data_sample[[#This Row],[STATUS]]="Resolved"),sales_data_sample[[#This Row],[SALES]],0)</f>
        <v>3000</v>
      </c>
      <c r="F1926" s="10">
        <v>6</v>
      </c>
      <c r="G1926" s="12" t="s">
        <v>775</v>
      </c>
      <c r="H1926" s="1" t="s">
        <v>26</v>
      </c>
      <c r="I1926">
        <v>4</v>
      </c>
      <c r="J1926">
        <v>10</v>
      </c>
      <c r="K1926">
        <v>2003</v>
      </c>
      <c r="L1926" s="1" t="s">
        <v>239</v>
      </c>
      <c r="M1926">
        <v>107</v>
      </c>
      <c r="N1926" s="1" t="s">
        <v>974</v>
      </c>
      <c r="O1926" s="1" t="s">
        <v>701</v>
      </c>
      <c r="P1926" s="1" t="s">
        <v>702</v>
      </c>
      <c r="Q1926" s="1" t="s">
        <v>703</v>
      </c>
      <c r="R1926" s="1" t="s">
        <v>32</v>
      </c>
      <c r="S1926" s="1" t="s">
        <v>704</v>
      </c>
      <c r="T1926" s="1" t="s">
        <v>32</v>
      </c>
      <c r="U1926" s="1" t="s">
        <v>705</v>
      </c>
      <c r="V1926" s="1" t="s">
        <v>442</v>
      </c>
      <c r="W1926" s="1" t="s">
        <v>48</v>
      </c>
      <c r="X1926" s="1" t="s">
        <v>706</v>
      </c>
      <c r="Y1926" s="1" t="s">
        <v>707</v>
      </c>
      <c r="Z1926" s="1" t="str">
        <f>TRIM(_xlfn.CONCAT(sales_data_sample[[#This Row],[CONTACTFIRSTNAME]],", ",sales_data_sample[[#This Row],[CONTACTLASTNAME]]))</f>
        <v>Palle, Ibsen</v>
      </c>
      <c r="AA1926" s="1" t="s">
        <v>59</v>
      </c>
    </row>
    <row r="1927" spans="1:27" x14ac:dyDescent="0.25">
      <c r="A1927" s="10">
        <v>10172</v>
      </c>
      <c r="B1927" s="9">
        <v>22</v>
      </c>
      <c r="C1927" s="9">
        <v>9851</v>
      </c>
      <c r="D1927" s="9">
        <f>PRODUCT(sales_data_sample[[#This Row],[QUANTITYORDERED]],sales_data_sample[[#This Row],[PRICEEACH]])</f>
        <v>216722</v>
      </c>
      <c r="E1927" s="9">
        <f>IF(OR(sales_data_sample[[#This Row],[STATUS]]="Shipped",sales_data_sample[[#This Row],[STATUS]]="Resolved"),sales_data_sample[[#This Row],[SALES]],0)</f>
        <v>216722</v>
      </c>
      <c r="F1927" s="10">
        <v>4</v>
      </c>
      <c r="G1927" s="12" t="s">
        <v>776</v>
      </c>
      <c r="H1927" s="1" t="s">
        <v>26</v>
      </c>
      <c r="I1927">
        <v>4</v>
      </c>
      <c r="J1927">
        <v>11</v>
      </c>
      <c r="K1927">
        <v>2003</v>
      </c>
      <c r="L1927" s="1" t="s">
        <v>239</v>
      </c>
      <c r="M1927">
        <v>107</v>
      </c>
      <c r="N1927" s="1" t="s">
        <v>974</v>
      </c>
      <c r="O1927" s="1" t="s">
        <v>140</v>
      </c>
      <c r="P1927" s="1" t="s">
        <v>141</v>
      </c>
      <c r="Q1927" s="1" t="s">
        <v>142</v>
      </c>
      <c r="R1927" s="1" t="s">
        <v>32</v>
      </c>
      <c r="S1927" s="1" t="s">
        <v>143</v>
      </c>
      <c r="T1927" s="1" t="s">
        <v>144</v>
      </c>
      <c r="U1927" s="1" t="s">
        <v>145</v>
      </c>
      <c r="V1927" s="1" t="s">
        <v>36</v>
      </c>
      <c r="W1927" s="1" t="s">
        <v>37</v>
      </c>
      <c r="X1927" s="1" t="s">
        <v>146</v>
      </c>
      <c r="Y1927" s="1" t="s">
        <v>68</v>
      </c>
      <c r="Z1927" s="1" t="str">
        <f>TRIM(_xlfn.CONCAT(sales_data_sample[[#This Row],[CONTACTFIRSTNAME]],", ",sales_data_sample[[#This Row],[CONTACTLASTNAME]]))</f>
        <v>Julie, King</v>
      </c>
      <c r="AA1927" s="1" t="s">
        <v>40</v>
      </c>
    </row>
    <row r="1928" spans="1:27" x14ac:dyDescent="0.25">
      <c r="A1928" s="10">
        <v>10182</v>
      </c>
      <c r="B1928" s="9">
        <v>49</v>
      </c>
      <c r="C1928" s="9">
        <v>100</v>
      </c>
      <c r="D1928" s="9">
        <f>PRODUCT(sales_data_sample[[#This Row],[QUANTITYORDERED]],sales_data_sample[[#This Row],[PRICEEACH]])</f>
        <v>4900</v>
      </c>
      <c r="E1928" s="9">
        <f>IF(OR(sales_data_sample[[#This Row],[STATUS]]="Shipped",sales_data_sample[[#This Row],[STATUS]]="Resolved"),sales_data_sample[[#This Row],[SALES]],0)</f>
        <v>4900</v>
      </c>
      <c r="F1928" s="10">
        <v>17</v>
      </c>
      <c r="G1928" s="12" t="s">
        <v>610</v>
      </c>
      <c r="H1928" s="1" t="s">
        <v>26</v>
      </c>
      <c r="I1928">
        <v>4</v>
      </c>
      <c r="J1928">
        <v>11</v>
      </c>
      <c r="K1928">
        <v>2003</v>
      </c>
      <c r="L1928" s="1" t="s">
        <v>239</v>
      </c>
      <c r="M1928">
        <v>107</v>
      </c>
      <c r="N1928" s="1" t="s">
        <v>974</v>
      </c>
      <c r="O1928" s="1" t="s">
        <v>361</v>
      </c>
      <c r="P1928" s="1" t="s">
        <v>362</v>
      </c>
      <c r="Q1928" s="1" t="s">
        <v>363</v>
      </c>
      <c r="R1928" s="1" t="s">
        <v>32</v>
      </c>
      <c r="S1928" s="1" t="s">
        <v>364</v>
      </c>
      <c r="T1928" s="1" t="s">
        <v>65</v>
      </c>
      <c r="U1928" s="1" t="s">
        <v>145</v>
      </c>
      <c r="V1928" s="1" t="s">
        <v>36</v>
      </c>
      <c r="W1928" s="1" t="s">
        <v>37</v>
      </c>
      <c r="X1928" s="1" t="s">
        <v>365</v>
      </c>
      <c r="Y1928" s="1" t="s">
        <v>366</v>
      </c>
      <c r="Z1928" s="1" t="str">
        <f>TRIM(_xlfn.CONCAT(sales_data_sample[[#This Row],[CONTACTFIRSTNAME]],", ",sales_data_sample[[#This Row],[CONTACTLASTNAME]]))</f>
        <v>Valarie, Nelson</v>
      </c>
      <c r="AA1928" s="1" t="s">
        <v>59</v>
      </c>
    </row>
    <row r="1929" spans="1:27" x14ac:dyDescent="0.25">
      <c r="A1929" s="10">
        <v>10192</v>
      </c>
      <c r="B1929" s="9">
        <v>46</v>
      </c>
      <c r="C1929" s="9">
        <v>100</v>
      </c>
      <c r="D1929" s="9">
        <f>PRODUCT(sales_data_sample[[#This Row],[QUANTITYORDERED]],sales_data_sample[[#This Row],[PRICEEACH]])</f>
        <v>4600</v>
      </c>
      <c r="E1929" s="9">
        <f>IF(OR(sales_data_sample[[#This Row],[STATUS]]="Shipped",sales_data_sample[[#This Row],[STATUS]]="Resolved"),sales_data_sample[[#This Row],[SALES]],0)</f>
        <v>4600</v>
      </c>
      <c r="F1929" s="10">
        <v>5</v>
      </c>
      <c r="G1929" s="12" t="s">
        <v>611</v>
      </c>
      <c r="H1929" s="1" t="s">
        <v>26</v>
      </c>
      <c r="I1929">
        <v>4</v>
      </c>
      <c r="J1929">
        <v>11</v>
      </c>
      <c r="K1929">
        <v>2003</v>
      </c>
      <c r="L1929" s="1" t="s">
        <v>239</v>
      </c>
      <c r="M1929">
        <v>107</v>
      </c>
      <c r="N1929" s="1" t="s">
        <v>974</v>
      </c>
      <c r="O1929" s="1" t="s">
        <v>368</v>
      </c>
      <c r="P1929" s="1" t="s">
        <v>369</v>
      </c>
      <c r="Q1929" s="1" t="s">
        <v>370</v>
      </c>
      <c r="R1929" s="1" t="s">
        <v>32</v>
      </c>
      <c r="S1929" s="1" t="s">
        <v>371</v>
      </c>
      <c r="T1929" s="1" t="s">
        <v>372</v>
      </c>
      <c r="U1929" s="1" t="s">
        <v>373</v>
      </c>
      <c r="V1929" s="1" t="s">
        <v>36</v>
      </c>
      <c r="W1929" s="1" t="s">
        <v>37</v>
      </c>
      <c r="X1929" s="1" t="s">
        <v>67</v>
      </c>
      <c r="Y1929" s="1" t="s">
        <v>366</v>
      </c>
      <c r="Z1929" s="1" t="str">
        <f>TRIM(_xlfn.CONCAT(sales_data_sample[[#This Row],[CONTACTFIRSTNAME]],", ",sales_data_sample[[#This Row],[CONTACTLASTNAME]]))</f>
        <v>Valarie, Young</v>
      </c>
      <c r="AA1929" s="1" t="s">
        <v>59</v>
      </c>
    </row>
    <row r="1930" spans="1:27" x14ac:dyDescent="0.25">
      <c r="A1930">
        <v>10204</v>
      </c>
      <c r="B1930">
        <v>48</v>
      </c>
      <c r="C1930">
        <v>9102</v>
      </c>
      <c r="D1930">
        <f>PRODUCT(sales_data_sample[[#This Row],[QUANTITYORDERED]],sales_data_sample[[#This Row],[PRICEEACH]])</f>
        <v>436896</v>
      </c>
      <c r="E1930" s="9">
        <f>IF(OR(sales_data_sample[[#This Row],[STATUS]]="Shipped",sales_data_sample[[#This Row],[STATUS]]="Resolved"),sales_data_sample[[#This Row],[SALES]],0)</f>
        <v>436896</v>
      </c>
      <c r="F1930">
        <v>11</v>
      </c>
      <c r="G1930" s="12" t="s">
        <v>620</v>
      </c>
      <c r="H1930" s="1" t="s">
        <v>26</v>
      </c>
      <c r="I1930">
        <v>4</v>
      </c>
      <c r="J1930">
        <v>12</v>
      </c>
      <c r="K1930">
        <v>2003</v>
      </c>
      <c r="L1930" s="1" t="s">
        <v>239</v>
      </c>
      <c r="M1930">
        <v>107</v>
      </c>
      <c r="N1930" s="1" t="s">
        <v>974</v>
      </c>
      <c r="O1930" s="1" t="s">
        <v>667</v>
      </c>
      <c r="P1930" s="1" t="s">
        <v>668</v>
      </c>
      <c r="Q1930" s="1" t="s">
        <v>669</v>
      </c>
      <c r="R1930" s="1" t="s">
        <v>670</v>
      </c>
      <c r="S1930" s="1" t="s">
        <v>33</v>
      </c>
      <c r="T1930" s="1" t="s">
        <v>34</v>
      </c>
      <c r="U1930" s="1" t="s">
        <v>35</v>
      </c>
      <c r="V1930" s="1" t="s">
        <v>36</v>
      </c>
      <c r="W1930" s="1" t="s">
        <v>37</v>
      </c>
      <c r="X1930" s="1" t="s">
        <v>67</v>
      </c>
      <c r="Y1930" s="1" t="s">
        <v>671</v>
      </c>
      <c r="Z1930" s="1" t="str">
        <f>TRIM(_xlfn.CONCAT(sales_data_sample[[#This Row],[CONTACTFIRSTNAME]],", ",sales_data_sample[[#This Row],[CONTACTLASTNAME]]))</f>
        <v>Jeff, Young</v>
      </c>
      <c r="AA1930" s="1" t="s">
        <v>59</v>
      </c>
    </row>
    <row r="1931" spans="1:27" x14ac:dyDescent="0.25">
      <c r="A1931" s="10">
        <v>10212</v>
      </c>
      <c r="B1931" s="9">
        <v>46</v>
      </c>
      <c r="C1931" s="9">
        <v>8781</v>
      </c>
      <c r="D1931" s="9">
        <f>PRODUCT(sales_data_sample[[#This Row],[QUANTITYORDERED]],sales_data_sample[[#This Row],[PRICEEACH]])</f>
        <v>403926</v>
      </c>
      <c r="E1931" s="9">
        <f>IF(OR(sales_data_sample[[#This Row],[STATUS]]="Shipped",sales_data_sample[[#This Row],[STATUS]]="Resolved"),sales_data_sample[[#This Row],[SALES]],0)</f>
        <v>403926</v>
      </c>
      <c r="F1931" s="10">
        <v>4</v>
      </c>
      <c r="G1931" s="12" t="s">
        <v>729</v>
      </c>
      <c r="H1931" s="1" t="s">
        <v>26</v>
      </c>
      <c r="I1931">
        <v>1</v>
      </c>
      <c r="J1931">
        <v>1</v>
      </c>
      <c r="K1931">
        <v>2004</v>
      </c>
      <c r="L1931" s="1" t="s">
        <v>239</v>
      </c>
      <c r="M1931">
        <v>107</v>
      </c>
      <c r="N1931" s="1" t="s">
        <v>974</v>
      </c>
      <c r="O1931" s="1" t="s">
        <v>230</v>
      </c>
      <c r="P1931" s="1" t="s">
        <v>231</v>
      </c>
      <c r="Q1931" s="1" t="s">
        <v>232</v>
      </c>
      <c r="R1931" s="1" t="s">
        <v>32</v>
      </c>
      <c r="S1931" s="1" t="s">
        <v>233</v>
      </c>
      <c r="T1931" s="1" t="s">
        <v>32</v>
      </c>
      <c r="U1931" s="1" t="s">
        <v>234</v>
      </c>
      <c r="V1931" s="1" t="s">
        <v>235</v>
      </c>
      <c r="W1931" s="1" t="s">
        <v>48</v>
      </c>
      <c r="X1931" s="1" t="s">
        <v>236</v>
      </c>
      <c r="Y1931" s="1" t="s">
        <v>237</v>
      </c>
      <c r="Z1931" s="1" t="str">
        <f>TRIM(_xlfn.CONCAT(sales_data_sample[[#This Row],[CONTACTFIRSTNAME]],", ",sales_data_sample[[#This Row],[CONTACTLASTNAME]]))</f>
        <v>Diego, Freyre</v>
      </c>
      <c r="AA1931" s="1" t="s">
        <v>59</v>
      </c>
    </row>
    <row r="1932" spans="1:27" x14ac:dyDescent="0.25">
      <c r="A1932" s="10">
        <v>10226</v>
      </c>
      <c r="B1932" s="9">
        <v>48</v>
      </c>
      <c r="C1932" s="9">
        <v>9209</v>
      </c>
      <c r="D1932" s="9">
        <f>PRODUCT(sales_data_sample[[#This Row],[QUANTITYORDERED]],sales_data_sample[[#This Row],[PRICEEACH]])</f>
        <v>442032</v>
      </c>
      <c r="E1932" s="9">
        <f>IF(OR(sales_data_sample[[#This Row],[STATUS]]="Shipped",sales_data_sample[[#This Row],[STATUS]]="Resolved"),sales_data_sample[[#This Row],[SALES]],0)</f>
        <v>442032</v>
      </c>
      <c r="F1932" s="10">
        <v>2</v>
      </c>
      <c r="G1932" s="12" t="s">
        <v>833</v>
      </c>
      <c r="H1932" s="1" t="s">
        <v>26</v>
      </c>
      <c r="I1932">
        <v>1</v>
      </c>
      <c r="J1932">
        <v>2</v>
      </c>
      <c r="K1932">
        <v>2004</v>
      </c>
      <c r="L1932" s="1" t="s">
        <v>239</v>
      </c>
      <c r="M1932">
        <v>107</v>
      </c>
      <c r="N1932" s="1" t="s">
        <v>974</v>
      </c>
      <c r="O1932" s="1" t="s">
        <v>492</v>
      </c>
      <c r="P1932" s="1" t="s">
        <v>493</v>
      </c>
      <c r="Q1932" s="1" t="s">
        <v>494</v>
      </c>
      <c r="R1932" s="1" t="s">
        <v>32</v>
      </c>
      <c r="S1932" s="1" t="s">
        <v>495</v>
      </c>
      <c r="T1932" s="1" t="s">
        <v>65</v>
      </c>
      <c r="U1932" s="1" t="s">
        <v>496</v>
      </c>
      <c r="V1932" s="1" t="s">
        <v>36</v>
      </c>
      <c r="W1932" s="1" t="s">
        <v>37</v>
      </c>
      <c r="X1932" s="1" t="s">
        <v>313</v>
      </c>
      <c r="Y1932" s="1" t="s">
        <v>366</v>
      </c>
      <c r="Z1932" s="1" t="str">
        <f>TRIM(_xlfn.CONCAT(sales_data_sample[[#This Row],[CONTACTFIRSTNAME]],", ",sales_data_sample[[#This Row],[CONTACTLASTNAME]]))</f>
        <v>Valarie, Thompson</v>
      </c>
      <c r="AA1932" s="1" t="s">
        <v>59</v>
      </c>
    </row>
    <row r="1933" spans="1:27" x14ac:dyDescent="0.25">
      <c r="A1933" s="10">
        <v>10241</v>
      </c>
      <c r="B1933" s="9">
        <v>27</v>
      </c>
      <c r="C1933" s="9">
        <v>8673</v>
      </c>
      <c r="D1933" s="9">
        <f>PRODUCT(sales_data_sample[[#This Row],[QUANTITYORDERED]],sales_data_sample[[#This Row],[PRICEEACH]])</f>
        <v>234171</v>
      </c>
      <c r="E1933" s="9">
        <f>IF(OR(sales_data_sample[[#This Row],[STATUS]]="Shipped",sales_data_sample[[#This Row],[STATUS]]="Resolved"),sales_data_sample[[#This Row],[SALES]],0)</f>
        <v>234171</v>
      </c>
      <c r="F1933" s="10">
        <v>9</v>
      </c>
      <c r="G1933" s="12" t="s">
        <v>777</v>
      </c>
      <c r="H1933" s="1" t="s">
        <v>26</v>
      </c>
      <c r="I1933">
        <v>2</v>
      </c>
      <c r="J1933">
        <v>4</v>
      </c>
      <c r="K1933">
        <v>2004</v>
      </c>
      <c r="L1933" s="1" t="s">
        <v>239</v>
      </c>
      <c r="M1933">
        <v>107</v>
      </c>
      <c r="N1933" s="1" t="s">
        <v>974</v>
      </c>
      <c r="O1933" s="1" t="s">
        <v>763</v>
      </c>
      <c r="P1933" s="1" t="s">
        <v>764</v>
      </c>
      <c r="Q1933" s="1" t="s">
        <v>765</v>
      </c>
      <c r="R1933" s="1" t="s">
        <v>32</v>
      </c>
      <c r="S1933" s="1" t="s">
        <v>766</v>
      </c>
      <c r="T1933" s="1" t="s">
        <v>32</v>
      </c>
      <c r="U1933" s="1" t="s">
        <v>767</v>
      </c>
      <c r="V1933" s="1" t="s">
        <v>47</v>
      </c>
      <c r="W1933" s="1" t="s">
        <v>48</v>
      </c>
      <c r="X1933" s="1" t="s">
        <v>768</v>
      </c>
      <c r="Y1933" s="1" t="s">
        <v>769</v>
      </c>
      <c r="Z1933" s="1" t="str">
        <f>TRIM(_xlfn.CONCAT(sales_data_sample[[#This Row],[CONTACTFIRSTNAME]],", ",sales_data_sample[[#This Row],[CONTACTLASTNAME]]))</f>
        <v>Frederique, Citeaux</v>
      </c>
      <c r="AA1933" s="1" t="s">
        <v>40</v>
      </c>
    </row>
    <row r="1934" spans="1:27" x14ac:dyDescent="0.25">
      <c r="A1934">
        <v>10267</v>
      </c>
      <c r="B1934">
        <v>43</v>
      </c>
      <c r="C1934">
        <v>100</v>
      </c>
      <c r="D1934">
        <f>PRODUCT(sales_data_sample[[#This Row],[QUANTITYORDERED]],sales_data_sample[[#This Row],[PRICEEACH]])</f>
        <v>4300</v>
      </c>
      <c r="E1934" s="9">
        <f>IF(OR(sales_data_sample[[#This Row],[STATUS]]="Shipped",sales_data_sample[[#This Row],[STATUS]]="Resolved"),sales_data_sample[[#This Row],[SALES]],0)</f>
        <v>4300</v>
      </c>
      <c r="F1934">
        <v>6</v>
      </c>
      <c r="G1934" s="12" t="s">
        <v>948</v>
      </c>
      <c r="H1934" s="1" t="s">
        <v>26</v>
      </c>
      <c r="I1934">
        <v>3</v>
      </c>
      <c r="J1934">
        <v>7</v>
      </c>
      <c r="K1934">
        <v>2004</v>
      </c>
      <c r="L1934" s="1" t="s">
        <v>239</v>
      </c>
      <c r="M1934">
        <v>107</v>
      </c>
      <c r="N1934" s="1" t="s">
        <v>974</v>
      </c>
      <c r="O1934" s="1" t="s">
        <v>667</v>
      </c>
      <c r="P1934" s="1" t="s">
        <v>668</v>
      </c>
      <c r="Q1934" s="1" t="s">
        <v>669</v>
      </c>
      <c r="R1934" s="1" t="s">
        <v>670</v>
      </c>
      <c r="S1934" s="1" t="s">
        <v>33</v>
      </c>
      <c r="T1934" s="1" t="s">
        <v>34</v>
      </c>
      <c r="U1934" s="1" t="s">
        <v>35</v>
      </c>
      <c r="V1934" s="1" t="s">
        <v>36</v>
      </c>
      <c r="W1934" s="1" t="s">
        <v>37</v>
      </c>
      <c r="X1934" s="1" t="s">
        <v>67</v>
      </c>
      <c r="Y1934" s="1" t="s">
        <v>671</v>
      </c>
      <c r="Z1934" s="1" t="str">
        <f>TRIM(_xlfn.CONCAT(sales_data_sample[[#This Row],[CONTACTFIRSTNAME]],", ",sales_data_sample[[#This Row],[CONTACTLASTNAME]]))</f>
        <v>Jeff, Young</v>
      </c>
      <c r="AA1934" s="1" t="s">
        <v>59</v>
      </c>
    </row>
    <row r="1935" spans="1:27" x14ac:dyDescent="0.25">
      <c r="A1935" s="10">
        <v>10279</v>
      </c>
      <c r="B1935" s="9">
        <v>48</v>
      </c>
      <c r="C1935" s="9">
        <v>100</v>
      </c>
      <c r="D1935" s="9">
        <f>PRODUCT(sales_data_sample[[#This Row],[QUANTITYORDERED]],sales_data_sample[[#This Row],[PRICEEACH]])</f>
        <v>4800</v>
      </c>
      <c r="E1935" s="9">
        <f>IF(OR(sales_data_sample[[#This Row],[STATUS]]="Shipped",sales_data_sample[[#This Row],[STATUS]]="Resolved"),sales_data_sample[[#This Row],[SALES]],0)</f>
        <v>4800</v>
      </c>
      <c r="F1935" s="10">
        <v>6</v>
      </c>
      <c r="G1935" s="12" t="s">
        <v>949</v>
      </c>
      <c r="H1935" s="1" t="s">
        <v>26</v>
      </c>
      <c r="I1935">
        <v>3</v>
      </c>
      <c r="J1935">
        <v>8</v>
      </c>
      <c r="K1935">
        <v>2004</v>
      </c>
      <c r="L1935" s="1" t="s">
        <v>239</v>
      </c>
      <c r="M1935">
        <v>107</v>
      </c>
      <c r="N1935" s="1" t="s">
        <v>974</v>
      </c>
      <c r="O1935" s="1" t="s">
        <v>230</v>
      </c>
      <c r="P1935" s="1" t="s">
        <v>231</v>
      </c>
      <c r="Q1935" s="1" t="s">
        <v>232</v>
      </c>
      <c r="R1935" s="1" t="s">
        <v>32</v>
      </c>
      <c r="S1935" s="1" t="s">
        <v>233</v>
      </c>
      <c r="T1935" s="1" t="s">
        <v>32</v>
      </c>
      <c r="U1935" s="1" t="s">
        <v>234</v>
      </c>
      <c r="V1935" s="1" t="s">
        <v>235</v>
      </c>
      <c r="W1935" s="1" t="s">
        <v>48</v>
      </c>
      <c r="X1935" s="1" t="s">
        <v>236</v>
      </c>
      <c r="Y1935" s="1" t="s">
        <v>237</v>
      </c>
      <c r="Z1935" s="1" t="str">
        <f>TRIM(_xlfn.CONCAT(sales_data_sample[[#This Row],[CONTACTFIRSTNAME]],", ",sales_data_sample[[#This Row],[CONTACTLASTNAME]]))</f>
        <v>Diego, Freyre</v>
      </c>
      <c r="AA1935" s="1" t="s">
        <v>59</v>
      </c>
    </row>
    <row r="1936" spans="1:27" x14ac:dyDescent="0.25">
      <c r="A1936">
        <v>10288</v>
      </c>
      <c r="B1936">
        <v>41</v>
      </c>
      <c r="C1936">
        <v>100</v>
      </c>
      <c r="D1936">
        <f>PRODUCT(sales_data_sample[[#This Row],[QUANTITYORDERED]],sales_data_sample[[#This Row],[PRICEEACH]])</f>
        <v>4100</v>
      </c>
      <c r="E1936" s="9">
        <f>IF(OR(sales_data_sample[[#This Row],[STATUS]]="Shipped",sales_data_sample[[#This Row],[STATUS]]="Resolved"),sales_data_sample[[#This Row],[SALES]],0)</f>
        <v>4100</v>
      </c>
      <c r="F1936">
        <v>12</v>
      </c>
      <c r="G1936" s="12" t="s">
        <v>834</v>
      </c>
      <c r="H1936" s="1" t="s">
        <v>26</v>
      </c>
      <c r="I1936">
        <v>3</v>
      </c>
      <c r="J1936">
        <v>9</v>
      </c>
      <c r="K1936">
        <v>2004</v>
      </c>
      <c r="L1936" s="1" t="s">
        <v>239</v>
      </c>
      <c r="M1936">
        <v>107</v>
      </c>
      <c r="N1936" s="1" t="s">
        <v>974</v>
      </c>
      <c r="O1936" s="1" t="s">
        <v>577</v>
      </c>
      <c r="P1936" s="1" t="s">
        <v>578</v>
      </c>
      <c r="Q1936" s="1" t="s">
        <v>579</v>
      </c>
      <c r="R1936" s="1" t="s">
        <v>580</v>
      </c>
      <c r="S1936" s="1" t="s">
        <v>262</v>
      </c>
      <c r="T1936" s="1" t="s">
        <v>32</v>
      </c>
      <c r="U1936" s="1" t="s">
        <v>581</v>
      </c>
      <c r="V1936" s="1" t="s">
        <v>262</v>
      </c>
      <c r="W1936" s="1" t="s">
        <v>121</v>
      </c>
      <c r="X1936" s="1" t="s">
        <v>582</v>
      </c>
      <c r="Y1936" s="1" t="s">
        <v>583</v>
      </c>
      <c r="Z1936" s="1" t="str">
        <f>TRIM(_xlfn.CONCAT(sales_data_sample[[#This Row],[CONTACTFIRSTNAME]],", ",sales_data_sample[[#This Row],[CONTACTLASTNAME]]))</f>
        <v>Wendy, Victorino</v>
      </c>
      <c r="AA1936" s="1" t="s">
        <v>59</v>
      </c>
    </row>
    <row r="1937" spans="1:27" x14ac:dyDescent="0.25">
      <c r="A1937" s="10">
        <v>10301</v>
      </c>
      <c r="B1937" s="9">
        <v>22</v>
      </c>
      <c r="C1937" s="9">
        <v>9637</v>
      </c>
      <c r="D1937" s="9">
        <f>PRODUCT(sales_data_sample[[#This Row],[QUANTITYORDERED]],sales_data_sample[[#This Row],[PRICEEACH]])</f>
        <v>212014</v>
      </c>
      <c r="E1937" s="9">
        <f>IF(OR(sales_data_sample[[#This Row],[STATUS]]="Shipped",sales_data_sample[[#This Row],[STATUS]]="Resolved"),sales_data_sample[[#This Row],[SALES]],0)</f>
        <v>212014</v>
      </c>
      <c r="F1937" s="10">
        <v>2</v>
      </c>
      <c r="G1937" s="12" t="s">
        <v>785</v>
      </c>
      <c r="H1937" s="1" t="s">
        <v>26</v>
      </c>
      <c r="I1937">
        <v>4</v>
      </c>
      <c r="J1937">
        <v>10</v>
      </c>
      <c r="K1937">
        <v>2003</v>
      </c>
      <c r="L1937" s="1" t="s">
        <v>239</v>
      </c>
      <c r="M1937">
        <v>107</v>
      </c>
      <c r="N1937" s="1" t="s">
        <v>974</v>
      </c>
      <c r="O1937" s="1" t="s">
        <v>786</v>
      </c>
      <c r="P1937" s="1" t="s">
        <v>787</v>
      </c>
      <c r="Q1937" s="1" t="s">
        <v>788</v>
      </c>
      <c r="R1937" s="1" t="s">
        <v>32</v>
      </c>
      <c r="S1937" s="1" t="s">
        <v>789</v>
      </c>
      <c r="T1937" s="1" t="s">
        <v>32</v>
      </c>
      <c r="U1937" s="1" t="s">
        <v>790</v>
      </c>
      <c r="V1937" s="1" t="s">
        <v>97</v>
      </c>
      <c r="W1937" s="1" t="s">
        <v>48</v>
      </c>
      <c r="X1937" s="1" t="s">
        <v>791</v>
      </c>
      <c r="Y1937" s="1" t="s">
        <v>792</v>
      </c>
      <c r="Z1937" s="1" t="str">
        <f>TRIM(_xlfn.CONCAT(sales_data_sample[[#This Row],[CONTACTFIRSTNAME]],", ",sales_data_sample[[#This Row],[CONTACTLASTNAME]]))</f>
        <v>Jan, Klaeboe</v>
      </c>
      <c r="AA1937" s="1" t="s">
        <v>40</v>
      </c>
    </row>
    <row r="1938" spans="1:27" x14ac:dyDescent="0.25">
      <c r="A1938" s="10">
        <v>10311</v>
      </c>
      <c r="B1938" s="9">
        <v>46</v>
      </c>
      <c r="C1938" s="9">
        <v>9209</v>
      </c>
      <c r="D1938" s="9">
        <f>PRODUCT(sales_data_sample[[#This Row],[QUANTITYORDERED]],sales_data_sample[[#This Row],[PRICEEACH]])</f>
        <v>423614</v>
      </c>
      <c r="E1938" s="9">
        <f>IF(OR(sales_data_sample[[#This Row],[STATUS]]="Shipped",sales_data_sample[[#This Row],[STATUS]]="Resolved"),sales_data_sample[[#This Row],[SALES]],0)</f>
        <v>423614</v>
      </c>
      <c r="F1938" s="10">
        <v>7</v>
      </c>
      <c r="G1938" s="12" t="s">
        <v>653</v>
      </c>
      <c r="H1938" s="1" t="s">
        <v>26</v>
      </c>
      <c r="I1938">
        <v>4</v>
      </c>
      <c r="J1938">
        <v>10</v>
      </c>
      <c r="K1938">
        <v>2004</v>
      </c>
      <c r="L1938" s="1" t="s">
        <v>239</v>
      </c>
      <c r="M1938">
        <v>107</v>
      </c>
      <c r="N1938" s="1" t="s">
        <v>974</v>
      </c>
      <c r="O1938" s="1" t="s">
        <v>230</v>
      </c>
      <c r="P1938" s="1" t="s">
        <v>231</v>
      </c>
      <c r="Q1938" s="1" t="s">
        <v>232</v>
      </c>
      <c r="R1938" s="1" t="s">
        <v>32</v>
      </c>
      <c r="S1938" s="1" t="s">
        <v>233</v>
      </c>
      <c r="T1938" s="1" t="s">
        <v>32</v>
      </c>
      <c r="U1938" s="1" t="s">
        <v>234</v>
      </c>
      <c r="V1938" s="1" t="s">
        <v>235</v>
      </c>
      <c r="W1938" s="1" t="s">
        <v>48</v>
      </c>
      <c r="X1938" s="1" t="s">
        <v>236</v>
      </c>
      <c r="Y1938" s="1" t="s">
        <v>237</v>
      </c>
      <c r="Z1938" s="1" t="str">
        <f>TRIM(_xlfn.CONCAT(sales_data_sample[[#This Row],[CONTACTFIRSTNAME]],", ",sales_data_sample[[#This Row],[CONTACTLASTNAME]]))</f>
        <v>Diego, Freyre</v>
      </c>
      <c r="AA1938" s="1" t="s">
        <v>59</v>
      </c>
    </row>
    <row r="1939" spans="1:27" x14ac:dyDescent="0.25">
      <c r="A1939" s="10">
        <v>10321</v>
      </c>
      <c r="B1939" s="9">
        <v>21</v>
      </c>
      <c r="C1939" s="9">
        <v>8995</v>
      </c>
      <c r="D1939" s="9">
        <f>PRODUCT(sales_data_sample[[#This Row],[QUANTITYORDERED]],sales_data_sample[[#This Row],[PRICEEACH]])</f>
        <v>188895</v>
      </c>
      <c r="E1939" s="9">
        <f>IF(OR(sales_data_sample[[#This Row],[STATUS]]="Shipped",sales_data_sample[[#This Row],[STATUS]]="Resolved"),sales_data_sample[[#This Row],[SALES]],0)</f>
        <v>188895</v>
      </c>
      <c r="F1939" s="10">
        <v>4</v>
      </c>
      <c r="G1939" s="12" t="s">
        <v>367</v>
      </c>
      <c r="H1939" s="1" t="s">
        <v>26</v>
      </c>
      <c r="I1939">
        <v>4</v>
      </c>
      <c r="J1939">
        <v>11</v>
      </c>
      <c r="K1939">
        <v>2004</v>
      </c>
      <c r="L1939" s="1" t="s">
        <v>239</v>
      </c>
      <c r="M1939">
        <v>107</v>
      </c>
      <c r="N1939" s="1" t="s">
        <v>974</v>
      </c>
      <c r="O1939" s="1" t="s">
        <v>212</v>
      </c>
      <c r="P1939" s="1" t="s">
        <v>213</v>
      </c>
      <c r="Q1939" s="1" t="s">
        <v>214</v>
      </c>
      <c r="R1939" s="1" t="s">
        <v>32</v>
      </c>
      <c r="S1939" s="1" t="s">
        <v>215</v>
      </c>
      <c r="T1939" s="1" t="s">
        <v>160</v>
      </c>
      <c r="U1939" s="1" t="s">
        <v>216</v>
      </c>
      <c r="V1939" s="1" t="s">
        <v>36</v>
      </c>
      <c r="W1939" s="1" t="s">
        <v>37</v>
      </c>
      <c r="X1939" s="1" t="s">
        <v>217</v>
      </c>
      <c r="Y1939" s="1" t="s">
        <v>218</v>
      </c>
      <c r="Z1939" s="1" t="str">
        <f>TRIM(_xlfn.CONCAT(sales_data_sample[[#This Row],[CONTACTFIRSTNAME]],", ",sales_data_sample[[#This Row],[CONTACTLASTNAME]]))</f>
        <v>Violeta, Benitez</v>
      </c>
      <c r="AA1939" s="1" t="s">
        <v>40</v>
      </c>
    </row>
    <row r="1940" spans="1:27" x14ac:dyDescent="0.25">
      <c r="A1940" s="10">
        <v>10332</v>
      </c>
      <c r="B1940" s="9">
        <v>31</v>
      </c>
      <c r="C1940" s="9">
        <v>3718</v>
      </c>
      <c r="D1940" s="9">
        <f>PRODUCT(sales_data_sample[[#This Row],[QUANTITYORDERED]],sales_data_sample[[#This Row],[PRICEEACH]])</f>
        <v>115258</v>
      </c>
      <c r="E1940" s="9">
        <f>IF(OR(sales_data_sample[[#This Row],[STATUS]]="Shipped",sales_data_sample[[#This Row],[STATUS]]="Resolved"),sales_data_sample[[#This Row],[SALES]],0)</f>
        <v>115258</v>
      </c>
      <c r="F1940" s="10">
        <v>13</v>
      </c>
      <c r="G1940" s="12" t="s">
        <v>793</v>
      </c>
      <c r="H1940" s="1" t="s">
        <v>26</v>
      </c>
      <c r="I1940">
        <v>4</v>
      </c>
      <c r="J1940">
        <v>11</v>
      </c>
      <c r="K1940">
        <v>2004</v>
      </c>
      <c r="L1940" s="1" t="s">
        <v>239</v>
      </c>
      <c r="M1940">
        <v>107</v>
      </c>
      <c r="N1940" s="1" t="s">
        <v>974</v>
      </c>
      <c r="O1940" s="1" t="s">
        <v>695</v>
      </c>
      <c r="P1940" s="1" t="s">
        <v>696</v>
      </c>
      <c r="Q1940" s="1" t="s">
        <v>697</v>
      </c>
      <c r="R1940" s="1" t="s">
        <v>32</v>
      </c>
      <c r="S1940" s="1" t="s">
        <v>698</v>
      </c>
      <c r="T1940" s="1" t="s">
        <v>32</v>
      </c>
      <c r="U1940" s="1" t="s">
        <v>699</v>
      </c>
      <c r="V1940" s="1" t="s">
        <v>225</v>
      </c>
      <c r="W1940" s="1" t="s">
        <v>48</v>
      </c>
      <c r="X1940" s="1" t="s">
        <v>700</v>
      </c>
      <c r="Y1940" s="1" t="s">
        <v>118</v>
      </c>
      <c r="Z1940" s="1" t="str">
        <f>TRIM(_xlfn.CONCAT(sales_data_sample[[#This Row],[CONTACTFIRSTNAME]],", ",sales_data_sample[[#This Row],[CONTACTLASTNAME]]))</f>
        <v>Victoria, Ashworth</v>
      </c>
      <c r="AA1940" s="1" t="s">
        <v>40</v>
      </c>
    </row>
    <row r="1941" spans="1:27" x14ac:dyDescent="0.25">
      <c r="A1941" s="10">
        <v>10346</v>
      </c>
      <c r="B1941" s="9">
        <v>26</v>
      </c>
      <c r="C1941" s="9">
        <v>9588</v>
      </c>
      <c r="D1941" s="9">
        <f>PRODUCT(sales_data_sample[[#This Row],[QUANTITYORDERED]],sales_data_sample[[#This Row],[PRICEEACH]])</f>
        <v>249288</v>
      </c>
      <c r="E1941" s="9">
        <f>IF(OR(sales_data_sample[[#This Row],[STATUS]]="Shipped",sales_data_sample[[#This Row],[STATUS]]="Resolved"),sales_data_sample[[#This Row],[SALES]],0)</f>
        <v>249288</v>
      </c>
      <c r="F1941" s="10">
        <v>6</v>
      </c>
      <c r="G1941" s="12" t="s">
        <v>375</v>
      </c>
      <c r="H1941" s="1" t="s">
        <v>26</v>
      </c>
      <c r="I1941">
        <v>4</v>
      </c>
      <c r="J1941">
        <v>11</v>
      </c>
      <c r="K1941">
        <v>2004</v>
      </c>
      <c r="L1941" s="1" t="s">
        <v>239</v>
      </c>
      <c r="M1941">
        <v>107</v>
      </c>
      <c r="N1941" s="1" t="s">
        <v>974</v>
      </c>
      <c r="O1941" s="1" t="s">
        <v>779</v>
      </c>
      <c r="P1941" s="1" t="s">
        <v>780</v>
      </c>
      <c r="Q1941" s="1" t="s">
        <v>781</v>
      </c>
      <c r="R1941" s="1" t="s">
        <v>32</v>
      </c>
      <c r="S1941" s="1" t="s">
        <v>782</v>
      </c>
      <c r="T1941" s="1" t="s">
        <v>783</v>
      </c>
      <c r="U1941" s="1" t="s">
        <v>784</v>
      </c>
      <c r="V1941" s="1" t="s">
        <v>36</v>
      </c>
      <c r="W1941" s="1" t="s">
        <v>37</v>
      </c>
      <c r="X1941" s="1" t="s">
        <v>146</v>
      </c>
      <c r="Y1941" s="1" t="s">
        <v>551</v>
      </c>
      <c r="Z1941" s="1" t="str">
        <f>TRIM(_xlfn.CONCAT(sales_data_sample[[#This Row],[CONTACTFIRSTNAME]],", ",sales_data_sample[[#This Row],[CONTACTLASTNAME]]))</f>
        <v>Sue, King</v>
      </c>
      <c r="AA1941" s="1" t="s">
        <v>40</v>
      </c>
    </row>
    <row r="1942" spans="1:27" x14ac:dyDescent="0.25">
      <c r="A1942" s="10">
        <v>10368</v>
      </c>
      <c r="B1942" s="9">
        <v>20</v>
      </c>
      <c r="C1942" s="9">
        <v>9958</v>
      </c>
      <c r="D1942" s="9">
        <f>PRODUCT(sales_data_sample[[#This Row],[QUANTITYORDERED]],sales_data_sample[[#This Row],[PRICEEACH]])</f>
        <v>199160</v>
      </c>
      <c r="E1942" s="9">
        <f>IF(OR(sales_data_sample[[#This Row],[STATUS]]="Shipped",sales_data_sample[[#This Row],[STATUS]]="Resolved"),sales_data_sample[[#This Row],[SALES]],0)</f>
        <v>199160</v>
      </c>
      <c r="F1942" s="10">
        <v>4</v>
      </c>
      <c r="G1942" s="12" t="s">
        <v>963</v>
      </c>
      <c r="H1942" s="1" t="s">
        <v>26</v>
      </c>
      <c r="I1942">
        <v>1</v>
      </c>
      <c r="J1942">
        <v>1</v>
      </c>
      <c r="K1942">
        <v>2005</v>
      </c>
      <c r="L1942" s="1" t="s">
        <v>239</v>
      </c>
      <c r="M1942">
        <v>107</v>
      </c>
      <c r="N1942" s="1" t="s">
        <v>974</v>
      </c>
      <c r="O1942" s="1" t="s">
        <v>361</v>
      </c>
      <c r="P1942" s="1" t="s">
        <v>362</v>
      </c>
      <c r="Q1942" s="1" t="s">
        <v>363</v>
      </c>
      <c r="R1942" s="1" t="s">
        <v>32</v>
      </c>
      <c r="S1942" s="1" t="s">
        <v>364</v>
      </c>
      <c r="T1942" s="1" t="s">
        <v>65</v>
      </c>
      <c r="U1942" s="1" t="s">
        <v>145</v>
      </c>
      <c r="V1942" s="1" t="s">
        <v>36</v>
      </c>
      <c r="W1942" s="1" t="s">
        <v>37</v>
      </c>
      <c r="X1942" s="1" t="s">
        <v>365</v>
      </c>
      <c r="Y1942" s="1" t="s">
        <v>366</v>
      </c>
      <c r="Z1942" s="1" t="str">
        <f>TRIM(_xlfn.CONCAT(sales_data_sample[[#This Row],[CONTACTFIRSTNAME]],", ",sales_data_sample[[#This Row],[CONTACTLASTNAME]]))</f>
        <v>Valarie, Nelson</v>
      </c>
      <c r="AA1942" s="1" t="s">
        <v>40</v>
      </c>
    </row>
    <row r="1943" spans="1:27" x14ac:dyDescent="0.25">
      <c r="A1943" s="10">
        <v>10380</v>
      </c>
      <c r="B1943" s="9">
        <v>34</v>
      </c>
      <c r="C1943" s="9">
        <v>100</v>
      </c>
      <c r="D1943" s="9">
        <f>PRODUCT(sales_data_sample[[#This Row],[QUANTITYORDERED]],sales_data_sample[[#This Row],[PRICEEACH]])</f>
        <v>3400</v>
      </c>
      <c r="E1943" s="9">
        <f>IF(OR(sales_data_sample[[#This Row],[STATUS]]="Shipped",sales_data_sample[[#This Row],[STATUS]]="Resolved"),sales_data_sample[[#This Row],[SALES]],0)</f>
        <v>3400</v>
      </c>
      <c r="F1943" s="10">
        <v>11</v>
      </c>
      <c r="G1943" s="12" t="s">
        <v>826</v>
      </c>
      <c r="H1943" s="1" t="s">
        <v>26</v>
      </c>
      <c r="I1943">
        <v>1</v>
      </c>
      <c r="J1943">
        <v>2</v>
      </c>
      <c r="K1943">
        <v>2005</v>
      </c>
      <c r="L1943" s="1" t="s">
        <v>239</v>
      </c>
      <c r="M1943">
        <v>107</v>
      </c>
      <c r="N1943" s="1" t="s">
        <v>974</v>
      </c>
      <c r="O1943" s="1" t="s">
        <v>230</v>
      </c>
      <c r="P1943" s="1" t="s">
        <v>231</v>
      </c>
      <c r="Q1943" s="1" t="s">
        <v>232</v>
      </c>
      <c r="R1943" s="1" t="s">
        <v>32</v>
      </c>
      <c r="S1943" s="1" t="s">
        <v>233</v>
      </c>
      <c r="T1943" s="1" t="s">
        <v>32</v>
      </c>
      <c r="U1943" s="1" t="s">
        <v>234</v>
      </c>
      <c r="V1943" s="1" t="s">
        <v>235</v>
      </c>
      <c r="W1943" s="1" t="s">
        <v>48</v>
      </c>
      <c r="X1943" s="1" t="s">
        <v>236</v>
      </c>
      <c r="Y1943" s="1" t="s">
        <v>237</v>
      </c>
      <c r="Z1943" s="1" t="str">
        <f>TRIM(_xlfn.CONCAT(sales_data_sample[[#This Row],[CONTACTFIRSTNAME]],", ",sales_data_sample[[#This Row],[CONTACTLASTNAME]]))</f>
        <v>Diego, Freyre</v>
      </c>
      <c r="AA1943" s="1" t="s">
        <v>59</v>
      </c>
    </row>
    <row r="1944" spans="1:27" x14ac:dyDescent="0.25">
      <c r="A1944" s="10">
        <v>10407</v>
      </c>
      <c r="B1944" s="9">
        <v>43</v>
      </c>
      <c r="C1944" s="9">
        <v>8673</v>
      </c>
      <c r="D1944" s="9">
        <f>PRODUCT(sales_data_sample[[#This Row],[QUANTITYORDERED]],sales_data_sample[[#This Row],[PRICEEACH]])</f>
        <v>372939</v>
      </c>
      <c r="E1944" s="9">
        <f>IF(OR(sales_data_sample[[#This Row],[STATUS]]="Shipped",sales_data_sample[[#This Row],[STATUS]]="Resolved"),sales_data_sample[[#This Row],[SALES]],0)</f>
        <v>0</v>
      </c>
      <c r="F1944" s="10">
        <v>9</v>
      </c>
      <c r="G1944" s="12" t="s">
        <v>837</v>
      </c>
      <c r="H1944" s="1" t="s">
        <v>553</v>
      </c>
      <c r="I1944">
        <v>2</v>
      </c>
      <c r="J1944">
        <v>4</v>
      </c>
      <c r="K1944">
        <v>2005</v>
      </c>
      <c r="L1944" s="1" t="s">
        <v>239</v>
      </c>
      <c r="M1944">
        <v>107</v>
      </c>
      <c r="N1944" s="1" t="s">
        <v>974</v>
      </c>
      <c r="O1944" s="1" t="s">
        <v>547</v>
      </c>
      <c r="P1944" s="1" t="s">
        <v>548</v>
      </c>
      <c r="Q1944" s="1" t="s">
        <v>549</v>
      </c>
      <c r="R1944" s="1" t="s">
        <v>32</v>
      </c>
      <c r="S1944" s="1" t="s">
        <v>550</v>
      </c>
      <c r="T1944" s="1" t="s">
        <v>65</v>
      </c>
      <c r="U1944" s="1" t="s">
        <v>80</v>
      </c>
      <c r="V1944" s="1" t="s">
        <v>36</v>
      </c>
      <c r="W1944" s="1" t="s">
        <v>37</v>
      </c>
      <c r="X1944" s="1" t="s">
        <v>129</v>
      </c>
      <c r="Y1944" s="1" t="s">
        <v>551</v>
      </c>
      <c r="Z1944" s="1" t="str">
        <f>TRIM(_xlfn.CONCAT(sales_data_sample[[#This Row],[CONTACTFIRSTNAME]],", ",sales_data_sample[[#This Row],[CONTACTLASTNAME]]))</f>
        <v>Sue, Frick</v>
      </c>
      <c r="AA1944" s="1" t="s">
        <v>59</v>
      </c>
    </row>
    <row r="1945" spans="1:27" x14ac:dyDescent="0.25">
      <c r="A1945">
        <v>10420</v>
      </c>
      <c r="B1945">
        <v>26</v>
      </c>
      <c r="C1945">
        <v>100</v>
      </c>
      <c r="D1945">
        <f>PRODUCT(sales_data_sample[[#This Row],[QUANTITYORDERED]],sales_data_sample[[#This Row],[PRICEEACH]])</f>
        <v>2600</v>
      </c>
      <c r="E1945" s="9">
        <f>IF(OR(sales_data_sample[[#This Row],[STATUS]]="Shipped",sales_data_sample[[#This Row],[STATUS]]="Resolved"),sales_data_sample[[#This Row],[SALES]],0)</f>
        <v>0</v>
      </c>
      <c r="F1945">
        <v>12</v>
      </c>
      <c r="G1945" s="12" t="s">
        <v>876</v>
      </c>
      <c r="H1945" s="1" t="s">
        <v>403</v>
      </c>
      <c r="I1945">
        <v>2</v>
      </c>
      <c r="J1945">
        <v>5</v>
      </c>
      <c r="K1945">
        <v>2005</v>
      </c>
      <c r="L1945" s="1" t="s">
        <v>239</v>
      </c>
      <c r="M1945">
        <v>107</v>
      </c>
      <c r="N1945" s="1" t="s">
        <v>974</v>
      </c>
      <c r="O1945" s="1" t="s">
        <v>201</v>
      </c>
      <c r="P1945" s="1" t="s">
        <v>202</v>
      </c>
      <c r="Q1945" s="1" t="s">
        <v>203</v>
      </c>
      <c r="R1945" s="1" t="s">
        <v>204</v>
      </c>
      <c r="S1945" s="1" t="s">
        <v>205</v>
      </c>
      <c r="T1945" s="1" t="s">
        <v>206</v>
      </c>
      <c r="U1945" s="1" t="s">
        <v>207</v>
      </c>
      <c r="V1945" s="1" t="s">
        <v>120</v>
      </c>
      <c r="W1945" s="1" t="s">
        <v>121</v>
      </c>
      <c r="X1945" s="1" t="s">
        <v>208</v>
      </c>
      <c r="Y1945" s="1" t="s">
        <v>209</v>
      </c>
      <c r="Z1945" s="1" t="str">
        <f>TRIM(_xlfn.CONCAT(sales_data_sample[[#This Row],[CONTACTFIRSTNAME]],", ",sales_data_sample[[#This Row],[CONTACTLASTNAME]]))</f>
        <v>Adrian, Huxley</v>
      </c>
      <c r="AA1945" s="1" t="s">
        <v>40</v>
      </c>
    </row>
    <row r="1946" spans="1:27" x14ac:dyDescent="0.25">
      <c r="A1946" s="10">
        <v>10105</v>
      </c>
      <c r="B1946" s="9">
        <v>50</v>
      </c>
      <c r="C1946" s="9">
        <v>7967</v>
      </c>
      <c r="D1946" s="9">
        <f>PRODUCT(sales_data_sample[[#This Row],[QUANTITYORDERED]],sales_data_sample[[#This Row],[PRICEEACH]])</f>
        <v>398350</v>
      </c>
      <c r="E1946" s="9">
        <f>IF(OR(sales_data_sample[[#This Row],[STATUS]]="Shipped",sales_data_sample[[#This Row],[STATUS]]="Resolved"),sales_data_sample[[#This Row],[SALES]],0)</f>
        <v>398350</v>
      </c>
      <c r="F1946" s="10">
        <v>1</v>
      </c>
      <c r="G1946" s="12" t="s">
        <v>435</v>
      </c>
      <c r="H1946" s="1" t="s">
        <v>26</v>
      </c>
      <c r="I1946">
        <v>1</v>
      </c>
      <c r="J1946">
        <v>2</v>
      </c>
      <c r="K1946">
        <v>2003</v>
      </c>
      <c r="L1946" s="1" t="s">
        <v>799</v>
      </c>
      <c r="M1946">
        <v>83</v>
      </c>
      <c r="N1946" s="1" t="s">
        <v>975</v>
      </c>
      <c r="O1946" s="1" t="s">
        <v>437</v>
      </c>
      <c r="P1946" s="1" t="s">
        <v>438</v>
      </c>
      <c r="Q1946" s="1" t="s">
        <v>439</v>
      </c>
      <c r="R1946" s="1" t="s">
        <v>32</v>
      </c>
      <c r="S1946" s="1" t="s">
        <v>440</v>
      </c>
      <c r="T1946" s="1" t="s">
        <v>32</v>
      </c>
      <c r="U1946" s="1" t="s">
        <v>441</v>
      </c>
      <c r="V1946" s="1" t="s">
        <v>442</v>
      </c>
      <c r="W1946" s="1" t="s">
        <v>48</v>
      </c>
      <c r="X1946" s="1" t="s">
        <v>443</v>
      </c>
      <c r="Y1946" s="1" t="s">
        <v>444</v>
      </c>
      <c r="Z1946" s="1" t="str">
        <f>TRIM(_xlfn.CONCAT(sales_data_sample[[#This Row],[CONTACTFIRSTNAME]],", ",sales_data_sample[[#This Row],[CONTACTLASTNAME]]))</f>
        <v>Jytte, Petersen</v>
      </c>
      <c r="AA1946" s="1" t="s">
        <v>59</v>
      </c>
    </row>
    <row r="1947" spans="1:27" x14ac:dyDescent="0.25">
      <c r="A1947" s="10">
        <v>10119</v>
      </c>
      <c r="B1947" s="9">
        <v>35</v>
      </c>
      <c r="C1947" s="9">
        <v>9057</v>
      </c>
      <c r="D1947" s="9">
        <f>PRODUCT(sales_data_sample[[#This Row],[QUANTITYORDERED]],sales_data_sample[[#This Row],[PRICEEACH]])</f>
        <v>316995</v>
      </c>
      <c r="E1947" s="9">
        <f>IF(OR(sales_data_sample[[#This Row],[STATUS]]="Shipped",sales_data_sample[[#This Row],[STATUS]]="Resolved"),sales_data_sample[[#This Row],[SALES]],0)</f>
        <v>316995</v>
      </c>
      <c r="F1947" s="10">
        <v>10</v>
      </c>
      <c r="G1947" s="12" t="s">
        <v>445</v>
      </c>
      <c r="H1947" s="1" t="s">
        <v>26</v>
      </c>
      <c r="I1947">
        <v>2</v>
      </c>
      <c r="J1947">
        <v>4</v>
      </c>
      <c r="K1947">
        <v>2003</v>
      </c>
      <c r="L1947" s="1" t="s">
        <v>799</v>
      </c>
      <c r="M1947">
        <v>83</v>
      </c>
      <c r="N1947" s="1" t="s">
        <v>975</v>
      </c>
      <c r="O1947" s="1" t="s">
        <v>191</v>
      </c>
      <c r="P1947" s="1" t="s">
        <v>192</v>
      </c>
      <c r="Q1947" s="1" t="s">
        <v>193</v>
      </c>
      <c r="R1947" s="1" t="s">
        <v>32</v>
      </c>
      <c r="S1947" s="1" t="s">
        <v>194</v>
      </c>
      <c r="T1947" s="1" t="s">
        <v>32</v>
      </c>
      <c r="U1947" s="1" t="s">
        <v>195</v>
      </c>
      <c r="V1947" s="1" t="s">
        <v>196</v>
      </c>
      <c r="W1947" s="1" t="s">
        <v>48</v>
      </c>
      <c r="X1947" s="1" t="s">
        <v>197</v>
      </c>
      <c r="Y1947" s="1" t="s">
        <v>198</v>
      </c>
      <c r="Z1947" s="1" t="str">
        <f>TRIM(_xlfn.CONCAT(sales_data_sample[[#This Row],[CONTACTFIRSTNAME]],", ",sales_data_sample[[#This Row],[CONTACTLASTNAME]]))</f>
        <v>Georg, Pipps</v>
      </c>
      <c r="AA1947" s="1" t="s">
        <v>59</v>
      </c>
    </row>
    <row r="1948" spans="1:27" x14ac:dyDescent="0.25">
      <c r="A1948" s="10">
        <v>10129</v>
      </c>
      <c r="B1948" s="9">
        <v>50</v>
      </c>
      <c r="C1948" s="9">
        <v>7799</v>
      </c>
      <c r="D1948" s="9">
        <f>PRODUCT(sales_data_sample[[#This Row],[QUANTITYORDERED]],sales_data_sample[[#This Row],[PRICEEACH]])</f>
        <v>389950</v>
      </c>
      <c r="E1948" s="9">
        <f>IF(OR(sales_data_sample[[#This Row],[STATUS]]="Shipped",sales_data_sample[[#This Row],[STATUS]]="Resolved"),sales_data_sample[[#This Row],[SALES]],0)</f>
        <v>389950</v>
      </c>
      <c r="F1948" s="10">
        <v>1</v>
      </c>
      <c r="G1948" s="12" t="s">
        <v>446</v>
      </c>
      <c r="H1948" s="1" t="s">
        <v>26</v>
      </c>
      <c r="I1948">
        <v>2</v>
      </c>
      <c r="J1948">
        <v>6</v>
      </c>
      <c r="K1948">
        <v>2003</v>
      </c>
      <c r="L1948" s="1" t="s">
        <v>799</v>
      </c>
      <c r="M1948">
        <v>83</v>
      </c>
      <c r="N1948" s="1" t="s">
        <v>975</v>
      </c>
      <c r="O1948" s="1" t="s">
        <v>447</v>
      </c>
      <c r="P1948" s="1" t="s">
        <v>448</v>
      </c>
      <c r="Q1948" s="1" t="s">
        <v>449</v>
      </c>
      <c r="R1948" s="1" t="s">
        <v>32</v>
      </c>
      <c r="S1948" s="1" t="s">
        <v>450</v>
      </c>
      <c r="T1948" s="1" t="s">
        <v>32</v>
      </c>
      <c r="U1948" s="1" t="s">
        <v>451</v>
      </c>
      <c r="V1948" s="1" t="s">
        <v>225</v>
      </c>
      <c r="W1948" s="1" t="s">
        <v>48</v>
      </c>
      <c r="X1948" s="1" t="s">
        <v>74</v>
      </c>
      <c r="Y1948" s="1" t="s">
        <v>452</v>
      </c>
      <c r="Z1948" s="1" t="str">
        <f>TRIM(_xlfn.CONCAT(sales_data_sample[[#This Row],[CONTACTFIRSTNAME]],", ",sales_data_sample[[#This Row],[CONTACTLASTNAME]]))</f>
        <v>Ann, Brown</v>
      </c>
      <c r="AA1948" s="1" t="s">
        <v>59</v>
      </c>
    </row>
    <row r="1949" spans="1:27" x14ac:dyDescent="0.25">
      <c r="A1949" s="10">
        <v>10143</v>
      </c>
      <c r="B1949" s="9">
        <v>23</v>
      </c>
      <c r="C1949" s="9">
        <v>8051</v>
      </c>
      <c r="D1949" s="9">
        <f>PRODUCT(sales_data_sample[[#This Row],[QUANTITYORDERED]],sales_data_sample[[#This Row],[PRICEEACH]])</f>
        <v>185173</v>
      </c>
      <c r="E1949" s="9">
        <f>IF(OR(sales_data_sample[[#This Row],[STATUS]]="Shipped",sales_data_sample[[#This Row],[STATUS]]="Resolved"),sales_data_sample[[#This Row],[SALES]],0)</f>
        <v>185173</v>
      </c>
      <c r="F1949" s="10">
        <v>14</v>
      </c>
      <c r="G1949" s="12" t="s">
        <v>453</v>
      </c>
      <c r="H1949" s="1" t="s">
        <v>26</v>
      </c>
      <c r="I1949">
        <v>3</v>
      </c>
      <c r="J1949">
        <v>8</v>
      </c>
      <c r="K1949">
        <v>2003</v>
      </c>
      <c r="L1949" s="1" t="s">
        <v>799</v>
      </c>
      <c r="M1949">
        <v>83</v>
      </c>
      <c r="N1949" s="1" t="s">
        <v>975</v>
      </c>
      <c r="O1949" s="1" t="s">
        <v>454</v>
      </c>
      <c r="P1949" s="1" t="s">
        <v>455</v>
      </c>
      <c r="Q1949" s="1" t="s">
        <v>456</v>
      </c>
      <c r="R1949" s="1" t="s">
        <v>32</v>
      </c>
      <c r="S1949" s="1" t="s">
        <v>215</v>
      </c>
      <c r="T1949" s="1" t="s">
        <v>160</v>
      </c>
      <c r="U1949" s="1" t="s">
        <v>216</v>
      </c>
      <c r="V1949" s="1" t="s">
        <v>36</v>
      </c>
      <c r="W1949" s="1" t="s">
        <v>37</v>
      </c>
      <c r="X1949" s="1" t="s">
        <v>457</v>
      </c>
      <c r="Y1949" s="1" t="s">
        <v>458</v>
      </c>
      <c r="Z1949" s="1" t="str">
        <f>TRIM(_xlfn.CONCAT(sales_data_sample[[#This Row],[CONTACTFIRSTNAME]],", ",sales_data_sample[[#This Row],[CONTACTLASTNAME]]))</f>
        <v>Wing C, Tam</v>
      </c>
      <c r="AA1949" s="1" t="s">
        <v>40</v>
      </c>
    </row>
    <row r="1950" spans="1:27" x14ac:dyDescent="0.25">
      <c r="A1950" s="10">
        <v>10155</v>
      </c>
      <c r="B1950" s="9">
        <v>37</v>
      </c>
      <c r="C1950" s="9">
        <v>6793</v>
      </c>
      <c r="D1950" s="9">
        <f>PRODUCT(sales_data_sample[[#This Row],[QUANTITYORDERED]],sales_data_sample[[#This Row],[PRICEEACH]])</f>
        <v>251341</v>
      </c>
      <c r="E1950" s="9">
        <f>IF(OR(sales_data_sample[[#This Row],[STATUS]]="Shipped",sales_data_sample[[#This Row],[STATUS]]="Resolved"),sales_data_sample[[#This Row],[SALES]],0)</f>
        <v>251341</v>
      </c>
      <c r="F1950" s="10">
        <v>12</v>
      </c>
      <c r="G1950" s="12" t="s">
        <v>459</v>
      </c>
      <c r="H1950" s="1" t="s">
        <v>26</v>
      </c>
      <c r="I1950">
        <v>4</v>
      </c>
      <c r="J1950">
        <v>10</v>
      </c>
      <c r="K1950">
        <v>2003</v>
      </c>
      <c r="L1950" s="1" t="s">
        <v>799</v>
      </c>
      <c r="M1950">
        <v>83</v>
      </c>
      <c r="N1950" s="1" t="s">
        <v>975</v>
      </c>
      <c r="O1950" s="1" t="s">
        <v>165</v>
      </c>
      <c r="P1950" s="1" t="s">
        <v>166</v>
      </c>
      <c r="Q1950" s="1" t="s">
        <v>167</v>
      </c>
      <c r="R1950" s="1" t="s">
        <v>32</v>
      </c>
      <c r="S1950" s="1" t="s">
        <v>168</v>
      </c>
      <c r="T1950" s="1" t="s">
        <v>32</v>
      </c>
      <c r="U1950" s="1" t="s">
        <v>169</v>
      </c>
      <c r="V1950" s="1" t="s">
        <v>170</v>
      </c>
      <c r="W1950" s="1" t="s">
        <v>48</v>
      </c>
      <c r="X1950" s="1" t="s">
        <v>171</v>
      </c>
      <c r="Y1950" s="1" t="s">
        <v>172</v>
      </c>
      <c r="Z1950" s="1" t="str">
        <f>TRIM(_xlfn.CONCAT(sales_data_sample[[#This Row],[CONTACTFIRSTNAME]],", ",sales_data_sample[[#This Row],[CONTACTLASTNAME]]))</f>
        <v>Matti, Karttunen</v>
      </c>
      <c r="AA1950" s="1" t="s">
        <v>40</v>
      </c>
    </row>
    <row r="1951" spans="1:27" x14ac:dyDescent="0.25">
      <c r="A1951" s="10">
        <v>10167</v>
      </c>
      <c r="B1951" s="9">
        <v>29</v>
      </c>
      <c r="C1951" s="9">
        <v>8386</v>
      </c>
      <c r="D1951" s="9">
        <f>PRODUCT(sales_data_sample[[#This Row],[QUANTITYORDERED]],sales_data_sample[[#This Row],[PRICEEACH]])</f>
        <v>243194</v>
      </c>
      <c r="E1951" s="9">
        <f>IF(OR(sales_data_sample[[#This Row],[STATUS]]="Shipped",sales_data_sample[[#This Row],[STATUS]]="Resolved"),sales_data_sample[[#This Row],[SALES]],0)</f>
        <v>0</v>
      </c>
      <c r="F1951" s="10">
        <v>8</v>
      </c>
      <c r="G1951" s="12" t="s">
        <v>460</v>
      </c>
      <c r="H1951" s="1" t="s">
        <v>461</v>
      </c>
      <c r="I1951">
        <v>4</v>
      </c>
      <c r="J1951">
        <v>10</v>
      </c>
      <c r="K1951">
        <v>2003</v>
      </c>
      <c r="L1951" s="1" t="s">
        <v>799</v>
      </c>
      <c r="M1951">
        <v>83</v>
      </c>
      <c r="N1951" s="1" t="s">
        <v>975</v>
      </c>
      <c r="O1951" s="1" t="s">
        <v>347</v>
      </c>
      <c r="P1951" s="1" t="s">
        <v>348</v>
      </c>
      <c r="Q1951" s="1" t="s">
        <v>349</v>
      </c>
      <c r="R1951" s="1" t="s">
        <v>32</v>
      </c>
      <c r="S1951" s="1" t="s">
        <v>350</v>
      </c>
      <c r="T1951" s="1" t="s">
        <v>32</v>
      </c>
      <c r="U1951" s="1" t="s">
        <v>351</v>
      </c>
      <c r="V1951" s="1" t="s">
        <v>247</v>
      </c>
      <c r="W1951" s="1" t="s">
        <v>48</v>
      </c>
      <c r="X1951" s="1" t="s">
        <v>352</v>
      </c>
      <c r="Y1951" s="1" t="s">
        <v>272</v>
      </c>
      <c r="Z1951" s="1" t="str">
        <f>TRIM(_xlfn.CONCAT(sales_data_sample[[#This Row],[CONTACTFIRSTNAME]],", ",sales_data_sample[[#This Row],[CONTACTLASTNAME]]))</f>
        <v>Maria, Larsson</v>
      </c>
      <c r="AA1951" s="1" t="s">
        <v>40</v>
      </c>
    </row>
    <row r="1952" spans="1:27" x14ac:dyDescent="0.25">
      <c r="A1952" s="10">
        <v>10178</v>
      </c>
      <c r="B1952" s="9">
        <v>21</v>
      </c>
      <c r="C1952" s="9">
        <v>7212</v>
      </c>
      <c r="D1952" s="9">
        <f>PRODUCT(sales_data_sample[[#This Row],[QUANTITYORDERED]],sales_data_sample[[#This Row],[PRICEEACH]])</f>
        <v>151452</v>
      </c>
      <c r="E1952" s="9">
        <f>IF(OR(sales_data_sample[[#This Row],[STATUS]]="Shipped",sales_data_sample[[#This Row],[STATUS]]="Resolved"),sales_data_sample[[#This Row],[SALES]],0)</f>
        <v>151452</v>
      </c>
      <c r="F1952" s="10">
        <v>11</v>
      </c>
      <c r="G1952" s="12" t="s">
        <v>462</v>
      </c>
      <c r="H1952" s="1" t="s">
        <v>26</v>
      </c>
      <c r="I1952">
        <v>4</v>
      </c>
      <c r="J1952">
        <v>11</v>
      </c>
      <c r="K1952">
        <v>2003</v>
      </c>
      <c r="L1952" s="1" t="s">
        <v>799</v>
      </c>
      <c r="M1952">
        <v>83</v>
      </c>
      <c r="N1952" s="1" t="s">
        <v>975</v>
      </c>
      <c r="O1952" s="1" t="s">
        <v>463</v>
      </c>
      <c r="P1952" s="1" t="s">
        <v>464</v>
      </c>
      <c r="Q1952" s="1" t="s">
        <v>465</v>
      </c>
      <c r="R1952" s="1" t="s">
        <v>32</v>
      </c>
      <c r="S1952" s="1" t="s">
        <v>466</v>
      </c>
      <c r="T1952" s="1" t="s">
        <v>32</v>
      </c>
      <c r="U1952" s="1" t="s">
        <v>467</v>
      </c>
      <c r="V1952" s="1" t="s">
        <v>47</v>
      </c>
      <c r="W1952" s="1" t="s">
        <v>48</v>
      </c>
      <c r="X1952" s="1" t="s">
        <v>468</v>
      </c>
      <c r="Y1952" s="1" t="s">
        <v>469</v>
      </c>
      <c r="Z1952" s="1" t="str">
        <f>TRIM(_xlfn.CONCAT(sales_data_sample[[#This Row],[CONTACTFIRSTNAME]],", ",sales_data_sample[[#This Row],[CONTACTLASTNAME]]))</f>
        <v>Annette, Roulet</v>
      </c>
      <c r="AA1952" s="1" t="s">
        <v>40</v>
      </c>
    </row>
    <row r="1953" spans="1:27" x14ac:dyDescent="0.25">
      <c r="A1953" s="10">
        <v>10186</v>
      </c>
      <c r="B1953" s="9">
        <v>36</v>
      </c>
      <c r="C1953" s="9">
        <v>8554</v>
      </c>
      <c r="D1953" s="9">
        <f>PRODUCT(sales_data_sample[[#This Row],[QUANTITYORDERED]],sales_data_sample[[#This Row],[PRICEEACH]])</f>
        <v>307944</v>
      </c>
      <c r="E1953" s="9">
        <f>IF(OR(sales_data_sample[[#This Row],[STATUS]]="Shipped",sales_data_sample[[#This Row],[STATUS]]="Resolved"),sales_data_sample[[#This Row],[SALES]],0)</f>
        <v>307944</v>
      </c>
      <c r="F1953" s="10">
        <v>8</v>
      </c>
      <c r="G1953" s="12" t="s">
        <v>470</v>
      </c>
      <c r="H1953" s="1" t="s">
        <v>26</v>
      </c>
      <c r="I1953">
        <v>4</v>
      </c>
      <c r="J1953">
        <v>11</v>
      </c>
      <c r="K1953">
        <v>2003</v>
      </c>
      <c r="L1953" s="1" t="s">
        <v>799</v>
      </c>
      <c r="M1953">
        <v>83</v>
      </c>
      <c r="N1953" s="1" t="s">
        <v>975</v>
      </c>
      <c r="O1953" s="1" t="s">
        <v>471</v>
      </c>
      <c r="P1953" s="1" t="s">
        <v>472</v>
      </c>
      <c r="Q1953" s="1" t="s">
        <v>473</v>
      </c>
      <c r="R1953" s="1" t="s">
        <v>32</v>
      </c>
      <c r="S1953" s="1" t="s">
        <v>450</v>
      </c>
      <c r="T1953" s="1" t="s">
        <v>32</v>
      </c>
      <c r="U1953" s="1" t="s">
        <v>474</v>
      </c>
      <c r="V1953" s="1" t="s">
        <v>225</v>
      </c>
      <c r="W1953" s="1" t="s">
        <v>48</v>
      </c>
      <c r="X1953" s="1" t="s">
        <v>475</v>
      </c>
      <c r="Y1953" s="1" t="s">
        <v>476</v>
      </c>
      <c r="Z1953" s="1" t="str">
        <f>TRIM(_xlfn.CONCAT(sales_data_sample[[#This Row],[CONTACTFIRSTNAME]],", ",sales_data_sample[[#This Row],[CONTACTLASTNAME]]))</f>
        <v>Thomas, Hardy</v>
      </c>
      <c r="AA1953" s="1" t="s">
        <v>59</v>
      </c>
    </row>
    <row r="1954" spans="1:27" x14ac:dyDescent="0.25">
      <c r="A1954" s="10">
        <v>10197</v>
      </c>
      <c r="B1954" s="9">
        <v>22</v>
      </c>
      <c r="C1954" s="9">
        <v>8638</v>
      </c>
      <c r="D1954" s="9">
        <f>PRODUCT(sales_data_sample[[#This Row],[QUANTITYORDERED]],sales_data_sample[[#This Row],[PRICEEACH]])</f>
        <v>190036</v>
      </c>
      <c r="E1954" s="9">
        <f>IF(OR(sales_data_sample[[#This Row],[STATUS]]="Shipped",sales_data_sample[[#This Row],[STATUS]]="Resolved"),sales_data_sample[[#This Row],[SALES]],0)</f>
        <v>190036</v>
      </c>
      <c r="F1954" s="10">
        <v>5</v>
      </c>
      <c r="G1954" s="12" t="s">
        <v>477</v>
      </c>
      <c r="H1954" s="1" t="s">
        <v>26</v>
      </c>
      <c r="I1954">
        <v>4</v>
      </c>
      <c r="J1954">
        <v>11</v>
      </c>
      <c r="K1954">
        <v>2003</v>
      </c>
      <c r="L1954" s="1" t="s">
        <v>799</v>
      </c>
      <c r="M1954">
        <v>83</v>
      </c>
      <c r="N1954" s="1" t="s">
        <v>975</v>
      </c>
      <c r="O1954" s="1" t="s">
        <v>478</v>
      </c>
      <c r="P1954" s="1" t="s">
        <v>479</v>
      </c>
      <c r="Q1954" s="1" t="s">
        <v>480</v>
      </c>
      <c r="R1954" s="1" t="s">
        <v>32</v>
      </c>
      <c r="S1954" s="1" t="s">
        <v>481</v>
      </c>
      <c r="T1954" s="1" t="s">
        <v>32</v>
      </c>
      <c r="U1954" s="1" t="s">
        <v>482</v>
      </c>
      <c r="V1954" s="1" t="s">
        <v>235</v>
      </c>
      <c r="W1954" s="1" t="s">
        <v>48</v>
      </c>
      <c r="X1954" s="1" t="s">
        <v>483</v>
      </c>
      <c r="Y1954" s="1" t="s">
        <v>484</v>
      </c>
      <c r="Z1954" s="1" t="str">
        <f>TRIM(_xlfn.CONCAT(sales_data_sample[[#This Row],[CONTACTFIRSTNAME]],", ",sales_data_sample[[#This Row],[CONTACTLASTNAME]]))</f>
        <v>Eduardo, Saavedra</v>
      </c>
      <c r="AA1954" s="1" t="s">
        <v>40</v>
      </c>
    </row>
    <row r="1955" spans="1:27" x14ac:dyDescent="0.25">
      <c r="A1955" s="10">
        <v>10209</v>
      </c>
      <c r="B1955" s="9">
        <v>22</v>
      </c>
      <c r="C1955" s="9">
        <v>8973</v>
      </c>
      <c r="D1955" s="9">
        <f>PRODUCT(sales_data_sample[[#This Row],[QUANTITYORDERED]],sales_data_sample[[#This Row],[PRICEEACH]])</f>
        <v>197406</v>
      </c>
      <c r="E1955" s="9">
        <f>IF(OR(sales_data_sample[[#This Row],[STATUS]]="Shipped",sales_data_sample[[#This Row],[STATUS]]="Resolved"),sales_data_sample[[#This Row],[SALES]],0)</f>
        <v>197406</v>
      </c>
      <c r="F1955" s="10">
        <v>7</v>
      </c>
      <c r="G1955" s="12" t="s">
        <v>485</v>
      </c>
      <c r="H1955" s="1" t="s">
        <v>26</v>
      </c>
      <c r="I1955">
        <v>1</v>
      </c>
      <c r="J1955">
        <v>1</v>
      </c>
      <c r="K1955">
        <v>2004</v>
      </c>
      <c r="L1955" s="1" t="s">
        <v>799</v>
      </c>
      <c r="M1955">
        <v>83</v>
      </c>
      <c r="N1955" s="1" t="s">
        <v>975</v>
      </c>
      <c r="O1955" s="1" t="s">
        <v>486</v>
      </c>
      <c r="P1955" s="1" t="s">
        <v>487</v>
      </c>
      <c r="Q1955" s="1" t="s">
        <v>488</v>
      </c>
      <c r="R1955" s="1" t="s">
        <v>32</v>
      </c>
      <c r="S1955" s="1" t="s">
        <v>489</v>
      </c>
      <c r="T1955" s="1" t="s">
        <v>65</v>
      </c>
      <c r="U1955" s="1" t="s">
        <v>32</v>
      </c>
      <c r="V1955" s="1" t="s">
        <v>36</v>
      </c>
      <c r="W1955" s="1" t="s">
        <v>37</v>
      </c>
      <c r="X1955" s="1" t="s">
        <v>490</v>
      </c>
      <c r="Y1955" s="1" t="s">
        <v>130</v>
      </c>
      <c r="Z1955" s="1" t="str">
        <f>TRIM(_xlfn.CONCAT(sales_data_sample[[#This Row],[CONTACTFIRSTNAME]],", ",sales_data_sample[[#This Row],[CONTACTLASTNAME]]))</f>
        <v>Michael, Chandler</v>
      </c>
      <c r="AA1955" s="1" t="s">
        <v>40</v>
      </c>
    </row>
    <row r="1956" spans="1:27" x14ac:dyDescent="0.25">
      <c r="A1956" s="10">
        <v>10222</v>
      </c>
      <c r="B1956" s="9">
        <v>46</v>
      </c>
      <c r="C1956" s="9">
        <v>8051</v>
      </c>
      <c r="D1956" s="9">
        <f>PRODUCT(sales_data_sample[[#This Row],[QUANTITYORDERED]],sales_data_sample[[#This Row],[PRICEEACH]])</f>
        <v>370346</v>
      </c>
      <c r="E1956" s="9">
        <f>IF(OR(sales_data_sample[[#This Row],[STATUS]]="Shipped",sales_data_sample[[#This Row],[STATUS]]="Resolved"),sales_data_sample[[#This Row],[SALES]],0)</f>
        <v>370346</v>
      </c>
      <c r="F1956" s="10">
        <v>11</v>
      </c>
      <c r="G1956" s="12" t="s">
        <v>491</v>
      </c>
      <c r="H1956" s="1" t="s">
        <v>26</v>
      </c>
      <c r="I1956">
        <v>1</v>
      </c>
      <c r="J1956">
        <v>2</v>
      </c>
      <c r="K1956">
        <v>2004</v>
      </c>
      <c r="L1956" s="1" t="s">
        <v>799</v>
      </c>
      <c r="M1956">
        <v>83</v>
      </c>
      <c r="N1956" s="1" t="s">
        <v>975</v>
      </c>
      <c r="O1956" s="1" t="s">
        <v>492</v>
      </c>
      <c r="P1956" s="1" t="s">
        <v>493</v>
      </c>
      <c r="Q1956" s="1" t="s">
        <v>494</v>
      </c>
      <c r="R1956" s="1" t="s">
        <v>32</v>
      </c>
      <c r="S1956" s="1" t="s">
        <v>495</v>
      </c>
      <c r="T1956" s="1" t="s">
        <v>65</v>
      </c>
      <c r="U1956" s="1" t="s">
        <v>496</v>
      </c>
      <c r="V1956" s="1" t="s">
        <v>36</v>
      </c>
      <c r="W1956" s="1" t="s">
        <v>37</v>
      </c>
      <c r="X1956" s="1" t="s">
        <v>313</v>
      </c>
      <c r="Y1956" s="1" t="s">
        <v>366</v>
      </c>
      <c r="Z1956" s="1" t="str">
        <f>TRIM(_xlfn.CONCAT(sales_data_sample[[#This Row],[CONTACTFIRSTNAME]],", ",sales_data_sample[[#This Row],[CONTACTLASTNAME]]))</f>
        <v>Valarie, Thompson</v>
      </c>
      <c r="AA1956" s="1" t="s">
        <v>59</v>
      </c>
    </row>
    <row r="1957" spans="1:27" x14ac:dyDescent="0.25">
      <c r="A1957" s="10">
        <v>10248</v>
      </c>
      <c r="B1957" s="9">
        <v>23</v>
      </c>
      <c r="C1957" s="9">
        <v>7631</v>
      </c>
      <c r="D1957" s="9">
        <f>PRODUCT(sales_data_sample[[#This Row],[QUANTITYORDERED]],sales_data_sample[[#This Row],[PRICEEACH]])</f>
        <v>175513</v>
      </c>
      <c r="E1957" s="9">
        <f>IF(OR(sales_data_sample[[#This Row],[STATUS]]="Shipped",sales_data_sample[[#This Row],[STATUS]]="Resolved"),sales_data_sample[[#This Row],[SALES]],0)</f>
        <v>0</v>
      </c>
      <c r="F1957" s="10">
        <v>2</v>
      </c>
      <c r="G1957" s="12" t="s">
        <v>497</v>
      </c>
      <c r="H1957" s="1" t="s">
        <v>461</v>
      </c>
      <c r="I1957">
        <v>2</v>
      </c>
      <c r="J1957">
        <v>5</v>
      </c>
      <c r="K1957">
        <v>2004</v>
      </c>
      <c r="L1957" s="1" t="s">
        <v>799</v>
      </c>
      <c r="M1957">
        <v>83</v>
      </c>
      <c r="N1957" s="1" t="s">
        <v>975</v>
      </c>
      <c r="O1957" s="1" t="s">
        <v>29</v>
      </c>
      <c r="P1957" s="1" t="s">
        <v>30</v>
      </c>
      <c r="Q1957" s="1" t="s">
        <v>31</v>
      </c>
      <c r="R1957" s="1" t="s">
        <v>32</v>
      </c>
      <c r="S1957" s="1" t="s">
        <v>33</v>
      </c>
      <c r="T1957" s="1" t="s">
        <v>34</v>
      </c>
      <c r="U1957" s="1" t="s">
        <v>35</v>
      </c>
      <c r="V1957" s="1" t="s">
        <v>36</v>
      </c>
      <c r="W1957" s="1" t="s">
        <v>37</v>
      </c>
      <c r="X1957" s="1" t="s">
        <v>38</v>
      </c>
      <c r="Y1957" s="1" t="s">
        <v>39</v>
      </c>
      <c r="Z1957" s="1" t="str">
        <f>TRIM(_xlfn.CONCAT(sales_data_sample[[#This Row],[CONTACTFIRSTNAME]],", ",sales_data_sample[[#This Row],[CONTACTLASTNAME]]))</f>
        <v>Kwai, Yu</v>
      </c>
      <c r="AA1957" s="1" t="s">
        <v>40</v>
      </c>
    </row>
    <row r="1958" spans="1:27" x14ac:dyDescent="0.25">
      <c r="A1958" s="10">
        <v>10262</v>
      </c>
      <c r="B1958" s="9">
        <v>49</v>
      </c>
      <c r="C1958" s="9">
        <v>8721</v>
      </c>
      <c r="D1958" s="9">
        <f>PRODUCT(sales_data_sample[[#This Row],[QUANTITYORDERED]],sales_data_sample[[#This Row],[PRICEEACH]])</f>
        <v>427329</v>
      </c>
      <c r="E1958" s="9">
        <f>IF(OR(sales_data_sample[[#This Row],[STATUS]]="Shipped",sales_data_sample[[#This Row],[STATUS]]="Resolved"),sales_data_sample[[#This Row],[SALES]],0)</f>
        <v>0</v>
      </c>
      <c r="F1958" s="10">
        <v>16</v>
      </c>
      <c r="G1958" s="12" t="s">
        <v>850</v>
      </c>
      <c r="H1958" s="1" t="s">
        <v>461</v>
      </c>
      <c r="I1958">
        <v>2</v>
      </c>
      <c r="J1958">
        <v>6</v>
      </c>
      <c r="K1958">
        <v>2004</v>
      </c>
      <c r="L1958" s="1" t="s">
        <v>799</v>
      </c>
      <c r="M1958">
        <v>83</v>
      </c>
      <c r="N1958" s="1" t="s">
        <v>975</v>
      </c>
      <c r="O1958" s="1" t="s">
        <v>230</v>
      </c>
      <c r="P1958" s="1" t="s">
        <v>231</v>
      </c>
      <c r="Q1958" s="1" t="s">
        <v>232</v>
      </c>
      <c r="R1958" s="1" t="s">
        <v>32</v>
      </c>
      <c r="S1958" s="1" t="s">
        <v>233</v>
      </c>
      <c r="T1958" s="1" t="s">
        <v>32</v>
      </c>
      <c r="U1958" s="1" t="s">
        <v>234</v>
      </c>
      <c r="V1958" s="1" t="s">
        <v>235</v>
      </c>
      <c r="W1958" s="1" t="s">
        <v>48</v>
      </c>
      <c r="X1958" s="1" t="s">
        <v>236</v>
      </c>
      <c r="Y1958" s="1" t="s">
        <v>237</v>
      </c>
      <c r="Z1958" s="1" t="str">
        <f>TRIM(_xlfn.CONCAT(sales_data_sample[[#This Row],[CONTACTFIRSTNAME]],", ",sales_data_sample[[#This Row],[CONTACTLASTNAME]]))</f>
        <v>Diego, Freyre</v>
      </c>
      <c r="AA1958" s="1" t="s">
        <v>59</v>
      </c>
    </row>
    <row r="1959" spans="1:27" x14ac:dyDescent="0.25">
      <c r="A1959" s="10">
        <v>10273</v>
      </c>
      <c r="B1959" s="9">
        <v>48</v>
      </c>
      <c r="C1959" s="9">
        <v>8302</v>
      </c>
      <c r="D1959" s="9">
        <f>PRODUCT(sales_data_sample[[#This Row],[QUANTITYORDERED]],sales_data_sample[[#This Row],[PRICEEACH]])</f>
        <v>398496</v>
      </c>
      <c r="E1959" s="9">
        <f>IF(OR(sales_data_sample[[#This Row],[STATUS]]="Shipped",sales_data_sample[[#This Row],[STATUS]]="Resolved"),sales_data_sample[[#This Row],[SALES]],0)</f>
        <v>398496</v>
      </c>
      <c r="F1959" s="10">
        <v>3</v>
      </c>
      <c r="G1959" s="12" t="s">
        <v>499</v>
      </c>
      <c r="H1959" s="1" t="s">
        <v>26</v>
      </c>
      <c r="I1959">
        <v>3</v>
      </c>
      <c r="J1959">
        <v>7</v>
      </c>
      <c r="K1959">
        <v>2004</v>
      </c>
      <c r="L1959" s="1" t="s">
        <v>799</v>
      </c>
      <c r="M1959">
        <v>83</v>
      </c>
      <c r="N1959" s="1" t="s">
        <v>975</v>
      </c>
      <c r="O1959" s="1" t="s">
        <v>500</v>
      </c>
      <c r="P1959" s="1" t="s">
        <v>501</v>
      </c>
      <c r="Q1959" s="1" t="s">
        <v>502</v>
      </c>
      <c r="R1959" s="1" t="s">
        <v>32</v>
      </c>
      <c r="S1959" s="1" t="s">
        <v>503</v>
      </c>
      <c r="T1959" s="1" t="s">
        <v>32</v>
      </c>
      <c r="U1959" s="1" t="s">
        <v>504</v>
      </c>
      <c r="V1959" s="1" t="s">
        <v>505</v>
      </c>
      <c r="W1959" s="1" t="s">
        <v>48</v>
      </c>
      <c r="X1959" s="1" t="s">
        <v>506</v>
      </c>
      <c r="Y1959" s="1" t="s">
        <v>507</v>
      </c>
      <c r="Z1959" s="1" t="str">
        <f>TRIM(_xlfn.CONCAT(sales_data_sample[[#This Row],[CONTACTFIRSTNAME]],", ",sales_data_sample[[#This Row],[CONTACTLASTNAME]]))</f>
        <v>Catherine, Dewey</v>
      </c>
      <c r="AA1959" s="1" t="s">
        <v>59</v>
      </c>
    </row>
    <row r="1960" spans="1:27" x14ac:dyDescent="0.25">
      <c r="A1960" s="10">
        <v>10283</v>
      </c>
      <c r="B1960" s="9">
        <v>33</v>
      </c>
      <c r="C1960" s="9">
        <v>7296</v>
      </c>
      <c r="D1960" s="9">
        <f>PRODUCT(sales_data_sample[[#This Row],[QUANTITYORDERED]],sales_data_sample[[#This Row],[PRICEEACH]])</f>
        <v>240768</v>
      </c>
      <c r="E1960" s="9">
        <f>IF(OR(sales_data_sample[[#This Row],[STATUS]]="Shipped",sales_data_sample[[#This Row],[STATUS]]="Resolved"),sales_data_sample[[#This Row],[SALES]],0)</f>
        <v>240768</v>
      </c>
      <c r="F1960" s="10">
        <v>5</v>
      </c>
      <c r="G1960" s="12" t="s">
        <v>508</v>
      </c>
      <c r="H1960" s="1" t="s">
        <v>26</v>
      </c>
      <c r="I1960">
        <v>3</v>
      </c>
      <c r="J1960">
        <v>8</v>
      </c>
      <c r="K1960">
        <v>2004</v>
      </c>
      <c r="L1960" s="1" t="s">
        <v>799</v>
      </c>
      <c r="M1960">
        <v>83</v>
      </c>
      <c r="N1960" s="1" t="s">
        <v>975</v>
      </c>
      <c r="O1960" s="1" t="s">
        <v>509</v>
      </c>
      <c r="P1960" s="1" t="s">
        <v>510</v>
      </c>
      <c r="Q1960" s="1" t="s">
        <v>511</v>
      </c>
      <c r="R1960" s="1" t="s">
        <v>32</v>
      </c>
      <c r="S1960" s="1" t="s">
        <v>512</v>
      </c>
      <c r="T1960" s="1" t="s">
        <v>303</v>
      </c>
      <c r="U1960" s="1" t="s">
        <v>513</v>
      </c>
      <c r="V1960" s="1" t="s">
        <v>305</v>
      </c>
      <c r="W1960" s="1" t="s">
        <v>37</v>
      </c>
      <c r="X1960" s="1" t="s">
        <v>514</v>
      </c>
      <c r="Y1960" s="1" t="s">
        <v>227</v>
      </c>
      <c r="Z1960" s="1" t="str">
        <f>TRIM(_xlfn.CONCAT(sales_data_sample[[#This Row],[CONTACTFIRSTNAME]],", ",sales_data_sample[[#This Row],[CONTACTLASTNAME]]))</f>
        <v>Elizabeth, Lincoln</v>
      </c>
      <c r="AA1960" s="1" t="s">
        <v>40</v>
      </c>
    </row>
    <row r="1961" spans="1:27" x14ac:dyDescent="0.25">
      <c r="A1961" s="10">
        <v>10296</v>
      </c>
      <c r="B1961" s="9">
        <v>22</v>
      </c>
      <c r="C1961" s="9">
        <v>7715</v>
      </c>
      <c r="D1961" s="9">
        <f>PRODUCT(sales_data_sample[[#This Row],[QUANTITYORDERED]],sales_data_sample[[#This Row],[PRICEEACH]])</f>
        <v>169730</v>
      </c>
      <c r="E1961" s="9">
        <f>IF(OR(sales_data_sample[[#This Row],[STATUS]]="Shipped",sales_data_sample[[#This Row],[STATUS]]="Resolved"),sales_data_sample[[#This Row],[SALES]],0)</f>
        <v>169730</v>
      </c>
      <c r="F1961" s="10">
        <v>14</v>
      </c>
      <c r="G1961" s="12" t="s">
        <v>852</v>
      </c>
      <c r="H1961" s="1" t="s">
        <v>26</v>
      </c>
      <c r="I1961">
        <v>3</v>
      </c>
      <c r="J1961">
        <v>9</v>
      </c>
      <c r="K1961">
        <v>2004</v>
      </c>
      <c r="L1961" s="1" t="s">
        <v>799</v>
      </c>
      <c r="M1961">
        <v>83</v>
      </c>
      <c r="N1961" s="1" t="s">
        <v>975</v>
      </c>
      <c r="O1961" s="1" t="s">
        <v>853</v>
      </c>
      <c r="P1961" s="1" t="s">
        <v>854</v>
      </c>
      <c r="Q1961" s="1" t="s">
        <v>855</v>
      </c>
      <c r="R1961" s="1" t="s">
        <v>32</v>
      </c>
      <c r="S1961" s="1" t="s">
        <v>856</v>
      </c>
      <c r="T1961" s="1" t="s">
        <v>32</v>
      </c>
      <c r="U1961" s="1" t="s">
        <v>857</v>
      </c>
      <c r="V1961" s="1" t="s">
        <v>617</v>
      </c>
      <c r="W1961" s="1" t="s">
        <v>48</v>
      </c>
      <c r="X1961" s="1" t="s">
        <v>858</v>
      </c>
      <c r="Y1961" s="1" t="s">
        <v>130</v>
      </c>
      <c r="Z1961" s="1" t="str">
        <f>TRIM(_xlfn.CONCAT(sales_data_sample[[#This Row],[CONTACTFIRSTNAME]],", ",sales_data_sample[[#This Row],[CONTACTLASTNAME]]))</f>
        <v>Michael, Donnermeyer</v>
      </c>
      <c r="AA1961" s="1" t="s">
        <v>40</v>
      </c>
    </row>
    <row r="1962" spans="1:27" x14ac:dyDescent="0.25">
      <c r="A1962" s="10">
        <v>10307</v>
      </c>
      <c r="B1962" s="9">
        <v>22</v>
      </c>
      <c r="C1962" s="9">
        <v>9141</v>
      </c>
      <c r="D1962" s="9">
        <f>PRODUCT(sales_data_sample[[#This Row],[QUANTITYORDERED]],sales_data_sample[[#This Row],[PRICEEACH]])</f>
        <v>201102</v>
      </c>
      <c r="E1962" s="9">
        <f>IF(OR(sales_data_sample[[#This Row],[STATUS]]="Shipped",sales_data_sample[[#This Row],[STATUS]]="Resolved"),sales_data_sample[[#This Row],[SALES]],0)</f>
        <v>201102</v>
      </c>
      <c r="F1962" s="10">
        <v>8</v>
      </c>
      <c r="G1962" s="12" t="s">
        <v>522</v>
      </c>
      <c r="H1962" s="1" t="s">
        <v>26</v>
      </c>
      <c r="I1962">
        <v>4</v>
      </c>
      <c r="J1962">
        <v>10</v>
      </c>
      <c r="K1962">
        <v>2004</v>
      </c>
      <c r="L1962" s="1" t="s">
        <v>799</v>
      </c>
      <c r="M1962">
        <v>83</v>
      </c>
      <c r="N1962" s="1" t="s">
        <v>975</v>
      </c>
      <c r="O1962" s="1" t="s">
        <v>283</v>
      </c>
      <c r="P1962" s="1" t="s">
        <v>284</v>
      </c>
      <c r="Q1962" s="1" t="s">
        <v>285</v>
      </c>
      <c r="R1962" s="1" t="s">
        <v>32</v>
      </c>
      <c r="S1962" s="1" t="s">
        <v>286</v>
      </c>
      <c r="T1962" s="1" t="s">
        <v>186</v>
      </c>
      <c r="U1962" s="1" t="s">
        <v>287</v>
      </c>
      <c r="V1962" s="1" t="s">
        <v>36</v>
      </c>
      <c r="W1962" s="1" t="s">
        <v>37</v>
      </c>
      <c r="X1962" s="1" t="s">
        <v>288</v>
      </c>
      <c r="Y1962" s="1" t="s">
        <v>289</v>
      </c>
      <c r="Z1962" s="1" t="str">
        <f>TRIM(_xlfn.CONCAT(sales_data_sample[[#This Row],[CONTACTFIRSTNAME]],", ",sales_data_sample[[#This Row],[CONTACTLASTNAME]]))</f>
        <v>Francisca, Cervantes</v>
      </c>
      <c r="AA1962" s="1" t="s">
        <v>40</v>
      </c>
    </row>
    <row r="1963" spans="1:27" x14ac:dyDescent="0.25">
      <c r="A1963" s="10">
        <v>10316</v>
      </c>
      <c r="B1963" s="9">
        <v>25</v>
      </c>
      <c r="C1963" s="9">
        <v>9225</v>
      </c>
      <c r="D1963" s="9">
        <f>PRODUCT(sales_data_sample[[#This Row],[QUANTITYORDERED]],sales_data_sample[[#This Row],[PRICEEACH]])</f>
        <v>230625</v>
      </c>
      <c r="E1963" s="9">
        <f>IF(OR(sales_data_sample[[#This Row],[STATUS]]="Shipped",sales_data_sample[[#This Row],[STATUS]]="Resolved"),sales_data_sample[[#This Row],[SALES]],0)</f>
        <v>230625</v>
      </c>
      <c r="F1963" s="10">
        <v>16</v>
      </c>
      <c r="G1963" s="12" t="s">
        <v>523</v>
      </c>
      <c r="H1963" s="1" t="s">
        <v>26</v>
      </c>
      <c r="I1963">
        <v>4</v>
      </c>
      <c r="J1963">
        <v>11</v>
      </c>
      <c r="K1963">
        <v>2004</v>
      </c>
      <c r="L1963" s="1" t="s">
        <v>799</v>
      </c>
      <c r="M1963">
        <v>83</v>
      </c>
      <c r="N1963" s="1" t="s">
        <v>975</v>
      </c>
      <c r="O1963" s="1" t="s">
        <v>524</v>
      </c>
      <c r="P1963" s="1" t="s">
        <v>525</v>
      </c>
      <c r="Q1963" s="1" t="s">
        <v>526</v>
      </c>
      <c r="R1963" s="1" t="s">
        <v>32</v>
      </c>
      <c r="S1963" s="1" t="s">
        <v>527</v>
      </c>
      <c r="T1963" s="1" t="s">
        <v>528</v>
      </c>
      <c r="U1963" s="1" t="s">
        <v>529</v>
      </c>
      <c r="V1963" s="1" t="s">
        <v>225</v>
      </c>
      <c r="W1963" s="1" t="s">
        <v>48</v>
      </c>
      <c r="X1963" s="1" t="s">
        <v>530</v>
      </c>
      <c r="Y1963" s="1" t="s">
        <v>531</v>
      </c>
      <c r="Z1963" s="1" t="str">
        <f>TRIM(_xlfn.CONCAT(sales_data_sample[[#This Row],[CONTACTFIRSTNAME]],", ",sales_data_sample[[#This Row],[CONTACTLASTNAME]]))</f>
        <v>Helen, Bennett</v>
      </c>
      <c r="AA1963" s="1" t="s">
        <v>40</v>
      </c>
    </row>
    <row r="1964" spans="1:27" x14ac:dyDescent="0.25">
      <c r="A1964" s="10">
        <v>10326</v>
      </c>
      <c r="B1964" s="9">
        <v>20</v>
      </c>
      <c r="C1964" s="9">
        <v>9225</v>
      </c>
      <c r="D1964" s="9">
        <f>PRODUCT(sales_data_sample[[#This Row],[QUANTITYORDERED]],sales_data_sample[[#This Row],[PRICEEACH]])</f>
        <v>184500</v>
      </c>
      <c r="E1964" s="9">
        <f>IF(OR(sales_data_sample[[#This Row],[STATUS]]="Shipped",sales_data_sample[[#This Row],[STATUS]]="Resolved"),sales_data_sample[[#This Row],[SALES]],0)</f>
        <v>184500</v>
      </c>
      <c r="F1964" s="10">
        <v>2</v>
      </c>
      <c r="G1964" s="12" t="s">
        <v>920</v>
      </c>
      <c r="H1964" s="1" t="s">
        <v>26</v>
      </c>
      <c r="I1964">
        <v>4</v>
      </c>
      <c r="J1964">
        <v>11</v>
      </c>
      <c r="K1964">
        <v>2004</v>
      </c>
      <c r="L1964" s="1" t="s">
        <v>799</v>
      </c>
      <c r="M1964">
        <v>83</v>
      </c>
      <c r="N1964" s="1" t="s">
        <v>975</v>
      </c>
      <c r="O1964" s="1" t="s">
        <v>242</v>
      </c>
      <c r="P1964" s="1" t="s">
        <v>243</v>
      </c>
      <c r="Q1964" s="1" t="s">
        <v>244</v>
      </c>
      <c r="R1964" s="1" t="s">
        <v>32</v>
      </c>
      <c r="S1964" s="1" t="s">
        <v>245</v>
      </c>
      <c r="T1964" s="1" t="s">
        <v>32</v>
      </c>
      <c r="U1964" s="1" t="s">
        <v>246</v>
      </c>
      <c r="V1964" s="1" t="s">
        <v>247</v>
      </c>
      <c r="W1964" s="1" t="s">
        <v>48</v>
      </c>
      <c r="X1964" s="1" t="s">
        <v>248</v>
      </c>
      <c r="Y1964" s="1" t="s">
        <v>249</v>
      </c>
      <c r="Z1964" s="1" t="str">
        <f>TRIM(_xlfn.CONCAT(sales_data_sample[[#This Row],[CONTACTFIRSTNAME]],", ",sales_data_sample[[#This Row],[CONTACTLASTNAME]]))</f>
        <v>Christina, Berglund</v>
      </c>
      <c r="AA1964" s="1" t="s">
        <v>40</v>
      </c>
    </row>
    <row r="1965" spans="1:27" x14ac:dyDescent="0.25">
      <c r="A1965" s="10">
        <v>10339</v>
      </c>
      <c r="B1965" s="9">
        <v>42</v>
      </c>
      <c r="C1965" s="9">
        <v>5936</v>
      </c>
      <c r="D1965" s="9">
        <f>PRODUCT(sales_data_sample[[#This Row],[QUANTITYORDERED]],sales_data_sample[[#This Row],[PRICEEACH]])</f>
        <v>249312</v>
      </c>
      <c r="E1965" s="9">
        <f>IF(OR(sales_data_sample[[#This Row],[STATUS]]="Shipped",sales_data_sample[[#This Row],[STATUS]]="Resolved"),sales_data_sample[[#This Row],[SALES]],0)</f>
        <v>249312</v>
      </c>
      <c r="F1965" s="10">
        <v>16</v>
      </c>
      <c r="G1965" s="12" t="s">
        <v>430</v>
      </c>
      <c r="H1965" s="1" t="s">
        <v>26</v>
      </c>
      <c r="I1965">
        <v>4</v>
      </c>
      <c r="J1965">
        <v>11</v>
      </c>
      <c r="K1965">
        <v>2004</v>
      </c>
      <c r="L1965" s="1" t="s">
        <v>799</v>
      </c>
      <c r="M1965">
        <v>83</v>
      </c>
      <c r="N1965" s="1" t="s">
        <v>975</v>
      </c>
      <c r="O1965" s="1" t="s">
        <v>328</v>
      </c>
      <c r="P1965" s="1" t="s">
        <v>329</v>
      </c>
      <c r="Q1965" s="1" t="s">
        <v>330</v>
      </c>
      <c r="R1965" s="1" t="s">
        <v>32</v>
      </c>
      <c r="S1965" s="1" t="s">
        <v>331</v>
      </c>
      <c r="T1965" s="1" t="s">
        <v>332</v>
      </c>
      <c r="U1965" s="1" t="s">
        <v>333</v>
      </c>
      <c r="V1965" s="1" t="s">
        <v>264</v>
      </c>
      <c r="W1965" s="1" t="s">
        <v>264</v>
      </c>
      <c r="X1965" s="1" t="s">
        <v>334</v>
      </c>
      <c r="Y1965" s="1" t="s">
        <v>335</v>
      </c>
      <c r="Z1965" s="1" t="str">
        <f>TRIM(_xlfn.CONCAT(sales_data_sample[[#This Row],[CONTACTFIRSTNAME]],", ",sales_data_sample[[#This Row],[CONTACTLASTNAME]]))</f>
        <v>Akiko, Shimamura</v>
      </c>
      <c r="AA1965" s="1" t="s">
        <v>40</v>
      </c>
    </row>
    <row r="1966" spans="1:27" x14ac:dyDescent="0.25">
      <c r="A1966" s="10">
        <v>10350</v>
      </c>
      <c r="B1966" s="9">
        <v>25</v>
      </c>
      <c r="C1966" s="9">
        <v>6034</v>
      </c>
      <c r="D1966" s="9">
        <f>PRODUCT(sales_data_sample[[#This Row],[QUANTITYORDERED]],sales_data_sample[[#This Row],[PRICEEACH]])</f>
        <v>150850</v>
      </c>
      <c r="E1966" s="9">
        <f>IF(OR(sales_data_sample[[#This Row],[STATUS]]="Shipped",sales_data_sample[[#This Row],[STATUS]]="Resolved"),sales_data_sample[[#This Row],[SALES]],0)</f>
        <v>150850</v>
      </c>
      <c r="F1966" s="10">
        <v>10</v>
      </c>
      <c r="G1966" s="12" t="s">
        <v>534</v>
      </c>
      <c r="H1966" s="1" t="s">
        <v>26</v>
      </c>
      <c r="I1966">
        <v>4</v>
      </c>
      <c r="J1966">
        <v>12</v>
      </c>
      <c r="K1966">
        <v>2004</v>
      </c>
      <c r="L1966" s="1" t="s">
        <v>799</v>
      </c>
      <c r="M1966">
        <v>83</v>
      </c>
      <c r="N1966" s="1" t="s">
        <v>975</v>
      </c>
      <c r="O1966" s="1" t="s">
        <v>230</v>
      </c>
      <c r="P1966" s="1" t="s">
        <v>231</v>
      </c>
      <c r="Q1966" s="1" t="s">
        <v>232</v>
      </c>
      <c r="R1966" s="1" t="s">
        <v>32</v>
      </c>
      <c r="S1966" s="1" t="s">
        <v>233</v>
      </c>
      <c r="T1966" s="1" t="s">
        <v>32</v>
      </c>
      <c r="U1966" s="1" t="s">
        <v>234</v>
      </c>
      <c r="V1966" s="1" t="s">
        <v>235</v>
      </c>
      <c r="W1966" s="1" t="s">
        <v>48</v>
      </c>
      <c r="X1966" s="1" t="s">
        <v>236</v>
      </c>
      <c r="Y1966" s="1" t="s">
        <v>237</v>
      </c>
      <c r="Z1966" s="1" t="str">
        <f>TRIM(_xlfn.CONCAT(sales_data_sample[[#This Row],[CONTACTFIRSTNAME]],", ",sales_data_sample[[#This Row],[CONTACTLASTNAME]]))</f>
        <v>Diego, Freyre</v>
      </c>
      <c r="AA1966" s="1" t="s">
        <v>40</v>
      </c>
    </row>
    <row r="1967" spans="1:27" x14ac:dyDescent="0.25">
      <c r="A1967" s="10">
        <v>10373</v>
      </c>
      <c r="B1967" s="9">
        <v>23</v>
      </c>
      <c r="C1967" s="9">
        <v>100</v>
      </c>
      <c r="D1967" s="9">
        <f>PRODUCT(sales_data_sample[[#This Row],[QUANTITYORDERED]],sales_data_sample[[#This Row],[PRICEEACH]])</f>
        <v>2300</v>
      </c>
      <c r="E1967" s="9">
        <f>IF(OR(sales_data_sample[[#This Row],[STATUS]]="Shipped",sales_data_sample[[#This Row],[STATUS]]="Resolved"),sales_data_sample[[#This Row],[SALES]],0)</f>
        <v>2300</v>
      </c>
      <c r="F1967" s="10">
        <v>10</v>
      </c>
      <c r="G1967" s="12" t="s">
        <v>536</v>
      </c>
      <c r="H1967" s="1" t="s">
        <v>26</v>
      </c>
      <c r="I1967">
        <v>1</v>
      </c>
      <c r="J1967">
        <v>1</v>
      </c>
      <c r="K1967">
        <v>2005</v>
      </c>
      <c r="L1967" s="1" t="s">
        <v>799</v>
      </c>
      <c r="M1967">
        <v>83</v>
      </c>
      <c r="N1967" s="1" t="s">
        <v>975</v>
      </c>
      <c r="O1967" s="1" t="s">
        <v>537</v>
      </c>
      <c r="P1967" s="1" t="s">
        <v>538</v>
      </c>
      <c r="Q1967" s="1" t="s">
        <v>539</v>
      </c>
      <c r="R1967" s="1" t="s">
        <v>32</v>
      </c>
      <c r="S1967" s="1" t="s">
        <v>540</v>
      </c>
      <c r="T1967" s="1" t="s">
        <v>32</v>
      </c>
      <c r="U1967" s="1" t="s">
        <v>541</v>
      </c>
      <c r="V1967" s="1" t="s">
        <v>170</v>
      </c>
      <c r="W1967" s="1" t="s">
        <v>48</v>
      </c>
      <c r="X1967" s="1" t="s">
        <v>542</v>
      </c>
      <c r="Y1967" s="1" t="s">
        <v>543</v>
      </c>
      <c r="Z1967" s="1" t="str">
        <f>TRIM(_xlfn.CONCAT(sales_data_sample[[#This Row],[CONTACTFIRSTNAME]],", ",sales_data_sample[[#This Row],[CONTACTLASTNAME]]))</f>
        <v>Pirkko, Koskitalo</v>
      </c>
      <c r="AA1967" s="1" t="s">
        <v>40</v>
      </c>
    </row>
    <row r="1968" spans="1:27" x14ac:dyDescent="0.25">
      <c r="A1968" s="10">
        <v>10385</v>
      </c>
      <c r="B1968" s="9">
        <v>37</v>
      </c>
      <c r="C1968" s="9">
        <v>8554</v>
      </c>
      <c r="D1968" s="9">
        <f>PRODUCT(sales_data_sample[[#This Row],[QUANTITYORDERED]],sales_data_sample[[#This Row],[PRICEEACH]])</f>
        <v>316498</v>
      </c>
      <c r="E1968" s="9">
        <f>IF(OR(sales_data_sample[[#This Row],[STATUS]]="Shipped",sales_data_sample[[#This Row],[STATUS]]="Resolved"),sales_data_sample[[#This Row],[SALES]],0)</f>
        <v>316498</v>
      </c>
      <c r="F1968" s="10">
        <v>2</v>
      </c>
      <c r="G1968" s="12" t="s">
        <v>976</v>
      </c>
      <c r="H1968" s="1" t="s">
        <v>26</v>
      </c>
      <c r="I1968">
        <v>1</v>
      </c>
      <c r="J1968">
        <v>2</v>
      </c>
      <c r="K1968">
        <v>2005</v>
      </c>
      <c r="L1968" s="1" t="s">
        <v>799</v>
      </c>
      <c r="M1968">
        <v>83</v>
      </c>
      <c r="N1968" s="1" t="s">
        <v>975</v>
      </c>
      <c r="O1968" s="1" t="s">
        <v>361</v>
      </c>
      <c r="P1968" s="1" t="s">
        <v>362</v>
      </c>
      <c r="Q1968" s="1" t="s">
        <v>363</v>
      </c>
      <c r="R1968" s="1" t="s">
        <v>32</v>
      </c>
      <c r="S1968" s="1" t="s">
        <v>364</v>
      </c>
      <c r="T1968" s="1" t="s">
        <v>65</v>
      </c>
      <c r="U1968" s="1" t="s">
        <v>145</v>
      </c>
      <c r="V1968" s="1" t="s">
        <v>36</v>
      </c>
      <c r="W1968" s="1" t="s">
        <v>37</v>
      </c>
      <c r="X1968" s="1" t="s">
        <v>365</v>
      </c>
      <c r="Y1968" s="1" t="s">
        <v>366</v>
      </c>
      <c r="Z1968" s="1" t="str">
        <f>TRIM(_xlfn.CONCAT(sales_data_sample[[#This Row],[CONTACTFIRSTNAME]],", ",sales_data_sample[[#This Row],[CONTACTLASTNAME]]))</f>
        <v>Valarie, Nelson</v>
      </c>
      <c r="AA1968" s="1" t="s">
        <v>59</v>
      </c>
    </row>
    <row r="1969" spans="1:27" x14ac:dyDescent="0.25">
      <c r="A1969" s="10">
        <v>10396</v>
      </c>
      <c r="B1969" s="9">
        <v>37</v>
      </c>
      <c r="C1969" s="9">
        <v>9057</v>
      </c>
      <c r="D1969" s="9">
        <f>PRODUCT(sales_data_sample[[#This Row],[QUANTITYORDERED]],sales_data_sample[[#This Row],[PRICEEACH]])</f>
        <v>335109</v>
      </c>
      <c r="E1969" s="9">
        <f>IF(OR(sales_data_sample[[#This Row],[STATUS]]="Shipped",sales_data_sample[[#This Row],[STATUS]]="Resolved"),sales_data_sample[[#This Row],[SALES]],0)</f>
        <v>335109</v>
      </c>
      <c r="F1969" s="10">
        <v>8</v>
      </c>
      <c r="G1969" s="12" t="s">
        <v>738</v>
      </c>
      <c r="H1969" s="1" t="s">
        <v>26</v>
      </c>
      <c r="I1969">
        <v>1</v>
      </c>
      <c r="J1969">
        <v>3</v>
      </c>
      <c r="K1969">
        <v>2005</v>
      </c>
      <c r="L1969" s="1" t="s">
        <v>799</v>
      </c>
      <c r="M1969">
        <v>83</v>
      </c>
      <c r="N1969" s="1" t="s">
        <v>975</v>
      </c>
      <c r="O1969" s="1" t="s">
        <v>361</v>
      </c>
      <c r="P1969" s="1" t="s">
        <v>362</v>
      </c>
      <c r="Q1969" s="1" t="s">
        <v>363</v>
      </c>
      <c r="R1969" s="1" t="s">
        <v>32</v>
      </c>
      <c r="S1969" s="1" t="s">
        <v>364</v>
      </c>
      <c r="T1969" s="1" t="s">
        <v>65</v>
      </c>
      <c r="U1969" s="1" t="s">
        <v>145</v>
      </c>
      <c r="V1969" s="1" t="s">
        <v>36</v>
      </c>
      <c r="W1969" s="1" t="s">
        <v>37</v>
      </c>
      <c r="X1969" s="1" t="s">
        <v>365</v>
      </c>
      <c r="Y1969" s="1" t="s">
        <v>366</v>
      </c>
      <c r="Z1969" s="1" t="str">
        <f>TRIM(_xlfn.CONCAT(sales_data_sample[[#This Row],[CONTACTFIRSTNAME]],", ",sales_data_sample[[#This Row],[CONTACTLASTNAME]]))</f>
        <v>Valarie, Nelson</v>
      </c>
      <c r="AA1969" s="1" t="s">
        <v>59</v>
      </c>
    </row>
    <row r="1970" spans="1:27" x14ac:dyDescent="0.25">
      <c r="A1970" s="10">
        <v>10400</v>
      </c>
      <c r="B1970" s="9">
        <v>42</v>
      </c>
      <c r="C1970" s="9">
        <v>7296</v>
      </c>
      <c r="D1970" s="9">
        <f>PRODUCT(sales_data_sample[[#This Row],[QUANTITYORDERED]],sales_data_sample[[#This Row],[PRICEEACH]])</f>
        <v>306432</v>
      </c>
      <c r="E1970" s="9">
        <f>IF(OR(sales_data_sample[[#This Row],[STATUS]]="Shipped",sales_data_sample[[#This Row],[STATUS]]="Resolved"),sales_data_sample[[#This Row],[SALES]],0)</f>
        <v>306432</v>
      </c>
      <c r="F1970" s="10">
        <v>8</v>
      </c>
      <c r="G1970" s="12" t="s">
        <v>546</v>
      </c>
      <c r="H1970" s="1" t="s">
        <v>26</v>
      </c>
      <c r="I1970">
        <v>2</v>
      </c>
      <c r="J1970">
        <v>4</v>
      </c>
      <c r="K1970">
        <v>2005</v>
      </c>
      <c r="L1970" s="1" t="s">
        <v>799</v>
      </c>
      <c r="M1970">
        <v>83</v>
      </c>
      <c r="N1970" s="1" t="s">
        <v>975</v>
      </c>
      <c r="O1970" s="1" t="s">
        <v>547</v>
      </c>
      <c r="P1970" s="1" t="s">
        <v>548</v>
      </c>
      <c r="Q1970" s="1" t="s">
        <v>549</v>
      </c>
      <c r="R1970" s="1" t="s">
        <v>32</v>
      </c>
      <c r="S1970" s="1" t="s">
        <v>550</v>
      </c>
      <c r="T1970" s="1" t="s">
        <v>65</v>
      </c>
      <c r="U1970" s="1" t="s">
        <v>80</v>
      </c>
      <c r="V1970" s="1" t="s">
        <v>36</v>
      </c>
      <c r="W1970" s="1" t="s">
        <v>37</v>
      </c>
      <c r="X1970" s="1" t="s">
        <v>129</v>
      </c>
      <c r="Y1970" s="1" t="s">
        <v>551</v>
      </c>
      <c r="Z1970" s="1" t="str">
        <f>TRIM(_xlfn.CONCAT(sales_data_sample[[#This Row],[CONTACTFIRSTNAME]],", ",sales_data_sample[[#This Row],[CONTACTLASTNAME]]))</f>
        <v>Sue, Frick</v>
      </c>
      <c r="AA1970" s="1" t="s">
        <v>59</v>
      </c>
    </row>
    <row r="1971" spans="1:27" x14ac:dyDescent="0.25">
      <c r="A1971" s="10">
        <v>10414</v>
      </c>
      <c r="B1971" s="9">
        <v>51</v>
      </c>
      <c r="C1971" s="9">
        <v>7631</v>
      </c>
      <c r="D1971" s="9">
        <f>PRODUCT(sales_data_sample[[#This Row],[QUANTITYORDERED]],sales_data_sample[[#This Row],[PRICEEACH]])</f>
        <v>389181</v>
      </c>
      <c r="E1971" s="9">
        <f>IF(OR(sales_data_sample[[#This Row],[STATUS]]="Shipped",sales_data_sample[[#This Row],[STATUS]]="Resolved"),sales_data_sample[[#This Row],[SALES]],0)</f>
        <v>0</v>
      </c>
      <c r="F1971" s="10">
        <v>2</v>
      </c>
      <c r="G1971" s="12" t="s">
        <v>552</v>
      </c>
      <c r="H1971" s="1" t="s">
        <v>553</v>
      </c>
      <c r="I1971">
        <v>2</v>
      </c>
      <c r="J1971">
        <v>5</v>
      </c>
      <c r="K1971">
        <v>2005</v>
      </c>
      <c r="L1971" s="1" t="s">
        <v>799</v>
      </c>
      <c r="M1971">
        <v>83</v>
      </c>
      <c r="N1971" s="1" t="s">
        <v>975</v>
      </c>
      <c r="O1971" s="1" t="s">
        <v>516</v>
      </c>
      <c r="P1971" s="1" t="s">
        <v>517</v>
      </c>
      <c r="Q1971" s="1" t="s">
        <v>518</v>
      </c>
      <c r="R1971" s="1" t="s">
        <v>32</v>
      </c>
      <c r="S1971" s="1" t="s">
        <v>519</v>
      </c>
      <c r="T1971" s="1" t="s">
        <v>160</v>
      </c>
      <c r="U1971" s="1" t="s">
        <v>520</v>
      </c>
      <c r="V1971" s="1" t="s">
        <v>36</v>
      </c>
      <c r="W1971" s="1" t="s">
        <v>37</v>
      </c>
      <c r="X1971" s="1" t="s">
        <v>521</v>
      </c>
      <c r="Y1971" s="1" t="s">
        <v>82</v>
      </c>
      <c r="Z1971" s="1" t="str">
        <f>TRIM(_xlfn.CONCAT(sales_data_sample[[#This Row],[CONTACTFIRSTNAME]],", ",sales_data_sample[[#This Row],[CONTACTLASTNAME]]))</f>
        <v>Juri, Yoshido</v>
      </c>
      <c r="AA1971" s="1" t="s">
        <v>59</v>
      </c>
    </row>
    <row r="1972" spans="1:27" x14ac:dyDescent="0.25">
      <c r="A1972" s="10">
        <v>10108</v>
      </c>
      <c r="B1972" s="9">
        <v>40</v>
      </c>
      <c r="C1972" s="9">
        <v>100</v>
      </c>
      <c r="D1972" s="9">
        <f>PRODUCT(sales_data_sample[[#This Row],[QUANTITYORDERED]],sales_data_sample[[#This Row],[PRICEEACH]])</f>
        <v>4000</v>
      </c>
      <c r="E1972" s="9">
        <f>IF(OR(sales_data_sample[[#This Row],[STATUS]]="Shipped",sales_data_sample[[#This Row],[STATUS]]="Resolved"),sales_data_sample[[#This Row],[SALES]],0)</f>
        <v>4000</v>
      </c>
      <c r="F1972" s="10">
        <v>1</v>
      </c>
      <c r="G1972" s="12" t="s">
        <v>589</v>
      </c>
      <c r="H1972" s="1" t="s">
        <v>26</v>
      </c>
      <c r="I1972">
        <v>1</v>
      </c>
      <c r="J1972">
        <v>3</v>
      </c>
      <c r="K1972">
        <v>2003</v>
      </c>
      <c r="L1972" s="1" t="s">
        <v>239</v>
      </c>
      <c r="M1972">
        <v>140</v>
      </c>
      <c r="N1972" s="1" t="s">
        <v>977</v>
      </c>
      <c r="O1972" s="1" t="s">
        <v>591</v>
      </c>
      <c r="P1972" s="1" t="s">
        <v>592</v>
      </c>
      <c r="Q1972" s="1" t="s">
        <v>593</v>
      </c>
      <c r="R1972" s="1" t="s">
        <v>32</v>
      </c>
      <c r="S1972" s="1" t="s">
        <v>594</v>
      </c>
      <c r="T1972" s="1" t="s">
        <v>32</v>
      </c>
      <c r="U1972" s="1" t="s">
        <v>595</v>
      </c>
      <c r="V1972" s="1" t="s">
        <v>596</v>
      </c>
      <c r="W1972" s="1" t="s">
        <v>264</v>
      </c>
      <c r="X1972" s="1" t="s">
        <v>597</v>
      </c>
      <c r="Y1972" s="1" t="s">
        <v>598</v>
      </c>
      <c r="Z1972" s="1" t="str">
        <f>TRIM(_xlfn.CONCAT(sales_data_sample[[#This Row],[CONTACTFIRSTNAME]],", ",sales_data_sample[[#This Row],[CONTACTLASTNAME]]))</f>
        <v>Arnold, Cruz</v>
      </c>
      <c r="AA1972" s="1" t="s">
        <v>59</v>
      </c>
    </row>
    <row r="1973" spans="1:27" x14ac:dyDescent="0.25">
      <c r="A1973" s="10">
        <v>10122</v>
      </c>
      <c r="B1973" s="9">
        <v>43</v>
      </c>
      <c r="C1973" s="9">
        <v>100</v>
      </c>
      <c r="D1973" s="9">
        <f>PRODUCT(sales_data_sample[[#This Row],[QUANTITYORDERED]],sales_data_sample[[#This Row],[PRICEEACH]])</f>
        <v>4300</v>
      </c>
      <c r="E1973" s="9">
        <f>IF(OR(sales_data_sample[[#This Row],[STATUS]]="Shipped",sales_data_sample[[#This Row],[STATUS]]="Resolved"),sales_data_sample[[#This Row],[SALES]],0)</f>
        <v>4300</v>
      </c>
      <c r="F1973" s="10">
        <v>5</v>
      </c>
      <c r="G1973" s="12" t="s">
        <v>599</v>
      </c>
      <c r="H1973" s="1" t="s">
        <v>26</v>
      </c>
      <c r="I1973">
        <v>2</v>
      </c>
      <c r="J1973">
        <v>5</v>
      </c>
      <c r="K1973">
        <v>2003</v>
      </c>
      <c r="L1973" s="1" t="s">
        <v>239</v>
      </c>
      <c r="M1973">
        <v>140</v>
      </c>
      <c r="N1973" s="1" t="s">
        <v>977</v>
      </c>
      <c r="O1973" s="1" t="s">
        <v>600</v>
      </c>
      <c r="P1973" s="1" t="s">
        <v>601</v>
      </c>
      <c r="Q1973" s="1" t="s">
        <v>602</v>
      </c>
      <c r="R1973" s="1" t="s">
        <v>32</v>
      </c>
      <c r="S1973" s="1" t="s">
        <v>603</v>
      </c>
      <c r="T1973" s="1" t="s">
        <v>32</v>
      </c>
      <c r="U1973" s="1" t="s">
        <v>604</v>
      </c>
      <c r="V1973" s="1" t="s">
        <v>47</v>
      </c>
      <c r="W1973" s="1" t="s">
        <v>48</v>
      </c>
      <c r="X1973" s="1" t="s">
        <v>605</v>
      </c>
      <c r="Y1973" s="1" t="s">
        <v>606</v>
      </c>
      <c r="Z1973" s="1" t="str">
        <f>TRIM(_xlfn.CONCAT(sales_data_sample[[#This Row],[CONTACTFIRSTNAME]],", ",sales_data_sample[[#This Row],[CONTACTLASTNAME]]))</f>
        <v>Laurence, Lebihan</v>
      </c>
      <c r="AA1973" s="1" t="s">
        <v>59</v>
      </c>
    </row>
    <row r="1974" spans="1:27" x14ac:dyDescent="0.25">
      <c r="A1974" s="10">
        <v>10135</v>
      </c>
      <c r="B1974" s="9">
        <v>47</v>
      </c>
      <c r="C1974" s="9">
        <v>100</v>
      </c>
      <c r="D1974" s="9">
        <f>PRODUCT(sales_data_sample[[#This Row],[QUANTITYORDERED]],sales_data_sample[[#This Row],[PRICEEACH]])</f>
        <v>4700</v>
      </c>
      <c r="E1974" s="9">
        <f>IF(OR(sales_data_sample[[#This Row],[STATUS]]="Shipped",sales_data_sample[[#This Row],[STATUS]]="Resolved"),sales_data_sample[[#This Row],[SALES]],0)</f>
        <v>4700</v>
      </c>
      <c r="F1974" s="10">
        <v>2</v>
      </c>
      <c r="G1974" s="12" t="s">
        <v>607</v>
      </c>
      <c r="H1974" s="1" t="s">
        <v>26</v>
      </c>
      <c r="I1974">
        <v>3</v>
      </c>
      <c r="J1974">
        <v>7</v>
      </c>
      <c r="K1974">
        <v>2003</v>
      </c>
      <c r="L1974" s="1" t="s">
        <v>239</v>
      </c>
      <c r="M1974">
        <v>140</v>
      </c>
      <c r="N1974" s="1" t="s">
        <v>977</v>
      </c>
      <c r="O1974" s="1" t="s">
        <v>361</v>
      </c>
      <c r="P1974" s="1" t="s">
        <v>362</v>
      </c>
      <c r="Q1974" s="1" t="s">
        <v>363</v>
      </c>
      <c r="R1974" s="1" t="s">
        <v>32</v>
      </c>
      <c r="S1974" s="1" t="s">
        <v>364</v>
      </c>
      <c r="T1974" s="1" t="s">
        <v>65</v>
      </c>
      <c r="U1974" s="1" t="s">
        <v>145</v>
      </c>
      <c r="V1974" s="1" t="s">
        <v>36</v>
      </c>
      <c r="W1974" s="1" t="s">
        <v>37</v>
      </c>
      <c r="X1974" s="1" t="s">
        <v>365</v>
      </c>
      <c r="Y1974" s="1" t="s">
        <v>366</v>
      </c>
      <c r="Z1974" s="1" t="str">
        <f>TRIM(_xlfn.CONCAT(sales_data_sample[[#This Row],[CONTACTFIRSTNAME]],", ",sales_data_sample[[#This Row],[CONTACTLASTNAME]]))</f>
        <v>Valarie, Nelson</v>
      </c>
      <c r="AA1974" s="1" t="s">
        <v>59</v>
      </c>
    </row>
    <row r="1975" spans="1:27" x14ac:dyDescent="0.25">
      <c r="A1975" s="10">
        <v>10147</v>
      </c>
      <c r="B1975" s="9">
        <v>23</v>
      </c>
      <c r="C1975" s="9">
        <v>100</v>
      </c>
      <c r="D1975" s="9">
        <f>PRODUCT(sales_data_sample[[#This Row],[QUANTITYORDERED]],sales_data_sample[[#This Row],[PRICEEACH]])</f>
        <v>2300</v>
      </c>
      <c r="E1975" s="9">
        <f>IF(OR(sales_data_sample[[#This Row],[STATUS]]="Shipped",sales_data_sample[[#This Row],[STATUS]]="Resolved"),sales_data_sample[[#This Row],[SALES]],0)</f>
        <v>2300</v>
      </c>
      <c r="F1975" s="10">
        <v>2</v>
      </c>
      <c r="G1975" s="12" t="s">
        <v>608</v>
      </c>
      <c r="H1975" s="1" t="s">
        <v>26</v>
      </c>
      <c r="I1975">
        <v>3</v>
      </c>
      <c r="J1975">
        <v>9</v>
      </c>
      <c r="K1975">
        <v>2003</v>
      </c>
      <c r="L1975" s="1" t="s">
        <v>239</v>
      </c>
      <c r="M1975">
        <v>140</v>
      </c>
      <c r="N1975" s="1" t="s">
        <v>977</v>
      </c>
      <c r="O1975" s="1" t="s">
        <v>378</v>
      </c>
      <c r="P1975" s="1" t="s">
        <v>157</v>
      </c>
      <c r="Q1975" s="1" t="s">
        <v>379</v>
      </c>
      <c r="R1975" s="1" t="s">
        <v>32</v>
      </c>
      <c r="S1975" s="1" t="s">
        <v>380</v>
      </c>
      <c r="T1975" s="1" t="s">
        <v>160</v>
      </c>
      <c r="U1975" s="1" t="s">
        <v>381</v>
      </c>
      <c r="V1975" s="1" t="s">
        <v>36</v>
      </c>
      <c r="W1975" s="1" t="s">
        <v>37</v>
      </c>
      <c r="X1975" s="1" t="s">
        <v>365</v>
      </c>
      <c r="Y1975" s="1" t="s">
        <v>382</v>
      </c>
      <c r="Z1975" s="1" t="str">
        <f>TRIM(_xlfn.CONCAT(sales_data_sample[[#This Row],[CONTACTFIRSTNAME]],", ",sales_data_sample[[#This Row],[CONTACTLASTNAME]]))</f>
        <v>Allen, Nelson</v>
      </c>
      <c r="AA1975" s="1" t="s">
        <v>40</v>
      </c>
    </row>
    <row r="1976" spans="1:27" x14ac:dyDescent="0.25">
      <c r="A1976" s="10">
        <v>10160</v>
      </c>
      <c r="B1976" s="9">
        <v>35</v>
      </c>
      <c r="C1976" s="9">
        <v>100</v>
      </c>
      <c r="D1976" s="9">
        <f>PRODUCT(sales_data_sample[[#This Row],[QUANTITYORDERED]],sales_data_sample[[#This Row],[PRICEEACH]])</f>
        <v>3500</v>
      </c>
      <c r="E1976" s="9">
        <f>IF(OR(sales_data_sample[[#This Row],[STATUS]]="Shipped",sales_data_sample[[#This Row],[STATUS]]="Resolved"),sales_data_sample[[#This Row],[SALES]],0)</f>
        <v>3500</v>
      </c>
      <c r="F1976" s="10">
        <v>3</v>
      </c>
      <c r="G1976" s="12" t="s">
        <v>728</v>
      </c>
      <c r="H1976" s="1" t="s">
        <v>26</v>
      </c>
      <c r="I1976">
        <v>4</v>
      </c>
      <c r="J1976">
        <v>10</v>
      </c>
      <c r="K1976">
        <v>2003</v>
      </c>
      <c r="L1976" s="1" t="s">
        <v>239</v>
      </c>
      <c r="M1976">
        <v>140</v>
      </c>
      <c r="N1976" s="1" t="s">
        <v>977</v>
      </c>
      <c r="O1976" s="1" t="s">
        <v>486</v>
      </c>
      <c r="P1976" s="1" t="s">
        <v>487</v>
      </c>
      <c r="Q1976" s="1" t="s">
        <v>488</v>
      </c>
      <c r="R1976" s="1" t="s">
        <v>32</v>
      </c>
      <c r="S1976" s="1" t="s">
        <v>489</v>
      </c>
      <c r="T1976" s="1" t="s">
        <v>65</v>
      </c>
      <c r="U1976" s="1" t="s">
        <v>32</v>
      </c>
      <c r="V1976" s="1" t="s">
        <v>36</v>
      </c>
      <c r="W1976" s="1" t="s">
        <v>37</v>
      </c>
      <c r="X1976" s="1" t="s">
        <v>490</v>
      </c>
      <c r="Y1976" s="1" t="s">
        <v>130</v>
      </c>
      <c r="Z1976" s="1" t="str">
        <f>TRIM(_xlfn.CONCAT(sales_data_sample[[#This Row],[CONTACTFIRSTNAME]],", ",sales_data_sample[[#This Row],[CONTACTLASTNAME]]))</f>
        <v>Michael, Chandler</v>
      </c>
      <c r="AA1976" s="1" t="s">
        <v>59</v>
      </c>
    </row>
    <row r="1977" spans="1:27" x14ac:dyDescent="0.25">
      <c r="A1977" s="10">
        <v>10170</v>
      </c>
      <c r="B1977" s="9">
        <v>34</v>
      </c>
      <c r="C1977" s="9">
        <v>100</v>
      </c>
      <c r="D1977" s="9">
        <f>PRODUCT(sales_data_sample[[#This Row],[QUANTITYORDERED]],sales_data_sample[[#This Row],[PRICEEACH]])</f>
        <v>3400</v>
      </c>
      <c r="E1977" s="9">
        <f>IF(OR(sales_data_sample[[#This Row],[STATUS]]="Shipped",sales_data_sample[[#This Row],[STATUS]]="Resolved"),sales_data_sample[[#This Row],[SALES]],0)</f>
        <v>3400</v>
      </c>
      <c r="F1977" s="10">
        <v>1</v>
      </c>
      <c r="G1977" s="12" t="s">
        <v>609</v>
      </c>
      <c r="H1977" s="1" t="s">
        <v>26</v>
      </c>
      <c r="I1977">
        <v>4</v>
      </c>
      <c r="J1977">
        <v>11</v>
      </c>
      <c r="K1977">
        <v>2003</v>
      </c>
      <c r="L1977" s="1" t="s">
        <v>239</v>
      </c>
      <c r="M1977">
        <v>140</v>
      </c>
      <c r="N1977" s="1" t="s">
        <v>977</v>
      </c>
      <c r="O1977" s="1" t="s">
        <v>564</v>
      </c>
      <c r="P1977" s="1" t="s">
        <v>565</v>
      </c>
      <c r="Q1977" s="1" t="s">
        <v>566</v>
      </c>
      <c r="R1977" s="1" t="s">
        <v>32</v>
      </c>
      <c r="S1977" s="1" t="s">
        <v>567</v>
      </c>
      <c r="T1977" s="1" t="s">
        <v>32</v>
      </c>
      <c r="U1977" s="1" t="s">
        <v>568</v>
      </c>
      <c r="V1977" s="1" t="s">
        <v>196</v>
      </c>
      <c r="W1977" s="1" t="s">
        <v>48</v>
      </c>
      <c r="X1977" s="1" t="s">
        <v>569</v>
      </c>
      <c r="Y1977" s="1" t="s">
        <v>570</v>
      </c>
      <c r="Z1977" s="1" t="str">
        <f>TRIM(_xlfn.CONCAT(sales_data_sample[[#This Row],[CONTACTFIRSTNAME]],", ",sales_data_sample[[#This Row],[CONTACTLASTNAME]]))</f>
        <v>Roland, Mendel</v>
      </c>
      <c r="AA1977" s="1" t="s">
        <v>59</v>
      </c>
    </row>
    <row r="1978" spans="1:27" x14ac:dyDescent="0.25">
      <c r="A1978" s="10">
        <v>10181</v>
      </c>
      <c r="B1978" s="9">
        <v>25</v>
      </c>
      <c r="C1978" s="9">
        <v>100</v>
      </c>
      <c r="D1978" s="9">
        <f>PRODUCT(sales_data_sample[[#This Row],[QUANTITYORDERED]],sales_data_sample[[#This Row],[PRICEEACH]])</f>
        <v>2500</v>
      </c>
      <c r="E1978" s="9">
        <f>IF(OR(sales_data_sample[[#This Row],[STATUS]]="Shipped",sales_data_sample[[#This Row],[STATUS]]="Resolved"),sales_data_sample[[#This Row],[SALES]],0)</f>
        <v>2500</v>
      </c>
      <c r="F1978" s="10">
        <v>9</v>
      </c>
      <c r="G1978" s="12" t="s">
        <v>610</v>
      </c>
      <c r="H1978" s="1" t="s">
        <v>26</v>
      </c>
      <c r="I1978">
        <v>4</v>
      </c>
      <c r="J1978">
        <v>11</v>
      </c>
      <c r="K1978">
        <v>2003</v>
      </c>
      <c r="L1978" s="1" t="s">
        <v>239</v>
      </c>
      <c r="M1978">
        <v>140</v>
      </c>
      <c r="N1978" s="1" t="s">
        <v>977</v>
      </c>
      <c r="O1978" s="1" t="s">
        <v>92</v>
      </c>
      <c r="P1978" s="1" t="s">
        <v>93</v>
      </c>
      <c r="Q1978" s="1" t="s">
        <v>94</v>
      </c>
      <c r="R1978" s="1" t="s">
        <v>32</v>
      </c>
      <c r="S1978" s="1" t="s">
        <v>95</v>
      </c>
      <c r="T1978" s="1" t="s">
        <v>32</v>
      </c>
      <c r="U1978" s="1" t="s">
        <v>96</v>
      </c>
      <c r="V1978" s="1" t="s">
        <v>97</v>
      </c>
      <c r="W1978" s="1" t="s">
        <v>48</v>
      </c>
      <c r="X1978" s="1" t="s">
        <v>98</v>
      </c>
      <c r="Y1978" s="1" t="s">
        <v>99</v>
      </c>
      <c r="Z1978" s="1" t="str">
        <f>TRIM(_xlfn.CONCAT(sales_data_sample[[#This Row],[CONTACTFIRSTNAME]],", ",sales_data_sample[[#This Row],[CONTACTLASTNAME]]))</f>
        <v>Veysel, Oeztan</v>
      </c>
      <c r="AA1978" s="1" t="s">
        <v>59</v>
      </c>
    </row>
    <row r="1979" spans="1:27" x14ac:dyDescent="0.25">
      <c r="A1979" s="10">
        <v>10192</v>
      </c>
      <c r="B1979" s="9">
        <v>45</v>
      </c>
      <c r="C1979" s="9">
        <v>100</v>
      </c>
      <c r="D1979" s="9">
        <f>PRODUCT(sales_data_sample[[#This Row],[QUANTITYORDERED]],sales_data_sample[[#This Row],[PRICEEACH]])</f>
        <v>4500</v>
      </c>
      <c r="E1979" s="9">
        <f>IF(OR(sales_data_sample[[#This Row],[STATUS]]="Shipped",sales_data_sample[[#This Row],[STATUS]]="Resolved"),sales_data_sample[[#This Row],[SALES]],0)</f>
        <v>4500</v>
      </c>
      <c r="F1979" s="10">
        <v>14</v>
      </c>
      <c r="G1979" s="12" t="s">
        <v>611</v>
      </c>
      <c r="H1979" s="1" t="s">
        <v>26</v>
      </c>
      <c r="I1979">
        <v>4</v>
      </c>
      <c r="J1979">
        <v>11</v>
      </c>
      <c r="K1979">
        <v>2003</v>
      </c>
      <c r="L1979" s="1" t="s">
        <v>239</v>
      </c>
      <c r="M1979">
        <v>140</v>
      </c>
      <c r="N1979" s="1" t="s">
        <v>977</v>
      </c>
      <c r="O1979" s="1" t="s">
        <v>368</v>
      </c>
      <c r="P1979" s="1" t="s">
        <v>369</v>
      </c>
      <c r="Q1979" s="1" t="s">
        <v>370</v>
      </c>
      <c r="R1979" s="1" t="s">
        <v>32</v>
      </c>
      <c r="S1979" s="1" t="s">
        <v>371</v>
      </c>
      <c r="T1979" s="1" t="s">
        <v>372</v>
      </c>
      <c r="U1979" s="1" t="s">
        <v>373</v>
      </c>
      <c r="V1979" s="1" t="s">
        <v>36</v>
      </c>
      <c r="W1979" s="1" t="s">
        <v>37</v>
      </c>
      <c r="X1979" s="1" t="s">
        <v>67</v>
      </c>
      <c r="Y1979" s="1" t="s">
        <v>366</v>
      </c>
      <c r="Z1979" s="1" t="str">
        <f>TRIM(_xlfn.CONCAT(sales_data_sample[[#This Row],[CONTACTFIRSTNAME]],", ",sales_data_sample[[#This Row],[CONTACTLASTNAME]]))</f>
        <v>Valarie, Young</v>
      </c>
      <c r="AA1979" s="1" t="s">
        <v>59</v>
      </c>
    </row>
    <row r="1980" spans="1:27" x14ac:dyDescent="0.25">
      <c r="A1980" s="10">
        <v>10203</v>
      </c>
      <c r="B1980" s="9">
        <v>47</v>
      </c>
      <c r="C1980" s="9">
        <v>100</v>
      </c>
      <c r="D1980" s="9">
        <f>PRODUCT(sales_data_sample[[#This Row],[QUANTITYORDERED]],sales_data_sample[[#This Row],[PRICEEACH]])</f>
        <v>4700</v>
      </c>
      <c r="E1980" s="9">
        <f>IF(OR(sales_data_sample[[#This Row],[STATUS]]="Shipped",sales_data_sample[[#This Row],[STATUS]]="Resolved"),sales_data_sample[[#This Row],[SALES]],0)</f>
        <v>4700</v>
      </c>
      <c r="F1980" s="10">
        <v>3</v>
      </c>
      <c r="G1980" s="12" t="s">
        <v>620</v>
      </c>
      <c r="H1980" s="1" t="s">
        <v>26</v>
      </c>
      <c r="I1980">
        <v>4</v>
      </c>
      <c r="J1980">
        <v>12</v>
      </c>
      <c r="K1980">
        <v>2003</v>
      </c>
      <c r="L1980" s="1" t="s">
        <v>239</v>
      </c>
      <c r="M1980">
        <v>140</v>
      </c>
      <c r="N1980" s="1" t="s">
        <v>977</v>
      </c>
      <c r="O1980" s="1" t="s">
        <v>230</v>
      </c>
      <c r="P1980" s="1" t="s">
        <v>231</v>
      </c>
      <c r="Q1980" s="1" t="s">
        <v>232</v>
      </c>
      <c r="R1980" s="1" t="s">
        <v>32</v>
      </c>
      <c r="S1980" s="1" t="s">
        <v>233</v>
      </c>
      <c r="T1980" s="1" t="s">
        <v>32</v>
      </c>
      <c r="U1980" s="1" t="s">
        <v>234</v>
      </c>
      <c r="V1980" s="1" t="s">
        <v>235</v>
      </c>
      <c r="W1980" s="1" t="s">
        <v>48</v>
      </c>
      <c r="X1980" s="1" t="s">
        <v>236</v>
      </c>
      <c r="Y1980" s="1" t="s">
        <v>237</v>
      </c>
      <c r="Z1980" s="1" t="str">
        <f>TRIM(_xlfn.CONCAT(sales_data_sample[[#This Row],[CONTACTFIRSTNAME]],", ",sales_data_sample[[#This Row],[CONTACTLASTNAME]]))</f>
        <v>Diego, Freyre</v>
      </c>
      <c r="AA1980" s="1" t="s">
        <v>59</v>
      </c>
    </row>
    <row r="1981" spans="1:27" x14ac:dyDescent="0.25">
      <c r="A1981" s="10">
        <v>10212</v>
      </c>
      <c r="B1981" s="9">
        <v>49</v>
      </c>
      <c r="C1981" s="9">
        <v>100</v>
      </c>
      <c r="D1981" s="9">
        <f>PRODUCT(sales_data_sample[[#This Row],[QUANTITYORDERED]],sales_data_sample[[#This Row],[PRICEEACH]])</f>
        <v>4900</v>
      </c>
      <c r="E1981" s="9">
        <f>IF(OR(sales_data_sample[[#This Row],[STATUS]]="Shipped",sales_data_sample[[#This Row],[STATUS]]="Resolved"),sales_data_sample[[#This Row],[SALES]],0)</f>
        <v>4900</v>
      </c>
      <c r="F1981" s="10">
        <v>13</v>
      </c>
      <c r="G1981" s="12" t="s">
        <v>729</v>
      </c>
      <c r="H1981" s="1" t="s">
        <v>26</v>
      </c>
      <c r="I1981">
        <v>1</v>
      </c>
      <c r="J1981">
        <v>1</v>
      </c>
      <c r="K1981">
        <v>2004</v>
      </c>
      <c r="L1981" s="1" t="s">
        <v>239</v>
      </c>
      <c r="M1981">
        <v>140</v>
      </c>
      <c r="N1981" s="1" t="s">
        <v>977</v>
      </c>
      <c r="O1981" s="1" t="s">
        <v>230</v>
      </c>
      <c r="P1981" s="1" t="s">
        <v>231</v>
      </c>
      <c r="Q1981" s="1" t="s">
        <v>232</v>
      </c>
      <c r="R1981" s="1" t="s">
        <v>32</v>
      </c>
      <c r="S1981" s="1" t="s">
        <v>233</v>
      </c>
      <c r="T1981" s="1" t="s">
        <v>32</v>
      </c>
      <c r="U1981" s="1" t="s">
        <v>234</v>
      </c>
      <c r="V1981" s="1" t="s">
        <v>235</v>
      </c>
      <c r="W1981" s="1" t="s">
        <v>48</v>
      </c>
      <c r="X1981" s="1" t="s">
        <v>236</v>
      </c>
      <c r="Y1981" s="1" t="s">
        <v>237</v>
      </c>
      <c r="Z1981" s="1" t="str">
        <f>TRIM(_xlfn.CONCAT(sales_data_sample[[#This Row],[CONTACTFIRSTNAME]],", ",sales_data_sample[[#This Row],[CONTACTLASTNAME]]))</f>
        <v>Diego, Freyre</v>
      </c>
      <c r="AA1981" s="1" t="s">
        <v>59</v>
      </c>
    </row>
    <row r="1982" spans="1:27" x14ac:dyDescent="0.25">
      <c r="A1982" s="10">
        <v>10225</v>
      </c>
      <c r="B1982" s="9">
        <v>40</v>
      </c>
      <c r="C1982" s="9">
        <v>100</v>
      </c>
      <c r="D1982" s="9">
        <f>PRODUCT(sales_data_sample[[#This Row],[QUANTITYORDERED]],sales_data_sample[[#This Row],[PRICEEACH]])</f>
        <v>4000</v>
      </c>
      <c r="E1982" s="9">
        <f>IF(OR(sales_data_sample[[#This Row],[STATUS]]="Shipped",sales_data_sample[[#This Row],[STATUS]]="Resolved"),sales_data_sample[[#This Row],[SALES]],0)</f>
        <v>4000</v>
      </c>
      <c r="F1982" s="10">
        <v>4</v>
      </c>
      <c r="G1982" s="12" t="s">
        <v>621</v>
      </c>
      <c r="H1982" s="1" t="s">
        <v>26</v>
      </c>
      <c r="I1982">
        <v>1</v>
      </c>
      <c r="J1982">
        <v>2</v>
      </c>
      <c r="K1982">
        <v>2004</v>
      </c>
      <c r="L1982" s="1" t="s">
        <v>239</v>
      </c>
      <c r="M1982">
        <v>140</v>
      </c>
      <c r="N1982" s="1" t="s">
        <v>977</v>
      </c>
      <c r="O1982" s="1" t="s">
        <v>622</v>
      </c>
      <c r="P1982" s="1" t="s">
        <v>623</v>
      </c>
      <c r="Q1982" s="1" t="s">
        <v>624</v>
      </c>
      <c r="R1982" s="1" t="s">
        <v>32</v>
      </c>
      <c r="S1982" s="1" t="s">
        <v>625</v>
      </c>
      <c r="T1982" s="1" t="s">
        <v>32</v>
      </c>
      <c r="U1982" s="1" t="s">
        <v>626</v>
      </c>
      <c r="V1982" s="1" t="s">
        <v>627</v>
      </c>
      <c r="W1982" s="1" t="s">
        <v>48</v>
      </c>
      <c r="X1982" s="1" t="s">
        <v>628</v>
      </c>
      <c r="Y1982" s="1" t="s">
        <v>130</v>
      </c>
      <c r="Z1982" s="1" t="str">
        <f>TRIM(_xlfn.CONCAT(sales_data_sample[[#This Row],[CONTACTFIRSTNAME]],", ",sales_data_sample[[#This Row],[CONTACTLASTNAME]]))</f>
        <v>Michael, Holz</v>
      </c>
      <c r="AA1982" s="1" t="s">
        <v>59</v>
      </c>
    </row>
    <row r="1983" spans="1:27" x14ac:dyDescent="0.25">
      <c r="A1983" s="10">
        <v>10239</v>
      </c>
      <c r="B1983" s="9">
        <v>29</v>
      </c>
      <c r="C1983" s="9">
        <v>100</v>
      </c>
      <c r="D1983" s="9">
        <f>PRODUCT(sales_data_sample[[#This Row],[QUANTITYORDERED]],sales_data_sample[[#This Row],[PRICEEACH]])</f>
        <v>2900</v>
      </c>
      <c r="E1983" s="9">
        <f>IF(OR(sales_data_sample[[#This Row],[STATUS]]="Shipped",sales_data_sample[[#This Row],[STATUS]]="Resolved"),sales_data_sample[[#This Row],[SALES]],0)</f>
        <v>2900</v>
      </c>
      <c r="F1983" s="10">
        <v>3</v>
      </c>
      <c r="G1983" s="12" t="s">
        <v>760</v>
      </c>
      <c r="H1983" s="1" t="s">
        <v>26</v>
      </c>
      <c r="I1983">
        <v>2</v>
      </c>
      <c r="J1983">
        <v>4</v>
      </c>
      <c r="K1983">
        <v>2004</v>
      </c>
      <c r="L1983" s="1" t="s">
        <v>239</v>
      </c>
      <c r="M1983">
        <v>140</v>
      </c>
      <c r="N1983" s="1" t="s">
        <v>977</v>
      </c>
      <c r="O1983" s="1" t="s">
        <v>537</v>
      </c>
      <c r="P1983" s="1" t="s">
        <v>538</v>
      </c>
      <c r="Q1983" s="1" t="s">
        <v>539</v>
      </c>
      <c r="R1983" s="1" t="s">
        <v>32</v>
      </c>
      <c r="S1983" s="1" t="s">
        <v>540</v>
      </c>
      <c r="T1983" s="1" t="s">
        <v>32</v>
      </c>
      <c r="U1983" s="1" t="s">
        <v>541</v>
      </c>
      <c r="V1983" s="1" t="s">
        <v>170</v>
      </c>
      <c r="W1983" s="1" t="s">
        <v>48</v>
      </c>
      <c r="X1983" s="1" t="s">
        <v>542</v>
      </c>
      <c r="Y1983" s="1" t="s">
        <v>543</v>
      </c>
      <c r="Z1983" s="1" t="str">
        <f>TRIM(_xlfn.CONCAT(sales_data_sample[[#This Row],[CONTACTFIRSTNAME]],", ",sales_data_sample[[#This Row],[CONTACTLASTNAME]]))</f>
        <v>Pirkko, Koskitalo</v>
      </c>
      <c r="AA1983" s="1" t="s">
        <v>59</v>
      </c>
    </row>
    <row r="1984" spans="1:27" x14ac:dyDescent="0.25">
      <c r="A1984" s="10">
        <v>10253</v>
      </c>
      <c r="B1984" s="9">
        <v>39</v>
      </c>
      <c r="C1984" s="9">
        <v>100</v>
      </c>
      <c r="D1984" s="9">
        <f>PRODUCT(sales_data_sample[[#This Row],[QUANTITYORDERED]],sales_data_sample[[#This Row],[PRICEEACH]])</f>
        <v>3900</v>
      </c>
      <c r="E1984" s="9">
        <f>IF(OR(sales_data_sample[[#This Row],[STATUS]]="Shipped",sales_data_sample[[#This Row],[STATUS]]="Resolved"),sales_data_sample[[#This Row],[SALES]],0)</f>
        <v>0</v>
      </c>
      <c r="F1984" s="10">
        <v>8</v>
      </c>
      <c r="G1984" s="12" t="s">
        <v>630</v>
      </c>
      <c r="H1984" s="1" t="s">
        <v>461</v>
      </c>
      <c r="I1984">
        <v>2</v>
      </c>
      <c r="J1984">
        <v>6</v>
      </c>
      <c r="K1984">
        <v>2004</v>
      </c>
      <c r="L1984" s="1" t="s">
        <v>239</v>
      </c>
      <c r="M1984">
        <v>140</v>
      </c>
      <c r="N1984" s="1" t="s">
        <v>977</v>
      </c>
      <c r="O1984" s="1" t="s">
        <v>220</v>
      </c>
      <c r="P1984" s="1" t="s">
        <v>221</v>
      </c>
      <c r="Q1984" s="1" t="s">
        <v>222</v>
      </c>
      <c r="R1984" s="1" t="s">
        <v>32</v>
      </c>
      <c r="S1984" s="1" t="s">
        <v>223</v>
      </c>
      <c r="T1984" s="1" t="s">
        <v>32</v>
      </c>
      <c r="U1984" s="1" t="s">
        <v>224</v>
      </c>
      <c r="V1984" s="1" t="s">
        <v>225</v>
      </c>
      <c r="W1984" s="1" t="s">
        <v>48</v>
      </c>
      <c r="X1984" s="1" t="s">
        <v>226</v>
      </c>
      <c r="Y1984" s="1" t="s">
        <v>227</v>
      </c>
      <c r="Z1984" s="1" t="str">
        <f>TRIM(_xlfn.CONCAT(sales_data_sample[[#This Row],[CONTACTFIRSTNAME]],", ",sales_data_sample[[#This Row],[CONTACTLASTNAME]]))</f>
        <v>Elizabeth, Devon</v>
      </c>
      <c r="AA1984" s="1" t="s">
        <v>59</v>
      </c>
    </row>
    <row r="1985" spans="1:27" x14ac:dyDescent="0.25">
      <c r="A1985" s="10">
        <v>10266</v>
      </c>
      <c r="B1985" s="9">
        <v>24</v>
      </c>
      <c r="C1985" s="9">
        <v>100</v>
      </c>
      <c r="D1985" s="9">
        <f>PRODUCT(sales_data_sample[[#This Row],[QUANTITYORDERED]],sales_data_sample[[#This Row],[PRICEEACH]])</f>
        <v>2400</v>
      </c>
      <c r="E1985" s="9">
        <f>IF(OR(sales_data_sample[[#This Row],[STATUS]]="Shipped",sales_data_sample[[#This Row],[STATUS]]="Resolved"),sales_data_sample[[#This Row],[SALES]],0)</f>
        <v>2400</v>
      </c>
      <c r="F1985" s="10">
        <v>9</v>
      </c>
      <c r="G1985" s="12" t="s">
        <v>631</v>
      </c>
      <c r="H1985" s="1" t="s">
        <v>26</v>
      </c>
      <c r="I1985">
        <v>3</v>
      </c>
      <c r="J1985">
        <v>7</v>
      </c>
      <c r="K1985">
        <v>2004</v>
      </c>
      <c r="L1985" s="1" t="s">
        <v>239</v>
      </c>
      <c r="M1985">
        <v>140</v>
      </c>
      <c r="N1985" s="1" t="s">
        <v>977</v>
      </c>
      <c r="O1985" s="1" t="s">
        <v>632</v>
      </c>
      <c r="P1985" s="1" t="s">
        <v>633</v>
      </c>
      <c r="Q1985" s="1" t="s">
        <v>634</v>
      </c>
      <c r="R1985" s="1" t="s">
        <v>32</v>
      </c>
      <c r="S1985" s="1" t="s">
        <v>635</v>
      </c>
      <c r="T1985" s="1" t="s">
        <v>32</v>
      </c>
      <c r="U1985" s="1" t="s">
        <v>636</v>
      </c>
      <c r="V1985" s="1" t="s">
        <v>343</v>
      </c>
      <c r="W1985" s="1" t="s">
        <v>48</v>
      </c>
      <c r="X1985" s="1" t="s">
        <v>637</v>
      </c>
      <c r="Y1985" s="1" t="s">
        <v>638</v>
      </c>
      <c r="Z1985" s="1" t="str">
        <f>TRIM(_xlfn.CONCAT(sales_data_sample[[#This Row],[CONTACTFIRSTNAME]],", ",sales_data_sample[[#This Row],[CONTACTLASTNAME]]))</f>
        <v>Maurizio, Moroni</v>
      </c>
      <c r="AA1985" s="1" t="s">
        <v>40</v>
      </c>
    </row>
    <row r="1986" spans="1:27" x14ac:dyDescent="0.25">
      <c r="A1986" s="10">
        <v>10278</v>
      </c>
      <c r="B1986" s="9">
        <v>25</v>
      </c>
      <c r="C1986" s="9">
        <v>100</v>
      </c>
      <c r="D1986" s="9">
        <f>PRODUCT(sales_data_sample[[#This Row],[QUANTITYORDERED]],sales_data_sample[[#This Row],[PRICEEACH]])</f>
        <v>2500</v>
      </c>
      <c r="E1986" s="9">
        <f>IF(OR(sales_data_sample[[#This Row],[STATUS]]="Shipped",sales_data_sample[[#This Row],[STATUS]]="Resolved"),sales_data_sample[[#This Row],[SALES]],0)</f>
        <v>2500</v>
      </c>
      <c r="F1986" s="10">
        <v>9</v>
      </c>
      <c r="G1986" s="12" t="s">
        <v>778</v>
      </c>
      <c r="H1986" s="1" t="s">
        <v>26</v>
      </c>
      <c r="I1986">
        <v>3</v>
      </c>
      <c r="J1986">
        <v>8</v>
      </c>
      <c r="K1986">
        <v>2004</v>
      </c>
      <c r="L1986" s="1" t="s">
        <v>239</v>
      </c>
      <c r="M1986">
        <v>140</v>
      </c>
      <c r="N1986" s="1" t="s">
        <v>977</v>
      </c>
      <c r="O1986" s="1" t="s">
        <v>779</v>
      </c>
      <c r="P1986" s="1" t="s">
        <v>780</v>
      </c>
      <c r="Q1986" s="1" t="s">
        <v>781</v>
      </c>
      <c r="R1986" s="1" t="s">
        <v>32</v>
      </c>
      <c r="S1986" s="1" t="s">
        <v>782</v>
      </c>
      <c r="T1986" s="1" t="s">
        <v>783</v>
      </c>
      <c r="U1986" s="1" t="s">
        <v>784</v>
      </c>
      <c r="V1986" s="1" t="s">
        <v>36</v>
      </c>
      <c r="W1986" s="1" t="s">
        <v>37</v>
      </c>
      <c r="X1986" s="1" t="s">
        <v>146</v>
      </c>
      <c r="Y1986" s="1" t="s">
        <v>551</v>
      </c>
      <c r="Z1986" s="1" t="str">
        <f>TRIM(_xlfn.CONCAT(sales_data_sample[[#This Row],[CONTACTFIRSTNAME]],", ",sales_data_sample[[#This Row],[CONTACTLASTNAME]]))</f>
        <v>Sue, King</v>
      </c>
      <c r="AA1986" s="1" t="s">
        <v>59</v>
      </c>
    </row>
    <row r="1987" spans="1:27" x14ac:dyDescent="0.25">
      <c r="A1987" s="10">
        <v>10287</v>
      </c>
      <c r="B1987" s="9">
        <v>36</v>
      </c>
      <c r="C1987" s="9">
        <v>100</v>
      </c>
      <c r="D1987" s="9">
        <f>PRODUCT(sales_data_sample[[#This Row],[QUANTITYORDERED]],sales_data_sample[[#This Row],[PRICEEACH]])</f>
        <v>3600</v>
      </c>
      <c r="E1987" s="9">
        <f>IF(OR(sales_data_sample[[#This Row],[STATUS]]="Shipped",sales_data_sample[[#This Row],[STATUS]]="Resolved"),sales_data_sample[[#This Row],[SALES]],0)</f>
        <v>3600</v>
      </c>
      <c r="F1987" s="10">
        <v>7</v>
      </c>
      <c r="G1987" s="12" t="s">
        <v>645</v>
      </c>
      <c r="H1987" s="1" t="s">
        <v>26</v>
      </c>
      <c r="I1987">
        <v>3</v>
      </c>
      <c r="J1987">
        <v>8</v>
      </c>
      <c r="K1987">
        <v>2004</v>
      </c>
      <c r="L1987" s="1" t="s">
        <v>239</v>
      </c>
      <c r="M1987">
        <v>140</v>
      </c>
      <c r="N1987" s="1" t="s">
        <v>977</v>
      </c>
      <c r="O1987" s="1" t="s">
        <v>622</v>
      </c>
      <c r="P1987" s="1" t="s">
        <v>623</v>
      </c>
      <c r="Q1987" s="1" t="s">
        <v>624</v>
      </c>
      <c r="R1987" s="1" t="s">
        <v>32</v>
      </c>
      <c r="S1987" s="1" t="s">
        <v>625</v>
      </c>
      <c r="T1987" s="1" t="s">
        <v>32</v>
      </c>
      <c r="U1987" s="1" t="s">
        <v>626</v>
      </c>
      <c r="V1987" s="1" t="s">
        <v>627</v>
      </c>
      <c r="W1987" s="1" t="s">
        <v>48</v>
      </c>
      <c r="X1987" s="1" t="s">
        <v>628</v>
      </c>
      <c r="Y1987" s="1" t="s">
        <v>130</v>
      </c>
      <c r="Z1987" s="1" t="str">
        <f>TRIM(_xlfn.CONCAT(sales_data_sample[[#This Row],[CONTACTFIRSTNAME]],", ",sales_data_sample[[#This Row],[CONTACTLASTNAME]]))</f>
        <v>Michael, Holz</v>
      </c>
      <c r="AA1987" s="1" t="s">
        <v>59</v>
      </c>
    </row>
    <row r="1988" spans="1:27" x14ac:dyDescent="0.25">
      <c r="A1988" s="10">
        <v>10301</v>
      </c>
      <c r="B1988" s="9">
        <v>50</v>
      </c>
      <c r="C1988" s="9">
        <v>100</v>
      </c>
      <c r="D1988" s="9">
        <f>PRODUCT(sales_data_sample[[#This Row],[QUANTITYORDERED]],sales_data_sample[[#This Row],[PRICEEACH]])</f>
        <v>5000</v>
      </c>
      <c r="E1988" s="9">
        <f>IF(OR(sales_data_sample[[#This Row],[STATUS]]="Shipped",sales_data_sample[[#This Row],[STATUS]]="Resolved"),sales_data_sample[[#This Row],[SALES]],0)</f>
        <v>5000</v>
      </c>
      <c r="F1988" s="10">
        <v>11</v>
      </c>
      <c r="G1988" s="12" t="s">
        <v>785</v>
      </c>
      <c r="H1988" s="1" t="s">
        <v>26</v>
      </c>
      <c r="I1988">
        <v>4</v>
      </c>
      <c r="J1988">
        <v>10</v>
      </c>
      <c r="K1988">
        <v>2003</v>
      </c>
      <c r="L1988" s="1" t="s">
        <v>239</v>
      </c>
      <c r="M1988">
        <v>140</v>
      </c>
      <c r="N1988" s="1" t="s">
        <v>977</v>
      </c>
      <c r="O1988" s="1" t="s">
        <v>786</v>
      </c>
      <c r="P1988" s="1" t="s">
        <v>787</v>
      </c>
      <c r="Q1988" s="1" t="s">
        <v>788</v>
      </c>
      <c r="R1988" s="1" t="s">
        <v>32</v>
      </c>
      <c r="S1988" s="1" t="s">
        <v>789</v>
      </c>
      <c r="T1988" s="1" t="s">
        <v>32</v>
      </c>
      <c r="U1988" s="1" t="s">
        <v>790</v>
      </c>
      <c r="V1988" s="1" t="s">
        <v>97</v>
      </c>
      <c r="W1988" s="1" t="s">
        <v>48</v>
      </c>
      <c r="X1988" s="1" t="s">
        <v>791</v>
      </c>
      <c r="Y1988" s="1" t="s">
        <v>792</v>
      </c>
      <c r="Z1988" s="1" t="str">
        <f>TRIM(_xlfn.CONCAT(sales_data_sample[[#This Row],[CONTACTFIRSTNAME]],", ",sales_data_sample[[#This Row],[CONTACTLASTNAME]]))</f>
        <v>Jan, Klaeboe</v>
      </c>
      <c r="AA1988" s="1" t="s">
        <v>199</v>
      </c>
    </row>
    <row r="1989" spans="1:27" x14ac:dyDescent="0.25">
      <c r="A1989" s="10">
        <v>10310</v>
      </c>
      <c r="B1989" s="9">
        <v>45</v>
      </c>
      <c r="C1989" s="9">
        <v>100</v>
      </c>
      <c r="D1989" s="9">
        <f>PRODUCT(sales_data_sample[[#This Row],[QUANTITYORDERED]],sales_data_sample[[#This Row],[PRICEEACH]])</f>
        <v>4500</v>
      </c>
      <c r="E1989" s="9">
        <f>IF(OR(sales_data_sample[[#This Row],[STATUS]]="Shipped",sales_data_sample[[#This Row],[STATUS]]="Resolved"),sales_data_sample[[#This Row],[SALES]],0)</f>
        <v>4500</v>
      </c>
      <c r="F1989" s="10">
        <v>5</v>
      </c>
      <c r="G1989" s="12" t="s">
        <v>653</v>
      </c>
      <c r="H1989" s="1" t="s">
        <v>26</v>
      </c>
      <c r="I1989">
        <v>4</v>
      </c>
      <c r="J1989">
        <v>10</v>
      </c>
      <c r="K1989">
        <v>2004</v>
      </c>
      <c r="L1989" s="1" t="s">
        <v>239</v>
      </c>
      <c r="M1989">
        <v>140</v>
      </c>
      <c r="N1989" s="1" t="s">
        <v>977</v>
      </c>
      <c r="O1989" s="1" t="s">
        <v>612</v>
      </c>
      <c r="P1989" s="1" t="s">
        <v>613</v>
      </c>
      <c r="Q1989" s="1" t="s">
        <v>614</v>
      </c>
      <c r="R1989" s="1" t="s">
        <v>32</v>
      </c>
      <c r="S1989" s="1" t="s">
        <v>615</v>
      </c>
      <c r="T1989" s="1" t="s">
        <v>32</v>
      </c>
      <c r="U1989" s="1" t="s">
        <v>616</v>
      </c>
      <c r="V1989" s="1" t="s">
        <v>617</v>
      </c>
      <c r="W1989" s="1" t="s">
        <v>48</v>
      </c>
      <c r="X1989" s="1" t="s">
        <v>618</v>
      </c>
      <c r="Y1989" s="1" t="s">
        <v>619</v>
      </c>
      <c r="Z1989" s="1" t="str">
        <f>TRIM(_xlfn.CONCAT(sales_data_sample[[#This Row],[CONTACTFIRSTNAME]],", ",sales_data_sample[[#This Row],[CONTACTLASTNAME]]))</f>
        <v>Henriette, Pfalzheim</v>
      </c>
      <c r="AA1989" s="1" t="s">
        <v>59</v>
      </c>
    </row>
    <row r="1990" spans="1:27" x14ac:dyDescent="0.25">
      <c r="A1990" s="10">
        <v>10321</v>
      </c>
      <c r="B1990" s="9">
        <v>26</v>
      </c>
      <c r="C1990" s="9">
        <v>100</v>
      </c>
      <c r="D1990" s="9">
        <f>PRODUCT(sales_data_sample[[#This Row],[QUANTITYORDERED]],sales_data_sample[[#This Row],[PRICEEACH]])</f>
        <v>2600</v>
      </c>
      <c r="E1990" s="9">
        <f>IF(OR(sales_data_sample[[#This Row],[STATUS]]="Shipped",sales_data_sample[[#This Row],[STATUS]]="Resolved"),sales_data_sample[[#This Row],[SALES]],0)</f>
        <v>2600</v>
      </c>
      <c r="F1990" s="10">
        <v>13</v>
      </c>
      <c r="G1990" s="12" t="s">
        <v>367</v>
      </c>
      <c r="H1990" s="1" t="s">
        <v>26</v>
      </c>
      <c r="I1990">
        <v>4</v>
      </c>
      <c r="J1990">
        <v>11</v>
      </c>
      <c r="K1990">
        <v>2004</v>
      </c>
      <c r="L1990" s="1" t="s">
        <v>239</v>
      </c>
      <c r="M1990">
        <v>140</v>
      </c>
      <c r="N1990" s="1" t="s">
        <v>977</v>
      </c>
      <c r="O1990" s="1" t="s">
        <v>212</v>
      </c>
      <c r="P1990" s="1" t="s">
        <v>213</v>
      </c>
      <c r="Q1990" s="1" t="s">
        <v>214</v>
      </c>
      <c r="R1990" s="1" t="s">
        <v>32</v>
      </c>
      <c r="S1990" s="1" t="s">
        <v>215</v>
      </c>
      <c r="T1990" s="1" t="s">
        <v>160</v>
      </c>
      <c r="U1990" s="1" t="s">
        <v>216</v>
      </c>
      <c r="V1990" s="1" t="s">
        <v>36</v>
      </c>
      <c r="W1990" s="1" t="s">
        <v>37</v>
      </c>
      <c r="X1990" s="1" t="s">
        <v>217</v>
      </c>
      <c r="Y1990" s="1" t="s">
        <v>218</v>
      </c>
      <c r="Z1990" s="1" t="str">
        <f>TRIM(_xlfn.CONCAT(sales_data_sample[[#This Row],[CONTACTFIRSTNAME]],", ",sales_data_sample[[#This Row],[CONTACTLASTNAME]]))</f>
        <v>Violeta, Benitez</v>
      </c>
      <c r="AA1990" s="1" t="s">
        <v>59</v>
      </c>
    </row>
    <row r="1991" spans="1:27" x14ac:dyDescent="0.25">
      <c r="A1991" s="10">
        <v>10331</v>
      </c>
      <c r="B1991" s="9">
        <v>21</v>
      </c>
      <c r="C1991" s="9">
        <v>100</v>
      </c>
      <c r="D1991" s="9">
        <f>PRODUCT(sales_data_sample[[#This Row],[QUANTITYORDERED]],sales_data_sample[[#This Row],[PRICEEACH]])</f>
        <v>2100</v>
      </c>
      <c r="E1991" s="9">
        <f>IF(OR(sales_data_sample[[#This Row],[STATUS]]="Shipped",sales_data_sample[[#This Row],[STATUS]]="Resolved"),sales_data_sample[[#This Row],[SALES]],0)</f>
        <v>2100</v>
      </c>
      <c r="F1991" s="10">
        <v>1</v>
      </c>
      <c r="G1991" s="12" t="s">
        <v>793</v>
      </c>
      <c r="H1991" s="1" t="s">
        <v>26</v>
      </c>
      <c r="I1991">
        <v>4</v>
      </c>
      <c r="J1991">
        <v>11</v>
      </c>
      <c r="K1991">
        <v>2004</v>
      </c>
      <c r="L1991" s="1" t="s">
        <v>239</v>
      </c>
      <c r="M1991">
        <v>140</v>
      </c>
      <c r="N1991" s="1" t="s">
        <v>977</v>
      </c>
      <c r="O1991" s="1" t="s">
        <v>415</v>
      </c>
      <c r="P1991" s="1" t="s">
        <v>416</v>
      </c>
      <c r="Q1991" s="1" t="s">
        <v>417</v>
      </c>
      <c r="R1991" s="1" t="s">
        <v>32</v>
      </c>
      <c r="S1991" s="1" t="s">
        <v>286</v>
      </c>
      <c r="T1991" s="1" t="s">
        <v>186</v>
      </c>
      <c r="U1991" s="1" t="s">
        <v>287</v>
      </c>
      <c r="V1991" s="1" t="s">
        <v>36</v>
      </c>
      <c r="W1991" s="1" t="s">
        <v>37</v>
      </c>
      <c r="X1991" s="1" t="s">
        <v>162</v>
      </c>
      <c r="Y1991" s="1" t="s">
        <v>418</v>
      </c>
      <c r="Z1991" s="1" t="str">
        <f>TRIM(_xlfn.CONCAT(sales_data_sample[[#This Row],[CONTACTFIRSTNAME]],", ",sales_data_sample[[#This Row],[CONTACTLASTNAME]]))</f>
        <v>Rosa, Hernandez</v>
      </c>
      <c r="AA1991" s="1" t="s">
        <v>59</v>
      </c>
    </row>
    <row r="1992" spans="1:27" x14ac:dyDescent="0.25">
      <c r="A1992">
        <v>10342</v>
      </c>
      <c r="B1992">
        <v>42</v>
      </c>
      <c r="C1992">
        <v>100</v>
      </c>
      <c r="D1992">
        <f>PRODUCT(sales_data_sample[[#This Row],[QUANTITYORDERED]],sales_data_sample[[#This Row],[PRICEEACH]])</f>
        <v>4200</v>
      </c>
      <c r="E1992" s="9">
        <f>IF(OR(sales_data_sample[[#This Row],[STATUS]]="Shipped",sales_data_sample[[#This Row],[STATUS]]="Resolved"),sales_data_sample[[#This Row],[SALES]],0)</f>
        <v>4200</v>
      </c>
      <c r="F1992">
        <v>6</v>
      </c>
      <c r="G1992" s="12" t="s">
        <v>190</v>
      </c>
      <c r="H1992" s="1" t="s">
        <v>26</v>
      </c>
      <c r="I1992">
        <v>4</v>
      </c>
      <c r="J1992">
        <v>11</v>
      </c>
      <c r="K1992">
        <v>2004</v>
      </c>
      <c r="L1992" s="1" t="s">
        <v>239</v>
      </c>
      <c r="M1992">
        <v>140</v>
      </c>
      <c r="N1992" s="1" t="s">
        <v>977</v>
      </c>
      <c r="O1992" s="1" t="s">
        <v>113</v>
      </c>
      <c r="P1992" s="1" t="s">
        <v>114</v>
      </c>
      <c r="Q1992" s="1" t="s">
        <v>115</v>
      </c>
      <c r="R1992" s="1" t="s">
        <v>116</v>
      </c>
      <c r="S1992" s="1" t="s">
        <v>117</v>
      </c>
      <c r="T1992" s="1" t="s">
        <v>118</v>
      </c>
      <c r="U1992" s="1" t="s">
        <v>119</v>
      </c>
      <c r="V1992" s="1" t="s">
        <v>120</v>
      </c>
      <c r="W1992" s="1" t="s">
        <v>121</v>
      </c>
      <c r="X1992" s="1" t="s">
        <v>122</v>
      </c>
      <c r="Y1992" s="1" t="s">
        <v>123</v>
      </c>
      <c r="Z1992" s="1" t="str">
        <f>TRIM(_xlfn.CONCAT(sales_data_sample[[#This Row],[CONTACTFIRSTNAME]],", ",sales_data_sample[[#This Row],[CONTACTLASTNAME]]))</f>
        <v>Peter, Ferguson</v>
      </c>
      <c r="AA1992" s="1" t="s">
        <v>59</v>
      </c>
    </row>
    <row r="1993" spans="1:27" x14ac:dyDescent="0.25">
      <c r="A1993" s="10">
        <v>10355</v>
      </c>
      <c r="B1993" s="9">
        <v>32</v>
      </c>
      <c r="C1993" s="9">
        <v>100</v>
      </c>
      <c r="D1993" s="9">
        <f>PRODUCT(sales_data_sample[[#This Row],[QUANTITYORDERED]],sales_data_sample[[#This Row],[PRICEEACH]])</f>
        <v>3200</v>
      </c>
      <c r="E1993" s="9">
        <f>IF(OR(sales_data_sample[[#This Row],[STATUS]]="Shipped",sales_data_sample[[#This Row],[STATUS]]="Resolved"),sales_data_sample[[#This Row],[SALES]],0)</f>
        <v>3200</v>
      </c>
      <c r="F1993" s="10">
        <v>8</v>
      </c>
      <c r="G1993" s="12" t="s">
        <v>928</v>
      </c>
      <c r="H1993" s="1" t="s">
        <v>26</v>
      </c>
      <c r="I1993">
        <v>4</v>
      </c>
      <c r="J1993">
        <v>12</v>
      </c>
      <c r="K1993">
        <v>2004</v>
      </c>
      <c r="L1993" s="1" t="s">
        <v>239</v>
      </c>
      <c r="M1993">
        <v>140</v>
      </c>
      <c r="N1993" s="1" t="s">
        <v>977</v>
      </c>
      <c r="O1993" s="1" t="s">
        <v>230</v>
      </c>
      <c r="P1993" s="1" t="s">
        <v>231</v>
      </c>
      <c r="Q1993" s="1" t="s">
        <v>232</v>
      </c>
      <c r="R1993" s="1" t="s">
        <v>32</v>
      </c>
      <c r="S1993" s="1" t="s">
        <v>233</v>
      </c>
      <c r="T1993" s="1" t="s">
        <v>32</v>
      </c>
      <c r="U1993" s="1" t="s">
        <v>234</v>
      </c>
      <c r="V1993" s="1" t="s">
        <v>235</v>
      </c>
      <c r="W1993" s="1" t="s">
        <v>48</v>
      </c>
      <c r="X1993" s="1" t="s">
        <v>236</v>
      </c>
      <c r="Y1993" s="1" t="s">
        <v>237</v>
      </c>
      <c r="Z1993" s="1" t="str">
        <f>TRIM(_xlfn.CONCAT(sales_data_sample[[#This Row],[CONTACTFIRSTNAME]],", ",sales_data_sample[[#This Row],[CONTACTLASTNAME]]))</f>
        <v>Diego, Freyre</v>
      </c>
      <c r="AA1993" s="1" t="s">
        <v>59</v>
      </c>
    </row>
    <row r="1994" spans="1:27" x14ac:dyDescent="0.25">
      <c r="A1994" s="10">
        <v>10363</v>
      </c>
      <c r="B1994" s="9">
        <v>31</v>
      </c>
      <c r="C1994" s="9">
        <v>9458</v>
      </c>
      <c r="D1994" s="9">
        <f>PRODUCT(sales_data_sample[[#This Row],[QUANTITYORDERED]],sales_data_sample[[#This Row],[PRICEEACH]])</f>
        <v>293198</v>
      </c>
      <c r="E1994" s="9">
        <f>IF(OR(sales_data_sample[[#This Row],[STATUS]]="Shipped",sales_data_sample[[#This Row],[STATUS]]="Resolved"),sales_data_sample[[#This Row],[SALES]],0)</f>
        <v>293198</v>
      </c>
      <c r="F1994" s="10">
        <v>1</v>
      </c>
      <c r="G1994" s="12" t="s">
        <v>655</v>
      </c>
      <c r="H1994" s="1" t="s">
        <v>26</v>
      </c>
      <c r="I1994">
        <v>1</v>
      </c>
      <c r="J1994">
        <v>1</v>
      </c>
      <c r="K1994">
        <v>2005</v>
      </c>
      <c r="L1994" s="1" t="s">
        <v>239</v>
      </c>
      <c r="M1994">
        <v>140</v>
      </c>
      <c r="N1994" s="1" t="s">
        <v>977</v>
      </c>
      <c r="O1994" s="1" t="s">
        <v>656</v>
      </c>
      <c r="P1994" s="1" t="s">
        <v>657</v>
      </c>
      <c r="Q1994" s="1" t="s">
        <v>658</v>
      </c>
      <c r="R1994" s="1" t="s">
        <v>32</v>
      </c>
      <c r="S1994" s="1" t="s">
        <v>659</v>
      </c>
      <c r="T1994" s="1" t="s">
        <v>32</v>
      </c>
      <c r="U1994" s="1" t="s">
        <v>660</v>
      </c>
      <c r="V1994" s="1" t="s">
        <v>170</v>
      </c>
      <c r="W1994" s="1" t="s">
        <v>48</v>
      </c>
      <c r="X1994" s="1" t="s">
        <v>661</v>
      </c>
      <c r="Y1994" s="1" t="s">
        <v>662</v>
      </c>
      <c r="Z1994" s="1" t="str">
        <f>TRIM(_xlfn.CONCAT(sales_data_sample[[#This Row],[CONTACTFIRSTNAME]],", ",sales_data_sample[[#This Row],[CONTACTLASTNAME]]))</f>
        <v>Kalle, Suominen</v>
      </c>
      <c r="AA1994" s="1" t="s">
        <v>40</v>
      </c>
    </row>
    <row r="1995" spans="1:27" x14ac:dyDescent="0.25">
      <c r="A1995" s="10">
        <v>10378</v>
      </c>
      <c r="B1995" s="9">
        <v>33</v>
      </c>
      <c r="C1995" s="9">
        <v>5327</v>
      </c>
      <c r="D1995" s="9">
        <f>PRODUCT(sales_data_sample[[#This Row],[QUANTITYORDERED]],sales_data_sample[[#This Row],[PRICEEACH]])</f>
        <v>175791</v>
      </c>
      <c r="E1995" s="9">
        <f>IF(OR(sales_data_sample[[#This Row],[STATUS]]="Shipped",sales_data_sample[[#This Row],[STATUS]]="Resolved"),sales_data_sample[[#This Row],[SALES]],0)</f>
        <v>175791</v>
      </c>
      <c r="F1995" s="10">
        <v>3</v>
      </c>
      <c r="G1995" s="12" t="s">
        <v>836</v>
      </c>
      <c r="H1995" s="1" t="s">
        <v>26</v>
      </c>
      <c r="I1995">
        <v>1</v>
      </c>
      <c r="J1995">
        <v>2</v>
      </c>
      <c r="K1995">
        <v>2005</v>
      </c>
      <c r="L1995" s="1" t="s">
        <v>239</v>
      </c>
      <c r="M1995">
        <v>140</v>
      </c>
      <c r="N1995" s="1" t="s">
        <v>977</v>
      </c>
      <c r="O1995" s="1" t="s">
        <v>230</v>
      </c>
      <c r="P1995" s="1" t="s">
        <v>231</v>
      </c>
      <c r="Q1995" s="1" t="s">
        <v>232</v>
      </c>
      <c r="R1995" s="1" t="s">
        <v>32</v>
      </c>
      <c r="S1995" s="1" t="s">
        <v>233</v>
      </c>
      <c r="T1995" s="1" t="s">
        <v>32</v>
      </c>
      <c r="U1995" s="1" t="s">
        <v>234</v>
      </c>
      <c r="V1995" s="1" t="s">
        <v>235</v>
      </c>
      <c r="W1995" s="1" t="s">
        <v>48</v>
      </c>
      <c r="X1995" s="1" t="s">
        <v>236</v>
      </c>
      <c r="Y1995" s="1" t="s">
        <v>237</v>
      </c>
      <c r="Z1995" s="1" t="str">
        <f>TRIM(_xlfn.CONCAT(sales_data_sample[[#This Row],[CONTACTFIRSTNAME]],", ",sales_data_sample[[#This Row],[CONTACTLASTNAME]]))</f>
        <v>Diego, Freyre</v>
      </c>
      <c r="AA1995" s="1" t="s">
        <v>40</v>
      </c>
    </row>
    <row r="1996" spans="1:27" x14ac:dyDescent="0.25">
      <c r="A1996" s="10">
        <v>10390</v>
      </c>
      <c r="B1996" s="9">
        <v>45</v>
      </c>
      <c r="C1996" s="9">
        <v>100</v>
      </c>
      <c r="D1996" s="9">
        <f>PRODUCT(sales_data_sample[[#This Row],[QUANTITYORDERED]],sales_data_sample[[#This Row],[PRICEEACH]])</f>
        <v>4500</v>
      </c>
      <c r="E1996" s="9">
        <f>IF(OR(sales_data_sample[[#This Row],[STATUS]]="Shipped",sales_data_sample[[#This Row],[STATUS]]="Resolved"),sales_data_sample[[#This Row],[SALES]],0)</f>
        <v>4500</v>
      </c>
      <c r="F1996" s="10">
        <v>8</v>
      </c>
      <c r="G1996" s="12" t="s">
        <v>796</v>
      </c>
      <c r="H1996" s="1" t="s">
        <v>26</v>
      </c>
      <c r="I1996">
        <v>1</v>
      </c>
      <c r="J1996">
        <v>3</v>
      </c>
      <c r="K1996">
        <v>2005</v>
      </c>
      <c r="L1996" s="1" t="s">
        <v>239</v>
      </c>
      <c r="M1996">
        <v>140</v>
      </c>
      <c r="N1996" s="1" t="s">
        <v>977</v>
      </c>
      <c r="O1996" s="1" t="s">
        <v>361</v>
      </c>
      <c r="P1996" s="1" t="s">
        <v>362</v>
      </c>
      <c r="Q1996" s="1" t="s">
        <v>363</v>
      </c>
      <c r="R1996" s="1" t="s">
        <v>32</v>
      </c>
      <c r="S1996" s="1" t="s">
        <v>364</v>
      </c>
      <c r="T1996" s="1" t="s">
        <v>65</v>
      </c>
      <c r="U1996" s="1" t="s">
        <v>145</v>
      </c>
      <c r="V1996" s="1" t="s">
        <v>36</v>
      </c>
      <c r="W1996" s="1" t="s">
        <v>37</v>
      </c>
      <c r="X1996" s="1" t="s">
        <v>365</v>
      </c>
      <c r="Y1996" s="1" t="s">
        <v>366</v>
      </c>
      <c r="Z1996" s="1" t="str">
        <f>TRIM(_xlfn.CONCAT(sales_data_sample[[#This Row],[CONTACTFIRSTNAME]],", ",sales_data_sample[[#This Row],[CONTACTLASTNAME]]))</f>
        <v>Valarie, Nelson</v>
      </c>
      <c r="AA1996" s="1" t="s">
        <v>59</v>
      </c>
    </row>
    <row r="1997" spans="1:27" x14ac:dyDescent="0.25">
      <c r="A1997" s="10">
        <v>10405</v>
      </c>
      <c r="B1997" s="9">
        <v>76</v>
      </c>
      <c r="C1997" s="9">
        <v>100</v>
      </c>
      <c r="D1997" s="9">
        <f>PRODUCT(sales_data_sample[[#This Row],[QUANTITYORDERED]],sales_data_sample[[#This Row],[PRICEEACH]])</f>
        <v>7600</v>
      </c>
      <c r="E1997" s="9">
        <f>IF(OR(sales_data_sample[[#This Row],[STATUS]]="Shipped",sales_data_sample[[#This Row],[STATUS]]="Resolved"),sales_data_sample[[#This Row],[SALES]],0)</f>
        <v>7600</v>
      </c>
      <c r="F1997" s="10">
        <v>3</v>
      </c>
      <c r="G1997" s="12" t="s">
        <v>762</v>
      </c>
      <c r="H1997" s="1" t="s">
        <v>26</v>
      </c>
      <c r="I1997">
        <v>2</v>
      </c>
      <c r="J1997">
        <v>4</v>
      </c>
      <c r="K1997">
        <v>2005</v>
      </c>
      <c r="L1997" s="1" t="s">
        <v>239</v>
      </c>
      <c r="M1997">
        <v>140</v>
      </c>
      <c r="N1997" s="1" t="s">
        <v>977</v>
      </c>
      <c r="O1997" s="1" t="s">
        <v>763</v>
      </c>
      <c r="P1997" s="1" t="s">
        <v>764</v>
      </c>
      <c r="Q1997" s="1" t="s">
        <v>765</v>
      </c>
      <c r="R1997" s="1" t="s">
        <v>32</v>
      </c>
      <c r="S1997" s="1" t="s">
        <v>766</v>
      </c>
      <c r="T1997" s="1" t="s">
        <v>32</v>
      </c>
      <c r="U1997" s="1" t="s">
        <v>767</v>
      </c>
      <c r="V1997" s="1" t="s">
        <v>47</v>
      </c>
      <c r="W1997" s="1" t="s">
        <v>48</v>
      </c>
      <c r="X1997" s="1" t="s">
        <v>768</v>
      </c>
      <c r="Y1997" s="1" t="s">
        <v>769</v>
      </c>
      <c r="Z1997" s="1" t="str">
        <f>TRIM(_xlfn.CONCAT(sales_data_sample[[#This Row],[CONTACTFIRSTNAME]],", ",sales_data_sample[[#This Row],[CONTACTLASTNAME]]))</f>
        <v>Frederique, Citeaux</v>
      </c>
      <c r="AA1997" s="1" t="s">
        <v>199</v>
      </c>
    </row>
    <row r="1998" spans="1:27" x14ac:dyDescent="0.25">
      <c r="A1998" s="10">
        <v>10419</v>
      </c>
      <c r="B1998" s="9">
        <v>70</v>
      </c>
      <c r="C1998" s="9">
        <v>100</v>
      </c>
      <c r="D1998" s="9">
        <f>PRODUCT(sales_data_sample[[#This Row],[QUANTITYORDERED]],sales_data_sample[[#This Row],[PRICEEACH]])</f>
        <v>7000</v>
      </c>
      <c r="E1998" s="9">
        <f>IF(OR(sales_data_sample[[#This Row],[STATUS]]="Shipped",sales_data_sample[[#This Row],[STATUS]]="Resolved"),sales_data_sample[[#This Row],[SALES]],0)</f>
        <v>7000</v>
      </c>
      <c r="F1998" s="10">
        <v>8</v>
      </c>
      <c r="G1998" s="12" t="s">
        <v>663</v>
      </c>
      <c r="H1998" s="1" t="s">
        <v>26</v>
      </c>
      <c r="I1998">
        <v>2</v>
      </c>
      <c r="J1998">
        <v>5</v>
      </c>
      <c r="K1998">
        <v>2005</v>
      </c>
      <c r="L1998" s="1" t="s">
        <v>239</v>
      </c>
      <c r="M1998">
        <v>140</v>
      </c>
      <c r="N1998" s="1" t="s">
        <v>977</v>
      </c>
      <c r="O1998" s="1" t="s">
        <v>191</v>
      </c>
      <c r="P1998" s="1" t="s">
        <v>192</v>
      </c>
      <c r="Q1998" s="1" t="s">
        <v>193</v>
      </c>
      <c r="R1998" s="1" t="s">
        <v>32</v>
      </c>
      <c r="S1998" s="1" t="s">
        <v>194</v>
      </c>
      <c r="T1998" s="1" t="s">
        <v>32</v>
      </c>
      <c r="U1998" s="1" t="s">
        <v>195</v>
      </c>
      <c r="V1998" s="1" t="s">
        <v>196</v>
      </c>
      <c r="W1998" s="1" t="s">
        <v>48</v>
      </c>
      <c r="X1998" s="1" t="s">
        <v>197</v>
      </c>
      <c r="Y1998" s="1" t="s">
        <v>198</v>
      </c>
      <c r="Z1998" s="1" t="str">
        <f>TRIM(_xlfn.CONCAT(sales_data_sample[[#This Row],[CONTACTFIRSTNAME]],", ",sales_data_sample[[#This Row],[CONTACTLASTNAME]]))</f>
        <v>Georg, Pipps</v>
      </c>
      <c r="AA1998" s="1" t="s">
        <v>199</v>
      </c>
    </row>
    <row r="1999" spans="1:27" x14ac:dyDescent="0.25">
      <c r="A1999" s="10">
        <v>10106</v>
      </c>
      <c r="B1999" s="9">
        <v>50</v>
      </c>
      <c r="C1999" s="9">
        <v>6483</v>
      </c>
      <c r="D1999" s="9">
        <f>PRODUCT(sales_data_sample[[#This Row],[QUANTITYORDERED]],sales_data_sample[[#This Row],[PRICEEACH]])</f>
        <v>324150</v>
      </c>
      <c r="E1999" s="9">
        <f>IF(OR(sales_data_sample[[#This Row],[STATUS]]="Shipped",sales_data_sample[[#This Row],[STATUS]]="Resolved"),sales_data_sample[[#This Row],[SALES]],0)</f>
        <v>324150</v>
      </c>
      <c r="F1999" s="10">
        <v>11</v>
      </c>
      <c r="G1999" s="12" t="s">
        <v>838</v>
      </c>
      <c r="H1999" s="1" t="s">
        <v>26</v>
      </c>
      <c r="I1999">
        <v>1</v>
      </c>
      <c r="J1999">
        <v>2</v>
      </c>
      <c r="K1999">
        <v>2003</v>
      </c>
      <c r="L1999" s="1" t="s">
        <v>839</v>
      </c>
      <c r="M1999">
        <v>68</v>
      </c>
      <c r="N1999" s="1" t="s">
        <v>978</v>
      </c>
      <c r="O1999" s="1" t="s">
        <v>806</v>
      </c>
      <c r="P1999" s="1" t="s">
        <v>807</v>
      </c>
      <c r="Q1999" s="1" t="s">
        <v>808</v>
      </c>
      <c r="R1999" s="1" t="s">
        <v>32</v>
      </c>
      <c r="S1999" s="1" t="s">
        <v>809</v>
      </c>
      <c r="T1999" s="1" t="s">
        <v>32</v>
      </c>
      <c r="U1999" s="1" t="s">
        <v>810</v>
      </c>
      <c r="V1999" s="1" t="s">
        <v>343</v>
      </c>
      <c r="W1999" s="1" t="s">
        <v>48</v>
      </c>
      <c r="X1999" s="1" t="s">
        <v>811</v>
      </c>
      <c r="Y1999" s="1" t="s">
        <v>812</v>
      </c>
      <c r="Z1999" s="1" t="str">
        <f>TRIM(_xlfn.CONCAT(sales_data_sample[[#This Row],[CONTACTFIRSTNAME]],", ",sales_data_sample[[#This Row],[CONTACTLASTNAME]]))</f>
        <v>Giovanni, Rovelli</v>
      </c>
      <c r="AA1999" s="1" t="s">
        <v>59</v>
      </c>
    </row>
    <row r="2000" spans="1:27" x14ac:dyDescent="0.25">
      <c r="A2000" s="10">
        <v>10119</v>
      </c>
      <c r="B2000" s="9">
        <v>28</v>
      </c>
      <c r="C2000" s="9">
        <v>7029</v>
      </c>
      <c r="D2000" s="9">
        <f>PRODUCT(sales_data_sample[[#This Row],[QUANTITYORDERED]],sales_data_sample[[#This Row],[PRICEEACH]])</f>
        <v>196812</v>
      </c>
      <c r="E2000" s="9">
        <f>IF(OR(sales_data_sample[[#This Row],[STATUS]]="Shipped",sales_data_sample[[#This Row],[STATUS]]="Resolved"),sales_data_sample[[#This Row],[SALES]],0)</f>
        <v>196812</v>
      </c>
      <c r="F2000" s="10">
        <v>2</v>
      </c>
      <c r="G2000" s="12" t="s">
        <v>445</v>
      </c>
      <c r="H2000" s="1" t="s">
        <v>26</v>
      </c>
      <c r="I2000">
        <v>2</v>
      </c>
      <c r="J2000">
        <v>4</v>
      </c>
      <c r="K2000">
        <v>2003</v>
      </c>
      <c r="L2000" s="1" t="s">
        <v>839</v>
      </c>
      <c r="M2000">
        <v>68</v>
      </c>
      <c r="N2000" s="1" t="s">
        <v>978</v>
      </c>
      <c r="O2000" s="1" t="s">
        <v>191</v>
      </c>
      <c r="P2000" s="1" t="s">
        <v>192</v>
      </c>
      <c r="Q2000" s="1" t="s">
        <v>193</v>
      </c>
      <c r="R2000" s="1" t="s">
        <v>32</v>
      </c>
      <c r="S2000" s="1" t="s">
        <v>194</v>
      </c>
      <c r="T2000" s="1" t="s">
        <v>32</v>
      </c>
      <c r="U2000" s="1" t="s">
        <v>195</v>
      </c>
      <c r="V2000" s="1" t="s">
        <v>196</v>
      </c>
      <c r="W2000" s="1" t="s">
        <v>48</v>
      </c>
      <c r="X2000" s="1" t="s">
        <v>197</v>
      </c>
      <c r="Y2000" s="1" t="s">
        <v>198</v>
      </c>
      <c r="Z2000" s="1" t="str">
        <f>TRIM(_xlfn.CONCAT(sales_data_sample[[#This Row],[CONTACTFIRSTNAME]],", ",sales_data_sample[[#This Row],[CONTACTLASTNAME]]))</f>
        <v>Georg, Pipps</v>
      </c>
      <c r="AA2000" s="1" t="s">
        <v>40</v>
      </c>
    </row>
    <row r="2001" spans="1:27" x14ac:dyDescent="0.25">
      <c r="A2001" s="10">
        <v>10131</v>
      </c>
      <c r="B2001" s="9">
        <v>50</v>
      </c>
      <c r="C2001" s="9">
        <v>8189</v>
      </c>
      <c r="D2001" s="9">
        <f>PRODUCT(sales_data_sample[[#This Row],[QUANTITYORDERED]],sales_data_sample[[#This Row],[PRICEEACH]])</f>
        <v>409450</v>
      </c>
      <c r="E2001" s="9">
        <f>IF(OR(sales_data_sample[[#This Row],[STATUS]]="Shipped",sales_data_sample[[#This Row],[STATUS]]="Resolved"),sales_data_sample[[#This Row],[SALES]],0)</f>
        <v>409450</v>
      </c>
      <c r="F2001" s="10">
        <v>3</v>
      </c>
      <c r="G2001" s="12" t="s">
        <v>841</v>
      </c>
      <c r="H2001" s="1" t="s">
        <v>26</v>
      </c>
      <c r="I2001">
        <v>2</v>
      </c>
      <c r="J2001">
        <v>6</v>
      </c>
      <c r="K2001">
        <v>2003</v>
      </c>
      <c r="L2001" s="1" t="s">
        <v>839</v>
      </c>
      <c r="M2001">
        <v>68</v>
      </c>
      <c r="N2001" s="1" t="s">
        <v>978</v>
      </c>
      <c r="O2001" s="1" t="s">
        <v>842</v>
      </c>
      <c r="P2001" s="1" t="s">
        <v>843</v>
      </c>
      <c r="Q2001" s="1" t="s">
        <v>844</v>
      </c>
      <c r="R2001" s="1" t="s">
        <v>32</v>
      </c>
      <c r="S2001" s="1" t="s">
        <v>734</v>
      </c>
      <c r="T2001" s="1" t="s">
        <v>144</v>
      </c>
      <c r="U2001" s="1" t="s">
        <v>845</v>
      </c>
      <c r="V2001" s="1" t="s">
        <v>36</v>
      </c>
      <c r="W2001" s="1" t="s">
        <v>37</v>
      </c>
      <c r="X2001" s="1" t="s">
        <v>846</v>
      </c>
      <c r="Y2001" s="1" t="s">
        <v>847</v>
      </c>
      <c r="Z2001" s="1" t="str">
        <f>TRIM(_xlfn.CONCAT(sales_data_sample[[#This Row],[CONTACTFIRSTNAME]],", ",sales_data_sample[[#This Row],[CONTACTLASTNAME]]))</f>
        <v>Dan, Lewis</v>
      </c>
      <c r="AA2001" s="1" t="s">
        <v>59</v>
      </c>
    </row>
    <row r="2002" spans="1:27" x14ac:dyDescent="0.25">
      <c r="A2002" s="10">
        <v>10143</v>
      </c>
      <c r="B2002" s="9">
        <v>28</v>
      </c>
      <c r="C2002" s="9">
        <v>6619</v>
      </c>
      <c r="D2002" s="9">
        <f>PRODUCT(sales_data_sample[[#This Row],[QUANTITYORDERED]],sales_data_sample[[#This Row],[PRICEEACH]])</f>
        <v>185332</v>
      </c>
      <c r="E2002" s="9">
        <f>IF(OR(sales_data_sample[[#This Row],[STATUS]]="Shipped",sales_data_sample[[#This Row],[STATUS]]="Resolved"),sales_data_sample[[#This Row],[SALES]],0)</f>
        <v>185332</v>
      </c>
      <c r="F2002" s="10">
        <v>6</v>
      </c>
      <c r="G2002" s="12" t="s">
        <v>453</v>
      </c>
      <c r="H2002" s="1" t="s">
        <v>26</v>
      </c>
      <c r="I2002">
        <v>3</v>
      </c>
      <c r="J2002">
        <v>8</v>
      </c>
      <c r="K2002">
        <v>2003</v>
      </c>
      <c r="L2002" s="1" t="s">
        <v>839</v>
      </c>
      <c r="M2002">
        <v>68</v>
      </c>
      <c r="N2002" s="1" t="s">
        <v>978</v>
      </c>
      <c r="O2002" s="1" t="s">
        <v>454</v>
      </c>
      <c r="P2002" s="1" t="s">
        <v>455</v>
      </c>
      <c r="Q2002" s="1" t="s">
        <v>456</v>
      </c>
      <c r="R2002" s="1" t="s">
        <v>32</v>
      </c>
      <c r="S2002" s="1" t="s">
        <v>215</v>
      </c>
      <c r="T2002" s="1" t="s">
        <v>160</v>
      </c>
      <c r="U2002" s="1" t="s">
        <v>216</v>
      </c>
      <c r="V2002" s="1" t="s">
        <v>36</v>
      </c>
      <c r="W2002" s="1" t="s">
        <v>37</v>
      </c>
      <c r="X2002" s="1" t="s">
        <v>457</v>
      </c>
      <c r="Y2002" s="1" t="s">
        <v>458</v>
      </c>
      <c r="Z2002" s="1" t="str">
        <f>TRIM(_xlfn.CONCAT(sales_data_sample[[#This Row],[CONTACTFIRSTNAME]],", ",sales_data_sample[[#This Row],[CONTACTLASTNAME]]))</f>
        <v>Wing C, Tam</v>
      </c>
      <c r="AA2002" s="1" t="s">
        <v>40</v>
      </c>
    </row>
    <row r="2003" spans="1:27" x14ac:dyDescent="0.25">
      <c r="A2003" s="10">
        <v>10155</v>
      </c>
      <c r="B2003" s="9">
        <v>44</v>
      </c>
      <c r="C2003" s="9">
        <v>7711</v>
      </c>
      <c r="D2003" s="9">
        <f>PRODUCT(sales_data_sample[[#This Row],[QUANTITYORDERED]],sales_data_sample[[#This Row],[PRICEEACH]])</f>
        <v>339284</v>
      </c>
      <c r="E2003" s="9">
        <f>IF(OR(sales_data_sample[[#This Row],[STATUS]]="Shipped",sales_data_sample[[#This Row],[STATUS]]="Resolved"),sales_data_sample[[#This Row],[SALES]],0)</f>
        <v>339284</v>
      </c>
      <c r="F2003" s="10">
        <v>4</v>
      </c>
      <c r="G2003" s="12" t="s">
        <v>459</v>
      </c>
      <c r="H2003" s="1" t="s">
        <v>26</v>
      </c>
      <c r="I2003">
        <v>4</v>
      </c>
      <c r="J2003">
        <v>10</v>
      </c>
      <c r="K2003">
        <v>2003</v>
      </c>
      <c r="L2003" s="1" t="s">
        <v>839</v>
      </c>
      <c r="M2003">
        <v>68</v>
      </c>
      <c r="N2003" s="1" t="s">
        <v>978</v>
      </c>
      <c r="O2003" s="1" t="s">
        <v>165</v>
      </c>
      <c r="P2003" s="1" t="s">
        <v>166</v>
      </c>
      <c r="Q2003" s="1" t="s">
        <v>167</v>
      </c>
      <c r="R2003" s="1" t="s">
        <v>32</v>
      </c>
      <c r="S2003" s="1" t="s">
        <v>168</v>
      </c>
      <c r="T2003" s="1" t="s">
        <v>32</v>
      </c>
      <c r="U2003" s="1" t="s">
        <v>169</v>
      </c>
      <c r="V2003" s="1" t="s">
        <v>170</v>
      </c>
      <c r="W2003" s="1" t="s">
        <v>48</v>
      </c>
      <c r="X2003" s="1" t="s">
        <v>171</v>
      </c>
      <c r="Y2003" s="1" t="s">
        <v>172</v>
      </c>
      <c r="Z2003" s="1" t="str">
        <f>TRIM(_xlfn.CONCAT(sales_data_sample[[#This Row],[CONTACTFIRSTNAME]],", ",sales_data_sample[[#This Row],[CONTACTLASTNAME]]))</f>
        <v>Matti, Karttunen</v>
      </c>
      <c r="AA2003" s="1" t="s">
        <v>59</v>
      </c>
    </row>
    <row r="2004" spans="1:27" x14ac:dyDescent="0.25">
      <c r="A2004" s="10">
        <v>10168</v>
      </c>
      <c r="B2004" s="9">
        <v>27</v>
      </c>
      <c r="C2004" s="9">
        <v>7302</v>
      </c>
      <c r="D2004" s="9">
        <f>PRODUCT(sales_data_sample[[#This Row],[QUANTITYORDERED]],sales_data_sample[[#This Row],[PRICEEACH]])</f>
        <v>197154</v>
      </c>
      <c r="E2004" s="9">
        <f>IF(OR(sales_data_sample[[#This Row],[STATUS]]="Shipped",sales_data_sample[[#This Row],[STATUS]]="Resolved"),sales_data_sample[[#This Row],[SALES]],0)</f>
        <v>197154</v>
      </c>
      <c r="F2004" s="10">
        <v>18</v>
      </c>
      <c r="G2004" s="12" t="s">
        <v>75</v>
      </c>
      <c r="H2004" s="1" t="s">
        <v>26</v>
      </c>
      <c r="I2004">
        <v>4</v>
      </c>
      <c r="J2004">
        <v>10</v>
      </c>
      <c r="K2004">
        <v>2003</v>
      </c>
      <c r="L2004" s="1" t="s">
        <v>839</v>
      </c>
      <c r="M2004">
        <v>68</v>
      </c>
      <c r="N2004" s="1" t="s">
        <v>978</v>
      </c>
      <c r="O2004" s="1" t="s">
        <v>76</v>
      </c>
      <c r="P2004" s="1" t="s">
        <v>77</v>
      </c>
      <c r="Q2004" s="1" t="s">
        <v>78</v>
      </c>
      <c r="R2004" s="1" t="s">
        <v>32</v>
      </c>
      <c r="S2004" s="1" t="s">
        <v>79</v>
      </c>
      <c r="T2004" s="1" t="s">
        <v>65</v>
      </c>
      <c r="U2004" s="1" t="s">
        <v>80</v>
      </c>
      <c r="V2004" s="1" t="s">
        <v>36</v>
      </c>
      <c r="W2004" s="1" t="s">
        <v>37</v>
      </c>
      <c r="X2004" s="1" t="s">
        <v>81</v>
      </c>
      <c r="Y2004" s="1" t="s">
        <v>82</v>
      </c>
      <c r="Z2004" s="1" t="str">
        <f>TRIM(_xlfn.CONCAT(sales_data_sample[[#This Row],[CONTACTFIRSTNAME]],", ",sales_data_sample[[#This Row],[CONTACTLASTNAME]]))</f>
        <v>Juri, Hirano</v>
      </c>
      <c r="AA2004" s="1" t="s">
        <v>40</v>
      </c>
    </row>
    <row r="2005" spans="1:27" x14ac:dyDescent="0.25">
      <c r="A2005" s="10">
        <v>10178</v>
      </c>
      <c r="B2005" s="9">
        <v>30</v>
      </c>
      <c r="C2005" s="9">
        <v>7233</v>
      </c>
      <c r="D2005" s="9">
        <f>PRODUCT(sales_data_sample[[#This Row],[QUANTITYORDERED]],sales_data_sample[[#This Row],[PRICEEACH]])</f>
        <v>216990</v>
      </c>
      <c r="E2005" s="9">
        <f>IF(OR(sales_data_sample[[#This Row],[STATUS]]="Shipped",sales_data_sample[[#This Row],[STATUS]]="Resolved"),sales_data_sample[[#This Row],[SALES]],0)</f>
        <v>216990</v>
      </c>
      <c r="F2005" s="10">
        <v>3</v>
      </c>
      <c r="G2005" s="12" t="s">
        <v>462</v>
      </c>
      <c r="H2005" s="1" t="s">
        <v>26</v>
      </c>
      <c r="I2005">
        <v>4</v>
      </c>
      <c r="J2005">
        <v>11</v>
      </c>
      <c r="K2005">
        <v>2003</v>
      </c>
      <c r="L2005" s="1" t="s">
        <v>839</v>
      </c>
      <c r="M2005">
        <v>68</v>
      </c>
      <c r="N2005" s="1" t="s">
        <v>978</v>
      </c>
      <c r="O2005" s="1" t="s">
        <v>463</v>
      </c>
      <c r="P2005" s="1" t="s">
        <v>464</v>
      </c>
      <c r="Q2005" s="1" t="s">
        <v>465</v>
      </c>
      <c r="R2005" s="1" t="s">
        <v>32</v>
      </c>
      <c r="S2005" s="1" t="s">
        <v>466</v>
      </c>
      <c r="T2005" s="1" t="s">
        <v>32</v>
      </c>
      <c r="U2005" s="1" t="s">
        <v>467</v>
      </c>
      <c r="V2005" s="1" t="s">
        <v>47</v>
      </c>
      <c r="W2005" s="1" t="s">
        <v>48</v>
      </c>
      <c r="X2005" s="1" t="s">
        <v>468</v>
      </c>
      <c r="Y2005" s="1" t="s">
        <v>469</v>
      </c>
      <c r="Z2005" s="1" t="str">
        <f>TRIM(_xlfn.CONCAT(sales_data_sample[[#This Row],[CONTACTFIRSTNAME]],", ",sales_data_sample[[#This Row],[CONTACTLASTNAME]]))</f>
        <v>Annette, Roulet</v>
      </c>
      <c r="AA2005" s="1" t="s">
        <v>40</v>
      </c>
    </row>
    <row r="2006" spans="1:27" x14ac:dyDescent="0.25">
      <c r="A2006" s="10">
        <v>10198</v>
      </c>
      <c r="B2006" s="9">
        <v>43</v>
      </c>
      <c r="C2006" s="9">
        <v>6619</v>
      </c>
      <c r="D2006" s="9">
        <f>PRODUCT(sales_data_sample[[#This Row],[QUANTITYORDERED]],sales_data_sample[[#This Row],[PRICEEACH]])</f>
        <v>284617</v>
      </c>
      <c r="E2006" s="9">
        <f>IF(OR(sales_data_sample[[#This Row],[STATUS]]="Shipped",sales_data_sample[[#This Row],[STATUS]]="Resolved"),sales_data_sample[[#This Row],[SALES]],0)</f>
        <v>284617</v>
      </c>
      <c r="F2006" s="10">
        <v>3</v>
      </c>
      <c r="G2006" s="12" t="s">
        <v>848</v>
      </c>
      <c r="H2006" s="1" t="s">
        <v>26</v>
      </c>
      <c r="I2006">
        <v>4</v>
      </c>
      <c r="J2006">
        <v>11</v>
      </c>
      <c r="K2006">
        <v>2003</v>
      </c>
      <c r="L2006" s="1" t="s">
        <v>839</v>
      </c>
      <c r="M2006">
        <v>68</v>
      </c>
      <c r="N2006" s="1" t="s">
        <v>978</v>
      </c>
      <c r="O2006" s="1" t="s">
        <v>591</v>
      </c>
      <c r="P2006" s="1" t="s">
        <v>592</v>
      </c>
      <c r="Q2006" s="1" t="s">
        <v>593</v>
      </c>
      <c r="R2006" s="1" t="s">
        <v>32</v>
      </c>
      <c r="S2006" s="1" t="s">
        <v>594</v>
      </c>
      <c r="T2006" s="1" t="s">
        <v>32</v>
      </c>
      <c r="U2006" s="1" t="s">
        <v>595</v>
      </c>
      <c r="V2006" s="1" t="s">
        <v>596</v>
      </c>
      <c r="W2006" s="1" t="s">
        <v>264</v>
      </c>
      <c r="X2006" s="1" t="s">
        <v>597</v>
      </c>
      <c r="Y2006" s="1" t="s">
        <v>598</v>
      </c>
      <c r="Z2006" s="1" t="str">
        <f>TRIM(_xlfn.CONCAT(sales_data_sample[[#This Row],[CONTACTFIRSTNAME]],", ",sales_data_sample[[#This Row],[CONTACTLASTNAME]]))</f>
        <v>Arnold, Cruz</v>
      </c>
      <c r="AA2006" s="1" t="s">
        <v>40</v>
      </c>
    </row>
    <row r="2007" spans="1:27" x14ac:dyDescent="0.25">
      <c r="A2007" s="10">
        <v>10210</v>
      </c>
      <c r="B2007" s="9">
        <v>29</v>
      </c>
      <c r="C2007" s="9">
        <v>696</v>
      </c>
      <c r="D2007" s="9">
        <f>PRODUCT(sales_data_sample[[#This Row],[QUANTITYORDERED]],sales_data_sample[[#This Row],[PRICEEACH]])</f>
        <v>20184</v>
      </c>
      <c r="E2007" s="9">
        <f>IF(OR(sales_data_sample[[#This Row],[STATUS]]="Shipped",sales_data_sample[[#This Row],[STATUS]]="Resolved"),sales_data_sample[[#This Row],[SALES]],0)</f>
        <v>20184</v>
      </c>
      <c r="F2007" s="10">
        <v>16</v>
      </c>
      <c r="G2007" s="12" t="s">
        <v>406</v>
      </c>
      <c r="H2007" s="1" t="s">
        <v>26</v>
      </c>
      <c r="I2007">
        <v>1</v>
      </c>
      <c r="J2007">
        <v>1</v>
      </c>
      <c r="K2007">
        <v>2004</v>
      </c>
      <c r="L2007" s="1" t="s">
        <v>839</v>
      </c>
      <c r="M2007">
        <v>68</v>
      </c>
      <c r="N2007" s="1" t="s">
        <v>978</v>
      </c>
      <c r="O2007" s="1" t="s">
        <v>407</v>
      </c>
      <c r="P2007" s="1" t="s">
        <v>408</v>
      </c>
      <c r="Q2007" s="1" t="s">
        <v>409</v>
      </c>
      <c r="R2007" s="1" t="s">
        <v>32</v>
      </c>
      <c r="S2007" s="1" t="s">
        <v>410</v>
      </c>
      <c r="T2007" s="1" t="s">
        <v>410</v>
      </c>
      <c r="U2007" s="1" t="s">
        <v>411</v>
      </c>
      <c r="V2007" s="1" t="s">
        <v>264</v>
      </c>
      <c r="W2007" s="1" t="s">
        <v>264</v>
      </c>
      <c r="X2007" s="1" t="s">
        <v>412</v>
      </c>
      <c r="Y2007" s="1" t="s">
        <v>413</v>
      </c>
      <c r="Z2007" s="1" t="str">
        <f>TRIM(_xlfn.CONCAT(sales_data_sample[[#This Row],[CONTACTFIRSTNAME]],", ",sales_data_sample[[#This Row],[CONTACTLASTNAME]]))</f>
        <v>Mory, Kentary</v>
      </c>
      <c r="AA2007" s="1" t="s">
        <v>40</v>
      </c>
    </row>
    <row r="2008" spans="1:27" x14ac:dyDescent="0.25">
      <c r="A2008" s="10">
        <v>10222</v>
      </c>
      <c r="B2008" s="9">
        <v>48</v>
      </c>
      <c r="C2008" s="9">
        <v>5664</v>
      </c>
      <c r="D2008" s="9">
        <f>PRODUCT(sales_data_sample[[#This Row],[QUANTITYORDERED]],sales_data_sample[[#This Row],[PRICEEACH]])</f>
        <v>271872</v>
      </c>
      <c r="E2008" s="9">
        <f>IF(OR(sales_data_sample[[#This Row],[STATUS]]="Shipped",sales_data_sample[[#This Row],[STATUS]]="Resolved"),sales_data_sample[[#This Row],[SALES]],0)</f>
        <v>271872</v>
      </c>
      <c r="F2008" s="10">
        <v>3</v>
      </c>
      <c r="G2008" s="12" t="s">
        <v>491</v>
      </c>
      <c r="H2008" s="1" t="s">
        <v>26</v>
      </c>
      <c r="I2008">
        <v>1</v>
      </c>
      <c r="J2008">
        <v>2</v>
      </c>
      <c r="K2008">
        <v>2004</v>
      </c>
      <c r="L2008" s="1" t="s">
        <v>839</v>
      </c>
      <c r="M2008">
        <v>68</v>
      </c>
      <c r="N2008" s="1" t="s">
        <v>978</v>
      </c>
      <c r="O2008" s="1" t="s">
        <v>492</v>
      </c>
      <c r="P2008" s="1" t="s">
        <v>493</v>
      </c>
      <c r="Q2008" s="1" t="s">
        <v>494</v>
      </c>
      <c r="R2008" s="1" t="s">
        <v>32</v>
      </c>
      <c r="S2008" s="1" t="s">
        <v>495</v>
      </c>
      <c r="T2008" s="1" t="s">
        <v>65</v>
      </c>
      <c r="U2008" s="1" t="s">
        <v>496</v>
      </c>
      <c r="V2008" s="1" t="s">
        <v>36</v>
      </c>
      <c r="W2008" s="1" t="s">
        <v>37</v>
      </c>
      <c r="X2008" s="1" t="s">
        <v>313</v>
      </c>
      <c r="Y2008" s="1" t="s">
        <v>366</v>
      </c>
      <c r="Z2008" s="1" t="str">
        <f>TRIM(_xlfn.CONCAT(sales_data_sample[[#This Row],[CONTACTFIRSTNAME]],", ",sales_data_sample[[#This Row],[CONTACTLASTNAME]]))</f>
        <v>Valarie, Thompson</v>
      </c>
      <c r="AA2008" s="1" t="s">
        <v>40</v>
      </c>
    </row>
    <row r="2009" spans="1:27" x14ac:dyDescent="0.25">
      <c r="A2009" s="10">
        <v>10235</v>
      </c>
      <c r="B2009" s="9">
        <v>33</v>
      </c>
      <c r="C2009" s="9">
        <v>6005</v>
      </c>
      <c r="D2009" s="9">
        <f>PRODUCT(sales_data_sample[[#This Row],[QUANTITYORDERED]],sales_data_sample[[#This Row],[PRICEEACH]])</f>
        <v>198165</v>
      </c>
      <c r="E2009" s="9">
        <f>IF(OR(sales_data_sample[[#This Row],[STATUS]]="Shipped",sales_data_sample[[#This Row],[STATUS]]="Resolved"),sales_data_sample[[#This Row],[SALES]],0)</f>
        <v>198165</v>
      </c>
      <c r="F2009" s="10">
        <v>12</v>
      </c>
      <c r="G2009" s="12" t="s">
        <v>892</v>
      </c>
      <c r="H2009" s="1" t="s">
        <v>26</v>
      </c>
      <c r="I2009">
        <v>2</v>
      </c>
      <c r="J2009">
        <v>4</v>
      </c>
      <c r="K2009">
        <v>2004</v>
      </c>
      <c r="L2009" s="1" t="s">
        <v>839</v>
      </c>
      <c r="M2009">
        <v>68</v>
      </c>
      <c r="N2009" s="1" t="s">
        <v>978</v>
      </c>
      <c r="O2009" s="1" t="s">
        <v>509</v>
      </c>
      <c r="P2009" s="1" t="s">
        <v>510</v>
      </c>
      <c r="Q2009" s="1" t="s">
        <v>511</v>
      </c>
      <c r="R2009" s="1" t="s">
        <v>32</v>
      </c>
      <c r="S2009" s="1" t="s">
        <v>512</v>
      </c>
      <c r="T2009" s="1" t="s">
        <v>303</v>
      </c>
      <c r="U2009" s="1" t="s">
        <v>513</v>
      </c>
      <c r="V2009" s="1" t="s">
        <v>305</v>
      </c>
      <c r="W2009" s="1" t="s">
        <v>37</v>
      </c>
      <c r="X2009" s="1" t="s">
        <v>514</v>
      </c>
      <c r="Y2009" s="1" t="s">
        <v>227</v>
      </c>
      <c r="Z2009" s="1" t="str">
        <f>TRIM(_xlfn.CONCAT(sales_data_sample[[#This Row],[CONTACTFIRSTNAME]],", ",sales_data_sample[[#This Row],[CONTACTLASTNAME]]))</f>
        <v>Elizabeth, Lincoln</v>
      </c>
      <c r="AA2009" s="1" t="s">
        <v>40</v>
      </c>
    </row>
    <row r="2010" spans="1:27" x14ac:dyDescent="0.25">
      <c r="A2010" s="10">
        <v>10250</v>
      </c>
      <c r="B2010" s="9">
        <v>40</v>
      </c>
      <c r="C2010" s="9">
        <v>7506</v>
      </c>
      <c r="D2010" s="9">
        <f>PRODUCT(sales_data_sample[[#This Row],[QUANTITYORDERED]],sales_data_sample[[#This Row],[PRICEEACH]])</f>
        <v>300240</v>
      </c>
      <c r="E2010" s="9">
        <f>IF(OR(sales_data_sample[[#This Row],[STATUS]]="Shipped",sales_data_sample[[#This Row],[STATUS]]="Resolved"),sales_data_sample[[#This Row],[SALES]],0)</f>
        <v>300240</v>
      </c>
      <c r="F2010" s="10">
        <v>13</v>
      </c>
      <c r="G2010" s="12" t="s">
        <v>849</v>
      </c>
      <c r="H2010" s="1" t="s">
        <v>26</v>
      </c>
      <c r="I2010">
        <v>2</v>
      </c>
      <c r="J2010">
        <v>5</v>
      </c>
      <c r="K2010">
        <v>2004</v>
      </c>
      <c r="L2010" s="1" t="s">
        <v>839</v>
      </c>
      <c r="M2010">
        <v>68</v>
      </c>
      <c r="N2010" s="1" t="s">
        <v>978</v>
      </c>
      <c r="O2010" s="1" t="s">
        <v>547</v>
      </c>
      <c r="P2010" s="1" t="s">
        <v>548</v>
      </c>
      <c r="Q2010" s="1" t="s">
        <v>549</v>
      </c>
      <c r="R2010" s="1" t="s">
        <v>32</v>
      </c>
      <c r="S2010" s="1" t="s">
        <v>550</v>
      </c>
      <c r="T2010" s="1" t="s">
        <v>65</v>
      </c>
      <c r="U2010" s="1" t="s">
        <v>80</v>
      </c>
      <c r="V2010" s="1" t="s">
        <v>36</v>
      </c>
      <c r="W2010" s="1" t="s">
        <v>37</v>
      </c>
      <c r="X2010" s="1" t="s">
        <v>129</v>
      </c>
      <c r="Y2010" s="1" t="s">
        <v>551</v>
      </c>
      <c r="Z2010" s="1" t="str">
        <f>TRIM(_xlfn.CONCAT(sales_data_sample[[#This Row],[CONTACTFIRSTNAME]],", ",sales_data_sample[[#This Row],[CONTACTLASTNAME]]))</f>
        <v>Sue, Frick</v>
      </c>
      <c r="AA2010" s="1" t="s">
        <v>59</v>
      </c>
    </row>
    <row r="2011" spans="1:27" x14ac:dyDescent="0.25">
      <c r="A2011" s="10">
        <v>10262</v>
      </c>
      <c r="B2011" s="9">
        <v>48</v>
      </c>
      <c r="C2011" s="9">
        <v>6142</v>
      </c>
      <c r="D2011" s="9">
        <f>PRODUCT(sales_data_sample[[#This Row],[QUANTITYORDERED]],sales_data_sample[[#This Row],[PRICEEACH]])</f>
        <v>294816</v>
      </c>
      <c r="E2011" s="9">
        <f>IF(OR(sales_data_sample[[#This Row],[STATUS]]="Shipped",sales_data_sample[[#This Row],[STATUS]]="Resolved"),sales_data_sample[[#This Row],[SALES]],0)</f>
        <v>0</v>
      </c>
      <c r="F2011" s="10">
        <v>8</v>
      </c>
      <c r="G2011" s="12" t="s">
        <v>850</v>
      </c>
      <c r="H2011" s="1" t="s">
        <v>461</v>
      </c>
      <c r="I2011">
        <v>2</v>
      </c>
      <c r="J2011">
        <v>6</v>
      </c>
      <c r="K2011">
        <v>2004</v>
      </c>
      <c r="L2011" s="1" t="s">
        <v>839</v>
      </c>
      <c r="M2011">
        <v>68</v>
      </c>
      <c r="N2011" s="1" t="s">
        <v>978</v>
      </c>
      <c r="O2011" s="1" t="s">
        <v>230</v>
      </c>
      <c r="P2011" s="1" t="s">
        <v>231</v>
      </c>
      <c r="Q2011" s="1" t="s">
        <v>232</v>
      </c>
      <c r="R2011" s="1" t="s">
        <v>32</v>
      </c>
      <c r="S2011" s="1" t="s">
        <v>233</v>
      </c>
      <c r="T2011" s="1" t="s">
        <v>32</v>
      </c>
      <c r="U2011" s="1" t="s">
        <v>234</v>
      </c>
      <c r="V2011" s="1" t="s">
        <v>235</v>
      </c>
      <c r="W2011" s="1" t="s">
        <v>48</v>
      </c>
      <c r="X2011" s="1" t="s">
        <v>236</v>
      </c>
      <c r="Y2011" s="1" t="s">
        <v>237</v>
      </c>
      <c r="Z2011" s="1" t="str">
        <f>TRIM(_xlfn.CONCAT(sales_data_sample[[#This Row],[CONTACTFIRSTNAME]],", ",sales_data_sample[[#This Row],[CONTACTLASTNAME]]))</f>
        <v>Diego, Freyre</v>
      </c>
      <c r="AA2011" s="1" t="s">
        <v>40</v>
      </c>
    </row>
    <row r="2012" spans="1:27" x14ac:dyDescent="0.25">
      <c r="A2012" s="10">
        <v>10275</v>
      </c>
      <c r="B2012" s="9">
        <v>41</v>
      </c>
      <c r="C2012" s="9">
        <v>8189</v>
      </c>
      <c r="D2012" s="9">
        <f>PRODUCT(sales_data_sample[[#This Row],[QUANTITYORDERED]],sales_data_sample[[#This Row],[PRICEEACH]])</f>
        <v>335749</v>
      </c>
      <c r="E2012" s="9">
        <f>IF(OR(sales_data_sample[[#This Row],[STATUS]]="Shipped",sales_data_sample[[#This Row],[STATUS]]="Resolved"),sales_data_sample[[#This Row],[SALES]],0)</f>
        <v>335749</v>
      </c>
      <c r="F2012" s="10">
        <v>18</v>
      </c>
      <c r="G2012" s="12" t="s">
        <v>147</v>
      </c>
      <c r="H2012" s="1" t="s">
        <v>26</v>
      </c>
      <c r="I2012">
        <v>3</v>
      </c>
      <c r="J2012">
        <v>7</v>
      </c>
      <c r="K2012">
        <v>2004</v>
      </c>
      <c r="L2012" s="1" t="s">
        <v>839</v>
      </c>
      <c r="M2012">
        <v>68</v>
      </c>
      <c r="N2012" s="1" t="s">
        <v>978</v>
      </c>
      <c r="O2012" s="1" t="s">
        <v>148</v>
      </c>
      <c r="P2012" s="1" t="s">
        <v>149</v>
      </c>
      <c r="Q2012" s="1" t="s">
        <v>150</v>
      </c>
      <c r="R2012" s="1" t="s">
        <v>32</v>
      </c>
      <c r="S2012" s="1" t="s">
        <v>151</v>
      </c>
      <c r="T2012" s="1" t="s">
        <v>32</v>
      </c>
      <c r="U2012" s="1" t="s">
        <v>152</v>
      </c>
      <c r="V2012" s="1" t="s">
        <v>47</v>
      </c>
      <c r="W2012" s="1" t="s">
        <v>48</v>
      </c>
      <c r="X2012" s="1" t="s">
        <v>153</v>
      </c>
      <c r="Y2012" s="1" t="s">
        <v>154</v>
      </c>
      <c r="Z2012" s="1" t="str">
        <f>TRIM(_xlfn.CONCAT(sales_data_sample[[#This Row],[CONTACTFIRSTNAME]],", ",sales_data_sample[[#This Row],[CONTACTLASTNAME]]))</f>
        <v>Janine, Labrune</v>
      </c>
      <c r="AA2012" s="1" t="s">
        <v>59</v>
      </c>
    </row>
    <row r="2013" spans="1:27" x14ac:dyDescent="0.25">
      <c r="A2013" s="10">
        <v>10284</v>
      </c>
      <c r="B2013" s="9">
        <v>21</v>
      </c>
      <c r="C2013" s="9">
        <v>5596</v>
      </c>
      <c r="D2013" s="9">
        <f>PRODUCT(sales_data_sample[[#This Row],[QUANTITYORDERED]],sales_data_sample[[#This Row],[PRICEEACH]])</f>
        <v>117516</v>
      </c>
      <c r="E2013" s="9">
        <f>IF(OR(sales_data_sample[[#This Row],[STATUS]]="Shipped",sales_data_sample[[#This Row],[STATUS]]="Resolved"),sales_data_sample[[#This Row],[SALES]],0)</f>
        <v>117516</v>
      </c>
      <c r="F2013" s="10">
        <v>10</v>
      </c>
      <c r="G2013" s="12" t="s">
        <v>851</v>
      </c>
      <c r="H2013" s="1" t="s">
        <v>26</v>
      </c>
      <c r="I2013">
        <v>3</v>
      </c>
      <c r="J2013">
        <v>8</v>
      </c>
      <c r="K2013">
        <v>2004</v>
      </c>
      <c r="L2013" s="1" t="s">
        <v>839</v>
      </c>
      <c r="M2013">
        <v>68</v>
      </c>
      <c r="N2013" s="1" t="s">
        <v>978</v>
      </c>
      <c r="O2013" s="1" t="s">
        <v>786</v>
      </c>
      <c r="P2013" s="1" t="s">
        <v>787</v>
      </c>
      <c r="Q2013" s="1" t="s">
        <v>788</v>
      </c>
      <c r="R2013" s="1" t="s">
        <v>32</v>
      </c>
      <c r="S2013" s="1" t="s">
        <v>789</v>
      </c>
      <c r="T2013" s="1" t="s">
        <v>32</v>
      </c>
      <c r="U2013" s="1" t="s">
        <v>790</v>
      </c>
      <c r="V2013" s="1" t="s">
        <v>97</v>
      </c>
      <c r="W2013" s="1" t="s">
        <v>48</v>
      </c>
      <c r="X2013" s="1" t="s">
        <v>791</v>
      </c>
      <c r="Y2013" s="1" t="s">
        <v>792</v>
      </c>
      <c r="Z2013" s="1" t="str">
        <f>TRIM(_xlfn.CONCAT(sales_data_sample[[#This Row],[CONTACTFIRSTNAME]],", ",sales_data_sample[[#This Row],[CONTACTLASTNAME]]))</f>
        <v>Jan, Klaeboe</v>
      </c>
      <c r="AA2013" s="1" t="s">
        <v>40</v>
      </c>
    </row>
    <row r="2014" spans="1:27" x14ac:dyDescent="0.25">
      <c r="A2014" s="10">
        <v>10296</v>
      </c>
      <c r="B2014" s="9">
        <v>32</v>
      </c>
      <c r="C2014" s="9">
        <v>7165</v>
      </c>
      <c r="D2014" s="9">
        <f>PRODUCT(sales_data_sample[[#This Row],[QUANTITYORDERED]],sales_data_sample[[#This Row],[PRICEEACH]])</f>
        <v>229280</v>
      </c>
      <c r="E2014" s="9">
        <f>IF(OR(sales_data_sample[[#This Row],[STATUS]]="Shipped",sales_data_sample[[#This Row],[STATUS]]="Resolved"),sales_data_sample[[#This Row],[SALES]],0)</f>
        <v>229280</v>
      </c>
      <c r="F2014" s="10">
        <v>6</v>
      </c>
      <c r="G2014" s="12" t="s">
        <v>852</v>
      </c>
      <c r="H2014" s="1" t="s">
        <v>26</v>
      </c>
      <c r="I2014">
        <v>3</v>
      </c>
      <c r="J2014">
        <v>9</v>
      </c>
      <c r="K2014">
        <v>2004</v>
      </c>
      <c r="L2014" s="1" t="s">
        <v>839</v>
      </c>
      <c r="M2014">
        <v>68</v>
      </c>
      <c r="N2014" s="1" t="s">
        <v>978</v>
      </c>
      <c r="O2014" s="1" t="s">
        <v>853</v>
      </c>
      <c r="P2014" s="1" t="s">
        <v>854</v>
      </c>
      <c r="Q2014" s="1" t="s">
        <v>855</v>
      </c>
      <c r="R2014" s="1" t="s">
        <v>32</v>
      </c>
      <c r="S2014" s="1" t="s">
        <v>856</v>
      </c>
      <c r="T2014" s="1" t="s">
        <v>32</v>
      </c>
      <c r="U2014" s="1" t="s">
        <v>857</v>
      </c>
      <c r="V2014" s="1" t="s">
        <v>617</v>
      </c>
      <c r="W2014" s="1" t="s">
        <v>48</v>
      </c>
      <c r="X2014" s="1" t="s">
        <v>858</v>
      </c>
      <c r="Y2014" s="1" t="s">
        <v>130</v>
      </c>
      <c r="Z2014" s="1" t="str">
        <f>TRIM(_xlfn.CONCAT(sales_data_sample[[#This Row],[CONTACTFIRSTNAME]],", ",sales_data_sample[[#This Row],[CONTACTLASTNAME]]))</f>
        <v>Michael, Donnermeyer</v>
      </c>
      <c r="AA2014" s="1" t="s">
        <v>40</v>
      </c>
    </row>
    <row r="2015" spans="1:27" x14ac:dyDescent="0.25">
      <c r="A2015" s="10">
        <v>10308</v>
      </c>
      <c r="B2015" s="9">
        <v>43</v>
      </c>
      <c r="C2015" s="9">
        <v>7643</v>
      </c>
      <c r="D2015" s="9">
        <f>PRODUCT(sales_data_sample[[#This Row],[QUANTITYORDERED]],sales_data_sample[[#This Row],[PRICEEACH]])</f>
        <v>328649</v>
      </c>
      <c r="E2015" s="9">
        <f>IF(OR(sales_data_sample[[#This Row],[STATUS]]="Shipped",sales_data_sample[[#This Row],[STATUS]]="Resolved"),sales_data_sample[[#This Row],[SALES]],0)</f>
        <v>328649</v>
      </c>
      <c r="F2015" s="10">
        <v>16</v>
      </c>
      <c r="G2015" s="12" t="s">
        <v>173</v>
      </c>
      <c r="H2015" s="1" t="s">
        <v>26</v>
      </c>
      <c r="I2015">
        <v>4</v>
      </c>
      <c r="J2015">
        <v>10</v>
      </c>
      <c r="K2015">
        <v>2004</v>
      </c>
      <c r="L2015" s="1" t="s">
        <v>839</v>
      </c>
      <c r="M2015">
        <v>68</v>
      </c>
      <c r="N2015" s="1" t="s">
        <v>978</v>
      </c>
      <c r="O2015" s="1" t="s">
        <v>425</v>
      </c>
      <c r="P2015" s="1" t="s">
        <v>426</v>
      </c>
      <c r="Q2015" s="1" t="s">
        <v>427</v>
      </c>
      <c r="R2015" s="1" t="s">
        <v>32</v>
      </c>
      <c r="S2015" s="1" t="s">
        <v>428</v>
      </c>
      <c r="T2015" s="1" t="s">
        <v>34</v>
      </c>
      <c r="U2015" s="1" t="s">
        <v>429</v>
      </c>
      <c r="V2015" s="1" t="s">
        <v>36</v>
      </c>
      <c r="W2015" s="1" t="s">
        <v>37</v>
      </c>
      <c r="X2015" s="1" t="s">
        <v>129</v>
      </c>
      <c r="Y2015" s="1" t="s">
        <v>314</v>
      </c>
      <c r="Z2015" s="1" t="str">
        <f>TRIM(_xlfn.CONCAT(sales_data_sample[[#This Row],[CONTACTFIRSTNAME]],", ",sales_data_sample[[#This Row],[CONTACTLASTNAME]]))</f>
        <v>Steve, Frick</v>
      </c>
      <c r="AA2015" s="1" t="s">
        <v>59</v>
      </c>
    </row>
    <row r="2016" spans="1:27" x14ac:dyDescent="0.25">
      <c r="A2016" s="10">
        <v>10316</v>
      </c>
      <c r="B2016" s="9">
        <v>30</v>
      </c>
      <c r="C2016" s="9">
        <v>7779</v>
      </c>
      <c r="D2016" s="9">
        <f>PRODUCT(sales_data_sample[[#This Row],[QUANTITYORDERED]],sales_data_sample[[#This Row],[PRICEEACH]])</f>
        <v>233370</v>
      </c>
      <c r="E2016" s="9">
        <f>IF(OR(sales_data_sample[[#This Row],[STATUS]]="Shipped",sales_data_sample[[#This Row],[STATUS]]="Resolved"),sales_data_sample[[#This Row],[SALES]],0)</f>
        <v>233370</v>
      </c>
      <c r="F2016" s="10">
        <v>8</v>
      </c>
      <c r="G2016" s="12" t="s">
        <v>523</v>
      </c>
      <c r="H2016" s="1" t="s">
        <v>26</v>
      </c>
      <c r="I2016">
        <v>4</v>
      </c>
      <c r="J2016">
        <v>11</v>
      </c>
      <c r="K2016">
        <v>2004</v>
      </c>
      <c r="L2016" s="1" t="s">
        <v>839</v>
      </c>
      <c r="M2016">
        <v>68</v>
      </c>
      <c r="N2016" s="1" t="s">
        <v>978</v>
      </c>
      <c r="O2016" s="1" t="s">
        <v>524</v>
      </c>
      <c r="P2016" s="1" t="s">
        <v>525</v>
      </c>
      <c r="Q2016" s="1" t="s">
        <v>526</v>
      </c>
      <c r="R2016" s="1" t="s">
        <v>32</v>
      </c>
      <c r="S2016" s="1" t="s">
        <v>527</v>
      </c>
      <c r="T2016" s="1" t="s">
        <v>528</v>
      </c>
      <c r="U2016" s="1" t="s">
        <v>529</v>
      </c>
      <c r="V2016" s="1" t="s">
        <v>225</v>
      </c>
      <c r="W2016" s="1" t="s">
        <v>48</v>
      </c>
      <c r="X2016" s="1" t="s">
        <v>530</v>
      </c>
      <c r="Y2016" s="1" t="s">
        <v>531</v>
      </c>
      <c r="Z2016" s="1" t="str">
        <f>TRIM(_xlfn.CONCAT(sales_data_sample[[#This Row],[CONTACTFIRSTNAME]],", ",sales_data_sample[[#This Row],[CONTACTLASTNAME]]))</f>
        <v>Helen, Bennett</v>
      </c>
      <c r="AA2016" s="1" t="s">
        <v>40</v>
      </c>
    </row>
    <row r="2017" spans="1:27" x14ac:dyDescent="0.25">
      <c r="A2017" s="10">
        <v>10328</v>
      </c>
      <c r="B2017" s="9">
        <v>35</v>
      </c>
      <c r="C2017" s="9">
        <v>7643</v>
      </c>
      <c r="D2017" s="9">
        <f>PRODUCT(sales_data_sample[[#This Row],[QUANTITYORDERED]],sales_data_sample[[#This Row],[PRICEEACH]])</f>
        <v>267505</v>
      </c>
      <c r="E2017" s="9">
        <f>IF(OR(sales_data_sample[[#This Row],[STATUS]]="Shipped",sales_data_sample[[#This Row],[STATUS]]="Resolved"),sales_data_sample[[#This Row],[SALES]],0)</f>
        <v>267505</v>
      </c>
      <c r="F2017" s="10">
        <v>3</v>
      </c>
      <c r="G2017" s="12" t="s">
        <v>936</v>
      </c>
      <c r="H2017" s="1" t="s">
        <v>26</v>
      </c>
      <c r="I2017">
        <v>4</v>
      </c>
      <c r="J2017">
        <v>11</v>
      </c>
      <c r="K2017">
        <v>2004</v>
      </c>
      <c r="L2017" s="1" t="s">
        <v>839</v>
      </c>
      <c r="M2017">
        <v>68</v>
      </c>
      <c r="N2017" s="1" t="s">
        <v>978</v>
      </c>
      <c r="O2017" s="1" t="s">
        <v>806</v>
      </c>
      <c r="P2017" s="1" t="s">
        <v>807</v>
      </c>
      <c r="Q2017" s="1" t="s">
        <v>808</v>
      </c>
      <c r="R2017" s="1" t="s">
        <v>32</v>
      </c>
      <c r="S2017" s="1" t="s">
        <v>809</v>
      </c>
      <c r="T2017" s="1" t="s">
        <v>32</v>
      </c>
      <c r="U2017" s="1" t="s">
        <v>810</v>
      </c>
      <c r="V2017" s="1" t="s">
        <v>343</v>
      </c>
      <c r="W2017" s="1" t="s">
        <v>48</v>
      </c>
      <c r="X2017" s="1" t="s">
        <v>811</v>
      </c>
      <c r="Y2017" s="1" t="s">
        <v>812</v>
      </c>
      <c r="Z2017" s="1" t="str">
        <f>TRIM(_xlfn.CONCAT(sales_data_sample[[#This Row],[CONTACTFIRSTNAME]],", ",sales_data_sample[[#This Row],[CONTACTLASTNAME]]))</f>
        <v>Giovanni, Rovelli</v>
      </c>
      <c r="AA2017" s="1" t="s">
        <v>40</v>
      </c>
    </row>
    <row r="2018" spans="1:27" x14ac:dyDescent="0.25">
      <c r="A2018" s="10">
        <v>10339</v>
      </c>
      <c r="B2018" s="9">
        <v>45</v>
      </c>
      <c r="C2018" s="9">
        <v>9692</v>
      </c>
      <c r="D2018" s="9">
        <f>PRODUCT(sales_data_sample[[#This Row],[QUANTITYORDERED]],sales_data_sample[[#This Row],[PRICEEACH]])</f>
        <v>436140</v>
      </c>
      <c r="E2018" s="9">
        <f>IF(OR(sales_data_sample[[#This Row],[STATUS]]="Shipped",sales_data_sample[[#This Row],[STATUS]]="Resolved"),sales_data_sample[[#This Row],[SALES]],0)</f>
        <v>436140</v>
      </c>
      <c r="F2018" s="10">
        <v>11</v>
      </c>
      <c r="G2018" s="12" t="s">
        <v>430</v>
      </c>
      <c r="H2018" s="1" t="s">
        <v>26</v>
      </c>
      <c r="I2018">
        <v>4</v>
      </c>
      <c r="J2018">
        <v>11</v>
      </c>
      <c r="K2018">
        <v>2004</v>
      </c>
      <c r="L2018" s="1" t="s">
        <v>839</v>
      </c>
      <c r="M2018">
        <v>68</v>
      </c>
      <c r="N2018" s="1" t="s">
        <v>978</v>
      </c>
      <c r="O2018" s="1" t="s">
        <v>328</v>
      </c>
      <c r="P2018" s="1" t="s">
        <v>329</v>
      </c>
      <c r="Q2018" s="1" t="s">
        <v>330</v>
      </c>
      <c r="R2018" s="1" t="s">
        <v>32</v>
      </c>
      <c r="S2018" s="1" t="s">
        <v>331</v>
      </c>
      <c r="T2018" s="1" t="s">
        <v>332</v>
      </c>
      <c r="U2018" s="1" t="s">
        <v>333</v>
      </c>
      <c r="V2018" s="1" t="s">
        <v>264</v>
      </c>
      <c r="W2018" s="1" t="s">
        <v>264</v>
      </c>
      <c r="X2018" s="1" t="s">
        <v>334</v>
      </c>
      <c r="Y2018" s="1" t="s">
        <v>335</v>
      </c>
      <c r="Z2018" s="1" t="str">
        <f>TRIM(_xlfn.CONCAT(sales_data_sample[[#This Row],[CONTACTFIRSTNAME]],", ",sales_data_sample[[#This Row],[CONTACTLASTNAME]]))</f>
        <v>Akiko, Shimamura</v>
      </c>
      <c r="AA2018" s="1" t="s">
        <v>59</v>
      </c>
    </row>
    <row r="2019" spans="1:27" x14ac:dyDescent="0.25">
      <c r="A2019" s="10">
        <v>10351</v>
      </c>
      <c r="B2019" s="9">
        <v>34</v>
      </c>
      <c r="C2019" s="9">
        <v>5937</v>
      </c>
      <c r="D2019" s="9">
        <f>PRODUCT(sales_data_sample[[#This Row],[QUANTITYORDERED]],sales_data_sample[[#This Row],[PRICEEACH]])</f>
        <v>201858</v>
      </c>
      <c r="E2019" s="9">
        <f>IF(OR(sales_data_sample[[#This Row],[STATUS]]="Shipped",sales_data_sample[[#This Row],[STATUS]]="Resolved"),sales_data_sample[[#This Row],[SALES]],0)</f>
        <v>201858</v>
      </c>
      <c r="F2019" s="10">
        <v>3</v>
      </c>
      <c r="G2019" s="12" t="s">
        <v>868</v>
      </c>
      <c r="H2019" s="1" t="s">
        <v>26</v>
      </c>
      <c r="I2019">
        <v>4</v>
      </c>
      <c r="J2019">
        <v>12</v>
      </c>
      <c r="K2019">
        <v>2004</v>
      </c>
      <c r="L2019" s="1" t="s">
        <v>839</v>
      </c>
      <c r="M2019">
        <v>68</v>
      </c>
      <c r="N2019" s="1" t="s">
        <v>978</v>
      </c>
      <c r="O2019" s="1" t="s">
        <v>447</v>
      </c>
      <c r="P2019" s="1" t="s">
        <v>448</v>
      </c>
      <c r="Q2019" s="1" t="s">
        <v>449</v>
      </c>
      <c r="R2019" s="1" t="s">
        <v>32</v>
      </c>
      <c r="S2019" s="1" t="s">
        <v>450</v>
      </c>
      <c r="T2019" s="1" t="s">
        <v>32</v>
      </c>
      <c r="U2019" s="1" t="s">
        <v>451</v>
      </c>
      <c r="V2019" s="1" t="s">
        <v>225</v>
      </c>
      <c r="W2019" s="1" t="s">
        <v>48</v>
      </c>
      <c r="X2019" s="1" t="s">
        <v>74</v>
      </c>
      <c r="Y2019" s="1" t="s">
        <v>452</v>
      </c>
      <c r="Z2019" s="1" t="str">
        <f>TRIM(_xlfn.CONCAT(sales_data_sample[[#This Row],[CONTACTFIRSTNAME]],", ",sales_data_sample[[#This Row],[CONTACTLASTNAME]]))</f>
        <v>Ann, Brown</v>
      </c>
      <c r="AA2019" s="1" t="s">
        <v>40</v>
      </c>
    </row>
    <row r="2020" spans="1:27" x14ac:dyDescent="0.25">
      <c r="A2020">
        <v>10361</v>
      </c>
      <c r="B2020">
        <v>26</v>
      </c>
      <c r="C2020">
        <v>100</v>
      </c>
      <c r="D2020">
        <f>PRODUCT(sales_data_sample[[#This Row],[QUANTITYORDERED]],sales_data_sample[[#This Row],[PRICEEACH]])</f>
        <v>2600</v>
      </c>
      <c r="E2020" s="9">
        <f>IF(OR(sales_data_sample[[#This Row],[STATUS]]="Shipped",sales_data_sample[[#This Row],[STATUS]]="Resolved"),sales_data_sample[[#This Row],[SALES]],0)</f>
        <v>2600</v>
      </c>
      <c r="F2020">
        <v>7</v>
      </c>
      <c r="G2020" s="12" t="s">
        <v>200</v>
      </c>
      <c r="H2020" s="1" t="s">
        <v>26</v>
      </c>
      <c r="I2020">
        <v>4</v>
      </c>
      <c r="J2020">
        <v>12</v>
      </c>
      <c r="K2020">
        <v>2004</v>
      </c>
      <c r="L2020" s="1" t="s">
        <v>839</v>
      </c>
      <c r="M2020">
        <v>68</v>
      </c>
      <c r="N2020" s="1" t="s">
        <v>978</v>
      </c>
      <c r="O2020" s="1" t="s">
        <v>201</v>
      </c>
      <c r="P2020" s="1" t="s">
        <v>202</v>
      </c>
      <c r="Q2020" s="1" t="s">
        <v>203</v>
      </c>
      <c r="R2020" s="1" t="s">
        <v>204</v>
      </c>
      <c r="S2020" s="1" t="s">
        <v>205</v>
      </c>
      <c r="T2020" s="1" t="s">
        <v>206</v>
      </c>
      <c r="U2020" s="1" t="s">
        <v>207</v>
      </c>
      <c r="V2020" s="1" t="s">
        <v>120</v>
      </c>
      <c r="W2020" s="1" t="s">
        <v>121</v>
      </c>
      <c r="X2020" s="1" t="s">
        <v>208</v>
      </c>
      <c r="Y2020" s="1" t="s">
        <v>209</v>
      </c>
      <c r="Z2020" s="1" t="str">
        <f>TRIM(_xlfn.CONCAT(sales_data_sample[[#This Row],[CONTACTFIRSTNAME]],", ",sales_data_sample[[#This Row],[CONTACTLASTNAME]]))</f>
        <v>Adrian, Huxley</v>
      </c>
      <c r="AA2020" s="1" t="s">
        <v>59</v>
      </c>
    </row>
    <row r="2021" spans="1:27" x14ac:dyDescent="0.25">
      <c r="A2021" s="10">
        <v>10373</v>
      </c>
      <c r="B2021" s="9">
        <v>39</v>
      </c>
      <c r="C2021" s="9">
        <v>73</v>
      </c>
      <c r="D2021" s="9">
        <f>PRODUCT(sales_data_sample[[#This Row],[QUANTITYORDERED]],sales_data_sample[[#This Row],[PRICEEACH]])</f>
        <v>2847</v>
      </c>
      <c r="E2021" s="9">
        <f>IF(OR(sales_data_sample[[#This Row],[STATUS]]="Shipped",sales_data_sample[[#This Row],[STATUS]]="Resolved"),sales_data_sample[[#This Row],[SALES]],0)</f>
        <v>2847</v>
      </c>
      <c r="F2021" s="10">
        <v>13</v>
      </c>
      <c r="G2021" s="12" t="s">
        <v>536</v>
      </c>
      <c r="H2021" s="1" t="s">
        <v>26</v>
      </c>
      <c r="I2021">
        <v>1</v>
      </c>
      <c r="J2021">
        <v>1</v>
      </c>
      <c r="K2021">
        <v>2005</v>
      </c>
      <c r="L2021" s="1" t="s">
        <v>839</v>
      </c>
      <c r="M2021">
        <v>68</v>
      </c>
      <c r="N2021" s="1" t="s">
        <v>978</v>
      </c>
      <c r="O2021" s="1" t="s">
        <v>537</v>
      </c>
      <c r="P2021" s="1" t="s">
        <v>538</v>
      </c>
      <c r="Q2021" s="1" t="s">
        <v>539</v>
      </c>
      <c r="R2021" s="1" t="s">
        <v>32</v>
      </c>
      <c r="S2021" s="1" t="s">
        <v>540</v>
      </c>
      <c r="T2021" s="1" t="s">
        <v>32</v>
      </c>
      <c r="U2021" s="1" t="s">
        <v>541</v>
      </c>
      <c r="V2021" s="1" t="s">
        <v>170</v>
      </c>
      <c r="W2021" s="1" t="s">
        <v>48</v>
      </c>
      <c r="X2021" s="1" t="s">
        <v>542</v>
      </c>
      <c r="Y2021" s="1" t="s">
        <v>543</v>
      </c>
      <c r="Z2021" s="1" t="str">
        <f>TRIM(_xlfn.CONCAT(sales_data_sample[[#This Row],[CONTACTFIRSTNAME]],", ",sales_data_sample[[#This Row],[CONTACTLASTNAME]]))</f>
        <v>Pirkko, Koskitalo</v>
      </c>
      <c r="AA2021" s="1" t="s">
        <v>40</v>
      </c>
    </row>
    <row r="2022" spans="1:27" x14ac:dyDescent="0.25">
      <c r="A2022" s="10">
        <v>10386</v>
      </c>
      <c r="B2022" s="9">
        <v>41</v>
      </c>
      <c r="C2022" s="9">
        <v>7332</v>
      </c>
      <c r="D2022" s="9">
        <f>PRODUCT(sales_data_sample[[#This Row],[QUANTITYORDERED]],sales_data_sample[[#This Row],[PRICEEACH]])</f>
        <v>300612</v>
      </c>
      <c r="E2022" s="9">
        <f>IF(OR(sales_data_sample[[#This Row],[STATUS]]="Shipped",sales_data_sample[[#This Row],[STATUS]]="Resolved"),sales_data_sample[[#This Row],[SALES]],0)</f>
        <v>300612</v>
      </c>
      <c r="F2022" s="10">
        <v>12</v>
      </c>
      <c r="G2022" s="12" t="s">
        <v>869</v>
      </c>
      <c r="H2022" s="1" t="s">
        <v>563</v>
      </c>
      <c r="I2022">
        <v>1</v>
      </c>
      <c r="J2022">
        <v>3</v>
      </c>
      <c r="K2022">
        <v>2005</v>
      </c>
      <c r="L2022" s="1" t="s">
        <v>839</v>
      </c>
      <c r="M2022">
        <v>68</v>
      </c>
      <c r="N2022" s="1" t="s">
        <v>978</v>
      </c>
      <c r="O2022" s="1" t="s">
        <v>230</v>
      </c>
      <c r="P2022" s="1" t="s">
        <v>231</v>
      </c>
      <c r="Q2022" s="1" t="s">
        <v>232</v>
      </c>
      <c r="R2022" s="1" t="s">
        <v>32</v>
      </c>
      <c r="S2022" s="1" t="s">
        <v>233</v>
      </c>
      <c r="T2022" s="1" t="s">
        <v>32</v>
      </c>
      <c r="U2022" s="1" t="s">
        <v>234</v>
      </c>
      <c r="V2022" s="1" t="s">
        <v>235</v>
      </c>
      <c r="W2022" s="1" t="s">
        <v>48</v>
      </c>
      <c r="X2022" s="1" t="s">
        <v>236</v>
      </c>
      <c r="Y2022" s="1" t="s">
        <v>237</v>
      </c>
      <c r="Z2022" s="1" t="str">
        <f>TRIM(_xlfn.CONCAT(sales_data_sample[[#This Row],[CONTACTFIRSTNAME]],", ",sales_data_sample[[#This Row],[CONTACTLASTNAME]]))</f>
        <v>Diego, Freyre</v>
      </c>
      <c r="AA2022" s="1" t="s">
        <v>59</v>
      </c>
    </row>
    <row r="2023" spans="1:27" x14ac:dyDescent="0.25">
      <c r="A2023" s="10">
        <v>10398</v>
      </c>
      <c r="B2023" s="9">
        <v>41</v>
      </c>
      <c r="C2023" s="9">
        <v>6824</v>
      </c>
      <c r="D2023" s="9">
        <f>PRODUCT(sales_data_sample[[#This Row],[QUANTITYORDERED]],sales_data_sample[[#This Row],[PRICEEACH]])</f>
        <v>279784</v>
      </c>
      <c r="E2023" s="9">
        <f>IF(OR(sales_data_sample[[#This Row],[STATUS]]="Shipped",sales_data_sample[[#This Row],[STATUS]]="Resolved"),sales_data_sample[[#This Row],[SALES]],0)</f>
        <v>279784</v>
      </c>
      <c r="F2023" s="10">
        <v>2</v>
      </c>
      <c r="G2023" s="12" t="s">
        <v>870</v>
      </c>
      <c r="H2023" s="1" t="s">
        <v>26</v>
      </c>
      <c r="I2023">
        <v>1</v>
      </c>
      <c r="J2023">
        <v>3</v>
      </c>
      <c r="K2023">
        <v>2005</v>
      </c>
      <c r="L2023" s="1" t="s">
        <v>839</v>
      </c>
      <c r="M2023">
        <v>68</v>
      </c>
      <c r="N2023" s="1" t="s">
        <v>978</v>
      </c>
      <c r="O2023" s="1" t="s">
        <v>42</v>
      </c>
      <c r="P2023" s="1" t="s">
        <v>43</v>
      </c>
      <c r="Q2023" s="1" t="s">
        <v>44</v>
      </c>
      <c r="R2023" s="1" t="s">
        <v>32</v>
      </c>
      <c r="S2023" s="1" t="s">
        <v>45</v>
      </c>
      <c r="T2023" s="1" t="s">
        <v>32</v>
      </c>
      <c r="U2023" s="1" t="s">
        <v>46</v>
      </c>
      <c r="V2023" s="1" t="s">
        <v>47</v>
      </c>
      <c r="W2023" s="1" t="s">
        <v>48</v>
      </c>
      <c r="X2023" s="1" t="s">
        <v>49</v>
      </c>
      <c r="Y2023" s="1" t="s">
        <v>50</v>
      </c>
      <c r="Z2023" s="1" t="str">
        <f>TRIM(_xlfn.CONCAT(sales_data_sample[[#This Row],[CONTACTFIRSTNAME]],", ",sales_data_sample[[#This Row],[CONTACTLASTNAME]]))</f>
        <v>Paul, Henriot</v>
      </c>
      <c r="AA2023" s="1" t="s">
        <v>40</v>
      </c>
    </row>
    <row r="2024" spans="1:27" x14ac:dyDescent="0.25">
      <c r="A2024" s="10">
        <v>10401</v>
      </c>
      <c r="B2024" s="9">
        <v>64</v>
      </c>
      <c r="C2024" s="9">
        <v>6005</v>
      </c>
      <c r="D2024" s="9">
        <f>PRODUCT(sales_data_sample[[#This Row],[QUANTITYORDERED]],sales_data_sample[[#This Row],[PRICEEACH]])</f>
        <v>384320</v>
      </c>
      <c r="E2024" s="9">
        <f>IF(OR(sales_data_sample[[#This Row],[STATUS]]="Shipped",sales_data_sample[[#This Row],[STATUS]]="Resolved"),sales_data_sample[[#This Row],[SALES]],0)</f>
        <v>0</v>
      </c>
      <c r="F2024" s="10">
        <v>12</v>
      </c>
      <c r="G2024" s="12" t="s">
        <v>895</v>
      </c>
      <c r="H2024" s="1" t="s">
        <v>553</v>
      </c>
      <c r="I2024">
        <v>2</v>
      </c>
      <c r="J2024">
        <v>4</v>
      </c>
      <c r="K2024">
        <v>2005</v>
      </c>
      <c r="L2024" s="1" t="s">
        <v>839</v>
      </c>
      <c r="M2024">
        <v>68</v>
      </c>
      <c r="N2024" s="1" t="s">
        <v>978</v>
      </c>
      <c r="O2024" s="1" t="s">
        <v>132</v>
      </c>
      <c r="P2024" s="1" t="s">
        <v>133</v>
      </c>
      <c r="Q2024" s="1" t="s">
        <v>134</v>
      </c>
      <c r="R2024" s="1" t="s">
        <v>32</v>
      </c>
      <c r="S2024" s="1" t="s">
        <v>135</v>
      </c>
      <c r="T2024" s="1" t="s">
        <v>136</v>
      </c>
      <c r="U2024" s="1" t="s">
        <v>137</v>
      </c>
      <c r="V2024" s="1" t="s">
        <v>36</v>
      </c>
      <c r="W2024" s="1" t="s">
        <v>37</v>
      </c>
      <c r="X2024" s="1" t="s">
        <v>74</v>
      </c>
      <c r="Y2024" s="1" t="s">
        <v>138</v>
      </c>
      <c r="Z2024" s="1" t="str">
        <f>TRIM(_xlfn.CONCAT(sales_data_sample[[#This Row],[CONTACTFIRSTNAME]],", ",sales_data_sample[[#This Row],[CONTACTLASTNAME]]))</f>
        <v>William, Brown</v>
      </c>
      <c r="AA2024" s="1" t="s">
        <v>59</v>
      </c>
    </row>
    <row r="2025" spans="1:27" x14ac:dyDescent="0.25">
      <c r="A2025" s="10">
        <v>10416</v>
      </c>
      <c r="B2025" s="9">
        <v>18</v>
      </c>
      <c r="C2025" s="9">
        <v>7506</v>
      </c>
      <c r="D2025" s="9">
        <f>PRODUCT(sales_data_sample[[#This Row],[QUANTITYORDERED]],sales_data_sample[[#This Row],[PRICEEACH]])</f>
        <v>135108</v>
      </c>
      <c r="E2025" s="9">
        <f>IF(OR(sales_data_sample[[#This Row],[STATUS]]="Shipped",sales_data_sample[[#This Row],[STATUS]]="Resolved"),sales_data_sample[[#This Row],[SALES]],0)</f>
        <v>135108</v>
      </c>
      <c r="F2025" s="10">
        <v>13</v>
      </c>
      <c r="G2025" s="12" t="s">
        <v>871</v>
      </c>
      <c r="H2025" s="1" t="s">
        <v>26</v>
      </c>
      <c r="I2025">
        <v>2</v>
      </c>
      <c r="J2025">
        <v>5</v>
      </c>
      <c r="K2025">
        <v>2005</v>
      </c>
      <c r="L2025" s="1" t="s">
        <v>839</v>
      </c>
      <c r="M2025">
        <v>68</v>
      </c>
      <c r="N2025" s="1" t="s">
        <v>978</v>
      </c>
      <c r="O2025" s="1" t="s">
        <v>632</v>
      </c>
      <c r="P2025" s="1" t="s">
        <v>633</v>
      </c>
      <c r="Q2025" s="1" t="s">
        <v>634</v>
      </c>
      <c r="R2025" s="1" t="s">
        <v>32</v>
      </c>
      <c r="S2025" s="1" t="s">
        <v>635</v>
      </c>
      <c r="T2025" s="1" t="s">
        <v>32</v>
      </c>
      <c r="U2025" s="1" t="s">
        <v>636</v>
      </c>
      <c r="V2025" s="1" t="s">
        <v>343</v>
      </c>
      <c r="W2025" s="1" t="s">
        <v>48</v>
      </c>
      <c r="X2025" s="1" t="s">
        <v>637</v>
      </c>
      <c r="Y2025" s="1" t="s">
        <v>638</v>
      </c>
      <c r="Z2025" s="1" t="str">
        <f>TRIM(_xlfn.CONCAT(sales_data_sample[[#This Row],[CONTACTFIRSTNAME]],", ",sales_data_sample[[#This Row],[CONTACTLASTNAME]]))</f>
        <v>Maurizio, Moroni</v>
      </c>
      <c r="AA2025" s="1" t="s">
        <v>40</v>
      </c>
    </row>
    <row r="2026" spans="1:27" x14ac:dyDescent="0.25">
      <c r="A2026" s="10">
        <v>10100</v>
      </c>
      <c r="B2026" s="9">
        <v>49</v>
      </c>
      <c r="C2026" s="9">
        <v>3447</v>
      </c>
      <c r="D2026" s="9">
        <f>PRODUCT(sales_data_sample[[#This Row],[QUANTITYORDERED]],sales_data_sample[[#This Row],[PRICEEACH]])</f>
        <v>168903</v>
      </c>
      <c r="E2026" s="9">
        <f>IF(OR(sales_data_sample[[#This Row],[STATUS]]="Shipped",sales_data_sample[[#This Row],[STATUS]]="Resolved"),sales_data_sample[[#This Row],[SALES]],0)</f>
        <v>168903</v>
      </c>
      <c r="F2026" s="10">
        <v>1</v>
      </c>
      <c r="G2026" s="12" t="s">
        <v>872</v>
      </c>
      <c r="H2026" s="1" t="s">
        <v>26</v>
      </c>
      <c r="I2026">
        <v>1</v>
      </c>
      <c r="J2026">
        <v>1</v>
      </c>
      <c r="K2026">
        <v>2003</v>
      </c>
      <c r="L2026" s="1" t="s">
        <v>799</v>
      </c>
      <c r="M2026">
        <v>41</v>
      </c>
      <c r="N2026" s="1" t="s">
        <v>979</v>
      </c>
      <c r="O2026" s="1" t="s">
        <v>368</v>
      </c>
      <c r="P2026" s="1" t="s">
        <v>369</v>
      </c>
      <c r="Q2026" s="1" t="s">
        <v>370</v>
      </c>
      <c r="R2026" s="1" t="s">
        <v>32</v>
      </c>
      <c r="S2026" s="1" t="s">
        <v>371</v>
      </c>
      <c r="T2026" s="1" t="s">
        <v>372</v>
      </c>
      <c r="U2026" s="1" t="s">
        <v>373</v>
      </c>
      <c r="V2026" s="1" t="s">
        <v>36</v>
      </c>
      <c r="W2026" s="1" t="s">
        <v>37</v>
      </c>
      <c r="X2026" s="1" t="s">
        <v>67</v>
      </c>
      <c r="Y2026" s="1" t="s">
        <v>366</v>
      </c>
      <c r="Z2026" s="1" t="str">
        <f>TRIM(_xlfn.CONCAT(sales_data_sample[[#This Row],[CONTACTFIRSTNAME]],", ",sales_data_sample[[#This Row],[CONTACTLASTNAME]]))</f>
        <v>Valarie, Young</v>
      </c>
      <c r="AA2026" s="1" t="s">
        <v>40</v>
      </c>
    </row>
    <row r="2027" spans="1:27" x14ac:dyDescent="0.25">
      <c r="A2027" s="10">
        <v>10110</v>
      </c>
      <c r="B2027" s="9">
        <v>48</v>
      </c>
      <c r="C2027" s="9">
        <v>3447</v>
      </c>
      <c r="D2027" s="9">
        <f>PRODUCT(sales_data_sample[[#This Row],[QUANTITYORDERED]],sales_data_sample[[#This Row],[PRICEEACH]])</f>
        <v>165456</v>
      </c>
      <c r="E2027" s="9">
        <f>IF(OR(sales_data_sample[[#This Row],[STATUS]]="Shipped",sales_data_sample[[#This Row],[STATUS]]="Resolved"),sales_data_sample[[#This Row],[SALES]],0)</f>
        <v>165456</v>
      </c>
      <c r="F2027" s="10">
        <v>5</v>
      </c>
      <c r="G2027" s="12" t="s">
        <v>829</v>
      </c>
      <c r="H2027" s="1" t="s">
        <v>26</v>
      </c>
      <c r="I2027">
        <v>1</v>
      </c>
      <c r="J2027">
        <v>3</v>
      </c>
      <c r="K2027">
        <v>2003</v>
      </c>
      <c r="L2027" s="1" t="s">
        <v>799</v>
      </c>
      <c r="M2027">
        <v>41</v>
      </c>
      <c r="N2027" s="1" t="s">
        <v>979</v>
      </c>
      <c r="O2027" s="1" t="s">
        <v>695</v>
      </c>
      <c r="P2027" s="1" t="s">
        <v>696</v>
      </c>
      <c r="Q2027" s="1" t="s">
        <v>697</v>
      </c>
      <c r="R2027" s="1" t="s">
        <v>32</v>
      </c>
      <c r="S2027" s="1" t="s">
        <v>698</v>
      </c>
      <c r="T2027" s="1" t="s">
        <v>32</v>
      </c>
      <c r="U2027" s="1" t="s">
        <v>699</v>
      </c>
      <c r="V2027" s="1" t="s">
        <v>225</v>
      </c>
      <c r="W2027" s="1" t="s">
        <v>48</v>
      </c>
      <c r="X2027" s="1" t="s">
        <v>700</v>
      </c>
      <c r="Y2027" s="1" t="s">
        <v>118</v>
      </c>
      <c r="Z2027" s="1" t="str">
        <f>TRIM(_xlfn.CONCAT(sales_data_sample[[#This Row],[CONTACTFIRSTNAME]],", ",sales_data_sample[[#This Row],[CONTACTLASTNAME]]))</f>
        <v>Victoria, Ashworth</v>
      </c>
      <c r="AA2027" s="1" t="s">
        <v>40</v>
      </c>
    </row>
    <row r="2028" spans="1:27" x14ac:dyDescent="0.25">
      <c r="A2028" s="10">
        <v>10124</v>
      </c>
      <c r="B2028" s="9">
        <v>46</v>
      </c>
      <c r="C2028" s="9">
        <v>3323</v>
      </c>
      <c r="D2028" s="9">
        <f>PRODUCT(sales_data_sample[[#This Row],[QUANTITYORDERED]],sales_data_sample[[#This Row],[PRICEEACH]])</f>
        <v>152858</v>
      </c>
      <c r="E2028" s="9">
        <f>IF(OR(sales_data_sample[[#This Row],[STATUS]]="Shipped",sales_data_sample[[#This Row],[STATUS]]="Resolved"),sales_data_sample[[#This Row],[SALES]],0)</f>
        <v>152858</v>
      </c>
      <c r="F2028" s="10">
        <v>4</v>
      </c>
      <c r="G2028" s="12" t="s">
        <v>802</v>
      </c>
      <c r="H2028" s="1" t="s">
        <v>26</v>
      </c>
      <c r="I2028">
        <v>2</v>
      </c>
      <c r="J2028">
        <v>5</v>
      </c>
      <c r="K2028">
        <v>2003</v>
      </c>
      <c r="L2028" s="1" t="s">
        <v>799</v>
      </c>
      <c r="M2028">
        <v>41</v>
      </c>
      <c r="N2028" s="1" t="s">
        <v>979</v>
      </c>
      <c r="O2028" s="1" t="s">
        <v>779</v>
      </c>
      <c r="P2028" s="1" t="s">
        <v>780</v>
      </c>
      <c r="Q2028" s="1" t="s">
        <v>781</v>
      </c>
      <c r="R2028" s="1" t="s">
        <v>32</v>
      </c>
      <c r="S2028" s="1" t="s">
        <v>782</v>
      </c>
      <c r="T2028" s="1" t="s">
        <v>783</v>
      </c>
      <c r="U2028" s="1" t="s">
        <v>784</v>
      </c>
      <c r="V2028" s="1" t="s">
        <v>36</v>
      </c>
      <c r="W2028" s="1" t="s">
        <v>37</v>
      </c>
      <c r="X2028" s="1" t="s">
        <v>146</v>
      </c>
      <c r="Y2028" s="1" t="s">
        <v>551</v>
      </c>
      <c r="Z2028" s="1" t="str">
        <f>TRIM(_xlfn.CONCAT(sales_data_sample[[#This Row],[CONTACTFIRSTNAME]],", ",sales_data_sample[[#This Row],[CONTACTLASTNAME]]))</f>
        <v>Sue, King</v>
      </c>
      <c r="AA2028" s="1" t="s">
        <v>40</v>
      </c>
    </row>
    <row r="2029" spans="1:27" x14ac:dyDescent="0.25">
      <c r="A2029" s="10">
        <v>10149</v>
      </c>
      <c r="B2029" s="9">
        <v>26</v>
      </c>
      <c r="C2029" s="9">
        <v>3898</v>
      </c>
      <c r="D2029" s="9">
        <f>PRODUCT(sales_data_sample[[#This Row],[QUANTITYORDERED]],sales_data_sample[[#This Row],[PRICEEACH]])</f>
        <v>101348</v>
      </c>
      <c r="E2029" s="9">
        <f>IF(OR(sales_data_sample[[#This Row],[STATUS]]="Shipped",sales_data_sample[[#This Row],[STATUS]]="Resolved"),sales_data_sample[[#This Row],[SALES]],0)</f>
        <v>101348</v>
      </c>
      <c r="F2029" s="10">
        <v>9</v>
      </c>
      <c r="G2029" s="12" t="s">
        <v>804</v>
      </c>
      <c r="H2029" s="1" t="s">
        <v>26</v>
      </c>
      <c r="I2029">
        <v>3</v>
      </c>
      <c r="J2029">
        <v>9</v>
      </c>
      <c r="K2029">
        <v>2003</v>
      </c>
      <c r="L2029" s="1" t="s">
        <v>799</v>
      </c>
      <c r="M2029">
        <v>41</v>
      </c>
      <c r="N2029" s="1" t="s">
        <v>979</v>
      </c>
      <c r="O2029" s="1" t="s">
        <v>753</v>
      </c>
      <c r="P2029" s="1" t="s">
        <v>754</v>
      </c>
      <c r="Q2029" s="1" t="s">
        <v>755</v>
      </c>
      <c r="R2029" s="1" t="s">
        <v>32</v>
      </c>
      <c r="S2029" s="1" t="s">
        <v>756</v>
      </c>
      <c r="T2029" s="1" t="s">
        <v>65</v>
      </c>
      <c r="U2029" s="1" t="s">
        <v>80</v>
      </c>
      <c r="V2029" s="1" t="s">
        <v>36</v>
      </c>
      <c r="W2029" s="1" t="s">
        <v>37</v>
      </c>
      <c r="X2029" s="1" t="s">
        <v>757</v>
      </c>
      <c r="Y2029" s="1" t="s">
        <v>551</v>
      </c>
      <c r="Z2029" s="1" t="str">
        <f>TRIM(_xlfn.CONCAT(sales_data_sample[[#This Row],[CONTACTFIRSTNAME]],", ",sales_data_sample[[#This Row],[CONTACTLASTNAME]]))</f>
        <v>Sue, Taylor</v>
      </c>
      <c r="AA2029" s="1" t="s">
        <v>40</v>
      </c>
    </row>
    <row r="2030" spans="1:27" x14ac:dyDescent="0.25">
      <c r="A2030" s="10">
        <v>10162</v>
      </c>
      <c r="B2030" s="9">
        <v>37</v>
      </c>
      <c r="C2030" s="9">
        <v>3898</v>
      </c>
      <c r="D2030" s="9">
        <f>PRODUCT(sales_data_sample[[#This Row],[QUANTITYORDERED]],sales_data_sample[[#This Row],[PRICEEACH]])</f>
        <v>144226</v>
      </c>
      <c r="E2030" s="9">
        <f>IF(OR(sales_data_sample[[#This Row],[STATUS]]="Shipped",sales_data_sample[[#This Row],[STATUS]]="Resolved"),sales_data_sample[[#This Row],[SALES]],0)</f>
        <v>144226</v>
      </c>
      <c r="F2030" s="10">
        <v>7</v>
      </c>
      <c r="G2030" s="12" t="s">
        <v>805</v>
      </c>
      <c r="H2030" s="1" t="s">
        <v>26</v>
      </c>
      <c r="I2030">
        <v>4</v>
      </c>
      <c r="J2030">
        <v>10</v>
      </c>
      <c r="K2030">
        <v>2003</v>
      </c>
      <c r="L2030" s="1" t="s">
        <v>799</v>
      </c>
      <c r="M2030">
        <v>41</v>
      </c>
      <c r="N2030" s="1" t="s">
        <v>979</v>
      </c>
      <c r="O2030" s="1" t="s">
        <v>70</v>
      </c>
      <c r="P2030" s="1" t="s">
        <v>71</v>
      </c>
      <c r="Q2030" s="1" t="s">
        <v>72</v>
      </c>
      <c r="R2030" s="1" t="s">
        <v>32</v>
      </c>
      <c r="S2030" s="1" t="s">
        <v>73</v>
      </c>
      <c r="T2030" s="1" t="s">
        <v>65</v>
      </c>
      <c r="U2030" s="1" t="s">
        <v>32</v>
      </c>
      <c r="V2030" s="1" t="s">
        <v>36</v>
      </c>
      <c r="W2030" s="1" t="s">
        <v>37</v>
      </c>
      <c r="X2030" s="1" t="s">
        <v>74</v>
      </c>
      <c r="Y2030" s="1" t="s">
        <v>68</v>
      </c>
      <c r="Z2030" s="1" t="str">
        <f>TRIM(_xlfn.CONCAT(sales_data_sample[[#This Row],[CONTACTFIRSTNAME]],", ",sales_data_sample[[#This Row],[CONTACTLASTNAME]]))</f>
        <v>Julie, Brown</v>
      </c>
      <c r="AA2030" s="1" t="s">
        <v>40</v>
      </c>
    </row>
    <row r="2031" spans="1:27" x14ac:dyDescent="0.25">
      <c r="A2031" s="10">
        <v>10173</v>
      </c>
      <c r="B2031" s="9">
        <v>35</v>
      </c>
      <c r="C2031" s="9">
        <v>3323</v>
      </c>
      <c r="D2031" s="9">
        <f>PRODUCT(sales_data_sample[[#This Row],[QUANTITYORDERED]],sales_data_sample[[#This Row],[PRICEEACH]])</f>
        <v>116305</v>
      </c>
      <c r="E2031" s="9">
        <f>IF(OR(sales_data_sample[[#This Row],[STATUS]]="Shipped",sales_data_sample[[#This Row],[STATUS]]="Resolved"),sales_data_sample[[#This Row],[SALES]],0)</f>
        <v>116305</v>
      </c>
      <c r="F2031" s="10">
        <v>11</v>
      </c>
      <c r="G2031" s="12" t="s">
        <v>776</v>
      </c>
      <c r="H2031" s="1" t="s">
        <v>26</v>
      </c>
      <c r="I2031">
        <v>4</v>
      </c>
      <c r="J2031">
        <v>11</v>
      </c>
      <c r="K2031">
        <v>2003</v>
      </c>
      <c r="L2031" s="1" t="s">
        <v>799</v>
      </c>
      <c r="M2031">
        <v>41</v>
      </c>
      <c r="N2031" s="1" t="s">
        <v>979</v>
      </c>
      <c r="O2031" s="1" t="s">
        <v>806</v>
      </c>
      <c r="P2031" s="1" t="s">
        <v>807</v>
      </c>
      <c r="Q2031" s="1" t="s">
        <v>808</v>
      </c>
      <c r="R2031" s="1" t="s">
        <v>32</v>
      </c>
      <c r="S2031" s="1" t="s">
        <v>809</v>
      </c>
      <c r="T2031" s="1" t="s">
        <v>32</v>
      </c>
      <c r="U2031" s="1" t="s">
        <v>810</v>
      </c>
      <c r="V2031" s="1" t="s">
        <v>343</v>
      </c>
      <c r="W2031" s="1" t="s">
        <v>48</v>
      </c>
      <c r="X2031" s="1" t="s">
        <v>811</v>
      </c>
      <c r="Y2031" s="1" t="s">
        <v>812</v>
      </c>
      <c r="Z2031" s="1" t="str">
        <f>TRIM(_xlfn.CONCAT(sales_data_sample[[#This Row],[CONTACTFIRSTNAME]],", ",sales_data_sample[[#This Row],[CONTACTLASTNAME]]))</f>
        <v>Giovanni, Rovelli</v>
      </c>
      <c r="AA2031" s="1" t="s">
        <v>40</v>
      </c>
    </row>
    <row r="2032" spans="1:27" x14ac:dyDescent="0.25">
      <c r="A2032" s="10">
        <v>10182</v>
      </c>
      <c r="B2032" s="9">
        <v>23</v>
      </c>
      <c r="C2032" s="9">
        <v>4226</v>
      </c>
      <c r="D2032" s="9">
        <f>PRODUCT(sales_data_sample[[#This Row],[QUANTITYORDERED]],sales_data_sample[[#This Row],[PRICEEACH]])</f>
        <v>97198</v>
      </c>
      <c r="E2032" s="9">
        <f>IF(OR(sales_data_sample[[#This Row],[STATUS]]="Shipped",sales_data_sample[[#This Row],[STATUS]]="Resolved"),sales_data_sample[[#This Row],[SALES]],0)</f>
        <v>97198</v>
      </c>
      <c r="F2032" s="10">
        <v>8</v>
      </c>
      <c r="G2032" s="12" t="s">
        <v>610</v>
      </c>
      <c r="H2032" s="1" t="s">
        <v>26</v>
      </c>
      <c r="I2032">
        <v>4</v>
      </c>
      <c r="J2032">
        <v>11</v>
      </c>
      <c r="K2032">
        <v>2003</v>
      </c>
      <c r="L2032" s="1" t="s">
        <v>799</v>
      </c>
      <c r="M2032">
        <v>41</v>
      </c>
      <c r="N2032" s="1" t="s">
        <v>979</v>
      </c>
      <c r="O2032" s="1" t="s">
        <v>361</v>
      </c>
      <c r="P2032" s="1" t="s">
        <v>362</v>
      </c>
      <c r="Q2032" s="1" t="s">
        <v>363</v>
      </c>
      <c r="R2032" s="1" t="s">
        <v>32</v>
      </c>
      <c r="S2032" s="1" t="s">
        <v>364</v>
      </c>
      <c r="T2032" s="1" t="s">
        <v>65</v>
      </c>
      <c r="U2032" s="1" t="s">
        <v>145</v>
      </c>
      <c r="V2032" s="1" t="s">
        <v>36</v>
      </c>
      <c r="W2032" s="1" t="s">
        <v>37</v>
      </c>
      <c r="X2032" s="1" t="s">
        <v>365</v>
      </c>
      <c r="Y2032" s="1" t="s">
        <v>366</v>
      </c>
      <c r="Z2032" s="1" t="str">
        <f>TRIM(_xlfn.CONCAT(sales_data_sample[[#This Row],[CONTACTFIRSTNAME]],", ",sales_data_sample[[#This Row],[CONTACTLASTNAME]]))</f>
        <v>Valarie, Nelson</v>
      </c>
      <c r="AA2032" s="1" t="s">
        <v>40</v>
      </c>
    </row>
    <row r="2033" spans="1:27" x14ac:dyDescent="0.25">
      <c r="A2033" s="10">
        <v>10193</v>
      </c>
      <c r="B2033" s="9">
        <v>22</v>
      </c>
      <c r="C2033" s="9">
        <v>4103</v>
      </c>
      <c r="D2033" s="9">
        <f>PRODUCT(sales_data_sample[[#This Row],[QUANTITYORDERED]],sales_data_sample[[#This Row],[PRICEEACH]])</f>
        <v>90266</v>
      </c>
      <c r="E2033" s="9">
        <f>IF(OR(sales_data_sample[[#This Row],[STATUS]]="Shipped",sales_data_sample[[#This Row],[STATUS]]="Resolved"),sales_data_sample[[#This Row],[SALES]],0)</f>
        <v>90266</v>
      </c>
      <c r="F2033" s="10">
        <v>12</v>
      </c>
      <c r="G2033" s="12" t="s">
        <v>813</v>
      </c>
      <c r="H2033" s="1" t="s">
        <v>26</v>
      </c>
      <c r="I2033">
        <v>4</v>
      </c>
      <c r="J2033">
        <v>11</v>
      </c>
      <c r="K2033">
        <v>2003</v>
      </c>
      <c r="L2033" s="1" t="s">
        <v>799</v>
      </c>
      <c r="M2033">
        <v>41</v>
      </c>
      <c r="N2033" s="1" t="s">
        <v>979</v>
      </c>
      <c r="O2033" s="1" t="s">
        <v>814</v>
      </c>
      <c r="P2033" s="1" t="s">
        <v>815</v>
      </c>
      <c r="Q2033" s="1" t="s">
        <v>816</v>
      </c>
      <c r="R2033" s="1" t="s">
        <v>32</v>
      </c>
      <c r="S2033" s="1" t="s">
        <v>817</v>
      </c>
      <c r="T2033" s="1" t="s">
        <v>118</v>
      </c>
      <c r="U2033" s="1" t="s">
        <v>818</v>
      </c>
      <c r="V2033" s="1" t="s">
        <v>120</v>
      </c>
      <c r="W2033" s="1" t="s">
        <v>121</v>
      </c>
      <c r="X2033" s="1" t="s">
        <v>819</v>
      </c>
      <c r="Y2033" s="1" t="s">
        <v>820</v>
      </c>
      <c r="Z2033" s="1" t="str">
        <f>TRIM(_xlfn.CONCAT(sales_data_sample[[#This Row],[CONTACTFIRSTNAME]],", ",sales_data_sample[[#This Row],[CONTACTLASTNAME]]))</f>
        <v>Sean, Connery</v>
      </c>
      <c r="AA2033" s="1" t="s">
        <v>40</v>
      </c>
    </row>
    <row r="2034" spans="1:27" x14ac:dyDescent="0.25">
      <c r="A2034">
        <v>10204</v>
      </c>
      <c r="B2034">
        <v>39</v>
      </c>
      <c r="C2034">
        <v>3323</v>
      </c>
      <c r="D2034">
        <f>PRODUCT(sales_data_sample[[#This Row],[QUANTITYORDERED]],sales_data_sample[[#This Row],[PRICEEACH]])</f>
        <v>129597</v>
      </c>
      <c r="E2034" s="9">
        <f>IF(OR(sales_data_sample[[#This Row],[STATUS]]="Shipped",sales_data_sample[[#This Row],[STATUS]]="Resolved"),sales_data_sample[[#This Row],[SALES]],0)</f>
        <v>129597</v>
      </c>
      <c r="F2034">
        <v>2</v>
      </c>
      <c r="G2034" s="12" t="s">
        <v>620</v>
      </c>
      <c r="H2034" s="1" t="s">
        <v>26</v>
      </c>
      <c r="I2034">
        <v>4</v>
      </c>
      <c r="J2034">
        <v>12</v>
      </c>
      <c r="K2034">
        <v>2003</v>
      </c>
      <c r="L2034" s="1" t="s">
        <v>799</v>
      </c>
      <c r="M2034">
        <v>41</v>
      </c>
      <c r="N2034" s="1" t="s">
        <v>979</v>
      </c>
      <c r="O2034" s="1" t="s">
        <v>667</v>
      </c>
      <c r="P2034" s="1" t="s">
        <v>668</v>
      </c>
      <c r="Q2034" s="1" t="s">
        <v>669</v>
      </c>
      <c r="R2034" s="1" t="s">
        <v>670</v>
      </c>
      <c r="S2034" s="1" t="s">
        <v>33</v>
      </c>
      <c r="T2034" s="1" t="s">
        <v>34</v>
      </c>
      <c r="U2034" s="1" t="s">
        <v>35</v>
      </c>
      <c r="V2034" s="1" t="s">
        <v>36</v>
      </c>
      <c r="W2034" s="1" t="s">
        <v>37</v>
      </c>
      <c r="X2034" s="1" t="s">
        <v>67</v>
      </c>
      <c r="Y2034" s="1" t="s">
        <v>671</v>
      </c>
      <c r="Z2034" s="1" t="str">
        <f>TRIM(_xlfn.CONCAT(sales_data_sample[[#This Row],[CONTACTFIRSTNAME]],", ",sales_data_sample[[#This Row],[CONTACTLASTNAME]]))</f>
        <v>Jeff, Young</v>
      </c>
      <c r="AA2034" s="1" t="s">
        <v>40</v>
      </c>
    </row>
    <row r="2035" spans="1:27" x14ac:dyDescent="0.25">
      <c r="A2035" s="10">
        <v>10214</v>
      </c>
      <c r="B2035" s="9">
        <v>44</v>
      </c>
      <c r="C2035" s="9">
        <v>3488</v>
      </c>
      <c r="D2035" s="9">
        <f>PRODUCT(sales_data_sample[[#This Row],[QUANTITYORDERED]],sales_data_sample[[#This Row],[PRICEEACH]])</f>
        <v>153472</v>
      </c>
      <c r="E2035" s="9">
        <f>IF(OR(sales_data_sample[[#This Row],[STATUS]]="Shipped",sales_data_sample[[#This Row],[STATUS]]="Resolved"),sales_data_sample[[#This Row],[SALES]],0)</f>
        <v>153472</v>
      </c>
      <c r="F2035" s="10">
        <v>5</v>
      </c>
      <c r="G2035" s="12" t="s">
        <v>874</v>
      </c>
      <c r="H2035" s="1" t="s">
        <v>26</v>
      </c>
      <c r="I2035">
        <v>1</v>
      </c>
      <c r="J2035">
        <v>1</v>
      </c>
      <c r="K2035">
        <v>2004</v>
      </c>
      <c r="L2035" s="1" t="s">
        <v>799</v>
      </c>
      <c r="M2035">
        <v>41</v>
      </c>
      <c r="N2035" s="1" t="s">
        <v>979</v>
      </c>
      <c r="O2035" s="1" t="s">
        <v>251</v>
      </c>
      <c r="P2035" s="1" t="s">
        <v>252</v>
      </c>
      <c r="Q2035" s="1" t="s">
        <v>253</v>
      </c>
      <c r="R2035" s="1" t="s">
        <v>32</v>
      </c>
      <c r="S2035" s="1" t="s">
        <v>233</v>
      </c>
      <c r="T2035" s="1" t="s">
        <v>32</v>
      </c>
      <c r="U2035" s="1" t="s">
        <v>254</v>
      </c>
      <c r="V2035" s="1" t="s">
        <v>235</v>
      </c>
      <c r="W2035" s="1" t="s">
        <v>48</v>
      </c>
      <c r="X2035" s="1" t="s">
        <v>255</v>
      </c>
      <c r="Y2035" s="1" t="s">
        <v>256</v>
      </c>
      <c r="Z2035" s="1" t="str">
        <f>TRIM(_xlfn.CONCAT(sales_data_sample[[#This Row],[CONTACTFIRSTNAME]],", ",sales_data_sample[[#This Row],[CONTACTLASTNAME]]))</f>
        <v>Mart¡n, Sommer</v>
      </c>
      <c r="AA2035" s="1" t="s">
        <v>40</v>
      </c>
    </row>
    <row r="2036" spans="1:27" x14ac:dyDescent="0.25">
      <c r="A2036" s="10">
        <v>10227</v>
      </c>
      <c r="B2036" s="9">
        <v>27</v>
      </c>
      <c r="C2036" s="9">
        <v>439</v>
      </c>
      <c r="D2036" s="9">
        <f>PRODUCT(sales_data_sample[[#This Row],[QUANTITYORDERED]],sales_data_sample[[#This Row],[PRICEEACH]])</f>
        <v>11853</v>
      </c>
      <c r="E2036" s="9">
        <f>IF(OR(sales_data_sample[[#This Row],[STATUS]]="Shipped",sales_data_sample[[#This Row],[STATUS]]="Resolved"),sales_data_sample[[#This Row],[SALES]],0)</f>
        <v>11853</v>
      </c>
      <c r="F2036" s="10">
        <v>8</v>
      </c>
      <c r="G2036" s="12" t="s">
        <v>822</v>
      </c>
      <c r="H2036" s="1" t="s">
        <v>26</v>
      </c>
      <c r="I2036">
        <v>1</v>
      </c>
      <c r="J2036">
        <v>3</v>
      </c>
      <c r="K2036">
        <v>2004</v>
      </c>
      <c r="L2036" s="1" t="s">
        <v>799</v>
      </c>
      <c r="M2036">
        <v>41</v>
      </c>
      <c r="N2036" s="1" t="s">
        <v>979</v>
      </c>
      <c r="O2036" s="1" t="s">
        <v>291</v>
      </c>
      <c r="P2036" s="1" t="s">
        <v>292</v>
      </c>
      <c r="Q2036" s="1" t="s">
        <v>293</v>
      </c>
      <c r="R2036" s="1" t="s">
        <v>32</v>
      </c>
      <c r="S2036" s="1" t="s">
        <v>294</v>
      </c>
      <c r="T2036" s="1" t="s">
        <v>32</v>
      </c>
      <c r="U2036" s="1" t="s">
        <v>295</v>
      </c>
      <c r="V2036" s="1" t="s">
        <v>47</v>
      </c>
      <c r="W2036" s="1" t="s">
        <v>48</v>
      </c>
      <c r="X2036" s="1" t="s">
        <v>296</v>
      </c>
      <c r="Y2036" s="1" t="s">
        <v>297</v>
      </c>
      <c r="Z2036" s="1" t="str">
        <f>TRIM(_xlfn.CONCAT(sales_data_sample[[#This Row],[CONTACTFIRSTNAME]],", ",sales_data_sample[[#This Row],[CONTACTLASTNAME]]))</f>
        <v>Mary, Saveley</v>
      </c>
      <c r="AA2036" s="1" t="s">
        <v>40</v>
      </c>
    </row>
    <row r="2037" spans="1:27" x14ac:dyDescent="0.25">
      <c r="A2037">
        <v>10242</v>
      </c>
      <c r="B2037">
        <v>46</v>
      </c>
      <c r="C2037">
        <v>3693</v>
      </c>
      <c r="D2037">
        <f>PRODUCT(sales_data_sample[[#This Row],[QUANTITYORDERED]],sales_data_sample[[#This Row],[PRICEEACH]])</f>
        <v>169878</v>
      </c>
      <c r="E2037" s="9">
        <f>IF(OR(sales_data_sample[[#This Row],[STATUS]]="Shipped",sales_data_sample[[#This Row],[STATUS]]="Resolved"),sales_data_sample[[#This Row],[SALES]],0)</f>
        <v>169878</v>
      </c>
      <c r="F2037">
        <v>1</v>
      </c>
      <c r="G2037" s="12" t="s">
        <v>980</v>
      </c>
      <c r="H2037" s="1" t="s">
        <v>26</v>
      </c>
      <c r="I2037">
        <v>2</v>
      </c>
      <c r="J2037">
        <v>4</v>
      </c>
      <c r="K2037">
        <v>2004</v>
      </c>
      <c r="L2037" s="1" t="s">
        <v>799</v>
      </c>
      <c r="M2037">
        <v>41</v>
      </c>
      <c r="N2037" s="1" t="s">
        <v>979</v>
      </c>
      <c r="O2037" s="1" t="s">
        <v>717</v>
      </c>
      <c r="P2037" s="1" t="s">
        <v>718</v>
      </c>
      <c r="Q2037" s="1" t="s">
        <v>719</v>
      </c>
      <c r="R2037" s="1" t="s">
        <v>720</v>
      </c>
      <c r="S2037" s="1" t="s">
        <v>33</v>
      </c>
      <c r="T2037" s="1" t="s">
        <v>34</v>
      </c>
      <c r="U2037" s="1" t="s">
        <v>35</v>
      </c>
      <c r="V2037" s="1" t="s">
        <v>36</v>
      </c>
      <c r="W2037" s="1" t="s">
        <v>37</v>
      </c>
      <c r="X2037" s="1" t="s">
        <v>721</v>
      </c>
      <c r="Y2037" s="1" t="s">
        <v>722</v>
      </c>
      <c r="Z2037" s="1" t="str">
        <f>TRIM(_xlfn.CONCAT(sales_data_sample[[#This Row],[CONTACTFIRSTNAME]],", ",sales_data_sample[[#This Row],[CONTACTLASTNAME]]))</f>
        <v>Kee, Kuo</v>
      </c>
      <c r="AA2037" s="1" t="s">
        <v>40</v>
      </c>
    </row>
    <row r="2038" spans="1:27" x14ac:dyDescent="0.25">
      <c r="A2038" s="10">
        <v>10280</v>
      </c>
      <c r="B2038" s="9">
        <v>33</v>
      </c>
      <c r="C2038" s="9">
        <v>4185</v>
      </c>
      <c r="D2038" s="9">
        <f>PRODUCT(sales_data_sample[[#This Row],[QUANTITYORDERED]],sales_data_sample[[#This Row],[PRICEEACH]])</f>
        <v>138105</v>
      </c>
      <c r="E2038" s="9">
        <f>IF(OR(sales_data_sample[[#This Row],[STATUS]]="Shipped",sales_data_sample[[#This Row],[STATUS]]="Resolved"),sales_data_sample[[#This Row],[SALES]],0)</f>
        <v>138105</v>
      </c>
      <c r="F2038" s="10">
        <v>14</v>
      </c>
      <c r="G2038" s="12" t="s">
        <v>337</v>
      </c>
      <c r="H2038" s="1" t="s">
        <v>26</v>
      </c>
      <c r="I2038">
        <v>3</v>
      </c>
      <c r="J2038">
        <v>8</v>
      </c>
      <c r="K2038">
        <v>2004</v>
      </c>
      <c r="L2038" s="1" t="s">
        <v>799</v>
      </c>
      <c r="M2038">
        <v>41</v>
      </c>
      <c r="N2038" s="1" t="s">
        <v>979</v>
      </c>
      <c r="O2038" s="1" t="s">
        <v>338</v>
      </c>
      <c r="P2038" s="1" t="s">
        <v>339</v>
      </c>
      <c r="Q2038" s="1" t="s">
        <v>340</v>
      </c>
      <c r="R2038" s="1" t="s">
        <v>32</v>
      </c>
      <c r="S2038" s="1" t="s">
        <v>341</v>
      </c>
      <c r="T2038" s="1" t="s">
        <v>32</v>
      </c>
      <c r="U2038" s="1" t="s">
        <v>342</v>
      </c>
      <c r="V2038" s="1" t="s">
        <v>343</v>
      </c>
      <c r="W2038" s="1" t="s">
        <v>48</v>
      </c>
      <c r="X2038" s="1" t="s">
        <v>344</v>
      </c>
      <c r="Y2038" s="1" t="s">
        <v>345</v>
      </c>
      <c r="Z2038" s="1" t="str">
        <f>TRIM(_xlfn.CONCAT(sales_data_sample[[#This Row],[CONTACTFIRSTNAME]],", ",sales_data_sample[[#This Row],[CONTACTLASTNAME]]))</f>
        <v>Paolo, Accorti</v>
      </c>
      <c r="AA2038" s="1" t="s">
        <v>40</v>
      </c>
    </row>
    <row r="2039" spans="1:27" x14ac:dyDescent="0.25">
      <c r="A2039">
        <v>10288</v>
      </c>
      <c r="B2039">
        <v>33</v>
      </c>
      <c r="C2039">
        <v>4062</v>
      </c>
      <c r="D2039">
        <f>PRODUCT(sales_data_sample[[#This Row],[QUANTITYORDERED]],sales_data_sample[[#This Row],[PRICEEACH]])</f>
        <v>134046</v>
      </c>
      <c r="E2039" s="9">
        <f>IF(OR(sales_data_sample[[#This Row],[STATUS]]="Shipped",sales_data_sample[[#This Row],[STATUS]]="Resolved"),sales_data_sample[[#This Row],[SALES]],0)</f>
        <v>134046</v>
      </c>
      <c r="F2039">
        <v>3</v>
      </c>
      <c r="G2039" s="12" t="s">
        <v>834</v>
      </c>
      <c r="H2039" s="1" t="s">
        <v>26</v>
      </c>
      <c r="I2039">
        <v>3</v>
      </c>
      <c r="J2039">
        <v>9</v>
      </c>
      <c r="K2039">
        <v>2004</v>
      </c>
      <c r="L2039" s="1" t="s">
        <v>799</v>
      </c>
      <c r="M2039">
        <v>41</v>
      </c>
      <c r="N2039" s="1" t="s">
        <v>979</v>
      </c>
      <c r="O2039" s="1" t="s">
        <v>577</v>
      </c>
      <c r="P2039" s="1" t="s">
        <v>578</v>
      </c>
      <c r="Q2039" s="1" t="s">
        <v>579</v>
      </c>
      <c r="R2039" s="1" t="s">
        <v>580</v>
      </c>
      <c r="S2039" s="1" t="s">
        <v>262</v>
      </c>
      <c r="T2039" s="1" t="s">
        <v>32</v>
      </c>
      <c r="U2039" s="1" t="s">
        <v>581</v>
      </c>
      <c r="V2039" s="1" t="s">
        <v>262</v>
      </c>
      <c r="W2039" s="1" t="s">
        <v>121</v>
      </c>
      <c r="X2039" s="1" t="s">
        <v>582</v>
      </c>
      <c r="Y2039" s="1" t="s">
        <v>583</v>
      </c>
      <c r="Z2039" s="1" t="str">
        <f>TRIM(_xlfn.CONCAT(sales_data_sample[[#This Row],[CONTACTFIRSTNAME]],", ",sales_data_sample[[#This Row],[CONTACTLASTNAME]]))</f>
        <v>Wendy, Victorino</v>
      </c>
      <c r="AA2039" s="1" t="s">
        <v>40</v>
      </c>
    </row>
    <row r="2040" spans="1:27" x14ac:dyDescent="0.25">
      <c r="A2040" s="10">
        <v>10303</v>
      </c>
      <c r="B2040" s="9">
        <v>24</v>
      </c>
      <c r="C2040" s="9">
        <v>4021</v>
      </c>
      <c r="D2040" s="9">
        <f>PRODUCT(sales_data_sample[[#This Row],[QUANTITYORDERED]],sales_data_sample[[#This Row],[PRICEEACH]])</f>
        <v>96504</v>
      </c>
      <c r="E2040" s="9">
        <f>IF(OR(sales_data_sample[[#This Row],[STATUS]]="Shipped",sales_data_sample[[#This Row],[STATUS]]="Resolved"),sales_data_sample[[#This Row],[SALES]],0)</f>
        <v>96504</v>
      </c>
      <c r="F2040" s="10">
        <v>1</v>
      </c>
      <c r="G2040" s="12" t="s">
        <v>882</v>
      </c>
      <c r="H2040" s="1" t="s">
        <v>26</v>
      </c>
      <c r="I2040">
        <v>4</v>
      </c>
      <c r="J2040">
        <v>10</v>
      </c>
      <c r="K2040">
        <v>2004</v>
      </c>
      <c r="L2040" s="1" t="s">
        <v>799</v>
      </c>
      <c r="M2040">
        <v>41</v>
      </c>
      <c r="N2040" s="1" t="s">
        <v>979</v>
      </c>
      <c r="O2040" s="1" t="s">
        <v>745</v>
      </c>
      <c r="P2040" s="1" t="s">
        <v>746</v>
      </c>
      <c r="Q2040" s="1" t="s">
        <v>747</v>
      </c>
      <c r="R2040" s="1" t="s">
        <v>32</v>
      </c>
      <c r="S2040" s="1" t="s">
        <v>748</v>
      </c>
      <c r="T2040" s="1" t="s">
        <v>32</v>
      </c>
      <c r="U2040" s="1" t="s">
        <v>749</v>
      </c>
      <c r="V2040" s="1" t="s">
        <v>235</v>
      </c>
      <c r="W2040" s="1" t="s">
        <v>48</v>
      </c>
      <c r="X2040" s="1" t="s">
        <v>750</v>
      </c>
      <c r="Y2040" s="1" t="s">
        <v>751</v>
      </c>
      <c r="Z2040" s="1" t="str">
        <f>TRIM(_xlfn.CONCAT(sales_data_sample[[#This Row],[CONTACTFIRSTNAME]],", ",sales_data_sample[[#This Row],[CONTACTLASTNAME]]))</f>
        <v>Jose Pedro, Roel</v>
      </c>
      <c r="AA2040" s="1" t="s">
        <v>40</v>
      </c>
    </row>
    <row r="2041" spans="1:27" x14ac:dyDescent="0.25">
      <c r="A2041" s="10">
        <v>10312</v>
      </c>
      <c r="B2041" s="9">
        <v>31</v>
      </c>
      <c r="C2041" s="9">
        <v>3529</v>
      </c>
      <c r="D2041" s="9">
        <f>PRODUCT(sales_data_sample[[#This Row],[QUANTITYORDERED]],sales_data_sample[[#This Row],[PRICEEACH]])</f>
        <v>109399</v>
      </c>
      <c r="E2041" s="9">
        <f>IF(OR(sales_data_sample[[#This Row],[STATUS]]="Shipped",sales_data_sample[[#This Row],[STATUS]]="Resolved"),sales_data_sample[[#This Row],[SALES]],0)</f>
        <v>109399</v>
      </c>
      <c r="F2041" s="10">
        <v>15</v>
      </c>
      <c r="G2041" s="12" t="s">
        <v>360</v>
      </c>
      <c r="H2041" s="1" t="s">
        <v>26</v>
      </c>
      <c r="I2041">
        <v>4</v>
      </c>
      <c r="J2041">
        <v>10</v>
      </c>
      <c r="K2041">
        <v>2004</v>
      </c>
      <c r="L2041" s="1" t="s">
        <v>799</v>
      </c>
      <c r="M2041">
        <v>41</v>
      </c>
      <c r="N2041" s="1" t="s">
        <v>979</v>
      </c>
      <c r="O2041" s="1" t="s">
        <v>361</v>
      </c>
      <c r="P2041" s="1" t="s">
        <v>362</v>
      </c>
      <c r="Q2041" s="1" t="s">
        <v>363</v>
      </c>
      <c r="R2041" s="1" t="s">
        <v>32</v>
      </c>
      <c r="S2041" s="1" t="s">
        <v>364</v>
      </c>
      <c r="T2041" s="1" t="s">
        <v>65</v>
      </c>
      <c r="U2041" s="1" t="s">
        <v>145</v>
      </c>
      <c r="V2041" s="1" t="s">
        <v>36</v>
      </c>
      <c r="W2041" s="1" t="s">
        <v>37</v>
      </c>
      <c r="X2041" s="1" t="s">
        <v>365</v>
      </c>
      <c r="Y2041" s="1" t="s">
        <v>366</v>
      </c>
      <c r="Z2041" s="1" t="str">
        <f>TRIM(_xlfn.CONCAT(sales_data_sample[[#This Row],[CONTACTFIRSTNAME]],", ",sales_data_sample[[#This Row],[CONTACTLASTNAME]]))</f>
        <v>Valarie, Nelson</v>
      </c>
      <c r="AA2041" s="1" t="s">
        <v>40</v>
      </c>
    </row>
    <row r="2042" spans="1:27" x14ac:dyDescent="0.25">
      <c r="A2042" s="10">
        <v>10332</v>
      </c>
      <c r="B2042" s="9">
        <v>41</v>
      </c>
      <c r="C2042" s="9">
        <v>7724</v>
      </c>
      <c r="D2042" s="9">
        <f>PRODUCT(sales_data_sample[[#This Row],[QUANTITYORDERED]],sales_data_sample[[#This Row],[PRICEEACH]])</f>
        <v>316684</v>
      </c>
      <c r="E2042" s="9">
        <f>IF(OR(sales_data_sample[[#This Row],[STATUS]]="Shipped",sales_data_sample[[#This Row],[STATUS]]="Resolved"),sales_data_sample[[#This Row],[SALES]],0)</f>
        <v>316684</v>
      </c>
      <c r="F2042" s="10">
        <v>14</v>
      </c>
      <c r="G2042" s="12" t="s">
        <v>793</v>
      </c>
      <c r="H2042" s="1" t="s">
        <v>26</v>
      </c>
      <c r="I2042">
        <v>4</v>
      </c>
      <c r="J2042">
        <v>11</v>
      </c>
      <c r="K2042">
        <v>2004</v>
      </c>
      <c r="L2042" s="1" t="s">
        <v>799</v>
      </c>
      <c r="M2042">
        <v>41</v>
      </c>
      <c r="N2042" s="1" t="s">
        <v>979</v>
      </c>
      <c r="O2042" s="1" t="s">
        <v>695</v>
      </c>
      <c r="P2042" s="1" t="s">
        <v>696</v>
      </c>
      <c r="Q2042" s="1" t="s">
        <v>697</v>
      </c>
      <c r="R2042" s="1" t="s">
        <v>32</v>
      </c>
      <c r="S2042" s="1" t="s">
        <v>698</v>
      </c>
      <c r="T2042" s="1" t="s">
        <v>32</v>
      </c>
      <c r="U2042" s="1" t="s">
        <v>699</v>
      </c>
      <c r="V2042" s="1" t="s">
        <v>225</v>
      </c>
      <c r="W2042" s="1" t="s">
        <v>48</v>
      </c>
      <c r="X2042" s="1" t="s">
        <v>700</v>
      </c>
      <c r="Y2042" s="1" t="s">
        <v>118</v>
      </c>
      <c r="Z2042" s="1" t="str">
        <f>TRIM(_xlfn.CONCAT(sales_data_sample[[#This Row],[CONTACTFIRSTNAME]],", ",sales_data_sample[[#This Row],[CONTACTLASTNAME]]))</f>
        <v>Victoria, Ashworth</v>
      </c>
      <c r="AA2042" s="1" t="s">
        <v>59</v>
      </c>
    </row>
    <row r="2043" spans="1:27" x14ac:dyDescent="0.25">
      <c r="A2043" s="10">
        <v>10346</v>
      </c>
      <c r="B2043" s="9">
        <v>22</v>
      </c>
      <c r="C2043" s="9">
        <v>9744</v>
      </c>
      <c r="D2043" s="9">
        <f>PRODUCT(sales_data_sample[[#This Row],[QUANTITYORDERED]],sales_data_sample[[#This Row],[PRICEEACH]])</f>
        <v>214368</v>
      </c>
      <c r="E2043" s="9">
        <f>IF(OR(sales_data_sample[[#This Row],[STATUS]]="Shipped",sales_data_sample[[#This Row],[STATUS]]="Resolved"),sales_data_sample[[#This Row],[SALES]],0)</f>
        <v>214368</v>
      </c>
      <c r="F2043" s="10">
        <v>4</v>
      </c>
      <c r="G2043" s="12" t="s">
        <v>375</v>
      </c>
      <c r="H2043" s="1" t="s">
        <v>26</v>
      </c>
      <c r="I2043">
        <v>4</v>
      </c>
      <c r="J2043">
        <v>11</v>
      </c>
      <c r="K2043">
        <v>2004</v>
      </c>
      <c r="L2043" s="1" t="s">
        <v>799</v>
      </c>
      <c r="M2043">
        <v>41</v>
      </c>
      <c r="N2043" s="1" t="s">
        <v>979</v>
      </c>
      <c r="O2043" s="1" t="s">
        <v>779</v>
      </c>
      <c r="P2043" s="1" t="s">
        <v>780</v>
      </c>
      <c r="Q2043" s="1" t="s">
        <v>781</v>
      </c>
      <c r="R2043" s="1" t="s">
        <v>32</v>
      </c>
      <c r="S2043" s="1" t="s">
        <v>782</v>
      </c>
      <c r="T2043" s="1" t="s">
        <v>783</v>
      </c>
      <c r="U2043" s="1" t="s">
        <v>784</v>
      </c>
      <c r="V2043" s="1" t="s">
        <v>36</v>
      </c>
      <c r="W2043" s="1" t="s">
        <v>37</v>
      </c>
      <c r="X2043" s="1" t="s">
        <v>146</v>
      </c>
      <c r="Y2043" s="1" t="s">
        <v>551</v>
      </c>
      <c r="Z2043" s="1" t="str">
        <f>TRIM(_xlfn.CONCAT(sales_data_sample[[#This Row],[CONTACTFIRSTNAME]],", ",sales_data_sample[[#This Row],[CONTACTLASTNAME]]))</f>
        <v>Sue, King</v>
      </c>
      <c r="AA2043" s="1" t="s">
        <v>40</v>
      </c>
    </row>
    <row r="2044" spans="1:27" x14ac:dyDescent="0.25">
      <c r="A2044" s="10">
        <v>10368</v>
      </c>
      <c r="B2044" s="9">
        <v>46</v>
      </c>
      <c r="C2044" s="9">
        <v>3734</v>
      </c>
      <c r="D2044" s="9">
        <f>PRODUCT(sales_data_sample[[#This Row],[QUANTITYORDERED]],sales_data_sample[[#This Row],[PRICEEACH]])</f>
        <v>171764</v>
      </c>
      <c r="E2044" s="9">
        <f>IF(OR(sales_data_sample[[#This Row],[STATUS]]="Shipped",sales_data_sample[[#This Row],[STATUS]]="Resolved"),sales_data_sample[[#This Row],[SALES]],0)</f>
        <v>171764</v>
      </c>
      <c r="F2044" s="10">
        <v>3</v>
      </c>
      <c r="G2044" s="12" t="s">
        <v>963</v>
      </c>
      <c r="H2044" s="1" t="s">
        <v>26</v>
      </c>
      <c r="I2044">
        <v>1</v>
      </c>
      <c r="J2044">
        <v>1</v>
      </c>
      <c r="K2044">
        <v>2005</v>
      </c>
      <c r="L2044" s="1" t="s">
        <v>799</v>
      </c>
      <c r="M2044">
        <v>41</v>
      </c>
      <c r="N2044" s="1" t="s">
        <v>979</v>
      </c>
      <c r="O2044" s="1" t="s">
        <v>361</v>
      </c>
      <c r="P2044" s="1" t="s">
        <v>362</v>
      </c>
      <c r="Q2044" s="1" t="s">
        <v>363</v>
      </c>
      <c r="R2044" s="1" t="s">
        <v>32</v>
      </c>
      <c r="S2044" s="1" t="s">
        <v>364</v>
      </c>
      <c r="T2044" s="1" t="s">
        <v>65</v>
      </c>
      <c r="U2044" s="1" t="s">
        <v>145</v>
      </c>
      <c r="V2044" s="1" t="s">
        <v>36</v>
      </c>
      <c r="W2044" s="1" t="s">
        <v>37</v>
      </c>
      <c r="X2044" s="1" t="s">
        <v>365</v>
      </c>
      <c r="Y2044" s="1" t="s">
        <v>366</v>
      </c>
      <c r="Z2044" s="1" t="str">
        <f>TRIM(_xlfn.CONCAT(sales_data_sample[[#This Row],[CONTACTFIRSTNAME]],", ",sales_data_sample[[#This Row],[CONTACTLASTNAME]]))</f>
        <v>Valarie, Nelson</v>
      </c>
      <c r="AA2044" s="1" t="s">
        <v>40</v>
      </c>
    </row>
    <row r="2045" spans="1:27" x14ac:dyDescent="0.25">
      <c r="A2045" s="10">
        <v>10380</v>
      </c>
      <c r="B2045" s="9">
        <v>43</v>
      </c>
      <c r="C2045" s="9">
        <v>9503</v>
      </c>
      <c r="D2045" s="9">
        <f>PRODUCT(sales_data_sample[[#This Row],[QUANTITYORDERED]],sales_data_sample[[#This Row],[PRICEEACH]])</f>
        <v>408629</v>
      </c>
      <c r="E2045" s="9">
        <f>IF(OR(sales_data_sample[[#This Row],[STATUS]]="Shipped",sales_data_sample[[#This Row],[STATUS]]="Resolved"),sales_data_sample[[#This Row],[SALES]],0)</f>
        <v>408629</v>
      </c>
      <c r="F2045" s="10">
        <v>12</v>
      </c>
      <c r="G2045" s="12" t="s">
        <v>826</v>
      </c>
      <c r="H2045" s="1" t="s">
        <v>26</v>
      </c>
      <c r="I2045">
        <v>1</v>
      </c>
      <c r="J2045">
        <v>2</v>
      </c>
      <c r="K2045">
        <v>2005</v>
      </c>
      <c r="L2045" s="1" t="s">
        <v>799</v>
      </c>
      <c r="M2045">
        <v>41</v>
      </c>
      <c r="N2045" s="1" t="s">
        <v>979</v>
      </c>
      <c r="O2045" s="1" t="s">
        <v>230</v>
      </c>
      <c r="P2045" s="1" t="s">
        <v>231</v>
      </c>
      <c r="Q2045" s="1" t="s">
        <v>232</v>
      </c>
      <c r="R2045" s="1" t="s">
        <v>32</v>
      </c>
      <c r="S2045" s="1" t="s">
        <v>233</v>
      </c>
      <c r="T2045" s="1" t="s">
        <v>32</v>
      </c>
      <c r="U2045" s="1" t="s">
        <v>234</v>
      </c>
      <c r="V2045" s="1" t="s">
        <v>235</v>
      </c>
      <c r="W2045" s="1" t="s">
        <v>48</v>
      </c>
      <c r="X2045" s="1" t="s">
        <v>236</v>
      </c>
      <c r="Y2045" s="1" t="s">
        <v>237</v>
      </c>
      <c r="Z2045" s="1" t="str">
        <f>TRIM(_xlfn.CONCAT(sales_data_sample[[#This Row],[CONTACTFIRSTNAME]],", ",sales_data_sample[[#This Row],[CONTACTLASTNAME]]))</f>
        <v>Diego, Freyre</v>
      </c>
      <c r="AA2045" s="1" t="s">
        <v>59</v>
      </c>
    </row>
    <row r="2046" spans="1:27" x14ac:dyDescent="0.25">
      <c r="A2046" s="10">
        <v>10408</v>
      </c>
      <c r="B2046" s="9">
        <v>15</v>
      </c>
      <c r="C2046" s="9">
        <v>3693</v>
      </c>
      <c r="D2046" s="9">
        <f>PRODUCT(sales_data_sample[[#This Row],[QUANTITYORDERED]],sales_data_sample[[#This Row],[PRICEEACH]])</f>
        <v>55395</v>
      </c>
      <c r="E2046" s="9">
        <f>IF(OR(sales_data_sample[[#This Row],[STATUS]]="Shipped",sales_data_sample[[#This Row],[STATUS]]="Resolved"),sales_data_sample[[#This Row],[SALES]],0)</f>
        <v>55395</v>
      </c>
      <c r="F2046" s="10">
        <v>1</v>
      </c>
      <c r="G2046" s="12" t="s">
        <v>837</v>
      </c>
      <c r="H2046" s="1" t="s">
        <v>26</v>
      </c>
      <c r="I2046">
        <v>2</v>
      </c>
      <c r="J2046">
        <v>4</v>
      </c>
      <c r="K2046">
        <v>2005</v>
      </c>
      <c r="L2046" s="1" t="s">
        <v>799</v>
      </c>
      <c r="M2046">
        <v>41</v>
      </c>
      <c r="N2046" s="1" t="s">
        <v>979</v>
      </c>
      <c r="O2046" s="1" t="s">
        <v>328</v>
      </c>
      <c r="P2046" s="1" t="s">
        <v>329</v>
      </c>
      <c r="Q2046" s="1" t="s">
        <v>330</v>
      </c>
      <c r="R2046" s="1" t="s">
        <v>32</v>
      </c>
      <c r="S2046" s="1" t="s">
        <v>331</v>
      </c>
      <c r="T2046" s="1" t="s">
        <v>332</v>
      </c>
      <c r="U2046" s="1" t="s">
        <v>333</v>
      </c>
      <c r="V2046" s="1" t="s">
        <v>264</v>
      </c>
      <c r="W2046" s="1" t="s">
        <v>264</v>
      </c>
      <c r="X2046" s="1" t="s">
        <v>334</v>
      </c>
      <c r="Y2046" s="1" t="s">
        <v>335</v>
      </c>
      <c r="Z2046" s="1" t="str">
        <f>TRIM(_xlfn.CONCAT(sales_data_sample[[#This Row],[CONTACTFIRSTNAME]],", ",sales_data_sample[[#This Row],[CONTACTLASTNAME]]))</f>
        <v>Akiko, Shimamura</v>
      </c>
      <c r="AA2046" s="1" t="s">
        <v>40</v>
      </c>
    </row>
    <row r="2047" spans="1:27" x14ac:dyDescent="0.25">
      <c r="A2047">
        <v>10420</v>
      </c>
      <c r="B2047">
        <v>15</v>
      </c>
      <c r="C2047">
        <v>4349</v>
      </c>
      <c r="D2047">
        <f>PRODUCT(sales_data_sample[[#This Row],[QUANTITYORDERED]],sales_data_sample[[#This Row],[PRICEEACH]])</f>
        <v>65235</v>
      </c>
      <c r="E2047" s="9">
        <f>IF(OR(sales_data_sample[[#This Row],[STATUS]]="Shipped",sales_data_sample[[#This Row],[STATUS]]="Resolved"),sales_data_sample[[#This Row],[SALES]],0)</f>
        <v>0</v>
      </c>
      <c r="F2047">
        <v>3</v>
      </c>
      <c r="G2047" s="12" t="s">
        <v>876</v>
      </c>
      <c r="H2047" s="1" t="s">
        <v>403</v>
      </c>
      <c r="I2047">
        <v>2</v>
      </c>
      <c r="J2047">
        <v>5</v>
      </c>
      <c r="K2047">
        <v>2005</v>
      </c>
      <c r="L2047" s="1" t="s">
        <v>799</v>
      </c>
      <c r="M2047">
        <v>41</v>
      </c>
      <c r="N2047" s="1" t="s">
        <v>979</v>
      </c>
      <c r="O2047" s="1" t="s">
        <v>201</v>
      </c>
      <c r="P2047" s="1" t="s">
        <v>202</v>
      </c>
      <c r="Q2047" s="1" t="s">
        <v>203</v>
      </c>
      <c r="R2047" s="1" t="s">
        <v>204</v>
      </c>
      <c r="S2047" s="1" t="s">
        <v>205</v>
      </c>
      <c r="T2047" s="1" t="s">
        <v>206</v>
      </c>
      <c r="U2047" s="1" t="s">
        <v>207</v>
      </c>
      <c r="V2047" s="1" t="s">
        <v>120</v>
      </c>
      <c r="W2047" s="1" t="s">
        <v>121</v>
      </c>
      <c r="X2047" s="1" t="s">
        <v>208</v>
      </c>
      <c r="Y2047" s="1" t="s">
        <v>209</v>
      </c>
      <c r="Z2047" s="1" t="str">
        <f>TRIM(_xlfn.CONCAT(sales_data_sample[[#This Row],[CONTACTFIRSTNAME]],", ",sales_data_sample[[#This Row],[CONTACTLASTNAME]]))</f>
        <v>Adrian, Huxley</v>
      </c>
      <c r="AA2047" s="1" t="s">
        <v>40</v>
      </c>
    </row>
    <row r="2048" spans="1:27" x14ac:dyDescent="0.25">
      <c r="A2048" s="10">
        <v>10104</v>
      </c>
      <c r="B2048" s="9">
        <v>26</v>
      </c>
      <c r="C2048" s="9">
        <v>100</v>
      </c>
      <c r="D2048" s="9">
        <f>PRODUCT(sales_data_sample[[#This Row],[QUANTITYORDERED]],sales_data_sample[[#This Row],[PRICEEACH]])</f>
        <v>2600</v>
      </c>
      <c r="E2048" s="9">
        <f>IF(OR(sales_data_sample[[#This Row],[STATUS]]="Shipped",sales_data_sample[[#This Row],[STATUS]]="Resolved"),sales_data_sample[[#This Row],[SALES]],0)</f>
        <v>2600</v>
      </c>
      <c r="F2048" s="10">
        <v>5</v>
      </c>
      <c r="G2048" s="12" t="s">
        <v>723</v>
      </c>
      <c r="H2048" s="1" t="s">
        <v>26</v>
      </c>
      <c r="I2048">
        <v>1</v>
      </c>
      <c r="J2048">
        <v>1</v>
      </c>
      <c r="K2048">
        <v>2003</v>
      </c>
      <c r="L2048" s="1" t="s">
        <v>239</v>
      </c>
      <c r="M2048">
        <v>118</v>
      </c>
      <c r="N2048" s="1" t="s">
        <v>981</v>
      </c>
      <c r="O2048" s="1" t="s">
        <v>230</v>
      </c>
      <c r="P2048" s="1" t="s">
        <v>231</v>
      </c>
      <c r="Q2048" s="1" t="s">
        <v>232</v>
      </c>
      <c r="R2048" s="1" t="s">
        <v>32</v>
      </c>
      <c r="S2048" s="1" t="s">
        <v>233</v>
      </c>
      <c r="T2048" s="1" t="s">
        <v>32</v>
      </c>
      <c r="U2048" s="1" t="s">
        <v>234</v>
      </c>
      <c r="V2048" s="1" t="s">
        <v>235</v>
      </c>
      <c r="W2048" s="1" t="s">
        <v>48</v>
      </c>
      <c r="X2048" s="1" t="s">
        <v>236</v>
      </c>
      <c r="Y2048" s="1" t="s">
        <v>237</v>
      </c>
      <c r="Z2048" s="1" t="str">
        <f>TRIM(_xlfn.CONCAT(sales_data_sample[[#This Row],[CONTACTFIRSTNAME]],", ",sales_data_sample[[#This Row],[CONTACTLASTNAME]]))</f>
        <v>Diego, Freyre</v>
      </c>
      <c r="AA2048" s="1" t="s">
        <v>40</v>
      </c>
    </row>
    <row r="2049" spans="1:27" x14ac:dyDescent="0.25">
      <c r="A2049">
        <v>10115</v>
      </c>
      <c r="B2049">
        <v>44</v>
      </c>
      <c r="C2049">
        <v>100</v>
      </c>
      <c r="D2049">
        <f>PRODUCT(sales_data_sample[[#This Row],[QUANTITYORDERED]],sales_data_sample[[#This Row],[PRICEEACH]])</f>
        <v>4400</v>
      </c>
      <c r="E2049" s="9">
        <f>IF(OR(sales_data_sample[[#This Row],[STATUS]]="Shipped",sales_data_sample[[#This Row],[STATUS]]="Resolved"),sales_data_sample[[#This Row],[SALES]],0)</f>
        <v>4400</v>
      </c>
      <c r="F2049">
        <v>1</v>
      </c>
      <c r="G2049" s="12" t="s">
        <v>742</v>
      </c>
      <c r="H2049" s="1" t="s">
        <v>26</v>
      </c>
      <c r="I2049">
        <v>2</v>
      </c>
      <c r="J2049">
        <v>4</v>
      </c>
      <c r="K2049">
        <v>2003</v>
      </c>
      <c r="L2049" s="1" t="s">
        <v>239</v>
      </c>
      <c r="M2049">
        <v>118</v>
      </c>
      <c r="N2049" s="1" t="s">
        <v>981</v>
      </c>
      <c r="O2049" s="1" t="s">
        <v>268</v>
      </c>
      <c r="P2049" s="1" t="s">
        <v>269</v>
      </c>
      <c r="Q2049" s="1" t="s">
        <v>270</v>
      </c>
      <c r="R2049" s="1" t="s">
        <v>271</v>
      </c>
      <c r="S2049" s="1" t="s">
        <v>33</v>
      </c>
      <c r="T2049" s="1" t="s">
        <v>34</v>
      </c>
      <c r="U2049" s="1" t="s">
        <v>35</v>
      </c>
      <c r="V2049" s="1" t="s">
        <v>36</v>
      </c>
      <c r="W2049" s="1" t="s">
        <v>37</v>
      </c>
      <c r="X2049" s="1" t="s">
        <v>162</v>
      </c>
      <c r="Y2049" s="1" t="s">
        <v>272</v>
      </c>
      <c r="Z2049" s="1" t="str">
        <f>TRIM(_xlfn.CONCAT(sales_data_sample[[#This Row],[CONTACTFIRSTNAME]],", ",sales_data_sample[[#This Row],[CONTACTLASTNAME]]))</f>
        <v>Maria, Hernandez</v>
      </c>
      <c r="AA2049" s="1" t="s">
        <v>59</v>
      </c>
    </row>
    <row r="2050" spans="1:27" x14ac:dyDescent="0.25">
      <c r="A2050">
        <v>10127</v>
      </c>
      <c r="B2050">
        <v>20</v>
      </c>
      <c r="C2050">
        <v>9699</v>
      </c>
      <c r="D2050">
        <f>PRODUCT(sales_data_sample[[#This Row],[QUANTITYORDERED]],sales_data_sample[[#This Row],[PRICEEACH]])</f>
        <v>193980</v>
      </c>
      <c r="E2050" s="9">
        <f>IF(OR(sales_data_sample[[#This Row],[STATUS]]="Shipped",sales_data_sample[[#This Row],[STATUS]]="Resolved"),sales_data_sample[[#This Row],[SALES]],0)</f>
        <v>193980</v>
      </c>
      <c r="F2050">
        <v>7</v>
      </c>
      <c r="G2050" s="12" t="s">
        <v>666</v>
      </c>
      <c r="H2050" s="1" t="s">
        <v>26</v>
      </c>
      <c r="I2050">
        <v>2</v>
      </c>
      <c r="J2050">
        <v>6</v>
      </c>
      <c r="K2050">
        <v>2003</v>
      </c>
      <c r="L2050" s="1" t="s">
        <v>239</v>
      </c>
      <c r="M2050">
        <v>118</v>
      </c>
      <c r="N2050" s="1" t="s">
        <v>981</v>
      </c>
      <c r="O2050" s="1" t="s">
        <v>667</v>
      </c>
      <c r="P2050" s="1" t="s">
        <v>668</v>
      </c>
      <c r="Q2050" s="1" t="s">
        <v>669</v>
      </c>
      <c r="R2050" s="1" t="s">
        <v>670</v>
      </c>
      <c r="S2050" s="1" t="s">
        <v>33</v>
      </c>
      <c r="T2050" s="1" t="s">
        <v>34</v>
      </c>
      <c r="U2050" s="1" t="s">
        <v>35</v>
      </c>
      <c r="V2050" s="1" t="s">
        <v>36</v>
      </c>
      <c r="W2050" s="1" t="s">
        <v>37</v>
      </c>
      <c r="X2050" s="1" t="s">
        <v>67</v>
      </c>
      <c r="Y2050" s="1" t="s">
        <v>671</v>
      </c>
      <c r="Z2050" s="1" t="str">
        <f>TRIM(_xlfn.CONCAT(sales_data_sample[[#This Row],[CONTACTFIRSTNAME]],", ",sales_data_sample[[#This Row],[CONTACTLASTNAME]]))</f>
        <v>Jeff, Young</v>
      </c>
      <c r="AA2050" s="1" t="s">
        <v>40</v>
      </c>
    </row>
    <row r="2051" spans="1:27" x14ac:dyDescent="0.25">
      <c r="A2051" s="10">
        <v>10141</v>
      </c>
      <c r="B2051" s="9">
        <v>40</v>
      </c>
      <c r="C2051" s="9">
        <v>9462</v>
      </c>
      <c r="D2051" s="9">
        <f>PRODUCT(sales_data_sample[[#This Row],[QUANTITYORDERED]],sales_data_sample[[#This Row],[PRICEEACH]])</f>
        <v>378480</v>
      </c>
      <c r="E2051" s="9">
        <f>IF(OR(sales_data_sample[[#This Row],[STATUS]]="Shipped",sales_data_sample[[#This Row],[STATUS]]="Resolved"),sales_data_sample[[#This Row],[SALES]],0)</f>
        <v>378480</v>
      </c>
      <c r="F2051" s="10">
        <v>1</v>
      </c>
      <c r="G2051" s="12" t="s">
        <v>743</v>
      </c>
      <c r="H2051" s="1" t="s">
        <v>26</v>
      </c>
      <c r="I2051">
        <v>3</v>
      </c>
      <c r="J2051">
        <v>8</v>
      </c>
      <c r="K2051">
        <v>2003</v>
      </c>
      <c r="L2051" s="1" t="s">
        <v>239</v>
      </c>
      <c r="M2051">
        <v>118</v>
      </c>
      <c r="N2051" s="1" t="s">
        <v>981</v>
      </c>
      <c r="O2051" s="1" t="s">
        <v>656</v>
      </c>
      <c r="P2051" s="1" t="s">
        <v>657</v>
      </c>
      <c r="Q2051" s="1" t="s">
        <v>658</v>
      </c>
      <c r="R2051" s="1" t="s">
        <v>32</v>
      </c>
      <c r="S2051" s="1" t="s">
        <v>659</v>
      </c>
      <c r="T2051" s="1" t="s">
        <v>32</v>
      </c>
      <c r="U2051" s="1" t="s">
        <v>660</v>
      </c>
      <c r="V2051" s="1" t="s">
        <v>170</v>
      </c>
      <c r="W2051" s="1" t="s">
        <v>48</v>
      </c>
      <c r="X2051" s="1" t="s">
        <v>661</v>
      </c>
      <c r="Y2051" s="1" t="s">
        <v>662</v>
      </c>
      <c r="Z2051" s="1" t="str">
        <f>TRIM(_xlfn.CONCAT(sales_data_sample[[#This Row],[CONTACTFIRSTNAME]],", ",sales_data_sample[[#This Row],[CONTACTLASTNAME]]))</f>
        <v>Kalle, Suominen</v>
      </c>
      <c r="AA2051" s="1" t="s">
        <v>59</v>
      </c>
    </row>
    <row r="2052" spans="1:27" x14ac:dyDescent="0.25">
      <c r="A2052" s="10">
        <v>10152</v>
      </c>
      <c r="B2052" s="9">
        <v>23</v>
      </c>
      <c r="C2052" s="9">
        <v>100</v>
      </c>
      <c r="D2052" s="9">
        <f>PRODUCT(sales_data_sample[[#This Row],[QUANTITYORDERED]],sales_data_sample[[#This Row],[PRICEEACH]])</f>
        <v>2300</v>
      </c>
      <c r="E2052" s="9">
        <f>IF(OR(sales_data_sample[[#This Row],[STATUS]]="Shipped",sales_data_sample[[#This Row],[STATUS]]="Resolved"),sales_data_sample[[#This Row],[SALES]],0)</f>
        <v>2300</v>
      </c>
      <c r="F2052" s="10">
        <v>3</v>
      </c>
      <c r="G2052" s="12" t="s">
        <v>939</v>
      </c>
      <c r="H2052" s="1" t="s">
        <v>26</v>
      </c>
      <c r="I2052">
        <v>3</v>
      </c>
      <c r="J2052">
        <v>9</v>
      </c>
      <c r="K2052">
        <v>2003</v>
      </c>
      <c r="L2052" s="1" t="s">
        <v>239</v>
      </c>
      <c r="M2052">
        <v>118</v>
      </c>
      <c r="N2052" s="1" t="s">
        <v>981</v>
      </c>
      <c r="O2052" s="1" t="s">
        <v>274</v>
      </c>
      <c r="P2052" s="1" t="s">
        <v>275</v>
      </c>
      <c r="Q2052" s="1" t="s">
        <v>276</v>
      </c>
      <c r="R2052" s="1" t="s">
        <v>32</v>
      </c>
      <c r="S2052" s="1" t="s">
        <v>277</v>
      </c>
      <c r="T2052" s="1" t="s">
        <v>278</v>
      </c>
      <c r="U2052" s="1" t="s">
        <v>279</v>
      </c>
      <c r="V2052" s="1" t="s">
        <v>120</v>
      </c>
      <c r="W2052" s="1" t="s">
        <v>121</v>
      </c>
      <c r="X2052" s="1" t="s">
        <v>280</v>
      </c>
      <c r="Y2052" s="1" t="s">
        <v>281</v>
      </c>
      <c r="Z2052" s="1" t="str">
        <f>TRIM(_xlfn.CONCAT(sales_data_sample[[#This Row],[CONTACTFIRSTNAME]],", ",sales_data_sample[[#This Row],[CONTACTLASTNAME]]))</f>
        <v>Tony, Calaghan</v>
      </c>
      <c r="AA2052" s="1" t="s">
        <v>40</v>
      </c>
    </row>
    <row r="2053" spans="1:27" x14ac:dyDescent="0.25">
      <c r="A2053" s="10">
        <v>10165</v>
      </c>
      <c r="B2053" s="9">
        <v>24</v>
      </c>
      <c r="C2053" s="9">
        <v>9936</v>
      </c>
      <c r="D2053" s="9">
        <f>PRODUCT(sales_data_sample[[#This Row],[QUANTITYORDERED]],sales_data_sample[[#This Row],[PRICEEACH]])</f>
        <v>238464</v>
      </c>
      <c r="E2053" s="9">
        <f>IF(OR(sales_data_sample[[#This Row],[STATUS]]="Shipped",sales_data_sample[[#This Row],[STATUS]]="Resolved"),sales_data_sample[[#This Row],[SALES]],0)</f>
        <v>238464</v>
      </c>
      <c r="F2053" s="10">
        <v>8</v>
      </c>
      <c r="G2053" s="12" t="s">
        <v>674</v>
      </c>
      <c r="H2053" s="1" t="s">
        <v>26</v>
      </c>
      <c r="I2053">
        <v>4</v>
      </c>
      <c r="J2053">
        <v>10</v>
      </c>
      <c r="K2053">
        <v>2003</v>
      </c>
      <c r="L2053" s="1" t="s">
        <v>239</v>
      </c>
      <c r="M2053">
        <v>118</v>
      </c>
      <c r="N2053" s="1" t="s">
        <v>981</v>
      </c>
      <c r="O2053" s="1" t="s">
        <v>259</v>
      </c>
      <c r="P2053" s="1" t="s">
        <v>260</v>
      </c>
      <c r="Q2053" s="1" t="s">
        <v>261</v>
      </c>
      <c r="R2053" s="1" t="s">
        <v>32</v>
      </c>
      <c r="S2053" s="1" t="s">
        <v>262</v>
      </c>
      <c r="T2053" s="1" t="s">
        <v>32</v>
      </c>
      <c r="U2053" s="1" t="s">
        <v>263</v>
      </c>
      <c r="V2053" s="1" t="s">
        <v>262</v>
      </c>
      <c r="W2053" s="1" t="s">
        <v>264</v>
      </c>
      <c r="X2053" s="1" t="s">
        <v>265</v>
      </c>
      <c r="Y2053" s="1" t="s">
        <v>266</v>
      </c>
      <c r="Z2053" s="1" t="str">
        <f>TRIM(_xlfn.CONCAT(sales_data_sample[[#This Row],[CONTACTFIRSTNAME]],", ",sales_data_sample[[#This Row],[CONTACTLASTNAME]]))</f>
        <v>Eric, Natividad</v>
      </c>
      <c r="AA2053" s="1" t="s">
        <v>40</v>
      </c>
    </row>
    <row r="2054" spans="1:27" x14ac:dyDescent="0.25">
      <c r="A2054" s="10">
        <v>10176</v>
      </c>
      <c r="B2054" s="9">
        <v>29</v>
      </c>
      <c r="C2054" s="9">
        <v>100</v>
      </c>
      <c r="D2054" s="9">
        <f>PRODUCT(sales_data_sample[[#This Row],[QUANTITYORDERED]],sales_data_sample[[#This Row],[PRICEEACH]])</f>
        <v>2900</v>
      </c>
      <c r="E2054" s="9">
        <f>IF(OR(sales_data_sample[[#This Row],[STATUS]]="Shipped",sales_data_sample[[#This Row],[STATUS]]="Resolved"),sales_data_sample[[#This Row],[SALES]],0)</f>
        <v>2900</v>
      </c>
      <c r="F2054" s="10">
        <v>7</v>
      </c>
      <c r="G2054" s="12" t="s">
        <v>273</v>
      </c>
      <c r="H2054" s="1" t="s">
        <v>26</v>
      </c>
      <c r="I2054">
        <v>4</v>
      </c>
      <c r="J2054">
        <v>11</v>
      </c>
      <c r="K2054">
        <v>2003</v>
      </c>
      <c r="L2054" s="1" t="s">
        <v>239</v>
      </c>
      <c r="M2054">
        <v>118</v>
      </c>
      <c r="N2054" s="1" t="s">
        <v>981</v>
      </c>
      <c r="O2054" s="1" t="s">
        <v>632</v>
      </c>
      <c r="P2054" s="1" t="s">
        <v>633</v>
      </c>
      <c r="Q2054" s="1" t="s">
        <v>634</v>
      </c>
      <c r="R2054" s="1" t="s">
        <v>32</v>
      </c>
      <c r="S2054" s="1" t="s">
        <v>635</v>
      </c>
      <c r="T2054" s="1" t="s">
        <v>32</v>
      </c>
      <c r="U2054" s="1" t="s">
        <v>636</v>
      </c>
      <c r="V2054" s="1" t="s">
        <v>343</v>
      </c>
      <c r="W2054" s="1" t="s">
        <v>48</v>
      </c>
      <c r="X2054" s="1" t="s">
        <v>637</v>
      </c>
      <c r="Y2054" s="1" t="s">
        <v>638</v>
      </c>
      <c r="Z2054" s="1" t="str">
        <f>TRIM(_xlfn.CONCAT(sales_data_sample[[#This Row],[CONTACTFIRSTNAME]],", ",sales_data_sample[[#This Row],[CONTACTLASTNAME]]))</f>
        <v>Maurizio, Moroni</v>
      </c>
      <c r="AA2054" s="1" t="s">
        <v>40</v>
      </c>
    </row>
    <row r="2055" spans="1:27" x14ac:dyDescent="0.25">
      <c r="A2055" s="10">
        <v>10184</v>
      </c>
      <c r="B2055" s="9">
        <v>49</v>
      </c>
      <c r="C2055" s="9">
        <v>100</v>
      </c>
      <c r="D2055" s="9">
        <f>PRODUCT(sales_data_sample[[#This Row],[QUANTITYORDERED]],sales_data_sample[[#This Row],[PRICEEACH]])</f>
        <v>4900</v>
      </c>
      <c r="E2055" s="9">
        <f>IF(OR(sales_data_sample[[#This Row],[STATUS]]="Shipped",sales_data_sample[[#This Row],[STATUS]]="Resolved"),sales_data_sample[[#This Row],[SALES]],0)</f>
        <v>4900</v>
      </c>
      <c r="F2055" s="10">
        <v>2</v>
      </c>
      <c r="G2055" s="12" t="s">
        <v>470</v>
      </c>
      <c r="H2055" s="1" t="s">
        <v>26</v>
      </c>
      <c r="I2055">
        <v>4</v>
      </c>
      <c r="J2055">
        <v>11</v>
      </c>
      <c r="K2055">
        <v>2003</v>
      </c>
      <c r="L2055" s="1" t="s">
        <v>239</v>
      </c>
      <c r="M2055">
        <v>118</v>
      </c>
      <c r="N2055" s="1" t="s">
        <v>981</v>
      </c>
      <c r="O2055" s="1" t="s">
        <v>745</v>
      </c>
      <c r="P2055" s="1" t="s">
        <v>746</v>
      </c>
      <c r="Q2055" s="1" t="s">
        <v>747</v>
      </c>
      <c r="R2055" s="1" t="s">
        <v>32</v>
      </c>
      <c r="S2055" s="1" t="s">
        <v>748</v>
      </c>
      <c r="T2055" s="1" t="s">
        <v>32</v>
      </c>
      <c r="U2055" s="1" t="s">
        <v>749</v>
      </c>
      <c r="V2055" s="1" t="s">
        <v>235</v>
      </c>
      <c r="W2055" s="1" t="s">
        <v>48</v>
      </c>
      <c r="X2055" s="1" t="s">
        <v>750</v>
      </c>
      <c r="Y2055" s="1" t="s">
        <v>751</v>
      </c>
      <c r="Z2055" s="1" t="str">
        <f>TRIM(_xlfn.CONCAT(sales_data_sample[[#This Row],[CONTACTFIRSTNAME]],", ",sales_data_sample[[#This Row],[CONTACTLASTNAME]]))</f>
        <v>Jose Pedro, Roel</v>
      </c>
      <c r="AA2055" s="1" t="s">
        <v>59</v>
      </c>
    </row>
    <row r="2056" spans="1:27" x14ac:dyDescent="0.25">
      <c r="A2056" s="10">
        <v>10195</v>
      </c>
      <c r="B2056" s="9">
        <v>34</v>
      </c>
      <c r="C2056" s="9">
        <v>100</v>
      </c>
      <c r="D2056" s="9">
        <f>PRODUCT(sales_data_sample[[#This Row],[QUANTITYORDERED]],sales_data_sample[[#This Row],[PRICEEACH]])</f>
        <v>3400</v>
      </c>
      <c r="E2056" s="9">
        <f>IF(OR(sales_data_sample[[#This Row],[STATUS]]="Shipped",sales_data_sample[[#This Row],[STATUS]]="Resolved"),sales_data_sample[[#This Row],[SALES]],0)</f>
        <v>3400</v>
      </c>
      <c r="F2056" s="10">
        <v>2</v>
      </c>
      <c r="G2056" s="12" t="s">
        <v>290</v>
      </c>
      <c r="H2056" s="1" t="s">
        <v>26</v>
      </c>
      <c r="I2056">
        <v>4</v>
      </c>
      <c r="J2056">
        <v>11</v>
      </c>
      <c r="K2056">
        <v>2003</v>
      </c>
      <c r="L2056" s="1" t="s">
        <v>239</v>
      </c>
      <c r="M2056">
        <v>118</v>
      </c>
      <c r="N2056" s="1" t="s">
        <v>981</v>
      </c>
      <c r="O2056" s="1" t="s">
        <v>425</v>
      </c>
      <c r="P2056" s="1" t="s">
        <v>426</v>
      </c>
      <c r="Q2056" s="1" t="s">
        <v>427</v>
      </c>
      <c r="R2056" s="1" t="s">
        <v>32</v>
      </c>
      <c r="S2056" s="1" t="s">
        <v>428</v>
      </c>
      <c r="T2056" s="1" t="s">
        <v>34</v>
      </c>
      <c r="U2056" s="1" t="s">
        <v>429</v>
      </c>
      <c r="V2056" s="1" t="s">
        <v>36</v>
      </c>
      <c r="W2056" s="1" t="s">
        <v>37</v>
      </c>
      <c r="X2056" s="1" t="s">
        <v>129</v>
      </c>
      <c r="Y2056" s="1" t="s">
        <v>314</v>
      </c>
      <c r="Z2056" s="1" t="str">
        <f>TRIM(_xlfn.CONCAT(sales_data_sample[[#This Row],[CONTACTFIRSTNAME]],", ",sales_data_sample[[#This Row],[CONTACTLASTNAME]]))</f>
        <v>Steve, Frick</v>
      </c>
      <c r="AA2056" s="1" t="s">
        <v>59</v>
      </c>
    </row>
    <row r="2057" spans="1:27" x14ac:dyDescent="0.25">
      <c r="A2057" s="10">
        <v>10207</v>
      </c>
      <c r="B2057" s="9">
        <v>28</v>
      </c>
      <c r="C2057" s="9">
        <v>100</v>
      </c>
      <c r="D2057" s="9">
        <f>PRODUCT(sales_data_sample[[#This Row],[QUANTITYORDERED]],sales_data_sample[[#This Row],[PRICEEACH]])</f>
        <v>2800</v>
      </c>
      <c r="E2057" s="9">
        <f>IF(OR(sales_data_sample[[#This Row],[STATUS]]="Shipped",sales_data_sample[[#This Row],[STATUS]]="Resolved"),sales_data_sample[[#This Row],[SALES]],0)</f>
        <v>2800</v>
      </c>
      <c r="F2057" s="10">
        <v>3</v>
      </c>
      <c r="G2057" s="12" t="s">
        <v>571</v>
      </c>
      <c r="H2057" s="1" t="s">
        <v>26</v>
      </c>
      <c r="I2057">
        <v>4</v>
      </c>
      <c r="J2057">
        <v>12</v>
      </c>
      <c r="K2057">
        <v>2003</v>
      </c>
      <c r="L2057" s="1" t="s">
        <v>239</v>
      </c>
      <c r="M2057">
        <v>118</v>
      </c>
      <c r="N2057" s="1" t="s">
        <v>981</v>
      </c>
      <c r="O2057" s="1" t="s">
        <v>572</v>
      </c>
      <c r="P2057" s="1" t="s">
        <v>573</v>
      </c>
      <c r="Q2057" s="1" t="s">
        <v>574</v>
      </c>
      <c r="R2057" s="1" t="s">
        <v>32</v>
      </c>
      <c r="S2057" s="1" t="s">
        <v>519</v>
      </c>
      <c r="T2057" s="1" t="s">
        <v>160</v>
      </c>
      <c r="U2057" s="1" t="s">
        <v>520</v>
      </c>
      <c r="V2057" s="1" t="s">
        <v>36</v>
      </c>
      <c r="W2057" s="1" t="s">
        <v>37</v>
      </c>
      <c r="X2057" s="1" t="s">
        <v>575</v>
      </c>
      <c r="Y2057" s="1" t="s">
        <v>366</v>
      </c>
      <c r="Z2057" s="1" t="str">
        <f>TRIM(_xlfn.CONCAT(sales_data_sample[[#This Row],[CONTACTFIRSTNAME]],", ",sales_data_sample[[#This Row],[CONTACTLASTNAME]]))</f>
        <v>Valarie, Franco</v>
      </c>
      <c r="AA2057" s="1" t="s">
        <v>40</v>
      </c>
    </row>
    <row r="2058" spans="1:27" x14ac:dyDescent="0.25">
      <c r="A2058">
        <v>10220</v>
      </c>
      <c r="B2058">
        <v>37</v>
      </c>
      <c r="C2058">
        <v>100</v>
      </c>
      <c r="D2058">
        <f>PRODUCT(sales_data_sample[[#This Row],[QUANTITYORDERED]],sales_data_sample[[#This Row],[PRICEEACH]])</f>
        <v>3700</v>
      </c>
      <c r="E2058" s="9">
        <f>IF(OR(sales_data_sample[[#This Row],[STATUS]]="Shipped",sales_data_sample[[#This Row],[STATUS]]="Resolved"),sales_data_sample[[#This Row],[SALES]],0)</f>
        <v>3700</v>
      </c>
      <c r="F2058">
        <v>7</v>
      </c>
      <c r="G2058" s="12" t="s">
        <v>676</v>
      </c>
      <c r="H2058" s="1" t="s">
        <v>26</v>
      </c>
      <c r="I2058">
        <v>1</v>
      </c>
      <c r="J2058">
        <v>2</v>
      </c>
      <c r="K2058">
        <v>2004</v>
      </c>
      <c r="L2058" s="1" t="s">
        <v>239</v>
      </c>
      <c r="M2058">
        <v>118</v>
      </c>
      <c r="N2058" s="1" t="s">
        <v>981</v>
      </c>
      <c r="O2058" s="1" t="s">
        <v>677</v>
      </c>
      <c r="P2058" s="1" t="s">
        <v>678</v>
      </c>
      <c r="Q2058" s="1" t="s">
        <v>679</v>
      </c>
      <c r="R2058" s="1" t="s">
        <v>680</v>
      </c>
      <c r="S2058" s="1" t="s">
        <v>681</v>
      </c>
      <c r="T2058" s="1" t="s">
        <v>32</v>
      </c>
      <c r="U2058" s="1" t="s">
        <v>682</v>
      </c>
      <c r="V2058" s="1" t="s">
        <v>683</v>
      </c>
      <c r="W2058" s="1" t="s">
        <v>48</v>
      </c>
      <c r="X2058" s="1" t="s">
        <v>684</v>
      </c>
      <c r="Y2058" s="1" t="s">
        <v>685</v>
      </c>
      <c r="Z2058" s="1" t="str">
        <f>TRIM(_xlfn.CONCAT(sales_data_sample[[#This Row],[CONTACTFIRSTNAME]],", ",sales_data_sample[[#This Row],[CONTACTLASTNAME]]))</f>
        <v>Dean, Cassidy</v>
      </c>
      <c r="AA2058" s="1" t="s">
        <v>59</v>
      </c>
    </row>
    <row r="2059" spans="1:27" x14ac:dyDescent="0.25">
      <c r="A2059" s="10">
        <v>10230</v>
      </c>
      <c r="B2059" s="9">
        <v>45</v>
      </c>
      <c r="C2059" s="9">
        <v>100</v>
      </c>
      <c r="D2059" s="9">
        <f>PRODUCT(sales_data_sample[[#This Row],[QUANTITYORDERED]],sales_data_sample[[#This Row],[PRICEEACH]])</f>
        <v>4500</v>
      </c>
      <c r="E2059" s="9">
        <f>IF(OR(sales_data_sample[[#This Row],[STATUS]]="Shipped",sales_data_sample[[#This Row],[STATUS]]="Resolved"),sales_data_sample[[#This Row],[SALES]],0)</f>
        <v>4500</v>
      </c>
      <c r="F2059" s="10">
        <v>5</v>
      </c>
      <c r="G2059" s="12" t="s">
        <v>725</v>
      </c>
      <c r="H2059" s="1" t="s">
        <v>26</v>
      </c>
      <c r="I2059">
        <v>1</v>
      </c>
      <c r="J2059">
        <v>3</v>
      </c>
      <c r="K2059">
        <v>2004</v>
      </c>
      <c r="L2059" s="1" t="s">
        <v>239</v>
      </c>
      <c r="M2059">
        <v>118</v>
      </c>
      <c r="N2059" s="1" t="s">
        <v>981</v>
      </c>
      <c r="O2059" s="1" t="s">
        <v>647</v>
      </c>
      <c r="P2059" s="1" t="s">
        <v>648</v>
      </c>
      <c r="Q2059" s="1" t="s">
        <v>649</v>
      </c>
      <c r="R2059" s="1" t="s">
        <v>32</v>
      </c>
      <c r="S2059" s="1" t="s">
        <v>650</v>
      </c>
      <c r="T2059" s="1" t="s">
        <v>32</v>
      </c>
      <c r="U2059" s="1" t="s">
        <v>651</v>
      </c>
      <c r="V2059" s="1" t="s">
        <v>617</v>
      </c>
      <c r="W2059" s="1" t="s">
        <v>48</v>
      </c>
      <c r="X2059" s="1" t="s">
        <v>652</v>
      </c>
      <c r="Y2059" s="1" t="s">
        <v>570</v>
      </c>
      <c r="Z2059" s="1" t="str">
        <f>TRIM(_xlfn.CONCAT(sales_data_sample[[#This Row],[CONTACTFIRSTNAME]],", ",sales_data_sample[[#This Row],[CONTACTLASTNAME]]))</f>
        <v>Roland, Keitel</v>
      </c>
      <c r="AA2059" s="1" t="s">
        <v>59</v>
      </c>
    </row>
    <row r="2060" spans="1:27" x14ac:dyDescent="0.25">
      <c r="A2060" s="10">
        <v>10246</v>
      </c>
      <c r="B2060" s="9">
        <v>46</v>
      </c>
      <c r="C2060" s="9">
        <v>100</v>
      </c>
      <c r="D2060" s="9">
        <f>PRODUCT(sales_data_sample[[#This Row],[QUANTITYORDERED]],sales_data_sample[[#This Row],[PRICEEACH]])</f>
        <v>4600</v>
      </c>
      <c r="E2060" s="9">
        <f>IF(OR(sales_data_sample[[#This Row],[STATUS]]="Shipped",sales_data_sample[[#This Row],[STATUS]]="Resolved"),sales_data_sample[[#This Row],[SALES]],0)</f>
        <v>4600</v>
      </c>
      <c r="F2060" s="10">
        <v>1</v>
      </c>
      <c r="G2060" s="12" t="s">
        <v>692</v>
      </c>
      <c r="H2060" s="1" t="s">
        <v>26</v>
      </c>
      <c r="I2060">
        <v>2</v>
      </c>
      <c r="J2060">
        <v>5</v>
      </c>
      <c r="K2060">
        <v>2004</v>
      </c>
      <c r="L2060" s="1" t="s">
        <v>239</v>
      </c>
      <c r="M2060">
        <v>118</v>
      </c>
      <c r="N2060" s="1" t="s">
        <v>981</v>
      </c>
      <c r="O2060" s="1" t="s">
        <v>230</v>
      </c>
      <c r="P2060" s="1" t="s">
        <v>231</v>
      </c>
      <c r="Q2060" s="1" t="s">
        <v>232</v>
      </c>
      <c r="R2060" s="1" t="s">
        <v>32</v>
      </c>
      <c r="S2060" s="1" t="s">
        <v>233</v>
      </c>
      <c r="T2060" s="1" t="s">
        <v>32</v>
      </c>
      <c r="U2060" s="1" t="s">
        <v>234</v>
      </c>
      <c r="V2060" s="1" t="s">
        <v>235</v>
      </c>
      <c r="W2060" s="1" t="s">
        <v>48</v>
      </c>
      <c r="X2060" s="1" t="s">
        <v>236</v>
      </c>
      <c r="Y2060" s="1" t="s">
        <v>237</v>
      </c>
      <c r="Z2060" s="1" t="str">
        <f>TRIM(_xlfn.CONCAT(sales_data_sample[[#This Row],[CONTACTFIRSTNAME]],", ",sales_data_sample[[#This Row],[CONTACTLASTNAME]]))</f>
        <v>Diego, Freyre</v>
      </c>
      <c r="AA2060" s="1" t="s">
        <v>59</v>
      </c>
    </row>
    <row r="2061" spans="1:27" x14ac:dyDescent="0.25">
      <c r="A2061" s="10">
        <v>10271</v>
      </c>
      <c r="B2061" s="9">
        <v>22</v>
      </c>
      <c r="C2061" s="9">
        <v>100</v>
      </c>
      <c r="D2061" s="9">
        <f>PRODUCT(sales_data_sample[[#This Row],[QUANTITYORDERED]],sales_data_sample[[#This Row],[PRICEEACH]])</f>
        <v>2200</v>
      </c>
      <c r="E2061" s="9">
        <f>IF(OR(sales_data_sample[[#This Row],[STATUS]]="Shipped",sales_data_sample[[#This Row],[STATUS]]="Resolved"),sales_data_sample[[#This Row],[SALES]],0)</f>
        <v>2200</v>
      </c>
      <c r="F2061" s="10">
        <v>1</v>
      </c>
      <c r="G2061" s="12" t="s">
        <v>693</v>
      </c>
      <c r="H2061" s="1" t="s">
        <v>26</v>
      </c>
      <c r="I2061">
        <v>3</v>
      </c>
      <c r="J2061">
        <v>7</v>
      </c>
      <c r="K2061">
        <v>2004</v>
      </c>
      <c r="L2061" s="1" t="s">
        <v>239</v>
      </c>
      <c r="M2061">
        <v>118</v>
      </c>
      <c r="N2061" s="1" t="s">
        <v>981</v>
      </c>
      <c r="O2061" s="1" t="s">
        <v>361</v>
      </c>
      <c r="P2061" s="1" t="s">
        <v>362</v>
      </c>
      <c r="Q2061" s="1" t="s">
        <v>363</v>
      </c>
      <c r="R2061" s="1" t="s">
        <v>32</v>
      </c>
      <c r="S2061" s="1" t="s">
        <v>364</v>
      </c>
      <c r="T2061" s="1" t="s">
        <v>65</v>
      </c>
      <c r="U2061" s="1" t="s">
        <v>145</v>
      </c>
      <c r="V2061" s="1" t="s">
        <v>36</v>
      </c>
      <c r="W2061" s="1" t="s">
        <v>37</v>
      </c>
      <c r="X2061" s="1" t="s">
        <v>365</v>
      </c>
      <c r="Y2061" s="1" t="s">
        <v>366</v>
      </c>
      <c r="Z2061" s="1" t="str">
        <f>TRIM(_xlfn.CONCAT(sales_data_sample[[#This Row],[CONTACTFIRSTNAME]],", ",sales_data_sample[[#This Row],[CONTACTLASTNAME]]))</f>
        <v>Valarie, Nelson</v>
      </c>
      <c r="AA2061" s="1" t="s">
        <v>59</v>
      </c>
    </row>
    <row r="2062" spans="1:27" x14ac:dyDescent="0.25">
      <c r="A2062" s="10">
        <v>10282</v>
      </c>
      <c r="B2062" s="9">
        <v>39</v>
      </c>
      <c r="C2062" s="9">
        <v>100</v>
      </c>
      <c r="D2062" s="9">
        <f>PRODUCT(sales_data_sample[[#This Row],[QUANTITYORDERED]],sales_data_sample[[#This Row],[PRICEEACH]])</f>
        <v>3900</v>
      </c>
      <c r="E2062" s="9">
        <f>IF(OR(sales_data_sample[[#This Row],[STATUS]]="Shipped",sales_data_sample[[#This Row],[STATUS]]="Resolved"),sales_data_sample[[#This Row],[SALES]],0)</f>
        <v>3900</v>
      </c>
      <c r="F2062" s="10">
        <v>10</v>
      </c>
      <c r="G2062" s="12" t="s">
        <v>508</v>
      </c>
      <c r="H2062" s="1" t="s">
        <v>26</v>
      </c>
      <c r="I2062">
        <v>3</v>
      </c>
      <c r="J2062">
        <v>8</v>
      </c>
      <c r="K2062">
        <v>2004</v>
      </c>
      <c r="L2062" s="1" t="s">
        <v>239</v>
      </c>
      <c r="M2062">
        <v>118</v>
      </c>
      <c r="N2062" s="1" t="s">
        <v>981</v>
      </c>
      <c r="O2062" s="1" t="s">
        <v>361</v>
      </c>
      <c r="P2062" s="1" t="s">
        <v>362</v>
      </c>
      <c r="Q2062" s="1" t="s">
        <v>363</v>
      </c>
      <c r="R2062" s="1" t="s">
        <v>32</v>
      </c>
      <c r="S2062" s="1" t="s">
        <v>364</v>
      </c>
      <c r="T2062" s="1" t="s">
        <v>65</v>
      </c>
      <c r="U2062" s="1" t="s">
        <v>145</v>
      </c>
      <c r="V2062" s="1" t="s">
        <v>36</v>
      </c>
      <c r="W2062" s="1" t="s">
        <v>37</v>
      </c>
      <c r="X2062" s="1" t="s">
        <v>365</v>
      </c>
      <c r="Y2062" s="1" t="s">
        <v>366</v>
      </c>
      <c r="Z2062" s="1" t="str">
        <f>TRIM(_xlfn.CONCAT(sales_data_sample[[#This Row],[CONTACTFIRSTNAME]],", ",sales_data_sample[[#This Row],[CONTACTLASTNAME]]))</f>
        <v>Valarie, Nelson</v>
      </c>
      <c r="AA2062" s="1" t="s">
        <v>59</v>
      </c>
    </row>
    <row r="2063" spans="1:27" x14ac:dyDescent="0.25">
      <c r="A2063" s="10">
        <v>10292</v>
      </c>
      <c r="B2063" s="9">
        <v>27</v>
      </c>
      <c r="C2063" s="9">
        <v>100</v>
      </c>
      <c r="D2063" s="9">
        <f>PRODUCT(sales_data_sample[[#This Row],[QUANTITYORDERED]],sales_data_sample[[#This Row],[PRICEEACH]])</f>
        <v>2700</v>
      </c>
      <c r="E2063" s="9">
        <f>IF(OR(sales_data_sample[[#This Row],[STATUS]]="Shipped",sales_data_sample[[#This Row],[STATUS]]="Resolved"),sales_data_sample[[#This Row],[SALES]],0)</f>
        <v>2700</v>
      </c>
      <c r="F2063" s="10">
        <v>4</v>
      </c>
      <c r="G2063" s="12" t="s">
        <v>346</v>
      </c>
      <c r="H2063" s="1" t="s">
        <v>26</v>
      </c>
      <c r="I2063">
        <v>3</v>
      </c>
      <c r="J2063">
        <v>9</v>
      </c>
      <c r="K2063">
        <v>2004</v>
      </c>
      <c r="L2063" s="1" t="s">
        <v>239</v>
      </c>
      <c r="M2063">
        <v>118</v>
      </c>
      <c r="N2063" s="1" t="s">
        <v>981</v>
      </c>
      <c r="O2063" s="1" t="s">
        <v>29</v>
      </c>
      <c r="P2063" s="1" t="s">
        <v>30</v>
      </c>
      <c r="Q2063" s="1" t="s">
        <v>31</v>
      </c>
      <c r="R2063" s="1" t="s">
        <v>32</v>
      </c>
      <c r="S2063" s="1" t="s">
        <v>33</v>
      </c>
      <c r="T2063" s="1" t="s">
        <v>34</v>
      </c>
      <c r="U2063" s="1" t="s">
        <v>35</v>
      </c>
      <c r="V2063" s="1" t="s">
        <v>36</v>
      </c>
      <c r="W2063" s="1" t="s">
        <v>37</v>
      </c>
      <c r="X2063" s="1" t="s">
        <v>38</v>
      </c>
      <c r="Y2063" s="1" t="s">
        <v>39</v>
      </c>
      <c r="Z2063" s="1" t="str">
        <f>TRIM(_xlfn.CONCAT(sales_data_sample[[#This Row],[CONTACTFIRSTNAME]],", ",sales_data_sample[[#This Row],[CONTACTLASTNAME]]))</f>
        <v>Kwai, Yu</v>
      </c>
      <c r="AA2063" s="1" t="s">
        <v>59</v>
      </c>
    </row>
    <row r="2064" spans="1:27" x14ac:dyDescent="0.25">
      <c r="A2064" s="10">
        <v>10305</v>
      </c>
      <c r="B2064" s="9">
        <v>36</v>
      </c>
      <c r="C2064" s="9">
        <v>100</v>
      </c>
      <c r="D2064" s="9">
        <f>PRODUCT(sales_data_sample[[#This Row],[QUANTITYORDERED]],sales_data_sample[[#This Row],[PRICEEACH]])</f>
        <v>3600</v>
      </c>
      <c r="E2064" s="9">
        <f>IF(OR(sales_data_sample[[#This Row],[STATUS]]="Shipped",sales_data_sample[[#This Row],[STATUS]]="Resolved"),sales_data_sample[[#This Row],[SALES]],0)</f>
        <v>3600</v>
      </c>
      <c r="F2064" s="10">
        <v>1</v>
      </c>
      <c r="G2064" s="12" t="s">
        <v>586</v>
      </c>
      <c r="H2064" s="1" t="s">
        <v>26</v>
      </c>
      <c r="I2064">
        <v>4</v>
      </c>
      <c r="J2064">
        <v>10</v>
      </c>
      <c r="K2064">
        <v>2004</v>
      </c>
      <c r="L2064" s="1" t="s">
        <v>239</v>
      </c>
      <c r="M2064">
        <v>118</v>
      </c>
      <c r="N2064" s="1" t="s">
        <v>981</v>
      </c>
      <c r="O2064" s="1" t="s">
        <v>156</v>
      </c>
      <c r="P2064" s="1" t="s">
        <v>157</v>
      </c>
      <c r="Q2064" s="1" t="s">
        <v>158</v>
      </c>
      <c r="R2064" s="1" t="s">
        <v>32</v>
      </c>
      <c r="S2064" s="1" t="s">
        <v>159</v>
      </c>
      <c r="T2064" s="1" t="s">
        <v>160</v>
      </c>
      <c r="U2064" s="1" t="s">
        <v>161</v>
      </c>
      <c r="V2064" s="1" t="s">
        <v>36</v>
      </c>
      <c r="W2064" s="1" t="s">
        <v>37</v>
      </c>
      <c r="X2064" s="1" t="s">
        <v>162</v>
      </c>
      <c r="Y2064" s="1" t="s">
        <v>163</v>
      </c>
      <c r="Z2064" s="1" t="str">
        <f>TRIM(_xlfn.CONCAT(sales_data_sample[[#This Row],[CONTACTFIRSTNAME]],", ",sales_data_sample[[#This Row],[CONTACTLASTNAME]]))</f>
        <v>Marta, Hernandez</v>
      </c>
      <c r="AA2064" s="1" t="s">
        <v>59</v>
      </c>
    </row>
    <row r="2065" spans="1:27" x14ac:dyDescent="0.25">
      <c r="A2065" s="10">
        <v>10314</v>
      </c>
      <c r="B2065" s="9">
        <v>38</v>
      </c>
      <c r="C2065" s="9">
        <v>100</v>
      </c>
      <c r="D2065" s="9">
        <f>PRODUCT(sales_data_sample[[#This Row],[QUANTITYORDERED]],sales_data_sample[[#This Row],[PRICEEACH]])</f>
        <v>3800</v>
      </c>
      <c r="E2065" s="9">
        <f>IF(OR(sales_data_sample[[#This Row],[STATUS]]="Shipped",sales_data_sample[[#This Row],[STATUS]]="Resolved"),sales_data_sample[[#This Row],[SALES]],0)</f>
        <v>3800</v>
      </c>
      <c r="F2065" s="10">
        <v>10</v>
      </c>
      <c r="G2065" s="12" t="s">
        <v>587</v>
      </c>
      <c r="H2065" s="1" t="s">
        <v>26</v>
      </c>
      <c r="I2065">
        <v>4</v>
      </c>
      <c r="J2065">
        <v>10</v>
      </c>
      <c r="K2065">
        <v>2004</v>
      </c>
      <c r="L2065" s="1" t="s">
        <v>239</v>
      </c>
      <c r="M2065">
        <v>118</v>
      </c>
      <c r="N2065" s="1" t="s">
        <v>981</v>
      </c>
      <c r="O2065" s="1" t="s">
        <v>701</v>
      </c>
      <c r="P2065" s="1" t="s">
        <v>702</v>
      </c>
      <c r="Q2065" s="1" t="s">
        <v>703</v>
      </c>
      <c r="R2065" s="1" t="s">
        <v>32</v>
      </c>
      <c r="S2065" s="1" t="s">
        <v>704</v>
      </c>
      <c r="T2065" s="1" t="s">
        <v>32</v>
      </c>
      <c r="U2065" s="1" t="s">
        <v>705</v>
      </c>
      <c r="V2065" s="1" t="s">
        <v>442</v>
      </c>
      <c r="W2065" s="1" t="s">
        <v>48</v>
      </c>
      <c r="X2065" s="1" t="s">
        <v>706</v>
      </c>
      <c r="Y2065" s="1" t="s">
        <v>707</v>
      </c>
      <c r="Z2065" s="1" t="str">
        <f>TRIM(_xlfn.CONCAT(sales_data_sample[[#This Row],[CONTACTFIRSTNAME]],", ",sales_data_sample[[#This Row],[CONTACTLASTNAME]]))</f>
        <v>Palle, Ibsen</v>
      </c>
      <c r="AA2065" s="1" t="s">
        <v>59</v>
      </c>
    </row>
    <row r="2066" spans="1:27" x14ac:dyDescent="0.25">
      <c r="A2066" s="10">
        <v>10325</v>
      </c>
      <c r="B2066" s="9">
        <v>44</v>
      </c>
      <c r="C2066" s="9">
        <v>100</v>
      </c>
      <c r="D2066" s="9">
        <f>PRODUCT(sales_data_sample[[#This Row],[QUANTITYORDERED]],sales_data_sample[[#This Row],[PRICEEACH]])</f>
        <v>4400</v>
      </c>
      <c r="E2066" s="9">
        <f>IF(OR(sales_data_sample[[#This Row],[STATUS]]="Shipped",sales_data_sample[[#This Row],[STATUS]]="Resolved"),sales_data_sample[[#This Row],[SALES]],0)</f>
        <v>4400</v>
      </c>
      <c r="F2066" s="10">
        <v>5</v>
      </c>
      <c r="G2066" s="12" t="s">
        <v>532</v>
      </c>
      <c r="H2066" s="1" t="s">
        <v>26</v>
      </c>
      <c r="I2066">
        <v>4</v>
      </c>
      <c r="J2066">
        <v>11</v>
      </c>
      <c r="K2066">
        <v>2004</v>
      </c>
      <c r="L2066" s="1" t="s">
        <v>239</v>
      </c>
      <c r="M2066">
        <v>118</v>
      </c>
      <c r="N2066" s="1" t="s">
        <v>981</v>
      </c>
      <c r="O2066" s="1" t="s">
        <v>174</v>
      </c>
      <c r="P2066" s="1" t="s">
        <v>175</v>
      </c>
      <c r="Q2066" s="1" t="s">
        <v>176</v>
      </c>
      <c r="R2066" s="1" t="s">
        <v>32</v>
      </c>
      <c r="S2066" s="1" t="s">
        <v>177</v>
      </c>
      <c r="T2066" s="1" t="s">
        <v>32</v>
      </c>
      <c r="U2066" s="1" t="s">
        <v>178</v>
      </c>
      <c r="V2066" s="1" t="s">
        <v>97</v>
      </c>
      <c r="W2066" s="1" t="s">
        <v>48</v>
      </c>
      <c r="X2066" s="1" t="s">
        <v>179</v>
      </c>
      <c r="Y2066" s="1" t="s">
        <v>180</v>
      </c>
      <c r="Z2066" s="1" t="str">
        <f>TRIM(_xlfn.CONCAT(sales_data_sample[[#This Row],[CONTACTFIRSTNAME]],", ",sales_data_sample[[#This Row],[CONTACTLASTNAME]]))</f>
        <v>Jonas, Bergulfsen</v>
      </c>
      <c r="AA2066" s="1" t="s">
        <v>59</v>
      </c>
    </row>
    <row r="2067" spans="1:27" x14ac:dyDescent="0.25">
      <c r="A2067" s="10">
        <v>10336</v>
      </c>
      <c r="B2067" s="9">
        <v>31</v>
      </c>
      <c r="C2067" s="9">
        <v>100</v>
      </c>
      <c r="D2067" s="9">
        <f>PRODUCT(sales_data_sample[[#This Row],[QUANTITYORDERED]],sales_data_sample[[#This Row],[PRICEEACH]])</f>
        <v>3100</v>
      </c>
      <c r="E2067" s="9">
        <f>IF(OR(sales_data_sample[[#This Row],[STATUS]]="Shipped",sales_data_sample[[#This Row],[STATUS]]="Resolved"),sales_data_sample[[#This Row],[SALES]],0)</f>
        <v>3100</v>
      </c>
      <c r="F2067" s="10">
        <v>5</v>
      </c>
      <c r="G2067" s="12" t="s">
        <v>708</v>
      </c>
      <c r="H2067" s="1" t="s">
        <v>26</v>
      </c>
      <c r="I2067">
        <v>4</v>
      </c>
      <c r="J2067">
        <v>11</v>
      </c>
      <c r="K2067">
        <v>2004</v>
      </c>
      <c r="L2067" s="1" t="s">
        <v>239</v>
      </c>
      <c r="M2067">
        <v>118</v>
      </c>
      <c r="N2067" s="1" t="s">
        <v>981</v>
      </c>
      <c r="O2067" s="1" t="s">
        <v>556</v>
      </c>
      <c r="P2067" s="1" t="s">
        <v>557</v>
      </c>
      <c r="Q2067" s="1" t="s">
        <v>558</v>
      </c>
      <c r="R2067" s="1" t="s">
        <v>32</v>
      </c>
      <c r="S2067" s="1" t="s">
        <v>55</v>
      </c>
      <c r="T2067" s="1" t="s">
        <v>32</v>
      </c>
      <c r="U2067" s="1" t="s">
        <v>559</v>
      </c>
      <c r="V2067" s="1" t="s">
        <v>47</v>
      </c>
      <c r="W2067" s="1" t="s">
        <v>48</v>
      </c>
      <c r="X2067" s="1" t="s">
        <v>560</v>
      </c>
      <c r="Y2067" s="1" t="s">
        <v>561</v>
      </c>
      <c r="Z2067" s="1" t="str">
        <f>TRIM(_xlfn.CONCAT(sales_data_sample[[#This Row],[CONTACTFIRSTNAME]],", ",sales_data_sample[[#This Row],[CONTACTLASTNAME]]))</f>
        <v>Marie, Bertrand</v>
      </c>
      <c r="AA2067" s="1" t="s">
        <v>59</v>
      </c>
    </row>
    <row r="2068" spans="1:27" x14ac:dyDescent="0.25">
      <c r="A2068">
        <v>10349</v>
      </c>
      <c r="B2068">
        <v>23</v>
      </c>
      <c r="C2068">
        <v>100</v>
      </c>
      <c r="D2068">
        <f>PRODUCT(sales_data_sample[[#This Row],[QUANTITYORDERED]],sales_data_sample[[#This Row],[PRICEEACH]])</f>
        <v>2300</v>
      </c>
      <c r="E2068" s="9">
        <f>IF(OR(sales_data_sample[[#This Row],[STATUS]]="Shipped",sales_data_sample[[#This Row],[STATUS]]="Resolved"),sales_data_sample[[#This Row],[SALES]],0)</f>
        <v>2300</v>
      </c>
      <c r="F2068">
        <v>2</v>
      </c>
      <c r="G2068" s="12" t="s">
        <v>737</v>
      </c>
      <c r="H2068" s="1" t="s">
        <v>26</v>
      </c>
      <c r="I2068">
        <v>4</v>
      </c>
      <c r="J2068">
        <v>12</v>
      </c>
      <c r="K2068">
        <v>2004</v>
      </c>
      <c r="L2068" s="1" t="s">
        <v>239</v>
      </c>
      <c r="M2068">
        <v>118</v>
      </c>
      <c r="N2068" s="1" t="s">
        <v>981</v>
      </c>
      <c r="O2068" s="1" t="s">
        <v>667</v>
      </c>
      <c r="P2068" s="1" t="s">
        <v>668</v>
      </c>
      <c r="Q2068" s="1" t="s">
        <v>669</v>
      </c>
      <c r="R2068" s="1" t="s">
        <v>670</v>
      </c>
      <c r="S2068" s="1" t="s">
        <v>33</v>
      </c>
      <c r="T2068" s="1" t="s">
        <v>34</v>
      </c>
      <c r="U2068" s="1" t="s">
        <v>35</v>
      </c>
      <c r="V2068" s="1" t="s">
        <v>36</v>
      </c>
      <c r="W2068" s="1" t="s">
        <v>37</v>
      </c>
      <c r="X2068" s="1" t="s">
        <v>67</v>
      </c>
      <c r="Y2068" s="1" t="s">
        <v>671</v>
      </c>
      <c r="Z2068" s="1" t="str">
        <f>TRIM(_xlfn.CONCAT(sales_data_sample[[#This Row],[CONTACTFIRSTNAME]],", ",sales_data_sample[[#This Row],[CONTACTLASTNAME]]))</f>
        <v>Jeff, Young</v>
      </c>
      <c r="AA2068" s="1" t="s">
        <v>59</v>
      </c>
    </row>
    <row r="2069" spans="1:27" x14ac:dyDescent="0.25">
      <c r="A2069" s="10">
        <v>10359</v>
      </c>
      <c r="B2069" s="9">
        <v>22</v>
      </c>
      <c r="C2069" s="9">
        <v>100</v>
      </c>
      <c r="D2069" s="9">
        <f>PRODUCT(sales_data_sample[[#This Row],[QUANTITYORDERED]],sales_data_sample[[#This Row],[PRICEEACH]])</f>
        <v>2200</v>
      </c>
      <c r="E2069" s="9">
        <f>IF(OR(sales_data_sample[[#This Row],[STATUS]]="Shipped",sales_data_sample[[#This Row],[STATUS]]="Resolved"),sales_data_sample[[#This Row],[SALES]],0)</f>
        <v>2200</v>
      </c>
      <c r="F2069" s="10">
        <v>7</v>
      </c>
      <c r="G2069" s="12" t="s">
        <v>535</v>
      </c>
      <c r="H2069" s="1" t="s">
        <v>26</v>
      </c>
      <c r="I2069">
        <v>4</v>
      </c>
      <c r="J2069">
        <v>12</v>
      </c>
      <c r="K2069">
        <v>2004</v>
      </c>
      <c r="L2069" s="1" t="s">
        <v>239</v>
      </c>
      <c r="M2069">
        <v>118</v>
      </c>
      <c r="N2069" s="1" t="s">
        <v>981</v>
      </c>
      <c r="O2069" s="1" t="s">
        <v>42</v>
      </c>
      <c r="P2069" s="1" t="s">
        <v>43</v>
      </c>
      <c r="Q2069" s="1" t="s">
        <v>44</v>
      </c>
      <c r="R2069" s="1" t="s">
        <v>32</v>
      </c>
      <c r="S2069" s="1" t="s">
        <v>45</v>
      </c>
      <c r="T2069" s="1" t="s">
        <v>32</v>
      </c>
      <c r="U2069" s="1" t="s">
        <v>46</v>
      </c>
      <c r="V2069" s="1" t="s">
        <v>47</v>
      </c>
      <c r="W2069" s="1" t="s">
        <v>48</v>
      </c>
      <c r="X2069" s="1" t="s">
        <v>49</v>
      </c>
      <c r="Y2069" s="1" t="s">
        <v>50</v>
      </c>
      <c r="Z2069" s="1" t="str">
        <f>TRIM(_xlfn.CONCAT(sales_data_sample[[#This Row],[CONTACTFIRSTNAME]],", ",sales_data_sample[[#This Row],[CONTACTLASTNAME]]))</f>
        <v>Paul, Henriot</v>
      </c>
      <c r="AA2069" s="1" t="s">
        <v>40</v>
      </c>
    </row>
    <row r="2070" spans="1:27" x14ac:dyDescent="0.25">
      <c r="A2070" s="10">
        <v>10371</v>
      </c>
      <c r="B2070" s="9">
        <v>28</v>
      </c>
      <c r="C2070" s="9">
        <v>5032</v>
      </c>
      <c r="D2070" s="9">
        <f>PRODUCT(sales_data_sample[[#This Row],[QUANTITYORDERED]],sales_data_sample[[#This Row],[PRICEEACH]])</f>
        <v>140896</v>
      </c>
      <c r="E2070" s="9">
        <f>IF(OR(sales_data_sample[[#This Row],[STATUS]]="Shipped",sales_data_sample[[#This Row],[STATUS]]="Resolved"),sales_data_sample[[#This Row],[SALES]],0)</f>
        <v>140896</v>
      </c>
      <c r="F2070" s="10">
        <v>9</v>
      </c>
      <c r="G2070" s="12" t="s">
        <v>709</v>
      </c>
      <c r="H2070" s="1" t="s">
        <v>26</v>
      </c>
      <c r="I2070">
        <v>1</v>
      </c>
      <c r="J2070">
        <v>1</v>
      </c>
      <c r="K2070">
        <v>2005</v>
      </c>
      <c r="L2070" s="1" t="s">
        <v>239</v>
      </c>
      <c r="M2070">
        <v>118</v>
      </c>
      <c r="N2070" s="1" t="s">
        <v>981</v>
      </c>
      <c r="O2070" s="1" t="s">
        <v>361</v>
      </c>
      <c r="P2070" s="1" t="s">
        <v>362</v>
      </c>
      <c r="Q2070" s="1" t="s">
        <v>363</v>
      </c>
      <c r="R2070" s="1" t="s">
        <v>32</v>
      </c>
      <c r="S2070" s="1" t="s">
        <v>364</v>
      </c>
      <c r="T2070" s="1" t="s">
        <v>65</v>
      </c>
      <c r="U2070" s="1" t="s">
        <v>145</v>
      </c>
      <c r="V2070" s="1" t="s">
        <v>36</v>
      </c>
      <c r="W2070" s="1" t="s">
        <v>37</v>
      </c>
      <c r="X2070" s="1" t="s">
        <v>365</v>
      </c>
      <c r="Y2070" s="1" t="s">
        <v>366</v>
      </c>
      <c r="Z2070" s="1" t="str">
        <f>TRIM(_xlfn.CONCAT(sales_data_sample[[#This Row],[CONTACTFIRSTNAME]],", ",sales_data_sample[[#This Row],[CONTACTLASTNAME]]))</f>
        <v>Valarie, Nelson</v>
      </c>
      <c r="AA2070" s="1" t="s">
        <v>40</v>
      </c>
    </row>
    <row r="2071" spans="1:27" x14ac:dyDescent="0.25">
      <c r="A2071" s="10">
        <v>10383</v>
      </c>
      <c r="B2071" s="9">
        <v>21</v>
      </c>
      <c r="C2071" s="9">
        <v>9391</v>
      </c>
      <c r="D2071" s="9">
        <f>PRODUCT(sales_data_sample[[#This Row],[QUANTITYORDERED]],sales_data_sample[[#This Row],[PRICEEACH]])</f>
        <v>197211</v>
      </c>
      <c r="E2071" s="9">
        <f>IF(OR(sales_data_sample[[#This Row],[STATUS]]="Shipped",sales_data_sample[[#This Row],[STATUS]]="Resolved"),sales_data_sample[[#This Row],[SALES]],0)</f>
        <v>197211</v>
      </c>
      <c r="F2071" s="10">
        <v>4</v>
      </c>
      <c r="G2071" s="12" t="s">
        <v>884</v>
      </c>
      <c r="H2071" s="1" t="s">
        <v>26</v>
      </c>
      <c r="I2071">
        <v>1</v>
      </c>
      <c r="J2071">
        <v>2</v>
      </c>
      <c r="K2071">
        <v>2005</v>
      </c>
      <c r="L2071" s="1" t="s">
        <v>239</v>
      </c>
      <c r="M2071">
        <v>118</v>
      </c>
      <c r="N2071" s="1" t="s">
        <v>981</v>
      </c>
      <c r="O2071" s="1" t="s">
        <v>230</v>
      </c>
      <c r="P2071" s="1" t="s">
        <v>231</v>
      </c>
      <c r="Q2071" s="1" t="s">
        <v>232</v>
      </c>
      <c r="R2071" s="1" t="s">
        <v>32</v>
      </c>
      <c r="S2071" s="1" t="s">
        <v>233</v>
      </c>
      <c r="T2071" s="1" t="s">
        <v>32</v>
      </c>
      <c r="U2071" s="1" t="s">
        <v>234</v>
      </c>
      <c r="V2071" s="1" t="s">
        <v>235</v>
      </c>
      <c r="W2071" s="1" t="s">
        <v>48</v>
      </c>
      <c r="X2071" s="1" t="s">
        <v>236</v>
      </c>
      <c r="Y2071" s="1" t="s">
        <v>237</v>
      </c>
      <c r="Z2071" s="1" t="str">
        <f>TRIM(_xlfn.CONCAT(sales_data_sample[[#This Row],[CONTACTFIRSTNAME]],", ",sales_data_sample[[#This Row],[CONTACTLASTNAME]]))</f>
        <v>Diego, Freyre</v>
      </c>
      <c r="AA2071" s="1" t="s">
        <v>40</v>
      </c>
    </row>
    <row r="2072" spans="1:27" x14ac:dyDescent="0.25">
      <c r="A2072" s="10">
        <v>10394</v>
      </c>
      <c r="B2072" s="9">
        <v>37</v>
      </c>
      <c r="C2072" s="9">
        <v>100</v>
      </c>
      <c r="D2072" s="9">
        <f>PRODUCT(sales_data_sample[[#This Row],[QUANTITYORDERED]],sales_data_sample[[#This Row],[PRICEEACH]])</f>
        <v>3700</v>
      </c>
      <c r="E2072" s="9">
        <f>IF(OR(sales_data_sample[[#This Row],[STATUS]]="Shipped",sales_data_sample[[#This Row],[STATUS]]="Resolved"),sales_data_sample[[#This Row],[SALES]],0)</f>
        <v>3700</v>
      </c>
      <c r="F2072" s="10">
        <v>7</v>
      </c>
      <c r="G2072" s="12" t="s">
        <v>917</v>
      </c>
      <c r="H2072" s="1" t="s">
        <v>26</v>
      </c>
      <c r="I2072">
        <v>1</v>
      </c>
      <c r="J2072">
        <v>3</v>
      </c>
      <c r="K2072">
        <v>2005</v>
      </c>
      <c r="L2072" s="1" t="s">
        <v>239</v>
      </c>
      <c r="M2072">
        <v>118</v>
      </c>
      <c r="N2072" s="1" t="s">
        <v>981</v>
      </c>
      <c r="O2072" s="1" t="s">
        <v>230</v>
      </c>
      <c r="P2072" s="1" t="s">
        <v>231</v>
      </c>
      <c r="Q2072" s="1" t="s">
        <v>232</v>
      </c>
      <c r="R2072" s="1" t="s">
        <v>32</v>
      </c>
      <c r="S2072" s="1" t="s">
        <v>233</v>
      </c>
      <c r="T2072" s="1" t="s">
        <v>32</v>
      </c>
      <c r="U2072" s="1" t="s">
        <v>234</v>
      </c>
      <c r="V2072" s="1" t="s">
        <v>235</v>
      </c>
      <c r="W2072" s="1" t="s">
        <v>48</v>
      </c>
      <c r="X2072" s="1" t="s">
        <v>236</v>
      </c>
      <c r="Y2072" s="1" t="s">
        <v>237</v>
      </c>
      <c r="Z2072" s="1" t="str">
        <f>TRIM(_xlfn.CONCAT(sales_data_sample[[#This Row],[CONTACTFIRSTNAME]],", ",sales_data_sample[[#This Row],[CONTACTLASTNAME]]))</f>
        <v>Diego, Freyre</v>
      </c>
      <c r="AA2072" s="1" t="s">
        <v>59</v>
      </c>
    </row>
    <row r="2073" spans="1:27" x14ac:dyDescent="0.25">
      <c r="A2073" s="10">
        <v>10412</v>
      </c>
      <c r="B2073" s="9">
        <v>31</v>
      </c>
      <c r="C2073" s="9">
        <v>100</v>
      </c>
      <c r="D2073" s="9">
        <f>PRODUCT(sales_data_sample[[#This Row],[QUANTITYORDERED]],sales_data_sample[[#This Row],[PRICEEACH]])</f>
        <v>3100</v>
      </c>
      <c r="E2073" s="9">
        <f>IF(OR(sales_data_sample[[#This Row],[STATUS]]="Shipped",sales_data_sample[[#This Row],[STATUS]]="Resolved"),sales_data_sample[[#This Row],[SALES]],0)</f>
        <v>3100</v>
      </c>
      <c r="F2073" s="10">
        <v>1</v>
      </c>
      <c r="G2073" s="12" t="s">
        <v>758</v>
      </c>
      <c r="H2073" s="1" t="s">
        <v>26</v>
      </c>
      <c r="I2073">
        <v>2</v>
      </c>
      <c r="J2073">
        <v>5</v>
      </c>
      <c r="K2073">
        <v>2005</v>
      </c>
      <c r="L2073" s="1" t="s">
        <v>239</v>
      </c>
      <c r="M2073">
        <v>118</v>
      </c>
      <c r="N2073" s="1" t="s">
        <v>981</v>
      </c>
      <c r="O2073" s="1" t="s">
        <v>230</v>
      </c>
      <c r="P2073" s="1" t="s">
        <v>231</v>
      </c>
      <c r="Q2073" s="1" t="s">
        <v>232</v>
      </c>
      <c r="R2073" s="1" t="s">
        <v>32</v>
      </c>
      <c r="S2073" s="1" t="s">
        <v>233</v>
      </c>
      <c r="T2073" s="1" t="s">
        <v>32</v>
      </c>
      <c r="U2073" s="1" t="s">
        <v>234</v>
      </c>
      <c r="V2073" s="1" t="s">
        <v>235</v>
      </c>
      <c r="W2073" s="1" t="s">
        <v>48</v>
      </c>
      <c r="X2073" s="1" t="s">
        <v>236</v>
      </c>
      <c r="Y2073" s="1" t="s">
        <v>237</v>
      </c>
      <c r="Z2073" s="1" t="str">
        <f>TRIM(_xlfn.CONCAT(sales_data_sample[[#This Row],[CONTACTFIRSTNAME]],", ",sales_data_sample[[#This Row],[CONTACTLASTNAME]]))</f>
        <v>Diego, Freyre</v>
      </c>
      <c r="AA2073" s="1" t="s">
        <v>59</v>
      </c>
    </row>
    <row r="2074" spans="1:27" x14ac:dyDescent="0.25">
      <c r="A2074" s="10">
        <v>10103</v>
      </c>
      <c r="B2074" s="9">
        <v>25</v>
      </c>
      <c r="C2074" s="9">
        <v>100</v>
      </c>
      <c r="D2074" s="9">
        <f>PRODUCT(sales_data_sample[[#This Row],[QUANTITYORDERED]],sales_data_sample[[#This Row],[PRICEEACH]])</f>
        <v>2500</v>
      </c>
      <c r="E2074" s="9">
        <f>IF(OR(sales_data_sample[[#This Row],[STATUS]]="Shipped",sales_data_sample[[#This Row],[STATUS]]="Resolved"),sales_data_sample[[#This Row],[SALES]],0)</f>
        <v>2500</v>
      </c>
      <c r="F2074" s="10">
        <v>15</v>
      </c>
      <c r="G2074" s="12" t="s">
        <v>238</v>
      </c>
      <c r="H2074" s="1" t="s">
        <v>26</v>
      </c>
      <c r="I2074">
        <v>1</v>
      </c>
      <c r="J2074">
        <v>1</v>
      </c>
      <c r="K2074">
        <v>2003</v>
      </c>
      <c r="L2074" s="1" t="s">
        <v>799</v>
      </c>
      <c r="M2074">
        <v>97</v>
      </c>
      <c r="N2074" s="1" t="s">
        <v>982</v>
      </c>
      <c r="O2074" s="1" t="s">
        <v>174</v>
      </c>
      <c r="P2074" s="1" t="s">
        <v>175</v>
      </c>
      <c r="Q2074" s="1" t="s">
        <v>176</v>
      </c>
      <c r="R2074" s="1" t="s">
        <v>32</v>
      </c>
      <c r="S2074" s="1" t="s">
        <v>177</v>
      </c>
      <c r="T2074" s="1" t="s">
        <v>32</v>
      </c>
      <c r="U2074" s="1" t="s">
        <v>178</v>
      </c>
      <c r="V2074" s="1" t="s">
        <v>97</v>
      </c>
      <c r="W2074" s="1" t="s">
        <v>48</v>
      </c>
      <c r="X2074" s="1" t="s">
        <v>179</v>
      </c>
      <c r="Y2074" s="1" t="s">
        <v>180</v>
      </c>
      <c r="Z2074" s="1" t="str">
        <f>TRIM(_xlfn.CONCAT(sales_data_sample[[#This Row],[CONTACTFIRSTNAME]],", ",sales_data_sample[[#This Row],[CONTACTLASTNAME]]))</f>
        <v>Jonas, Bergulfsen</v>
      </c>
      <c r="AA2074" s="1" t="s">
        <v>40</v>
      </c>
    </row>
    <row r="2075" spans="1:27" x14ac:dyDescent="0.25">
      <c r="A2075" s="10">
        <v>10111</v>
      </c>
      <c r="B2075" s="9">
        <v>26</v>
      </c>
      <c r="C2075" s="9">
        <v>8668</v>
      </c>
      <c r="D2075" s="9">
        <f>PRODUCT(sales_data_sample[[#This Row],[QUANTITYORDERED]],sales_data_sample[[#This Row],[PRICEEACH]])</f>
        <v>225368</v>
      </c>
      <c r="E2075" s="9">
        <f>IF(OR(sales_data_sample[[#This Row],[STATUS]]="Shipped",sales_data_sample[[#This Row],[STATUS]]="Resolved"),sales_data_sample[[#This Row],[SALES]],0)</f>
        <v>225368</v>
      </c>
      <c r="F2075" s="10">
        <v>3</v>
      </c>
      <c r="G2075" s="12" t="s">
        <v>801</v>
      </c>
      <c r="H2075" s="1" t="s">
        <v>26</v>
      </c>
      <c r="I2075">
        <v>1</v>
      </c>
      <c r="J2075">
        <v>3</v>
      </c>
      <c r="K2075">
        <v>2003</v>
      </c>
      <c r="L2075" s="1" t="s">
        <v>799</v>
      </c>
      <c r="M2075">
        <v>97</v>
      </c>
      <c r="N2075" s="1" t="s">
        <v>982</v>
      </c>
      <c r="O2075" s="1" t="s">
        <v>101</v>
      </c>
      <c r="P2075" s="1" t="s">
        <v>102</v>
      </c>
      <c r="Q2075" s="1" t="s">
        <v>103</v>
      </c>
      <c r="R2075" s="1" t="s">
        <v>32</v>
      </c>
      <c r="S2075" s="1" t="s">
        <v>73</v>
      </c>
      <c r="T2075" s="1" t="s">
        <v>65</v>
      </c>
      <c r="U2075" s="1" t="s">
        <v>32</v>
      </c>
      <c r="V2075" s="1" t="s">
        <v>36</v>
      </c>
      <c r="W2075" s="1" t="s">
        <v>37</v>
      </c>
      <c r="X2075" s="1" t="s">
        <v>104</v>
      </c>
      <c r="Y2075" s="1" t="s">
        <v>68</v>
      </c>
      <c r="Z2075" s="1" t="str">
        <f>TRIM(_xlfn.CONCAT(sales_data_sample[[#This Row],[CONTACTFIRSTNAME]],", ",sales_data_sample[[#This Row],[CONTACTLASTNAME]]))</f>
        <v>Julie, Murphy</v>
      </c>
      <c r="AA2075" s="1" t="s">
        <v>40</v>
      </c>
    </row>
    <row r="2076" spans="1:27" x14ac:dyDescent="0.25">
      <c r="A2076" s="10">
        <v>10126</v>
      </c>
      <c r="B2076" s="9">
        <v>34</v>
      </c>
      <c r="C2076" s="9">
        <v>100</v>
      </c>
      <c r="D2076" s="9">
        <f>PRODUCT(sales_data_sample[[#This Row],[QUANTITYORDERED]],sales_data_sample[[#This Row],[PRICEEACH]])</f>
        <v>3400</v>
      </c>
      <c r="E2076" s="9">
        <f>IF(OR(sales_data_sample[[#This Row],[STATUS]]="Shipped",sales_data_sample[[#This Row],[STATUS]]="Resolved"),sales_data_sample[[#This Row],[SALES]],0)</f>
        <v>3400</v>
      </c>
      <c r="F2076" s="10">
        <v>15</v>
      </c>
      <c r="G2076" s="12" t="s">
        <v>250</v>
      </c>
      <c r="H2076" s="1" t="s">
        <v>26</v>
      </c>
      <c r="I2076">
        <v>2</v>
      </c>
      <c r="J2076">
        <v>5</v>
      </c>
      <c r="K2076">
        <v>2003</v>
      </c>
      <c r="L2076" s="1" t="s">
        <v>799</v>
      </c>
      <c r="M2076">
        <v>97</v>
      </c>
      <c r="N2076" s="1" t="s">
        <v>982</v>
      </c>
      <c r="O2076" s="1" t="s">
        <v>251</v>
      </c>
      <c r="P2076" s="1" t="s">
        <v>252</v>
      </c>
      <c r="Q2076" s="1" t="s">
        <v>253</v>
      </c>
      <c r="R2076" s="1" t="s">
        <v>32</v>
      </c>
      <c r="S2076" s="1" t="s">
        <v>233</v>
      </c>
      <c r="T2076" s="1" t="s">
        <v>32</v>
      </c>
      <c r="U2076" s="1" t="s">
        <v>254</v>
      </c>
      <c r="V2076" s="1" t="s">
        <v>235</v>
      </c>
      <c r="W2076" s="1" t="s">
        <v>48</v>
      </c>
      <c r="X2076" s="1" t="s">
        <v>255</v>
      </c>
      <c r="Y2076" s="1" t="s">
        <v>256</v>
      </c>
      <c r="Z2076" s="1" t="str">
        <f>TRIM(_xlfn.CONCAT(sales_data_sample[[#This Row],[CONTACTFIRSTNAME]],", ",sales_data_sample[[#This Row],[CONTACTLASTNAME]]))</f>
        <v>Mart¡n, Sommer</v>
      </c>
      <c r="AA2076" s="1" t="s">
        <v>59</v>
      </c>
    </row>
    <row r="2077" spans="1:27" x14ac:dyDescent="0.25">
      <c r="A2077">
        <v>10139</v>
      </c>
      <c r="B2077">
        <v>29</v>
      </c>
      <c r="C2077">
        <v>100</v>
      </c>
      <c r="D2077">
        <f>PRODUCT(sales_data_sample[[#This Row],[QUANTITYORDERED]],sales_data_sample[[#This Row],[PRICEEACH]])</f>
        <v>2900</v>
      </c>
      <c r="E2077" s="9">
        <f>IF(OR(sales_data_sample[[#This Row],[STATUS]]="Shipped",sales_data_sample[[#This Row],[STATUS]]="Resolved"),sales_data_sample[[#This Row],[SALES]],0)</f>
        <v>2900</v>
      </c>
      <c r="F2077">
        <v>4</v>
      </c>
      <c r="G2077" s="12" t="s">
        <v>803</v>
      </c>
      <c r="H2077" s="1" t="s">
        <v>26</v>
      </c>
      <c r="I2077">
        <v>3</v>
      </c>
      <c r="J2077">
        <v>7</v>
      </c>
      <c r="K2077">
        <v>2003</v>
      </c>
      <c r="L2077" s="1" t="s">
        <v>799</v>
      </c>
      <c r="M2077">
        <v>97</v>
      </c>
      <c r="N2077" s="1" t="s">
        <v>982</v>
      </c>
      <c r="O2077" s="1" t="s">
        <v>201</v>
      </c>
      <c r="P2077" s="1" t="s">
        <v>202</v>
      </c>
      <c r="Q2077" s="1" t="s">
        <v>203</v>
      </c>
      <c r="R2077" s="1" t="s">
        <v>204</v>
      </c>
      <c r="S2077" s="1" t="s">
        <v>205</v>
      </c>
      <c r="T2077" s="1" t="s">
        <v>206</v>
      </c>
      <c r="U2077" s="1" t="s">
        <v>207</v>
      </c>
      <c r="V2077" s="1" t="s">
        <v>120</v>
      </c>
      <c r="W2077" s="1" t="s">
        <v>121</v>
      </c>
      <c r="X2077" s="1" t="s">
        <v>208</v>
      </c>
      <c r="Y2077" s="1" t="s">
        <v>209</v>
      </c>
      <c r="Z2077" s="1" t="str">
        <f>TRIM(_xlfn.CONCAT(sales_data_sample[[#This Row],[CONTACTFIRSTNAME]],", ",sales_data_sample[[#This Row],[CONTACTLASTNAME]]))</f>
        <v>Adrian, Huxley</v>
      </c>
      <c r="AA2077" s="1" t="s">
        <v>59</v>
      </c>
    </row>
    <row r="2078" spans="1:27" x14ac:dyDescent="0.25">
      <c r="A2078" s="10">
        <v>10149</v>
      </c>
      <c r="B2078" s="9">
        <v>20</v>
      </c>
      <c r="C2078" s="9">
        <v>9057</v>
      </c>
      <c r="D2078" s="9">
        <f>PRODUCT(sales_data_sample[[#This Row],[QUANTITYORDERED]],sales_data_sample[[#This Row],[PRICEEACH]])</f>
        <v>181140</v>
      </c>
      <c r="E2078" s="9">
        <f>IF(OR(sales_data_sample[[#This Row],[STATUS]]="Shipped",sales_data_sample[[#This Row],[STATUS]]="Resolved"),sales_data_sample[[#This Row],[SALES]],0)</f>
        <v>181140</v>
      </c>
      <c r="F2078" s="10">
        <v>1</v>
      </c>
      <c r="G2078" s="12" t="s">
        <v>804</v>
      </c>
      <c r="H2078" s="1" t="s">
        <v>26</v>
      </c>
      <c r="I2078">
        <v>3</v>
      </c>
      <c r="J2078">
        <v>9</v>
      </c>
      <c r="K2078">
        <v>2003</v>
      </c>
      <c r="L2078" s="1" t="s">
        <v>799</v>
      </c>
      <c r="M2078">
        <v>97</v>
      </c>
      <c r="N2078" s="1" t="s">
        <v>982</v>
      </c>
      <c r="O2078" s="1" t="s">
        <v>753</v>
      </c>
      <c r="P2078" s="1" t="s">
        <v>754</v>
      </c>
      <c r="Q2078" s="1" t="s">
        <v>755</v>
      </c>
      <c r="R2078" s="1" t="s">
        <v>32</v>
      </c>
      <c r="S2078" s="1" t="s">
        <v>756</v>
      </c>
      <c r="T2078" s="1" t="s">
        <v>65</v>
      </c>
      <c r="U2078" s="1" t="s">
        <v>80</v>
      </c>
      <c r="V2078" s="1" t="s">
        <v>36</v>
      </c>
      <c r="W2078" s="1" t="s">
        <v>37</v>
      </c>
      <c r="X2078" s="1" t="s">
        <v>757</v>
      </c>
      <c r="Y2078" s="1" t="s">
        <v>551</v>
      </c>
      <c r="Z2078" s="1" t="str">
        <f>TRIM(_xlfn.CONCAT(sales_data_sample[[#This Row],[CONTACTFIRSTNAME]],", ",sales_data_sample[[#This Row],[CONTACTLASTNAME]]))</f>
        <v>Sue, Taylor</v>
      </c>
      <c r="AA2078" s="1" t="s">
        <v>40</v>
      </c>
    </row>
    <row r="2079" spans="1:27" x14ac:dyDescent="0.25">
      <c r="A2079">
        <v>10163</v>
      </c>
      <c r="B2079">
        <v>42</v>
      </c>
      <c r="C2079">
        <v>9155</v>
      </c>
      <c r="D2079">
        <f>PRODUCT(sales_data_sample[[#This Row],[QUANTITYORDERED]],sales_data_sample[[#This Row],[PRICEEACH]])</f>
        <v>384510</v>
      </c>
      <c r="E2079" s="9">
        <f>IF(OR(sales_data_sample[[#This Row],[STATUS]]="Shipped",sales_data_sample[[#This Row],[STATUS]]="Resolved"),sales_data_sample[[#This Row],[SALES]],0)</f>
        <v>384510</v>
      </c>
      <c r="F2079">
        <v>5</v>
      </c>
      <c r="G2079" s="12" t="s">
        <v>267</v>
      </c>
      <c r="H2079" s="1" t="s">
        <v>26</v>
      </c>
      <c r="I2079">
        <v>4</v>
      </c>
      <c r="J2079">
        <v>10</v>
      </c>
      <c r="K2079">
        <v>2003</v>
      </c>
      <c r="L2079" s="1" t="s">
        <v>799</v>
      </c>
      <c r="M2079">
        <v>97</v>
      </c>
      <c r="N2079" s="1" t="s">
        <v>982</v>
      </c>
      <c r="O2079" s="1" t="s">
        <v>268</v>
      </c>
      <c r="P2079" s="1" t="s">
        <v>269</v>
      </c>
      <c r="Q2079" s="1" t="s">
        <v>270</v>
      </c>
      <c r="R2079" s="1" t="s">
        <v>271</v>
      </c>
      <c r="S2079" s="1" t="s">
        <v>33</v>
      </c>
      <c r="T2079" s="1" t="s">
        <v>34</v>
      </c>
      <c r="U2079" s="1" t="s">
        <v>35</v>
      </c>
      <c r="V2079" s="1" t="s">
        <v>36</v>
      </c>
      <c r="W2079" s="1" t="s">
        <v>37</v>
      </c>
      <c r="X2079" s="1" t="s">
        <v>162</v>
      </c>
      <c r="Y2079" s="1" t="s">
        <v>272</v>
      </c>
      <c r="Z2079" s="1" t="str">
        <f>TRIM(_xlfn.CONCAT(sales_data_sample[[#This Row],[CONTACTFIRSTNAME]],", ",sales_data_sample[[#This Row],[CONTACTLASTNAME]]))</f>
        <v>Maria, Hernandez</v>
      </c>
      <c r="AA2079" s="1" t="s">
        <v>59</v>
      </c>
    </row>
    <row r="2080" spans="1:27" x14ac:dyDescent="0.25">
      <c r="A2080" s="10">
        <v>10173</v>
      </c>
      <c r="B2080" s="9">
        <v>22</v>
      </c>
      <c r="C2080" s="9">
        <v>100</v>
      </c>
      <c r="D2080" s="9">
        <f>PRODUCT(sales_data_sample[[#This Row],[QUANTITYORDERED]],sales_data_sample[[#This Row],[PRICEEACH]])</f>
        <v>2200</v>
      </c>
      <c r="E2080" s="9">
        <f>IF(OR(sales_data_sample[[#This Row],[STATUS]]="Shipped",sales_data_sample[[#This Row],[STATUS]]="Resolved"),sales_data_sample[[#This Row],[SALES]],0)</f>
        <v>2200</v>
      </c>
      <c r="F2080" s="10">
        <v>3</v>
      </c>
      <c r="G2080" s="12" t="s">
        <v>776</v>
      </c>
      <c r="H2080" s="1" t="s">
        <v>26</v>
      </c>
      <c r="I2080">
        <v>4</v>
      </c>
      <c r="J2080">
        <v>11</v>
      </c>
      <c r="K2080">
        <v>2003</v>
      </c>
      <c r="L2080" s="1" t="s">
        <v>799</v>
      </c>
      <c r="M2080">
        <v>97</v>
      </c>
      <c r="N2080" s="1" t="s">
        <v>982</v>
      </c>
      <c r="O2080" s="1" t="s">
        <v>806</v>
      </c>
      <c r="P2080" s="1" t="s">
        <v>807</v>
      </c>
      <c r="Q2080" s="1" t="s">
        <v>808</v>
      </c>
      <c r="R2080" s="1" t="s">
        <v>32</v>
      </c>
      <c r="S2080" s="1" t="s">
        <v>809</v>
      </c>
      <c r="T2080" s="1" t="s">
        <v>32</v>
      </c>
      <c r="U2080" s="1" t="s">
        <v>810</v>
      </c>
      <c r="V2080" s="1" t="s">
        <v>343</v>
      </c>
      <c r="W2080" s="1" t="s">
        <v>48</v>
      </c>
      <c r="X2080" s="1" t="s">
        <v>811</v>
      </c>
      <c r="Y2080" s="1" t="s">
        <v>812</v>
      </c>
      <c r="Z2080" s="1" t="str">
        <f>TRIM(_xlfn.CONCAT(sales_data_sample[[#This Row],[CONTACTFIRSTNAME]],", ",sales_data_sample[[#This Row],[CONTACTLASTNAME]]))</f>
        <v>Giovanni, Rovelli</v>
      </c>
      <c r="AA2080" s="1" t="s">
        <v>40</v>
      </c>
    </row>
    <row r="2081" spans="1:27" x14ac:dyDescent="0.25">
      <c r="A2081" s="10">
        <v>10183</v>
      </c>
      <c r="B2081" s="9">
        <v>47</v>
      </c>
      <c r="C2081" s="9">
        <v>100</v>
      </c>
      <c r="D2081" s="9">
        <f>PRODUCT(sales_data_sample[[#This Row],[QUANTITYORDERED]],sales_data_sample[[#This Row],[PRICEEACH]])</f>
        <v>4700</v>
      </c>
      <c r="E2081" s="9">
        <f>IF(OR(sales_data_sample[[#This Row],[STATUS]]="Shipped",sales_data_sample[[#This Row],[STATUS]]="Resolved"),sales_data_sample[[#This Row],[SALES]],0)</f>
        <v>4700</v>
      </c>
      <c r="F2081" s="10">
        <v>12</v>
      </c>
      <c r="G2081" s="12" t="s">
        <v>282</v>
      </c>
      <c r="H2081" s="1" t="s">
        <v>26</v>
      </c>
      <c r="I2081">
        <v>4</v>
      </c>
      <c r="J2081">
        <v>11</v>
      </c>
      <c r="K2081">
        <v>2003</v>
      </c>
      <c r="L2081" s="1" t="s">
        <v>799</v>
      </c>
      <c r="M2081">
        <v>97</v>
      </c>
      <c r="N2081" s="1" t="s">
        <v>982</v>
      </c>
      <c r="O2081" s="1" t="s">
        <v>283</v>
      </c>
      <c r="P2081" s="1" t="s">
        <v>284</v>
      </c>
      <c r="Q2081" s="1" t="s">
        <v>285</v>
      </c>
      <c r="R2081" s="1" t="s">
        <v>32</v>
      </c>
      <c r="S2081" s="1" t="s">
        <v>286</v>
      </c>
      <c r="T2081" s="1" t="s">
        <v>186</v>
      </c>
      <c r="U2081" s="1" t="s">
        <v>287</v>
      </c>
      <c r="V2081" s="1" t="s">
        <v>36</v>
      </c>
      <c r="W2081" s="1" t="s">
        <v>37</v>
      </c>
      <c r="X2081" s="1" t="s">
        <v>288</v>
      </c>
      <c r="Y2081" s="1" t="s">
        <v>289</v>
      </c>
      <c r="Z2081" s="1" t="str">
        <f>TRIM(_xlfn.CONCAT(sales_data_sample[[#This Row],[CONTACTFIRSTNAME]],", ",sales_data_sample[[#This Row],[CONTACTLASTNAME]]))</f>
        <v>Francisca, Cervantes</v>
      </c>
      <c r="AA2081" s="1" t="s">
        <v>59</v>
      </c>
    </row>
    <row r="2082" spans="1:27" x14ac:dyDescent="0.25">
      <c r="A2082" s="10">
        <v>10193</v>
      </c>
      <c r="B2082" s="9">
        <v>20</v>
      </c>
      <c r="C2082" s="9">
        <v>100</v>
      </c>
      <c r="D2082" s="9">
        <f>PRODUCT(sales_data_sample[[#This Row],[QUANTITYORDERED]],sales_data_sample[[#This Row],[PRICEEACH]])</f>
        <v>2000</v>
      </c>
      <c r="E2082" s="9">
        <f>IF(OR(sales_data_sample[[#This Row],[STATUS]]="Shipped",sales_data_sample[[#This Row],[STATUS]]="Resolved"),sales_data_sample[[#This Row],[SALES]],0)</f>
        <v>2000</v>
      </c>
      <c r="F2082" s="10">
        <v>4</v>
      </c>
      <c r="G2082" s="12" t="s">
        <v>813</v>
      </c>
      <c r="H2082" s="1" t="s">
        <v>26</v>
      </c>
      <c r="I2082">
        <v>4</v>
      </c>
      <c r="J2082">
        <v>11</v>
      </c>
      <c r="K2082">
        <v>2003</v>
      </c>
      <c r="L2082" s="1" t="s">
        <v>799</v>
      </c>
      <c r="M2082">
        <v>97</v>
      </c>
      <c r="N2082" s="1" t="s">
        <v>982</v>
      </c>
      <c r="O2082" s="1" t="s">
        <v>814</v>
      </c>
      <c r="P2082" s="1" t="s">
        <v>815</v>
      </c>
      <c r="Q2082" s="1" t="s">
        <v>816</v>
      </c>
      <c r="R2082" s="1" t="s">
        <v>32</v>
      </c>
      <c r="S2082" s="1" t="s">
        <v>817</v>
      </c>
      <c r="T2082" s="1" t="s">
        <v>118</v>
      </c>
      <c r="U2082" s="1" t="s">
        <v>818</v>
      </c>
      <c r="V2082" s="1" t="s">
        <v>120</v>
      </c>
      <c r="W2082" s="1" t="s">
        <v>121</v>
      </c>
      <c r="X2082" s="1" t="s">
        <v>819</v>
      </c>
      <c r="Y2082" s="1" t="s">
        <v>820</v>
      </c>
      <c r="Z2082" s="1" t="str">
        <f>TRIM(_xlfn.CONCAT(sales_data_sample[[#This Row],[CONTACTFIRSTNAME]],", ",sales_data_sample[[#This Row],[CONTACTLASTNAME]]))</f>
        <v>Sean, Connery</v>
      </c>
      <c r="AA2082" s="1" t="s">
        <v>40</v>
      </c>
    </row>
    <row r="2083" spans="1:27" x14ac:dyDescent="0.25">
      <c r="A2083" s="10">
        <v>10206</v>
      </c>
      <c r="B2083" s="9">
        <v>33</v>
      </c>
      <c r="C2083" s="9">
        <v>9739</v>
      </c>
      <c r="D2083" s="9">
        <f>PRODUCT(sales_data_sample[[#This Row],[QUANTITYORDERED]],sales_data_sample[[#This Row],[PRICEEACH]])</f>
        <v>321387</v>
      </c>
      <c r="E2083" s="9">
        <f>IF(OR(sales_data_sample[[#This Row],[STATUS]]="Shipped",sales_data_sample[[#This Row],[STATUS]]="Resolved"),sales_data_sample[[#This Row],[SALES]],0)</f>
        <v>321387</v>
      </c>
      <c r="F2083" s="10">
        <v>10</v>
      </c>
      <c r="G2083" s="12" t="s">
        <v>298</v>
      </c>
      <c r="H2083" s="1" t="s">
        <v>26</v>
      </c>
      <c r="I2083">
        <v>4</v>
      </c>
      <c r="J2083">
        <v>12</v>
      </c>
      <c r="K2083">
        <v>2003</v>
      </c>
      <c r="L2083" s="1" t="s">
        <v>799</v>
      </c>
      <c r="M2083">
        <v>97</v>
      </c>
      <c r="N2083" s="1" t="s">
        <v>982</v>
      </c>
      <c r="O2083" s="1" t="s">
        <v>299</v>
      </c>
      <c r="P2083" s="1" t="s">
        <v>300</v>
      </c>
      <c r="Q2083" s="1" t="s">
        <v>301</v>
      </c>
      <c r="R2083" s="1" t="s">
        <v>32</v>
      </c>
      <c r="S2083" s="1" t="s">
        <v>302</v>
      </c>
      <c r="T2083" s="1" t="s">
        <v>303</v>
      </c>
      <c r="U2083" s="1" t="s">
        <v>304</v>
      </c>
      <c r="V2083" s="1" t="s">
        <v>305</v>
      </c>
      <c r="W2083" s="1" t="s">
        <v>37</v>
      </c>
      <c r="X2083" s="1" t="s">
        <v>306</v>
      </c>
      <c r="Y2083" s="1" t="s">
        <v>307</v>
      </c>
      <c r="Z2083" s="1" t="str">
        <f>TRIM(_xlfn.CONCAT(sales_data_sample[[#This Row],[CONTACTFIRSTNAME]],", ",sales_data_sample[[#This Row],[CONTACTLASTNAME]]))</f>
        <v>Yoshi, Tannamuri</v>
      </c>
      <c r="AA2083" s="1" t="s">
        <v>59</v>
      </c>
    </row>
    <row r="2084" spans="1:27" x14ac:dyDescent="0.25">
      <c r="A2084" s="10">
        <v>10215</v>
      </c>
      <c r="B2084" s="9">
        <v>39</v>
      </c>
      <c r="C2084" s="9">
        <v>9057</v>
      </c>
      <c r="D2084" s="9">
        <f>PRODUCT(sales_data_sample[[#This Row],[QUANTITYORDERED]],sales_data_sample[[#This Row],[PRICEEACH]])</f>
        <v>353223</v>
      </c>
      <c r="E2084" s="9">
        <f>IF(OR(sales_data_sample[[#This Row],[STATUS]]="Shipped",sales_data_sample[[#This Row],[STATUS]]="Resolved"),sales_data_sample[[#This Row],[SALES]],0)</f>
        <v>353223</v>
      </c>
      <c r="F2084" s="10">
        <v>7</v>
      </c>
      <c r="G2084" s="12" t="s">
        <v>308</v>
      </c>
      <c r="H2084" s="1" t="s">
        <v>26</v>
      </c>
      <c r="I2084">
        <v>1</v>
      </c>
      <c r="J2084">
        <v>1</v>
      </c>
      <c r="K2084">
        <v>2004</v>
      </c>
      <c r="L2084" s="1" t="s">
        <v>799</v>
      </c>
      <c r="M2084">
        <v>97</v>
      </c>
      <c r="N2084" s="1" t="s">
        <v>982</v>
      </c>
      <c r="O2084" s="1" t="s">
        <v>309</v>
      </c>
      <c r="P2084" s="1" t="s">
        <v>310</v>
      </c>
      <c r="Q2084" s="1" t="s">
        <v>311</v>
      </c>
      <c r="R2084" s="1" t="s">
        <v>32</v>
      </c>
      <c r="S2084" s="1" t="s">
        <v>312</v>
      </c>
      <c r="T2084" s="1" t="s">
        <v>65</v>
      </c>
      <c r="U2084" s="1" t="s">
        <v>137</v>
      </c>
      <c r="V2084" s="1" t="s">
        <v>36</v>
      </c>
      <c r="W2084" s="1" t="s">
        <v>37</v>
      </c>
      <c r="X2084" s="1" t="s">
        <v>313</v>
      </c>
      <c r="Y2084" s="1" t="s">
        <v>314</v>
      </c>
      <c r="Z2084" s="1" t="str">
        <f>TRIM(_xlfn.CONCAT(sales_data_sample[[#This Row],[CONTACTFIRSTNAME]],", ",sales_data_sample[[#This Row],[CONTACTLASTNAME]]))</f>
        <v>Steve, Thompson</v>
      </c>
      <c r="AA2084" s="1" t="s">
        <v>59</v>
      </c>
    </row>
    <row r="2085" spans="1:27" x14ac:dyDescent="0.25">
      <c r="A2085" s="10">
        <v>10228</v>
      </c>
      <c r="B2085" s="9">
        <v>33</v>
      </c>
      <c r="C2085" s="9">
        <v>100</v>
      </c>
      <c r="D2085" s="9">
        <f>PRODUCT(sales_data_sample[[#This Row],[QUANTITYORDERED]],sales_data_sample[[#This Row],[PRICEEACH]])</f>
        <v>3300</v>
      </c>
      <c r="E2085" s="9">
        <f>IF(OR(sales_data_sample[[#This Row],[STATUS]]="Shipped",sales_data_sample[[#This Row],[STATUS]]="Resolved"),sales_data_sample[[#This Row],[SALES]],0)</f>
        <v>3300</v>
      </c>
      <c r="F2085" s="10">
        <v>6</v>
      </c>
      <c r="G2085" s="12" t="s">
        <v>315</v>
      </c>
      <c r="H2085" s="1" t="s">
        <v>26</v>
      </c>
      <c r="I2085">
        <v>1</v>
      </c>
      <c r="J2085">
        <v>3</v>
      </c>
      <c r="K2085">
        <v>2004</v>
      </c>
      <c r="L2085" s="1" t="s">
        <v>799</v>
      </c>
      <c r="M2085">
        <v>97</v>
      </c>
      <c r="N2085" s="1" t="s">
        <v>982</v>
      </c>
      <c r="O2085" s="1" t="s">
        <v>316</v>
      </c>
      <c r="P2085" s="1" t="s">
        <v>317</v>
      </c>
      <c r="Q2085" s="1" t="s">
        <v>318</v>
      </c>
      <c r="R2085" s="1" t="s">
        <v>32</v>
      </c>
      <c r="S2085" s="1" t="s">
        <v>159</v>
      </c>
      <c r="T2085" s="1" t="s">
        <v>160</v>
      </c>
      <c r="U2085" s="1" t="s">
        <v>161</v>
      </c>
      <c r="V2085" s="1" t="s">
        <v>36</v>
      </c>
      <c r="W2085" s="1" t="s">
        <v>37</v>
      </c>
      <c r="X2085" s="1" t="s">
        <v>319</v>
      </c>
      <c r="Y2085" s="1" t="s">
        <v>188</v>
      </c>
      <c r="Z2085" s="1" t="str">
        <f>TRIM(_xlfn.CONCAT(sales_data_sample[[#This Row],[CONTACTFIRSTNAME]],", ",sales_data_sample[[#This Row],[CONTACTLASTNAME]]))</f>
        <v>Kyung, Tseng</v>
      </c>
      <c r="AA2085" s="1" t="s">
        <v>59</v>
      </c>
    </row>
    <row r="2086" spans="1:27" x14ac:dyDescent="0.25">
      <c r="A2086" s="10">
        <v>10244</v>
      </c>
      <c r="B2086" s="9">
        <v>40</v>
      </c>
      <c r="C2086" s="9">
        <v>8668</v>
      </c>
      <c r="D2086" s="9">
        <f>PRODUCT(sales_data_sample[[#This Row],[QUANTITYORDERED]],sales_data_sample[[#This Row],[PRICEEACH]])</f>
        <v>346720</v>
      </c>
      <c r="E2086" s="9">
        <f>IF(OR(sales_data_sample[[#This Row],[STATUS]]="Shipped",sales_data_sample[[#This Row],[STATUS]]="Resolved"),sales_data_sample[[#This Row],[SALES]],0)</f>
        <v>346720</v>
      </c>
      <c r="F2086" s="10">
        <v>4</v>
      </c>
      <c r="G2086" s="12" t="s">
        <v>823</v>
      </c>
      <c r="H2086" s="1" t="s">
        <v>26</v>
      </c>
      <c r="I2086">
        <v>2</v>
      </c>
      <c r="J2086">
        <v>4</v>
      </c>
      <c r="K2086">
        <v>2004</v>
      </c>
      <c r="L2086" s="1" t="s">
        <v>799</v>
      </c>
      <c r="M2086">
        <v>97</v>
      </c>
      <c r="N2086" s="1" t="s">
        <v>982</v>
      </c>
      <c r="O2086" s="1" t="s">
        <v>230</v>
      </c>
      <c r="P2086" s="1" t="s">
        <v>231</v>
      </c>
      <c r="Q2086" s="1" t="s">
        <v>232</v>
      </c>
      <c r="R2086" s="1" t="s">
        <v>32</v>
      </c>
      <c r="S2086" s="1" t="s">
        <v>233</v>
      </c>
      <c r="T2086" s="1" t="s">
        <v>32</v>
      </c>
      <c r="U2086" s="1" t="s">
        <v>234</v>
      </c>
      <c r="V2086" s="1" t="s">
        <v>235</v>
      </c>
      <c r="W2086" s="1" t="s">
        <v>48</v>
      </c>
      <c r="X2086" s="1" t="s">
        <v>236</v>
      </c>
      <c r="Y2086" s="1" t="s">
        <v>237</v>
      </c>
      <c r="Z2086" s="1" t="str">
        <f>TRIM(_xlfn.CONCAT(sales_data_sample[[#This Row],[CONTACTFIRSTNAME]],", ",sales_data_sample[[#This Row],[CONTACTLASTNAME]]))</f>
        <v>Diego, Freyre</v>
      </c>
      <c r="AA2086" s="1" t="s">
        <v>59</v>
      </c>
    </row>
    <row r="2087" spans="1:27" x14ac:dyDescent="0.25">
      <c r="A2087" s="10">
        <v>10257</v>
      </c>
      <c r="B2087" s="9">
        <v>46</v>
      </c>
      <c r="C2087" s="9">
        <v>7889</v>
      </c>
      <c r="D2087" s="9">
        <f>PRODUCT(sales_data_sample[[#This Row],[QUANTITYORDERED]],sales_data_sample[[#This Row],[PRICEEACH]])</f>
        <v>362894</v>
      </c>
      <c r="E2087" s="9">
        <f>IF(OR(sales_data_sample[[#This Row],[STATUS]]="Shipped",sales_data_sample[[#This Row],[STATUS]]="Resolved"),sales_data_sample[[#This Row],[SALES]],0)</f>
        <v>362894</v>
      </c>
      <c r="F2087" s="10">
        <v>4</v>
      </c>
      <c r="G2087" s="12" t="s">
        <v>901</v>
      </c>
      <c r="H2087" s="1" t="s">
        <v>26</v>
      </c>
      <c r="I2087">
        <v>2</v>
      </c>
      <c r="J2087">
        <v>6</v>
      </c>
      <c r="K2087">
        <v>2004</v>
      </c>
      <c r="L2087" s="1" t="s">
        <v>799</v>
      </c>
      <c r="M2087">
        <v>97</v>
      </c>
      <c r="N2087" s="1" t="s">
        <v>982</v>
      </c>
      <c r="O2087" s="1" t="s">
        <v>547</v>
      </c>
      <c r="P2087" s="1" t="s">
        <v>548</v>
      </c>
      <c r="Q2087" s="1" t="s">
        <v>549</v>
      </c>
      <c r="R2087" s="1" t="s">
        <v>32</v>
      </c>
      <c r="S2087" s="1" t="s">
        <v>550</v>
      </c>
      <c r="T2087" s="1" t="s">
        <v>65</v>
      </c>
      <c r="U2087" s="1" t="s">
        <v>80</v>
      </c>
      <c r="V2087" s="1" t="s">
        <v>36</v>
      </c>
      <c r="W2087" s="1" t="s">
        <v>37</v>
      </c>
      <c r="X2087" s="1" t="s">
        <v>129</v>
      </c>
      <c r="Y2087" s="1" t="s">
        <v>551</v>
      </c>
      <c r="Z2087" s="1" t="str">
        <f>TRIM(_xlfn.CONCAT(sales_data_sample[[#This Row],[CONTACTFIRSTNAME]],", ",sales_data_sample[[#This Row],[CONTACTLASTNAME]]))</f>
        <v>Sue, Frick</v>
      </c>
      <c r="AA2087" s="1" t="s">
        <v>59</v>
      </c>
    </row>
    <row r="2088" spans="1:27" x14ac:dyDescent="0.25">
      <c r="A2088" s="10">
        <v>10269</v>
      </c>
      <c r="B2088" s="9">
        <v>48</v>
      </c>
      <c r="C2088" s="9">
        <v>9739</v>
      </c>
      <c r="D2088" s="9">
        <f>PRODUCT(sales_data_sample[[#This Row],[QUANTITYORDERED]],sales_data_sample[[#This Row],[PRICEEACH]])</f>
        <v>467472</v>
      </c>
      <c r="E2088" s="9">
        <f>IF(OR(sales_data_sample[[#This Row],[STATUS]]="Shipped",sales_data_sample[[#This Row],[STATUS]]="Resolved"),sales_data_sample[[#This Row],[SALES]],0)</f>
        <v>467472</v>
      </c>
      <c r="F2088" s="10">
        <v>2</v>
      </c>
      <c r="G2088" s="12" t="s">
        <v>903</v>
      </c>
      <c r="H2088" s="1" t="s">
        <v>26</v>
      </c>
      <c r="I2088">
        <v>3</v>
      </c>
      <c r="J2088">
        <v>7</v>
      </c>
      <c r="K2088">
        <v>2004</v>
      </c>
      <c r="L2088" s="1" t="s">
        <v>799</v>
      </c>
      <c r="M2088">
        <v>97</v>
      </c>
      <c r="N2088" s="1" t="s">
        <v>982</v>
      </c>
      <c r="O2088" s="1" t="s">
        <v>191</v>
      </c>
      <c r="P2088" s="1" t="s">
        <v>192</v>
      </c>
      <c r="Q2088" s="1" t="s">
        <v>193</v>
      </c>
      <c r="R2088" s="1" t="s">
        <v>32</v>
      </c>
      <c r="S2088" s="1" t="s">
        <v>194</v>
      </c>
      <c r="T2088" s="1" t="s">
        <v>32</v>
      </c>
      <c r="U2088" s="1" t="s">
        <v>195</v>
      </c>
      <c r="V2088" s="1" t="s">
        <v>196</v>
      </c>
      <c r="W2088" s="1" t="s">
        <v>48</v>
      </c>
      <c r="X2088" s="1" t="s">
        <v>197</v>
      </c>
      <c r="Y2088" s="1" t="s">
        <v>198</v>
      </c>
      <c r="Z2088" s="1" t="str">
        <f>TRIM(_xlfn.CONCAT(sales_data_sample[[#This Row],[CONTACTFIRSTNAME]],", ",sales_data_sample[[#This Row],[CONTACTLASTNAME]]))</f>
        <v>Georg, Pipps</v>
      </c>
      <c r="AA2088" s="1" t="s">
        <v>59</v>
      </c>
    </row>
    <row r="2089" spans="1:27" x14ac:dyDescent="0.25">
      <c r="A2089" s="10">
        <v>10280</v>
      </c>
      <c r="B2089" s="9">
        <v>21</v>
      </c>
      <c r="C2089" s="9">
        <v>7889</v>
      </c>
      <c r="D2089" s="9">
        <f>PRODUCT(sales_data_sample[[#This Row],[QUANTITYORDERED]],sales_data_sample[[#This Row],[PRICEEACH]])</f>
        <v>165669</v>
      </c>
      <c r="E2089" s="9">
        <f>IF(OR(sales_data_sample[[#This Row],[STATUS]]="Shipped",sales_data_sample[[#This Row],[STATUS]]="Resolved"),sales_data_sample[[#This Row],[SALES]],0)</f>
        <v>165669</v>
      </c>
      <c r="F2089" s="10">
        <v>6</v>
      </c>
      <c r="G2089" s="12" t="s">
        <v>337</v>
      </c>
      <c r="H2089" s="1" t="s">
        <v>26</v>
      </c>
      <c r="I2089">
        <v>3</v>
      </c>
      <c r="J2089">
        <v>8</v>
      </c>
      <c r="K2089">
        <v>2004</v>
      </c>
      <c r="L2089" s="1" t="s">
        <v>799</v>
      </c>
      <c r="M2089">
        <v>97</v>
      </c>
      <c r="N2089" s="1" t="s">
        <v>982</v>
      </c>
      <c r="O2089" s="1" t="s">
        <v>338</v>
      </c>
      <c r="P2089" s="1" t="s">
        <v>339</v>
      </c>
      <c r="Q2089" s="1" t="s">
        <v>340</v>
      </c>
      <c r="R2089" s="1" t="s">
        <v>32</v>
      </c>
      <c r="S2089" s="1" t="s">
        <v>341</v>
      </c>
      <c r="T2089" s="1" t="s">
        <v>32</v>
      </c>
      <c r="U2089" s="1" t="s">
        <v>342</v>
      </c>
      <c r="V2089" s="1" t="s">
        <v>343</v>
      </c>
      <c r="W2089" s="1" t="s">
        <v>48</v>
      </c>
      <c r="X2089" s="1" t="s">
        <v>344</v>
      </c>
      <c r="Y2089" s="1" t="s">
        <v>345</v>
      </c>
      <c r="Z2089" s="1" t="str">
        <f>TRIM(_xlfn.CONCAT(sales_data_sample[[#This Row],[CONTACTFIRSTNAME]],", ",sales_data_sample[[#This Row],[CONTACTLASTNAME]]))</f>
        <v>Paolo, Accorti</v>
      </c>
      <c r="AA2089" s="1" t="s">
        <v>40</v>
      </c>
    </row>
    <row r="2090" spans="1:27" x14ac:dyDescent="0.25">
      <c r="A2090" s="10">
        <v>10290</v>
      </c>
      <c r="B2090" s="9">
        <v>45</v>
      </c>
      <c r="C2090" s="9">
        <v>100</v>
      </c>
      <c r="D2090" s="9">
        <f>PRODUCT(sales_data_sample[[#This Row],[QUANTITYORDERED]],sales_data_sample[[#This Row],[PRICEEACH]])</f>
        <v>4500</v>
      </c>
      <c r="E2090" s="9">
        <f>IF(OR(sales_data_sample[[#This Row],[STATUS]]="Shipped",sales_data_sample[[#This Row],[STATUS]]="Resolved"),sales_data_sample[[#This Row],[SALES]],0)</f>
        <v>4500</v>
      </c>
      <c r="F2090" s="10">
        <v>1</v>
      </c>
      <c r="G2090" s="12" t="s">
        <v>925</v>
      </c>
      <c r="H2090" s="1" t="s">
        <v>26</v>
      </c>
      <c r="I2090">
        <v>3</v>
      </c>
      <c r="J2090">
        <v>9</v>
      </c>
      <c r="K2090">
        <v>2004</v>
      </c>
      <c r="L2090" s="1" t="s">
        <v>799</v>
      </c>
      <c r="M2090">
        <v>97</v>
      </c>
      <c r="N2090" s="1" t="s">
        <v>982</v>
      </c>
      <c r="O2090" s="1" t="s">
        <v>907</v>
      </c>
      <c r="P2090" s="1" t="s">
        <v>908</v>
      </c>
      <c r="Q2090" s="1" t="s">
        <v>909</v>
      </c>
      <c r="R2090" s="1" t="s">
        <v>32</v>
      </c>
      <c r="S2090" s="1" t="s">
        <v>380</v>
      </c>
      <c r="T2090" s="1" t="s">
        <v>160</v>
      </c>
      <c r="U2090" s="1" t="s">
        <v>381</v>
      </c>
      <c r="V2090" s="1" t="s">
        <v>36</v>
      </c>
      <c r="W2090" s="1" t="s">
        <v>37</v>
      </c>
      <c r="X2090" s="1" t="s">
        <v>757</v>
      </c>
      <c r="Y2090" s="1" t="s">
        <v>326</v>
      </c>
      <c r="Z2090" s="1" t="str">
        <f>TRIM(_xlfn.CONCAT(sales_data_sample[[#This Row],[CONTACTFIRSTNAME]],", ",sales_data_sample[[#This Row],[CONTACTLASTNAME]]))</f>
        <v>Leslie, Taylor</v>
      </c>
      <c r="AA2090" s="1" t="s">
        <v>59</v>
      </c>
    </row>
    <row r="2091" spans="1:27" x14ac:dyDescent="0.25">
      <c r="A2091" s="10">
        <v>10304</v>
      </c>
      <c r="B2091" s="9">
        <v>33</v>
      </c>
      <c r="C2091" s="9">
        <v>100</v>
      </c>
      <c r="D2091" s="9">
        <f>PRODUCT(sales_data_sample[[#This Row],[QUANTITYORDERED]],sales_data_sample[[#This Row],[PRICEEACH]])</f>
        <v>3300</v>
      </c>
      <c r="E2091" s="9">
        <f>IF(OR(sales_data_sample[[#This Row],[STATUS]]="Shipped",sales_data_sample[[#This Row],[STATUS]]="Resolved"),sales_data_sample[[#This Row],[SALES]],0)</f>
        <v>3300</v>
      </c>
      <c r="F2091" s="10">
        <v>10</v>
      </c>
      <c r="G2091" s="12" t="s">
        <v>353</v>
      </c>
      <c r="H2091" s="1" t="s">
        <v>26</v>
      </c>
      <c r="I2091">
        <v>4</v>
      </c>
      <c r="J2091">
        <v>10</v>
      </c>
      <c r="K2091">
        <v>2004</v>
      </c>
      <c r="L2091" s="1" t="s">
        <v>799</v>
      </c>
      <c r="M2091">
        <v>97</v>
      </c>
      <c r="N2091" s="1" t="s">
        <v>982</v>
      </c>
      <c r="O2091" s="1" t="s">
        <v>354</v>
      </c>
      <c r="P2091" s="1" t="s">
        <v>355</v>
      </c>
      <c r="Q2091" s="1" t="s">
        <v>356</v>
      </c>
      <c r="R2091" s="1" t="s">
        <v>32</v>
      </c>
      <c r="S2091" s="1" t="s">
        <v>357</v>
      </c>
      <c r="T2091" s="1" t="s">
        <v>32</v>
      </c>
      <c r="U2091" s="1" t="s">
        <v>358</v>
      </c>
      <c r="V2091" s="1" t="s">
        <v>47</v>
      </c>
      <c r="W2091" s="1" t="s">
        <v>48</v>
      </c>
      <c r="X2091" s="1" t="s">
        <v>359</v>
      </c>
      <c r="Y2091" s="1" t="s">
        <v>58</v>
      </c>
      <c r="Z2091" s="1" t="str">
        <f>TRIM(_xlfn.CONCAT(sales_data_sample[[#This Row],[CONTACTFIRSTNAME]],", ",sales_data_sample[[#This Row],[CONTACTLASTNAME]]))</f>
        <v>Daniel, Tonini</v>
      </c>
      <c r="AA2091" s="1" t="s">
        <v>59</v>
      </c>
    </row>
    <row r="2092" spans="1:27" x14ac:dyDescent="0.25">
      <c r="A2092" s="10">
        <v>10312</v>
      </c>
      <c r="B2092" s="9">
        <v>44</v>
      </c>
      <c r="C2092" s="9">
        <v>100</v>
      </c>
      <c r="D2092" s="9">
        <f>PRODUCT(sales_data_sample[[#This Row],[QUANTITYORDERED]],sales_data_sample[[#This Row],[PRICEEACH]])</f>
        <v>4400</v>
      </c>
      <c r="E2092" s="9">
        <f>IF(OR(sales_data_sample[[#This Row],[STATUS]]="Shipped",sales_data_sample[[#This Row],[STATUS]]="Resolved"),sales_data_sample[[#This Row],[SALES]],0)</f>
        <v>4400</v>
      </c>
      <c r="F2092" s="10">
        <v>7</v>
      </c>
      <c r="G2092" s="12" t="s">
        <v>360</v>
      </c>
      <c r="H2092" s="1" t="s">
        <v>26</v>
      </c>
      <c r="I2092">
        <v>4</v>
      </c>
      <c r="J2092">
        <v>10</v>
      </c>
      <c r="K2092">
        <v>2004</v>
      </c>
      <c r="L2092" s="1" t="s">
        <v>799</v>
      </c>
      <c r="M2092">
        <v>97</v>
      </c>
      <c r="N2092" s="1" t="s">
        <v>982</v>
      </c>
      <c r="O2092" s="1" t="s">
        <v>361</v>
      </c>
      <c r="P2092" s="1" t="s">
        <v>362</v>
      </c>
      <c r="Q2092" s="1" t="s">
        <v>363</v>
      </c>
      <c r="R2092" s="1" t="s">
        <v>32</v>
      </c>
      <c r="S2092" s="1" t="s">
        <v>364</v>
      </c>
      <c r="T2092" s="1" t="s">
        <v>65</v>
      </c>
      <c r="U2092" s="1" t="s">
        <v>145</v>
      </c>
      <c r="V2092" s="1" t="s">
        <v>36</v>
      </c>
      <c r="W2092" s="1" t="s">
        <v>37</v>
      </c>
      <c r="X2092" s="1" t="s">
        <v>365</v>
      </c>
      <c r="Y2092" s="1" t="s">
        <v>366</v>
      </c>
      <c r="Z2092" s="1" t="str">
        <f>TRIM(_xlfn.CONCAT(sales_data_sample[[#This Row],[CONTACTFIRSTNAME]],", ",sales_data_sample[[#This Row],[CONTACTLASTNAME]]))</f>
        <v>Valarie, Nelson</v>
      </c>
      <c r="AA2092" s="1" t="s">
        <v>59</v>
      </c>
    </row>
    <row r="2093" spans="1:27" x14ac:dyDescent="0.25">
      <c r="A2093">
        <v>10324</v>
      </c>
      <c r="B2093">
        <v>33</v>
      </c>
      <c r="C2093">
        <v>100</v>
      </c>
      <c r="D2093">
        <f>PRODUCT(sales_data_sample[[#This Row],[QUANTITYORDERED]],sales_data_sample[[#This Row],[PRICEEACH]])</f>
        <v>3300</v>
      </c>
      <c r="E2093" s="9">
        <f>IF(OR(sales_data_sample[[#This Row],[STATUS]]="Shipped",sales_data_sample[[#This Row],[STATUS]]="Resolved"),sales_data_sample[[#This Row],[SALES]],0)</f>
        <v>3300</v>
      </c>
      <c r="F2093">
        <v>3</v>
      </c>
      <c r="G2093" s="12" t="s">
        <v>532</v>
      </c>
      <c r="H2093" s="1" t="s">
        <v>26</v>
      </c>
      <c r="I2093">
        <v>4</v>
      </c>
      <c r="J2093">
        <v>11</v>
      </c>
      <c r="K2093">
        <v>2004</v>
      </c>
      <c r="L2093" s="1" t="s">
        <v>799</v>
      </c>
      <c r="M2093">
        <v>97</v>
      </c>
      <c r="N2093" s="1" t="s">
        <v>982</v>
      </c>
      <c r="O2093" s="1" t="s">
        <v>125</v>
      </c>
      <c r="P2093" s="1" t="s">
        <v>126</v>
      </c>
      <c r="Q2093" s="1" t="s">
        <v>127</v>
      </c>
      <c r="R2093" s="1" t="s">
        <v>128</v>
      </c>
      <c r="S2093" s="1" t="s">
        <v>33</v>
      </c>
      <c r="T2093" s="1" t="s">
        <v>34</v>
      </c>
      <c r="U2093" s="1" t="s">
        <v>35</v>
      </c>
      <c r="V2093" s="1" t="s">
        <v>36</v>
      </c>
      <c r="W2093" s="1" t="s">
        <v>37</v>
      </c>
      <c r="X2093" s="1" t="s">
        <v>129</v>
      </c>
      <c r="Y2093" s="1" t="s">
        <v>130</v>
      </c>
      <c r="Z2093" s="1" t="str">
        <f>TRIM(_xlfn.CONCAT(sales_data_sample[[#This Row],[CONTACTFIRSTNAME]],", ",sales_data_sample[[#This Row],[CONTACTLASTNAME]]))</f>
        <v>Michael, Frick</v>
      </c>
      <c r="AA2093" s="1" t="s">
        <v>59</v>
      </c>
    </row>
    <row r="2094" spans="1:27" x14ac:dyDescent="0.25">
      <c r="A2094" s="10">
        <v>10333</v>
      </c>
      <c r="B2094" s="9">
        <v>39</v>
      </c>
      <c r="C2094" s="9">
        <v>100</v>
      </c>
      <c r="D2094" s="9">
        <f>PRODUCT(sales_data_sample[[#This Row],[QUANTITYORDERED]],sales_data_sample[[#This Row],[PRICEEACH]])</f>
        <v>3900</v>
      </c>
      <c r="E2094" s="9">
        <f>IF(OR(sales_data_sample[[#This Row],[STATUS]]="Shipped",sales_data_sample[[#This Row],[STATUS]]="Resolved"),sales_data_sample[[#This Row],[SALES]],0)</f>
        <v>3900</v>
      </c>
      <c r="F2094" s="10">
        <v>1</v>
      </c>
      <c r="G2094" s="12" t="s">
        <v>374</v>
      </c>
      <c r="H2094" s="1" t="s">
        <v>26</v>
      </c>
      <c r="I2094">
        <v>4</v>
      </c>
      <c r="J2094">
        <v>11</v>
      </c>
      <c r="K2094">
        <v>2004</v>
      </c>
      <c r="L2094" s="1" t="s">
        <v>799</v>
      </c>
      <c r="M2094">
        <v>97</v>
      </c>
      <c r="N2094" s="1" t="s">
        <v>982</v>
      </c>
      <c r="O2094" s="1" t="s">
        <v>101</v>
      </c>
      <c r="P2094" s="1" t="s">
        <v>102</v>
      </c>
      <c r="Q2094" s="1" t="s">
        <v>103</v>
      </c>
      <c r="R2094" s="1" t="s">
        <v>32</v>
      </c>
      <c r="S2094" s="1" t="s">
        <v>73</v>
      </c>
      <c r="T2094" s="1" t="s">
        <v>65</v>
      </c>
      <c r="U2094" s="1" t="s">
        <v>32</v>
      </c>
      <c r="V2094" s="1" t="s">
        <v>36</v>
      </c>
      <c r="W2094" s="1" t="s">
        <v>37</v>
      </c>
      <c r="X2094" s="1" t="s">
        <v>104</v>
      </c>
      <c r="Y2094" s="1" t="s">
        <v>68</v>
      </c>
      <c r="Z2094" s="1" t="str">
        <f>TRIM(_xlfn.CONCAT(sales_data_sample[[#This Row],[CONTACTFIRSTNAME]],", ",sales_data_sample[[#This Row],[CONTACTLASTNAME]]))</f>
        <v>Julie, Murphy</v>
      </c>
      <c r="AA2094" s="1" t="s">
        <v>59</v>
      </c>
    </row>
    <row r="2095" spans="1:27" x14ac:dyDescent="0.25">
      <c r="A2095" s="10">
        <v>10348</v>
      </c>
      <c r="B2095" s="9">
        <v>39</v>
      </c>
      <c r="C2095" s="9">
        <v>5031</v>
      </c>
      <c r="D2095" s="9">
        <f>PRODUCT(sales_data_sample[[#This Row],[QUANTITYORDERED]],sales_data_sample[[#This Row],[PRICEEACH]])</f>
        <v>196209</v>
      </c>
      <c r="E2095" s="9">
        <f>IF(OR(sales_data_sample[[#This Row],[STATUS]]="Shipped",sales_data_sample[[#This Row],[STATUS]]="Resolved"),sales_data_sample[[#This Row],[SALES]],0)</f>
        <v>196209</v>
      </c>
      <c r="F2095" s="10">
        <v>2</v>
      </c>
      <c r="G2095" s="12" t="s">
        <v>523</v>
      </c>
      <c r="H2095" s="1" t="s">
        <v>26</v>
      </c>
      <c r="I2095">
        <v>4</v>
      </c>
      <c r="J2095">
        <v>11</v>
      </c>
      <c r="K2095">
        <v>2004</v>
      </c>
      <c r="L2095" s="1" t="s">
        <v>799</v>
      </c>
      <c r="M2095">
        <v>97</v>
      </c>
      <c r="N2095" s="1" t="s">
        <v>982</v>
      </c>
      <c r="O2095" s="1" t="s">
        <v>251</v>
      </c>
      <c r="P2095" s="1" t="s">
        <v>252</v>
      </c>
      <c r="Q2095" s="1" t="s">
        <v>253</v>
      </c>
      <c r="R2095" s="1" t="s">
        <v>32</v>
      </c>
      <c r="S2095" s="1" t="s">
        <v>233</v>
      </c>
      <c r="T2095" s="1" t="s">
        <v>32</v>
      </c>
      <c r="U2095" s="1" t="s">
        <v>254</v>
      </c>
      <c r="V2095" s="1" t="s">
        <v>235</v>
      </c>
      <c r="W2095" s="1" t="s">
        <v>48</v>
      </c>
      <c r="X2095" s="1" t="s">
        <v>255</v>
      </c>
      <c r="Y2095" s="1" t="s">
        <v>256</v>
      </c>
      <c r="Z2095" s="1" t="str">
        <f>TRIM(_xlfn.CONCAT(sales_data_sample[[#This Row],[CONTACTFIRSTNAME]],", ",sales_data_sample[[#This Row],[CONTACTLASTNAME]]))</f>
        <v>Mart¡n, Sommer</v>
      </c>
      <c r="AA2095" s="1" t="s">
        <v>40</v>
      </c>
    </row>
    <row r="2096" spans="1:27" x14ac:dyDescent="0.25">
      <c r="A2096" s="10">
        <v>10358</v>
      </c>
      <c r="B2096" s="9">
        <v>41</v>
      </c>
      <c r="C2096" s="9">
        <v>100</v>
      </c>
      <c r="D2096" s="9">
        <f>PRODUCT(sales_data_sample[[#This Row],[QUANTITYORDERED]],sales_data_sample[[#This Row],[PRICEEACH]])</f>
        <v>4100</v>
      </c>
      <c r="E2096" s="9">
        <f>IF(OR(sales_data_sample[[#This Row],[STATUS]]="Shipped",sales_data_sample[[#This Row],[STATUS]]="Resolved"),sales_data_sample[[#This Row],[SALES]],0)</f>
        <v>4100</v>
      </c>
      <c r="F2096" s="10">
        <v>6</v>
      </c>
      <c r="G2096" s="12" t="s">
        <v>376</v>
      </c>
      <c r="H2096" s="1" t="s">
        <v>26</v>
      </c>
      <c r="I2096">
        <v>4</v>
      </c>
      <c r="J2096">
        <v>12</v>
      </c>
      <c r="K2096">
        <v>2004</v>
      </c>
      <c r="L2096" s="1" t="s">
        <v>799</v>
      </c>
      <c r="M2096">
        <v>97</v>
      </c>
      <c r="N2096" s="1" t="s">
        <v>982</v>
      </c>
      <c r="O2096" s="1" t="s">
        <v>230</v>
      </c>
      <c r="P2096" s="1" t="s">
        <v>231</v>
      </c>
      <c r="Q2096" s="1" t="s">
        <v>232</v>
      </c>
      <c r="R2096" s="1" t="s">
        <v>32</v>
      </c>
      <c r="S2096" s="1" t="s">
        <v>233</v>
      </c>
      <c r="T2096" s="1" t="s">
        <v>32</v>
      </c>
      <c r="U2096" s="1" t="s">
        <v>234</v>
      </c>
      <c r="V2096" s="1" t="s">
        <v>235</v>
      </c>
      <c r="W2096" s="1" t="s">
        <v>48</v>
      </c>
      <c r="X2096" s="1" t="s">
        <v>236</v>
      </c>
      <c r="Y2096" s="1" t="s">
        <v>237</v>
      </c>
      <c r="Z2096" s="1" t="str">
        <f>TRIM(_xlfn.CONCAT(sales_data_sample[[#This Row],[CONTACTFIRSTNAME]],", ",sales_data_sample[[#This Row],[CONTACTLASTNAME]]))</f>
        <v>Diego, Freyre</v>
      </c>
      <c r="AA2096" s="1" t="s">
        <v>59</v>
      </c>
    </row>
    <row r="2097" spans="1:27" x14ac:dyDescent="0.25">
      <c r="A2097" s="10">
        <v>10369</v>
      </c>
      <c r="B2097" s="9">
        <v>40</v>
      </c>
      <c r="C2097" s="9">
        <v>8692</v>
      </c>
      <c r="D2097" s="9">
        <f>PRODUCT(sales_data_sample[[#This Row],[QUANTITYORDERED]],sales_data_sample[[#This Row],[PRICEEACH]])</f>
        <v>347680</v>
      </c>
      <c r="E2097" s="9">
        <f>IF(OR(sales_data_sample[[#This Row],[STATUS]]="Shipped",sales_data_sample[[#This Row],[STATUS]]="Resolved"),sales_data_sample[[#This Row],[SALES]],0)</f>
        <v>347680</v>
      </c>
      <c r="F2097" s="10">
        <v>3</v>
      </c>
      <c r="G2097" s="12" t="s">
        <v>377</v>
      </c>
      <c r="H2097" s="1" t="s">
        <v>26</v>
      </c>
      <c r="I2097">
        <v>1</v>
      </c>
      <c r="J2097">
        <v>1</v>
      </c>
      <c r="K2097">
        <v>2005</v>
      </c>
      <c r="L2097" s="1" t="s">
        <v>799</v>
      </c>
      <c r="M2097">
        <v>97</v>
      </c>
      <c r="N2097" s="1" t="s">
        <v>982</v>
      </c>
      <c r="O2097" s="1" t="s">
        <v>378</v>
      </c>
      <c r="P2097" s="1" t="s">
        <v>157</v>
      </c>
      <c r="Q2097" s="1" t="s">
        <v>379</v>
      </c>
      <c r="R2097" s="1" t="s">
        <v>32</v>
      </c>
      <c r="S2097" s="1" t="s">
        <v>380</v>
      </c>
      <c r="T2097" s="1" t="s">
        <v>160</v>
      </c>
      <c r="U2097" s="1" t="s">
        <v>381</v>
      </c>
      <c r="V2097" s="1" t="s">
        <v>36</v>
      </c>
      <c r="W2097" s="1" t="s">
        <v>37</v>
      </c>
      <c r="X2097" s="1" t="s">
        <v>365</v>
      </c>
      <c r="Y2097" s="1" t="s">
        <v>382</v>
      </c>
      <c r="Z2097" s="1" t="str">
        <f>TRIM(_xlfn.CONCAT(sales_data_sample[[#This Row],[CONTACTFIRSTNAME]],", ",sales_data_sample[[#This Row],[CONTACTLASTNAME]]))</f>
        <v>Allen, Nelson</v>
      </c>
      <c r="AA2097" s="1" t="s">
        <v>59</v>
      </c>
    </row>
    <row r="2098" spans="1:27" x14ac:dyDescent="0.25">
      <c r="A2098" s="10">
        <v>10382</v>
      </c>
      <c r="B2098" s="9">
        <v>33</v>
      </c>
      <c r="C2098" s="9">
        <v>100</v>
      </c>
      <c r="D2098" s="9">
        <f>PRODUCT(sales_data_sample[[#This Row],[QUANTITYORDERED]],sales_data_sample[[#This Row],[PRICEEACH]])</f>
        <v>3300</v>
      </c>
      <c r="E2098" s="9">
        <f>IF(OR(sales_data_sample[[#This Row],[STATUS]]="Shipped",sales_data_sample[[#This Row],[STATUS]]="Resolved"),sales_data_sample[[#This Row],[SALES]],0)</f>
        <v>3300</v>
      </c>
      <c r="F2098" s="10">
        <v>4</v>
      </c>
      <c r="G2098" s="12" t="s">
        <v>383</v>
      </c>
      <c r="H2098" s="1" t="s">
        <v>26</v>
      </c>
      <c r="I2098">
        <v>1</v>
      </c>
      <c r="J2098">
        <v>2</v>
      </c>
      <c r="K2098">
        <v>2005</v>
      </c>
      <c r="L2098" s="1" t="s">
        <v>799</v>
      </c>
      <c r="M2098">
        <v>97</v>
      </c>
      <c r="N2098" s="1" t="s">
        <v>982</v>
      </c>
      <c r="O2098" s="1" t="s">
        <v>361</v>
      </c>
      <c r="P2098" s="1" t="s">
        <v>362</v>
      </c>
      <c r="Q2098" s="1" t="s">
        <v>363</v>
      </c>
      <c r="R2098" s="1" t="s">
        <v>32</v>
      </c>
      <c r="S2098" s="1" t="s">
        <v>364</v>
      </c>
      <c r="T2098" s="1" t="s">
        <v>65</v>
      </c>
      <c r="U2098" s="1" t="s">
        <v>145</v>
      </c>
      <c r="V2098" s="1" t="s">
        <v>36</v>
      </c>
      <c r="W2098" s="1" t="s">
        <v>37</v>
      </c>
      <c r="X2098" s="1" t="s">
        <v>365</v>
      </c>
      <c r="Y2098" s="1" t="s">
        <v>366</v>
      </c>
      <c r="Z2098" s="1" t="str">
        <f>TRIM(_xlfn.CONCAT(sales_data_sample[[#This Row],[CONTACTFIRSTNAME]],", ",sales_data_sample[[#This Row],[CONTACTLASTNAME]]))</f>
        <v>Valarie, Nelson</v>
      </c>
      <c r="AA2098" s="1" t="s">
        <v>59</v>
      </c>
    </row>
    <row r="2099" spans="1:27" x14ac:dyDescent="0.25">
      <c r="A2099" s="10">
        <v>10423</v>
      </c>
      <c r="B2099" s="9">
        <v>28</v>
      </c>
      <c r="C2099" s="9">
        <v>7889</v>
      </c>
      <c r="D2099" s="9">
        <f>PRODUCT(sales_data_sample[[#This Row],[QUANTITYORDERED]],sales_data_sample[[#This Row],[PRICEEACH]])</f>
        <v>220892</v>
      </c>
      <c r="E2099" s="9">
        <f>IF(OR(sales_data_sample[[#This Row],[STATUS]]="Shipped",sales_data_sample[[#This Row],[STATUS]]="Resolved"),sales_data_sample[[#This Row],[SALES]],0)</f>
        <v>0</v>
      </c>
      <c r="F2099" s="10">
        <v>4</v>
      </c>
      <c r="G2099" s="12" t="s">
        <v>827</v>
      </c>
      <c r="H2099" s="1" t="s">
        <v>403</v>
      </c>
      <c r="I2099">
        <v>2</v>
      </c>
      <c r="J2099">
        <v>5</v>
      </c>
      <c r="K2099">
        <v>2005</v>
      </c>
      <c r="L2099" s="1" t="s">
        <v>799</v>
      </c>
      <c r="M2099">
        <v>97</v>
      </c>
      <c r="N2099" s="1" t="s">
        <v>982</v>
      </c>
      <c r="O2099" s="1" t="s">
        <v>500</v>
      </c>
      <c r="P2099" s="1" t="s">
        <v>501</v>
      </c>
      <c r="Q2099" s="1" t="s">
        <v>502</v>
      </c>
      <c r="R2099" s="1" t="s">
        <v>32</v>
      </c>
      <c r="S2099" s="1" t="s">
        <v>503</v>
      </c>
      <c r="T2099" s="1" t="s">
        <v>32</v>
      </c>
      <c r="U2099" s="1" t="s">
        <v>504</v>
      </c>
      <c r="V2099" s="1" t="s">
        <v>505</v>
      </c>
      <c r="W2099" s="1" t="s">
        <v>48</v>
      </c>
      <c r="X2099" s="1" t="s">
        <v>506</v>
      </c>
      <c r="Y2099" s="1" t="s">
        <v>507</v>
      </c>
      <c r="Z2099" s="1" t="str">
        <f>TRIM(_xlfn.CONCAT(sales_data_sample[[#This Row],[CONTACTFIRSTNAME]],", ",sales_data_sample[[#This Row],[CONTACTLASTNAME]]))</f>
        <v>Catherine, Dewey</v>
      </c>
      <c r="AA2099" s="1" t="s">
        <v>40</v>
      </c>
    </row>
    <row r="2100" spans="1:27" x14ac:dyDescent="0.25">
      <c r="A2100" s="10">
        <v>10106</v>
      </c>
      <c r="B2100" s="9">
        <v>26</v>
      </c>
      <c r="C2100" s="9">
        <v>6376</v>
      </c>
      <c r="D2100" s="9">
        <f>PRODUCT(sales_data_sample[[#This Row],[QUANTITYORDERED]],sales_data_sample[[#This Row],[PRICEEACH]])</f>
        <v>165776</v>
      </c>
      <c r="E2100" s="9">
        <f>IF(OR(sales_data_sample[[#This Row],[STATUS]]="Shipped",sales_data_sample[[#This Row],[STATUS]]="Resolved"),sales_data_sample[[#This Row],[SALES]],0)</f>
        <v>165776</v>
      </c>
      <c r="F2100" s="10">
        <v>3</v>
      </c>
      <c r="G2100" s="12" t="s">
        <v>838</v>
      </c>
      <c r="H2100" s="1" t="s">
        <v>26</v>
      </c>
      <c r="I2100">
        <v>1</v>
      </c>
      <c r="J2100">
        <v>2</v>
      </c>
      <c r="K2100">
        <v>2003</v>
      </c>
      <c r="L2100" s="1" t="s">
        <v>839</v>
      </c>
      <c r="M2100">
        <v>72</v>
      </c>
      <c r="N2100" s="1" t="s">
        <v>983</v>
      </c>
      <c r="O2100" s="1" t="s">
        <v>806</v>
      </c>
      <c r="P2100" s="1" t="s">
        <v>807</v>
      </c>
      <c r="Q2100" s="1" t="s">
        <v>808</v>
      </c>
      <c r="R2100" s="1" t="s">
        <v>32</v>
      </c>
      <c r="S2100" s="1" t="s">
        <v>809</v>
      </c>
      <c r="T2100" s="1" t="s">
        <v>32</v>
      </c>
      <c r="U2100" s="1" t="s">
        <v>810</v>
      </c>
      <c r="V2100" s="1" t="s">
        <v>343</v>
      </c>
      <c r="W2100" s="1" t="s">
        <v>48</v>
      </c>
      <c r="X2100" s="1" t="s">
        <v>811</v>
      </c>
      <c r="Y2100" s="1" t="s">
        <v>812</v>
      </c>
      <c r="Z2100" s="1" t="str">
        <f>TRIM(_xlfn.CONCAT(sales_data_sample[[#This Row],[CONTACTFIRSTNAME]],", ",sales_data_sample[[#This Row],[CONTACTLASTNAME]]))</f>
        <v>Giovanni, Rovelli</v>
      </c>
      <c r="AA2100" s="1" t="s">
        <v>40</v>
      </c>
    </row>
    <row r="2101" spans="1:27" x14ac:dyDescent="0.25">
      <c r="A2101">
        <v>10120</v>
      </c>
      <c r="B2101">
        <v>29</v>
      </c>
      <c r="C2101">
        <v>8549</v>
      </c>
      <c r="D2101">
        <f>PRODUCT(sales_data_sample[[#This Row],[QUANTITYORDERED]],sales_data_sample[[#This Row],[PRICEEACH]])</f>
        <v>247921</v>
      </c>
      <c r="E2101" s="9">
        <f>IF(OR(sales_data_sample[[#This Row],[STATUS]]="Shipped",sales_data_sample[[#This Row],[STATUS]]="Resolved"),sales_data_sample[[#This Row],[SALES]],0)</f>
        <v>247921</v>
      </c>
      <c r="F2101">
        <v>9</v>
      </c>
      <c r="G2101" s="12" t="s">
        <v>405</v>
      </c>
      <c r="H2101" s="1" t="s">
        <v>26</v>
      </c>
      <c r="I2101">
        <v>2</v>
      </c>
      <c r="J2101">
        <v>4</v>
      </c>
      <c r="K2101">
        <v>2003</v>
      </c>
      <c r="L2101" s="1" t="s">
        <v>839</v>
      </c>
      <c r="M2101">
        <v>72</v>
      </c>
      <c r="N2101" s="1" t="s">
        <v>983</v>
      </c>
      <c r="O2101" s="1" t="s">
        <v>113</v>
      </c>
      <c r="P2101" s="1" t="s">
        <v>114</v>
      </c>
      <c r="Q2101" s="1" t="s">
        <v>115</v>
      </c>
      <c r="R2101" s="1" t="s">
        <v>116</v>
      </c>
      <c r="S2101" s="1" t="s">
        <v>117</v>
      </c>
      <c r="T2101" s="1" t="s">
        <v>118</v>
      </c>
      <c r="U2101" s="1" t="s">
        <v>119</v>
      </c>
      <c r="V2101" s="1" t="s">
        <v>120</v>
      </c>
      <c r="W2101" s="1" t="s">
        <v>121</v>
      </c>
      <c r="X2101" s="1" t="s">
        <v>122</v>
      </c>
      <c r="Y2101" s="1" t="s">
        <v>123</v>
      </c>
      <c r="Z2101" s="1" t="str">
        <f>TRIM(_xlfn.CONCAT(sales_data_sample[[#This Row],[CONTACTFIRSTNAME]],", ",sales_data_sample[[#This Row],[CONTACTLASTNAME]]))</f>
        <v>Peter, Ferguson</v>
      </c>
      <c r="AA2101" s="1" t="s">
        <v>40</v>
      </c>
    </row>
    <row r="2102" spans="1:27" x14ac:dyDescent="0.25">
      <c r="A2102" s="10">
        <v>10133</v>
      </c>
      <c r="B2102" s="9">
        <v>46</v>
      </c>
      <c r="C2102" s="9">
        <v>7752</v>
      </c>
      <c r="D2102" s="9">
        <f>PRODUCT(sales_data_sample[[#This Row],[QUANTITYORDERED]],sales_data_sample[[#This Row],[PRICEEACH]])</f>
        <v>356592</v>
      </c>
      <c r="E2102" s="9">
        <f>IF(OR(sales_data_sample[[#This Row],[STATUS]]="Shipped",sales_data_sample[[#This Row],[STATUS]]="Resolved"),sales_data_sample[[#This Row],[SALES]],0)</f>
        <v>356592</v>
      </c>
      <c r="F2102" s="10">
        <v>4</v>
      </c>
      <c r="G2102" s="12" t="s">
        <v>891</v>
      </c>
      <c r="H2102" s="1" t="s">
        <v>26</v>
      </c>
      <c r="I2102">
        <v>2</v>
      </c>
      <c r="J2102">
        <v>6</v>
      </c>
      <c r="K2102">
        <v>2003</v>
      </c>
      <c r="L2102" s="1" t="s">
        <v>839</v>
      </c>
      <c r="M2102">
        <v>72</v>
      </c>
      <c r="N2102" s="1" t="s">
        <v>983</v>
      </c>
      <c r="O2102" s="1" t="s">
        <v>230</v>
      </c>
      <c r="P2102" s="1" t="s">
        <v>231</v>
      </c>
      <c r="Q2102" s="1" t="s">
        <v>232</v>
      </c>
      <c r="R2102" s="1" t="s">
        <v>32</v>
      </c>
      <c r="S2102" s="1" t="s">
        <v>233</v>
      </c>
      <c r="T2102" s="1" t="s">
        <v>32</v>
      </c>
      <c r="U2102" s="1" t="s">
        <v>234</v>
      </c>
      <c r="V2102" s="1" t="s">
        <v>235</v>
      </c>
      <c r="W2102" s="1" t="s">
        <v>48</v>
      </c>
      <c r="X2102" s="1" t="s">
        <v>236</v>
      </c>
      <c r="Y2102" s="1" t="s">
        <v>237</v>
      </c>
      <c r="Z2102" s="1" t="str">
        <f>TRIM(_xlfn.CONCAT(sales_data_sample[[#This Row],[CONTACTFIRSTNAME]],", ",sales_data_sample[[#This Row],[CONTACTLASTNAME]]))</f>
        <v>Diego, Freyre</v>
      </c>
      <c r="AA2102" s="1" t="s">
        <v>59</v>
      </c>
    </row>
    <row r="2103" spans="1:27" x14ac:dyDescent="0.25">
      <c r="A2103" s="10">
        <v>10145</v>
      </c>
      <c r="B2103" s="9">
        <v>33</v>
      </c>
      <c r="C2103" s="9">
        <v>8477</v>
      </c>
      <c r="D2103" s="9">
        <f>PRODUCT(sales_data_sample[[#This Row],[QUANTITYORDERED]],sales_data_sample[[#This Row],[PRICEEACH]])</f>
        <v>279741</v>
      </c>
      <c r="E2103" s="9">
        <f>IF(OR(sales_data_sample[[#This Row],[STATUS]]="Shipped",sales_data_sample[[#This Row],[STATUS]]="Resolved"),sales_data_sample[[#This Row],[SALES]],0)</f>
        <v>279741</v>
      </c>
      <c r="F2103" s="10">
        <v>15</v>
      </c>
      <c r="G2103" s="12" t="s">
        <v>60</v>
      </c>
      <c r="H2103" s="1" t="s">
        <v>26</v>
      </c>
      <c r="I2103">
        <v>3</v>
      </c>
      <c r="J2103">
        <v>8</v>
      </c>
      <c r="K2103">
        <v>2003</v>
      </c>
      <c r="L2103" s="1" t="s">
        <v>839</v>
      </c>
      <c r="M2103">
        <v>72</v>
      </c>
      <c r="N2103" s="1" t="s">
        <v>983</v>
      </c>
      <c r="O2103" s="1" t="s">
        <v>61</v>
      </c>
      <c r="P2103" s="1" t="s">
        <v>62</v>
      </c>
      <c r="Q2103" s="1" t="s">
        <v>63</v>
      </c>
      <c r="R2103" s="1" t="s">
        <v>32</v>
      </c>
      <c r="S2103" s="1" t="s">
        <v>64</v>
      </c>
      <c r="T2103" s="1" t="s">
        <v>65</v>
      </c>
      <c r="U2103" s="1" t="s">
        <v>66</v>
      </c>
      <c r="V2103" s="1" t="s">
        <v>36</v>
      </c>
      <c r="W2103" s="1" t="s">
        <v>37</v>
      </c>
      <c r="X2103" s="1" t="s">
        <v>67</v>
      </c>
      <c r="Y2103" s="1" t="s">
        <v>68</v>
      </c>
      <c r="Z2103" s="1" t="str">
        <f>TRIM(_xlfn.CONCAT(sales_data_sample[[#This Row],[CONTACTFIRSTNAME]],", ",sales_data_sample[[#This Row],[CONTACTLASTNAME]]))</f>
        <v>Julie, Young</v>
      </c>
      <c r="AA2103" s="1" t="s">
        <v>40</v>
      </c>
    </row>
    <row r="2104" spans="1:27" x14ac:dyDescent="0.25">
      <c r="A2104" s="10">
        <v>10168</v>
      </c>
      <c r="B2104" s="9">
        <v>48</v>
      </c>
      <c r="C2104" s="9">
        <v>7825</v>
      </c>
      <c r="D2104" s="9">
        <f>PRODUCT(sales_data_sample[[#This Row],[QUANTITYORDERED]],sales_data_sample[[#This Row],[PRICEEACH]])</f>
        <v>375600</v>
      </c>
      <c r="E2104" s="9">
        <f>IF(OR(sales_data_sample[[#This Row],[STATUS]]="Shipped",sales_data_sample[[#This Row],[STATUS]]="Resolved"),sales_data_sample[[#This Row],[SALES]],0)</f>
        <v>375600</v>
      </c>
      <c r="F2104" s="10">
        <v>10</v>
      </c>
      <c r="G2104" s="12" t="s">
        <v>75</v>
      </c>
      <c r="H2104" s="1" t="s">
        <v>26</v>
      </c>
      <c r="I2104">
        <v>4</v>
      </c>
      <c r="J2104">
        <v>10</v>
      </c>
      <c r="K2104">
        <v>2003</v>
      </c>
      <c r="L2104" s="1" t="s">
        <v>839</v>
      </c>
      <c r="M2104">
        <v>72</v>
      </c>
      <c r="N2104" s="1" t="s">
        <v>983</v>
      </c>
      <c r="O2104" s="1" t="s">
        <v>76</v>
      </c>
      <c r="P2104" s="1" t="s">
        <v>77</v>
      </c>
      <c r="Q2104" s="1" t="s">
        <v>78</v>
      </c>
      <c r="R2104" s="1" t="s">
        <v>32</v>
      </c>
      <c r="S2104" s="1" t="s">
        <v>79</v>
      </c>
      <c r="T2104" s="1" t="s">
        <v>65</v>
      </c>
      <c r="U2104" s="1" t="s">
        <v>80</v>
      </c>
      <c r="V2104" s="1" t="s">
        <v>36</v>
      </c>
      <c r="W2104" s="1" t="s">
        <v>37</v>
      </c>
      <c r="X2104" s="1" t="s">
        <v>81</v>
      </c>
      <c r="Y2104" s="1" t="s">
        <v>82</v>
      </c>
      <c r="Z2104" s="1" t="str">
        <f>TRIM(_xlfn.CONCAT(sales_data_sample[[#This Row],[CONTACTFIRSTNAME]],", ",sales_data_sample[[#This Row],[CONTACTLASTNAME]]))</f>
        <v>Juri, Hirano</v>
      </c>
      <c r="AA2104" s="1" t="s">
        <v>59</v>
      </c>
    </row>
    <row r="2105" spans="1:27" x14ac:dyDescent="0.25">
      <c r="A2105" s="10">
        <v>10210</v>
      </c>
      <c r="B2105" s="9">
        <v>40</v>
      </c>
      <c r="C2105" s="9">
        <v>71</v>
      </c>
      <c r="D2105" s="9">
        <f>PRODUCT(sales_data_sample[[#This Row],[QUANTITYORDERED]],sales_data_sample[[#This Row],[PRICEEACH]])</f>
        <v>2840</v>
      </c>
      <c r="E2105" s="9">
        <f>IF(OR(sales_data_sample[[#This Row],[STATUS]]="Shipped",sales_data_sample[[#This Row],[STATUS]]="Resolved"),sales_data_sample[[#This Row],[SALES]],0)</f>
        <v>2840</v>
      </c>
      <c r="F2105" s="10">
        <v>8</v>
      </c>
      <c r="G2105" s="12" t="s">
        <v>406</v>
      </c>
      <c r="H2105" s="1" t="s">
        <v>26</v>
      </c>
      <c r="I2105">
        <v>1</v>
      </c>
      <c r="J2105">
        <v>1</v>
      </c>
      <c r="K2105">
        <v>2004</v>
      </c>
      <c r="L2105" s="1" t="s">
        <v>839</v>
      </c>
      <c r="M2105">
        <v>72</v>
      </c>
      <c r="N2105" s="1" t="s">
        <v>983</v>
      </c>
      <c r="O2105" s="1" t="s">
        <v>407</v>
      </c>
      <c r="P2105" s="1" t="s">
        <v>408</v>
      </c>
      <c r="Q2105" s="1" t="s">
        <v>409</v>
      </c>
      <c r="R2105" s="1" t="s">
        <v>32</v>
      </c>
      <c r="S2105" s="1" t="s">
        <v>410</v>
      </c>
      <c r="T2105" s="1" t="s">
        <v>410</v>
      </c>
      <c r="U2105" s="1" t="s">
        <v>411</v>
      </c>
      <c r="V2105" s="1" t="s">
        <v>264</v>
      </c>
      <c r="W2105" s="1" t="s">
        <v>264</v>
      </c>
      <c r="X2105" s="1" t="s">
        <v>412</v>
      </c>
      <c r="Y2105" s="1" t="s">
        <v>413</v>
      </c>
      <c r="Z2105" s="1" t="str">
        <f>TRIM(_xlfn.CONCAT(sales_data_sample[[#This Row],[CONTACTFIRSTNAME]],", ",sales_data_sample[[#This Row],[CONTACTLASTNAME]]))</f>
        <v>Mory, Kentary</v>
      </c>
      <c r="AA2105" s="1" t="s">
        <v>40</v>
      </c>
    </row>
    <row r="2106" spans="1:27" x14ac:dyDescent="0.25">
      <c r="A2106">
        <v>10223</v>
      </c>
      <c r="B2106">
        <v>23</v>
      </c>
      <c r="C2106">
        <v>7462</v>
      </c>
      <c r="D2106">
        <f>PRODUCT(sales_data_sample[[#This Row],[QUANTITYORDERED]],sales_data_sample[[#This Row],[PRICEEACH]])</f>
        <v>171626</v>
      </c>
      <c r="E2106" s="9">
        <f>IF(OR(sales_data_sample[[#This Row],[STATUS]]="Shipped",sales_data_sample[[#This Row],[STATUS]]="Resolved"),sales_data_sample[[#This Row],[SALES]],0)</f>
        <v>171626</v>
      </c>
      <c r="F2106">
        <v>10</v>
      </c>
      <c r="G2106" s="12" t="s">
        <v>112</v>
      </c>
      <c r="H2106" s="1" t="s">
        <v>26</v>
      </c>
      <c r="I2106">
        <v>1</v>
      </c>
      <c r="J2106">
        <v>2</v>
      </c>
      <c r="K2106">
        <v>2004</v>
      </c>
      <c r="L2106" s="1" t="s">
        <v>839</v>
      </c>
      <c r="M2106">
        <v>72</v>
      </c>
      <c r="N2106" s="1" t="s">
        <v>983</v>
      </c>
      <c r="O2106" s="1" t="s">
        <v>113</v>
      </c>
      <c r="P2106" s="1" t="s">
        <v>114</v>
      </c>
      <c r="Q2106" s="1" t="s">
        <v>115</v>
      </c>
      <c r="R2106" s="1" t="s">
        <v>116</v>
      </c>
      <c r="S2106" s="1" t="s">
        <v>117</v>
      </c>
      <c r="T2106" s="1" t="s">
        <v>118</v>
      </c>
      <c r="U2106" s="1" t="s">
        <v>119</v>
      </c>
      <c r="V2106" s="1" t="s">
        <v>120</v>
      </c>
      <c r="W2106" s="1" t="s">
        <v>121</v>
      </c>
      <c r="X2106" s="1" t="s">
        <v>122</v>
      </c>
      <c r="Y2106" s="1" t="s">
        <v>123</v>
      </c>
      <c r="Z2106" s="1" t="str">
        <f>TRIM(_xlfn.CONCAT(sales_data_sample[[#This Row],[CONTACTFIRSTNAME]],", ",sales_data_sample[[#This Row],[CONTACTLASTNAME]]))</f>
        <v>Peter, Ferguson</v>
      </c>
      <c r="AA2106" s="1" t="s">
        <v>40</v>
      </c>
    </row>
    <row r="2107" spans="1:27" x14ac:dyDescent="0.25">
      <c r="A2107" s="10">
        <v>10235</v>
      </c>
      <c r="B2107" s="9">
        <v>40</v>
      </c>
      <c r="C2107" s="9">
        <v>8114</v>
      </c>
      <c r="D2107" s="9">
        <f>PRODUCT(sales_data_sample[[#This Row],[QUANTITYORDERED]],sales_data_sample[[#This Row],[PRICEEACH]])</f>
        <v>324560</v>
      </c>
      <c r="E2107" s="9">
        <f>IF(OR(sales_data_sample[[#This Row],[STATUS]]="Shipped",sales_data_sample[[#This Row],[STATUS]]="Resolved"),sales_data_sample[[#This Row],[SALES]],0)</f>
        <v>324560</v>
      </c>
      <c r="F2107" s="10">
        <v>4</v>
      </c>
      <c r="G2107" s="12" t="s">
        <v>892</v>
      </c>
      <c r="H2107" s="1" t="s">
        <v>26</v>
      </c>
      <c r="I2107">
        <v>2</v>
      </c>
      <c r="J2107">
        <v>4</v>
      </c>
      <c r="K2107">
        <v>2004</v>
      </c>
      <c r="L2107" s="1" t="s">
        <v>839</v>
      </c>
      <c r="M2107">
        <v>72</v>
      </c>
      <c r="N2107" s="1" t="s">
        <v>983</v>
      </c>
      <c r="O2107" s="1" t="s">
        <v>509</v>
      </c>
      <c r="P2107" s="1" t="s">
        <v>510</v>
      </c>
      <c r="Q2107" s="1" t="s">
        <v>511</v>
      </c>
      <c r="R2107" s="1" t="s">
        <v>32</v>
      </c>
      <c r="S2107" s="1" t="s">
        <v>512</v>
      </c>
      <c r="T2107" s="1" t="s">
        <v>303</v>
      </c>
      <c r="U2107" s="1" t="s">
        <v>513</v>
      </c>
      <c r="V2107" s="1" t="s">
        <v>305</v>
      </c>
      <c r="W2107" s="1" t="s">
        <v>37</v>
      </c>
      <c r="X2107" s="1" t="s">
        <v>514</v>
      </c>
      <c r="Y2107" s="1" t="s">
        <v>227</v>
      </c>
      <c r="Z2107" s="1" t="str">
        <f>TRIM(_xlfn.CONCAT(sales_data_sample[[#This Row],[CONTACTFIRSTNAME]],", ",sales_data_sample[[#This Row],[CONTACTLASTNAME]]))</f>
        <v>Elizabeth, Lincoln</v>
      </c>
      <c r="AA2107" s="1" t="s">
        <v>59</v>
      </c>
    </row>
    <row r="2108" spans="1:27" x14ac:dyDescent="0.25">
      <c r="A2108" s="10">
        <v>10250</v>
      </c>
      <c r="B2108" s="9">
        <v>37</v>
      </c>
      <c r="C2108" s="9">
        <v>7462</v>
      </c>
      <c r="D2108" s="9">
        <f>PRODUCT(sales_data_sample[[#This Row],[QUANTITYORDERED]],sales_data_sample[[#This Row],[PRICEEACH]])</f>
        <v>276094</v>
      </c>
      <c r="E2108" s="9">
        <f>IF(OR(sales_data_sample[[#This Row],[STATUS]]="Shipped",sales_data_sample[[#This Row],[STATUS]]="Resolved"),sales_data_sample[[#This Row],[SALES]],0)</f>
        <v>276094</v>
      </c>
      <c r="F2108" s="10">
        <v>5</v>
      </c>
      <c r="G2108" s="12" t="s">
        <v>849</v>
      </c>
      <c r="H2108" s="1" t="s">
        <v>26</v>
      </c>
      <c r="I2108">
        <v>2</v>
      </c>
      <c r="J2108">
        <v>5</v>
      </c>
      <c r="K2108">
        <v>2004</v>
      </c>
      <c r="L2108" s="1" t="s">
        <v>839</v>
      </c>
      <c r="M2108">
        <v>72</v>
      </c>
      <c r="N2108" s="1" t="s">
        <v>983</v>
      </c>
      <c r="O2108" s="1" t="s">
        <v>547</v>
      </c>
      <c r="P2108" s="1" t="s">
        <v>548</v>
      </c>
      <c r="Q2108" s="1" t="s">
        <v>549</v>
      </c>
      <c r="R2108" s="1" t="s">
        <v>32</v>
      </c>
      <c r="S2108" s="1" t="s">
        <v>550</v>
      </c>
      <c r="T2108" s="1" t="s">
        <v>65</v>
      </c>
      <c r="U2108" s="1" t="s">
        <v>80</v>
      </c>
      <c r="V2108" s="1" t="s">
        <v>36</v>
      </c>
      <c r="W2108" s="1" t="s">
        <v>37</v>
      </c>
      <c r="X2108" s="1" t="s">
        <v>129</v>
      </c>
      <c r="Y2108" s="1" t="s">
        <v>551</v>
      </c>
      <c r="Z2108" s="1" t="str">
        <f>TRIM(_xlfn.CONCAT(sales_data_sample[[#This Row],[CONTACTFIRSTNAME]],", ",sales_data_sample[[#This Row],[CONTACTLASTNAME]]))</f>
        <v>Sue, Frick</v>
      </c>
      <c r="AA2108" s="1" t="s">
        <v>40</v>
      </c>
    </row>
    <row r="2109" spans="1:27" x14ac:dyDescent="0.25">
      <c r="A2109" s="10">
        <v>10263</v>
      </c>
      <c r="B2109" s="9">
        <v>24</v>
      </c>
      <c r="C2109" s="9">
        <v>7535</v>
      </c>
      <c r="D2109" s="9">
        <f>PRODUCT(sales_data_sample[[#This Row],[QUANTITYORDERED]],sales_data_sample[[#This Row],[PRICEEACH]])</f>
        <v>180840</v>
      </c>
      <c r="E2109" s="9">
        <f>IF(OR(sales_data_sample[[#This Row],[STATUS]]="Shipped",sales_data_sample[[#This Row],[STATUS]]="Resolved"),sales_data_sample[[#This Row],[SALES]],0)</f>
        <v>180840</v>
      </c>
      <c r="F2109" s="10">
        <v>11</v>
      </c>
      <c r="G2109" s="12" t="s">
        <v>139</v>
      </c>
      <c r="H2109" s="1" t="s">
        <v>26</v>
      </c>
      <c r="I2109">
        <v>2</v>
      </c>
      <c r="J2109">
        <v>6</v>
      </c>
      <c r="K2109">
        <v>2004</v>
      </c>
      <c r="L2109" s="1" t="s">
        <v>839</v>
      </c>
      <c r="M2109">
        <v>72</v>
      </c>
      <c r="N2109" s="1" t="s">
        <v>983</v>
      </c>
      <c r="O2109" s="1" t="s">
        <v>140</v>
      </c>
      <c r="P2109" s="1" t="s">
        <v>141</v>
      </c>
      <c r="Q2109" s="1" t="s">
        <v>142</v>
      </c>
      <c r="R2109" s="1" t="s">
        <v>32</v>
      </c>
      <c r="S2109" s="1" t="s">
        <v>143</v>
      </c>
      <c r="T2109" s="1" t="s">
        <v>144</v>
      </c>
      <c r="U2109" s="1" t="s">
        <v>145</v>
      </c>
      <c r="V2109" s="1" t="s">
        <v>36</v>
      </c>
      <c r="W2109" s="1" t="s">
        <v>37</v>
      </c>
      <c r="X2109" s="1" t="s">
        <v>146</v>
      </c>
      <c r="Y2109" s="1" t="s">
        <v>68</v>
      </c>
      <c r="Z2109" s="1" t="str">
        <f>TRIM(_xlfn.CONCAT(sales_data_sample[[#This Row],[CONTACTFIRSTNAME]],", ",sales_data_sample[[#This Row],[CONTACTLASTNAME]]))</f>
        <v>Julie, King</v>
      </c>
      <c r="AA2109" s="1" t="s">
        <v>40</v>
      </c>
    </row>
    <row r="2110" spans="1:27" x14ac:dyDescent="0.25">
      <c r="A2110" s="10">
        <v>10275</v>
      </c>
      <c r="B2110" s="9">
        <v>27</v>
      </c>
      <c r="C2110" s="9">
        <v>6231</v>
      </c>
      <c r="D2110" s="9">
        <f>PRODUCT(sales_data_sample[[#This Row],[QUANTITYORDERED]],sales_data_sample[[#This Row],[PRICEEACH]])</f>
        <v>168237</v>
      </c>
      <c r="E2110" s="9">
        <f>IF(OR(sales_data_sample[[#This Row],[STATUS]]="Shipped",sales_data_sample[[#This Row],[STATUS]]="Resolved"),sales_data_sample[[#This Row],[SALES]],0)</f>
        <v>168237</v>
      </c>
      <c r="F2110" s="10">
        <v>10</v>
      </c>
      <c r="G2110" s="12" t="s">
        <v>147</v>
      </c>
      <c r="H2110" s="1" t="s">
        <v>26</v>
      </c>
      <c r="I2110">
        <v>3</v>
      </c>
      <c r="J2110">
        <v>7</v>
      </c>
      <c r="K2110">
        <v>2004</v>
      </c>
      <c r="L2110" s="1" t="s">
        <v>839</v>
      </c>
      <c r="M2110">
        <v>72</v>
      </c>
      <c r="N2110" s="1" t="s">
        <v>983</v>
      </c>
      <c r="O2110" s="1" t="s">
        <v>148</v>
      </c>
      <c r="P2110" s="1" t="s">
        <v>149</v>
      </c>
      <c r="Q2110" s="1" t="s">
        <v>150</v>
      </c>
      <c r="R2110" s="1" t="s">
        <v>32</v>
      </c>
      <c r="S2110" s="1" t="s">
        <v>151</v>
      </c>
      <c r="T2110" s="1" t="s">
        <v>32</v>
      </c>
      <c r="U2110" s="1" t="s">
        <v>152</v>
      </c>
      <c r="V2110" s="1" t="s">
        <v>47</v>
      </c>
      <c r="W2110" s="1" t="s">
        <v>48</v>
      </c>
      <c r="X2110" s="1" t="s">
        <v>153</v>
      </c>
      <c r="Y2110" s="1" t="s">
        <v>154</v>
      </c>
      <c r="Z2110" s="1" t="str">
        <f>TRIM(_xlfn.CONCAT(sales_data_sample[[#This Row],[CONTACTFIRSTNAME]],", ",sales_data_sample[[#This Row],[CONTACTLASTNAME]]))</f>
        <v>Janine, Labrune</v>
      </c>
      <c r="AA2110" s="1" t="s">
        <v>40</v>
      </c>
    </row>
    <row r="2111" spans="1:27" x14ac:dyDescent="0.25">
      <c r="A2111" s="10">
        <v>10284</v>
      </c>
      <c r="B2111" s="9">
        <v>21</v>
      </c>
      <c r="C2111" s="9">
        <v>71</v>
      </c>
      <c r="D2111" s="9">
        <f>PRODUCT(sales_data_sample[[#This Row],[QUANTITYORDERED]],sales_data_sample[[#This Row],[PRICEEACH]])</f>
        <v>1491</v>
      </c>
      <c r="E2111" s="9">
        <f>IF(OR(sales_data_sample[[#This Row],[STATUS]]="Shipped",sales_data_sample[[#This Row],[STATUS]]="Resolved"),sales_data_sample[[#This Row],[SALES]],0)</f>
        <v>1491</v>
      </c>
      <c r="F2111" s="10">
        <v>2</v>
      </c>
      <c r="G2111" s="12" t="s">
        <v>851</v>
      </c>
      <c r="H2111" s="1" t="s">
        <v>26</v>
      </c>
      <c r="I2111">
        <v>3</v>
      </c>
      <c r="J2111">
        <v>8</v>
      </c>
      <c r="K2111">
        <v>2004</v>
      </c>
      <c r="L2111" s="1" t="s">
        <v>839</v>
      </c>
      <c r="M2111">
        <v>72</v>
      </c>
      <c r="N2111" s="1" t="s">
        <v>983</v>
      </c>
      <c r="O2111" s="1" t="s">
        <v>786</v>
      </c>
      <c r="P2111" s="1" t="s">
        <v>787</v>
      </c>
      <c r="Q2111" s="1" t="s">
        <v>788</v>
      </c>
      <c r="R2111" s="1" t="s">
        <v>32</v>
      </c>
      <c r="S2111" s="1" t="s">
        <v>789</v>
      </c>
      <c r="T2111" s="1" t="s">
        <v>32</v>
      </c>
      <c r="U2111" s="1" t="s">
        <v>790</v>
      </c>
      <c r="V2111" s="1" t="s">
        <v>97</v>
      </c>
      <c r="W2111" s="1" t="s">
        <v>48</v>
      </c>
      <c r="X2111" s="1" t="s">
        <v>791</v>
      </c>
      <c r="Y2111" s="1" t="s">
        <v>792</v>
      </c>
      <c r="Z2111" s="1" t="str">
        <f>TRIM(_xlfn.CONCAT(sales_data_sample[[#This Row],[CONTACTFIRSTNAME]],", ",sales_data_sample[[#This Row],[CONTACTLASTNAME]]))</f>
        <v>Jan, Klaeboe</v>
      </c>
      <c r="AA2111" s="1" t="s">
        <v>40</v>
      </c>
    </row>
    <row r="2112" spans="1:27" x14ac:dyDescent="0.25">
      <c r="A2112">
        <v>10297</v>
      </c>
      <c r="B2112">
        <v>23</v>
      </c>
      <c r="C2112">
        <v>7245</v>
      </c>
      <c r="D2112">
        <f>PRODUCT(sales_data_sample[[#This Row],[QUANTITYORDERED]],sales_data_sample[[#This Row],[PRICEEACH]])</f>
        <v>166635</v>
      </c>
      <c r="E2112" s="9">
        <f>IF(OR(sales_data_sample[[#This Row],[STATUS]]="Shipped",sales_data_sample[[#This Row],[STATUS]]="Resolved"),sales_data_sample[[#This Row],[SALES]],0)</f>
        <v>166635</v>
      </c>
      <c r="F2112">
        <v>5</v>
      </c>
      <c r="G2112" s="12" t="s">
        <v>893</v>
      </c>
      <c r="H2112" s="1" t="s">
        <v>26</v>
      </c>
      <c r="I2112">
        <v>3</v>
      </c>
      <c r="J2112">
        <v>9</v>
      </c>
      <c r="K2112">
        <v>2004</v>
      </c>
      <c r="L2112" s="1" t="s">
        <v>839</v>
      </c>
      <c r="M2112">
        <v>72</v>
      </c>
      <c r="N2112" s="1" t="s">
        <v>983</v>
      </c>
      <c r="O2112" s="1" t="s">
        <v>677</v>
      </c>
      <c r="P2112" s="1" t="s">
        <v>678</v>
      </c>
      <c r="Q2112" s="1" t="s">
        <v>679</v>
      </c>
      <c r="R2112" s="1" t="s">
        <v>680</v>
      </c>
      <c r="S2112" s="1" t="s">
        <v>681</v>
      </c>
      <c r="T2112" s="1" t="s">
        <v>32</v>
      </c>
      <c r="U2112" s="1" t="s">
        <v>682</v>
      </c>
      <c r="V2112" s="1" t="s">
        <v>683</v>
      </c>
      <c r="W2112" s="1" t="s">
        <v>48</v>
      </c>
      <c r="X2112" s="1" t="s">
        <v>684</v>
      </c>
      <c r="Y2112" s="1" t="s">
        <v>685</v>
      </c>
      <c r="Z2112" s="1" t="str">
        <f>TRIM(_xlfn.CONCAT(sales_data_sample[[#This Row],[CONTACTFIRSTNAME]],", ",sales_data_sample[[#This Row],[CONTACTLASTNAME]]))</f>
        <v>Dean, Cassidy</v>
      </c>
      <c r="AA2112" s="1" t="s">
        <v>40</v>
      </c>
    </row>
    <row r="2113" spans="1:27" x14ac:dyDescent="0.25">
      <c r="A2113" s="10">
        <v>10308</v>
      </c>
      <c r="B2113" s="9">
        <v>44</v>
      </c>
      <c r="C2113" s="9">
        <v>8332</v>
      </c>
      <c r="D2113" s="9">
        <f>PRODUCT(sales_data_sample[[#This Row],[QUANTITYORDERED]],sales_data_sample[[#This Row],[PRICEEACH]])</f>
        <v>366608</v>
      </c>
      <c r="E2113" s="9">
        <f>IF(OR(sales_data_sample[[#This Row],[STATUS]]="Shipped",sales_data_sample[[#This Row],[STATUS]]="Resolved"),sales_data_sample[[#This Row],[SALES]],0)</f>
        <v>366608</v>
      </c>
      <c r="F2113" s="10">
        <v>8</v>
      </c>
      <c r="G2113" s="12" t="s">
        <v>173</v>
      </c>
      <c r="H2113" s="1" t="s">
        <v>26</v>
      </c>
      <c r="I2113">
        <v>4</v>
      </c>
      <c r="J2113">
        <v>10</v>
      </c>
      <c r="K2113">
        <v>2004</v>
      </c>
      <c r="L2113" s="1" t="s">
        <v>839</v>
      </c>
      <c r="M2113">
        <v>72</v>
      </c>
      <c r="N2113" s="1" t="s">
        <v>983</v>
      </c>
      <c r="O2113" s="1" t="s">
        <v>425</v>
      </c>
      <c r="P2113" s="1" t="s">
        <v>426</v>
      </c>
      <c r="Q2113" s="1" t="s">
        <v>427</v>
      </c>
      <c r="R2113" s="1" t="s">
        <v>32</v>
      </c>
      <c r="S2113" s="1" t="s">
        <v>428</v>
      </c>
      <c r="T2113" s="1" t="s">
        <v>34</v>
      </c>
      <c r="U2113" s="1" t="s">
        <v>429</v>
      </c>
      <c r="V2113" s="1" t="s">
        <v>36</v>
      </c>
      <c r="W2113" s="1" t="s">
        <v>37</v>
      </c>
      <c r="X2113" s="1" t="s">
        <v>129</v>
      </c>
      <c r="Y2113" s="1" t="s">
        <v>314</v>
      </c>
      <c r="Z2113" s="1" t="str">
        <f>TRIM(_xlfn.CONCAT(sales_data_sample[[#This Row],[CONTACTFIRSTNAME]],", ",sales_data_sample[[#This Row],[CONTACTLASTNAME]]))</f>
        <v>Steve, Frick</v>
      </c>
      <c r="AA2113" s="1" t="s">
        <v>59</v>
      </c>
    </row>
    <row r="2114" spans="1:27" x14ac:dyDescent="0.25">
      <c r="A2114" s="10">
        <v>10317</v>
      </c>
      <c r="B2114" s="9">
        <v>35</v>
      </c>
      <c r="C2114" s="9">
        <v>8332</v>
      </c>
      <c r="D2114" s="9">
        <f>PRODUCT(sales_data_sample[[#This Row],[QUANTITYORDERED]],sales_data_sample[[#This Row],[PRICEEACH]])</f>
        <v>291620</v>
      </c>
      <c r="E2114" s="9">
        <f>IF(OR(sales_data_sample[[#This Row],[STATUS]]="Shipped",sales_data_sample[[#This Row],[STATUS]]="Resolved"),sales_data_sample[[#This Row],[SALES]],0)</f>
        <v>291620</v>
      </c>
      <c r="F2114" s="10">
        <v>1</v>
      </c>
      <c r="G2114" s="12" t="s">
        <v>181</v>
      </c>
      <c r="H2114" s="1" t="s">
        <v>26</v>
      </c>
      <c r="I2114">
        <v>4</v>
      </c>
      <c r="J2114">
        <v>11</v>
      </c>
      <c r="K2114">
        <v>2004</v>
      </c>
      <c r="L2114" s="1" t="s">
        <v>839</v>
      </c>
      <c r="M2114">
        <v>72</v>
      </c>
      <c r="N2114" s="1" t="s">
        <v>983</v>
      </c>
      <c r="O2114" s="1" t="s">
        <v>76</v>
      </c>
      <c r="P2114" s="1" t="s">
        <v>77</v>
      </c>
      <c r="Q2114" s="1" t="s">
        <v>78</v>
      </c>
      <c r="R2114" s="1" t="s">
        <v>32</v>
      </c>
      <c r="S2114" s="1" t="s">
        <v>79</v>
      </c>
      <c r="T2114" s="1" t="s">
        <v>65</v>
      </c>
      <c r="U2114" s="1" t="s">
        <v>80</v>
      </c>
      <c r="V2114" s="1" t="s">
        <v>36</v>
      </c>
      <c r="W2114" s="1" t="s">
        <v>37</v>
      </c>
      <c r="X2114" s="1" t="s">
        <v>81</v>
      </c>
      <c r="Y2114" s="1" t="s">
        <v>82</v>
      </c>
      <c r="Z2114" s="1" t="str">
        <f>TRIM(_xlfn.CONCAT(sales_data_sample[[#This Row],[CONTACTFIRSTNAME]],", ",sales_data_sample[[#This Row],[CONTACTLASTNAME]]))</f>
        <v>Juri, Hirano</v>
      </c>
      <c r="AA2114" s="1" t="s">
        <v>40</v>
      </c>
    </row>
    <row r="2115" spans="1:27" x14ac:dyDescent="0.25">
      <c r="A2115" s="10">
        <v>10328</v>
      </c>
      <c r="B2115" s="9">
        <v>43</v>
      </c>
      <c r="C2115" s="9">
        <v>6086</v>
      </c>
      <c r="D2115" s="9">
        <f>PRODUCT(sales_data_sample[[#This Row],[QUANTITYORDERED]],sales_data_sample[[#This Row],[PRICEEACH]])</f>
        <v>261698</v>
      </c>
      <c r="E2115" s="9">
        <f>IF(OR(sales_data_sample[[#This Row],[STATUS]]="Shipped",sales_data_sample[[#This Row],[STATUS]]="Resolved"),sales_data_sample[[#This Row],[SALES]],0)</f>
        <v>261698</v>
      </c>
      <c r="F2115" s="10">
        <v>4</v>
      </c>
      <c r="G2115" s="12" t="s">
        <v>936</v>
      </c>
      <c r="H2115" s="1" t="s">
        <v>26</v>
      </c>
      <c r="I2115">
        <v>4</v>
      </c>
      <c r="J2115">
        <v>11</v>
      </c>
      <c r="K2115">
        <v>2004</v>
      </c>
      <c r="L2115" s="1" t="s">
        <v>839</v>
      </c>
      <c r="M2115">
        <v>72</v>
      </c>
      <c r="N2115" s="1" t="s">
        <v>983</v>
      </c>
      <c r="O2115" s="1" t="s">
        <v>806</v>
      </c>
      <c r="P2115" s="1" t="s">
        <v>807</v>
      </c>
      <c r="Q2115" s="1" t="s">
        <v>808</v>
      </c>
      <c r="R2115" s="1" t="s">
        <v>32</v>
      </c>
      <c r="S2115" s="1" t="s">
        <v>809</v>
      </c>
      <c r="T2115" s="1" t="s">
        <v>32</v>
      </c>
      <c r="U2115" s="1" t="s">
        <v>810</v>
      </c>
      <c r="V2115" s="1" t="s">
        <v>343</v>
      </c>
      <c r="W2115" s="1" t="s">
        <v>48</v>
      </c>
      <c r="X2115" s="1" t="s">
        <v>811</v>
      </c>
      <c r="Y2115" s="1" t="s">
        <v>812</v>
      </c>
      <c r="Z2115" s="1" t="str">
        <f>TRIM(_xlfn.CONCAT(sales_data_sample[[#This Row],[CONTACTFIRSTNAME]],", ",sales_data_sample[[#This Row],[CONTACTLASTNAME]]))</f>
        <v>Giovanni, Rovelli</v>
      </c>
      <c r="AA2115" s="1" t="s">
        <v>40</v>
      </c>
    </row>
    <row r="2116" spans="1:27" x14ac:dyDescent="0.25">
      <c r="A2116" s="10">
        <v>10340</v>
      </c>
      <c r="B2116" s="9">
        <v>40</v>
      </c>
      <c r="C2116" s="9">
        <v>8477</v>
      </c>
      <c r="D2116" s="9">
        <f>PRODUCT(sales_data_sample[[#This Row],[QUANTITYORDERED]],sales_data_sample[[#This Row],[PRICEEACH]])</f>
        <v>339080</v>
      </c>
      <c r="E2116" s="9">
        <f>IF(OR(sales_data_sample[[#This Row],[STATUS]]="Shipped",sales_data_sample[[#This Row],[STATUS]]="Resolved"),sales_data_sample[[#This Row],[SALES]],0)</f>
        <v>339080</v>
      </c>
      <c r="F2116" s="10">
        <v>1</v>
      </c>
      <c r="G2116" s="12" t="s">
        <v>190</v>
      </c>
      <c r="H2116" s="1" t="s">
        <v>26</v>
      </c>
      <c r="I2116">
        <v>4</v>
      </c>
      <c r="J2116">
        <v>11</v>
      </c>
      <c r="K2116">
        <v>2004</v>
      </c>
      <c r="L2116" s="1" t="s">
        <v>839</v>
      </c>
      <c r="M2116">
        <v>72</v>
      </c>
      <c r="N2116" s="1" t="s">
        <v>983</v>
      </c>
      <c r="O2116" s="1" t="s">
        <v>478</v>
      </c>
      <c r="P2116" s="1" t="s">
        <v>479</v>
      </c>
      <c r="Q2116" s="1" t="s">
        <v>480</v>
      </c>
      <c r="R2116" s="1" t="s">
        <v>32</v>
      </c>
      <c r="S2116" s="1" t="s">
        <v>481</v>
      </c>
      <c r="T2116" s="1" t="s">
        <v>32</v>
      </c>
      <c r="U2116" s="1" t="s">
        <v>482</v>
      </c>
      <c r="V2116" s="1" t="s">
        <v>235</v>
      </c>
      <c r="W2116" s="1" t="s">
        <v>48</v>
      </c>
      <c r="X2116" s="1" t="s">
        <v>483</v>
      </c>
      <c r="Y2116" s="1" t="s">
        <v>484</v>
      </c>
      <c r="Z2116" s="1" t="str">
        <f>TRIM(_xlfn.CONCAT(sales_data_sample[[#This Row],[CONTACTFIRSTNAME]],", ",sales_data_sample[[#This Row],[CONTACTLASTNAME]]))</f>
        <v>Eduardo, Saavedra</v>
      </c>
      <c r="AA2116" s="1" t="s">
        <v>59</v>
      </c>
    </row>
    <row r="2117" spans="1:27" x14ac:dyDescent="0.25">
      <c r="A2117" s="10">
        <v>10353</v>
      </c>
      <c r="B2117" s="9">
        <v>35</v>
      </c>
      <c r="C2117" s="9">
        <v>899</v>
      </c>
      <c r="D2117" s="9">
        <f>PRODUCT(sales_data_sample[[#This Row],[QUANTITYORDERED]],sales_data_sample[[#This Row],[PRICEEACH]])</f>
        <v>31465</v>
      </c>
      <c r="E2117" s="9">
        <f>IF(OR(sales_data_sample[[#This Row],[STATUS]]="Shipped",sales_data_sample[[#This Row],[STATUS]]="Resolved"),sales_data_sample[[#This Row],[SALES]],0)</f>
        <v>31465</v>
      </c>
      <c r="F2117" s="10">
        <v>3</v>
      </c>
      <c r="G2117" s="12" t="s">
        <v>894</v>
      </c>
      <c r="H2117" s="1" t="s">
        <v>26</v>
      </c>
      <c r="I2117">
        <v>4</v>
      </c>
      <c r="J2117">
        <v>12</v>
      </c>
      <c r="K2117">
        <v>2004</v>
      </c>
      <c r="L2117" s="1" t="s">
        <v>839</v>
      </c>
      <c r="M2117">
        <v>72</v>
      </c>
      <c r="N2117" s="1" t="s">
        <v>983</v>
      </c>
      <c r="O2117" s="1" t="s">
        <v>842</v>
      </c>
      <c r="P2117" s="1" t="s">
        <v>843</v>
      </c>
      <c r="Q2117" s="1" t="s">
        <v>844</v>
      </c>
      <c r="R2117" s="1" t="s">
        <v>32</v>
      </c>
      <c r="S2117" s="1" t="s">
        <v>734</v>
      </c>
      <c r="T2117" s="1" t="s">
        <v>144</v>
      </c>
      <c r="U2117" s="1" t="s">
        <v>845</v>
      </c>
      <c r="V2117" s="1" t="s">
        <v>36</v>
      </c>
      <c r="W2117" s="1" t="s">
        <v>37</v>
      </c>
      <c r="X2117" s="1" t="s">
        <v>846</v>
      </c>
      <c r="Y2117" s="1" t="s">
        <v>847</v>
      </c>
      <c r="Z2117" s="1" t="str">
        <f>TRIM(_xlfn.CONCAT(sales_data_sample[[#This Row],[CONTACTFIRSTNAME]],", ",sales_data_sample[[#This Row],[CONTACTLASTNAME]]))</f>
        <v>Dan, Lewis</v>
      </c>
      <c r="AA2117" s="1" t="s">
        <v>59</v>
      </c>
    </row>
    <row r="2118" spans="1:27" x14ac:dyDescent="0.25">
      <c r="A2118">
        <v>10361</v>
      </c>
      <c r="B2118">
        <v>25</v>
      </c>
      <c r="C2118">
        <v>6246</v>
      </c>
      <c r="D2118">
        <f>PRODUCT(sales_data_sample[[#This Row],[QUANTITYORDERED]],sales_data_sample[[#This Row],[PRICEEACH]])</f>
        <v>156150</v>
      </c>
      <c r="E2118" s="9">
        <f>IF(OR(sales_data_sample[[#This Row],[STATUS]]="Shipped",sales_data_sample[[#This Row],[STATUS]]="Resolved"),sales_data_sample[[#This Row],[SALES]],0)</f>
        <v>156150</v>
      </c>
      <c r="F2118">
        <v>1</v>
      </c>
      <c r="G2118" s="12" t="s">
        <v>200</v>
      </c>
      <c r="H2118" s="1" t="s">
        <v>26</v>
      </c>
      <c r="I2118">
        <v>4</v>
      </c>
      <c r="J2118">
        <v>12</v>
      </c>
      <c r="K2118">
        <v>2004</v>
      </c>
      <c r="L2118" s="1" t="s">
        <v>839</v>
      </c>
      <c r="M2118">
        <v>72</v>
      </c>
      <c r="N2118" s="1" t="s">
        <v>983</v>
      </c>
      <c r="O2118" s="1" t="s">
        <v>201</v>
      </c>
      <c r="P2118" s="1" t="s">
        <v>202</v>
      </c>
      <c r="Q2118" s="1" t="s">
        <v>203</v>
      </c>
      <c r="R2118" s="1" t="s">
        <v>204</v>
      </c>
      <c r="S2118" s="1" t="s">
        <v>205</v>
      </c>
      <c r="T2118" s="1" t="s">
        <v>206</v>
      </c>
      <c r="U2118" s="1" t="s">
        <v>207</v>
      </c>
      <c r="V2118" s="1" t="s">
        <v>120</v>
      </c>
      <c r="W2118" s="1" t="s">
        <v>121</v>
      </c>
      <c r="X2118" s="1" t="s">
        <v>208</v>
      </c>
      <c r="Y2118" s="1" t="s">
        <v>209</v>
      </c>
      <c r="Z2118" s="1" t="str">
        <f>TRIM(_xlfn.CONCAT(sales_data_sample[[#This Row],[CONTACTFIRSTNAME]],", ",sales_data_sample[[#This Row],[CONTACTLASTNAME]]))</f>
        <v>Adrian, Huxley</v>
      </c>
      <c r="AA2118" s="1" t="s">
        <v>40</v>
      </c>
    </row>
    <row r="2119" spans="1:27" x14ac:dyDescent="0.25">
      <c r="A2119" s="10">
        <v>10375</v>
      </c>
      <c r="B2119" s="9">
        <v>43</v>
      </c>
      <c r="C2119" s="9">
        <v>100</v>
      </c>
      <c r="D2119" s="9">
        <f>PRODUCT(sales_data_sample[[#This Row],[QUANTITYORDERED]],sales_data_sample[[#This Row],[PRICEEACH]])</f>
        <v>4300</v>
      </c>
      <c r="E2119" s="9">
        <f>IF(OR(sales_data_sample[[#This Row],[STATUS]]="Shipped",sales_data_sample[[#This Row],[STATUS]]="Resolved"),sales_data_sample[[#This Row],[SALES]],0)</f>
        <v>4300</v>
      </c>
      <c r="F2119" s="10">
        <v>2</v>
      </c>
      <c r="G2119" s="12" t="s">
        <v>210</v>
      </c>
      <c r="H2119" s="1" t="s">
        <v>26</v>
      </c>
      <c r="I2119">
        <v>1</v>
      </c>
      <c r="J2119">
        <v>2</v>
      </c>
      <c r="K2119">
        <v>2005</v>
      </c>
      <c r="L2119" s="1" t="s">
        <v>839</v>
      </c>
      <c r="M2119">
        <v>72</v>
      </c>
      <c r="N2119" s="1" t="s">
        <v>983</v>
      </c>
      <c r="O2119" s="1" t="s">
        <v>148</v>
      </c>
      <c r="P2119" s="1" t="s">
        <v>149</v>
      </c>
      <c r="Q2119" s="1" t="s">
        <v>150</v>
      </c>
      <c r="R2119" s="1" t="s">
        <v>32</v>
      </c>
      <c r="S2119" s="1" t="s">
        <v>151</v>
      </c>
      <c r="T2119" s="1" t="s">
        <v>32</v>
      </c>
      <c r="U2119" s="1" t="s">
        <v>152</v>
      </c>
      <c r="V2119" s="1" t="s">
        <v>47</v>
      </c>
      <c r="W2119" s="1" t="s">
        <v>48</v>
      </c>
      <c r="X2119" s="1" t="s">
        <v>153</v>
      </c>
      <c r="Y2119" s="1" t="s">
        <v>154</v>
      </c>
      <c r="Z2119" s="1" t="str">
        <f>TRIM(_xlfn.CONCAT(sales_data_sample[[#This Row],[CONTACTFIRSTNAME]],", ",sales_data_sample[[#This Row],[CONTACTLASTNAME]]))</f>
        <v>Janine, Labrune</v>
      </c>
      <c r="AA2119" s="1" t="s">
        <v>199</v>
      </c>
    </row>
    <row r="2120" spans="1:27" x14ac:dyDescent="0.25">
      <c r="A2120" s="10">
        <v>10386</v>
      </c>
      <c r="B2120" s="9">
        <v>50</v>
      </c>
      <c r="C2120" s="9">
        <v>6334</v>
      </c>
      <c r="D2120" s="9">
        <f>PRODUCT(sales_data_sample[[#This Row],[QUANTITYORDERED]],sales_data_sample[[#This Row],[PRICEEACH]])</f>
        <v>316700</v>
      </c>
      <c r="E2120" s="9">
        <f>IF(OR(sales_data_sample[[#This Row],[STATUS]]="Shipped",sales_data_sample[[#This Row],[STATUS]]="Resolved"),sales_data_sample[[#This Row],[SALES]],0)</f>
        <v>316700</v>
      </c>
      <c r="F2120" s="10">
        <v>8</v>
      </c>
      <c r="G2120" s="12" t="s">
        <v>869</v>
      </c>
      <c r="H2120" s="1" t="s">
        <v>563</v>
      </c>
      <c r="I2120">
        <v>1</v>
      </c>
      <c r="J2120">
        <v>3</v>
      </c>
      <c r="K2120">
        <v>2005</v>
      </c>
      <c r="L2120" s="1" t="s">
        <v>839</v>
      </c>
      <c r="M2120">
        <v>72</v>
      </c>
      <c r="N2120" s="1" t="s">
        <v>983</v>
      </c>
      <c r="O2120" s="1" t="s">
        <v>230</v>
      </c>
      <c r="P2120" s="1" t="s">
        <v>231</v>
      </c>
      <c r="Q2120" s="1" t="s">
        <v>232</v>
      </c>
      <c r="R2120" s="1" t="s">
        <v>32</v>
      </c>
      <c r="S2120" s="1" t="s">
        <v>233</v>
      </c>
      <c r="T2120" s="1" t="s">
        <v>32</v>
      </c>
      <c r="U2120" s="1" t="s">
        <v>234</v>
      </c>
      <c r="V2120" s="1" t="s">
        <v>235</v>
      </c>
      <c r="W2120" s="1" t="s">
        <v>48</v>
      </c>
      <c r="X2120" s="1" t="s">
        <v>236</v>
      </c>
      <c r="Y2120" s="1" t="s">
        <v>237</v>
      </c>
      <c r="Z2120" s="1" t="str">
        <f>TRIM(_xlfn.CONCAT(sales_data_sample[[#This Row],[CONTACTFIRSTNAME]],", ",sales_data_sample[[#This Row],[CONTACTLASTNAME]]))</f>
        <v>Diego, Freyre</v>
      </c>
      <c r="AA2120" s="1" t="s">
        <v>59</v>
      </c>
    </row>
    <row r="2121" spans="1:27" x14ac:dyDescent="0.25">
      <c r="A2121" s="10">
        <v>10398</v>
      </c>
      <c r="B2121" s="9">
        <v>45</v>
      </c>
      <c r="C2121" s="9">
        <v>7825</v>
      </c>
      <c r="D2121" s="9">
        <f>PRODUCT(sales_data_sample[[#This Row],[QUANTITYORDERED]],sales_data_sample[[#This Row],[PRICEEACH]])</f>
        <v>352125</v>
      </c>
      <c r="E2121" s="9">
        <f>IF(OR(sales_data_sample[[#This Row],[STATUS]]="Shipped",sales_data_sample[[#This Row],[STATUS]]="Resolved"),sales_data_sample[[#This Row],[SALES]],0)</f>
        <v>352125</v>
      </c>
      <c r="F2121" s="10">
        <v>14</v>
      </c>
      <c r="G2121" s="12" t="s">
        <v>870</v>
      </c>
      <c r="H2121" s="1" t="s">
        <v>26</v>
      </c>
      <c r="I2121">
        <v>1</v>
      </c>
      <c r="J2121">
        <v>3</v>
      </c>
      <c r="K2121">
        <v>2005</v>
      </c>
      <c r="L2121" s="1" t="s">
        <v>839</v>
      </c>
      <c r="M2121">
        <v>72</v>
      </c>
      <c r="N2121" s="1" t="s">
        <v>983</v>
      </c>
      <c r="O2121" s="1" t="s">
        <v>42</v>
      </c>
      <c r="P2121" s="1" t="s">
        <v>43</v>
      </c>
      <c r="Q2121" s="1" t="s">
        <v>44</v>
      </c>
      <c r="R2121" s="1" t="s">
        <v>32</v>
      </c>
      <c r="S2121" s="1" t="s">
        <v>45</v>
      </c>
      <c r="T2121" s="1" t="s">
        <v>32</v>
      </c>
      <c r="U2121" s="1" t="s">
        <v>46</v>
      </c>
      <c r="V2121" s="1" t="s">
        <v>47</v>
      </c>
      <c r="W2121" s="1" t="s">
        <v>48</v>
      </c>
      <c r="X2121" s="1" t="s">
        <v>49</v>
      </c>
      <c r="Y2121" s="1" t="s">
        <v>50</v>
      </c>
      <c r="Z2121" s="1" t="str">
        <f>TRIM(_xlfn.CONCAT(sales_data_sample[[#This Row],[CONTACTFIRSTNAME]],", ",sales_data_sample[[#This Row],[CONTACTLASTNAME]]))</f>
        <v>Paul, Henriot</v>
      </c>
      <c r="AA2121" s="1" t="s">
        <v>59</v>
      </c>
    </row>
    <row r="2122" spans="1:27" x14ac:dyDescent="0.25">
      <c r="A2122" s="10">
        <v>10401</v>
      </c>
      <c r="B2122" s="9">
        <v>52</v>
      </c>
      <c r="C2122" s="9">
        <v>8114</v>
      </c>
      <c r="D2122" s="9">
        <f>PRODUCT(sales_data_sample[[#This Row],[QUANTITYORDERED]],sales_data_sample[[#This Row],[PRICEEACH]])</f>
        <v>421928</v>
      </c>
      <c r="E2122" s="9">
        <f>IF(OR(sales_data_sample[[#This Row],[STATUS]]="Shipped",sales_data_sample[[#This Row],[STATUS]]="Resolved"),sales_data_sample[[#This Row],[SALES]],0)</f>
        <v>0</v>
      </c>
      <c r="F2122" s="10">
        <v>4</v>
      </c>
      <c r="G2122" s="12" t="s">
        <v>895</v>
      </c>
      <c r="H2122" s="1" t="s">
        <v>553</v>
      </c>
      <c r="I2122">
        <v>2</v>
      </c>
      <c r="J2122">
        <v>4</v>
      </c>
      <c r="K2122">
        <v>2005</v>
      </c>
      <c r="L2122" s="1" t="s">
        <v>839</v>
      </c>
      <c r="M2122">
        <v>72</v>
      </c>
      <c r="N2122" s="1" t="s">
        <v>983</v>
      </c>
      <c r="O2122" s="1" t="s">
        <v>132</v>
      </c>
      <c r="P2122" s="1" t="s">
        <v>133</v>
      </c>
      <c r="Q2122" s="1" t="s">
        <v>134</v>
      </c>
      <c r="R2122" s="1" t="s">
        <v>32</v>
      </c>
      <c r="S2122" s="1" t="s">
        <v>135</v>
      </c>
      <c r="T2122" s="1" t="s">
        <v>136</v>
      </c>
      <c r="U2122" s="1" t="s">
        <v>137</v>
      </c>
      <c r="V2122" s="1" t="s">
        <v>36</v>
      </c>
      <c r="W2122" s="1" t="s">
        <v>37</v>
      </c>
      <c r="X2122" s="1" t="s">
        <v>74</v>
      </c>
      <c r="Y2122" s="1" t="s">
        <v>138</v>
      </c>
      <c r="Z2122" s="1" t="str">
        <f>TRIM(_xlfn.CONCAT(sales_data_sample[[#This Row],[CONTACTFIRSTNAME]],", ",sales_data_sample[[#This Row],[CONTACTLASTNAME]]))</f>
        <v>William, Brown</v>
      </c>
      <c r="AA2122" s="1" t="s">
        <v>59</v>
      </c>
    </row>
    <row r="2123" spans="1:27" x14ac:dyDescent="0.25">
      <c r="A2123" s="10">
        <v>10416</v>
      </c>
      <c r="B2123" s="9">
        <v>48</v>
      </c>
      <c r="C2123" s="9">
        <v>7462</v>
      </c>
      <c r="D2123" s="9">
        <f>PRODUCT(sales_data_sample[[#This Row],[QUANTITYORDERED]],sales_data_sample[[#This Row],[PRICEEACH]])</f>
        <v>358176</v>
      </c>
      <c r="E2123" s="9">
        <f>IF(OR(sales_data_sample[[#This Row],[STATUS]]="Shipped",sales_data_sample[[#This Row],[STATUS]]="Resolved"),sales_data_sample[[#This Row],[SALES]],0)</f>
        <v>358176</v>
      </c>
      <c r="F2123" s="10">
        <v>5</v>
      </c>
      <c r="G2123" s="12" t="s">
        <v>871</v>
      </c>
      <c r="H2123" s="1" t="s">
        <v>26</v>
      </c>
      <c r="I2123">
        <v>2</v>
      </c>
      <c r="J2123">
        <v>5</v>
      </c>
      <c r="K2123">
        <v>2005</v>
      </c>
      <c r="L2123" s="1" t="s">
        <v>839</v>
      </c>
      <c r="M2123">
        <v>72</v>
      </c>
      <c r="N2123" s="1" t="s">
        <v>983</v>
      </c>
      <c r="O2123" s="1" t="s">
        <v>632</v>
      </c>
      <c r="P2123" s="1" t="s">
        <v>633</v>
      </c>
      <c r="Q2123" s="1" t="s">
        <v>634</v>
      </c>
      <c r="R2123" s="1" t="s">
        <v>32</v>
      </c>
      <c r="S2123" s="1" t="s">
        <v>635</v>
      </c>
      <c r="T2123" s="1" t="s">
        <v>32</v>
      </c>
      <c r="U2123" s="1" t="s">
        <v>636</v>
      </c>
      <c r="V2123" s="1" t="s">
        <v>343</v>
      </c>
      <c r="W2123" s="1" t="s">
        <v>48</v>
      </c>
      <c r="X2123" s="1" t="s">
        <v>637</v>
      </c>
      <c r="Y2123" s="1" t="s">
        <v>638</v>
      </c>
      <c r="Z2123" s="1" t="str">
        <f>TRIM(_xlfn.CONCAT(sales_data_sample[[#This Row],[CONTACTFIRSTNAME]],", ",sales_data_sample[[#This Row],[CONTACTLASTNAME]]))</f>
        <v>Maurizio, Moroni</v>
      </c>
      <c r="AA2123" s="1" t="s">
        <v>59</v>
      </c>
    </row>
    <row r="2124" spans="1:27" x14ac:dyDescent="0.25">
      <c r="A2124" s="10">
        <v>10108</v>
      </c>
      <c r="B2124" s="9">
        <v>31</v>
      </c>
      <c r="C2124" s="9">
        <v>6871</v>
      </c>
      <c r="D2124" s="9">
        <f>PRODUCT(sales_data_sample[[#This Row],[QUANTITYORDERED]],sales_data_sample[[#This Row],[PRICEEACH]])</f>
        <v>213001</v>
      </c>
      <c r="E2124" s="9">
        <f>IF(OR(sales_data_sample[[#This Row],[STATUS]]="Shipped",sales_data_sample[[#This Row],[STATUS]]="Resolved"),sales_data_sample[[#This Row],[SALES]],0)</f>
        <v>213001</v>
      </c>
      <c r="F2124" s="10">
        <v>10</v>
      </c>
      <c r="G2124" s="12" t="s">
        <v>589</v>
      </c>
      <c r="H2124" s="1" t="s">
        <v>26</v>
      </c>
      <c r="I2124">
        <v>1</v>
      </c>
      <c r="J2124">
        <v>3</v>
      </c>
      <c r="K2124">
        <v>2003</v>
      </c>
      <c r="L2124" s="1" t="s">
        <v>239</v>
      </c>
      <c r="M2124">
        <v>80</v>
      </c>
      <c r="N2124" s="1" t="s">
        <v>984</v>
      </c>
      <c r="O2124" s="1" t="s">
        <v>591</v>
      </c>
      <c r="P2124" s="1" t="s">
        <v>592</v>
      </c>
      <c r="Q2124" s="1" t="s">
        <v>593</v>
      </c>
      <c r="R2124" s="1" t="s">
        <v>32</v>
      </c>
      <c r="S2124" s="1" t="s">
        <v>594</v>
      </c>
      <c r="T2124" s="1" t="s">
        <v>32</v>
      </c>
      <c r="U2124" s="1" t="s">
        <v>595</v>
      </c>
      <c r="V2124" s="1" t="s">
        <v>596</v>
      </c>
      <c r="W2124" s="1" t="s">
        <v>264</v>
      </c>
      <c r="X2124" s="1" t="s">
        <v>597</v>
      </c>
      <c r="Y2124" s="1" t="s">
        <v>598</v>
      </c>
      <c r="Z2124" s="1" t="str">
        <f>TRIM(_xlfn.CONCAT(sales_data_sample[[#This Row],[CONTACTFIRSTNAME]],", ",sales_data_sample[[#This Row],[CONTACTLASTNAME]]))</f>
        <v>Arnold, Cruz</v>
      </c>
      <c r="AA2124" s="1" t="s">
        <v>40</v>
      </c>
    </row>
    <row r="2125" spans="1:27" x14ac:dyDescent="0.25">
      <c r="A2125" s="10">
        <v>10122</v>
      </c>
      <c r="B2125" s="9">
        <v>29</v>
      </c>
      <c r="C2125" s="9">
        <v>7114</v>
      </c>
      <c r="D2125" s="9">
        <f>PRODUCT(sales_data_sample[[#This Row],[QUANTITYORDERED]],sales_data_sample[[#This Row],[PRICEEACH]])</f>
        <v>206306</v>
      </c>
      <c r="E2125" s="9">
        <f>IF(OR(sales_data_sample[[#This Row],[STATUS]]="Shipped",sales_data_sample[[#This Row],[STATUS]]="Resolved"),sales_data_sample[[#This Row],[SALES]],0)</f>
        <v>206306</v>
      </c>
      <c r="F2125" s="10">
        <v>14</v>
      </c>
      <c r="G2125" s="12" t="s">
        <v>599</v>
      </c>
      <c r="H2125" s="1" t="s">
        <v>26</v>
      </c>
      <c r="I2125">
        <v>2</v>
      </c>
      <c r="J2125">
        <v>5</v>
      </c>
      <c r="K2125">
        <v>2003</v>
      </c>
      <c r="L2125" s="1" t="s">
        <v>239</v>
      </c>
      <c r="M2125">
        <v>80</v>
      </c>
      <c r="N2125" s="1" t="s">
        <v>984</v>
      </c>
      <c r="O2125" s="1" t="s">
        <v>600</v>
      </c>
      <c r="P2125" s="1" t="s">
        <v>601</v>
      </c>
      <c r="Q2125" s="1" t="s">
        <v>602</v>
      </c>
      <c r="R2125" s="1" t="s">
        <v>32</v>
      </c>
      <c r="S2125" s="1" t="s">
        <v>603</v>
      </c>
      <c r="T2125" s="1" t="s">
        <v>32</v>
      </c>
      <c r="U2125" s="1" t="s">
        <v>604</v>
      </c>
      <c r="V2125" s="1" t="s">
        <v>47</v>
      </c>
      <c r="W2125" s="1" t="s">
        <v>48</v>
      </c>
      <c r="X2125" s="1" t="s">
        <v>605</v>
      </c>
      <c r="Y2125" s="1" t="s">
        <v>606</v>
      </c>
      <c r="Z2125" s="1" t="str">
        <f>TRIM(_xlfn.CONCAT(sales_data_sample[[#This Row],[CONTACTFIRSTNAME]],", ",sales_data_sample[[#This Row],[CONTACTLASTNAME]]))</f>
        <v>Laurence, Lebihan</v>
      </c>
      <c r="AA2125" s="1" t="s">
        <v>40</v>
      </c>
    </row>
    <row r="2126" spans="1:27" x14ac:dyDescent="0.25">
      <c r="A2126" s="10">
        <v>10135</v>
      </c>
      <c r="B2126" s="9">
        <v>23</v>
      </c>
      <c r="C2126" s="9">
        <v>8731</v>
      </c>
      <c r="D2126" s="9">
        <f>PRODUCT(sales_data_sample[[#This Row],[QUANTITYORDERED]],sales_data_sample[[#This Row],[PRICEEACH]])</f>
        <v>200813</v>
      </c>
      <c r="E2126" s="9">
        <f>IF(OR(sales_data_sample[[#This Row],[STATUS]]="Shipped",sales_data_sample[[#This Row],[STATUS]]="Resolved"),sales_data_sample[[#This Row],[SALES]],0)</f>
        <v>200813</v>
      </c>
      <c r="F2126" s="10">
        <v>11</v>
      </c>
      <c r="G2126" s="12" t="s">
        <v>607</v>
      </c>
      <c r="H2126" s="1" t="s">
        <v>26</v>
      </c>
      <c r="I2126">
        <v>3</v>
      </c>
      <c r="J2126">
        <v>7</v>
      </c>
      <c r="K2126">
        <v>2003</v>
      </c>
      <c r="L2126" s="1" t="s">
        <v>239</v>
      </c>
      <c r="M2126">
        <v>80</v>
      </c>
      <c r="N2126" s="1" t="s">
        <v>984</v>
      </c>
      <c r="O2126" s="1" t="s">
        <v>361</v>
      </c>
      <c r="P2126" s="1" t="s">
        <v>362</v>
      </c>
      <c r="Q2126" s="1" t="s">
        <v>363</v>
      </c>
      <c r="R2126" s="1" t="s">
        <v>32</v>
      </c>
      <c r="S2126" s="1" t="s">
        <v>364</v>
      </c>
      <c r="T2126" s="1" t="s">
        <v>65</v>
      </c>
      <c r="U2126" s="1" t="s">
        <v>145</v>
      </c>
      <c r="V2126" s="1" t="s">
        <v>36</v>
      </c>
      <c r="W2126" s="1" t="s">
        <v>37</v>
      </c>
      <c r="X2126" s="1" t="s">
        <v>365</v>
      </c>
      <c r="Y2126" s="1" t="s">
        <v>366</v>
      </c>
      <c r="Z2126" s="1" t="str">
        <f>TRIM(_xlfn.CONCAT(sales_data_sample[[#This Row],[CONTACTFIRSTNAME]],", ",sales_data_sample[[#This Row],[CONTACTLASTNAME]]))</f>
        <v>Valarie, Nelson</v>
      </c>
      <c r="AA2126" s="1" t="s">
        <v>40</v>
      </c>
    </row>
    <row r="2127" spans="1:27" x14ac:dyDescent="0.25">
      <c r="A2127" s="10">
        <v>10147</v>
      </c>
      <c r="B2127" s="9">
        <v>31</v>
      </c>
      <c r="C2127" s="9">
        <v>6467</v>
      </c>
      <c r="D2127" s="9">
        <f>PRODUCT(sales_data_sample[[#This Row],[QUANTITYORDERED]],sales_data_sample[[#This Row],[PRICEEACH]])</f>
        <v>200477</v>
      </c>
      <c r="E2127" s="9">
        <f>IF(OR(sales_data_sample[[#This Row],[STATUS]]="Shipped",sales_data_sample[[#This Row],[STATUS]]="Resolved"),sales_data_sample[[#This Row],[SALES]],0)</f>
        <v>200477</v>
      </c>
      <c r="F2127" s="10">
        <v>11</v>
      </c>
      <c r="G2127" s="12" t="s">
        <v>608</v>
      </c>
      <c r="H2127" s="1" t="s">
        <v>26</v>
      </c>
      <c r="I2127">
        <v>3</v>
      </c>
      <c r="J2127">
        <v>9</v>
      </c>
      <c r="K2127">
        <v>2003</v>
      </c>
      <c r="L2127" s="1" t="s">
        <v>239</v>
      </c>
      <c r="M2127">
        <v>80</v>
      </c>
      <c r="N2127" s="1" t="s">
        <v>984</v>
      </c>
      <c r="O2127" s="1" t="s">
        <v>378</v>
      </c>
      <c r="P2127" s="1" t="s">
        <v>157</v>
      </c>
      <c r="Q2127" s="1" t="s">
        <v>379</v>
      </c>
      <c r="R2127" s="1" t="s">
        <v>32</v>
      </c>
      <c r="S2127" s="1" t="s">
        <v>380</v>
      </c>
      <c r="T2127" s="1" t="s">
        <v>160</v>
      </c>
      <c r="U2127" s="1" t="s">
        <v>381</v>
      </c>
      <c r="V2127" s="1" t="s">
        <v>36</v>
      </c>
      <c r="W2127" s="1" t="s">
        <v>37</v>
      </c>
      <c r="X2127" s="1" t="s">
        <v>365</v>
      </c>
      <c r="Y2127" s="1" t="s">
        <v>382</v>
      </c>
      <c r="Z2127" s="1" t="str">
        <f>TRIM(_xlfn.CONCAT(sales_data_sample[[#This Row],[CONTACTFIRSTNAME]],", ",sales_data_sample[[#This Row],[CONTACTLASTNAME]]))</f>
        <v>Allen, Nelson</v>
      </c>
      <c r="AA2127" s="1" t="s">
        <v>40</v>
      </c>
    </row>
    <row r="2128" spans="1:27" x14ac:dyDescent="0.25">
      <c r="A2128" s="10">
        <v>10159</v>
      </c>
      <c r="B2128" s="9">
        <v>23</v>
      </c>
      <c r="C2128" s="9">
        <v>671</v>
      </c>
      <c r="D2128" s="9">
        <f>PRODUCT(sales_data_sample[[#This Row],[QUANTITYORDERED]],sales_data_sample[[#This Row],[PRICEEACH]])</f>
        <v>15433</v>
      </c>
      <c r="E2128" s="9">
        <f>IF(OR(sales_data_sample[[#This Row],[STATUS]]="Shipped",sales_data_sample[[#This Row],[STATUS]]="Resolved"),sales_data_sample[[#This Row],[SALES]],0)</f>
        <v>15433</v>
      </c>
      <c r="F2128" s="10">
        <v>6</v>
      </c>
      <c r="G2128" s="12" t="s">
        <v>69</v>
      </c>
      <c r="H2128" s="1" t="s">
        <v>26</v>
      </c>
      <c r="I2128">
        <v>4</v>
      </c>
      <c r="J2128">
        <v>10</v>
      </c>
      <c r="K2128">
        <v>2003</v>
      </c>
      <c r="L2128" s="1" t="s">
        <v>239</v>
      </c>
      <c r="M2128">
        <v>80</v>
      </c>
      <c r="N2128" s="1" t="s">
        <v>984</v>
      </c>
      <c r="O2128" s="1" t="s">
        <v>70</v>
      </c>
      <c r="P2128" s="1" t="s">
        <v>71</v>
      </c>
      <c r="Q2128" s="1" t="s">
        <v>72</v>
      </c>
      <c r="R2128" s="1" t="s">
        <v>32</v>
      </c>
      <c r="S2128" s="1" t="s">
        <v>73</v>
      </c>
      <c r="T2128" s="1" t="s">
        <v>65</v>
      </c>
      <c r="U2128" s="1" t="s">
        <v>32</v>
      </c>
      <c r="V2128" s="1" t="s">
        <v>36</v>
      </c>
      <c r="W2128" s="1" t="s">
        <v>37</v>
      </c>
      <c r="X2128" s="1" t="s">
        <v>74</v>
      </c>
      <c r="Y2128" s="1" t="s">
        <v>68</v>
      </c>
      <c r="Z2128" s="1" t="str">
        <f>TRIM(_xlfn.CONCAT(sales_data_sample[[#This Row],[CONTACTFIRSTNAME]],", ",sales_data_sample[[#This Row],[CONTACTLASTNAME]]))</f>
        <v>Julie, Brown</v>
      </c>
      <c r="AA2128" s="1" t="s">
        <v>40</v>
      </c>
    </row>
    <row r="2129" spans="1:27" x14ac:dyDescent="0.25">
      <c r="A2129">
        <v>10169</v>
      </c>
      <c r="B2129">
        <v>24</v>
      </c>
      <c r="C2129">
        <v>9458</v>
      </c>
      <c r="D2129">
        <f>PRODUCT(sales_data_sample[[#This Row],[QUANTITYORDERED]],sales_data_sample[[#This Row],[PRICEEACH]])</f>
        <v>226992</v>
      </c>
      <c r="E2129" s="9">
        <f>IF(OR(sales_data_sample[[#This Row],[STATUS]]="Shipped",sales_data_sample[[#This Row],[STATUS]]="Resolved"),sales_data_sample[[#This Row],[SALES]],0)</f>
        <v>226992</v>
      </c>
      <c r="F2129">
        <v>6</v>
      </c>
      <c r="G2129" s="12" t="s">
        <v>609</v>
      </c>
      <c r="H2129" s="1" t="s">
        <v>26</v>
      </c>
      <c r="I2129">
        <v>4</v>
      </c>
      <c r="J2129">
        <v>11</v>
      </c>
      <c r="K2129">
        <v>2003</v>
      </c>
      <c r="L2129" s="1" t="s">
        <v>239</v>
      </c>
      <c r="M2129">
        <v>80</v>
      </c>
      <c r="N2129" s="1" t="s">
        <v>984</v>
      </c>
      <c r="O2129" s="1" t="s">
        <v>385</v>
      </c>
      <c r="P2129" s="1" t="s">
        <v>386</v>
      </c>
      <c r="Q2129" s="1" t="s">
        <v>387</v>
      </c>
      <c r="R2129" s="1" t="s">
        <v>388</v>
      </c>
      <c r="S2129" s="1" t="s">
        <v>389</v>
      </c>
      <c r="T2129" s="1" t="s">
        <v>206</v>
      </c>
      <c r="U2129" s="1" t="s">
        <v>390</v>
      </c>
      <c r="V2129" s="1" t="s">
        <v>120</v>
      </c>
      <c r="W2129" s="1" t="s">
        <v>121</v>
      </c>
      <c r="X2129" s="1" t="s">
        <v>391</v>
      </c>
      <c r="Y2129" s="1" t="s">
        <v>392</v>
      </c>
      <c r="Z2129" s="1" t="str">
        <f>TRIM(_xlfn.CONCAT(sales_data_sample[[#This Row],[CONTACTFIRSTNAME]],", ",sales_data_sample[[#This Row],[CONTACTLASTNAME]]))</f>
        <v>Anna, O'Hara</v>
      </c>
      <c r="AA2129" s="1" t="s">
        <v>40</v>
      </c>
    </row>
    <row r="2130" spans="1:27" x14ac:dyDescent="0.25">
      <c r="A2130" s="10">
        <v>10180</v>
      </c>
      <c r="B2130" s="9">
        <v>28</v>
      </c>
      <c r="C2130" s="9">
        <v>7114</v>
      </c>
      <c r="D2130" s="9">
        <f>PRODUCT(sales_data_sample[[#This Row],[QUANTITYORDERED]],sales_data_sample[[#This Row],[PRICEEACH]])</f>
        <v>199192</v>
      </c>
      <c r="E2130" s="9">
        <f>IF(OR(sales_data_sample[[#This Row],[STATUS]]="Shipped",sales_data_sample[[#This Row],[STATUS]]="Resolved"),sales_data_sample[[#This Row],[SALES]],0)</f>
        <v>199192</v>
      </c>
      <c r="F2130" s="10">
        <v>1</v>
      </c>
      <c r="G2130" s="12" t="s">
        <v>83</v>
      </c>
      <c r="H2130" s="1" t="s">
        <v>26</v>
      </c>
      <c r="I2130">
        <v>4</v>
      </c>
      <c r="J2130">
        <v>11</v>
      </c>
      <c r="K2130">
        <v>2003</v>
      </c>
      <c r="L2130" s="1" t="s">
        <v>239</v>
      </c>
      <c r="M2130">
        <v>80</v>
      </c>
      <c r="N2130" s="1" t="s">
        <v>984</v>
      </c>
      <c r="O2130" s="1" t="s">
        <v>84</v>
      </c>
      <c r="P2130" s="1" t="s">
        <v>85</v>
      </c>
      <c r="Q2130" s="1" t="s">
        <v>86</v>
      </c>
      <c r="R2130" s="1" t="s">
        <v>32</v>
      </c>
      <c r="S2130" s="1" t="s">
        <v>87</v>
      </c>
      <c r="T2130" s="1" t="s">
        <v>32</v>
      </c>
      <c r="U2130" s="1" t="s">
        <v>88</v>
      </c>
      <c r="V2130" s="1" t="s">
        <v>47</v>
      </c>
      <c r="W2130" s="1" t="s">
        <v>48</v>
      </c>
      <c r="X2130" s="1" t="s">
        <v>89</v>
      </c>
      <c r="Y2130" s="1" t="s">
        <v>90</v>
      </c>
      <c r="Z2130" s="1" t="str">
        <f>TRIM(_xlfn.CONCAT(sales_data_sample[[#This Row],[CONTACTFIRSTNAME]],", ",sales_data_sample[[#This Row],[CONTACTLASTNAME]]))</f>
        <v>Martine, Rance</v>
      </c>
      <c r="AA2130" s="1" t="s">
        <v>40</v>
      </c>
    </row>
    <row r="2131" spans="1:27" x14ac:dyDescent="0.25">
      <c r="A2131" s="10">
        <v>10191</v>
      </c>
      <c r="B2131" s="9">
        <v>44</v>
      </c>
      <c r="C2131" s="9">
        <v>6629</v>
      </c>
      <c r="D2131" s="9">
        <f>PRODUCT(sales_data_sample[[#This Row],[QUANTITYORDERED]],sales_data_sample[[#This Row],[PRICEEACH]])</f>
        <v>291676</v>
      </c>
      <c r="E2131" s="9">
        <f>IF(OR(sales_data_sample[[#This Row],[STATUS]]="Shipped",sales_data_sample[[#This Row],[STATUS]]="Resolved"),sales_data_sample[[#This Row],[SALES]],0)</f>
        <v>291676</v>
      </c>
      <c r="F2131" s="10">
        <v>7</v>
      </c>
      <c r="G2131" s="12" t="s">
        <v>611</v>
      </c>
      <c r="H2131" s="1" t="s">
        <v>26</v>
      </c>
      <c r="I2131">
        <v>4</v>
      </c>
      <c r="J2131">
        <v>11</v>
      </c>
      <c r="K2131">
        <v>2003</v>
      </c>
      <c r="L2131" s="1" t="s">
        <v>239</v>
      </c>
      <c r="M2131">
        <v>80</v>
      </c>
      <c r="N2131" s="1" t="s">
        <v>984</v>
      </c>
      <c r="O2131" s="1" t="s">
        <v>612</v>
      </c>
      <c r="P2131" s="1" t="s">
        <v>613</v>
      </c>
      <c r="Q2131" s="1" t="s">
        <v>614</v>
      </c>
      <c r="R2131" s="1" t="s">
        <v>32</v>
      </c>
      <c r="S2131" s="1" t="s">
        <v>615</v>
      </c>
      <c r="T2131" s="1" t="s">
        <v>32</v>
      </c>
      <c r="U2131" s="1" t="s">
        <v>616</v>
      </c>
      <c r="V2131" s="1" t="s">
        <v>617</v>
      </c>
      <c r="W2131" s="1" t="s">
        <v>48</v>
      </c>
      <c r="X2131" s="1" t="s">
        <v>618</v>
      </c>
      <c r="Y2131" s="1" t="s">
        <v>619</v>
      </c>
      <c r="Z2131" s="1" t="str">
        <f>TRIM(_xlfn.CONCAT(sales_data_sample[[#This Row],[CONTACTFIRSTNAME]],", ",sales_data_sample[[#This Row],[CONTACTLASTNAME]]))</f>
        <v>Henriette, Pfalzheim</v>
      </c>
      <c r="AA2131" s="1" t="s">
        <v>40</v>
      </c>
    </row>
    <row r="2132" spans="1:27" x14ac:dyDescent="0.25">
      <c r="A2132" s="10">
        <v>10211</v>
      </c>
      <c r="B2132" s="9">
        <v>22</v>
      </c>
      <c r="C2132" s="9">
        <v>9216</v>
      </c>
      <c r="D2132" s="9">
        <f>PRODUCT(sales_data_sample[[#This Row],[QUANTITYORDERED]],sales_data_sample[[#This Row],[PRICEEACH]])</f>
        <v>202752</v>
      </c>
      <c r="E2132" s="9">
        <f>IF(OR(sales_data_sample[[#This Row],[STATUS]]="Shipped",sales_data_sample[[#This Row],[STATUS]]="Resolved"),sales_data_sample[[#This Row],[SALES]],0)</f>
        <v>202752</v>
      </c>
      <c r="F2132" s="10">
        <v>6</v>
      </c>
      <c r="G2132" s="12" t="s">
        <v>105</v>
      </c>
      <c r="H2132" s="1" t="s">
        <v>26</v>
      </c>
      <c r="I2132">
        <v>1</v>
      </c>
      <c r="J2132">
        <v>1</v>
      </c>
      <c r="K2132">
        <v>2004</v>
      </c>
      <c r="L2132" s="1" t="s">
        <v>239</v>
      </c>
      <c r="M2132">
        <v>80</v>
      </c>
      <c r="N2132" s="1" t="s">
        <v>984</v>
      </c>
      <c r="O2132" s="1" t="s">
        <v>106</v>
      </c>
      <c r="P2132" s="1" t="s">
        <v>107</v>
      </c>
      <c r="Q2132" s="1" t="s">
        <v>108</v>
      </c>
      <c r="R2132" s="1" t="s">
        <v>32</v>
      </c>
      <c r="S2132" s="1" t="s">
        <v>55</v>
      </c>
      <c r="T2132" s="1" t="s">
        <v>32</v>
      </c>
      <c r="U2132" s="1" t="s">
        <v>109</v>
      </c>
      <c r="V2132" s="1" t="s">
        <v>47</v>
      </c>
      <c r="W2132" s="1" t="s">
        <v>48</v>
      </c>
      <c r="X2132" s="1" t="s">
        <v>110</v>
      </c>
      <c r="Y2132" s="1" t="s">
        <v>111</v>
      </c>
      <c r="Z2132" s="1" t="str">
        <f>TRIM(_xlfn.CONCAT(sales_data_sample[[#This Row],[CONTACTFIRSTNAME]],", ",sales_data_sample[[#This Row],[CONTACTLASTNAME]]))</f>
        <v>Dominique, Perrier</v>
      </c>
      <c r="AA2132" s="1" t="s">
        <v>40</v>
      </c>
    </row>
    <row r="2133" spans="1:27" x14ac:dyDescent="0.25">
      <c r="A2133" s="10">
        <v>10225</v>
      </c>
      <c r="B2133" s="9">
        <v>46</v>
      </c>
      <c r="C2133" s="9">
        <v>7033</v>
      </c>
      <c r="D2133" s="9">
        <f>PRODUCT(sales_data_sample[[#This Row],[QUANTITYORDERED]],sales_data_sample[[#This Row],[PRICEEACH]])</f>
        <v>323518</v>
      </c>
      <c r="E2133" s="9">
        <f>IF(OR(sales_data_sample[[#This Row],[STATUS]]="Shipped",sales_data_sample[[#This Row],[STATUS]]="Resolved"),sales_data_sample[[#This Row],[SALES]],0)</f>
        <v>323518</v>
      </c>
      <c r="F2133" s="10">
        <v>13</v>
      </c>
      <c r="G2133" s="12" t="s">
        <v>621</v>
      </c>
      <c r="H2133" s="1" t="s">
        <v>26</v>
      </c>
      <c r="I2133">
        <v>1</v>
      </c>
      <c r="J2133">
        <v>2</v>
      </c>
      <c r="K2133">
        <v>2004</v>
      </c>
      <c r="L2133" s="1" t="s">
        <v>239</v>
      </c>
      <c r="M2133">
        <v>80</v>
      </c>
      <c r="N2133" s="1" t="s">
        <v>984</v>
      </c>
      <c r="O2133" s="1" t="s">
        <v>622</v>
      </c>
      <c r="P2133" s="1" t="s">
        <v>623</v>
      </c>
      <c r="Q2133" s="1" t="s">
        <v>624</v>
      </c>
      <c r="R2133" s="1" t="s">
        <v>32</v>
      </c>
      <c r="S2133" s="1" t="s">
        <v>625</v>
      </c>
      <c r="T2133" s="1" t="s">
        <v>32</v>
      </c>
      <c r="U2133" s="1" t="s">
        <v>626</v>
      </c>
      <c r="V2133" s="1" t="s">
        <v>627</v>
      </c>
      <c r="W2133" s="1" t="s">
        <v>48</v>
      </c>
      <c r="X2133" s="1" t="s">
        <v>628</v>
      </c>
      <c r="Y2133" s="1" t="s">
        <v>130</v>
      </c>
      <c r="Z2133" s="1" t="str">
        <f>TRIM(_xlfn.CONCAT(sales_data_sample[[#This Row],[CONTACTFIRSTNAME]],", ",sales_data_sample[[#This Row],[CONTACTLASTNAME]]))</f>
        <v>Michael, Holz</v>
      </c>
      <c r="AA2133" s="1" t="s">
        <v>59</v>
      </c>
    </row>
    <row r="2134" spans="1:27" x14ac:dyDescent="0.25">
      <c r="A2134" s="10">
        <v>10238</v>
      </c>
      <c r="B2134" s="9">
        <v>22</v>
      </c>
      <c r="C2134" s="9">
        <v>9377</v>
      </c>
      <c r="D2134" s="9">
        <f>PRODUCT(sales_data_sample[[#This Row],[QUANTITYORDERED]],sales_data_sample[[#This Row],[PRICEEACH]])</f>
        <v>206294</v>
      </c>
      <c r="E2134" s="9">
        <f>IF(OR(sales_data_sample[[#This Row],[STATUS]]="Shipped",sales_data_sample[[#This Row],[STATUS]]="Resolved"),sales_data_sample[[#This Row],[SALES]],0)</f>
        <v>206294</v>
      </c>
      <c r="F2134" s="10">
        <v>7</v>
      </c>
      <c r="G2134" s="12" t="s">
        <v>629</v>
      </c>
      <c r="H2134" s="1" t="s">
        <v>26</v>
      </c>
      <c r="I2134">
        <v>2</v>
      </c>
      <c r="J2134">
        <v>4</v>
      </c>
      <c r="K2134">
        <v>2004</v>
      </c>
      <c r="L2134" s="1" t="s">
        <v>239</v>
      </c>
      <c r="M2134">
        <v>80</v>
      </c>
      <c r="N2134" s="1" t="s">
        <v>984</v>
      </c>
      <c r="O2134" s="1" t="s">
        <v>437</v>
      </c>
      <c r="P2134" s="1" t="s">
        <v>438</v>
      </c>
      <c r="Q2134" s="1" t="s">
        <v>439</v>
      </c>
      <c r="R2134" s="1" t="s">
        <v>32</v>
      </c>
      <c r="S2134" s="1" t="s">
        <v>440</v>
      </c>
      <c r="T2134" s="1" t="s">
        <v>32</v>
      </c>
      <c r="U2134" s="1" t="s">
        <v>441</v>
      </c>
      <c r="V2134" s="1" t="s">
        <v>442</v>
      </c>
      <c r="W2134" s="1" t="s">
        <v>48</v>
      </c>
      <c r="X2134" s="1" t="s">
        <v>443</v>
      </c>
      <c r="Y2134" s="1" t="s">
        <v>444</v>
      </c>
      <c r="Z2134" s="1" t="str">
        <f>TRIM(_xlfn.CONCAT(sales_data_sample[[#This Row],[CONTACTFIRSTNAME]],", ",sales_data_sample[[#This Row],[CONTACTLASTNAME]]))</f>
        <v>Jytte, Petersen</v>
      </c>
      <c r="AA2134" s="1" t="s">
        <v>40</v>
      </c>
    </row>
    <row r="2135" spans="1:27" x14ac:dyDescent="0.25">
      <c r="A2135" s="10">
        <v>10252</v>
      </c>
      <c r="B2135" s="9">
        <v>38</v>
      </c>
      <c r="C2135" s="9">
        <v>8731</v>
      </c>
      <c r="D2135" s="9">
        <f>PRODUCT(sales_data_sample[[#This Row],[QUANTITYORDERED]],sales_data_sample[[#This Row],[PRICEEACH]])</f>
        <v>331778</v>
      </c>
      <c r="E2135" s="9">
        <f>IF(OR(sales_data_sample[[#This Row],[STATUS]]="Shipped",sales_data_sample[[#This Row],[STATUS]]="Resolved"),sales_data_sample[[#This Row],[SALES]],0)</f>
        <v>331778</v>
      </c>
      <c r="F2135" s="10">
        <v>3</v>
      </c>
      <c r="G2135" s="12" t="s">
        <v>922</v>
      </c>
      <c r="H2135" s="1" t="s">
        <v>26</v>
      </c>
      <c r="I2135">
        <v>2</v>
      </c>
      <c r="J2135">
        <v>5</v>
      </c>
      <c r="K2135">
        <v>2004</v>
      </c>
      <c r="L2135" s="1" t="s">
        <v>239</v>
      </c>
      <c r="M2135">
        <v>80</v>
      </c>
      <c r="N2135" s="1" t="s">
        <v>984</v>
      </c>
      <c r="O2135" s="1" t="s">
        <v>106</v>
      </c>
      <c r="P2135" s="1" t="s">
        <v>107</v>
      </c>
      <c r="Q2135" s="1" t="s">
        <v>108</v>
      </c>
      <c r="R2135" s="1" t="s">
        <v>32</v>
      </c>
      <c r="S2135" s="1" t="s">
        <v>55</v>
      </c>
      <c r="T2135" s="1" t="s">
        <v>32</v>
      </c>
      <c r="U2135" s="1" t="s">
        <v>109</v>
      </c>
      <c r="V2135" s="1" t="s">
        <v>47</v>
      </c>
      <c r="W2135" s="1" t="s">
        <v>48</v>
      </c>
      <c r="X2135" s="1" t="s">
        <v>110</v>
      </c>
      <c r="Y2135" s="1" t="s">
        <v>111</v>
      </c>
      <c r="Z2135" s="1" t="str">
        <f>TRIM(_xlfn.CONCAT(sales_data_sample[[#This Row],[CONTACTFIRSTNAME]],", ",sales_data_sample[[#This Row],[CONTACTLASTNAME]]))</f>
        <v>Dominique, Perrier</v>
      </c>
      <c r="AA2135" s="1" t="s">
        <v>59</v>
      </c>
    </row>
    <row r="2136" spans="1:27" x14ac:dyDescent="0.25">
      <c r="A2136" s="10">
        <v>10264</v>
      </c>
      <c r="B2136" s="9">
        <v>47</v>
      </c>
      <c r="C2136" s="9">
        <v>8327</v>
      </c>
      <c r="D2136" s="9">
        <f>PRODUCT(sales_data_sample[[#This Row],[QUANTITYORDERED]],sales_data_sample[[#This Row],[PRICEEACH]])</f>
        <v>391369</v>
      </c>
      <c r="E2136" s="9">
        <f>IF(OR(sales_data_sample[[#This Row],[STATUS]]="Shipped",sales_data_sample[[#This Row],[STATUS]]="Resolved"),sales_data_sample[[#This Row],[SALES]],0)</f>
        <v>391369</v>
      </c>
      <c r="F2136" s="10">
        <v>1</v>
      </c>
      <c r="G2136" s="12" t="s">
        <v>932</v>
      </c>
      <c r="H2136" s="1" t="s">
        <v>26</v>
      </c>
      <c r="I2136">
        <v>2</v>
      </c>
      <c r="J2136">
        <v>6</v>
      </c>
      <c r="K2136">
        <v>2004</v>
      </c>
      <c r="L2136" s="1" t="s">
        <v>239</v>
      </c>
      <c r="M2136">
        <v>80</v>
      </c>
      <c r="N2136" s="1" t="s">
        <v>984</v>
      </c>
      <c r="O2136" s="1" t="s">
        <v>516</v>
      </c>
      <c r="P2136" s="1" t="s">
        <v>517</v>
      </c>
      <c r="Q2136" s="1" t="s">
        <v>518</v>
      </c>
      <c r="R2136" s="1" t="s">
        <v>32</v>
      </c>
      <c r="S2136" s="1" t="s">
        <v>519</v>
      </c>
      <c r="T2136" s="1" t="s">
        <v>160</v>
      </c>
      <c r="U2136" s="1" t="s">
        <v>520</v>
      </c>
      <c r="V2136" s="1" t="s">
        <v>36</v>
      </c>
      <c r="W2136" s="1" t="s">
        <v>37</v>
      </c>
      <c r="X2136" s="1" t="s">
        <v>521</v>
      </c>
      <c r="Y2136" s="1" t="s">
        <v>82</v>
      </c>
      <c r="Z2136" s="1" t="str">
        <f>TRIM(_xlfn.CONCAT(sales_data_sample[[#This Row],[CONTACTFIRSTNAME]],", ",sales_data_sample[[#This Row],[CONTACTLASTNAME]]))</f>
        <v>Juri, Yoshido</v>
      </c>
      <c r="AA2136" s="1" t="s">
        <v>59</v>
      </c>
    </row>
    <row r="2137" spans="1:27" x14ac:dyDescent="0.25">
      <c r="A2137" s="10">
        <v>10276</v>
      </c>
      <c r="B2137" s="9">
        <v>48</v>
      </c>
      <c r="C2137" s="9">
        <v>7518</v>
      </c>
      <c r="D2137" s="9">
        <f>PRODUCT(sales_data_sample[[#This Row],[QUANTITYORDERED]],sales_data_sample[[#This Row],[PRICEEACH]])</f>
        <v>360864</v>
      </c>
      <c r="E2137" s="9">
        <f>IF(OR(sales_data_sample[[#This Row],[STATUS]]="Shipped",sales_data_sample[[#This Row],[STATUS]]="Resolved"),sales_data_sample[[#This Row],[SALES]],0)</f>
        <v>360864</v>
      </c>
      <c r="F2137" s="10">
        <v>7</v>
      </c>
      <c r="G2137" s="12" t="s">
        <v>639</v>
      </c>
      <c r="H2137" s="1" t="s">
        <v>26</v>
      </c>
      <c r="I2137">
        <v>3</v>
      </c>
      <c r="J2137">
        <v>8</v>
      </c>
      <c r="K2137">
        <v>2004</v>
      </c>
      <c r="L2137" s="1" t="s">
        <v>239</v>
      </c>
      <c r="M2137">
        <v>80</v>
      </c>
      <c r="N2137" s="1" t="s">
        <v>984</v>
      </c>
      <c r="O2137" s="1" t="s">
        <v>640</v>
      </c>
      <c r="P2137" s="1" t="s">
        <v>641</v>
      </c>
      <c r="Q2137" s="1" t="s">
        <v>642</v>
      </c>
      <c r="R2137" s="1" t="s">
        <v>32</v>
      </c>
      <c r="S2137" s="1" t="s">
        <v>380</v>
      </c>
      <c r="T2137" s="1" t="s">
        <v>160</v>
      </c>
      <c r="U2137" s="1" t="s">
        <v>381</v>
      </c>
      <c r="V2137" s="1" t="s">
        <v>36</v>
      </c>
      <c r="W2137" s="1" t="s">
        <v>37</v>
      </c>
      <c r="X2137" s="1" t="s">
        <v>643</v>
      </c>
      <c r="Y2137" s="1" t="s">
        <v>644</v>
      </c>
      <c r="Z2137" s="1" t="str">
        <f>TRIM(_xlfn.CONCAT(sales_data_sample[[#This Row],[CONTACTFIRSTNAME]],", ",sales_data_sample[[#This Row],[CONTACTLASTNAME]]))</f>
        <v>Miguel, Barajas</v>
      </c>
      <c r="AA2137" s="1" t="s">
        <v>59</v>
      </c>
    </row>
    <row r="2138" spans="1:27" x14ac:dyDescent="0.25">
      <c r="A2138" s="10">
        <v>10287</v>
      </c>
      <c r="B2138" s="9">
        <v>40</v>
      </c>
      <c r="C2138" s="9">
        <v>8812</v>
      </c>
      <c r="D2138" s="9">
        <f>PRODUCT(sales_data_sample[[#This Row],[QUANTITYORDERED]],sales_data_sample[[#This Row],[PRICEEACH]])</f>
        <v>352480</v>
      </c>
      <c r="E2138" s="9">
        <f>IF(OR(sales_data_sample[[#This Row],[STATUS]]="Shipped",sales_data_sample[[#This Row],[STATUS]]="Resolved"),sales_data_sample[[#This Row],[SALES]],0)</f>
        <v>352480</v>
      </c>
      <c r="F2138" s="10">
        <v>16</v>
      </c>
      <c r="G2138" s="12" t="s">
        <v>645</v>
      </c>
      <c r="H2138" s="1" t="s">
        <v>26</v>
      </c>
      <c r="I2138">
        <v>3</v>
      </c>
      <c r="J2138">
        <v>8</v>
      </c>
      <c r="K2138">
        <v>2004</v>
      </c>
      <c r="L2138" s="1" t="s">
        <v>239</v>
      </c>
      <c r="M2138">
        <v>80</v>
      </c>
      <c r="N2138" s="1" t="s">
        <v>984</v>
      </c>
      <c r="O2138" s="1" t="s">
        <v>622</v>
      </c>
      <c r="P2138" s="1" t="s">
        <v>623</v>
      </c>
      <c r="Q2138" s="1" t="s">
        <v>624</v>
      </c>
      <c r="R2138" s="1" t="s">
        <v>32</v>
      </c>
      <c r="S2138" s="1" t="s">
        <v>625</v>
      </c>
      <c r="T2138" s="1" t="s">
        <v>32</v>
      </c>
      <c r="U2138" s="1" t="s">
        <v>626</v>
      </c>
      <c r="V2138" s="1" t="s">
        <v>627</v>
      </c>
      <c r="W2138" s="1" t="s">
        <v>48</v>
      </c>
      <c r="X2138" s="1" t="s">
        <v>628</v>
      </c>
      <c r="Y2138" s="1" t="s">
        <v>130</v>
      </c>
      <c r="Z2138" s="1" t="str">
        <f>TRIM(_xlfn.CONCAT(sales_data_sample[[#This Row],[CONTACTFIRSTNAME]],", ",sales_data_sample[[#This Row],[CONTACTLASTNAME]]))</f>
        <v>Michael, Holz</v>
      </c>
      <c r="AA2138" s="1" t="s">
        <v>59</v>
      </c>
    </row>
    <row r="2139" spans="1:27" x14ac:dyDescent="0.25">
      <c r="A2139" s="10">
        <v>10299</v>
      </c>
      <c r="B2139" s="9">
        <v>32</v>
      </c>
      <c r="C2139" s="9">
        <v>8084</v>
      </c>
      <c r="D2139" s="9">
        <f>PRODUCT(sales_data_sample[[#This Row],[QUANTITYORDERED]],sales_data_sample[[#This Row],[PRICEEACH]])</f>
        <v>258688</v>
      </c>
      <c r="E2139" s="9">
        <f>IF(OR(sales_data_sample[[#This Row],[STATUS]]="Shipped",sales_data_sample[[#This Row],[STATUS]]="Resolved"),sales_data_sample[[#This Row],[SALES]],0)</f>
        <v>258688</v>
      </c>
      <c r="F2139" s="10">
        <v>1</v>
      </c>
      <c r="G2139" s="12" t="s">
        <v>164</v>
      </c>
      <c r="H2139" s="1" t="s">
        <v>26</v>
      </c>
      <c r="I2139">
        <v>3</v>
      </c>
      <c r="J2139">
        <v>9</v>
      </c>
      <c r="K2139">
        <v>2004</v>
      </c>
      <c r="L2139" s="1" t="s">
        <v>239</v>
      </c>
      <c r="M2139">
        <v>80</v>
      </c>
      <c r="N2139" s="1" t="s">
        <v>984</v>
      </c>
      <c r="O2139" s="1" t="s">
        <v>165</v>
      </c>
      <c r="P2139" s="1" t="s">
        <v>166</v>
      </c>
      <c r="Q2139" s="1" t="s">
        <v>167</v>
      </c>
      <c r="R2139" s="1" t="s">
        <v>32</v>
      </c>
      <c r="S2139" s="1" t="s">
        <v>168</v>
      </c>
      <c r="T2139" s="1" t="s">
        <v>32</v>
      </c>
      <c r="U2139" s="1" t="s">
        <v>169</v>
      </c>
      <c r="V2139" s="1" t="s">
        <v>170</v>
      </c>
      <c r="W2139" s="1" t="s">
        <v>48</v>
      </c>
      <c r="X2139" s="1" t="s">
        <v>171</v>
      </c>
      <c r="Y2139" s="1" t="s">
        <v>172</v>
      </c>
      <c r="Z2139" s="1" t="str">
        <f>TRIM(_xlfn.CONCAT(sales_data_sample[[#This Row],[CONTACTFIRSTNAME]],", ",sales_data_sample[[#This Row],[CONTACTLASTNAME]]))</f>
        <v>Matti, Karttunen</v>
      </c>
      <c r="AA2139" s="1" t="s">
        <v>40</v>
      </c>
    </row>
    <row r="2140" spans="1:27" x14ac:dyDescent="0.25">
      <c r="A2140" s="10">
        <v>10310</v>
      </c>
      <c r="B2140" s="9">
        <v>49</v>
      </c>
      <c r="C2140" s="9">
        <v>9701</v>
      </c>
      <c r="D2140" s="9">
        <f>PRODUCT(sales_data_sample[[#This Row],[QUANTITYORDERED]],sales_data_sample[[#This Row],[PRICEEACH]])</f>
        <v>475349</v>
      </c>
      <c r="E2140" s="9">
        <f>IF(OR(sales_data_sample[[#This Row],[STATUS]]="Shipped",sales_data_sample[[#This Row],[STATUS]]="Resolved"),sales_data_sample[[#This Row],[SALES]],0)</f>
        <v>475349</v>
      </c>
      <c r="F2140" s="10">
        <v>14</v>
      </c>
      <c r="G2140" s="12" t="s">
        <v>653</v>
      </c>
      <c r="H2140" s="1" t="s">
        <v>26</v>
      </c>
      <c r="I2140">
        <v>4</v>
      </c>
      <c r="J2140">
        <v>10</v>
      </c>
      <c r="K2140">
        <v>2004</v>
      </c>
      <c r="L2140" s="1" t="s">
        <v>239</v>
      </c>
      <c r="M2140">
        <v>80</v>
      </c>
      <c r="N2140" s="1" t="s">
        <v>984</v>
      </c>
      <c r="O2140" s="1" t="s">
        <v>612</v>
      </c>
      <c r="P2140" s="1" t="s">
        <v>613</v>
      </c>
      <c r="Q2140" s="1" t="s">
        <v>614</v>
      </c>
      <c r="R2140" s="1" t="s">
        <v>32</v>
      </c>
      <c r="S2140" s="1" t="s">
        <v>615</v>
      </c>
      <c r="T2140" s="1" t="s">
        <v>32</v>
      </c>
      <c r="U2140" s="1" t="s">
        <v>616</v>
      </c>
      <c r="V2140" s="1" t="s">
        <v>617</v>
      </c>
      <c r="W2140" s="1" t="s">
        <v>48</v>
      </c>
      <c r="X2140" s="1" t="s">
        <v>618</v>
      </c>
      <c r="Y2140" s="1" t="s">
        <v>619</v>
      </c>
      <c r="Z2140" s="1" t="str">
        <f>TRIM(_xlfn.CONCAT(sales_data_sample[[#This Row],[CONTACTFIRSTNAME]],", ",sales_data_sample[[#This Row],[CONTACTLASTNAME]]))</f>
        <v>Henriette, Pfalzheim</v>
      </c>
      <c r="AA2140" s="1" t="s">
        <v>59</v>
      </c>
    </row>
    <row r="2141" spans="1:27" x14ac:dyDescent="0.25">
      <c r="A2141">
        <v>10319</v>
      </c>
      <c r="B2141">
        <v>43</v>
      </c>
      <c r="C2141">
        <v>8569</v>
      </c>
      <c r="D2141">
        <f>PRODUCT(sales_data_sample[[#This Row],[QUANTITYORDERED]],sales_data_sample[[#This Row],[PRICEEACH]])</f>
        <v>368467</v>
      </c>
      <c r="E2141" s="9">
        <f>IF(OR(sales_data_sample[[#This Row],[STATUS]]="Shipped",sales_data_sample[[#This Row],[STATUS]]="Resolved"),sales_data_sample[[#This Row],[SALES]],0)</f>
        <v>368467</v>
      </c>
      <c r="F2141">
        <v>2</v>
      </c>
      <c r="G2141" s="12" t="s">
        <v>654</v>
      </c>
      <c r="H2141" s="1" t="s">
        <v>26</v>
      </c>
      <c r="I2141">
        <v>4</v>
      </c>
      <c r="J2141">
        <v>11</v>
      </c>
      <c r="K2141">
        <v>2004</v>
      </c>
      <c r="L2141" s="1" t="s">
        <v>239</v>
      </c>
      <c r="M2141">
        <v>80</v>
      </c>
      <c r="N2141" s="1" t="s">
        <v>984</v>
      </c>
      <c r="O2141" s="1" t="s">
        <v>717</v>
      </c>
      <c r="P2141" s="1" t="s">
        <v>718</v>
      </c>
      <c r="Q2141" s="1" t="s">
        <v>719</v>
      </c>
      <c r="R2141" s="1" t="s">
        <v>720</v>
      </c>
      <c r="S2141" s="1" t="s">
        <v>33</v>
      </c>
      <c r="T2141" s="1" t="s">
        <v>34</v>
      </c>
      <c r="U2141" s="1" t="s">
        <v>35</v>
      </c>
      <c r="V2141" s="1" t="s">
        <v>36</v>
      </c>
      <c r="W2141" s="1" t="s">
        <v>37</v>
      </c>
      <c r="X2141" s="1" t="s">
        <v>721</v>
      </c>
      <c r="Y2141" s="1" t="s">
        <v>722</v>
      </c>
      <c r="Z2141" s="1" t="str">
        <f>TRIM(_xlfn.CONCAT(sales_data_sample[[#This Row],[CONTACTFIRSTNAME]],", ",sales_data_sample[[#This Row],[CONTACTLASTNAME]]))</f>
        <v>Kee, Kuo</v>
      </c>
      <c r="AA2141" s="1" t="s">
        <v>59</v>
      </c>
    </row>
    <row r="2142" spans="1:27" x14ac:dyDescent="0.25">
      <c r="A2142" s="10">
        <v>10331</v>
      </c>
      <c r="B2142" s="9">
        <v>41</v>
      </c>
      <c r="C2142" s="9">
        <v>100</v>
      </c>
      <c r="D2142" s="9">
        <f>PRODUCT(sales_data_sample[[#This Row],[QUANTITYORDERED]],sales_data_sample[[#This Row],[PRICEEACH]])</f>
        <v>4100</v>
      </c>
      <c r="E2142" s="9">
        <f>IF(OR(sales_data_sample[[#This Row],[STATUS]]="Shipped",sales_data_sample[[#This Row],[STATUS]]="Resolved"),sales_data_sample[[#This Row],[SALES]],0)</f>
        <v>4100</v>
      </c>
      <c r="F2142" s="10">
        <v>2</v>
      </c>
      <c r="G2142" s="12" t="s">
        <v>793</v>
      </c>
      <c r="H2142" s="1" t="s">
        <v>26</v>
      </c>
      <c r="I2142">
        <v>4</v>
      </c>
      <c r="J2142">
        <v>11</v>
      </c>
      <c r="K2142">
        <v>2004</v>
      </c>
      <c r="L2142" s="1" t="s">
        <v>239</v>
      </c>
      <c r="M2142">
        <v>80</v>
      </c>
      <c r="N2142" s="1" t="s">
        <v>984</v>
      </c>
      <c r="O2142" s="1" t="s">
        <v>415</v>
      </c>
      <c r="P2142" s="1" t="s">
        <v>416</v>
      </c>
      <c r="Q2142" s="1" t="s">
        <v>417</v>
      </c>
      <c r="R2142" s="1" t="s">
        <v>32</v>
      </c>
      <c r="S2142" s="1" t="s">
        <v>286</v>
      </c>
      <c r="T2142" s="1" t="s">
        <v>186</v>
      </c>
      <c r="U2142" s="1" t="s">
        <v>287</v>
      </c>
      <c r="V2142" s="1" t="s">
        <v>36</v>
      </c>
      <c r="W2142" s="1" t="s">
        <v>37</v>
      </c>
      <c r="X2142" s="1" t="s">
        <v>162</v>
      </c>
      <c r="Y2142" s="1" t="s">
        <v>418</v>
      </c>
      <c r="Z2142" s="1" t="str">
        <f>TRIM(_xlfn.CONCAT(sales_data_sample[[#This Row],[CONTACTFIRSTNAME]],", ",sales_data_sample[[#This Row],[CONTACTLASTNAME]]))</f>
        <v>Rosa, Hernandez</v>
      </c>
      <c r="AA2142" s="1" t="s">
        <v>59</v>
      </c>
    </row>
    <row r="2143" spans="1:27" x14ac:dyDescent="0.25">
      <c r="A2143" s="10">
        <v>10343</v>
      </c>
      <c r="B2143" s="9">
        <v>30</v>
      </c>
      <c r="C2143" s="9">
        <v>100</v>
      </c>
      <c r="D2143" s="9">
        <f>PRODUCT(sales_data_sample[[#This Row],[QUANTITYORDERED]],sales_data_sample[[#This Row],[PRICEEACH]])</f>
        <v>3000</v>
      </c>
      <c r="E2143" s="9">
        <f>IF(OR(sales_data_sample[[#This Row],[STATUS]]="Shipped",sales_data_sample[[#This Row],[STATUS]]="Resolved"),sales_data_sample[[#This Row],[SALES]],0)</f>
        <v>3000</v>
      </c>
      <c r="F2143" s="10">
        <v>1</v>
      </c>
      <c r="G2143" s="12" t="s">
        <v>190</v>
      </c>
      <c r="H2143" s="1" t="s">
        <v>26</v>
      </c>
      <c r="I2143">
        <v>4</v>
      </c>
      <c r="J2143">
        <v>11</v>
      </c>
      <c r="K2143">
        <v>2004</v>
      </c>
      <c r="L2143" s="1" t="s">
        <v>239</v>
      </c>
      <c r="M2143">
        <v>80</v>
      </c>
      <c r="N2143" s="1" t="s">
        <v>984</v>
      </c>
      <c r="O2143" s="1" t="s">
        <v>42</v>
      </c>
      <c r="P2143" s="1" t="s">
        <v>43</v>
      </c>
      <c r="Q2143" s="1" t="s">
        <v>44</v>
      </c>
      <c r="R2143" s="1" t="s">
        <v>32</v>
      </c>
      <c r="S2143" s="1" t="s">
        <v>45</v>
      </c>
      <c r="T2143" s="1" t="s">
        <v>32</v>
      </c>
      <c r="U2143" s="1" t="s">
        <v>46</v>
      </c>
      <c r="V2143" s="1" t="s">
        <v>47</v>
      </c>
      <c r="W2143" s="1" t="s">
        <v>48</v>
      </c>
      <c r="X2143" s="1" t="s">
        <v>49</v>
      </c>
      <c r="Y2143" s="1" t="s">
        <v>50</v>
      </c>
      <c r="Z2143" s="1" t="str">
        <f>TRIM(_xlfn.CONCAT(sales_data_sample[[#This Row],[CONTACTFIRSTNAME]],", ",sales_data_sample[[#This Row],[CONTACTLASTNAME]]))</f>
        <v>Paul, Henriot</v>
      </c>
      <c r="AA2143" s="1" t="s">
        <v>59</v>
      </c>
    </row>
    <row r="2144" spans="1:27" x14ac:dyDescent="0.25">
      <c r="A2144" s="10">
        <v>10355</v>
      </c>
      <c r="B2144" s="9">
        <v>28</v>
      </c>
      <c r="C2144" s="9">
        <v>9539</v>
      </c>
      <c r="D2144" s="9">
        <f>PRODUCT(sales_data_sample[[#This Row],[QUANTITYORDERED]],sales_data_sample[[#This Row],[PRICEEACH]])</f>
        <v>267092</v>
      </c>
      <c r="E2144" s="9">
        <f>IF(OR(sales_data_sample[[#This Row],[STATUS]]="Shipped",sales_data_sample[[#This Row],[STATUS]]="Resolved"),sales_data_sample[[#This Row],[SALES]],0)</f>
        <v>267092</v>
      </c>
      <c r="F2144" s="10">
        <v>9</v>
      </c>
      <c r="G2144" s="12" t="s">
        <v>928</v>
      </c>
      <c r="H2144" s="1" t="s">
        <v>26</v>
      </c>
      <c r="I2144">
        <v>4</v>
      </c>
      <c r="J2144">
        <v>12</v>
      </c>
      <c r="K2144">
        <v>2004</v>
      </c>
      <c r="L2144" s="1" t="s">
        <v>239</v>
      </c>
      <c r="M2144">
        <v>80</v>
      </c>
      <c r="N2144" s="1" t="s">
        <v>984</v>
      </c>
      <c r="O2144" s="1" t="s">
        <v>230</v>
      </c>
      <c r="P2144" s="1" t="s">
        <v>231</v>
      </c>
      <c r="Q2144" s="1" t="s">
        <v>232</v>
      </c>
      <c r="R2144" s="1" t="s">
        <v>32</v>
      </c>
      <c r="S2144" s="1" t="s">
        <v>233</v>
      </c>
      <c r="T2144" s="1" t="s">
        <v>32</v>
      </c>
      <c r="U2144" s="1" t="s">
        <v>234</v>
      </c>
      <c r="V2144" s="1" t="s">
        <v>235</v>
      </c>
      <c r="W2144" s="1" t="s">
        <v>48</v>
      </c>
      <c r="X2144" s="1" t="s">
        <v>236</v>
      </c>
      <c r="Y2144" s="1" t="s">
        <v>237</v>
      </c>
      <c r="Z2144" s="1" t="str">
        <f>TRIM(_xlfn.CONCAT(sales_data_sample[[#This Row],[CONTACTFIRSTNAME]],", ",sales_data_sample[[#This Row],[CONTACTLASTNAME]]))</f>
        <v>Diego, Freyre</v>
      </c>
      <c r="AA2144" s="1" t="s">
        <v>40</v>
      </c>
    </row>
    <row r="2145" spans="1:27" x14ac:dyDescent="0.25">
      <c r="A2145" s="10">
        <v>10363</v>
      </c>
      <c r="B2145" s="9">
        <v>43</v>
      </c>
      <c r="C2145" s="9">
        <v>100</v>
      </c>
      <c r="D2145" s="9">
        <f>PRODUCT(sales_data_sample[[#This Row],[QUANTITYORDERED]],sales_data_sample[[#This Row],[PRICEEACH]])</f>
        <v>4300</v>
      </c>
      <c r="E2145" s="9">
        <f>IF(OR(sales_data_sample[[#This Row],[STATUS]]="Shipped",sales_data_sample[[#This Row],[STATUS]]="Resolved"),sales_data_sample[[#This Row],[SALES]],0)</f>
        <v>4300</v>
      </c>
      <c r="F2145" s="10">
        <v>9</v>
      </c>
      <c r="G2145" s="12" t="s">
        <v>655</v>
      </c>
      <c r="H2145" s="1" t="s">
        <v>26</v>
      </c>
      <c r="I2145">
        <v>1</v>
      </c>
      <c r="J2145">
        <v>1</v>
      </c>
      <c r="K2145">
        <v>2005</v>
      </c>
      <c r="L2145" s="1" t="s">
        <v>239</v>
      </c>
      <c r="M2145">
        <v>80</v>
      </c>
      <c r="N2145" s="1" t="s">
        <v>984</v>
      </c>
      <c r="O2145" s="1" t="s">
        <v>656</v>
      </c>
      <c r="P2145" s="1" t="s">
        <v>657</v>
      </c>
      <c r="Q2145" s="1" t="s">
        <v>658</v>
      </c>
      <c r="R2145" s="1" t="s">
        <v>32</v>
      </c>
      <c r="S2145" s="1" t="s">
        <v>659</v>
      </c>
      <c r="T2145" s="1" t="s">
        <v>32</v>
      </c>
      <c r="U2145" s="1" t="s">
        <v>660</v>
      </c>
      <c r="V2145" s="1" t="s">
        <v>170</v>
      </c>
      <c r="W2145" s="1" t="s">
        <v>48</v>
      </c>
      <c r="X2145" s="1" t="s">
        <v>661</v>
      </c>
      <c r="Y2145" s="1" t="s">
        <v>662</v>
      </c>
      <c r="Z2145" s="1" t="str">
        <f>TRIM(_xlfn.CONCAT(sales_data_sample[[#This Row],[CONTACTFIRSTNAME]],", ",sales_data_sample[[#This Row],[CONTACTLASTNAME]]))</f>
        <v>Kalle, Suominen</v>
      </c>
      <c r="AA2145" s="1" t="s">
        <v>59</v>
      </c>
    </row>
    <row r="2146" spans="1:27" x14ac:dyDescent="0.25">
      <c r="A2146" s="10">
        <v>10378</v>
      </c>
      <c r="B2146" s="9">
        <v>41</v>
      </c>
      <c r="C2146" s="9">
        <v>100</v>
      </c>
      <c r="D2146" s="9">
        <f>PRODUCT(sales_data_sample[[#This Row],[QUANTITYORDERED]],sales_data_sample[[#This Row],[PRICEEACH]])</f>
        <v>4100</v>
      </c>
      <c r="E2146" s="9">
        <f>IF(OR(sales_data_sample[[#This Row],[STATUS]]="Shipped",sales_data_sample[[#This Row],[STATUS]]="Resolved"),sales_data_sample[[#This Row],[SALES]],0)</f>
        <v>4100</v>
      </c>
      <c r="F2146" s="10">
        <v>2</v>
      </c>
      <c r="G2146" s="12" t="s">
        <v>836</v>
      </c>
      <c r="H2146" s="1" t="s">
        <v>26</v>
      </c>
      <c r="I2146">
        <v>1</v>
      </c>
      <c r="J2146">
        <v>2</v>
      </c>
      <c r="K2146">
        <v>2005</v>
      </c>
      <c r="L2146" s="1" t="s">
        <v>239</v>
      </c>
      <c r="M2146">
        <v>80</v>
      </c>
      <c r="N2146" s="1" t="s">
        <v>984</v>
      </c>
      <c r="O2146" s="1" t="s">
        <v>230</v>
      </c>
      <c r="P2146" s="1" t="s">
        <v>231</v>
      </c>
      <c r="Q2146" s="1" t="s">
        <v>232</v>
      </c>
      <c r="R2146" s="1" t="s">
        <v>32</v>
      </c>
      <c r="S2146" s="1" t="s">
        <v>233</v>
      </c>
      <c r="T2146" s="1" t="s">
        <v>32</v>
      </c>
      <c r="U2146" s="1" t="s">
        <v>234</v>
      </c>
      <c r="V2146" s="1" t="s">
        <v>235</v>
      </c>
      <c r="W2146" s="1" t="s">
        <v>48</v>
      </c>
      <c r="X2146" s="1" t="s">
        <v>236</v>
      </c>
      <c r="Y2146" s="1" t="s">
        <v>237</v>
      </c>
      <c r="Z2146" s="1" t="str">
        <f>TRIM(_xlfn.CONCAT(sales_data_sample[[#This Row],[CONTACTFIRSTNAME]],", ",sales_data_sample[[#This Row],[CONTACTLASTNAME]]))</f>
        <v>Diego, Freyre</v>
      </c>
      <c r="AA2146" s="1" t="s">
        <v>59</v>
      </c>
    </row>
    <row r="2147" spans="1:27" x14ac:dyDescent="0.25">
      <c r="A2147" s="10">
        <v>10390</v>
      </c>
      <c r="B2147" s="9">
        <v>30</v>
      </c>
      <c r="C2147" s="9">
        <v>8242</v>
      </c>
      <c r="D2147" s="9">
        <f>PRODUCT(sales_data_sample[[#This Row],[QUANTITYORDERED]],sales_data_sample[[#This Row],[PRICEEACH]])</f>
        <v>247260</v>
      </c>
      <c r="E2147" s="9">
        <f>IF(OR(sales_data_sample[[#This Row],[STATUS]]="Shipped",sales_data_sample[[#This Row],[STATUS]]="Resolved"),sales_data_sample[[#This Row],[SALES]],0)</f>
        <v>247260</v>
      </c>
      <c r="F2147" s="10">
        <v>10</v>
      </c>
      <c r="G2147" s="12" t="s">
        <v>796</v>
      </c>
      <c r="H2147" s="1" t="s">
        <v>26</v>
      </c>
      <c r="I2147">
        <v>1</v>
      </c>
      <c r="J2147">
        <v>3</v>
      </c>
      <c r="K2147">
        <v>2005</v>
      </c>
      <c r="L2147" s="1" t="s">
        <v>239</v>
      </c>
      <c r="M2147">
        <v>80</v>
      </c>
      <c r="N2147" s="1" t="s">
        <v>984</v>
      </c>
      <c r="O2147" s="1" t="s">
        <v>361</v>
      </c>
      <c r="P2147" s="1" t="s">
        <v>362</v>
      </c>
      <c r="Q2147" s="1" t="s">
        <v>363</v>
      </c>
      <c r="R2147" s="1" t="s">
        <v>32</v>
      </c>
      <c r="S2147" s="1" t="s">
        <v>364</v>
      </c>
      <c r="T2147" s="1" t="s">
        <v>65</v>
      </c>
      <c r="U2147" s="1" t="s">
        <v>145</v>
      </c>
      <c r="V2147" s="1" t="s">
        <v>36</v>
      </c>
      <c r="W2147" s="1" t="s">
        <v>37</v>
      </c>
      <c r="X2147" s="1" t="s">
        <v>365</v>
      </c>
      <c r="Y2147" s="1" t="s">
        <v>366</v>
      </c>
      <c r="Z2147" s="1" t="str">
        <f>TRIM(_xlfn.CONCAT(sales_data_sample[[#This Row],[CONTACTFIRSTNAME]],", ",sales_data_sample[[#This Row],[CONTACTLASTNAME]]))</f>
        <v>Valarie, Nelson</v>
      </c>
      <c r="AA2147" s="1" t="s">
        <v>40</v>
      </c>
    </row>
    <row r="2148" spans="1:27" x14ac:dyDescent="0.25">
      <c r="A2148" s="10">
        <v>10103</v>
      </c>
      <c r="B2148" s="9">
        <v>31</v>
      </c>
      <c r="C2148" s="9">
        <v>100</v>
      </c>
      <c r="D2148" s="9">
        <f>PRODUCT(sales_data_sample[[#This Row],[QUANTITYORDERED]],sales_data_sample[[#This Row],[PRICEEACH]])</f>
        <v>3100</v>
      </c>
      <c r="E2148" s="9">
        <f>IF(OR(sales_data_sample[[#This Row],[STATUS]]="Shipped",sales_data_sample[[#This Row],[STATUS]]="Resolved"),sales_data_sample[[#This Row],[SALES]],0)</f>
        <v>3100</v>
      </c>
      <c r="F2148" s="10">
        <v>3</v>
      </c>
      <c r="G2148" s="12" t="s">
        <v>238</v>
      </c>
      <c r="H2148" s="1" t="s">
        <v>26</v>
      </c>
      <c r="I2148">
        <v>1</v>
      </c>
      <c r="J2148">
        <v>1</v>
      </c>
      <c r="K2148">
        <v>2003</v>
      </c>
      <c r="L2148" s="1" t="s">
        <v>711</v>
      </c>
      <c r="M2148">
        <v>96</v>
      </c>
      <c r="N2148" s="1" t="s">
        <v>985</v>
      </c>
      <c r="O2148" s="1" t="s">
        <v>174</v>
      </c>
      <c r="P2148" s="1" t="s">
        <v>175</v>
      </c>
      <c r="Q2148" s="1" t="s">
        <v>176</v>
      </c>
      <c r="R2148" s="1" t="s">
        <v>32</v>
      </c>
      <c r="S2148" s="1" t="s">
        <v>177</v>
      </c>
      <c r="T2148" s="1" t="s">
        <v>32</v>
      </c>
      <c r="U2148" s="1" t="s">
        <v>178</v>
      </c>
      <c r="V2148" s="1" t="s">
        <v>97</v>
      </c>
      <c r="W2148" s="1" t="s">
        <v>48</v>
      </c>
      <c r="X2148" s="1" t="s">
        <v>179</v>
      </c>
      <c r="Y2148" s="1" t="s">
        <v>180</v>
      </c>
      <c r="Z2148" s="1" t="str">
        <f>TRIM(_xlfn.CONCAT(sales_data_sample[[#This Row],[CONTACTFIRSTNAME]],", ",sales_data_sample[[#This Row],[CONTACTLASTNAME]]))</f>
        <v>Jonas, Bergulfsen</v>
      </c>
      <c r="AA2148" s="1" t="s">
        <v>59</v>
      </c>
    </row>
    <row r="2149" spans="1:27" x14ac:dyDescent="0.25">
      <c r="A2149" s="10">
        <v>10114</v>
      </c>
      <c r="B2149" s="9">
        <v>32</v>
      </c>
      <c r="C2149" s="9">
        <v>100</v>
      </c>
      <c r="D2149" s="9">
        <f>PRODUCT(sales_data_sample[[#This Row],[QUANTITYORDERED]],sales_data_sample[[#This Row],[PRICEEACH]])</f>
        <v>3200</v>
      </c>
      <c r="E2149" s="9">
        <f>IF(OR(sales_data_sample[[#This Row],[STATUS]]="Shipped",sales_data_sample[[#This Row],[STATUS]]="Resolved"),sales_data_sample[[#This Row],[SALES]],0)</f>
        <v>3200</v>
      </c>
      <c r="F2149" s="10">
        <v>7</v>
      </c>
      <c r="G2149" s="12" t="s">
        <v>555</v>
      </c>
      <c r="H2149" s="1" t="s">
        <v>26</v>
      </c>
      <c r="I2149">
        <v>2</v>
      </c>
      <c r="J2149">
        <v>4</v>
      </c>
      <c r="K2149">
        <v>2003</v>
      </c>
      <c r="L2149" s="1" t="s">
        <v>711</v>
      </c>
      <c r="M2149">
        <v>96</v>
      </c>
      <c r="N2149" s="1" t="s">
        <v>985</v>
      </c>
      <c r="O2149" s="1" t="s">
        <v>556</v>
      </c>
      <c r="P2149" s="1" t="s">
        <v>557</v>
      </c>
      <c r="Q2149" s="1" t="s">
        <v>558</v>
      </c>
      <c r="R2149" s="1" t="s">
        <v>32</v>
      </c>
      <c r="S2149" s="1" t="s">
        <v>55</v>
      </c>
      <c r="T2149" s="1" t="s">
        <v>32</v>
      </c>
      <c r="U2149" s="1" t="s">
        <v>559</v>
      </c>
      <c r="V2149" s="1" t="s">
        <v>47</v>
      </c>
      <c r="W2149" s="1" t="s">
        <v>48</v>
      </c>
      <c r="X2149" s="1" t="s">
        <v>560</v>
      </c>
      <c r="Y2149" s="1" t="s">
        <v>561</v>
      </c>
      <c r="Z2149" s="1" t="str">
        <f>TRIM(_xlfn.CONCAT(sales_data_sample[[#This Row],[CONTACTFIRSTNAME]],", ",sales_data_sample[[#This Row],[CONTACTLASTNAME]]))</f>
        <v>Marie, Bertrand</v>
      </c>
      <c r="AA2149" s="1" t="s">
        <v>59</v>
      </c>
    </row>
    <row r="2150" spans="1:27" x14ac:dyDescent="0.25">
      <c r="A2150" s="10">
        <v>10126</v>
      </c>
      <c r="B2150" s="9">
        <v>43</v>
      </c>
      <c r="C2150" s="9">
        <v>9631</v>
      </c>
      <c r="D2150" s="9">
        <f>PRODUCT(sales_data_sample[[#This Row],[QUANTITYORDERED]],sales_data_sample[[#This Row],[PRICEEACH]])</f>
        <v>414133</v>
      </c>
      <c r="E2150" s="9">
        <f>IF(OR(sales_data_sample[[#This Row],[STATUS]]="Shipped",sales_data_sample[[#This Row],[STATUS]]="Resolved"),sales_data_sample[[#This Row],[SALES]],0)</f>
        <v>414133</v>
      </c>
      <c r="F2150" s="10">
        <v>3</v>
      </c>
      <c r="G2150" s="12" t="s">
        <v>250</v>
      </c>
      <c r="H2150" s="1" t="s">
        <v>26</v>
      </c>
      <c r="I2150">
        <v>2</v>
      </c>
      <c r="J2150">
        <v>5</v>
      </c>
      <c r="K2150">
        <v>2003</v>
      </c>
      <c r="L2150" s="1" t="s">
        <v>711</v>
      </c>
      <c r="M2150">
        <v>96</v>
      </c>
      <c r="N2150" s="1" t="s">
        <v>985</v>
      </c>
      <c r="O2150" s="1" t="s">
        <v>251</v>
      </c>
      <c r="P2150" s="1" t="s">
        <v>252</v>
      </c>
      <c r="Q2150" s="1" t="s">
        <v>253</v>
      </c>
      <c r="R2150" s="1" t="s">
        <v>32</v>
      </c>
      <c r="S2150" s="1" t="s">
        <v>233</v>
      </c>
      <c r="T2150" s="1" t="s">
        <v>32</v>
      </c>
      <c r="U2150" s="1" t="s">
        <v>254</v>
      </c>
      <c r="V2150" s="1" t="s">
        <v>235</v>
      </c>
      <c r="W2150" s="1" t="s">
        <v>48</v>
      </c>
      <c r="X2150" s="1" t="s">
        <v>255</v>
      </c>
      <c r="Y2150" s="1" t="s">
        <v>256</v>
      </c>
      <c r="Z2150" s="1" t="str">
        <f>TRIM(_xlfn.CONCAT(sales_data_sample[[#This Row],[CONTACTFIRSTNAME]],", ",sales_data_sample[[#This Row],[CONTACTLASTNAME]]))</f>
        <v>Mart¡n, Sommer</v>
      </c>
      <c r="AA2150" s="1" t="s">
        <v>59</v>
      </c>
    </row>
    <row r="2151" spans="1:27" x14ac:dyDescent="0.25">
      <c r="A2151" s="10">
        <v>10140</v>
      </c>
      <c r="B2151" s="9">
        <v>26</v>
      </c>
      <c r="C2151" s="9">
        <v>100</v>
      </c>
      <c r="D2151" s="9">
        <f>PRODUCT(sales_data_sample[[#This Row],[QUANTITYORDERED]],sales_data_sample[[#This Row],[PRICEEACH]])</f>
        <v>2600</v>
      </c>
      <c r="E2151" s="9">
        <f>IF(OR(sales_data_sample[[#This Row],[STATUS]]="Shipped",sales_data_sample[[#This Row],[STATUS]]="Resolved"),sales_data_sample[[#This Row],[SALES]],0)</f>
        <v>2600</v>
      </c>
      <c r="F2151" s="10">
        <v>3</v>
      </c>
      <c r="G2151" s="12" t="s">
        <v>257</v>
      </c>
      <c r="H2151" s="1" t="s">
        <v>26</v>
      </c>
      <c r="I2151">
        <v>3</v>
      </c>
      <c r="J2151">
        <v>7</v>
      </c>
      <c r="K2151">
        <v>2003</v>
      </c>
      <c r="L2151" s="1" t="s">
        <v>711</v>
      </c>
      <c r="M2151">
        <v>96</v>
      </c>
      <c r="N2151" s="1" t="s">
        <v>985</v>
      </c>
      <c r="O2151" s="1" t="s">
        <v>76</v>
      </c>
      <c r="P2151" s="1" t="s">
        <v>77</v>
      </c>
      <c r="Q2151" s="1" t="s">
        <v>78</v>
      </c>
      <c r="R2151" s="1" t="s">
        <v>32</v>
      </c>
      <c r="S2151" s="1" t="s">
        <v>79</v>
      </c>
      <c r="T2151" s="1" t="s">
        <v>65</v>
      </c>
      <c r="U2151" s="1" t="s">
        <v>80</v>
      </c>
      <c r="V2151" s="1" t="s">
        <v>36</v>
      </c>
      <c r="W2151" s="1" t="s">
        <v>37</v>
      </c>
      <c r="X2151" s="1" t="s">
        <v>81</v>
      </c>
      <c r="Y2151" s="1" t="s">
        <v>82</v>
      </c>
      <c r="Z2151" s="1" t="str">
        <f>TRIM(_xlfn.CONCAT(sales_data_sample[[#This Row],[CONTACTFIRSTNAME]],", ",sales_data_sample[[#This Row],[CONTACTLASTNAME]]))</f>
        <v>Juri, Hirano</v>
      </c>
      <c r="AA2151" s="1" t="s">
        <v>40</v>
      </c>
    </row>
    <row r="2152" spans="1:27" x14ac:dyDescent="0.25">
      <c r="A2152" s="10">
        <v>10151</v>
      </c>
      <c r="B2152" s="9">
        <v>27</v>
      </c>
      <c r="C2152" s="9">
        <v>100</v>
      </c>
      <c r="D2152" s="9">
        <f>PRODUCT(sales_data_sample[[#This Row],[QUANTITYORDERED]],sales_data_sample[[#This Row],[PRICEEACH]])</f>
        <v>2700</v>
      </c>
      <c r="E2152" s="9">
        <f>IF(OR(sales_data_sample[[#This Row],[STATUS]]="Shipped",sales_data_sample[[#This Row],[STATUS]]="Resolved"),sales_data_sample[[#This Row],[SALES]],0)</f>
        <v>2700</v>
      </c>
      <c r="F2152" s="10">
        <v>10</v>
      </c>
      <c r="G2152" s="12" t="s">
        <v>744</v>
      </c>
      <c r="H2152" s="1" t="s">
        <v>26</v>
      </c>
      <c r="I2152">
        <v>3</v>
      </c>
      <c r="J2152">
        <v>9</v>
      </c>
      <c r="K2152">
        <v>2003</v>
      </c>
      <c r="L2152" s="1" t="s">
        <v>711</v>
      </c>
      <c r="M2152">
        <v>96</v>
      </c>
      <c r="N2152" s="1" t="s">
        <v>985</v>
      </c>
      <c r="O2152" s="1" t="s">
        <v>537</v>
      </c>
      <c r="P2152" s="1" t="s">
        <v>538</v>
      </c>
      <c r="Q2152" s="1" t="s">
        <v>539</v>
      </c>
      <c r="R2152" s="1" t="s">
        <v>32</v>
      </c>
      <c r="S2152" s="1" t="s">
        <v>540</v>
      </c>
      <c r="T2152" s="1" t="s">
        <v>32</v>
      </c>
      <c r="U2152" s="1" t="s">
        <v>541</v>
      </c>
      <c r="V2152" s="1" t="s">
        <v>170</v>
      </c>
      <c r="W2152" s="1" t="s">
        <v>48</v>
      </c>
      <c r="X2152" s="1" t="s">
        <v>542</v>
      </c>
      <c r="Y2152" s="1" t="s">
        <v>543</v>
      </c>
      <c r="Z2152" s="1" t="str">
        <f>TRIM(_xlfn.CONCAT(sales_data_sample[[#This Row],[CONTACTFIRSTNAME]],", ",sales_data_sample[[#This Row],[CONTACTLASTNAME]]))</f>
        <v>Pirkko, Koskitalo</v>
      </c>
      <c r="AA2152" s="1" t="s">
        <v>59</v>
      </c>
    </row>
    <row r="2153" spans="1:27" x14ac:dyDescent="0.25">
      <c r="A2153" s="10">
        <v>10164</v>
      </c>
      <c r="B2153" s="9">
        <v>24</v>
      </c>
      <c r="C2153" s="9">
        <v>100</v>
      </c>
      <c r="D2153" s="9">
        <f>PRODUCT(sales_data_sample[[#This Row],[QUANTITYORDERED]],sales_data_sample[[#This Row],[PRICEEACH]])</f>
        <v>2400</v>
      </c>
      <c r="E2153" s="9">
        <f>IF(OR(sales_data_sample[[#This Row],[STATUS]]="Shipped",sales_data_sample[[#This Row],[STATUS]]="Resolved"),sales_data_sample[[#This Row],[SALES]],0)</f>
        <v>2400</v>
      </c>
      <c r="F2153" s="10">
        <v>1</v>
      </c>
      <c r="G2153" s="12" t="s">
        <v>562</v>
      </c>
      <c r="H2153" s="1" t="s">
        <v>563</v>
      </c>
      <c r="I2153">
        <v>4</v>
      </c>
      <c r="J2153">
        <v>10</v>
      </c>
      <c r="K2153">
        <v>2003</v>
      </c>
      <c r="L2153" s="1" t="s">
        <v>711</v>
      </c>
      <c r="M2153">
        <v>96</v>
      </c>
      <c r="N2153" s="1" t="s">
        <v>985</v>
      </c>
      <c r="O2153" s="1" t="s">
        <v>564</v>
      </c>
      <c r="P2153" s="1" t="s">
        <v>565</v>
      </c>
      <c r="Q2153" s="1" t="s">
        <v>566</v>
      </c>
      <c r="R2153" s="1" t="s">
        <v>32</v>
      </c>
      <c r="S2153" s="1" t="s">
        <v>567</v>
      </c>
      <c r="T2153" s="1" t="s">
        <v>32</v>
      </c>
      <c r="U2153" s="1" t="s">
        <v>568</v>
      </c>
      <c r="V2153" s="1" t="s">
        <v>196</v>
      </c>
      <c r="W2153" s="1" t="s">
        <v>48</v>
      </c>
      <c r="X2153" s="1" t="s">
        <v>569</v>
      </c>
      <c r="Y2153" s="1" t="s">
        <v>570</v>
      </c>
      <c r="Z2153" s="1" t="str">
        <f>TRIM(_xlfn.CONCAT(sales_data_sample[[#This Row],[CONTACTFIRSTNAME]],", ",sales_data_sample[[#This Row],[CONTACTLASTNAME]]))</f>
        <v>Roland, Mendel</v>
      </c>
      <c r="AA2153" s="1" t="s">
        <v>40</v>
      </c>
    </row>
    <row r="2154" spans="1:27" x14ac:dyDescent="0.25">
      <c r="A2154" s="10">
        <v>10175</v>
      </c>
      <c r="B2154" s="9">
        <v>22</v>
      </c>
      <c r="C2154" s="9">
        <v>100</v>
      </c>
      <c r="D2154" s="9">
        <f>PRODUCT(sales_data_sample[[#This Row],[QUANTITYORDERED]],sales_data_sample[[#This Row],[PRICEEACH]])</f>
        <v>2200</v>
      </c>
      <c r="E2154" s="9">
        <f>IF(OR(sales_data_sample[[#This Row],[STATUS]]="Shipped",sales_data_sample[[#This Row],[STATUS]]="Resolved"),sales_data_sample[[#This Row],[SALES]],0)</f>
        <v>2200</v>
      </c>
      <c r="F2154" s="10">
        <v>8</v>
      </c>
      <c r="G2154" s="12" t="s">
        <v>273</v>
      </c>
      <c r="H2154" s="1" t="s">
        <v>26</v>
      </c>
      <c r="I2154">
        <v>4</v>
      </c>
      <c r="J2154">
        <v>11</v>
      </c>
      <c r="K2154">
        <v>2003</v>
      </c>
      <c r="L2154" s="1" t="s">
        <v>711</v>
      </c>
      <c r="M2154">
        <v>96</v>
      </c>
      <c r="N2154" s="1" t="s">
        <v>985</v>
      </c>
      <c r="O2154" s="1" t="s">
        <v>447</v>
      </c>
      <c r="P2154" s="1" t="s">
        <v>448</v>
      </c>
      <c r="Q2154" s="1" t="s">
        <v>449</v>
      </c>
      <c r="R2154" s="1" t="s">
        <v>32</v>
      </c>
      <c r="S2154" s="1" t="s">
        <v>450</v>
      </c>
      <c r="T2154" s="1" t="s">
        <v>32</v>
      </c>
      <c r="U2154" s="1" t="s">
        <v>451</v>
      </c>
      <c r="V2154" s="1" t="s">
        <v>225</v>
      </c>
      <c r="W2154" s="1" t="s">
        <v>48</v>
      </c>
      <c r="X2154" s="1" t="s">
        <v>74</v>
      </c>
      <c r="Y2154" s="1" t="s">
        <v>452</v>
      </c>
      <c r="Z2154" s="1" t="str">
        <f>TRIM(_xlfn.CONCAT(sales_data_sample[[#This Row],[CONTACTFIRSTNAME]],", ",sales_data_sample[[#This Row],[CONTACTLASTNAME]]))</f>
        <v>Ann, Brown</v>
      </c>
      <c r="AA2154" s="1" t="s">
        <v>40</v>
      </c>
    </row>
    <row r="2155" spans="1:27" x14ac:dyDescent="0.25">
      <c r="A2155" s="10">
        <v>10184</v>
      </c>
      <c r="B2155" s="9">
        <v>46</v>
      </c>
      <c r="C2155" s="9">
        <v>100</v>
      </c>
      <c r="D2155" s="9">
        <f>PRODUCT(sales_data_sample[[#This Row],[QUANTITYORDERED]],sales_data_sample[[#This Row],[PRICEEACH]])</f>
        <v>4600</v>
      </c>
      <c r="E2155" s="9">
        <f>IF(OR(sales_data_sample[[#This Row],[STATUS]]="Shipped",sales_data_sample[[#This Row],[STATUS]]="Resolved"),sales_data_sample[[#This Row],[SALES]],0)</f>
        <v>4600</v>
      </c>
      <c r="F2155" s="10">
        <v>13</v>
      </c>
      <c r="G2155" s="12" t="s">
        <v>470</v>
      </c>
      <c r="H2155" s="1" t="s">
        <v>26</v>
      </c>
      <c r="I2155">
        <v>4</v>
      </c>
      <c r="J2155">
        <v>11</v>
      </c>
      <c r="K2155">
        <v>2003</v>
      </c>
      <c r="L2155" s="1" t="s">
        <v>711</v>
      </c>
      <c r="M2155">
        <v>96</v>
      </c>
      <c r="N2155" s="1" t="s">
        <v>985</v>
      </c>
      <c r="O2155" s="1" t="s">
        <v>745</v>
      </c>
      <c r="P2155" s="1" t="s">
        <v>746</v>
      </c>
      <c r="Q2155" s="1" t="s">
        <v>747</v>
      </c>
      <c r="R2155" s="1" t="s">
        <v>32</v>
      </c>
      <c r="S2155" s="1" t="s">
        <v>748</v>
      </c>
      <c r="T2155" s="1" t="s">
        <v>32</v>
      </c>
      <c r="U2155" s="1" t="s">
        <v>749</v>
      </c>
      <c r="V2155" s="1" t="s">
        <v>235</v>
      </c>
      <c r="W2155" s="1" t="s">
        <v>48</v>
      </c>
      <c r="X2155" s="1" t="s">
        <v>750</v>
      </c>
      <c r="Y2155" s="1" t="s">
        <v>751</v>
      </c>
      <c r="Z2155" s="1" t="str">
        <f>TRIM(_xlfn.CONCAT(sales_data_sample[[#This Row],[CONTACTFIRSTNAME]],", ",sales_data_sample[[#This Row],[CONTACTLASTNAME]]))</f>
        <v>Jose Pedro, Roel</v>
      </c>
      <c r="AA2155" s="1" t="s">
        <v>59</v>
      </c>
    </row>
    <row r="2156" spans="1:27" x14ac:dyDescent="0.25">
      <c r="A2156" s="10">
        <v>10194</v>
      </c>
      <c r="B2156" s="9">
        <v>37</v>
      </c>
      <c r="C2156" s="9">
        <v>9727</v>
      </c>
      <c r="D2156" s="9">
        <f>PRODUCT(sales_data_sample[[#This Row],[QUANTITYORDERED]],sales_data_sample[[#This Row],[PRICEEACH]])</f>
        <v>359899</v>
      </c>
      <c r="E2156" s="9">
        <f>IF(OR(sales_data_sample[[#This Row],[STATUS]]="Shipped",sales_data_sample[[#This Row],[STATUS]]="Resolved"),sales_data_sample[[#This Row],[SALES]],0)</f>
        <v>359899</v>
      </c>
      <c r="F2156" s="10">
        <v>3</v>
      </c>
      <c r="G2156" s="12" t="s">
        <v>290</v>
      </c>
      <c r="H2156" s="1" t="s">
        <v>26</v>
      </c>
      <c r="I2156">
        <v>4</v>
      </c>
      <c r="J2156">
        <v>11</v>
      </c>
      <c r="K2156">
        <v>2003</v>
      </c>
      <c r="L2156" s="1" t="s">
        <v>711</v>
      </c>
      <c r="M2156">
        <v>96</v>
      </c>
      <c r="N2156" s="1" t="s">
        <v>985</v>
      </c>
      <c r="O2156" s="1" t="s">
        <v>291</v>
      </c>
      <c r="P2156" s="1" t="s">
        <v>292</v>
      </c>
      <c r="Q2156" s="1" t="s">
        <v>293</v>
      </c>
      <c r="R2156" s="1" t="s">
        <v>32</v>
      </c>
      <c r="S2156" s="1" t="s">
        <v>294</v>
      </c>
      <c r="T2156" s="1" t="s">
        <v>32</v>
      </c>
      <c r="U2156" s="1" t="s">
        <v>295</v>
      </c>
      <c r="V2156" s="1" t="s">
        <v>47</v>
      </c>
      <c r="W2156" s="1" t="s">
        <v>48</v>
      </c>
      <c r="X2156" s="1" t="s">
        <v>296</v>
      </c>
      <c r="Y2156" s="1" t="s">
        <v>297</v>
      </c>
      <c r="Z2156" s="1" t="str">
        <f>TRIM(_xlfn.CONCAT(sales_data_sample[[#This Row],[CONTACTFIRSTNAME]],", ",sales_data_sample[[#This Row],[CONTACTLASTNAME]]))</f>
        <v>Mary, Saveley</v>
      </c>
      <c r="AA2156" s="1" t="s">
        <v>59</v>
      </c>
    </row>
    <row r="2157" spans="1:27" x14ac:dyDescent="0.25">
      <c r="A2157" s="10">
        <v>10207</v>
      </c>
      <c r="B2157" s="9">
        <v>49</v>
      </c>
      <c r="C2157" s="9">
        <v>809</v>
      </c>
      <c r="D2157" s="9">
        <f>PRODUCT(sales_data_sample[[#This Row],[QUANTITYORDERED]],sales_data_sample[[#This Row],[PRICEEACH]])</f>
        <v>39641</v>
      </c>
      <c r="E2157" s="9">
        <f>IF(OR(sales_data_sample[[#This Row],[STATUS]]="Shipped",sales_data_sample[[#This Row],[STATUS]]="Resolved"),sales_data_sample[[#This Row],[SALES]],0)</f>
        <v>39641</v>
      </c>
      <c r="F2157" s="10">
        <v>14</v>
      </c>
      <c r="G2157" s="12" t="s">
        <v>571</v>
      </c>
      <c r="H2157" s="1" t="s">
        <v>26</v>
      </c>
      <c r="I2157">
        <v>4</v>
      </c>
      <c r="J2157">
        <v>12</v>
      </c>
      <c r="K2157">
        <v>2003</v>
      </c>
      <c r="L2157" s="1" t="s">
        <v>711</v>
      </c>
      <c r="M2157">
        <v>96</v>
      </c>
      <c r="N2157" s="1" t="s">
        <v>985</v>
      </c>
      <c r="O2157" s="1" t="s">
        <v>572</v>
      </c>
      <c r="P2157" s="1" t="s">
        <v>573</v>
      </c>
      <c r="Q2157" s="1" t="s">
        <v>574</v>
      </c>
      <c r="R2157" s="1" t="s">
        <v>32</v>
      </c>
      <c r="S2157" s="1" t="s">
        <v>519</v>
      </c>
      <c r="T2157" s="1" t="s">
        <v>160</v>
      </c>
      <c r="U2157" s="1" t="s">
        <v>520</v>
      </c>
      <c r="V2157" s="1" t="s">
        <v>36</v>
      </c>
      <c r="W2157" s="1" t="s">
        <v>37</v>
      </c>
      <c r="X2157" s="1" t="s">
        <v>575</v>
      </c>
      <c r="Y2157" s="1" t="s">
        <v>366</v>
      </c>
      <c r="Z2157" s="1" t="str">
        <f>TRIM(_xlfn.CONCAT(sales_data_sample[[#This Row],[CONTACTFIRSTNAME]],", ",sales_data_sample[[#This Row],[CONTACTLASTNAME]]))</f>
        <v>Valarie, Franco</v>
      </c>
      <c r="AA2157" s="1" t="s">
        <v>59</v>
      </c>
    </row>
    <row r="2158" spans="1:27" x14ac:dyDescent="0.25">
      <c r="A2158">
        <v>10217</v>
      </c>
      <c r="B2158">
        <v>21</v>
      </c>
      <c r="C2158">
        <v>100</v>
      </c>
      <c r="D2158">
        <f>PRODUCT(sales_data_sample[[#This Row],[QUANTITYORDERED]],sales_data_sample[[#This Row],[PRICEEACH]])</f>
        <v>2100</v>
      </c>
      <c r="E2158" s="9">
        <f>IF(OR(sales_data_sample[[#This Row],[STATUS]]="Shipped",sales_data_sample[[#This Row],[STATUS]]="Resolved"),sales_data_sample[[#This Row],[SALES]],0)</f>
        <v>2100</v>
      </c>
      <c r="F2158">
        <v>3</v>
      </c>
      <c r="G2158" s="12" t="s">
        <v>576</v>
      </c>
      <c r="H2158" s="1" t="s">
        <v>26</v>
      </c>
      <c r="I2158">
        <v>1</v>
      </c>
      <c r="J2158">
        <v>2</v>
      </c>
      <c r="K2158">
        <v>2004</v>
      </c>
      <c r="L2158" s="1" t="s">
        <v>711</v>
      </c>
      <c r="M2158">
        <v>96</v>
      </c>
      <c r="N2158" s="1" t="s">
        <v>985</v>
      </c>
      <c r="O2158" s="1" t="s">
        <v>577</v>
      </c>
      <c r="P2158" s="1" t="s">
        <v>578</v>
      </c>
      <c r="Q2158" s="1" t="s">
        <v>579</v>
      </c>
      <c r="R2158" s="1" t="s">
        <v>580</v>
      </c>
      <c r="S2158" s="1" t="s">
        <v>262</v>
      </c>
      <c r="T2158" s="1" t="s">
        <v>32</v>
      </c>
      <c r="U2158" s="1" t="s">
        <v>581</v>
      </c>
      <c r="V2158" s="1" t="s">
        <v>262</v>
      </c>
      <c r="W2158" s="1" t="s">
        <v>121</v>
      </c>
      <c r="X2158" s="1" t="s">
        <v>582</v>
      </c>
      <c r="Y2158" s="1" t="s">
        <v>583</v>
      </c>
      <c r="Z2158" s="1" t="str">
        <f>TRIM(_xlfn.CONCAT(sales_data_sample[[#This Row],[CONTACTFIRSTNAME]],", ",sales_data_sample[[#This Row],[CONTACTLASTNAME]]))</f>
        <v>Wendy, Victorino</v>
      </c>
      <c r="AA2158" s="1" t="s">
        <v>40</v>
      </c>
    </row>
    <row r="2159" spans="1:27" x14ac:dyDescent="0.25">
      <c r="A2159" s="10">
        <v>10229</v>
      </c>
      <c r="B2159" s="9">
        <v>25</v>
      </c>
      <c r="C2159" s="9">
        <v>100</v>
      </c>
      <c r="D2159" s="9">
        <f>PRODUCT(sales_data_sample[[#This Row],[QUANTITYORDERED]],sales_data_sample[[#This Row],[PRICEEACH]])</f>
        <v>2500</v>
      </c>
      <c r="E2159" s="9">
        <f>IF(OR(sales_data_sample[[#This Row],[STATUS]]="Shipped",sales_data_sample[[#This Row],[STATUS]]="Resolved"),sales_data_sample[[#This Row],[SALES]],0)</f>
        <v>2500</v>
      </c>
      <c r="F2159" s="10">
        <v>8</v>
      </c>
      <c r="G2159" s="12" t="s">
        <v>584</v>
      </c>
      <c r="H2159" s="1" t="s">
        <v>26</v>
      </c>
      <c r="I2159">
        <v>1</v>
      </c>
      <c r="J2159">
        <v>3</v>
      </c>
      <c r="K2159">
        <v>2004</v>
      </c>
      <c r="L2159" s="1" t="s">
        <v>711</v>
      </c>
      <c r="M2159">
        <v>96</v>
      </c>
      <c r="N2159" s="1" t="s">
        <v>985</v>
      </c>
      <c r="O2159" s="1" t="s">
        <v>361</v>
      </c>
      <c r="P2159" s="1" t="s">
        <v>362</v>
      </c>
      <c r="Q2159" s="1" t="s">
        <v>363</v>
      </c>
      <c r="R2159" s="1" t="s">
        <v>32</v>
      </c>
      <c r="S2159" s="1" t="s">
        <v>364</v>
      </c>
      <c r="T2159" s="1" t="s">
        <v>65</v>
      </c>
      <c r="U2159" s="1" t="s">
        <v>145</v>
      </c>
      <c r="V2159" s="1" t="s">
        <v>36</v>
      </c>
      <c r="W2159" s="1" t="s">
        <v>37</v>
      </c>
      <c r="X2159" s="1" t="s">
        <v>365</v>
      </c>
      <c r="Y2159" s="1" t="s">
        <v>366</v>
      </c>
      <c r="Z2159" s="1" t="str">
        <f>TRIM(_xlfn.CONCAT(sales_data_sample[[#This Row],[CONTACTFIRSTNAME]],", ",sales_data_sample[[#This Row],[CONTACTLASTNAME]]))</f>
        <v>Valarie, Nelson</v>
      </c>
      <c r="AA2159" s="1" t="s">
        <v>40</v>
      </c>
    </row>
    <row r="2160" spans="1:27" x14ac:dyDescent="0.25">
      <c r="A2160" s="10">
        <v>10245</v>
      </c>
      <c r="B2160" s="9">
        <v>37</v>
      </c>
      <c r="C2160" s="9">
        <v>100</v>
      </c>
      <c r="D2160" s="9">
        <f>PRODUCT(sales_data_sample[[#This Row],[QUANTITYORDERED]],sales_data_sample[[#This Row],[PRICEEACH]])</f>
        <v>3700</v>
      </c>
      <c r="E2160" s="9">
        <f>IF(OR(sales_data_sample[[#This Row],[STATUS]]="Shipped",sales_data_sample[[#This Row],[STATUS]]="Resolved"),sales_data_sample[[#This Row],[SALES]],0)</f>
        <v>3700</v>
      </c>
      <c r="F2160" s="10">
        <v>1</v>
      </c>
      <c r="G2160" s="12" t="s">
        <v>320</v>
      </c>
      <c r="H2160" s="1" t="s">
        <v>26</v>
      </c>
      <c r="I2160">
        <v>2</v>
      </c>
      <c r="J2160">
        <v>5</v>
      </c>
      <c r="K2160">
        <v>2004</v>
      </c>
      <c r="L2160" s="1" t="s">
        <v>711</v>
      </c>
      <c r="M2160">
        <v>96</v>
      </c>
      <c r="N2160" s="1" t="s">
        <v>985</v>
      </c>
      <c r="O2160" s="1" t="s">
        <v>321</v>
      </c>
      <c r="P2160" s="1" t="s">
        <v>322</v>
      </c>
      <c r="Q2160" s="1" t="s">
        <v>323</v>
      </c>
      <c r="R2160" s="1" t="s">
        <v>32</v>
      </c>
      <c r="S2160" s="1" t="s">
        <v>324</v>
      </c>
      <c r="T2160" s="1" t="s">
        <v>144</v>
      </c>
      <c r="U2160" s="1" t="s">
        <v>325</v>
      </c>
      <c r="V2160" s="1" t="s">
        <v>36</v>
      </c>
      <c r="W2160" s="1" t="s">
        <v>37</v>
      </c>
      <c r="X2160" s="1" t="s">
        <v>104</v>
      </c>
      <c r="Y2160" s="1" t="s">
        <v>326</v>
      </c>
      <c r="Z2160" s="1" t="str">
        <f>TRIM(_xlfn.CONCAT(sales_data_sample[[#This Row],[CONTACTFIRSTNAME]],", ",sales_data_sample[[#This Row],[CONTACTLASTNAME]]))</f>
        <v>Leslie, Murphy</v>
      </c>
      <c r="AA2160" s="1" t="s">
        <v>59</v>
      </c>
    </row>
    <row r="2161" spans="1:27" x14ac:dyDescent="0.25">
      <c r="A2161">
        <v>10259</v>
      </c>
      <c r="B2161">
        <v>45</v>
      </c>
      <c r="C2161">
        <v>8668</v>
      </c>
      <c r="D2161">
        <f>PRODUCT(sales_data_sample[[#This Row],[QUANTITYORDERED]],sales_data_sample[[#This Row],[PRICEEACH]])</f>
        <v>390060</v>
      </c>
      <c r="E2161" s="9">
        <f>IF(OR(sales_data_sample[[#This Row],[STATUS]]="Shipped",sales_data_sample[[#This Row],[STATUS]]="Resolved"),sales_data_sample[[#This Row],[SALES]],0)</f>
        <v>390060</v>
      </c>
      <c r="F2161">
        <v>11</v>
      </c>
      <c r="G2161" s="12" t="s">
        <v>327</v>
      </c>
      <c r="H2161" s="1" t="s">
        <v>26</v>
      </c>
      <c r="I2161">
        <v>2</v>
      </c>
      <c r="J2161">
        <v>6</v>
      </c>
      <c r="K2161">
        <v>2004</v>
      </c>
      <c r="L2161" s="1" t="s">
        <v>711</v>
      </c>
      <c r="M2161">
        <v>96</v>
      </c>
      <c r="N2161" s="1" t="s">
        <v>985</v>
      </c>
      <c r="O2161" s="1" t="s">
        <v>577</v>
      </c>
      <c r="P2161" s="1" t="s">
        <v>578</v>
      </c>
      <c r="Q2161" s="1" t="s">
        <v>579</v>
      </c>
      <c r="R2161" s="1" t="s">
        <v>580</v>
      </c>
      <c r="S2161" s="1" t="s">
        <v>262</v>
      </c>
      <c r="T2161" s="1" t="s">
        <v>32</v>
      </c>
      <c r="U2161" s="1" t="s">
        <v>581</v>
      </c>
      <c r="V2161" s="1" t="s">
        <v>262</v>
      </c>
      <c r="W2161" s="1" t="s">
        <v>121</v>
      </c>
      <c r="X2161" s="1" t="s">
        <v>582</v>
      </c>
      <c r="Y2161" s="1" t="s">
        <v>583</v>
      </c>
      <c r="Z2161" s="1" t="str">
        <f>TRIM(_xlfn.CONCAT(sales_data_sample[[#This Row],[CONTACTFIRSTNAME]],", ",sales_data_sample[[#This Row],[CONTACTLASTNAME]]))</f>
        <v>Wendy, Victorino</v>
      </c>
      <c r="AA2161" s="1" t="s">
        <v>59</v>
      </c>
    </row>
    <row r="2162" spans="1:27" x14ac:dyDescent="0.25">
      <c r="A2162">
        <v>10270</v>
      </c>
      <c r="B2162">
        <v>32</v>
      </c>
      <c r="C2162">
        <v>8572</v>
      </c>
      <c r="D2162">
        <f>PRODUCT(sales_data_sample[[#This Row],[QUANTITYORDERED]],sales_data_sample[[#This Row],[PRICEEACH]])</f>
        <v>274304</v>
      </c>
      <c r="E2162" s="9">
        <f>IF(OR(sales_data_sample[[#This Row],[STATUS]]="Shipped",sales_data_sample[[#This Row],[STATUS]]="Resolved"),sales_data_sample[[#This Row],[SALES]],0)</f>
        <v>274304</v>
      </c>
      <c r="F2162">
        <v>1</v>
      </c>
      <c r="G2162" s="12" t="s">
        <v>336</v>
      </c>
      <c r="H2162" s="1" t="s">
        <v>26</v>
      </c>
      <c r="I2162">
        <v>3</v>
      </c>
      <c r="J2162">
        <v>7</v>
      </c>
      <c r="K2162">
        <v>2004</v>
      </c>
      <c r="L2162" s="1" t="s">
        <v>711</v>
      </c>
      <c r="M2162">
        <v>96</v>
      </c>
      <c r="N2162" s="1" t="s">
        <v>985</v>
      </c>
      <c r="O2162" s="1" t="s">
        <v>201</v>
      </c>
      <c r="P2162" s="1" t="s">
        <v>202</v>
      </c>
      <c r="Q2162" s="1" t="s">
        <v>203</v>
      </c>
      <c r="R2162" s="1" t="s">
        <v>204</v>
      </c>
      <c r="S2162" s="1" t="s">
        <v>205</v>
      </c>
      <c r="T2162" s="1" t="s">
        <v>206</v>
      </c>
      <c r="U2162" s="1" t="s">
        <v>207</v>
      </c>
      <c r="V2162" s="1" t="s">
        <v>120</v>
      </c>
      <c r="W2162" s="1" t="s">
        <v>121</v>
      </c>
      <c r="X2162" s="1" t="s">
        <v>208</v>
      </c>
      <c r="Y2162" s="1" t="s">
        <v>209</v>
      </c>
      <c r="Z2162" s="1" t="str">
        <f>TRIM(_xlfn.CONCAT(sales_data_sample[[#This Row],[CONTACTFIRSTNAME]],", ",sales_data_sample[[#This Row],[CONTACTLASTNAME]]))</f>
        <v>Adrian, Huxley</v>
      </c>
      <c r="AA2162" s="1" t="s">
        <v>40</v>
      </c>
    </row>
    <row r="2163" spans="1:27" x14ac:dyDescent="0.25">
      <c r="A2163" s="10">
        <v>10281</v>
      </c>
      <c r="B2163" s="9">
        <v>29</v>
      </c>
      <c r="C2163" s="9">
        <v>8283</v>
      </c>
      <c r="D2163" s="9">
        <f>PRODUCT(sales_data_sample[[#This Row],[QUANTITYORDERED]],sales_data_sample[[#This Row],[PRICEEACH]])</f>
        <v>240207</v>
      </c>
      <c r="E2163" s="9">
        <f>IF(OR(sales_data_sample[[#This Row],[STATUS]]="Shipped",sales_data_sample[[#This Row],[STATUS]]="Resolved"),sales_data_sample[[#This Row],[SALES]],0)</f>
        <v>240207</v>
      </c>
      <c r="F2163" s="10">
        <v>8</v>
      </c>
      <c r="G2163" s="12" t="s">
        <v>585</v>
      </c>
      <c r="H2163" s="1" t="s">
        <v>26</v>
      </c>
      <c r="I2163">
        <v>3</v>
      </c>
      <c r="J2163">
        <v>8</v>
      </c>
      <c r="K2163">
        <v>2004</v>
      </c>
      <c r="L2163" s="1" t="s">
        <v>711</v>
      </c>
      <c r="M2163">
        <v>96</v>
      </c>
      <c r="N2163" s="1" t="s">
        <v>985</v>
      </c>
      <c r="O2163" s="1" t="s">
        <v>182</v>
      </c>
      <c r="P2163" s="1" t="s">
        <v>183</v>
      </c>
      <c r="Q2163" s="1" t="s">
        <v>184</v>
      </c>
      <c r="R2163" s="1" t="s">
        <v>32</v>
      </c>
      <c r="S2163" s="1" t="s">
        <v>185</v>
      </c>
      <c r="T2163" s="1" t="s">
        <v>186</v>
      </c>
      <c r="U2163" s="1" t="s">
        <v>187</v>
      </c>
      <c r="V2163" s="1" t="s">
        <v>36</v>
      </c>
      <c r="W2163" s="1" t="s">
        <v>37</v>
      </c>
      <c r="X2163" s="1" t="s">
        <v>38</v>
      </c>
      <c r="Y2163" s="1" t="s">
        <v>188</v>
      </c>
      <c r="Z2163" s="1" t="str">
        <f>TRIM(_xlfn.CONCAT(sales_data_sample[[#This Row],[CONTACTFIRSTNAME]],", ",sales_data_sample[[#This Row],[CONTACTLASTNAME]]))</f>
        <v>Kyung, Yu</v>
      </c>
      <c r="AA2163" s="1" t="s">
        <v>40</v>
      </c>
    </row>
    <row r="2164" spans="1:27" x14ac:dyDescent="0.25">
      <c r="A2164" s="10">
        <v>10291</v>
      </c>
      <c r="B2164" s="9">
        <v>26</v>
      </c>
      <c r="C2164" s="9">
        <v>8379</v>
      </c>
      <c r="D2164" s="9">
        <f>PRODUCT(sales_data_sample[[#This Row],[QUANTITYORDERED]],sales_data_sample[[#This Row],[PRICEEACH]])</f>
        <v>217854</v>
      </c>
      <c r="E2164" s="9">
        <f>IF(OR(sales_data_sample[[#This Row],[STATUS]]="Shipped",sales_data_sample[[#This Row],[STATUS]]="Resolved"),sales_data_sample[[#This Row],[SALES]],0)</f>
        <v>217854</v>
      </c>
      <c r="F2164" s="10">
        <v>3</v>
      </c>
      <c r="G2164" s="12" t="s">
        <v>346</v>
      </c>
      <c r="H2164" s="1" t="s">
        <v>26</v>
      </c>
      <c r="I2164">
        <v>3</v>
      </c>
      <c r="J2164">
        <v>9</v>
      </c>
      <c r="K2164">
        <v>2004</v>
      </c>
      <c r="L2164" s="1" t="s">
        <v>711</v>
      </c>
      <c r="M2164">
        <v>96</v>
      </c>
      <c r="N2164" s="1" t="s">
        <v>985</v>
      </c>
      <c r="O2164" s="1" t="s">
        <v>347</v>
      </c>
      <c r="P2164" s="1" t="s">
        <v>348</v>
      </c>
      <c r="Q2164" s="1" t="s">
        <v>349</v>
      </c>
      <c r="R2164" s="1" t="s">
        <v>32</v>
      </c>
      <c r="S2164" s="1" t="s">
        <v>350</v>
      </c>
      <c r="T2164" s="1" t="s">
        <v>32</v>
      </c>
      <c r="U2164" s="1" t="s">
        <v>351</v>
      </c>
      <c r="V2164" s="1" t="s">
        <v>247</v>
      </c>
      <c r="W2164" s="1" t="s">
        <v>48</v>
      </c>
      <c r="X2164" s="1" t="s">
        <v>352</v>
      </c>
      <c r="Y2164" s="1" t="s">
        <v>272</v>
      </c>
      <c r="Z2164" s="1" t="str">
        <f>TRIM(_xlfn.CONCAT(sales_data_sample[[#This Row],[CONTACTFIRSTNAME]],", ",sales_data_sample[[#This Row],[CONTACTLASTNAME]]))</f>
        <v>Maria, Larsson</v>
      </c>
      <c r="AA2164" s="1" t="s">
        <v>40</v>
      </c>
    </row>
    <row r="2165" spans="1:27" x14ac:dyDescent="0.25">
      <c r="A2165" s="10">
        <v>10305</v>
      </c>
      <c r="B2165" s="9">
        <v>28</v>
      </c>
      <c r="C2165" s="9">
        <v>100</v>
      </c>
      <c r="D2165" s="9">
        <f>PRODUCT(sales_data_sample[[#This Row],[QUANTITYORDERED]],sales_data_sample[[#This Row],[PRICEEACH]])</f>
        <v>2800</v>
      </c>
      <c r="E2165" s="9">
        <f>IF(OR(sales_data_sample[[#This Row],[STATUS]]="Shipped",sales_data_sample[[#This Row],[STATUS]]="Resolved"),sales_data_sample[[#This Row],[SALES]],0)</f>
        <v>2800</v>
      </c>
      <c r="F2165" s="10">
        <v>12</v>
      </c>
      <c r="G2165" s="12" t="s">
        <v>586</v>
      </c>
      <c r="H2165" s="1" t="s">
        <v>26</v>
      </c>
      <c r="I2165">
        <v>4</v>
      </c>
      <c r="J2165">
        <v>10</v>
      </c>
      <c r="K2165">
        <v>2004</v>
      </c>
      <c r="L2165" s="1" t="s">
        <v>711</v>
      </c>
      <c r="M2165">
        <v>96</v>
      </c>
      <c r="N2165" s="1" t="s">
        <v>985</v>
      </c>
      <c r="O2165" s="1" t="s">
        <v>156</v>
      </c>
      <c r="P2165" s="1" t="s">
        <v>157</v>
      </c>
      <c r="Q2165" s="1" t="s">
        <v>158</v>
      </c>
      <c r="R2165" s="1" t="s">
        <v>32</v>
      </c>
      <c r="S2165" s="1" t="s">
        <v>159</v>
      </c>
      <c r="T2165" s="1" t="s">
        <v>160</v>
      </c>
      <c r="U2165" s="1" t="s">
        <v>161</v>
      </c>
      <c r="V2165" s="1" t="s">
        <v>36</v>
      </c>
      <c r="W2165" s="1" t="s">
        <v>37</v>
      </c>
      <c r="X2165" s="1" t="s">
        <v>162</v>
      </c>
      <c r="Y2165" s="1" t="s">
        <v>163</v>
      </c>
      <c r="Z2165" s="1" t="str">
        <f>TRIM(_xlfn.CONCAT(sales_data_sample[[#This Row],[CONTACTFIRSTNAME]],", ",sales_data_sample[[#This Row],[CONTACTLASTNAME]]))</f>
        <v>Marta, Hernandez</v>
      </c>
      <c r="AA2165" s="1" t="s">
        <v>59</v>
      </c>
    </row>
    <row r="2166" spans="1:27" x14ac:dyDescent="0.25">
      <c r="A2166" s="10">
        <v>10313</v>
      </c>
      <c r="B2166" s="9">
        <v>27</v>
      </c>
      <c r="C2166" s="9">
        <v>8764</v>
      </c>
      <c r="D2166" s="9">
        <f>PRODUCT(sales_data_sample[[#This Row],[QUANTITYORDERED]],sales_data_sample[[#This Row],[PRICEEACH]])</f>
        <v>236628</v>
      </c>
      <c r="E2166" s="9">
        <f>IF(OR(sales_data_sample[[#This Row],[STATUS]]="Shipped",sales_data_sample[[#This Row],[STATUS]]="Resolved"),sales_data_sample[[#This Row],[SALES]],0)</f>
        <v>236628</v>
      </c>
      <c r="F2166" s="10">
        <v>6</v>
      </c>
      <c r="G2166" s="12" t="s">
        <v>587</v>
      </c>
      <c r="H2166" s="1" t="s">
        <v>26</v>
      </c>
      <c r="I2166">
        <v>4</v>
      </c>
      <c r="J2166">
        <v>10</v>
      </c>
      <c r="K2166">
        <v>2004</v>
      </c>
      <c r="L2166" s="1" t="s">
        <v>711</v>
      </c>
      <c r="M2166">
        <v>96</v>
      </c>
      <c r="N2166" s="1" t="s">
        <v>985</v>
      </c>
      <c r="O2166" s="1" t="s">
        <v>299</v>
      </c>
      <c r="P2166" s="1" t="s">
        <v>300</v>
      </c>
      <c r="Q2166" s="1" t="s">
        <v>301</v>
      </c>
      <c r="R2166" s="1" t="s">
        <v>32</v>
      </c>
      <c r="S2166" s="1" t="s">
        <v>302</v>
      </c>
      <c r="T2166" s="1" t="s">
        <v>303</v>
      </c>
      <c r="U2166" s="1" t="s">
        <v>304</v>
      </c>
      <c r="V2166" s="1" t="s">
        <v>305</v>
      </c>
      <c r="W2166" s="1" t="s">
        <v>37</v>
      </c>
      <c r="X2166" s="1" t="s">
        <v>306</v>
      </c>
      <c r="Y2166" s="1" t="s">
        <v>307</v>
      </c>
      <c r="Z2166" s="1" t="str">
        <f>TRIM(_xlfn.CONCAT(sales_data_sample[[#This Row],[CONTACTFIRSTNAME]],", ",sales_data_sample[[#This Row],[CONTACTLASTNAME]]))</f>
        <v>Yoshi, Tannamuri</v>
      </c>
      <c r="AA2166" s="1" t="s">
        <v>40</v>
      </c>
    </row>
    <row r="2167" spans="1:27" x14ac:dyDescent="0.25">
      <c r="A2167">
        <v>10324</v>
      </c>
      <c r="B2167">
        <v>20</v>
      </c>
      <c r="C2167">
        <v>9818</v>
      </c>
      <c r="D2167">
        <f>PRODUCT(sales_data_sample[[#This Row],[QUANTITYORDERED]],sales_data_sample[[#This Row],[PRICEEACH]])</f>
        <v>196360</v>
      </c>
      <c r="E2167" s="9">
        <f>IF(OR(sales_data_sample[[#This Row],[STATUS]]="Shipped",sales_data_sample[[#This Row],[STATUS]]="Resolved"),sales_data_sample[[#This Row],[SALES]],0)</f>
        <v>196360</v>
      </c>
      <c r="F2167">
        <v>11</v>
      </c>
      <c r="G2167" s="12" t="s">
        <v>532</v>
      </c>
      <c r="H2167" s="1" t="s">
        <v>26</v>
      </c>
      <c r="I2167">
        <v>4</v>
      </c>
      <c r="J2167">
        <v>11</v>
      </c>
      <c r="K2167">
        <v>2004</v>
      </c>
      <c r="L2167" s="1" t="s">
        <v>711</v>
      </c>
      <c r="M2167">
        <v>96</v>
      </c>
      <c r="N2167" s="1" t="s">
        <v>985</v>
      </c>
      <c r="O2167" s="1" t="s">
        <v>125</v>
      </c>
      <c r="P2167" s="1" t="s">
        <v>126</v>
      </c>
      <c r="Q2167" s="1" t="s">
        <v>127</v>
      </c>
      <c r="R2167" s="1" t="s">
        <v>128</v>
      </c>
      <c r="S2167" s="1" t="s">
        <v>33</v>
      </c>
      <c r="T2167" s="1" t="s">
        <v>34</v>
      </c>
      <c r="U2167" s="1" t="s">
        <v>35</v>
      </c>
      <c r="V2167" s="1" t="s">
        <v>36</v>
      </c>
      <c r="W2167" s="1" t="s">
        <v>37</v>
      </c>
      <c r="X2167" s="1" t="s">
        <v>129</v>
      </c>
      <c r="Y2167" s="1" t="s">
        <v>130</v>
      </c>
      <c r="Z2167" s="1" t="str">
        <f>TRIM(_xlfn.CONCAT(sales_data_sample[[#This Row],[CONTACTFIRSTNAME]],", ",sales_data_sample[[#This Row],[CONTACTLASTNAME]]))</f>
        <v>Michael, Frick</v>
      </c>
      <c r="AA2167" s="1" t="s">
        <v>40</v>
      </c>
    </row>
    <row r="2168" spans="1:27" x14ac:dyDescent="0.25">
      <c r="A2168" s="10">
        <v>10335</v>
      </c>
      <c r="B2168" s="9">
        <v>44</v>
      </c>
      <c r="C2168" s="9">
        <v>100</v>
      </c>
      <c r="D2168" s="9">
        <f>PRODUCT(sales_data_sample[[#This Row],[QUANTITYORDERED]],sales_data_sample[[#This Row],[PRICEEACH]])</f>
        <v>4400</v>
      </c>
      <c r="E2168" s="9">
        <f>IF(OR(sales_data_sample[[#This Row],[STATUS]]="Shipped",sales_data_sample[[#This Row],[STATUS]]="Resolved"),sales_data_sample[[#This Row],[SALES]],0)</f>
        <v>4400</v>
      </c>
      <c r="F2168" s="10">
        <v>1</v>
      </c>
      <c r="G2168" s="12" t="s">
        <v>588</v>
      </c>
      <c r="H2168" s="1" t="s">
        <v>26</v>
      </c>
      <c r="I2168">
        <v>4</v>
      </c>
      <c r="J2168">
        <v>11</v>
      </c>
      <c r="K2168">
        <v>2004</v>
      </c>
      <c r="L2168" s="1" t="s">
        <v>711</v>
      </c>
      <c r="M2168">
        <v>96</v>
      </c>
      <c r="N2168" s="1" t="s">
        <v>985</v>
      </c>
      <c r="O2168" s="1" t="s">
        <v>361</v>
      </c>
      <c r="P2168" s="1" t="s">
        <v>362</v>
      </c>
      <c r="Q2168" s="1" t="s">
        <v>363</v>
      </c>
      <c r="R2168" s="1" t="s">
        <v>32</v>
      </c>
      <c r="S2168" s="1" t="s">
        <v>364</v>
      </c>
      <c r="T2168" s="1" t="s">
        <v>65</v>
      </c>
      <c r="U2168" s="1" t="s">
        <v>145</v>
      </c>
      <c r="V2168" s="1" t="s">
        <v>36</v>
      </c>
      <c r="W2168" s="1" t="s">
        <v>37</v>
      </c>
      <c r="X2168" s="1" t="s">
        <v>365</v>
      </c>
      <c r="Y2168" s="1" t="s">
        <v>366</v>
      </c>
      <c r="Z2168" s="1" t="str">
        <f>TRIM(_xlfn.CONCAT(sales_data_sample[[#This Row],[CONTACTFIRSTNAME]],", ",sales_data_sample[[#This Row],[CONTACTLASTNAME]]))</f>
        <v>Valarie, Nelson</v>
      </c>
      <c r="AA2168" s="1" t="s">
        <v>59</v>
      </c>
    </row>
    <row r="2169" spans="1:27" x14ac:dyDescent="0.25">
      <c r="A2169" s="10">
        <v>10348</v>
      </c>
      <c r="B2169" s="9">
        <v>42</v>
      </c>
      <c r="C2169" s="9">
        <v>100</v>
      </c>
      <c r="D2169" s="9">
        <f>PRODUCT(sales_data_sample[[#This Row],[QUANTITYORDERED]],sales_data_sample[[#This Row],[PRICEEACH]])</f>
        <v>4200</v>
      </c>
      <c r="E2169" s="9">
        <f>IF(OR(sales_data_sample[[#This Row],[STATUS]]="Shipped",sales_data_sample[[#This Row],[STATUS]]="Resolved"),sales_data_sample[[#This Row],[SALES]],0)</f>
        <v>4200</v>
      </c>
      <c r="F2169" s="10">
        <v>3</v>
      </c>
      <c r="G2169" s="12" t="s">
        <v>523</v>
      </c>
      <c r="H2169" s="1" t="s">
        <v>26</v>
      </c>
      <c r="I2169">
        <v>4</v>
      </c>
      <c r="J2169">
        <v>11</v>
      </c>
      <c r="K2169">
        <v>2004</v>
      </c>
      <c r="L2169" s="1" t="s">
        <v>711</v>
      </c>
      <c r="M2169">
        <v>96</v>
      </c>
      <c r="N2169" s="1" t="s">
        <v>985</v>
      </c>
      <c r="O2169" s="1" t="s">
        <v>251</v>
      </c>
      <c r="P2169" s="1" t="s">
        <v>252</v>
      </c>
      <c r="Q2169" s="1" t="s">
        <v>253</v>
      </c>
      <c r="R2169" s="1" t="s">
        <v>32</v>
      </c>
      <c r="S2169" s="1" t="s">
        <v>233</v>
      </c>
      <c r="T2169" s="1" t="s">
        <v>32</v>
      </c>
      <c r="U2169" s="1" t="s">
        <v>254</v>
      </c>
      <c r="V2169" s="1" t="s">
        <v>235</v>
      </c>
      <c r="W2169" s="1" t="s">
        <v>48</v>
      </c>
      <c r="X2169" s="1" t="s">
        <v>255</v>
      </c>
      <c r="Y2169" s="1" t="s">
        <v>256</v>
      </c>
      <c r="Z2169" s="1" t="str">
        <f>TRIM(_xlfn.CONCAT(sales_data_sample[[#This Row],[CONTACTFIRSTNAME]],", ",sales_data_sample[[#This Row],[CONTACTLASTNAME]]))</f>
        <v>Mart¡n, Sommer</v>
      </c>
      <c r="AA2169" s="1" t="s">
        <v>59</v>
      </c>
    </row>
    <row r="2170" spans="1:27" x14ac:dyDescent="0.25">
      <c r="A2170" s="10">
        <v>10358</v>
      </c>
      <c r="B2170" s="9">
        <v>41</v>
      </c>
      <c r="C2170" s="9">
        <v>100</v>
      </c>
      <c r="D2170" s="9">
        <f>PRODUCT(sales_data_sample[[#This Row],[QUANTITYORDERED]],sales_data_sample[[#This Row],[PRICEEACH]])</f>
        <v>4100</v>
      </c>
      <c r="E2170" s="9">
        <f>IF(OR(sales_data_sample[[#This Row],[STATUS]]="Shipped",sales_data_sample[[#This Row],[STATUS]]="Resolved"),sales_data_sample[[#This Row],[SALES]],0)</f>
        <v>4100</v>
      </c>
      <c r="F2170" s="10">
        <v>1</v>
      </c>
      <c r="G2170" s="12" t="s">
        <v>376</v>
      </c>
      <c r="H2170" s="1" t="s">
        <v>26</v>
      </c>
      <c r="I2170">
        <v>4</v>
      </c>
      <c r="J2170">
        <v>12</v>
      </c>
      <c r="K2170">
        <v>2004</v>
      </c>
      <c r="L2170" s="1" t="s">
        <v>711</v>
      </c>
      <c r="M2170">
        <v>96</v>
      </c>
      <c r="N2170" s="1" t="s">
        <v>985</v>
      </c>
      <c r="O2170" s="1" t="s">
        <v>230</v>
      </c>
      <c r="P2170" s="1" t="s">
        <v>231</v>
      </c>
      <c r="Q2170" s="1" t="s">
        <v>232</v>
      </c>
      <c r="R2170" s="1" t="s">
        <v>32</v>
      </c>
      <c r="S2170" s="1" t="s">
        <v>233</v>
      </c>
      <c r="T2170" s="1" t="s">
        <v>32</v>
      </c>
      <c r="U2170" s="1" t="s">
        <v>234</v>
      </c>
      <c r="V2170" s="1" t="s">
        <v>235</v>
      </c>
      <c r="W2170" s="1" t="s">
        <v>48</v>
      </c>
      <c r="X2170" s="1" t="s">
        <v>236</v>
      </c>
      <c r="Y2170" s="1" t="s">
        <v>237</v>
      </c>
      <c r="Z2170" s="1" t="str">
        <f>TRIM(_xlfn.CONCAT(sales_data_sample[[#This Row],[CONTACTFIRSTNAME]],", ",sales_data_sample[[#This Row],[CONTACTLASTNAME]]))</f>
        <v>Diego, Freyre</v>
      </c>
      <c r="AA2170" s="1" t="s">
        <v>59</v>
      </c>
    </row>
    <row r="2171" spans="1:27" x14ac:dyDescent="0.25">
      <c r="A2171" s="10">
        <v>10371</v>
      </c>
      <c r="B2171" s="9">
        <v>26</v>
      </c>
      <c r="C2171" s="9">
        <v>100</v>
      </c>
      <c r="D2171" s="9">
        <f>PRODUCT(sales_data_sample[[#This Row],[QUANTITYORDERED]],sales_data_sample[[#This Row],[PRICEEACH]])</f>
        <v>2600</v>
      </c>
      <c r="E2171" s="9">
        <f>IF(OR(sales_data_sample[[#This Row],[STATUS]]="Shipped",sales_data_sample[[#This Row],[STATUS]]="Resolved"),sales_data_sample[[#This Row],[SALES]],0)</f>
        <v>2600</v>
      </c>
      <c r="F2171" s="10">
        <v>1</v>
      </c>
      <c r="G2171" s="12" t="s">
        <v>709</v>
      </c>
      <c r="H2171" s="1" t="s">
        <v>26</v>
      </c>
      <c r="I2171">
        <v>1</v>
      </c>
      <c r="J2171">
        <v>1</v>
      </c>
      <c r="K2171">
        <v>2005</v>
      </c>
      <c r="L2171" s="1" t="s">
        <v>711</v>
      </c>
      <c r="M2171">
        <v>96</v>
      </c>
      <c r="N2171" s="1" t="s">
        <v>985</v>
      </c>
      <c r="O2171" s="1" t="s">
        <v>361</v>
      </c>
      <c r="P2171" s="1" t="s">
        <v>362</v>
      </c>
      <c r="Q2171" s="1" t="s">
        <v>363</v>
      </c>
      <c r="R2171" s="1" t="s">
        <v>32</v>
      </c>
      <c r="S2171" s="1" t="s">
        <v>364</v>
      </c>
      <c r="T2171" s="1" t="s">
        <v>65</v>
      </c>
      <c r="U2171" s="1" t="s">
        <v>145</v>
      </c>
      <c r="V2171" s="1" t="s">
        <v>36</v>
      </c>
      <c r="W2171" s="1" t="s">
        <v>37</v>
      </c>
      <c r="X2171" s="1" t="s">
        <v>365</v>
      </c>
      <c r="Y2171" s="1" t="s">
        <v>366</v>
      </c>
      <c r="Z2171" s="1" t="str">
        <f>TRIM(_xlfn.CONCAT(sales_data_sample[[#This Row],[CONTACTFIRSTNAME]],", ",sales_data_sample[[#This Row],[CONTACTLASTNAME]]))</f>
        <v>Valarie, Nelson</v>
      </c>
      <c r="AA2171" s="1" t="s">
        <v>59</v>
      </c>
    </row>
    <row r="2172" spans="1:27" x14ac:dyDescent="0.25">
      <c r="A2172" s="10">
        <v>10382</v>
      </c>
      <c r="B2172" s="9">
        <v>26</v>
      </c>
      <c r="C2172" s="9">
        <v>100</v>
      </c>
      <c r="D2172" s="9">
        <f>PRODUCT(sales_data_sample[[#This Row],[QUANTITYORDERED]],sales_data_sample[[#This Row],[PRICEEACH]])</f>
        <v>2600</v>
      </c>
      <c r="E2172" s="9">
        <f>IF(OR(sales_data_sample[[#This Row],[STATUS]]="Shipped",sales_data_sample[[#This Row],[STATUS]]="Resolved"),sales_data_sample[[#This Row],[SALES]],0)</f>
        <v>2600</v>
      </c>
      <c r="F2172" s="10">
        <v>6</v>
      </c>
      <c r="G2172" s="12" t="s">
        <v>383</v>
      </c>
      <c r="H2172" s="1" t="s">
        <v>26</v>
      </c>
      <c r="I2172">
        <v>1</v>
      </c>
      <c r="J2172">
        <v>2</v>
      </c>
      <c r="K2172">
        <v>2005</v>
      </c>
      <c r="L2172" s="1" t="s">
        <v>711</v>
      </c>
      <c r="M2172">
        <v>96</v>
      </c>
      <c r="N2172" s="1" t="s">
        <v>985</v>
      </c>
      <c r="O2172" s="1" t="s">
        <v>361</v>
      </c>
      <c r="P2172" s="1" t="s">
        <v>362</v>
      </c>
      <c r="Q2172" s="1" t="s">
        <v>363</v>
      </c>
      <c r="R2172" s="1" t="s">
        <v>32</v>
      </c>
      <c r="S2172" s="1" t="s">
        <v>364</v>
      </c>
      <c r="T2172" s="1" t="s">
        <v>65</v>
      </c>
      <c r="U2172" s="1" t="s">
        <v>145</v>
      </c>
      <c r="V2172" s="1" t="s">
        <v>36</v>
      </c>
      <c r="W2172" s="1" t="s">
        <v>37</v>
      </c>
      <c r="X2172" s="1" t="s">
        <v>365</v>
      </c>
      <c r="Y2172" s="1" t="s">
        <v>366</v>
      </c>
      <c r="Z2172" s="1" t="str">
        <f>TRIM(_xlfn.CONCAT(sales_data_sample[[#This Row],[CONTACTFIRSTNAME]],", ",sales_data_sample[[#This Row],[CONTACTLASTNAME]]))</f>
        <v>Valarie, Nelson</v>
      </c>
      <c r="AA2172" s="1" t="s">
        <v>40</v>
      </c>
    </row>
    <row r="2173" spans="1:27" x14ac:dyDescent="0.25">
      <c r="A2173" s="10">
        <v>10411</v>
      </c>
      <c r="B2173" s="9">
        <v>26</v>
      </c>
      <c r="C2173" s="9">
        <v>100</v>
      </c>
      <c r="D2173" s="9">
        <f>PRODUCT(sales_data_sample[[#This Row],[QUANTITYORDERED]],sales_data_sample[[#This Row],[PRICEEACH]])</f>
        <v>2600</v>
      </c>
      <c r="E2173" s="9">
        <f>IF(OR(sales_data_sample[[#This Row],[STATUS]]="Shipped",sales_data_sample[[#This Row],[STATUS]]="Resolved"),sales_data_sample[[#This Row],[SALES]],0)</f>
        <v>2600</v>
      </c>
      <c r="F2173" s="10">
        <v>1</v>
      </c>
      <c r="G2173" s="12" t="s">
        <v>393</v>
      </c>
      <c r="H2173" s="1" t="s">
        <v>26</v>
      </c>
      <c r="I2173">
        <v>2</v>
      </c>
      <c r="J2173">
        <v>5</v>
      </c>
      <c r="K2173">
        <v>2005</v>
      </c>
      <c r="L2173" s="1" t="s">
        <v>711</v>
      </c>
      <c r="M2173">
        <v>96</v>
      </c>
      <c r="N2173" s="1" t="s">
        <v>985</v>
      </c>
      <c r="O2173" s="1" t="s">
        <v>394</v>
      </c>
      <c r="P2173" s="1" t="s">
        <v>395</v>
      </c>
      <c r="Q2173" s="1" t="s">
        <v>396</v>
      </c>
      <c r="R2173" s="1" t="s">
        <v>32</v>
      </c>
      <c r="S2173" s="1" t="s">
        <v>397</v>
      </c>
      <c r="T2173" s="1" t="s">
        <v>398</v>
      </c>
      <c r="U2173" s="1" t="s">
        <v>399</v>
      </c>
      <c r="V2173" s="1" t="s">
        <v>305</v>
      </c>
      <c r="W2173" s="1" t="s">
        <v>37</v>
      </c>
      <c r="X2173" s="1" t="s">
        <v>400</v>
      </c>
      <c r="Y2173" s="1" t="s">
        <v>401</v>
      </c>
      <c r="Z2173" s="1" t="str">
        <f>TRIM(_xlfn.CONCAT(sales_data_sample[[#This Row],[CONTACTFIRSTNAME]],", ",sales_data_sample[[#This Row],[CONTACTLASTNAME]]))</f>
        <v>Jean, Fresnisre</v>
      </c>
      <c r="AA2173" s="1" t="s">
        <v>40</v>
      </c>
    </row>
    <row r="2174" spans="1:27" x14ac:dyDescent="0.25">
      <c r="A2174" s="10">
        <v>10425</v>
      </c>
      <c r="B2174" s="9">
        <v>41</v>
      </c>
      <c r="C2174" s="9">
        <v>8668</v>
      </c>
      <c r="D2174" s="9">
        <f>PRODUCT(sales_data_sample[[#This Row],[QUANTITYORDERED]],sales_data_sample[[#This Row],[PRICEEACH]])</f>
        <v>355388</v>
      </c>
      <c r="E2174" s="9">
        <f>IF(OR(sales_data_sample[[#This Row],[STATUS]]="Shipped",sales_data_sample[[#This Row],[STATUS]]="Resolved"),sales_data_sample[[#This Row],[SALES]],0)</f>
        <v>0</v>
      </c>
      <c r="F2174" s="10">
        <v>11</v>
      </c>
      <c r="G2174" s="12" t="s">
        <v>402</v>
      </c>
      <c r="H2174" s="1" t="s">
        <v>403</v>
      </c>
      <c r="I2174">
        <v>2</v>
      </c>
      <c r="J2174">
        <v>5</v>
      </c>
      <c r="K2174">
        <v>2005</v>
      </c>
      <c r="L2174" s="1" t="s">
        <v>711</v>
      </c>
      <c r="M2174">
        <v>96</v>
      </c>
      <c r="N2174" s="1" t="s">
        <v>985</v>
      </c>
      <c r="O2174" s="1" t="s">
        <v>148</v>
      </c>
      <c r="P2174" s="1" t="s">
        <v>149</v>
      </c>
      <c r="Q2174" s="1" t="s">
        <v>150</v>
      </c>
      <c r="R2174" s="1" t="s">
        <v>32</v>
      </c>
      <c r="S2174" s="1" t="s">
        <v>151</v>
      </c>
      <c r="T2174" s="1" t="s">
        <v>32</v>
      </c>
      <c r="U2174" s="1" t="s">
        <v>152</v>
      </c>
      <c r="V2174" s="1" t="s">
        <v>47</v>
      </c>
      <c r="W2174" s="1" t="s">
        <v>48</v>
      </c>
      <c r="X2174" s="1" t="s">
        <v>153</v>
      </c>
      <c r="Y2174" s="1" t="s">
        <v>154</v>
      </c>
      <c r="Z2174" s="1" t="str">
        <f>TRIM(_xlfn.CONCAT(sales_data_sample[[#This Row],[CONTACTFIRSTNAME]],", ",sales_data_sample[[#This Row],[CONTACTLASTNAME]]))</f>
        <v>Janine, Labrune</v>
      </c>
      <c r="AA2174" s="1" t="s">
        <v>59</v>
      </c>
    </row>
    <row r="2175" spans="1:27" x14ac:dyDescent="0.25">
      <c r="A2175" s="10">
        <v>10107</v>
      </c>
      <c r="B2175" s="9">
        <v>20</v>
      </c>
      <c r="C2175" s="9">
        <v>929</v>
      </c>
      <c r="D2175" s="9">
        <f>PRODUCT(sales_data_sample[[#This Row],[QUANTITYORDERED]],sales_data_sample[[#This Row],[PRICEEACH]])</f>
        <v>18580</v>
      </c>
      <c r="E2175" s="9">
        <f>IF(OR(sales_data_sample[[#This Row],[STATUS]]="Shipped",sales_data_sample[[#This Row],[STATUS]]="Resolved"),sales_data_sample[[#This Row],[SALES]],0)</f>
        <v>18580</v>
      </c>
      <c r="F2175" s="10">
        <v>8</v>
      </c>
      <c r="G2175" s="12" t="s">
        <v>25</v>
      </c>
      <c r="H2175" s="1" t="s">
        <v>26</v>
      </c>
      <c r="I2175">
        <v>1</v>
      </c>
      <c r="J2175">
        <v>2</v>
      </c>
      <c r="K2175">
        <v>2003</v>
      </c>
      <c r="L2175" s="1" t="s">
        <v>27</v>
      </c>
      <c r="M2175">
        <v>99</v>
      </c>
      <c r="N2175" s="1" t="s">
        <v>986</v>
      </c>
      <c r="O2175" s="1" t="s">
        <v>29</v>
      </c>
      <c r="P2175" s="1" t="s">
        <v>30</v>
      </c>
      <c r="Q2175" s="1" t="s">
        <v>31</v>
      </c>
      <c r="R2175" s="1" t="s">
        <v>32</v>
      </c>
      <c r="S2175" s="1" t="s">
        <v>33</v>
      </c>
      <c r="T2175" s="1" t="s">
        <v>34</v>
      </c>
      <c r="U2175" s="1" t="s">
        <v>35</v>
      </c>
      <c r="V2175" s="1" t="s">
        <v>36</v>
      </c>
      <c r="W2175" s="1" t="s">
        <v>37</v>
      </c>
      <c r="X2175" s="1" t="s">
        <v>38</v>
      </c>
      <c r="Y2175" s="1" t="s">
        <v>39</v>
      </c>
      <c r="Z2175" s="1" t="str">
        <f>TRIM(_xlfn.CONCAT(sales_data_sample[[#This Row],[CONTACTFIRSTNAME]],", ",sales_data_sample[[#This Row],[CONTACTLASTNAME]]))</f>
        <v>Kwai, Yu</v>
      </c>
      <c r="AA2175" s="1" t="s">
        <v>40</v>
      </c>
    </row>
    <row r="2176" spans="1:27" x14ac:dyDescent="0.25">
      <c r="A2176">
        <v>10120</v>
      </c>
      <c r="B2176">
        <v>22</v>
      </c>
      <c r="C2176">
        <v>100</v>
      </c>
      <c r="D2176">
        <f>PRODUCT(sales_data_sample[[#This Row],[QUANTITYORDERED]],sales_data_sample[[#This Row],[PRICEEACH]])</f>
        <v>2200</v>
      </c>
      <c r="E2176" s="9">
        <f>IF(OR(sales_data_sample[[#This Row],[STATUS]]="Shipped",sales_data_sample[[#This Row],[STATUS]]="Resolved"),sales_data_sample[[#This Row],[SALES]],0)</f>
        <v>2200</v>
      </c>
      <c r="F2176">
        <v>6</v>
      </c>
      <c r="G2176" s="12" t="s">
        <v>405</v>
      </c>
      <c r="H2176" s="1" t="s">
        <v>26</v>
      </c>
      <c r="I2176">
        <v>2</v>
      </c>
      <c r="J2176">
        <v>4</v>
      </c>
      <c r="K2176">
        <v>2003</v>
      </c>
      <c r="L2176" s="1" t="s">
        <v>27</v>
      </c>
      <c r="M2176">
        <v>99</v>
      </c>
      <c r="N2176" s="1" t="s">
        <v>986</v>
      </c>
      <c r="O2176" s="1" t="s">
        <v>113</v>
      </c>
      <c r="P2176" s="1" t="s">
        <v>114</v>
      </c>
      <c r="Q2176" s="1" t="s">
        <v>115</v>
      </c>
      <c r="R2176" s="1" t="s">
        <v>116</v>
      </c>
      <c r="S2176" s="1" t="s">
        <v>117</v>
      </c>
      <c r="T2176" s="1" t="s">
        <v>118</v>
      </c>
      <c r="U2176" s="1" t="s">
        <v>119</v>
      </c>
      <c r="V2176" s="1" t="s">
        <v>120</v>
      </c>
      <c r="W2176" s="1" t="s">
        <v>121</v>
      </c>
      <c r="X2176" s="1" t="s">
        <v>122</v>
      </c>
      <c r="Y2176" s="1" t="s">
        <v>123</v>
      </c>
      <c r="Z2176" s="1" t="str">
        <f>TRIM(_xlfn.CONCAT(sales_data_sample[[#This Row],[CONTACTFIRSTNAME]],", ",sales_data_sample[[#This Row],[CONTACTLASTNAME]]))</f>
        <v>Peter, Ferguson</v>
      </c>
      <c r="AA2176" s="1" t="s">
        <v>40</v>
      </c>
    </row>
    <row r="2177" spans="1:27" x14ac:dyDescent="0.25">
      <c r="A2177" s="10">
        <v>10133</v>
      </c>
      <c r="B2177" s="9">
        <v>23</v>
      </c>
      <c r="C2177" s="9">
        <v>100</v>
      </c>
      <c r="D2177" s="9">
        <f>PRODUCT(sales_data_sample[[#This Row],[QUANTITYORDERED]],sales_data_sample[[#This Row],[PRICEEACH]])</f>
        <v>2300</v>
      </c>
      <c r="E2177" s="9">
        <f>IF(OR(sales_data_sample[[#This Row],[STATUS]]="Shipped",sales_data_sample[[#This Row],[STATUS]]="Resolved"),sales_data_sample[[#This Row],[SALES]],0)</f>
        <v>2300</v>
      </c>
      <c r="F2177" s="10">
        <v>1</v>
      </c>
      <c r="G2177" s="12" t="s">
        <v>891</v>
      </c>
      <c r="H2177" s="1" t="s">
        <v>26</v>
      </c>
      <c r="I2177">
        <v>2</v>
      </c>
      <c r="J2177">
        <v>6</v>
      </c>
      <c r="K2177">
        <v>2003</v>
      </c>
      <c r="L2177" s="1" t="s">
        <v>27</v>
      </c>
      <c r="M2177">
        <v>99</v>
      </c>
      <c r="N2177" s="1" t="s">
        <v>986</v>
      </c>
      <c r="O2177" s="1" t="s">
        <v>230</v>
      </c>
      <c r="P2177" s="1" t="s">
        <v>231</v>
      </c>
      <c r="Q2177" s="1" t="s">
        <v>232</v>
      </c>
      <c r="R2177" s="1" t="s">
        <v>32</v>
      </c>
      <c r="S2177" s="1" t="s">
        <v>233</v>
      </c>
      <c r="T2177" s="1" t="s">
        <v>32</v>
      </c>
      <c r="U2177" s="1" t="s">
        <v>234</v>
      </c>
      <c r="V2177" s="1" t="s">
        <v>235</v>
      </c>
      <c r="W2177" s="1" t="s">
        <v>48</v>
      </c>
      <c r="X2177" s="1" t="s">
        <v>236</v>
      </c>
      <c r="Y2177" s="1" t="s">
        <v>237</v>
      </c>
      <c r="Z2177" s="1" t="str">
        <f>TRIM(_xlfn.CONCAT(sales_data_sample[[#This Row],[CONTACTFIRSTNAME]],", ",sales_data_sample[[#This Row],[CONTACTLASTNAME]]))</f>
        <v>Diego, Freyre</v>
      </c>
      <c r="AA2177" s="1" t="s">
        <v>40</v>
      </c>
    </row>
    <row r="2178" spans="1:27" x14ac:dyDescent="0.25">
      <c r="A2178" s="10">
        <v>10145</v>
      </c>
      <c r="B2178" s="9">
        <v>33</v>
      </c>
      <c r="C2178" s="9">
        <v>939</v>
      </c>
      <c r="D2178" s="9">
        <f>PRODUCT(sales_data_sample[[#This Row],[QUANTITYORDERED]],sales_data_sample[[#This Row],[PRICEEACH]])</f>
        <v>30987</v>
      </c>
      <c r="E2178" s="9">
        <f>IF(OR(sales_data_sample[[#This Row],[STATUS]]="Shipped",sales_data_sample[[#This Row],[STATUS]]="Resolved"),sales_data_sample[[#This Row],[SALES]],0)</f>
        <v>30987</v>
      </c>
      <c r="F2178" s="10">
        <v>12</v>
      </c>
      <c r="G2178" s="12" t="s">
        <v>60</v>
      </c>
      <c r="H2178" s="1" t="s">
        <v>26</v>
      </c>
      <c r="I2178">
        <v>3</v>
      </c>
      <c r="J2178">
        <v>8</v>
      </c>
      <c r="K2178">
        <v>2003</v>
      </c>
      <c r="L2178" s="1" t="s">
        <v>27</v>
      </c>
      <c r="M2178">
        <v>99</v>
      </c>
      <c r="N2178" s="1" t="s">
        <v>986</v>
      </c>
      <c r="O2178" s="1" t="s">
        <v>61</v>
      </c>
      <c r="P2178" s="1" t="s">
        <v>62</v>
      </c>
      <c r="Q2178" s="1" t="s">
        <v>63</v>
      </c>
      <c r="R2178" s="1" t="s">
        <v>32</v>
      </c>
      <c r="S2178" s="1" t="s">
        <v>64</v>
      </c>
      <c r="T2178" s="1" t="s">
        <v>65</v>
      </c>
      <c r="U2178" s="1" t="s">
        <v>66</v>
      </c>
      <c r="V2178" s="1" t="s">
        <v>36</v>
      </c>
      <c r="W2178" s="1" t="s">
        <v>37</v>
      </c>
      <c r="X2178" s="1" t="s">
        <v>67</v>
      </c>
      <c r="Y2178" s="1" t="s">
        <v>68</v>
      </c>
      <c r="Z2178" s="1" t="str">
        <f>TRIM(_xlfn.CONCAT(sales_data_sample[[#This Row],[CONTACTFIRSTNAME]],", ",sales_data_sample[[#This Row],[CONTACTLASTNAME]]))</f>
        <v>Julie, Young</v>
      </c>
      <c r="AA2178" s="1" t="s">
        <v>59</v>
      </c>
    </row>
    <row r="2179" spans="1:27" x14ac:dyDescent="0.25">
      <c r="A2179" s="10">
        <v>10168</v>
      </c>
      <c r="B2179" s="9">
        <v>28</v>
      </c>
      <c r="C2179" s="9">
        <v>100</v>
      </c>
      <c r="D2179" s="9">
        <f>PRODUCT(sales_data_sample[[#This Row],[QUANTITYORDERED]],sales_data_sample[[#This Row],[PRICEEACH]])</f>
        <v>2800</v>
      </c>
      <c r="E2179" s="9">
        <f>IF(OR(sales_data_sample[[#This Row],[STATUS]]="Shipped",sales_data_sample[[#This Row],[STATUS]]="Resolved"),sales_data_sample[[#This Row],[SALES]],0)</f>
        <v>2800</v>
      </c>
      <c r="F2179" s="10">
        <v>7</v>
      </c>
      <c r="G2179" s="12" t="s">
        <v>75</v>
      </c>
      <c r="H2179" s="1" t="s">
        <v>26</v>
      </c>
      <c r="I2179">
        <v>4</v>
      </c>
      <c r="J2179">
        <v>10</v>
      </c>
      <c r="K2179">
        <v>2003</v>
      </c>
      <c r="L2179" s="1" t="s">
        <v>27</v>
      </c>
      <c r="M2179">
        <v>99</v>
      </c>
      <c r="N2179" s="1" t="s">
        <v>986</v>
      </c>
      <c r="O2179" s="1" t="s">
        <v>76</v>
      </c>
      <c r="P2179" s="1" t="s">
        <v>77</v>
      </c>
      <c r="Q2179" s="1" t="s">
        <v>78</v>
      </c>
      <c r="R2179" s="1" t="s">
        <v>32</v>
      </c>
      <c r="S2179" s="1" t="s">
        <v>79</v>
      </c>
      <c r="T2179" s="1" t="s">
        <v>65</v>
      </c>
      <c r="U2179" s="1" t="s">
        <v>80</v>
      </c>
      <c r="V2179" s="1" t="s">
        <v>36</v>
      </c>
      <c r="W2179" s="1" t="s">
        <v>37</v>
      </c>
      <c r="X2179" s="1" t="s">
        <v>81</v>
      </c>
      <c r="Y2179" s="1" t="s">
        <v>82</v>
      </c>
      <c r="Z2179" s="1" t="str">
        <f>TRIM(_xlfn.CONCAT(sales_data_sample[[#This Row],[CONTACTFIRSTNAME]],", ",sales_data_sample[[#This Row],[CONTACTLASTNAME]]))</f>
        <v>Juri, Hirano</v>
      </c>
      <c r="AA2179" s="1" t="s">
        <v>59</v>
      </c>
    </row>
    <row r="2180" spans="1:27" x14ac:dyDescent="0.25">
      <c r="A2180" s="10">
        <v>10188</v>
      </c>
      <c r="B2180" s="9">
        <v>44</v>
      </c>
      <c r="C2180" s="9">
        <v>9889</v>
      </c>
      <c r="D2180" s="9">
        <f>PRODUCT(sales_data_sample[[#This Row],[QUANTITYORDERED]],sales_data_sample[[#This Row],[PRICEEACH]])</f>
        <v>435116</v>
      </c>
      <c r="E2180" s="9">
        <f>IF(OR(sales_data_sample[[#This Row],[STATUS]]="Shipped",sales_data_sample[[#This Row],[STATUS]]="Resolved"),sales_data_sample[[#This Row],[SALES]],0)</f>
        <v>435116</v>
      </c>
      <c r="F2180" s="10">
        <v>7</v>
      </c>
      <c r="G2180" s="12" t="s">
        <v>91</v>
      </c>
      <c r="H2180" s="1" t="s">
        <v>26</v>
      </c>
      <c r="I2180">
        <v>4</v>
      </c>
      <c r="J2180">
        <v>11</v>
      </c>
      <c r="K2180">
        <v>2003</v>
      </c>
      <c r="L2180" s="1" t="s">
        <v>27</v>
      </c>
      <c r="M2180">
        <v>99</v>
      </c>
      <c r="N2180" s="1" t="s">
        <v>986</v>
      </c>
      <c r="O2180" s="1" t="s">
        <v>92</v>
      </c>
      <c r="P2180" s="1" t="s">
        <v>93</v>
      </c>
      <c r="Q2180" s="1" t="s">
        <v>94</v>
      </c>
      <c r="R2180" s="1" t="s">
        <v>32</v>
      </c>
      <c r="S2180" s="1" t="s">
        <v>95</v>
      </c>
      <c r="T2180" s="1" t="s">
        <v>32</v>
      </c>
      <c r="U2180" s="1" t="s">
        <v>96</v>
      </c>
      <c r="V2180" s="1" t="s">
        <v>97</v>
      </c>
      <c r="W2180" s="1" t="s">
        <v>48</v>
      </c>
      <c r="X2180" s="1" t="s">
        <v>98</v>
      </c>
      <c r="Y2180" s="1" t="s">
        <v>99</v>
      </c>
      <c r="Z2180" s="1" t="str">
        <f>TRIM(_xlfn.CONCAT(sales_data_sample[[#This Row],[CONTACTFIRSTNAME]],", ",sales_data_sample[[#This Row],[CONTACTLASTNAME]]))</f>
        <v>Veysel, Oeztan</v>
      </c>
      <c r="AA2180" s="1" t="s">
        <v>59</v>
      </c>
    </row>
    <row r="2181" spans="1:27" x14ac:dyDescent="0.25">
      <c r="A2181" s="10">
        <v>10210</v>
      </c>
      <c r="B2181" s="9">
        <v>46</v>
      </c>
      <c r="C2181" s="9">
        <v>7991</v>
      </c>
      <c r="D2181" s="9">
        <f>PRODUCT(sales_data_sample[[#This Row],[QUANTITYORDERED]],sales_data_sample[[#This Row],[PRICEEACH]])</f>
        <v>367586</v>
      </c>
      <c r="E2181" s="9">
        <f>IF(OR(sales_data_sample[[#This Row],[STATUS]]="Shipped",sales_data_sample[[#This Row],[STATUS]]="Resolved"),sales_data_sample[[#This Row],[SALES]],0)</f>
        <v>367586</v>
      </c>
      <c r="F2181" s="10">
        <v>5</v>
      </c>
      <c r="G2181" s="12" t="s">
        <v>406</v>
      </c>
      <c r="H2181" s="1" t="s">
        <v>26</v>
      </c>
      <c r="I2181">
        <v>1</v>
      </c>
      <c r="J2181">
        <v>1</v>
      </c>
      <c r="K2181">
        <v>2004</v>
      </c>
      <c r="L2181" s="1" t="s">
        <v>27</v>
      </c>
      <c r="M2181">
        <v>99</v>
      </c>
      <c r="N2181" s="1" t="s">
        <v>986</v>
      </c>
      <c r="O2181" s="1" t="s">
        <v>407</v>
      </c>
      <c r="P2181" s="1" t="s">
        <v>408</v>
      </c>
      <c r="Q2181" s="1" t="s">
        <v>409</v>
      </c>
      <c r="R2181" s="1" t="s">
        <v>32</v>
      </c>
      <c r="S2181" s="1" t="s">
        <v>410</v>
      </c>
      <c r="T2181" s="1" t="s">
        <v>410</v>
      </c>
      <c r="U2181" s="1" t="s">
        <v>411</v>
      </c>
      <c r="V2181" s="1" t="s">
        <v>264</v>
      </c>
      <c r="W2181" s="1" t="s">
        <v>264</v>
      </c>
      <c r="X2181" s="1" t="s">
        <v>412</v>
      </c>
      <c r="Y2181" s="1" t="s">
        <v>413</v>
      </c>
      <c r="Z2181" s="1" t="str">
        <f>TRIM(_xlfn.CONCAT(sales_data_sample[[#This Row],[CONTACTFIRSTNAME]],", ",sales_data_sample[[#This Row],[CONTACTLASTNAME]]))</f>
        <v>Mory, Kentary</v>
      </c>
      <c r="AA2181" s="1" t="s">
        <v>59</v>
      </c>
    </row>
    <row r="2182" spans="1:27" x14ac:dyDescent="0.25">
      <c r="A2182">
        <v>10223</v>
      </c>
      <c r="B2182">
        <v>21</v>
      </c>
      <c r="C2182">
        <v>100</v>
      </c>
      <c r="D2182">
        <f>PRODUCT(sales_data_sample[[#This Row],[QUANTITYORDERED]],sales_data_sample[[#This Row],[PRICEEACH]])</f>
        <v>2100</v>
      </c>
      <c r="E2182" s="9">
        <f>IF(OR(sales_data_sample[[#This Row],[STATUS]]="Shipped",sales_data_sample[[#This Row],[STATUS]]="Resolved"),sales_data_sample[[#This Row],[SALES]],0)</f>
        <v>2100</v>
      </c>
      <c r="F2182">
        <v>7</v>
      </c>
      <c r="G2182" s="12" t="s">
        <v>112</v>
      </c>
      <c r="H2182" s="1" t="s">
        <v>26</v>
      </c>
      <c r="I2182">
        <v>1</v>
      </c>
      <c r="J2182">
        <v>2</v>
      </c>
      <c r="K2182">
        <v>2004</v>
      </c>
      <c r="L2182" s="1" t="s">
        <v>27</v>
      </c>
      <c r="M2182">
        <v>99</v>
      </c>
      <c r="N2182" s="1" t="s">
        <v>986</v>
      </c>
      <c r="O2182" s="1" t="s">
        <v>113</v>
      </c>
      <c r="P2182" s="1" t="s">
        <v>114</v>
      </c>
      <c r="Q2182" s="1" t="s">
        <v>115</v>
      </c>
      <c r="R2182" s="1" t="s">
        <v>116</v>
      </c>
      <c r="S2182" s="1" t="s">
        <v>117</v>
      </c>
      <c r="T2182" s="1" t="s">
        <v>118</v>
      </c>
      <c r="U2182" s="1" t="s">
        <v>119</v>
      </c>
      <c r="V2182" s="1" t="s">
        <v>120</v>
      </c>
      <c r="W2182" s="1" t="s">
        <v>121</v>
      </c>
      <c r="X2182" s="1" t="s">
        <v>122</v>
      </c>
      <c r="Y2182" s="1" t="s">
        <v>123</v>
      </c>
      <c r="Z2182" s="1" t="str">
        <f>TRIM(_xlfn.CONCAT(sales_data_sample[[#This Row],[CONTACTFIRSTNAME]],", ",sales_data_sample[[#This Row],[CONTACTLASTNAME]]))</f>
        <v>Peter, Ferguson</v>
      </c>
      <c r="AA2182" s="1" t="s">
        <v>40</v>
      </c>
    </row>
    <row r="2183" spans="1:27" x14ac:dyDescent="0.25">
      <c r="A2183" s="10">
        <v>10235</v>
      </c>
      <c r="B2183" s="9">
        <v>41</v>
      </c>
      <c r="C2183" s="9">
        <v>100</v>
      </c>
      <c r="D2183" s="9">
        <f>PRODUCT(sales_data_sample[[#This Row],[QUANTITYORDERED]],sales_data_sample[[#This Row],[PRICEEACH]])</f>
        <v>4100</v>
      </c>
      <c r="E2183" s="9">
        <f>IF(OR(sales_data_sample[[#This Row],[STATUS]]="Shipped",sales_data_sample[[#This Row],[STATUS]]="Resolved"),sales_data_sample[[#This Row],[SALES]],0)</f>
        <v>4100</v>
      </c>
      <c r="F2183" s="10">
        <v>1</v>
      </c>
      <c r="G2183" s="12" t="s">
        <v>892</v>
      </c>
      <c r="H2183" s="1" t="s">
        <v>26</v>
      </c>
      <c r="I2183">
        <v>2</v>
      </c>
      <c r="J2183">
        <v>4</v>
      </c>
      <c r="K2183">
        <v>2004</v>
      </c>
      <c r="L2183" s="1" t="s">
        <v>27</v>
      </c>
      <c r="M2183">
        <v>99</v>
      </c>
      <c r="N2183" s="1" t="s">
        <v>986</v>
      </c>
      <c r="O2183" s="1" t="s">
        <v>509</v>
      </c>
      <c r="P2183" s="1" t="s">
        <v>510</v>
      </c>
      <c r="Q2183" s="1" t="s">
        <v>511</v>
      </c>
      <c r="R2183" s="1" t="s">
        <v>32</v>
      </c>
      <c r="S2183" s="1" t="s">
        <v>512</v>
      </c>
      <c r="T2183" s="1" t="s">
        <v>303</v>
      </c>
      <c r="U2183" s="1" t="s">
        <v>513</v>
      </c>
      <c r="V2183" s="1" t="s">
        <v>305</v>
      </c>
      <c r="W2183" s="1" t="s">
        <v>37</v>
      </c>
      <c r="X2183" s="1" t="s">
        <v>514</v>
      </c>
      <c r="Y2183" s="1" t="s">
        <v>227</v>
      </c>
      <c r="Z2183" s="1" t="str">
        <f>TRIM(_xlfn.CONCAT(sales_data_sample[[#This Row],[CONTACTFIRSTNAME]],", ",sales_data_sample[[#This Row],[CONTACTLASTNAME]]))</f>
        <v>Elizabeth, Lincoln</v>
      </c>
      <c r="AA2183" s="1" t="s">
        <v>59</v>
      </c>
    </row>
    <row r="2184" spans="1:27" x14ac:dyDescent="0.25">
      <c r="A2184" s="10">
        <v>10250</v>
      </c>
      <c r="B2184" s="9">
        <v>31</v>
      </c>
      <c r="C2184" s="9">
        <v>100</v>
      </c>
      <c r="D2184" s="9">
        <f>PRODUCT(sales_data_sample[[#This Row],[QUANTITYORDERED]],sales_data_sample[[#This Row],[PRICEEACH]])</f>
        <v>3100</v>
      </c>
      <c r="E2184" s="9">
        <f>IF(OR(sales_data_sample[[#This Row],[STATUS]]="Shipped",sales_data_sample[[#This Row],[STATUS]]="Resolved"),sales_data_sample[[#This Row],[SALES]],0)</f>
        <v>3100</v>
      </c>
      <c r="F2184" s="10">
        <v>2</v>
      </c>
      <c r="G2184" s="12" t="s">
        <v>849</v>
      </c>
      <c r="H2184" s="1" t="s">
        <v>26</v>
      </c>
      <c r="I2184">
        <v>2</v>
      </c>
      <c r="J2184">
        <v>5</v>
      </c>
      <c r="K2184">
        <v>2004</v>
      </c>
      <c r="L2184" s="1" t="s">
        <v>27</v>
      </c>
      <c r="M2184">
        <v>99</v>
      </c>
      <c r="N2184" s="1" t="s">
        <v>986</v>
      </c>
      <c r="O2184" s="1" t="s">
        <v>547</v>
      </c>
      <c r="P2184" s="1" t="s">
        <v>548</v>
      </c>
      <c r="Q2184" s="1" t="s">
        <v>549</v>
      </c>
      <c r="R2184" s="1" t="s">
        <v>32</v>
      </c>
      <c r="S2184" s="1" t="s">
        <v>550</v>
      </c>
      <c r="T2184" s="1" t="s">
        <v>65</v>
      </c>
      <c r="U2184" s="1" t="s">
        <v>80</v>
      </c>
      <c r="V2184" s="1" t="s">
        <v>36</v>
      </c>
      <c r="W2184" s="1" t="s">
        <v>37</v>
      </c>
      <c r="X2184" s="1" t="s">
        <v>129</v>
      </c>
      <c r="Y2184" s="1" t="s">
        <v>551</v>
      </c>
      <c r="Z2184" s="1" t="str">
        <f>TRIM(_xlfn.CONCAT(sales_data_sample[[#This Row],[CONTACTFIRSTNAME]],", ",sales_data_sample[[#This Row],[CONTACTLASTNAME]]))</f>
        <v>Sue, Frick</v>
      </c>
      <c r="AA2184" s="1" t="s">
        <v>59</v>
      </c>
    </row>
    <row r="2185" spans="1:27" x14ac:dyDescent="0.25">
      <c r="A2185" s="10">
        <v>10263</v>
      </c>
      <c r="B2185" s="9">
        <v>31</v>
      </c>
      <c r="C2185" s="9">
        <v>7991</v>
      </c>
      <c r="D2185" s="9">
        <f>PRODUCT(sales_data_sample[[#This Row],[QUANTITYORDERED]],sales_data_sample[[#This Row],[PRICEEACH]])</f>
        <v>247721</v>
      </c>
      <c r="E2185" s="9">
        <f>IF(OR(sales_data_sample[[#This Row],[STATUS]]="Shipped",sales_data_sample[[#This Row],[STATUS]]="Resolved"),sales_data_sample[[#This Row],[SALES]],0)</f>
        <v>247721</v>
      </c>
      <c r="F2185" s="10">
        <v>8</v>
      </c>
      <c r="G2185" s="12" t="s">
        <v>139</v>
      </c>
      <c r="H2185" s="1" t="s">
        <v>26</v>
      </c>
      <c r="I2185">
        <v>2</v>
      </c>
      <c r="J2185">
        <v>6</v>
      </c>
      <c r="K2185">
        <v>2004</v>
      </c>
      <c r="L2185" s="1" t="s">
        <v>27</v>
      </c>
      <c r="M2185">
        <v>99</v>
      </c>
      <c r="N2185" s="1" t="s">
        <v>986</v>
      </c>
      <c r="O2185" s="1" t="s">
        <v>140</v>
      </c>
      <c r="P2185" s="1" t="s">
        <v>141</v>
      </c>
      <c r="Q2185" s="1" t="s">
        <v>142</v>
      </c>
      <c r="R2185" s="1" t="s">
        <v>32</v>
      </c>
      <c r="S2185" s="1" t="s">
        <v>143</v>
      </c>
      <c r="T2185" s="1" t="s">
        <v>144</v>
      </c>
      <c r="U2185" s="1" t="s">
        <v>145</v>
      </c>
      <c r="V2185" s="1" t="s">
        <v>36</v>
      </c>
      <c r="W2185" s="1" t="s">
        <v>37</v>
      </c>
      <c r="X2185" s="1" t="s">
        <v>146</v>
      </c>
      <c r="Y2185" s="1" t="s">
        <v>68</v>
      </c>
      <c r="Z2185" s="1" t="str">
        <f>TRIM(_xlfn.CONCAT(sales_data_sample[[#This Row],[CONTACTFIRSTNAME]],", ",sales_data_sample[[#This Row],[CONTACTLASTNAME]]))</f>
        <v>Julie, King</v>
      </c>
      <c r="AA2185" s="1" t="s">
        <v>40</v>
      </c>
    </row>
    <row r="2186" spans="1:27" x14ac:dyDescent="0.25">
      <c r="A2186" s="10">
        <v>10275</v>
      </c>
      <c r="B2186" s="9">
        <v>23</v>
      </c>
      <c r="C2186" s="9">
        <v>8191</v>
      </c>
      <c r="D2186" s="9">
        <f>PRODUCT(sales_data_sample[[#This Row],[QUANTITYORDERED]],sales_data_sample[[#This Row],[PRICEEACH]])</f>
        <v>188393</v>
      </c>
      <c r="E2186" s="9">
        <f>IF(OR(sales_data_sample[[#This Row],[STATUS]]="Shipped",sales_data_sample[[#This Row],[STATUS]]="Resolved"),sales_data_sample[[#This Row],[SALES]],0)</f>
        <v>188393</v>
      </c>
      <c r="F2186" s="10">
        <v>7</v>
      </c>
      <c r="G2186" s="12" t="s">
        <v>147</v>
      </c>
      <c r="H2186" s="1" t="s">
        <v>26</v>
      </c>
      <c r="I2186">
        <v>3</v>
      </c>
      <c r="J2186">
        <v>7</v>
      </c>
      <c r="K2186">
        <v>2004</v>
      </c>
      <c r="L2186" s="1" t="s">
        <v>27</v>
      </c>
      <c r="M2186">
        <v>99</v>
      </c>
      <c r="N2186" s="1" t="s">
        <v>986</v>
      </c>
      <c r="O2186" s="1" t="s">
        <v>148</v>
      </c>
      <c r="P2186" s="1" t="s">
        <v>149</v>
      </c>
      <c r="Q2186" s="1" t="s">
        <v>150</v>
      </c>
      <c r="R2186" s="1" t="s">
        <v>32</v>
      </c>
      <c r="S2186" s="1" t="s">
        <v>151</v>
      </c>
      <c r="T2186" s="1" t="s">
        <v>32</v>
      </c>
      <c r="U2186" s="1" t="s">
        <v>152</v>
      </c>
      <c r="V2186" s="1" t="s">
        <v>47</v>
      </c>
      <c r="W2186" s="1" t="s">
        <v>48</v>
      </c>
      <c r="X2186" s="1" t="s">
        <v>153</v>
      </c>
      <c r="Y2186" s="1" t="s">
        <v>154</v>
      </c>
      <c r="Z2186" s="1" t="str">
        <f>TRIM(_xlfn.CONCAT(sales_data_sample[[#This Row],[CONTACTFIRSTNAME]],", ",sales_data_sample[[#This Row],[CONTACTLASTNAME]]))</f>
        <v>Janine, Labrune</v>
      </c>
      <c r="AA2186" s="1" t="s">
        <v>40</v>
      </c>
    </row>
    <row r="2187" spans="1:27" x14ac:dyDescent="0.25">
      <c r="A2187" s="10">
        <v>10285</v>
      </c>
      <c r="B2187" s="9">
        <v>37</v>
      </c>
      <c r="C2187" s="9">
        <v>9889</v>
      </c>
      <c r="D2187" s="9">
        <f>PRODUCT(sales_data_sample[[#This Row],[QUANTITYORDERED]],sales_data_sample[[#This Row],[PRICEEACH]])</f>
        <v>365893</v>
      </c>
      <c r="E2187" s="9">
        <f>IF(OR(sales_data_sample[[#This Row],[STATUS]]="Shipped",sales_data_sample[[#This Row],[STATUS]]="Resolved"),sales_data_sample[[#This Row],[SALES]],0)</f>
        <v>365893</v>
      </c>
      <c r="F2187" s="10">
        <v>12</v>
      </c>
      <c r="G2187" s="12" t="s">
        <v>155</v>
      </c>
      <c r="H2187" s="1" t="s">
        <v>26</v>
      </c>
      <c r="I2187">
        <v>3</v>
      </c>
      <c r="J2187">
        <v>8</v>
      </c>
      <c r="K2187">
        <v>2004</v>
      </c>
      <c r="L2187" s="1" t="s">
        <v>27</v>
      </c>
      <c r="M2187">
        <v>99</v>
      </c>
      <c r="N2187" s="1" t="s">
        <v>986</v>
      </c>
      <c r="O2187" s="1" t="s">
        <v>156</v>
      </c>
      <c r="P2187" s="1" t="s">
        <v>157</v>
      </c>
      <c r="Q2187" s="1" t="s">
        <v>158</v>
      </c>
      <c r="R2187" s="1" t="s">
        <v>32</v>
      </c>
      <c r="S2187" s="1" t="s">
        <v>159</v>
      </c>
      <c r="T2187" s="1" t="s">
        <v>160</v>
      </c>
      <c r="U2187" s="1" t="s">
        <v>161</v>
      </c>
      <c r="V2187" s="1" t="s">
        <v>36</v>
      </c>
      <c r="W2187" s="1" t="s">
        <v>37</v>
      </c>
      <c r="X2187" s="1" t="s">
        <v>162</v>
      </c>
      <c r="Y2187" s="1" t="s">
        <v>163</v>
      </c>
      <c r="Z2187" s="1" t="str">
        <f>TRIM(_xlfn.CONCAT(sales_data_sample[[#This Row],[CONTACTFIRSTNAME]],", ",sales_data_sample[[#This Row],[CONTACTLASTNAME]]))</f>
        <v>Marta, Hernandez</v>
      </c>
      <c r="AA2187" s="1" t="s">
        <v>59</v>
      </c>
    </row>
    <row r="2188" spans="1:27" x14ac:dyDescent="0.25">
      <c r="A2188">
        <v>10297</v>
      </c>
      <c r="B2188">
        <v>26</v>
      </c>
      <c r="C2188">
        <v>100</v>
      </c>
      <c r="D2188">
        <f>PRODUCT(sales_data_sample[[#This Row],[QUANTITYORDERED]],sales_data_sample[[#This Row],[PRICEEACH]])</f>
        <v>2600</v>
      </c>
      <c r="E2188" s="9">
        <f>IF(OR(sales_data_sample[[#This Row],[STATUS]]="Shipped",sales_data_sample[[#This Row],[STATUS]]="Resolved"),sales_data_sample[[#This Row],[SALES]],0)</f>
        <v>2600</v>
      </c>
      <c r="F2188">
        <v>2</v>
      </c>
      <c r="G2188" s="12" t="s">
        <v>893</v>
      </c>
      <c r="H2188" s="1" t="s">
        <v>26</v>
      </c>
      <c r="I2188">
        <v>3</v>
      </c>
      <c r="J2188">
        <v>9</v>
      </c>
      <c r="K2188">
        <v>2004</v>
      </c>
      <c r="L2188" s="1" t="s">
        <v>27</v>
      </c>
      <c r="M2188">
        <v>99</v>
      </c>
      <c r="N2188" s="1" t="s">
        <v>986</v>
      </c>
      <c r="O2188" s="1" t="s">
        <v>677</v>
      </c>
      <c r="P2188" s="1" t="s">
        <v>678</v>
      </c>
      <c r="Q2188" s="1" t="s">
        <v>679</v>
      </c>
      <c r="R2188" s="1" t="s">
        <v>680</v>
      </c>
      <c r="S2188" s="1" t="s">
        <v>681</v>
      </c>
      <c r="T2188" s="1" t="s">
        <v>32</v>
      </c>
      <c r="U2188" s="1" t="s">
        <v>682</v>
      </c>
      <c r="V2188" s="1" t="s">
        <v>683</v>
      </c>
      <c r="W2188" s="1" t="s">
        <v>48</v>
      </c>
      <c r="X2188" s="1" t="s">
        <v>684</v>
      </c>
      <c r="Y2188" s="1" t="s">
        <v>685</v>
      </c>
      <c r="Z2188" s="1" t="str">
        <f>TRIM(_xlfn.CONCAT(sales_data_sample[[#This Row],[CONTACTFIRSTNAME]],", ",sales_data_sample[[#This Row],[CONTACTLASTNAME]]))</f>
        <v>Dean, Cassidy</v>
      </c>
      <c r="AA2188" s="1" t="s">
        <v>40</v>
      </c>
    </row>
    <row r="2189" spans="1:27" x14ac:dyDescent="0.25">
      <c r="A2189" s="10">
        <v>10308</v>
      </c>
      <c r="B2189" s="9">
        <v>24</v>
      </c>
      <c r="C2189" s="9">
        <v>7991</v>
      </c>
      <c r="D2189" s="9">
        <f>PRODUCT(sales_data_sample[[#This Row],[QUANTITYORDERED]],sales_data_sample[[#This Row],[PRICEEACH]])</f>
        <v>191784</v>
      </c>
      <c r="E2189" s="9">
        <f>IF(OR(sales_data_sample[[#This Row],[STATUS]]="Shipped",sales_data_sample[[#This Row],[STATUS]]="Resolved"),sales_data_sample[[#This Row],[SALES]],0)</f>
        <v>191784</v>
      </c>
      <c r="F2189" s="10">
        <v>5</v>
      </c>
      <c r="G2189" s="12" t="s">
        <v>173</v>
      </c>
      <c r="H2189" s="1" t="s">
        <v>26</v>
      </c>
      <c r="I2189">
        <v>4</v>
      </c>
      <c r="J2189">
        <v>10</v>
      </c>
      <c r="K2189">
        <v>2004</v>
      </c>
      <c r="L2189" s="1" t="s">
        <v>27</v>
      </c>
      <c r="M2189">
        <v>99</v>
      </c>
      <c r="N2189" s="1" t="s">
        <v>986</v>
      </c>
      <c r="O2189" s="1" t="s">
        <v>425</v>
      </c>
      <c r="P2189" s="1" t="s">
        <v>426</v>
      </c>
      <c r="Q2189" s="1" t="s">
        <v>427</v>
      </c>
      <c r="R2189" s="1" t="s">
        <v>32</v>
      </c>
      <c r="S2189" s="1" t="s">
        <v>428</v>
      </c>
      <c r="T2189" s="1" t="s">
        <v>34</v>
      </c>
      <c r="U2189" s="1" t="s">
        <v>429</v>
      </c>
      <c r="V2189" s="1" t="s">
        <v>36</v>
      </c>
      <c r="W2189" s="1" t="s">
        <v>37</v>
      </c>
      <c r="X2189" s="1" t="s">
        <v>129</v>
      </c>
      <c r="Y2189" s="1" t="s">
        <v>314</v>
      </c>
      <c r="Z2189" s="1" t="str">
        <f>TRIM(_xlfn.CONCAT(sales_data_sample[[#This Row],[CONTACTFIRSTNAME]],", ",sales_data_sample[[#This Row],[CONTACTLASTNAME]]))</f>
        <v>Steve, Frick</v>
      </c>
      <c r="AA2189" s="1" t="s">
        <v>40</v>
      </c>
    </row>
    <row r="2190" spans="1:27" x14ac:dyDescent="0.25">
      <c r="A2190" s="10">
        <v>10318</v>
      </c>
      <c r="B2190" s="9">
        <v>47</v>
      </c>
      <c r="C2190" s="9">
        <v>100</v>
      </c>
      <c r="D2190" s="9">
        <f>PRODUCT(sales_data_sample[[#This Row],[QUANTITYORDERED]],sales_data_sample[[#This Row],[PRICEEACH]])</f>
        <v>4700</v>
      </c>
      <c r="E2190" s="9">
        <f>IF(OR(sales_data_sample[[#This Row],[STATUS]]="Shipped",sales_data_sample[[#This Row],[STATUS]]="Resolved"),sales_data_sample[[#This Row],[SALES]],0)</f>
        <v>4700</v>
      </c>
      <c r="F2190" s="10">
        <v>7</v>
      </c>
      <c r="G2190" s="12" t="s">
        <v>181</v>
      </c>
      <c r="H2190" s="1" t="s">
        <v>26</v>
      </c>
      <c r="I2190">
        <v>4</v>
      </c>
      <c r="J2190">
        <v>11</v>
      </c>
      <c r="K2190">
        <v>2004</v>
      </c>
      <c r="L2190" s="1" t="s">
        <v>27</v>
      </c>
      <c r="M2190">
        <v>99</v>
      </c>
      <c r="N2190" s="1" t="s">
        <v>986</v>
      </c>
      <c r="O2190" s="1" t="s">
        <v>182</v>
      </c>
      <c r="P2190" s="1" t="s">
        <v>183</v>
      </c>
      <c r="Q2190" s="1" t="s">
        <v>184</v>
      </c>
      <c r="R2190" s="1" t="s">
        <v>32</v>
      </c>
      <c r="S2190" s="1" t="s">
        <v>185</v>
      </c>
      <c r="T2190" s="1" t="s">
        <v>186</v>
      </c>
      <c r="U2190" s="1" t="s">
        <v>187</v>
      </c>
      <c r="V2190" s="1" t="s">
        <v>36</v>
      </c>
      <c r="W2190" s="1" t="s">
        <v>37</v>
      </c>
      <c r="X2190" s="1" t="s">
        <v>38</v>
      </c>
      <c r="Y2190" s="1" t="s">
        <v>188</v>
      </c>
      <c r="Z2190" s="1" t="str">
        <f>TRIM(_xlfn.CONCAT(sales_data_sample[[#This Row],[CONTACTFIRSTNAME]],", ",sales_data_sample[[#This Row],[CONTACTLASTNAME]]))</f>
        <v>Kyung, Yu</v>
      </c>
      <c r="AA2190" s="1" t="s">
        <v>59</v>
      </c>
    </row>
    <row r="2191" spans="1:27" x14ac:dyDescent="0.25">
      <c r="A2191" s="10">
        <v>10329</v>
      </c>
      <c r="B2191" s="9">
        <v>45</v>
      </c>
      <c r="C2191" s="9">
        <v>6391</v>
      </c>
      <c r="D2191" s="9">
        <f>PRODUCT(sales_data_sample[[#This Row],[QUANTITYORDERED]],sales_data_sample[[#This Row],[PRICEEACH]])</f>
        <v>287595</v>
      </c>
      <c r="E2191" s="9">
        <f>IF(OR(sales_data_sample[[#This Row],[STATUS]]="Shipped",sales_data_sample[[#This Row],[STATUS]]="Resolved"),sales_data_sample[[#This Row],[SALES]],0)</f>
        <v>287595</v>
      </c>
      <c r="F2191" s="10">
        <v>11</v>
      </c>
      <c r="G2191" s="12" t="s">
        <v>189</v>
      </c>
      <c r="H2191" s="1" t="s">
        <v>26</v>
      </c>
      <c r="I2191">
        <v>4</v>
      </c>
      <c r="J2191">
        <v>11</v>
      </c>
      <c r="K2191">
        <v>2004</v>
      </c>
      <c r="L2191" s="1" t="s">
        <v>27</v>
      </c>
      <c r="M2191">
        <v>99</v>
      </c>
      <c r="N2191" s="1" t="s">
        <v>986</v>
      </c>
      <c r="O2191" s="1" t="s">
        <v>29</v>
      </c>
      <c r="P2191" s="1" t="s">
        <v>30</v>
      </c>
      <c r="Q2191" s="1" t="s">
        <v>31</v>
      </c>
      <c r="R2191" s="1" t="s">
        <v>32</v>
      </c>
      <c r="S2191" s="1" t="s">
        <v>33</v>
      </c>
      <c r="T2191" s="1" t="s">
        <v>34</v>
      </c>
      <c r="U2191" s="1" t="s">
        <v>35</v>
      </c>
      <c r="V2191" s="1" t="s">
        <v>36</v>
      </c>
      <c r="W2191" s="1" t="s">
        <v>37</v>
      </c>
      <c r="X2191" s="1" t="s">
        <v>38</v>
      </c>
      <c r="Y2191" s="1" t="s">
        <v>39</v>
      </c>
      <c r="Z2191" s="1" t="str">
        <f>TRIM(_xlfn.CONCAT(sales_data_sample[[#This Row],[CONTACTFIRSTNAME]],", ",sales_data_sample[[#This Row],[CONTACTLASTNAME]]))</f>
        <v>Kwai, Yu</v>
      </c>
      <c r="AA2191" s="1" t="s">
        <v>40</v>
      </c>
    </row>
    <row r="2192" spans="1:27" x14ac:dyDescent="0.25">
      <c r="A2192" s="10">
        <v>10340</v>
      </c>
      <c r="B2192" s="9">
        <v>55</v>
      </c>
      <c r="C2192" s="9">
        <v>100</v>
      </c>
      <c r="D2192" s="9">
        <f>PRODUCT(sales_data_sample[[#This Row],[QUANTITYORDERED]],sales_data_sample[[#This Row],[PRICEEACH]])</f>
        <v>5500</v>
      </c>
      <c r="E2192" s="9">
        <f>IF(OR(sales_data_sample[[#This Row],[STATUS]]="Shipped",sales_data_sample[[#This Row],[STATUS]]="Resolved"),sales_data_sample[[#This Row],[SALES]],0)</f>
        <v>5500</v>
      </c>
      <c r="F2192" s="10">
        <v>2</v>
      </c>
      <c r="G2192" s="12" t="s">
        <v>190</v>
      </c>
      <c r="H2192" s="1" t="s">
        <v>26</v>
      </c>
      <c r="I2192">
        <v>4</v>
      </c>
      <c r="J2192">
        <v>11</v>
      </c>
      <c r="K2192">
        <v>2004</v>
      </c>
      <c r="L2192" s="1" t="s">
        <v>27</v>
      </c>
      <c r="M2192">
        <v>99</v>
      </c>
      <c r="N2192" s="1" t="s">
        <v>986</v>
      </c>
      <c r="O2192" s="1" t="s">
        <v>478</v>
      </c>
      <c r="P2192" s="1" t="s">
        <v>479</v>
      </c>
      <c r="Q2192" s="1" t="s">
        <v>480</v>
      </c>
      <c r="R2192" s="1" t="s">
        <v>32</v>
      </c>
      <c r="S2192" s="1" t="s">
        <v>481</v>
      </c>
      <c r="T2192" s="1" t="s">
        <v>32</v>
      </c>
      <c r="U2192" s="1" t="s">
        <v>482</v>
      </c>
      <c r="V2192" s="1" t="s">
        <v>235</v>
      </c>
      <c r="W2192" s="1" t="s">
        <v>48</v>
      </c>
      <c r="X2192" s="1" t="s">
        <v>483</v>
      </c>
      <c r="Y2192" s="1" t="s">
        <v>484</v>
      </c>
      <c r="Z2192" s="1" t="str">
        <f>TRIM(_xlfn.CONCAT(sales_data_sample[[#This Row],[CONTACTFIRSTNAME]],", ",sales_data_sample[[#This Row],[CONTACTLASTNAME]]))</f>
        <v>Eduardo, Saavedra</v>
      </c>
      <c r="AA2192" s="1" t="s">
        <v>59</v>
      </c>
    </row>
    <row r="2193" spans="1:27" x14ac:dyDescent="0.25">
      <c r="A2193" s="10">
        <v>10353</v>
      </c>
      <c r="B2193" s="9">
        <v>46</v>
      </c>
      <c r="C2193" s="9">
        <v>8117</v>
      </c>
      <c r="D2193" s="9">
        <f>PRODUCT(sales_data_sample[[#This Row],[QUANTITYORDERED]],sales_data_sample[[#This Row],[PRICEEACH]])</f>
        <v>373382</v>
      </c>
      <c r="E2193" s="9">
        <f>IF(OR(sales_data_sample[[#This Row],[STATUS]]="Shipped",sales_data_sample[[#This Row],[STATUS]]="Resolved"),sales_data_sample[[#This Row],[SALES]],0)</f>
        <v>373382</v>
      </c>
      <c r="F2193" s="10">
        <v>5</v>
      </c>
      <c r="G2193" s="12" t="s">
        <v>894</v>
      </c>
      <c r="H2193" s="1" t="s">
        <v>26</v>
      </c>
      <c r="I2193">
        <v>4</v>
      </c>
      <c r="J2193">
        <v>12</v>
      </c>
      <c r="K2193">
        <v>2004</v>
      </c>
      <c r="L2193" s="1" t="s">
        <v>27</v>
      </c>
      <c r="M2193">
        <v>99</v>
      </c>
      <c r="N2193" s="1" t="s">
        <v>986</v>
      </c>
      <c r="O2193" s="1" t="s">
        <v>842</v>
      </c>
      <c r="P2193" s="1" t="s">
        <v>843</v>
      </c>
      <c r="Q2193" s="1" t="s">
        <v>844</v>
      </c>
      <c r="R2193" s="1" t="s">
        <v>32</v>
      </c>
      <c r="S2193" s="1" t="s">
        <v>734</v>
      </c>
      <c r="T2193" s="1" t="s">
        <v>144</v>
      </c>
      <c r="U2193" s="1" t="s">
        <v>845</v>
      </c>
      <c r="V2193" s="1" t="s">
        <v>36</v>
      </c>
      <c r="W2193" s="1" t="s">
        <v>37</v>
      </c>
      <c r="X2193" s="1" t="s">
        <v>846</v>
      </c>
      <c r="Y2193" s="1" t="s">
        <v>847</v>
      </c>
      <c r="Z2193" s="1" t="str">
        <f>TRIM(_xlfn.CONCAT(sales_data_sample[[#This Row],[CONTACTFIRSTNAME]],", ",sales_data_sample[[#This Row],[CONTACTLASTNAME]]))</f>
        <v>Dan, Lewis</v>
      </c>
      <c r="AA2193" s="1" t="s">
        <v>59</v>
      </c>
    </row>
    <row r="2194" spans="1:27" x14ac:dyDescent="0.25">
      <c r="A2194" s="10">
        <v>10363</v>
      </c>
      <c r="B2194" s="9">
        <v>50</v>
      </c>
      <c r="C2194" s="9">
        <v>100</v>
      </c>
      <c r="D2194" s="9">
        <f>PRODUCT(sales_data_sample[[#This Row],[QUANTITYORDERED]],sales_data_sample[[#This Row],[PRICEEACH]])</f>
        <v>5000</v>
      </c>
      <c r="E2194" s="9">
        <f>IF(OR(sales_data_sample[[#This Row],[STATUS]]="Shipped",sales_data_sample[[#This Row],[STATUS]]="Resolved"),sales_data_sample[[#This Row],[SALES]],0)</f>
        <v>5000</v>
      </c>
      <c r="F2194" s="10">
        <v>2</v>
      </c>
      <c r="G2194" s="12" t="s">
        <v>655</v>
      </c>
      <c r="H2194" s="1" t="s">
        <v>26</v>
      </c>
      <c r="I2194">
        <v>1</v>
      </c>
      <c r="J2194">
        <v>1</v>
      </c>
      <c r="K2194">
        <v>2005</v>
      </c>
      <c r="L2194" s="1" t="s">
        <v>27</v>
      </c>
      <c r="M2194">
        <v>99</v>
      </c>
      <c r="N2194" s="1" t="s">
        <v>986</v>
      </c>
      <c r="O2194" s="1" t="s">
        <v>656</v>
      </c>
      <c r="P2194" s="1" t="s">
        <v>657</v>
      </c>
      <c r="Q2194" s="1" t="s">
        <v>658</v>
      </c>
      <c r="R2194" s="1" t="s">
        <v>32</v>
      </c>
      <c r="S2194" s="1" t="s">
        <v>659</v>
      </c>
      <c r="T2194" s="1" t="s">
        <v>32</v>
      </c>
      <c r="U2194" s="1" t="s">
        <v>660</v>
      </c>
      <c r="V2194" s="1" t="s">
        <v>170</v>
      </c>
      <c r="W2194" s="1" t="s">
        <v>48</v>
      </c>
      <c r="X2194" s="1" t="s">
        <v>661</v>
      </c>
      <c r="Y2194" s="1" t="s">
        <v>662</v>
      </c>
      <c r="Z2194" s="1" t="str">
        <f>TRIM(_xlfn.CONCAT(sales_data_sample[[#This Row],[CONTACTFIRSTNAME]],", ",sales_data_sample[[#This Row],[CONTACTLASTNAME]]))</f>
        <v>Kalle, Suominen</v>
      </c>
      <c r="AA2194" s="1" t="s">
        <v>59</v>
      </c>
    </row>
    <row r="2195" spans="1:27" x14ac:dyDescent="0.25">
      <c r="A2195" s="10">
        <v>10375</v>
      </c>
      <c r="B2195" s="9">
        <v>37</v>
      </c>
      <c r="C2195" s="9">
        <v>100</v>
      </c>
      <c r="D2195" s="9">
        <f>PRODUCT(sales_data_sample[[#This Row],[QUANTITYORDERED]],sales_data_sample[[#This Row],[PRICEEACH]])</f>
        <v>3700</v>
      </c>
      <c r="E2195" s="9">
        <f>IF(OR(sales_data_sample[[#This Row],[STATUS]]="Shipped",sales_data_sample[[#This Row],[STATUS]]="Resolved"),sales_data_sample[[#This Row],[SALES]],0)</f>
        <v>3700</v>
      </c>
      <c r="F2195" s="10">
        <v>3</v>
      </c>
      <c r="G2195" s="12" t="s">
        <v>210</v>
      </c>
      <c r="H2195" s="1" t="s">
        <v>26</v>
      </c>
      <c r="I2195">
        <v>1</v>
      </c>
      <c r="J2195">
        <v>2</v>
      </c>
      <c r="K2195">
        <v>2005</v>
      </c>
      <c r="L2195" s="1" t="s">
        <v>27</v>
      </c>
      <c r="M2195">
        <v>99</v>
      </c>
      <c r="N2195" s="1" t="s">
        <v>986</v>
      </c>
      <c r="O2195" s="1" t="s">
        <v>148</v>
      </c>
      <c r="P2195" s="1" t="s">
        <v>149</v>
      </c>
      <c r="Q2195" s="1" t="s">
        <v>150</v>
      </c>
      <c r="R2195" s="1" t="s">
        <v>32</v>
      </c>
      <c r="S2195" s="1" t="s">
        <v>151</v>
      </c>
      <c r="T2195" s="1" t="s">
        <v>32</v>
      </c>
      <c r="U2195" s="1" t="s">
        <v>152</v>
      </c>
      <c r="V2195" s="1" t="s">
        <v>47</v>
      </c>
      <c r="W2195" s="1" t="s">
        <v>48</v>
      </c>
      <c r="X2195" s="1" t="s">
        <v>153</v>
      </c>
      <c r="Y2195" s="1" t="s">
        <v>154</v>
      </c>
      <c r="Z2195" s="1" t="str">
        <f>TRIM(_xlfn.CONCAT(sales_data_sample[[#This Row],[CONTACTFIRSTNAME]],", ",sales_data_sample[[#This Row],[CONTACTLASTNAME]]))</f>
        <v>Janine, Labrune</v>
      </c>
      <c r="AA2195" s="1" t="s">
        <v>59</v>
      </c>
    </row>
    <row r="2196" spans="1:27" x14ac:dyDescent="0.25">
      <c r="A2196" s="10">
        <v>10387</v>
      </c>
      <c r="B2196" s="9">
        <v>44</v>
      </c>
      <c r="C2196" s="9">
        <v>949</v>
      </c>
      <c r="D2196" s="9">
        <f>PRODUCT(sales_data_sample[[#This Row],[QUANTITYORDERED]],sales_data_sample[[#This Row],[PRICEEACH]])</f>
        <v>41756</v>
      </c>
      <c r="E2196" s="9">
        <f>IF(OR(sales_data_sample[[#This Row],[STATUS]]="Shipped",sales_data_sample[[#This Row],[STATUS]]="Resolved"),sales_data_sample[[#This Row],[SALES]],0)</f>
        <v>41756</v>
      </c>
      <c r="F2196" s="10">
        <v>1</v>
      </c>
      <c r="G2196" s="12" t="s">
        <v>987</v>
      </c>
      <c r="H2196" s="1" t="s">
        <v>26</v>
      </c>
      <c r="I2196">
        <v>1</v>
      </c>
      <c r="J2196">
        <v>3</v>
      </c>
      <c r="K2196">
        <v>2005</v>
      </c>
      <c r="L2196" s="1" t="s">
        <v>27</v>
      </c>
      <c r="M2196">
        <v>99</v>
      </c>
      <c r="N2196" s="1" t="s">
        <v>986</v>
      </c>
      <c r="O2196" s="1" t="s">
        <v>259</v>
      </c>
      <c r="P2196" s="1" t="s">
        <v>260</v>
      </c>
      <c r="Q2196" s="1" t="s">
        <v>261</v>
      </c>
      <c r="R2196" s="1" t="s">
        <v>32</v>
      </c>
      <c r="S2196" s="1" t="s">
        <v>262</v>
      </c>
      <c r="T2196" s="1" t="s">
        <v>32</v>
      </c>
      <c r="U2196" s="1" t="s">
        <v>263</v>
      </c>
      <c r="V2196" s="1" t="s">
        <v>262</v>
      </c>
      <c r="W2196" s="1" t="s">
        <v>264</v>
      </c>
      <c r="X2196" s="1" t="s">
        <v>265</v>
      </c>
      <c r="Y2196" s="1" t="s">
        <v>266</v>
      </c>
      <c r="Z2196" s="1" t="str">
        <f>TRIM(_xlfn.CONCAT(sales_data_sample[[#This Row],[CONTACTFIRSTNAME]],", ",sales_data_sample[[#This Row],[CONTACTLASTNAME]]))</f>
        <v>Eric, Natividad</v>
      </c>
      <c r="AA2196" s="1" t="s">
        <v>59</v>
      </c>
    </row>
    <row r="2197" spans="1:27" x14ac:dyDescent="0.25">
      <c r="A2197" s="10">
        <v>10401</v>
      </c>
      <c r="B2197" s="9">
        <v>49</v>
      </c>
      <c r="C2197" s="9">
        <v>100</v>
      </c>
      <c r="D2197" s="9">
        <f>PRODUCT(sales_data_sample[[#This Row],[QUANTITYORDERED]],sales_data_sample[[#This Row],[PRICEEACH]])</f>
        <v>4900</v>
      </c>
      <c r="E2197" s="9">
        <f>IF(OR(sales_data_sample[[#This Row],[STATUS]]="Shipped",sales_data_sample[[#This Row],[STATUS]]="Resolved"),sales_data_sample[[#This Row],[SALES]],0)</f>
        <v>0</v>
      </c>
      <c r="F2197" s="10">
        <v>1</v>
      </c>
      <c r="G2197" s="12" t="s">
        <v>895</v>
      </c>
      <c r="H2197" s="1" t="s">
        <v>553</v>
      </c>
      <c r="I2197">
        <v>2</v>
      </c>
      <c r="J2197">
        <v>4</v>
      </c>
      <c r="K2197">
        <v>2005</v>
      </c>
      <c r="L2197" s="1" t="s">
        <v>27</v>
      </c>
      <c r="M2197">
        <v>99</v>
      </c>
      <c r="N2197" s="1" t="s">
        <v>986</v>
      </c>
      <c r="O2197" s="1" t="s">
        <v>132</v>
      </c>
      <c r="P2197" s="1" t="s">
        <v>133</v>
      </c>
      <c r="Q2197" s="1" t="s">
        <v>134</v>
      </c>
      <c r="R2197" s="1" t="s">
        <v>32</v>
      </c>
      <c r="S2197" s="1" t="s">
        <v>135</v>
      </c>
      <c r="T2197" s="1" t="s">
        <v>136</v>
      </c>
      <c r="U2197" s="1" t="s">
        <v>137</v>
      </c>
      <c r="V2197" s="1" t="s">
        <v>36</v>
      </c>
      <c r="W2197" s="1" t="s">
        <v>37</v>
      </c>
      <c r="X2197" s="1" t="s">
        <v>74</v>
      </c>
      <c r="Y2197" s="1" t="s">
        <v>138</v>
      </c>
      <c r="Z2197" s="1" t="str">
        <f>TRIM(_xlfn.CONCAT(sales_data_sample[[#This Row],[CONTACTFIRSTNAME]],", ",sales_data_sample[[#This Row],[CONTACTLASTNAME]]))</f>
        <v>William, Brown</v>
      </c>
      <c r="AA2197" s="1" t="s">
        <v>59</v>
      </c>
    </row>
    <row r="2198" spans="1:27" x14ac:dyDescent="0.25">
      <c r="A2198" s="10">
        <v>10416</v>
      </c>
      <c r="B2198" s="9">
        <v>45</v>
      </c>
      <c r="C2198" s="9">
        <v>100</v>
      </c>
      <c r="D2198" s="9">
        <f>PRODUCT(sales_data_sample[[#This Row],[QUANTITYORDERED]],sales_data_sample[[#This Row],[PRICEEACH]])</f>
        <v>4500</v>
      </c>
      <c r="E2198" s="9">
        <f>IF(OR(sales_data_sample[[#This Row],[STATUS]]="Shipped",sales_data_sample[[#This Row],[STATUS]]="Resolved"),sales_data_sample[[#This Row],[SALES]],0)</f>
        <v>4500</v>
      </c>
      <c r="F2198" s="10">
        <v>2</v>
      </c>
      <c r="G2198" s="12" t="s">
        <v>871</v>
      </c>
      <c r="H2198" s="1" t="s">
        <v>26</v>
      </c>
      <c r="I2198">
        <v>2</v>
      </c>
      <c r="J2198">
        <v>5</v>
      </c>
      <c r="K2198">
        <v>2005</v>
      </c>
      <c r="L2198" s="1" t="s">
        <v>27</v>
      </c>
      <c r="M2198">
        <v>99</v>
      </c>
      <c r="N2198" s="1" t="s">
        <v>986</v>
      </c>
      <c r="O2198" s="1" t="s">
        <v>632</v>
      </c>
      <c r="P2198" s="1" t="s">
        <v>633</v>
      </c>
      <c r="Q2198" s="1" t="s">
        <v>634</v>
      </c>
      <c r="R2198" s="1" t="s">
        <v>32</v>
      </c>
      <c r="S2198" s="1" t="s">
        <v>635</v>
      </c>
      <c r="T2198" s="1" t="s">
        <v>32</v>
      </c>
      <c r="U2198" s="1" t="s">
        <v>636</v>
      </c>
      <c r="V2198" s="1" t="s">
        <v>343</v>
      </c>
      <c r="W2198" s="1" t="s">
        <v>48</v>
      </c>
      <c r="X2198" s="1" t="s">
        <v>637</v>
      </c>
      <c r="Y2198" s="1" t="s">
        <v>638</v>
      </c>
      <c r="Z2198" s="1" t="str">
        <f>TRIM(_xlfn.CONCAT(sales_data_sample[[#This Row],[CONTACTFIRSTNAME]],", ",sales_data_sample[[#This Row],[CONTACTLASTNAME]]))</f>
        <v>Maurizio, Moroni</v>
      </c>
      <c r="AA2198" s="1" t="s">
        <v>59</v>
      </c>
    </row>
    <row r="2199" spans="1:27" x14ac:dyDescent="0.25">
      <c r="A2199" s="10">
        <v>10108</v>
      </c>
      <c r="B2199" s="9">
        <v>27</v>
      </c>
      <c r="C2199" s="9">
        <v>4345</v>
      </c>
      <c r="D2199" s="9">
        <f>PRODUCT(sales_data_sample[[#This Row],[QUANTITYORDERED]],sales_data_sample[[#This Row],[PRICEEACH]])</f>
        <v>117315</v>
      </c>
      <c r="E2199" s="9">
        <f>IF(OR(sales_data_sample[[#This Row],[STATUS]]="Shipped",sales_data_sample[[#This Row],[STATUS]]="Resolved"),sales_data_sample[[#This Row],[SALES]],0)</f>
        <v>117315</v>
      </c>
      <c r="F2199" s="10">
        <v>13</v>
      </c>
      <c r="G2199" s="12" t="s">
        <v>589</v>
      </c>
      <c r="H2199" s="1" t="s">
        <v>26</v>
      </c>
      <c r="I2199">
        <v>1</v>
      </c>
      <c r="J2199">
        <v>3</v>
      </c>
      <c r="K2199">
        <v>2003</v>
      </c>
      <c r="L2199" s="1" t="s">
        <v>27</v>
      </c>
      <c r="M2199">
        <v>40</v>
      </c>
      <c r="N2199" s="1" t="s">
        <v>988</v>
      </c>
      <c r="O2199" s="1" t="s">
        <v>591</v>
      </c>
      <c r="P2199" s="1" t="s">
        <v>592</v>
      </c>
      <c r="Q2199" s="1" t="s">
        <v>593</v>
      </c>
      <c r="R2199" s="1" t="s">
        <v>32</v>
      </c>
      <c r="S2199" s="1" t="s">
        <v>594</v>
      </c>
      <c r="T2199" s="1" t="s">
        <v>32</v>
      </c>
      <c r="U2199" s="1" t="s">
        <v>595</v>
      </c>
      <c r="V2199" s="1" t="s">
        <v>596</v>
      </c>
      <c r="W2199" s="1" t="s">
        <v>264</v>
      </c>
      <c r="X2199" s="1" t="s">
        <v>597</v>
      </c>
      <c r="Y2199" s="1" t="s">
        <v>598</v>
      </c>
      <c r="Z2199" s="1" t="str">
        <f>TRIM(_xlfn.CONCAT(sales_data_sample[[#This Row],[CONTACTFIRSTNAME]],", ",sales_data_sample[[#This Row],[CONTACTLASTNAME]]))</f>
        <v>Arnold, Cruz</v>
      </c>
      <c r="AA2199" s="1" t="s">
        <v>40</v>
      </c>
    </row>
    <row r="2200" spans="1:27" x14ac:dyDescent="0.25">
      <c r="A2200" s="10">
        <v>10122</v>
      </c>
      <c r="B2200" s="9">
        <v>31</v>
      </c>
      <c r="C2200" s="9">
        <v>4466</v>
      </c>
      <c r="D2200" s="9">
        <f>PRODUCT(sales_data_sample[[#This Row],[QUANTITYORDERED]],sales_data_sample[[#This Row],[PRICEEACH]])</f>
        <v>138446</v>
      </c>
      <c r="E2200" s="9">
        <f>IF(OR(sales_data_sample[[#This Row],[STATUS]]="Shipped",sales_data_sample[[#This Row],[STATUS]]="Resolved"),sales_data_sample[[#This Row],[SALES]],0)</f>
        <v>138446</v>
      </c>
      <c r="F2200" s="10">
        <v>17</v>
      </c>
      <c r="G2200" s="12" t="s">
        <v>599</v>
      </c>
      <c r="H2200" s="1" t="s">
        <v>26</v>
      </c>
      <c r="I2200">
        <v>2</v>
      </c>
      <c r="J2200">
        <v>5</v>
      </c>
      <c r="K2200">
        <v>2003</v>
      </c>
      <c r="L2200" s="1" t="s">
        <v>27</v>
      </c>
      <c r="M2200">
        <v>40</v>
      </c>
      <c r="N2200" s="1" t="s">
        <v>988</v>
      </c>
      <c r="O2200" s="1" t="s">
        <v>600</v>
      </c>
      <c r="P2200" s="1" t="s">
        <v>601</v>
      </c>
      <c r="Q2200" s="1" t="s">
        <v>602</v>
      </c>
      <c r="R2200" s="1" t="s">
        <v>32</v>
      </c>
      <c r="S2200" s="1" t="s">
        <v>603</v>
      </c>
      <c r="T2200" s="1" t="s">
        <v>32</v>
      </c>
      <c r="U2200" s="1" t="s">
        <v>604</v>
      </c>
      <c r="V2200" s="1" t="s">
        <v>47</v>
      </c>
      <c r="W2200" s="1" t="s">
        <v>48</v>
      </c>
      <c r="X2200" s="1" t="s">
        <v>605</v>
      </c>
      <c r="Y2200" s="1" t="s">
        <v>606</v>
      </c>
      <c r="Z2200" s="1" t="str">
        <f>TRIM(_xlfn.CONCAT(sales_data_sample[[#This Row],[CONTACTFIRSTNAME]],", ",sales_data_sample[[#This Row],[CONTACTLASTNAME]]))</f>
        <v>Laurence, Lebihan</v>
      </c>
      <c r="AA2200" s="1" t="s">
        <v>40</v>
      </c>
    </row>
    <row r="2201" spans="1:27" x14ac:dyDescent="0.25">
      <c r="A2201" s="10">
        <v>10135</v>
      </c>
      <c r="B2201" s="9">
        <v>33</v>
      </c>
      <c r="C2201" s="9">
        <v>4023</v>
      </c>
      <c r="D2201" s="9">
        <f>PRODUCT(sales_data_sample[[#This Row],[QUANTITYORDERED]],sales_data_sample[[#This Row],[PRICEEACH]])</f>
        <v>132759</v>
      </c>
      <c r="E2201" s="9">
        <f>IF(OR(sales_data_sample[[#This Row],[STATUS]]="Shipped",sales_data_sample[[#This Row],[STATUS]]="Resolved"),sales_data_sample[[#This Row],[SALES]],0)</f>
        <v>132759</v>
      </c>
      <c r="F2201" s="10">
        <v>14</v>
      </c>
      <c r="G2201" s="12" t="s">
        <v>607</v>
      </c>
      <c r="H2201" s="1" t="s">
        <v>26</v>
      </c>
      <c r="I2201">
        <v>3</v>
      </c>
      <c r="J2201">
        <v>7</v>
      </c>
      <c r="K2201">
        <v>2003</v>
      </c>
      <c r="L2201" s="1" t="s">
        <v>27</v>
      </c>
      <c r="M2201">
        <v>40</v>
      </c>
      <c r="N2201" s="1" t="s">
        <v>988</v>
      </c>
      <c r="O2201" s="1" t="s">
        <v>361</v>
      </c>
      <c r="P2201" s="1" t="s">
        <v>362</v>
      </c>
      <c r="Q2201" s="1" t="s">
        <v>363</v>
      </c>
      <c r="R2201" s="1" t="s">
        <v>32</v>
      </c>
      <c r="S2201" s="1" t="s">
        <v>364</v>
      </c>
      <c r="T2201" s="1" t="s">
        <v>65</v>
      </c>
      <c r="U2201" s="1" t="s">
        <v>145</v>
      </c>
      <c r="V2201" s="1" t="s">
        <v>36</v>
      </c>
      <c r="W2201" s="1" t="s">
        <v>37</v>
      </c>
      <c r="X2201" s="1" t="s">
        <v>365</v>
      </c>
      <c r="Y2201" s="1" t="s">
        <v>366</v>
      </c>
      <c r="Z2201" s="1" t="str">
        <f>TRIM(_xlfn.CONCAT(sales_data_sample[[#This Row],[CONTACTFIRSTNAME]],", ",sales_data_sample[[#This Row],[CONTACTLASTNAME]]))</f>
        <v>Valarie, Nelson</v>
      </c>
      <c r="AA2201" s="1" t="s">
        <v>40</v>
      </c>
    </row>
    <row r="2202" spans="1:27" x14ac:dyDescent="0.25">
      <c r="A2202" s="10">
        <v>10145</v>
      </c>
      <c r="B2202" s="9">
        <v>31</v>
      </c>
      <c r="C2202" s="9">
        <v>358</v>
      </c>
      <c r="D2202" s="9">
        <f>PRODUCT(sales_data_sample[[#This Row],[QUANTITYORDERED]],sales_data_sample[[#This Row],[PRICEEACH]])</f>
        <v>11098</v>
      </c>
      <c r="E2202" s="9">
        <f>IF(OR(sales_data_sample[[#This Row],[STATUS]]="Shipped",sales_data_sample[[#This Row],[STATUS]]="Resolved"),sales_data_sample[[#This Row],[SALES]],0)</f>
        <v>11098</v>
      </c>
      <c r="F2202" s="10">
        <v>1</v>
      </c>
      <c r="G2202" s="12" t="s">
        <v>60</v>
      </c>
      <c r="H2202" s="1" t="s">
        <v>26</v>
      </c>
      <c r="I2202">
        <v>3</v>
      </c>
      <c r="J2202">
        <v>8</v>
      </c>
      <c r="K2202">
        <v>2003</v>
      </c>
      <c r="L2202" s="1" t="s">
        <v>27</v>
      </c>
      <c r="M2202">
        <v>40</v>
      </c>
      <c r="N2202" s="1" t="s">
        <v>988</v>
      </c>
      <c r="O2202" s="1" t="s">
        <v>61</v>
      </c>
      <c r="P2202" s="1" t="s">
        <v>62</v>
      </c>
      <c r="Q2202" s="1" t="s">
        <v>63</v>
      </c>
      <c r="R2202" s="1" t="s">
        <v>32</v>
      </c>
      <c r="S2202" s="1" t="s">
        <v>64</v>
      </c>
      <c r="T2202" s="1" t="s">
        <v>65</v>
      </c>
      <c r="U2202" s="1" t="s">
        <v>66</v>
      </c>
      <c r="V2202" s="1" t="s">
        <v>36</v>
      </c>
      <c r="W2202" s="1" t="s">
        <v>37</v>
      </c>
      <c r="X2202" s="1" t="s">
        <v>67</v>
      </c>
      <c r="Y2202" s="1" t="s">
        <v>68</v>
      </c>
      <c r="Z2202" s="1" t="str">
        <f>TRIM(_xlfn.CONCAT(sales_data_sample[[#This Row],[CONTACTFIRSTNAME]],", ",sales_data_sample[[#This Row],[CONTACTLASTNAME]]))</f>
        <v>Julie, Young</v>
      </c>
      <c r="AA2202" s="1" t="s">
        <v>40</v>
      </c>
    </row>
    <row r="2203" spans="1:27" x14ac:dyDescent="0.25">
      <c r="A2203" s="10">
        <v>10159</v>
      </c>
      <c r="B2203" s="9">
        <v>35</v>
      </c>
      <c r="C2203" s="9">
        <v>354</v>
      </c>
      <c r="D2203" s="9">
        <f>PRODUCT(sales_data_sample[[#This Row],[QUANTITYORDERED]],sales_data_sample[[#This Row],[PRICEEACH]])</f>
        <v>12390</v>
      </c>
      <c r="E2203" s="9">
        <f>IF(OR(sales_data_sample[[#This Row],[STATUS]]="Shipped",sales_data_sample[[#This Row],[STATUS]]="Resolved"),sales_data_sample[[#This Row],[SALES]],0)</f>
        <v>12390</v>
      </c>
      <c r="F2203" s="10">
        <v>9</v>
      </c>
      <c r="G2203" s="12" t="s">
        <v>69</v>
      </c>
      <c r="H2203" s="1" t="s">
        <v>26</v>
      </c>
      <c r="I2203">
        <v>4</v>
      </c>
      <c r="J2203">
        <v>10</v>
      </c>
      <c r="K2203">
        <v>2003</v>
      </c>
      <c r="L2203" s="1" t="s">
        <v>27</v>
      </c>
      <c r="M2203">
        <v>40</v>
      </c>
      <c r="N2203" s="1" t="s">
        <v>988</v>
      </c>
      <c r="O2203" s="1" t="s">
        <v>70</v>
      </c>
      <c r="P2203" s="1" t="s">
        <v>71</v>
      </c>
      <c r="Q2203" s="1" t="s">
        <v>72</v>
      </c>
      <c r="R2203" s="1" t="s">
        <v>32</v>
      </c>
      <c r="S2203" s="1" t="s">
        <v>73</v>
      </c>
      <c r="T2203" s="1" t="s">
        <v>65</v>
      </c>
      <c r="U2203" s="1" t="s">
        <v>32</v>
      </c>
      <c r="V2203" s="1" t="s">
        <v>36</v>
      </c>
      <c r="W2203" s="1" t="s">
        <v>37</v>
      </c>
      <c r="X2203" s="1" t="s">
        <v>74</v>
      </c>
      <c r="Y2203" s="1" t="s">
        <v>68</v>
      </c>
      <c r="Z2203" s="1" t="str">
        <f>TRIM(_xlfn.CONCAT(sales_data_sample[[#This Row],[CONTACTFIRSTNAME]],", ",sales_data_sample[[#This Row],[CONTACTLASTNAME]]))</f>
        <v>Julie, Brown</v>
      </c>
      <c r="AA2203" s="1" t="s">
        <v>40</v>
      </c>
    </row>
    <row r="2204" spans="1:27" x14ac:dyDescent="0.25">
      <c r="A2204">
        <v>10169</v>
      </c>
      <c r="B2204">
        <v>26</v>
      </c>
      <c r="C2204">
        <v>3983</v>
      </c>
      <c r="D2204">
        <f>PRODUCT(sales_data_sample[[#This Row],[QUANTITYORDERED]],sales_data_sample[[#This Row],[PRICEEACH]])</f>
        <v>103558</v>
      </c>
      <c r="E2204" s="9">
        <f>IF(OR(sales_data_sample[[#This Row],[STATUS]]="Shipped",sales_data_sample[[#This Row],[STATUS]]="Resolved"),sales_data_sample[[#This Row],[SALES]],0)</f>
        <v>103558</v>
      </c>
      <c r="F2204">
        <v>9</v>
      </c>
      <c r="G2204" s="12" t="s">
        <v>609</v>
      </c>
      <c r="H2204" s="1" t="s">
        <v>26</v>
      </c>
      <c r="I2204">
        <v>4</v>
      </c>
      <c r="J2204">
        <v>11</v>
      </c>
      <c r="K2204">
        <v>2003</v>
      </c>
      <c r="L2204" s="1" t="s">
        <v>27</v>
      </c>
      <c r="M2204">
        <v>40</v>
      </c>
      <c r="N2204" s="1" t="s">
        <v>988</v>
      </c>
      <c r="O2204" s="1" t="s">
        <v>385</v>
      </c>
      <c r="P2204" s="1" t="s">
        <v>386</v>
      </c>
      <c r="Q2204" s="1" t="s">
        <v>387</v>
      </c>
      <c r="R2204" s="1" t="s">
        <v>388</v>
      </c>
      <c r="S2204" s="1" t="s">
        <v>389</v>
      </c>
      <c r="T2204" s="1" t="s">
        <v>206</v>
      </c>
      <c r="U2204" s="1" t="s">
        <v>390</v>
      </c>
      <c r="V2204" s="1" t="s">
        <v>120</v>
      </c>
      <c r="W2204" s="1" t="s">
        <v>121</v>
      </c>
      <c r="X2204" s="1" t="s">
        <v>391</v>
      </c>
      <c r="Y2204" s="1" t="s">
        <v>392</v>
      </c>
      <c r="Z2204" s="1" t="str">
        <f>TRIM(_xlfn.CONCAT(sales_data_sample[[#This Row],[CONTACTFIRSTNAME]],", ",sales_data_sample[[#This Row],[CONTACTLASTNAME]]))</f>
        <v>Anna, O'Hara</v>
      </c>
      <c r="AA2204" s="1" t="s">
        <v>40</v>
      </c>
    </row>
    <row r="2205" spans="1:27" x14ac:dyDescent="0.25">
      <c r="A2205" s="10">
        <v>10180</v>
      </c>
      <c r="B2205" s="9">
        <v>34</v>
      </c>
      <c r="C2205" s="9">
        <v>4546</v>
      </c>
      <c r="D2205" s="9">
        <f>PRODUCT(sales_data_sample[[#This Row],[QUANTITYORDERED]],sales_data_sample[[#This Row],[PRICEEACH]])</f>
        <v>154564</v>
      </c>
      <c r="E2205" s="9">
        <f>IF(OR(sales_data_sample[[#This Row],[STATUS]]="Shipped",sales_data_sample[[#This Row],[STATUS]]="Resolved"),sales_data_sample[[#This Row],[SALES]],0)</f>
        <v>154564</v>
      </c>
      <c r="F2205" s="10">
        <v>4</v>
      </c>
      <c r="G2205" s="12" t="s">
        <v>83</v>
      </c>
      <c r="H2205" s="1" t="s">
        <v>26</v>
      </c>
      <c r="I2205">
        <v>4</v>
      </c>
      <c r="J2205">
        <v>11</v>
      </c>
      <c r="K2205">
        <v>2003</v>
      </c>
      <c r="L2205" s="1" t="s">
        <v>27</v>
      </c>
      <c r="M2205">
        <v>40</v>
      </c>
      <c r="N2205" s="1" t="s">
        <v>988</v>
      </c>
      <c r="O2205" s="1" t="s">
        <v>84</v>
      </c>
      <c r="P2205" s="1" t="s">
        <v>85</v>
      </c>
      <c r="Q2205" s="1" t="s">
        <v>86</v>
      </c>
      <c r="R2205" s="1" t="s">
        <v>32</v>
      </c>
      <c r="S2205" s="1" t="s">
        <v>87</v>
      </c>
      <c r="T2205" s="1" t="s">
        <v>32</v>
      </c>
      <c r="U2205" s="1" t="s">
        <v>88</v>
      </c>
      <c r="V2205" s="1" t="s">
        <v>47</v>
      </c>
      <c r="W2205" s="1" t="s">
        <v>48</v>
      </c>
      <c r="X2205" s="1" t="s">
        <v>89</v>
      </c>
      <c r="Y2205" s="1" t="s">
        <v>90</v>
      </c>
      <c r="Z2205" s="1" t="str">
        <f>TRIM(_xlfn.CONCAT(sales_data_sample[[#This Row],[CONTACTFIRSTNAME]],", ",sales_data_sample[[#This Row],[CONTACTLASTNAME]]))</f>
        <v>Martine, Rance</v>
      </c>
      <c r="AA2205" s="1" t="s">
        <v>40</v>
      </c>
    </row>
    <row r="2206" spans="1:27" x14ac:dyDescent="0.25">
      <c r="A2206" s="10">
        <v>10190</v>
      </c>
      <c r="B2206" s="9">
        <v>46</v>
      </c>
      <c r="C2206" s="9">
        <v>3299</v>
      </c>
      <c r="D2206" s="9">
        <f>PRODUCT(sales_data_sample[[#This Row],[QUANTITYORDERED]],sales_data_sample[[#This Row],[PRICEEACH]])</f>
        <v>151754</v>
      </c>
      <c r="E2206" s="9">
        <f>IF(OR(sales_data_sample[[#This Row],[STATUS]]="Shipped",sales_data_sample[[#This Row],[STATUS]]="Resolved"),sales_data_sample[[#This Row],[SALES]],0)</f>
        <v>151754</v>
      </c>
      <c r="F2206" s="10">
        <v>1</v>
      </c>
      <c r="G2206" s="12" t="s">
        <v>961</v>
      </c>
      <c r="H2206" s="1" t="s">
        <v>26</v>
      </c>
      <c r="I2206">
        <v>4</v>
      </c>
      <c r="J2206">
        <v>11</v>
      </c>
      <c r="K2206">
        <v>2003</v>
      </c>
      <c r="L2206" s="1" t="s">
        <v>27</v>
      </c>
      <c r="M2206">
        <v>40</v>
      </c>
      <c r="N2206" s="1" t="s">
        <v>988</v>
      </c>
      <c r="O2206" s="1" t="s">
        <v>230</v>
      </c>
      <c r="P2206" s="1" t="s">
        <v>231</v>
      </c>
      <c r="Q2206" s="1" t="s">
        <v>232</v>
      </c>
      <c r="R2206" s="1" t="s">
        <v>32</v>
      </c>
      <c r="S2206" s="1" t="s">
        <v>233</v>
      </c>
      <c r="T2206" s="1" t="s">
        <v>32</v>
      </c>
      <c r="U2206" s="1" t="s">
        <v>234</v>
      </c>
      <c r="V2206" s="1" t="s">
        <v>235</v>
      </c>
      <c r="W2206" s="1" t="s">
        <v>48</v>
      </c>
      <c r="X2206" s="1" t="s">
        <v>236</v>
      </c>
      <c r="Y2206" s="1" t="s">
        <v>237</v>
      </c>
      <c r="Z2206" s="1" t="str">
        <f>TRIM(_xlfn.CONCAT(sales_data_sample[[#This Row],[CONTACTFIRSTNAME]],", ",sales_data_sample[[#This Row],[CONTACTLASTNAME]]))</f>
        <v>Diego, Freyre</v>
      </c>
      <c r="AA2206" s="1" t="s">
        <v>40</v>
      </c>
    </row>
    <row r="2207" spans="1:27" x14ac:dyDescent="0.25">
      <c r="A2207" s="10">
        <v>10211</v>
      </c>
      <c r="B2207" s="9">
        <v>41</v>
      </c>
      <c r="C2207" s="9">
        <v>4224</v>
      </c>
      <c r="D2207" s="9">
        <f>PRODUCT(sales_data_sample[[#This Row],[QUANTITYORDERED]],sales_data_sample[[#This Row],[PRICEEACH]])</f>
        <v>173184</v>
      </c>
      <c r="E2207" s="9">
        <f>IF(OR(sales_data_sample[[#This Row],[STATUS]]="Shipped",sales_data_sample[[#This Row],[STATUS]]="Resolved"),sales_data_sample[[#This Row],[SALES]],0)</f>
        <v>173184</v>
      </c>
      <c r="F2207" s="10">
        <v>9</v>
      </c>
      <c r="G2207" s="12" t="s">
        <v>105</v>
      </c>
      <c r="H2207" s="1" t="s">
        <v>26</v>
      </c>
      <c r="I2207">
        <v>1</v>
      </c>
      <c r="J2207">
        <v>1</v>
      </c>
      <c r="K2207">
        <v>2004</v>
      </c>
      <c r="L2207" s="1" t="s">
        <v>27</v>
      </c>
      <c r="M2207">
        <v>40</v>
      </c>
      <c r="N2207" s="1" t="s">
        <v>988</v>
      </c>
      <c r="O2207" s="1" t="s">
        <v>106</v>
      </c>
      <c r="P2207" s="1" t="s">
        <v>107</v>
      </c>
      <c r="Q2207" s="1" t="s">
        <v>108</v>
      </c>
      <c r="R2207" s="1" t="s">
        <v>32</v>
      </c>
      <c r="S2207" s="1" t="s">
        <v>55</v>
      </c>
      <c r="T2207" s="1" t="s">
        <v>32</v>
      </c>
      <c r="U2207" s="1" t="s">
        <v>109</v>
      </c>
      <c r="V2207" s="1" t="s">
        <v>47</v>
      </c>
      <c r="W2207" s="1" t="s">
        <v>48</v>
      </c>
      <c r="X2207" s="1" t="s">
        <v>110</v>
      </c>
      <c r="Y2207" s="1" t="s">
        <v>111</v>
      </c>
      <c r="Z2207" s="1" t="str">
        <f>TRIM(_xlfn.CONCAT(sales_data_sample[[#This Row],[CONTACTFIRSTNAME]],", ",sales_data_sample[[#This Row],[CONTACTLASTNAME]]))</f>
        <v>Dominique, Perrier</v>
      </c>
      <c r="AA2207" s="1" t="s">
        <v>40</v>
      </c>
    </row>
    <row r="2208" spans="1:27" x14ac:dyDescent="0.25">
      <c r="A2208" s="10">
        <v>10224</v>
      </c>
      <c r="B2208" s="9">
        <v>43</v>
      </c>
      <c r="C2208" s="9">
        <v>3943</v>
      </c>
      <c r="D2208" s="9">
        <f>PRODUCT(sales_data_sample[[#This Row],[QUANTITYORDERED]],sales_data_sample[[#This Row],[PRICEEACH]])</f>
        <v>169549</v>
      </c>
      <c r="E2208" s="9">
        <f>IF(OR(sales_data_sample[[#This Row],[STATUS]]="Shipped",sales_data_sample[[#This Row],[STATUS]]="Resolved"),sales_data_sample[[#This Row],[SALES]],0)</f>
        <v>169549</v>
      </c>
      <c r="F2208" s="10">
        <v>2</v>
      </c>
      <c r="G2208" s="12" t="s">
        <v>716</v>
      </c>
      <c r="H2208" s="1" t="s">
        <v>26</v>
      </c>
      <c r="I2208">
        <v>1</v>
      </c>
      <c r="J2208">
        <v>2</v>
      </c>
      <c r="K2208">
        <v>2004</v>
      </c>
      <c r="L2208" s="1" t="s">
        <v>27</v>
      </c>
      <c r="M2208">
        <v>40</v>
      </c>
      <c r="N2208" s="1" t="s">
        <v>988</v>
      </c>
      <c r="O2208" s="1" t="s">
        <v>84</v>
      </c>
      <c r="P2208" s="1" t="s">
        <v>85</v>
      </c>
      <c r="Q2208" s="1" t="s">
        <v>86</v>
      </c>
      <c r="R2208" s="1" t="s">
        <v>32</v>
      </c>
      <c r="S2208" s="1" t="s">
        <v>87</v>
      </c>
      <c r="T2208" s="1" t="s">
        <v>32</v>
      </c>
      <c r="U2208" s="1" t="s">
        <v>88</v>
      </c>
      <c r="V2208" s="1" t="s">
        <v>47</v>
      </c>
      <c r="W2208" s="1" t="s">
        <v>48</v>
      </c>
      <c r="X2208" s="1" t="s">
        <v>89</v>
      </c>
      <c r="Y2208" s="1" t="s">
        <v>90</v>
      </c>
      <c r="Z2208" s="1" t="str">
        <f>TRIM(_xlfn.CONCAT(sales_data_sample[[#This Row],[CONTACTFIRSTNAME]],", ",sales_data_sample[[#This Row],[CONTACTLASTNAME]]))</f>
        <v>Martine, Rance</v>
      </c>
      <c r="AA2208" s="1" t="s">
        <v>40</v>
      </c>
    </row>
    <row r="2209" spans="1:27" x14ac:dyDescent="0.25">
      <c r="A2209">
        <v>10237</v>
      </c>
      <c r="B2209">
        <v>26</v>
      </c>
      <c r="C2209">
        <v>4023</v>
      </c>
      <c r="D2209">
        <f>PRODUCT(sales_data_sample[[#This Row],[QUANTITYORDERED]],sales_data_sample[[#This Row],[PRICEEACH]])</f>
        <v>104598</v>
      </c>
      <c r="E2209" s="9">
        <f>IF(OR(sales_data_sample[[#This Row],[STATUS]]="Shipped",sales_data_sample[[#This Row],[STATUS]]="Resolved"),sales_data_sample[[#This Row],[SALES]],0)</f>
        <v>104598</v>
      </c>
      <c r="F2209">
        <v>2</v>
      </c>
      <c r="G2209" s="12" t="s">
        <v>124</v>
      </c>
      <c r="H2209" s="1" t="s">
        <v>26</v>
      </c>
      <c r="I2209">
        <v>2</v>
      </c>
      <c r="J2209">
        <v>4</v>
      </c>
      <c r="K2209">
        <v>2004</v>
      </c>
      <c r="L2209" s="1" t="s">
        <v>27</v>
      </c>
      <c r="M2209">
        <v>40</v>
      </c>
      <c r="N2209" s="1" t="s">
        <v>988</v>
      </c>
      <c r="O2209" s="1" t="s">
        <v>125</v>
      </c>
      <c r="P2209" s="1" t="s">
        <v>126</v>
      </c>
      <c r="Q2209" s="1" t="s">
        <v>127</v>
      </c>
      <c r="R2209" s="1" t="s">
        <v>128</v>
      </c>
      <c r="S2209" s="1" t="s">
        <v>33</v>
      </c>
      <c r="T2209" s="1" t="s">
        <v>34</v>
      </c>
      <c r="U2209" s="1" t="s">
        <v>35</v>
      </c>
      <c r="V2209" s="1" t="s">
        <v>36</v>
      </c>
      <c r="W2209" s="1" t="s">
        <v>37</v>
      </c>
      <c r="X2209" s="1" t="s">
        <v>129</v>
      </c>
      <c r="Y2209" s="1" t="s">
        <v>130</v>
      </c>
      <c r="Z2209" s="1" t="str">
        <f>TRIM(_xlfn.CONCAT(sales_data_sample[[#This Row],[CONTACTFIRSTNAME]],", ",sales_data_sample[[#This Row],[CONTACTLASTNAME]]))</f>
        <v>Michael, Frick</v>
      </c>
      <c r="AA2209" s="1" t="s">
        <v>40</v>
      </c>
    </row>
    <row r="2210" spans="1:27" x14ac:dyDescent="0.25">
      <c r="A2210" s="10">
        <v>10252</v>
      </c>
      <c r="B2210" s="9">
        <v>36</v>
      </c>
      <c r="C2210" s="9">
        <v>4828</v>
      </c>
      <c r="D2210" s="9">
        <f>PRODUCT(sales_data_sample[[#This Row],[QUANTITYORDERED]],sales_data_sample[[#This Row],[PRICEEACH]])</f>
        <v>173808</v>
      </c>
      <c r="E2210" s="9">
        <f>IF(OR(sales_data_sample[[#This Row],[STATUS]]="Shipped",sales_data_sample[[#This Row],[STATUS]]="Resolved"),sales_data_sample[[#This Row],[SALES]],0)</f>
        <v>173808</v>
      </c>
      <c r="F2210" s="10">
        <v>6</v>
      </c>
      <c r="G2210" s="12" t="s">
        <v>922</v>
      </c>
      <c r="H2210" s="1" t="s">
        <v>26</v>
      </c>
      <c r="I2210">
        <v>2</v>
      </c>
      <c r="J2210">
        <v>5</v>
      </c>
      <c r="K2210">
        <v>2004</v>
      </c>
      <c r="L2210" s="1" t="s">
        <v>27</v>
      </c>
      <c r="M2210">
        <v>40</v>
      </c>
      <c r="N2210" s="1" t="s">
        <v>988</v>
      </c>
      <c r="O2210" s="1" t="s">
        <v>106</v>
      </c>
      <c r="P2210" s="1" t="s">
        <v>107</v>
      </c>
      <c r="Q2210" s="1" t="s">
        <v>108</v>
      </c>
      <c r="R2210" s="1" t="s">
        <v>32</v>
      </c>
      <c r="S2210" s="1" t="s">
        <v>55</v>
      </c>
      <c r="T2210" s="1" t="s">
        <v>32</v>
      </c>
      <c r="U2210" s="1" t="s">
        <v>109</v>
      </c>
      <c r="V2210" s="1" t="s">
        <v>47</v>
      </c>
      <c r="W2210" s="1" t="s">
        <v>48</v>
      </c>
      <c r="X2210" s="1" t="s">
        <v>110</v>
      </c>
      <c r="Y2210" s="1" t="s">
        <v>111</v>
      </c>
      <c r="Z2210" s="1" t="str">
        <f>TRIM(_xlfn.CONCAT(sales_data_sample[[#This Row],[CONTACTFIRSTNAME]],", ",sales_data_sample[[#This Row],[CONTACTLASTNAME]]))</f>
        <v>Dominique, Perrier</v>
      </c>
      <c r="AA2210" s="1" t="s">
        <v>40</v>
      </c>
    </row>
    <row r="2211" spans="1:27" x14ac:dyDescent="0.25">
      <c r="A2211" s="10">
        <v>10264</v>
      </c>
      <c r="B2211" s="9">
        <v>20</v>
      </c>
      <c r="C2211" s="9">
        <v>3259</v>
      </c>
      <c r="D2211" s="9">
        <f>PRODUCT(sales_data_sample[[#This Row],[QUANTITYORDERED]],sales_data_sample[[#This Row],[PRICEEACH]])</f>
        <v>65180</v>
      </c>
      <c r="E2211" s="9">
        <f>IF(OR(sales_data_sample[[#This Row],[STATUS]]="Shipped",sales_data_sample[[#This Row],[STATUS]]="Resolved"),sales_data_sample[[#This Row],[SALES]],0)</f>
        <v>65180</v>
      </c>
      <c r="F2211" s="10">
        <v>4</v>
      </c>
      <c r="G2211" s="12" t="s">
        <v>932</v>
      </c>
      <c r="H2211" s="1" t="s">
        <v>26</v>
      </c>
      <c r="I2211">
        <v>2</v>
      </c>
      <c r="J2211">
        <v>6</v>
      </c>
      <c r="K2211">
        <v>2004</v>
      </c>
      <c r="L2211" s="1" t="s">
        <v>27</v>
      </c>
      <c r="M2211">
        <v>40</v>
      </c>
      <c r="N2211" s="1" t="s">
        <v>988</v>
      </c>
      <c r="O2211" s="1" t="s">
        <v>516</v>
      </c>
      <c r="P2211" s="1" t="s">
        <v>517</v>
      </c>
      <c r="Q2211" s="1" t="s">
        <v>518</v>
      </c>
      <c r="R2211" s="1" t="s">
        <v>32</v>
      </c>
      <c r="S2211" s="1" t="s">
        <v>519</v>
      </c>
      <c r="T2211" s="1" t="s">
        <v>160</v>
      </c>
      <c r="U2211" s="1" t="s">
        <v>520</v>
      </c>
      <c r="V2211" s="1" t="s">
        <v>36</v>
      </c>
      <c r="W2211" s="1" t="s">
        <v>37</v>
      </c>
      <c r="X2211" s="1" t="s">
        <v>521</v>
      </c>
      <c r="Y2211" s="1" t="s">
        <v>82</v>
      </c>
      <c r="Z2211" s="1" t="str">
        <f>TRIM(_xlfn.CONCAT(sales_data_sample[[#This Row],[CONTACTFIRSTNAME]],", ",sales_data_sample[[#This Row],[CONTACTLASTNAME]]))</f>
        <v>Juri, Yoshido</v>
      </c>
      <c r="AA2211" s="1" t="s">
        <v>40</v>
      </c>
    </row>
    <row r="2212" spans="1:27" x14ac:dyDescent="0.25">
      <c r="A2212" s="10">
        <v>10276</v>
      </c>
      <c r="B2212" s="9">
        <v>27</v>
      </c>
      <c r="C2212" s="9">
        <v>3661</v>
      </c>
      <c r="D2212" s="9">
        <f>PRODUCT(sales_data_sample[[#This Row],[QUANTITYORDERED]],sales_data_sample[[#This Row],[PRICEEACH]])</f>
        <v>98847</v>
      </c>
      <c r="E2212" s="9">
        <f>IF(OR(sales_data_sample[[#This Row],[STATUS]]="Shipped",sales_data_sample[[#This Row],[STATUS]]="Resolved"),sales_data_sample[[#This Row],[SALES]],0)</f>
        <v>98847</v>
      </c>
      <c r="F2212" s="10">
        <v>10</v>
      </c>
      <c r="G2212" s="12" t="s">
        <v>639</v>
      </c>
      <c r="H2212" s="1" t="s">
        <v>26</v>
      </c>
      <c r="I2212">
        <v>3</v>
      </c>
      <c r="J2212">
        <v>8</v>
      </c>
      <c r="K2212">
        <v>2004</v>
      </c>
      <c r="L2212" s="1" t="s">
        <v>27</v>
      </c>
      <c r="M2212">
        <v>40</v>
      </c>
      <c r="N2212" s="1" t="s">
        <v>988</v>
      </c>
      <c r="O2212" s="1" t="s">
        <v>640</v>
      </c>
      <c r="P2212" s="1" t="s">
        <v>641</v>
      </c>
      <c r="Q2212" s="1" t="s">
        <v>642</v>
      </c>
      <c r="R2212" s="1" t="s">
        <v>32</v>
      </c>
      <c r="S2212" s="1" t="s">
        <v>380</v>
      </c>
      <c r="T2212" s="1" t="s">
        <v>160</v>
      </c>
      <c r="U2212" s="1" t="s">
        <v>381</v>
      </c>
      <c r="V2212" s="1" t="s">
        <v>36</v>
      </c>
      <c r="W2212" s="1" t="s">
        <v>37</v>
      </c>
      <c r="X2212" s="1" t="s">
        <v>643</v>
      </c>
      <c r="Y2212" s="1" t="s">
        <v>644</v>
      </c>
      <c r="Z2212" s="1" t="str">
        <f>TRIM(_xlfn.CONCAT(sales_data_sample[[#This Row],[CONTACTFIRSTNAME]],", ",sales_data_sample[[#This Row],[CONTACTLASTNAME]]))</f>
        <v>Miguel, Barajas</v>
      </c>
      <c r="AA2212" s="1" t="s">
        <v>40</v>
      </c>
    </row>
    <row r="2213" spans="1:27" x14ac:dyDescent="0.25">
      <c r="A2213" s="10">
        <v>10285</v>
      </c>
      <c r="B2213" s="9">
        <v>37</v>
      </c>
      <c r="C2213" s="9">
        <v>4103</v>
      </c>
      <c r="D2213" s="9">
        <f>PRODUCT(sales_data_sample[[#This Row],[QUANTITYORDERED]],sales_data_sample[[#This Row],[PRICEEACH]])</f>
        <v>151811</v>
      </c>
      <c r="E2213" s="9">
        <f>IF(OR(sales_data_sample[[#This Row],[STATUS]]="Shipped",sales_data_sample[[#This Row],[STATUS]]="Resolved"),sales_data_sample[[#This Row],[SALES]],0)</f>
        <v>151811</v>
      </c>
      <c r="F2213" s="10">
        <v>1</v>
      </c>
      <c r="G2213" s="12" t="s">
        <v>155</v>
      </c>
      <c r="H2213" s="1" t="s">
        <v>26</v>
      </c>
      <c r="I2213">
        <v>3</v>
      </c>
      <c r="J2213">
        <v>8</v>
      </c>
      <c r="K2213">
        <v>2004</v>
      </c>
      <c r="L2213" s="1" t="s">
        <v>27</v>
      </c>
      <c r="M2213">
        <v>40</v>
      </c>
      <c r="N2213" s="1" t="s">
        <v>988</v>
      </c>
      <c r="O2213" s="1" t="s">
        <v>156</v>
      </c>
      <c r="P2213" s="1" t="s">
        <v>157</v>
      </c>
      <c r="Q2213" s="1" t="s">
        <v>158</v>
      </c>
      <c r="R2213" s="1" t="s">
        <v>32</v>
      </c>
      <c r="S2213" s="1" t="s">
        <v>159</v>
      </c>
      <c r="T2213" s="1" t="s">
        <v>160</v>
      </c>
      <c r="U2213" s="1" t="s">
        <v>161</v>
      </c>
      <c r="V2213" s="1" t="s">
        <v>36</v>
      </c>
      <c r="W2213" s="1" t="s">
        <v>37</v>
      </c>
      <c r="X2213" s="1" t="s">
        <v>162</v>
      </c>
      <c r="Y2213" s="1" t="s">
        <v>163</v>
      </c>
      <c r="Z2213" s="1" t="str">
        <f>TRIM(_xlfn.CONCAT(sales_data_sample[[#This Row],[CONTACTFIRSTNAME]],", ",sales_data_sample[[#This Row],[CONTACTLASTNAME]]))</f>
        <v>Marta, Hernandez</v>
      </c>
      <c r="AA2213" s="1" t="s">
        <v>40</v>
      </c>
    </row>
    <row r="2214" spans="1:27" x14ac:dyDescent="0.25">
      <c r="A2214" s="10">
        <v>10299</v>
      </c>
      <c r="B2214" s="9">
        <v>24</v>
      </c>
      <c r="C2214" s="9">
        <v>4224</v>
      </c>
      <c r="D2214" s="9">
        <f>PRODUCT(sales_data_sample[[#This Row],[QUANTITYORDERED]],sales_data_sample[[#This Row],[PRICEEACH]])</f>
        <v>101376</v>
      </c>
      <c r="E2214" s="9">
        <f>IF(OR(sales_data_sample[[#This Row],[STATUS]]="Shipped",sales_data_sample[[#This Row],[STATUS]]="Resolved"),sales_data_sample[[#This Row],[SALES]],0)</f>
        <v>101376</v>
      </c>
      <c r="F2214" s="10">
        <v>4</v>
      </c>
      <c r="G2214" s="12" t="s">
        <v>164</v>
      </c>
      <c r="H2214" s="1" t="s">
        <v>26</v>
      </c>
      <c r="I2214">
        <v>3</v>
      </c>
      <c r="J2214">
        <v>9</v>
      </c>
      <c r="K2214">
        <v>2004</v>
      </c>
      <c r="L2214" s="1" t="s">
        <v>27</v>
      </c>
      <c r="M2214">
        <v>40</v>
      </c>
      <c r="N2214" s="1" t="s">
        <v>988</v>
      </c>
      <c r="O2214" s="1" t="s">
        <v>165</v>
      </c>
      <c r="P2214" s="1" t="s">
        <v>166</v>
      </c>
      <c r="Q2214" s="1" t="s">
        <v>167</v>
      </c>
      <c r="R2214" s="1" t="s">
        <v>32</v>
      </c>
      <c r="S2214" s="1" t="s">
        <v>168</v>
      </c>
      <c r="T2214" s="1" t="s">
        <v>32</v>
      </c>
      <c r="U2214" s="1" t="s">
        <v>169</v>
      </c>
      <c r="V2214" s="1" t="s">
        <v>170</v>
      </c>
      <c r="W2214" s="1" t="s">
        <v>48</v>
      </c>
      <c r="X2214" s="1" t="s">
        <v>171</v>
      </c>
      <c r="Y2214" s="1" t="s">
        <v>172</v>
      </c>
      <c r="Z2214" s="1" t="str">
        <f>TRIM(_xlfn.CONCAT(sales_data_sample[[#This Row],[CONTACTFIRSTNAME]],", ",sales_data_sample[[#This Row],[CONTACTLASTNAME]]))</f>
        <v>Matti, Karttunen</v>
      </c>
      <c r="AA2214" s="1" t="s">
        <v>40</v>
      </c>
    </row>
    <row r="2215" spans="1:27" x14ac:dyDescent="0.25">
      <c r="A2215" s="10">
        <v>10310</v>
      </c>
      <c r="B2215" s="9">
        <v>36</v>
      </c>
      <c r="C2215" s="9">
        <v>4305</v>
      </c>
      <c r="D2215" s="9">
        <f>PRODUCT(sales_data_sample[[#This Row],[QUANTITYORDERED]],sales_data_sample[[#This Row],[PRICEEACH]])</f>
        <v>154980</v>
      </c>
      <c r="E2215" s="9">
        <f>IF(OR(sales_data_sample[[#This Row],[STATUS]]="Shipped",sales_data_sample[[#This Row],[STATUS]]="Resolved"),sales_data_sample[[#This Row],[SALES]],0)</f>
        <v>154980</v>
      </c>
      <c r="F2215" s="10">
        <v>17</v>
      </c>
      <c r="G2215" s="12" t="s">
        <v>653</v>
      </c>
      <c r="H2215" s="1" t="s">
        <v>26</v>
      </c>
      <c r="I2215">
        <v>4</v>
      </c>
      <c r="J2215">
        <v>10</v>
      </c>
      <c r="K2215">
        <v>2004</v>
      </c>
      <c r="L2215" s="1" t="s">
        <v>27</v>
      </c>
      <c r="M2215">
        <v>40</v>
      </c>
      <c r="N2215" s="1" t="s">
        <v>988</v>
      </c>
      <c r="O2215" s="1" t="s">
        <v>612</v>
      </c>
      <c r="P2215" s="1" t="s">
        <v>613</v>
      </c>
      <c r="Q2215" s="1" t="s">
        <v>614</v>
      </c>
      <c r="R2215" s="1" t="s">
        <v>32</v>
      </c>
      <c r="S2215" s="1" t="s">
        <v>615</v>
      </c>
      <c r="T2215" s="1" t="s">
        <v>32</v>
      </c>
      <c r="U2215" s="1" t="s">
        <v>616</v>
      </c>
      <c r="V2215" s="1" t="s">
        <v>617</v>
      </c>
      <c r="W2215" s="1" t="s">
        <v>48</v>
      </c>
      <c r="X2215" s="1" t="s">
        <v>618</v>
      </c>
      <c r="Y2215" s="1" t="s">
        <v>619</v>
      </c>
      <c r="Z2215" s="1" t="str">
        <f>TRIM(_xlfn.CONCAT(sales_data_sample[[#This Row],[CONTACTFIRSTNAME]],", ",sales_data_sample[[#This Row],[CONTACTLASTNAME]]))</f>
        <v>Henriette, Pfalzheim</v>
      </c>
      <c r="AA2215" s="1" t="s">
        <v>40</v>
      </c>
    </row>
    <row r="2216" spans="1:27" x14ac:dyDescent="0.25">
      <c r="A2216">
        <v>10319</v>
      </c>
      <c r="B2216">
        <v>29</v>
      </c>
      <c r="C2216">
        <v>3822</v>
      </c>
      <c r="D2216">
        <f>PRODUCT(sales_data_sample[[#This Row],[QUANTITYORDERED]],sales_data_sample[[#This Row],[PRICEEACH]])</f>
        <v>110838</v>
      </c>
      <c r="E2216" s="9">
        <f>IF(OR(sales_data_sample[[#This Row],[STATUS]]="Shipped",sales_data_sample[[#This Row],[STATUS]]="Resolved"),sales_data_sample[[#This Row],[SALES]],0)</f>
        <v>110838</v>
      </c>
      <c r="F2216">
        <v>5</v>
      </c>
      <c r="G2216" s="12" t="s">
        <v>654</v>
      </c>
      <c r="H2216" s="1" t="s">
        <v>26</v>
      </c>
      <c r="I2216">
        <v>4</v>
      </c>
      <c r="J2216">
        <v>11</v>
      </c>
      <c r="K2216">
        <v>2004</v>
      </c>
      <c r="L2216" s="1" t="s">
        <v>27</v>
      </c>
      <c r="M2216">
        <v>40</v>
      </c>
      <c r="N2216" s="1" t="s">
        <v>988</v>
      </c>
      <c r="O2216" s="1" t="s">
        <v>717</v>
      </c>
      <c r="P2216" s="1" t="s">
        <v>718</v>
      </c>
      <c r="Q2216" s="1" t="s">
        <v>719</v>
      </c>
      <c r="R2216" s="1" t="s">
        <v>720</v>
      </c>
      <c r="S2216" s="1" t="s">
        <v>33</v>
      </c>
      <c r="T2216" s="1" t="s">
        <v>34</v>
      </c>
      <c r="U2216" s="1" t="s">
        <v>35</v>
      </c>
      <c r="V2216" s="1" t="s">
        <v>36</v>
      </c>
      <c r="W2216" s="1" t="s">
        <v>37</v>
      </c>
      <c r="X2216" s="1" t="s">
        <v>721</v>
      </c>
      <c r="Y2216" s="1" t="s">
        <v>722</v>
      </c>
      <c r="Z2216" s="1" t="str">
        <f>TRIM(_xlfn.CONCAT(sales_data_sample[[#This Row],[CONTACTFIRSTNAME]],", ",sales_data_sample[[#This Row],[CONTACTLASTNAME]]))</f>
        <v>Kee, Kuo</v>
      </c>
      <c r="AA2216" s="1" t="s">
        <v>40</v>
      </c>
    </row>
    <row r="2217" spans="1:27" x14ac:dyDescent="0.25">
      <c r="A2217" s="10">
        <v>10331</v>
      </c>
      <c r="B2217" s="9">
        <v>28</v>
      </c>
      <c r="C2217" s="9">
        <v>100</v>
      </c>
      <c r="D2217" s="9">
        <f>PRODUCT(sales_data_sample[[#This Row],[QUANTITYORDERED]],sales_data_sample[[#This Row],[PRICEEACH]])</f>
        <v>2800</v>
      </c>
      <c r="E2217" s="9">
        <f>IF(OR(sales_data_sample[[#This Row],[STATUS]]="Shipped",sales_data_sample[[#This Row],[STATUS]]="Resolved"),sales_data_sample[[#This Row],[SALES]],0)</f>
        <v>2800</v>
      </c>
      <c r="F2217" s="10">
        <v>3</v>
      </c>
      <c r="G2217" s="12" t="s">
        <v>793</v>
      </c>
      <c r="H2217" s="1" t="s">
        <v>26</v>
      </c>
      <c r="I2217">
        <v>4</v>
      </c>
      <c r="J2217">
        <v>11</v>
      </c>
      <c r="K2217">
        <v>2004</v>
      </c>
      <c r="L2217" s="1" t="s">
        <v>27</v>
      </c>
      <c r="M2217">
        <v>40</v>
      </c>
      <c r="N2217" s="1" t="s">
        <v>988</v>
      </c>
      <c r="O2217" s="1" t="s">
        <v>415</v>
      </c>
      <c r="P2217" s="1" t="s">
        <v>416</v>
      </c>
      <c r="Q2217" s="1" t="s">
        <v>417</v>
      </c>
      <c r="R2217" s="1" t="s">
        <v>32</v>
      </c>
      <c r="S2217" s="1" t="s">
        <v>286</v>
      </c>
      <c r="T2217" s="1" t="s">
        <v>186</v>
      </c>
      <c r="U2217" s="1" t="s">
        <v>287</v>
      </c>
      <c r="V2217" s="1" t="s">
        <v>36</v>
      </c>
      <c r="W2217" s="1" t="s">
        <v>37</v>
      </c>
      <c r="X2217" s="1" t="s">
        <v>162</v>
      </c>
      <c r="Y2217" s="1" t="s">
        <v>418</v>
      </c>
      <c r="Z2217" s="1" t="str">
        <f>TRIM(_xlfn.CONCAT(sales_data_sample[[#This Row],[CONTACTFIRSTNAME]],", ",sales_data_sample[[#This Row],[CONTACTLASTNAME]]))</f>
        <v>Rosa, Hernandez</v>
      </c>
      <c r="AA2217" s="1" t="s">
        <v>59</v>
      </c>
    </row>
    <row r="2218" spans="1:27" x14ac:dyDescent="0.25">
      <c r="A2218" s="10">
        <v>10343</v>
      </c>
      <c r="B2218" s="9">
        <v>29</v>
      </c>
      <c r="C2218" s="9">
        <v>100</v>
      </c>
      <c r="D2218" s="9">
        <f>PRODUCT(sales_data_sample[[#This Row],[QUANTITYORDERED]],sales_data_sample[[#This Row],[PRICEEACH]])</f>
        <v>2900</v>
      </c>
      <c r="E2218" s="9">
        <f>IF(OR(sales_data_sample[[#This Row],[STATUS]]="Shipped",sales_data_sample[[#This Row],[STATUS]]="Resolved"),sales_data_sample[[#This Row],[SALES]],0)</f>
        <v>2900</v>
      </c>
      <c r="F2218" s="10">
        <v>5</v>
      </c>
      <c r="G2218" s="12" t="s">
        <v>190</v>
      </c>
      <c r="H2218" s="1" t="s">
        <v>26</v>
      </c>
      <c r="I2218">
        <v>4</v>
      </c>
      <c r="J2218">
        <v>11</v>
      </c>
      <c r="K2218">
        <v>2004</v>
      </c>
      <c r="L2218" s="1" t="s">
        <v>27</v>
      </c>
      <c r="M2218">
        <v>40</v>
      </c>
      <c r="N2218" s="1" t="s">
        <v>988</v>
      </c>
      <c r="O2218" s="1" t="s">
        <v>42</v>
      </c>
      <c r="P2218" s="1" t="s">
        <v>43</v>
      </c>
      <c r="Q2218" s="1" t="s">
        <v>44</v>
      </c>
      <c r="R2218" s="1" t="s">
        <v>32</v>
      </c>
      <c r="S2218" s="1" t="s">
        <v>45</v>
      </c>
      <c r="T2218" s="1" t="s">
        <v>32</v>
      </c>
      <c r="U2218" s="1" t="s">
        <v>46</v>
      </c>
      <c r="V2218" s="1" t="s">
        <v>47</v>
      </c>
      <c r="W2218" s="1" t="s">
        <v>48</v>
      </c>
      <c r="X2218" s="1" t="s">
        <v>49</v>
      </c>
      <c r="Y2218" s="1" t="s">
        <v>50</v>
      </c>
      <c r="Z2218" s="1" t="str">
        <f>TRIM(_xlfn.CONCAT(sales_data_sample[[#This Row],[CONTACTFIRSTNAME]],", ",sales_data_sample[[#This Row],[CONTACTLASTNAME]]))</f>
        <v>Paul, Henriot</v>
      </c>
      <c r="AA2218" s="1" t="s">
        <v>59</v>
      </c>
    </row>
    <row r="2219" spans="1:27" x14ac:dyDescent="0.25">
      <c r="A2219" s="10">
        <v>10355</v>
      </c>
      <c r="B2219" s="9">
        <v>38</v>
      </c>
      <c r="C2219" s="9">
        <v>3983</v>
      </c>
      <c r="D2219" s="9">
        <f>PRODUCT(sales_data_sample[[#This Row],[QUANTITYORDERED]],sales_data_sample[[#This Row],[PRICEEACH]])</f>
        <v>151354</v>
      </c>
      <c r="E2219" s="9">
        <f>IF(OR(sales_data_sample[[#This Row],[STATUS]]="Shipped",sales_data_sample[[#This Row],[STATUS]]="Resolved"),sales_data_sample[[#This Row],[SALES]],0)</f>
        <v>151354</v>
      </c>
      <c r="F2219" s="10">
        <v>10</v>
      </c>
      <c r="G2219" s="12" t="s">
        <v>928</v>
      </c>
      <c r="H2219" s="1" t="s">
        <v>26</v>
      </c>
      <c r="I2219">
        <v>4</v>
      </c>
      <c r="J2219">
        <v>12</v>
      </c>
      <c r="K2219">
        <v>2004</v>
      </c>
      <c r="L2219" s="1" t="s">
        <v>27</v>
      </c>
      <c r="M2219">
        <v>40</v>
      </c>
      <c r="N2219" s="1" t="s">
        <v>988</v>
      </c>
      <c r="O2219" s="1" t="s">
        <v>230</v>
      </c>
      <c r="P2219" s="1" t="s">
        <v>231</v>
      </c>
      <c r="Q2219" s="1" t="s">
        <v>232</v>
      </c>
      <c r="R2219" s="1" t="s">
        <v>32</v>
      </c>
      <c r="S2219" s="1" t="s">
        <v>233</v>
      </c>
      <c r="T2219" s="1" t="s">
        <v>32</v>
      </c>
      <c r="U2219" s="1" t="s">
        <v>234</v>
      </c>
      <c r="V2219" s="1" t="s">
        <v>235</v>
      </c>
      <c r="W2219" s="1" t="s">
        <v>48</v>
      </c>
      <c r="X2219" s="1" t="s">
        <v>236</v>
      </c>
      <c r="Y2219" s="1" t="s">
        <v>237</v>
      </c>
      <c r="Z2219" s="1" t="str">
        <f>TRIM(_xlfn.CONCAT(sales_data_sample[[#This Row],[CONTACTFIRSTNAME]],", ",sales_data_sample[[#This Row],[CONTACTLASTNAME]]))</f>
        <v>Diego, Freyre</v>
      </c>
      <c r="AA2219" s="1" t="s">
        <v>40</v>
      </c>
    </row>
    <row r="2220" spans="1:27" x14ac:dyDescent="0.25">
      <c r="A2220" s="10">
        <v>10364</v>
      </c>
      <c r="B2220" s="9">
        <v>48</v>
      </c>
      <c r="C2220" s="9">
        <v>4828</v>
      </c>
      <c r="D2220" s="9">
        <f>PRODUCT(sales_data_sample[[#This Row],[QUANTITYORDERED]],sales_data_sample[[#This Row],[PRICEEACH]])</f>
        <v>231744</v>
      </c>
      <c r="E2220" s="9">
        <f>IF(OR(sales_data_sample[[#This Row],[STATUS]]="Shipped",sales_data_sample[[#This Row],[STATUS]]="Resolved"),sales_data_sample[[#This Row],[SALES]],0)</f>
        <v>231744</v>
      </c>
      <c r="F2220" s="10">
        <v>1</v>
      </c>
      <c r="G2220" s="12" t="s">
        <v>655</v>
      </c>
      <c r="H2220" s="1" t="s">
        <v>26</v>
      </c>
      <c r="I2220">
        <v>1</v>
      </c>
      <c r="J2220">
        <v>1</v>
      </c>
      <c r="K2220">
        <v>2005</v>
      </c>
      <c r="L2220" s="1" t="s">
        <v>27</v>
      </c>
      <c r="M2220">
        <v>40</v>
      </c>
      <c r="N2220" s="1" t="s">
        <v>988</v>
      </c>
      <c r="O2220" s="1" t="s">
        <v>600</v>
      </c>
      <c r="P2220" s="1" t="s">
        <v>601</v>
      </c>
      <c r="Q2220" s="1" t="s">
        <v>602</v>
      </c>
      <c r="R2220" s="1" t="s">
        <v>32</v>
      </c>
      <c r="S2220" s="1" t="s">
        <v>603</v>
      </c>
      <c r="T2220" s="1" t="s">
        <v>32</v>
      </c>
      <c r="U2220" s="1" t="s">
        <v>604</v>
      </c>
      <c r="V2220" s="1" t="s">
        <v>47</v>
      </c>
      <c r="W2220" s="1" t="s">
        <v>48</v>
      </c>
      <c r="X2220" s="1" t="s">
        <v>605</v>
      </c>
      <c r="Y2220" s="1" t="s">
        <v>606</v>
      </c>
      <c r="Z2220" s="1" t="str">
        <f>TRIM(_xlfn.CONCAT(sales_data_sample[[#This Row],[CONTACTFIRSTNAME]],", ",sales_data_sample[[#This Row],[CONTACTLASTNAME]]))</f>
        <v>Laurence, Lebihan</v>
      </c>
      <c r="AA2220" s="1" t="s">
        <v>40</v>
      </c>
    </row>
    <row r="2221" spans="1:27" x14ac:dyDescent="0.25">
      <c r="A2221" s="10">
        <v>10378</v>
      </c>
      <c r="B2221" s="9">
        <v>40</v>
      </c>
      <c r="C2221" s="9">
        <v>8246</v>
      </c>
      <c r="D2221" s="9">
        <f>PRODUCT(sales_data_sample[[#This Row],[QUANTITYORDERED]],sales_data_sample[[#This Row],[PRICEEACH]])</f>
        <v>329840</v>
      </c>
      <c r="E2221" s="9">
        <f>IF(OR(sales_data_sample[[#This Row],[STATUS]]="Shipped",sales_data_sample[[#This Row],[STATUS]]="Resolved"),sales_data_sample[[#This Row],[SALES]],0)</f>
        <v>329840</v>
      </c>
      <c r="F2221" s="10">
        <v>1</v>
      </c>
      <c r="G2221" s="12" t="s">
        <v>836</v>
      </c>
      <c r="H2221" s="1" t="s">
        <v>26</v>
      </c>
      <c r="I2221">
        <v>1</v>
      </c>
      <c r="J2221">
        <v>2</v>
      </c>
      <c r="K2221">
        <v>2005</v>
      </c>
      <c r="L2221" s="1" t="s">
        <v>27</v>
      </c>
      <c r="M2221">
        <v>40</v>
      </c>
      <c r="N2221" s="1" t="s">
        <v>988</v>
      </c>
      <c r="O2221" s="1" t="s">
        <v>230</v>
      </c>
      <c r="P2221" s="1" t="s">
        <v>231</v>
      </c>
      <c r="Q2221" s="1" t="s">
        <v>232</v>
      </c>
      <c r="R2221" s="1" t="s">
        <v>32</v>
      </c>
      <c r="S2221" s="1" t="s">
        <v>233</v>
      </c>
      <c r="T2221" s="1" t="s">
        <v>32</v>
      </c>
      <c r="U2221" s="1" t="s">
        <v>234</v>
      </c>
      <c r="V2221" s="1" t="s">
        <v>235</v>
      </c>
      <c r="W2221" s="1" t="s">
        <v>48</v>
      </c>
      <c r="X2221" s="1" t="s">
        <v>236</v>
      </c>
      <c r="Y2221" s="1" t="s">
        <v>237</v>
      </c>
      <c r="Z2221" s="1" t="str">
        <f>TRIM(_xlfn.CONCAT(sales_data_sample[[#This Row],[CONTACTFIRSTNAME]],", ",sales_data_sample[[#This Row],[CONTACTLASTNAME]]))</f>
        <v>Diego, Freyre</v>
      </c>
      <c r="AA2221" s="1" t="s">
        <v>59</v>
      </c>
    </row>
    <row r="2222" spans="1:27" x14ac:dyDescent="0.25">
      <c r="A2222" s="10">
        <v>10390</v>
      </c>
      <c r="B2222" s="9">
        <v>41</v>
      </c>
      <c r="C2222" s="9">
        <v>4456</v>
      </c>
      <c r="D2222" s="9">
        <f>PRODUCT(sales_data_sample[[#This Row],[QUANTITYORDERED]],sales_data_sample[[#This Row],[PRICEEACH]])</f>
        <v>182696</v>
      </c>
      <c r="E2222" s="9">
        <f>IF(OR(sales_data_sample[[#This Row],[STATUS]]="Shipped",sales_data_sample[[#This Row],[STATUS]]="Resolved"),sales_data_sample[[#This Row],[SALES]],0)</f>
        <v>182696</v>
      </c>
      <c r="F2222" s="10">
        <v>11</v>
      </c>
      <c r="G2222" s="12" t="s">
        <v>796</v>
      </c>
      <c r="H2222" s="1" t="s">
        <v>26</v>
      </c>
      <c r="I2222">
        <v>1</v>
      </c>
      <c r="J2222">
        <v>3</v>
      </c>
      <c r="K2222">
        <v>2005</v>
      </c>
      <c r="L2222" s="1" t="s">
        <v>27</v>
      </c>
      <c r="M2222">
        <v>40</v>
      </c>
      <c r="N2222" s="1" t="s">
        <v>988</v>
      </c>
      <c r="O2222" s="1" t="s">
        <v>361</v>
      </c>
      <c r="P2222" s="1" t="s">
        <v>362</v>
      </c>
      <c r="Q2222" s="1" t="s">
        <v>363</v>
      </c>
      <c r="R2222" s="1" t="s">
        <v>32</v>
      </c>
      <c r="S2222" s="1" t="s">
        <v>364</v>
      </c>
      <c r="T2222" s="1" t="s">
        <v>65</v>
      </c>
      <c r="U2222" s="1" t="s">
        <v>145</v>
      </c>
      <c r="V2222" s="1" t="s">
        <v>36</v>
      </c>
      <c r="W2222" s="1" t="s">
        <v>37</v>
      </c>
      <c r="X2222" s="1" t="s">
        <v>365</v>
      </c>
      <c r="Y2222" s="1" t="s">
        <v>366</v>
      </c>
      <c r="Z2222" s="1" t="str">
        <f>TRIM(_xlfn.CONCAT(sales_data_sample[[#This Row],[CONTACTFIRSTNAME]],", ",sales_data_sample[[#This Row],[CONTACTLASTNAME]]))</f>
        <v>Valarie, Nelson</v>
      </c>
      <c r="AA2222" s="1" t="s">
        <v>40</v>
      </c>
    </row>
    <row r="2223" spans="1:27" x14ac:dyDescent="0.25">
      <c r="A2223" s="10">
        <v>10403</v>
      </c>
      <c r="B2223" s="9">
        <v>30</v>
      </c>
      <c r="C2223" s="9">
        <v>4023</v>
      </c>
      <c r="D2223" s="9">
        <f>PRODUCT(sales_data_sample[[#This Row],[QUANTITYORDERED]],sales_data_sample[[#This Row],[PRICEEACH]])</f>
        <v>120690</v>
      </c>
      <c r="E2223" s="9">
        <f>IF(OR(sales_data_sample[[#This Row],[STATUS]]="Shipped",sales_data_sample[[#This Row],[STATUS]]="Resolved"),sales_data_sample[[#This Row],[SALES]],0)</f>
        <v>120690</v>
      </c>
      <c r="F2223" s="10">
        <v>2</v>
      </c>
      <c r="G2223" s="12" t="s">
        <v>219</v>
      </c>
      <c r="H2223" s="1" t="s">
        <v>26</v>
      </c>
      <c r="I2223">
        <v>2</v>
      </c>
      <c r="J2223">
        <v>4</v>
      </c>
      <c r="K2223">
        <v>2005</v>
      </c>
      <c r="L2223" s="1" t="s">
        <v>27</v>
      </c>
      <c r="M2223">
        <v>40</v>
      </c>
      <c r="N2223" s="1" t="s">
        <v>988</v>
      </c>
      <c r="O2223" s="1" t="s">
        <v>220</v>
      </c>
      <c r="P2223" s="1" t="s">
        <v>221</v>
      </c>
      <c r="Q2223" s="1" t="s">
        <v>222</v>
      </c>
      <c r="R2223" s="1" t="s">
        <v>32</v>
      </c>
      <c r="S2223" s="1" t="s">
        <v>223</v>
      </c>
      <c r="T2223" s="1" t="s">
        <v>32</v>
      </c>
      <c r="U2223" s="1" t="s">
        <v>224</v>
      </c>
      <c r="V2223" s="1" t="s">
        <v>225</v>
      </c>
      <c r="W2223" s="1" t="s">
        <v>48</v>
      </c>
      <c r="X2223" s="1" t="s">
        <v>226</v>
      </c>
      <c r="Y2223" s="1" t="s">
        <v>227</v>
      </c>
      <c r="Z2223" s="1" t="str">
        <f>TRIM(_xlfn.CONCAT(sales_data_sample[[#This Row],[CONTACTFIRSTNAME]],", ",sales_data_sample[[#This Row],[CONTACTLASTNAME]]))</f>
        <v>Elizabeth, Devon</v>
      </c>
      <c r="AA2223" s="1" t="s">
        <v>40</v>
      </c>
    </row>
    <row r="2224" spans="1:27" x14ac:dyDescent="0.25">
      <c r="A2224" s="10">
        <v>10104</v>
      </c>
      <c r="B2224" s="9">
        <v>35</v>
      </c>
      <c r="C2224" s="9">
        <v>4762</v>
      </c>
      <c r="D2224" s="9">
        <f>PRODUCT(sales_data_sample[[#This Row],[QUANTITYORDERED]],sales_data_sample[[#This Row],[PRICEEACH]])</f>
        <v>166670</v>
      </c>
      <c r="E2224" s="9">
        <f>IF(OR(sales_data_sample[[#This Row],[STATUS]]="Shipped",sales_data_sample[[#This Row],[STATUS]]="Resolved"),sales_data_sample[[#This Row],[SALES]],0)</f>
        <v>166670</v>
      </c>
      <c r="F2224" s="10">
        <v>11</v>
      </c>
      <c r="G2224" s="12" t="s">
        <v>723</v>
      </c>
      <c r="H2224" s="1" t="s">
        <v>26</v>
      </c>
      <c r="I2224">
        <v>1</v>
      </c>
      <c r="J2224">
        <v>1</v>
      </c>
      <c r="K2224">
        <v>2003</v>
      </c>
      <c r="L2224" s="1" t="s">
        <v>711</v>
      </c>
      <c r="M2224">
        <v>54</v>
      </c>
      <c r="N2224" s="1" t="s">
        <v>989</v>
      </c>
      <c r="O2224" s="1" t="s">
        <v>230</v>
      </c>
      <c r="P2224" s="1" t="s">
        <v>231</v>
      </c>
      <c r="Q2224" s="1" t="s">
        <v>232</v>
      </c>
      <c r="R2224" s="1" t="s">
        <v>32</v>
      </c>
      <c r="S2224" s="1" t="s">
        <v>233</v>
      </c>
      <c r="T2224" s="1" t="s">
        <v>32</v>
      </c>
      <c r="U2224" s="1" t="s">
        <v>234</v>
      </c>
      <c r="V2224" s="1" t="s">
        <v>235</v>
      </c>
      <c r="W2224" s="1" t="s">
        <v>48</v>
      </c>
      <c r="X2224" s="1" t="s">
        <v>236</v>
      </c>
      <c r="Y2224" s="1" t="s">
        <v>237</v>
      </c>
      <c r="Z2224" s="1" t="str">
        <f>TRIM(_xlfn.CONCAT(sales_data_sample[[#This Row],[CONTACTFIRSTNAME]],", ",sales_data_sample[[#This Row],[CONTACTLASTNAME]]))</f>
        <v>Diego, Freyre</v>
      </c>
      <c r="AA2224" s="1" t="s">
        <v>40</v>
      </c>
    </row>
    <row r="2225" spans="1:27" x14ac:dyDescent="0.25">
      <c r="A2225" s="10">
        <v>10114</v>
      </c>
      <c r="B2225" s="9">
        <v>28</v>
      </c>
      <c r="C2225" s="9">
        <v>5573</v>
      </c>
      <c r="D2225" s="9">
        <f>PRODUCT(sales_data_sample[[#This Row],[QUANTITYORDERED]],sales_data_sample[[#This Row],[PRICEEACH]])</f>
        <v>156044</v>
      </c>
      <c r="E2225" s="9">
        <f>IF(OR(sales_data_sample[[#This Row],[STATUS]]="Shipped",sales_data_sample[[#This Row],[STATUS]]="Resolved"),sales_data_sample[[#This Row],[SALES]],0)</f>
        <v>156044</v>
      </c>
      <c r="F2225" s="10">
        <v>2</v>
      </c>
      <c r="G2225" s="12" t="s">
        <v>555</v>
      </c>
      <c r="H2225" s="1" t="s">
        <v>26</v>
      </c>
      <c r="I2225">
        <v>2</v>
      </c>
      <c r="J2225">
        <v>4</v>
      </c>
      <c r="K2225">
        <v>2003</v>
      </c>
      <c r="L2225" s="1" t="s">
        <v>711</v>
      </c>
      <c r="M2225">
        <v>54</v>
      </c>
      <c r="N2225" s="1" t="s">
        <v>989</v>
      </c>
      <c r="O2225" s="1" t="s">
        <v>556</v>
      </c>
      <c r="P2225" s="1" t="s">
        <v>557</v>
      </c>
      <c r="Q2225" s="1" t="s">
        <v>558</v>
      </c>
      <c r="R2225" s="1" t="s">
        <v>32</v>
      </c>
      <c r="S2225" s="1" t="s">
        <v>55</v>
      </c>
      <c r="T2225" s="1" t="s">
        <v>32</v>
      </c>
      <c r="U2225" s="1" t="s">
        <v>559</v>
      </c>
      <c r="V2225" s="1" t="s">
        <v>47</v>
      </c>
      <c r="W2225" s="1" t="s">
        <v>48</v>
      </c>
      <c r="X2225" s="1" t="s">
        <v>560</v>
      </c>
      <c r="Y2225" s="1" t="s">
        <v>561</v>
      </c>
      <c r="Z2225" s="1" t="str">
        <f>TRIM(_xlfn.CONCAT(sales_data_sample[[#This Row],[CONTACTFIRSTNAME]],", ",sales_data_sample[[#This Row],[CONTACTLASTNAME]]))</f>
        <v>Marie, Bertrand</v>
      </c>
      <c r="AA2225" s="1" t="s">
        <v>40</v>
      </c>
    </row>
    <row r="2226" spans="1:27" x14ac:dyDescent="0.25">
      <c r="A2226">
        <v>10127</v>
      </c>
      <c r="B2226">
        <v>45</v>
      </c>
      <c r="C2226">
        <v>5195</v>
      </c>
      <c r="D2226">
        <f>PRODUCT(sales_data_sample[[#This Row],[QUANTITYORDERED]],sales_data_sample[[#This Row],[PRICEEACH]])</f>
        <v>233775</v>
      </c>
      <c r="E2226" s="9">
        <f>IF(OR(sales_data_sample[[#This Row],[STATUS]]="Shipped",sales_data_sample[[#This Row],[STATUS]]="Resolved"),sales_data_sample[[#This Row],[SALES]],0)</f>
        <v>233775</v>
      </c>
      <c r="F2226">
        <v>13</v>
      </c>
      <c r="G2226" s="12" t="s">
        <v>666</v>
      </c>
      <c r="H2226" s="1" t="s">
        <v>26</v>
      </c>
      <c r="I2226">
        <v>2</v>
      </c>
      <c r="J2226">
        <v>6</v>
      </c>
      <c r="K2226">
        <v>2003</v>
      </c>
      <c r="L2226" s="1" t="s">
        <v>711</v>
      </c>
      <c r="M2226">
        <v>54</v>
      </c>
      <c r="N2226" s="1" t="s">
        <v>989</v>
      </c>
      <c r="O2226" s="1" t="s">
        <v>667</v>
      </c>
      <c r="P2226" s="1" t="s">
        <v>668</v>
      </c>
      <c r="Q2226" s="1" t="s">
        <v>669</v>
      </c>
      <c r="R2226" s="1" t="s">
        <v>670</v>
      </c>
      <c r="S2226" s="1" t="s">
        <v>33</v>
      </c>
      <c r="T2226" s="1" t="s">
        <v>34</v>
      </c>
      <c r="U2226" s="1" t="s">
        <v>35</v>
      </c>
      <c r="V2226" s="1" t="s">
        <v>36</v>
      </c>
      <c r="W2226" s="1" t="s">
        <v>37</v>
      </c>
      <c r="X2226" s="1" t="s">
        <v>67</v>
      </c>
      <c r="Y2226" s="1" t="s">
        <v>671</v>
      </c>
      <c r="Z2226" s="1" t="str">
        <f>TRIM(_xlfn.CONCAT(sales_data_sample[[#This Row],[CONTACTFIRSTNAME]],", ",sales_data_sample[[#This Row],[CONTACTLASTNAME]]))</f>
        <v>Jeff, Young</v>
      </c>
      <c r="AA2226" s="1" t="s">
        <v>40</v>
      </c>
    </row>
    <row r="2227" spans="1:27" x14ac:dyDescent="0.25">
      <c r="A2227" s="10">
        <v>10141</v>
      </c>
      <c r="B2227" s="9">
        <v>24</v>
      </c>
      <c r="C2227" s="9">
        <v>4599</v>
      </c>
      <c r="D2227" s="9">
        <f>PRODUCT(sales_data_sample[[#This Row],[QUANTITYORDERED]],sales_data_sample[[#This Row],[PRICEEACH]])</f>
        <v>110376</v>
      </c>
      <c r="E2227" s="9">
        <f>IF(OR(sales_data_sample[[#This Row],[STATUS]]="Shipped",sales_data_sample[[#This Row],[STATUS]]="Resolved"),sales_data_sample[[#This Row],[SALES]],0)</f>
        <v>110376</v>
      </c>
      <c r="F2227" s="10">
        <v>7</v>
      </c>
      <c r="G2227" s="12" t="s">
        <v>743</v>
      </c>
      <c r="H2227" s="1" t="s">
        <v>26</v>
      </c>
      <c r="I2227">
        <v>3</v>
      </c>
      <c r="J2227">
        <v>8</v>
      </c>
      <c r="K2227">
        <v>2003</v>
      </c>
      <c r="L2227" s="1" t="s">
        <v>711</v>
      </c>
      <c r="M2227">
        <v>54</v>
      </c>
      <c r="N2227" s="1" t="s">
        <v>989</v>
      </c>
      <c r="O2227" s="1" t="s">
        <v>656</v>
      </c>
      <c r="P2227" s="1" t="s">
        <v>657</v>
      </c>
      <c r="Q2227" s="1" t="s">
        <v>658</v>
      </c>
      <c r="R2227" s="1" t="s">
        <v>32</v>
      </c>
      <c r="S2227" s="1" t="s">
        <v>659</v>
      </c>
      <c r="T2227" s="1" t="s">
        <v>32</v>
      </c>
      <c r="U2227" s="1" t="s">
        <v>660</v>
      </c>
      <c r="V2227" s="1" t="s">
        <v>170</v>
      </c>
      <c r="W2227" s="1" t="s">
        <v>48</v>
      </c>
      <c r="X2227" s="1" t="s">
        <v>661</v>
      </c>
      <c r="Y2227" s="1" t="s">
        <v>662</v>
      </c>
      <c r="Z2227" s="1" t="str">
        <f>TRIM(_xlfn.CONCAT(sales_data_sample[[#This Row],[CONTACTFIRSTNAME]],", ",sales_data_sample[[#This Row],[CONTACTLASTNAME]]))</f>
        <v>Kalle, Suominen</v>
      </c>
      <c r="AA2227" s="1" t="s">
        <v>40</v>
      </c>
    </row>
    <row r="2228" spans="1:27" x14ac:dyDescent="0.25">
      <c r="A2228" s="10">
        <v>10151</v>
      </c>
      <c r="B2228" s="9">
        <v>41</v>
      </c>
      <c r="C2228" s="9">
        <v>6385</v>
      </c>
      <c r="D2228" s="9">
        <f>PRODUCT(sales_data_sample[[#This Row],[QUANTITYORDERED]],sales_data_sample[[#This Row],[PRICEEACH]])</f>
        <v>261785</v>
      </c>
      <c r="E2228" s="9">
        <f>IF(OR(sales_data_sample[[#This Row],[STATUS]]="Shipped",sales_data_sample[[#This Row],[STATUS]]="Resolved"),sales_data_sample[[#This Row],[SALES]],0)</f>
        <v>261785</v>
      </c>
      <c r="F2228" s="10">
        <v>5</v>
      </c>
      <c r="G2228" s="12" t="s">
        <v>744</v>
      </c>
      <c r="H2228" s="1" t="s">
        <v>26</v>
      </c>
      <c r="I2228">
        <v>3</v>
      </c>
      <c r="J2228">
        <v>9</v>
      </c>
      <c r="K2228">
        <v>2003</v>
      </c>
      <c r="L2228" s="1" t="s">
        <v>711</v>
      </c>
      <c r="M2228">
        <v>54</v>
      </c>
      <c r="N2228" s="1" t="s">
        <v>989</v>
      </c>
      <c r="O2228" s="1" t="s">
        <v>537</v>
      </c>
      <c r="P2228" s="1" t="s">
        <v>538</v>
      </c>
      <c r="Q2228" s="1" t="s">
        <v>539</v>
      </c>
      <c r="R2228" s="1" t="s">
        <v>32</v>
      </c>
      <c r="S2228" s="1" t="s">
        <v>540</v>
      </c>
      <c r="T2228" s="1" t="s">
        <v>32</v>
      </c>
      <c r="U2228" s="1" t="s">
        <v>541</v>
      </c>
      <c r="V2228" s="1" t="s">
        <v>170</v>
      </c>
      <c r="W2228" s="1" t="s">
        <v>48</v>
      </c>
      <c r="X2228" s="1" t="s">
        <v>542</v>
      </c>
      <c r="Y2228" s="1" t="s">
        <v>543</v>
      </c>
      <c r="Z2228" s="1" t="str">
        <f>TRIM(_xlfn.CONCAT(sales_data_sample[[#This Row],[CONTACTFIRSTNAME]],", ",sales_data_sample[[#This Row],[CONTACTLASTNAME]]))</f>
        <v>Pirkko, Koskitalo</v>
      </c>
      <c r="AA2228" s="1" t="s">
        <v>40</v>
      </c>
    </row>
    <row r="2229" spans="1:27" x14ac:dyDescent="0.25">
      <c r="A2229" s="10">
        <v>10165</v>
      </c>
      <c r="B2229" s="9">
        <v>48</v>
      </c>
      <c r="C2229" s="9">
        <v>4599</v>
      </c>
      <c r="D2229" s="9">
        <f>PRODUCT(sales_data_sample[[#This Row],[QUANTITYORDERED]],sales_data_sample[[#This Row],[PRICEEACH]])</f>
        <v>220752</v>
      </c>
      <c r="E2229" s="9">
        <f>IF(OR(sales_data_sample[[#This Row],[STATUS]]="Shipped",sales_data_sample[[#This Row],[STATUS]]="Resolved"),sales_data_sample[[#This Row],[SALES]],0)</f>
        <v>220752</v>
      </c>
      <c r="F2229" s="10">
        <v>14</v>
      </c>
      <c r="G2229" s="12" t="s">
        <v>674</v>
      </c>
      <c r="H2229" s="1" t="s">
        <v>26</v>
      </c>
      <c r="I2229">
        <v>4</v>
      </c>
      <c r="J2229">
        <v>10</v>
      </c>
      <c r="K2229">
        <v>2003</v>
      </c>
      <c r="L2229" s="1" t="s">
        <v>711</v>
      </c>
      <c r="M2229">
        <v>54</v>
      </c>
      <c r="N2229" s="1" t="s">
        <v>989</v>
      </c>
      <c r="O2229" s="1" t="s">
        <v>259</v>
      </c>
      <c r="P2229" s="1" t="s">
        <v>260</v>
      </c>
      <c r="Q2229" s="1" t="s">
        <v>261</v>
      </c>
      <c r="R2229" s="1" t="s">
        <v>32</v>
      </c>
      <c r="S2229" s="1" t="s">
        <v>262</v>
      </c>
      <c r="T2229" s="1" t="s">
        <v>32</v>
      </c>
      <c r="U2229" s="1" t="s">
        <v>263</v>
      </c>
      <c r="V2229" s="1" t="s">
        <v>262</v>
      </c>
      <c r="W2229" s="1" t="s">
        <v>264</v>
      </c>
      <c r="X2229" s="1" t="s">
        <v>265</v>
      </c>
      <c r="Y2229" s="1" t="s">
        <v>266</v>
      </c>
      <c r="Z2229" s="1" t="str">
        <f>TRIM(_xlfn.CONCAT(sales_data_sample[[#This Row],[CONTACTFIRSTNAME]],", ",sales_data_sample[[#This Row],[CONTACTLASTNAME]]))</f>
        <v>Eric, Natividad</v>
      </c>
      <c r="AA2229" s="1" t="s">
        <v>40</v>
      </c>
    </row>
    <row r="2230" spans="1:27" x14ac:dyDescent="0.25">
      <c r="A2230" s="10">
        <v>10175</v>
      </c>
      <c r="B2230" s="9">
        <v>50</v>
      </c>
      <c r="C2230" s="9">
        <v>6331</v>
      </c>
      <c r="D2230" s="9">
        <f>PRODUCT(sales_data_sample[[#This Row],[QUANTITYORDERED]],sales_data_sample[[#This Row],[PRICEEACH]])</f>
        <v>316550</v>
      </c>
      <c r="E2230" s="9">
        <f>IF(OR(sales_data_sample[[#This Row],[STATUS]]="Shipped",sales_data_sample[[#This Row],[STATUS]]="Resolved"),sales_data_sample[[#This Row],[SALES]],0)</f>
        <v>316550</v>
      </c>
      <c r="F2230" s="10">
        <v>3</v>
      </c>
      <c r="G2230" s="12" t="s">
        <v>273</v>
      </c>
      <c r="H2230" s="1" t="s">
        <v>26</v>
      </c>
      <c r="I2230">
        <v>4</v>
      </c>
      <c r="J2230">
        <v>11</v>
      </c>
      <c r="K2230">
        <v>2003</v>
      </c>
      <c r="L2230" s="1" t="s">
        <v>711</v>
      </c>
      <c r="M2230">
        <v>54</v>
      </c>
      <c r="N2230" s="1" t="s">
        <v>989</v>
      </c>
      <c r="O2230" s="1" t="s">
        <v>447</v>
      </c>
      <c r="P2230" s="1" t="s">
        <v>448</v>
      </c>
      <c r="Q2230" s="1" t="s">
        <v>449</v>
      </c>
      <c r="R2230" s="1" t="s">
        <v>32</v>
      </c>
      <c r="S2230" s="1" t="s">
        <v>450</v>
      </c>
      <c r="T2230" s="1" t="s">
        <v>32</v>
      </c>
      <c r="U2230" s="1" t="s">
        <v>451</v>
      </c>
      <c r="V2230" s="1" t="s">
        <v>225</v>
      </c>
      <c r="W2230" s="1" t="s">
        <v>48</v>
      </c>
      <c r="X2230" s="1" t="s">
        <v>74</v>
      </c>
      <c r="Y2230" s="1" t="s">
        <v>452</v>
      </c>
      <c r="Z2230" s="1" t="str">
        <f>TRIM(_xlfn.CONCAT(sales_data_sample[[#This Row],[CONTACTFIRSTNAME]],", ",sales_data_sample[[#This Row],[CONTACTLASTNAME]]))</f>
        <v>Ann, Brown</v>
      </c>
      <c r="AA2230" s="1" t="s">
        <v>59</v>
      </c>
    </row>
    <row r="2231" spans="1:27" x14ac:dyDescent="0.25">
      <c r="A2231" s="10">
        <v>10184</v>
      </c>
      <c r="B2231" s="9">
        <v>33</v>
      </c>
      <c r="C2231" s="9">
        <v>6277</v>
      </c>
      <c r="D2231" s="9">
        <f>PRODUCT(sales_data_sample[[#This Row],[QUANTITYORDERED]],sales_data_sample[[#This Row],[PRICEEACH]])</f>
        <v>207141</v>
      </c>
      <c r="E2231" s="9">
        <f>IF(OR(sales_data_sample[[#This Row],[STATUS]]="Shipped",sales_data_sample[[#This Row],[STATUS]]="Resolved"),sales_data_sample[[#This Row],[SALES]],0)</f>
        <v>207141</v>
      </c>
      <c r="F2231" s="10">
        <v>8</v>
      </c>
      <c r="G2231" s="12" t="s">
        <v>470</v>
      </c>
      <c r="H2231" s="1" t="s">
        <v>26</v>
      </c>
      <c r="I2231">
        <v>4</v>
      </c>
      <c r="J2231">
        <v>11</v>
      </c>
      <c r="K2231">
        <v>2003</v>
      </c>
      <c r="L2231" s="1" t="s">
        <v>711</v>
      </c>
      <c r="M2231">
        <v>54</v>
      </c>
      <c r="N2231" s="1" t="s">
        <v>989</v>
      </c>
      <c r="O2231" s="1" t="s">
        <v>745</v>
      </c>
      <c r="P2231" s="1" t="s">
        <v>746</v>
      </c>
      <c r="Q2231" s="1" t="s">
        <v>747</v>
      </c>
      <c r="R2231" s="1" t="s">
        <v>32</v>
      </c>
      <c r="S2231" s="1" t="s">
        <v>748</v>
      </c>
      <c r="T2231" s="1" t="s">
        <v>32</v>
      </c>
      <c r="U2231" s="1" t="s">
        <v>749</v>
      </c>
      <c r="V2231" s="1" t="s">
        <v>235</v>
      </c>
      <c r="W2231" s="1" t="s">
        <v>48</v>
      </c>
      <c r="X2231" s="1" t="s">
        <v>750</v>
      </c>
      <c r="Y2231" s="1" t="s">
        <v>751</v>
      </c>
      <c r="Z2231" s="1" t="str">
        <f>TRIM(_xlfn.CONCAT(sales_data_sample[[#This Row],[CONTACTFIRSTNAME]],", ",sales_data_sample[[#This Row],[CONTACTLASTNAME]]))</f>
        <v>Jose Pedro, Roel</v>
      </c>
      <c r="AA2231" s="1" t="s">
        <v>40</v>
      </c>
    </row>
    <row r="2232" spans="1:27" x14ac:dyDescent="0.25">
      <c r="A2232" s="10">
        <v>10195</v>
      </c>
      <c r="B2232" s="9">
        <v>32</v>
      </c>
      <c r="C2232" s="9">
        <v>4329</v>
      </c>
      <c r="D2232" s="9">
        <f>PRODUCT(sales_data_sample[[#This Row],[QUANTITYORDERED]],sales_data_sample[[#This Row],[PRICEEACH]])</f>
        <v>138528</v>
      </c>
      <c r="E2232" s="9">
        <f>IF(OR(sales_data_sample[[#This Row],[STATUS]]="Shipped",sales_data_sample[[#This Row],[STATUS]]="Resolved"),sales_data_sample[[#This Row],[SALES]],0)</f>
        <v>138528</v>
      </c>
      <c r="F2232" s="10">
        <v>8</v>
      </c>
      <c r="G2232" s="12" t="s">
        <v>290</v>
      </c>
      <c r="H2232" s="1" t="s">
        <v>26</v>
      </c>
      <c r="I2232">
        <v>4</v>
      </c>
      <c r="J2232">
        <v>11</v>
      </c>
      <c r="K2232">
        <v>2003</v>
      </c>
      <c r="L2232" s="1" t="s">
        <v>711</v>
      </c>
      <c r="M2232">
        <v>54</v>
      </c>
      <c r="N2232" s="1" t="s">
        <v>989</v>
      </c>
      <c r="O2232" s="1" t="s">
        <v>425</v>
      </c>
      <c r="P2232" s="1" t="s">
        <v>426</v>
      </c>
      <c r="Q2232" s="1" t="s">
        <v>427</v>
      </c>
      <c r="R2232" s="1" t="s">
        <v>32</v>
      </c>
      <c r="S2232" s="1" t="s">
        <v>428</v>
      </c>
      <c r="T2232" s="1" t="s">
        <v>34</v>
      </c>
      <c r="U2232" s="1" t="s">
        <v>429</v>
      </c>
      <c r="V2232" s="1" t="s">
        <v>36</v>
      </c>
      <c r="W2232" s="1" t="s">
        <v>37</v>
      </c>
      <c r="X2232" s="1" t="s">
        <v>129</v>
      </c>
      <c r="Y2232" s="1" t="s">
        <v>314</v>
      </c>
      <c r="Z2232" s="1" t="str">
        <f>TRIM(_xlfn.CONCAT(sales_data_sample[[#This Row],[CONTACTFIRSTNAME]],", ",sales_data_sample[[#This Row],[CONTACTLASTNAME]]))</f>
        <v>Steve, Frick</v>
      </c>
      <c r="AA2232" s="1" t="s">
        <v>40</v>
      </c>
    </row>
    <row r="2233" spans="1:27" x14ac:dyDescent="0.25">
      <c r="A2233" s="10">
        <v>10207</v>
      </c>
      <c r="B2233" s="9">
        <v>27</v>
      </c>
      <c r="C2233" s="9">
        <v>6006</v>
      </c>
      <c r="D2233" s="9">
        <f>PRODUCT(sales_data_sample[[#This Row],[QUANTITYORDERED]],sales_data_sample[[#This Row],[PRICEEACH]])</f>
        <v>162162</v>
      </c>
      <c r="E2233" s="9">
        <f>IF(OR(sales_data_sample[[#This Row],[STATUS]]="Shipped",sales_data_sample[[#This Row],[STATUS]]="Resolved"),sales_data_sample[[#This Row],[SALES]],0)</f>
        <v>162162</v>
      </c>
      <c r="F2233" s="10">
        <v>9</v>
      </c>
      <c r="G2233" s="12" t="s">
        <v>571</v>
      </c>
      <c r="H2233" s="1" t="s">
        <v>26</v>
      </c>
      <c r="I2233">
        <v>4</v>
      </c>
      <c r="J2233">
        <v>12</v>
      </c>
      <c r="K2233">
        <v>2003</v>
      </c>
      <c r="L2233" s="1" t="s">
        <v>711</v>
      </c>
      <c r="M2233">
        <v>54</v>
      </c>
      <c r="N2233" s="1" t="s">
        <v>989</v>
      </c>
      <c r="O2233" s="1" t="s">
        <v>572</v>
      </c>
      <c r="P2233" s="1" t="s">
        <v>573</v>
      </c>
      <c r="Q2233" s="1" t="s">
        <v>574</v>
      </c>
      <c r="R2233" s="1" t="s">
        <v>32</v>
      </c>
      <c r="S2233" s="1" t="s">
        <v>519</v>
      </c>
      <c r="T2233" s="1" t="s">
        <v>160</v>
      </c>
      <c r="U2233" s="1" t="s">
        <v>520</v>
      </c>
      <c r="V2233" s="1" t="s">
        <v>36</v>
      </c>
      <c r="W2233" s="1" t="s">
        <v>37</v>
      </c>
      <c r="X2233" s="1" t="s">
        <v>575</v>
      </c>
      <c r="Y2233" s="1" t="s">
        <v>366</v>
      </c>
      <c r="Z2233" s="1" t="str">
        <f>TRIM(_xlfn.CONCAT(sales_data_sample[[#This Row],[CONTACTFIRSTNAME]],", ",sales_data_sample[[#This Row],[CONTACTLASTNAME]]))</f>
        <v>Valarie, Franco</v>
      </c>
      <c r="AA2233" s="1" t="s">
        <v>40</v>
      </c>
    </row>
    <row r="2234" spans="1:27" x14ac:dyDescent="0.25">
      <c r="A2234" s="10">
        <v>10219</v>
      </c>
      <c r="B2234" s="9">
        <v>35</v>
      </c>
      <c r="C2234" s="9">
        <v>5519</v>
      </c>
      <c r="D2234" s="9">
        <f>PRODUCT(sales_data_sample[[#This Row],[QUANTITYORDERED]],sales_data_sample[[#This Row],[PRICEEACH]])</f>
        <v>193165</v>
      </c>
      <c r="E2234" s="9">
        <f>IF(OR(sales_data_sample[[#This Row],[STATUS]]="Shipped",sales_data_sample[[#This Row],[STATUS]]="Resolved"),sales_data_sample[[#This Row],[SALES]],0)</f>
        <v>193165</v>
      </c>
      <c r="F2234" s="10">
        <v>4</v>
      </c>
      <c r="G2234" s="12" t="s">
        <v>752</v>
      </c>
      <c r="H2234" s="1" t="s">
        <v>26</v>
      </c>
      <c r="I2234">
        <v>1</v>
      </c>
      <c r="J2234">
        <v>2</v>
      </c>
      <c r="K2234">
        <v>2004</v>
      </c>
      <c r="L2234" s="1" t="s">
        <v>711</v>
      </c>
      <c r="M2234">
        <v>54</v>
      </c>
      <c r="N2234" s="1" t="s">
        <v>989</v>
      </c>
      <c r="O2234" s="1" t="s">
        <v>753</v>
      </c>
      <c r="P2234" s="1" t="s">
        <v>754</v>
      </c>
      <c r="Q2234" s="1" t="s">
        <v>755</v>
      </c>
      <c r="R2234" s="1" t="s">
        <v>32</v>
      </c>
      <c r="S2234" s="1" t="s">
        <v>756</v>
      </c>
      <c r="T2234" s="1" t="s">
        <v>65</v>
      </c>
      <c r="U2234" s="1" t="s">
        <v>80</v>
      </c>
      <c r="V2234" s="1" t="s">
        <v>36</v>
      </c>
      <c r="W2234" s="1" t="s">
        <v>37</v>
      </c>
      <c r="X2234" s="1" t="s">
        <v>757</v>
      </c>
      <c r="Y2234" s="1" t="s">
        <v>551</v>
      </c>
      <c r="Z2234" s="1" t="str">
        <f>TRIM(_xlfn.CONCAT(sales_data_sample[[#This Row],[CONTACTFIRSTNAME]],", ",sales_data_sample[[#This Row],[CONTACTLASTNAME]]))</f>
        <v>Sue, Taylor</v>
      </c>
      <c r="AA2234" s="1" t="s">
        <v>40</v>
      </c>
    </row>
    <row r="2235" spans="1:27" x14ac:dyDescent="0.25">
      <c r="A2235" s="10">
        <v>10229</v>
      </c>
      <c r="B2235" s="9">
        <v>23</v>
      </c>
      <c r="C2235" s="9">
        <v>5411</v>
      </c>
      <c r="D2235" s="9">
        <f>PRODUCT(sales_data_sample[[#This Row],[QUANTITYORDERED]],sales_data_sample[[#This Row],[PRICEEACH]])</f>
        <v>124453</v>
      </c>
      <c r="E2235" s="9">
        <f>IF(OR(sales_data_sample[[#This Row],[STATUS]]="Shipped",sales_data_sample[[#This Row],[STATUS]]="Resolved"),sales_data_sample[[#This Row],[SALES]],0)</f>
        <v>124453</v>
      </c>
      <c r="F2235" s="10">
        <v>3</v>
      </c>
      <c r="G2235" s="12" t="s">
        <v>584</v>
      </c>
      <c r="H2235" s="1" t="s">
        <v>26</v>
      </c>
      <c r="I2235">
        <v>1</v>
      </c>
      <c r="J2235">
        <v>3</v>
      </c>
      <c r="K2235">
        <v>2004</v>
      </c>
      <c r="L2235" s="1" t="s">
        <v>711</v>
      </c>
      <c r="M2235">
        <v>54</v>
      </c>
      <c r="N2235" s="1" t="s">
        <v>989</v>
      </c>
      <c r="O2235" s="1" t="s">
        <v>361</v>
      </c>
      <c r="P2235" s="1" t="s">
        <v>362</v>
      </c>
      <c r="Q2235" s="1" t="s">
        <v>363</v>
      </c>
      <c r="R2235" s="1" t="s">
        <v>32</v>
      </c>
      <c r="S2235" s="1" t="s">
        <v>364</v>
      </c>
      <c r="T2235" s="1" t="s">
        <v>65</v>
      </c>
      <c r="U2235" s="1" t="s">
        <v>145</v>
      </c>
      <c r="V2235" s="1" t="s">
        <v>36</v>
      </c>
      <c r="W2235" s="1" t="s">
        <v>37</v>
      </c>
      <c r="X2235" s="1" t="s">
        <v>365</v>
      </c>
      <c r="Y2235" s="1" t="s">
        <v>366</v>
      </c>
      <c r="Z2235" s="1" t="str">
        <f>TRIM(_xlfn.CONCAT(sales_data_sample[[#This Row],[CONTACTFIRSTNAME]],", ",sales_data_sample[[#This Row],[CONTACTLASTNAME]]))</f>
        <v>Valarie, Nelson</v>
      </c>
      <c r="AA2235" s="1" t="s">
        <v>40</v>
      </c>
    </row>
    <row r="2236" spans="1:27" x14ac:dyDescent="0.25">
      <c r="A2236" s="10">
        <v>10246</v>
      </c>
      <c r="B2236" s="9">
        <v>35</v>
      </c>
      <c r="C2236" s="9">
        <v>487</v>
      </c>
      <c r="D2236" s="9">
        <f>PRODUCT(sales_data_sample[[#This Row],[QUANTITYORDERED]],sales_data_sample[[#This Row],[PRICEEACH]])</f>
        <v>17045</v>
      </c>
      <c r="E2236" s="9">
        <f>IF(OR(sales_data_sample[[#This Row],[STATUS]]="Shipped",sales_data_sample[[#This Row],[STATUS]]="Resolved"),sales_data_sample[[#This Row],[SALES]],0)</f>
        <v>17045</v>
      </c>
      <c r="F2236" s="10">
        <v>7</v>
      </c>
      <c r="G2236" s="12" t="s">
        <v>692</v>
      </c>
      <c r="H2236" s="1" t="s">
        <v>26</v>
      </c>
      <c r="I2236">
        <v>2</v>
      </c>
      <c r="J2236">
        <v>5</v>
      </c>
      <c r="K2236">
        <v>2004</v>
      </c>
      <c r="L2236" s="1" t="s">
        <v>711</v>
      </c>
      <c r="M2236">
        <v>54</v>
      </c>
      <c r="N2236" s="1" t="s">
        <v>989</v>
      </c>
      <c r="O2236" s="1" t="s">
        <v>230</v>
      </c>
      <c r="P2236" s="1" t="s">
        <v>231</v>
      </c>
      <c r="Q2236" s="1" t="s">
        <v>232</v>
      </c>
      <c r="R2236" s="1" t="s">
        <v>32</v>
      </c>
      <c r="S2236" s="1" t="s">
        <v>233</v>
      </c>
      <c r="T2236" s="1" t="s">
        <v>32</v>
      </c>
      <c r="U2236" s="1" t="s">
        <v>234</v>
      </c>
      <c r="V2236" s="1" t="s">
        <v>235</v>
      </c>
      <c r="W2236" s="1" t="s">
        <v>48</v>
      </c>
      <c r="X2236" s="1" t="s">
        <v>236</v>
      </c>
      <c r="Y2236" s="1" t="s">
        <v>237</v>
      </c>
      <c r="Z2236" s="1" t="str">
        <f>TRIM(_xlfn.CONCAT(sales_data_sample[[#This Row],[CONTACTFIRSTNAME]],", ",sales_data_sample[[#This Row],[CONTACTLASTNAME]]))</f>
        <v>Diego, Freyre</v>
      </c>
      <c r="AA2236" s="1" t="s">
        <v>40</v>
      </c>
    </row>
    <row r="2237" spans="1:27" x14ac:dyDescent="0.25">
      <c r="A2237">
        <v>10259</v>
      </c>
      <c r="B2237">
        <v>40</v>
      </c>
      <c r="C2237">
        <v>4383</v>
      </c>
      <c r="D2237">
        <f>PRODUCT(sales_data_sample[[#This Row],[QUANTITYORDERED]],sales_data_sample[[#This Row],[PRICEEACH]])</f>
        <v>175320</v>
      </c>
      <c r="E2237" s="9">
        <f>IF(OR(sales_data_sample[[#This Row],[STATUS]]="Shipped",sales_data_sample[[#This Row],[STATUS]]="Resolved"),sales_data_sample[[#This Row],[SALES]],0)</f>
        <v>175320</v>
      </c>
      <c r="F2237">
        <v>6</v>
      </c>
      <c r="G2237" s="12" t="s">
        <v>327</v>
      </c>
      <c r="H2237" s="1" t="s">
        <v>26</v>
      </c>
      <c r="I2237">
        <v>2</v>
      </c>
      <c r="J2237">
        <v>6</v>
      </c>
      <c r="K2237">
        <v>2004</v>
      </c>
      <c r="L2237" s="1" t="s">
        <v>711</v>
      </c>
      <c r="M2237">
        <v>54</v>
      </c>
      <c r="N2237" s="1" t="s">
        <v>989</v>
      </c>
      <c r="O2237" s="1" t="s">
        <v>577</v>
      </c>
      <c r="P2237" s="1" t="s">
        <v>578</v>
      </c>
      <c r="Q2237" s="1" t="s">
        <v>579</v>
      </c>
      <c r="R2237" s="1" t="s">
        <v>580</v>
      </c>
      <c r="S2237" s="1" t="s">
        <v>262</v>
      </c>
      <c r="T2237" s="1" t="s">
        <v>32</v>
      </c>
      <c r="U2237" s="1" t="s">
        <v>581</v>
      </c>
      <c r="V2237" s="1" t="s">
        <v>262</v>
      </c>
      <c r="W2237" s="1" t="s">
        <v>121</v>
      </c>
      <c r="X2237" s="1" t="s">
        <v>582</v>
      </c>
      <c r="Y2237" s="1" t="s">
        <v>583</v>
      </c>
      <c r="Z2237" s="1" t="str">
        <f>TRIM(_xlfn.CONCAT(sales_data_sample[[#This Row],[CONTACTFIRSTNAME]],", ",sales_data_sample[[#This Row],[CONTACTLASTNAME]]))</f>
        <v>Wendy, Victorino</v>
      </c>
      <c r="AA2237" s="1" t="s">
        <v>40</v>
      </c>
    </row>
    <row r="2238" spans="1:27" x14ac:dyDescent="0.25">
      <c r="A2238" s="10">
        <v>10271</v>
      </c>
      <c r="B2238" s="9">
        <v>35</v>
      </c>
      <c r="C2238" s="9">
        <v>4762</v>
      </c>
      <c r="D2238" s="9">
        <f>PRODUCT(sales_data_sample[[#This Row],[QUANTITYORDERED]],sales_data_sample[[#This Row],[PRICEEACH]])</f>
        <v>166670</v>
      </c>
      <c r="E2238" s="9">
        <f>IF(OR(sales_data_sample[[#This Row],[STATUS]]="Shipped",sales_data_sample[[#This Row],[STATUS]]="Resolved"),sales_data_sample[[#This Row],[SALES]],0)</f>
        <v>166670</v>
      </c>
      <c r="F2238" s="10">
        <v>7</v>
      </c>
      <c r="G2238" s="12" t="s">
        <v>693</v>
      </c>
      <c r="H2238" s="1" t="s">
        <v>26</v>
      </c>
      <c r="I2238">
        <v>3</v>
      </c>
      <c r="J2238">
        <v>7</v>
      </c>
      <c r="K2238">
        <v>2004</v>
      </c>
      <c r="L2238" s="1" t="s">
        <v>711</v>
      </c>
      <c r="M2238">
        <v>54</v>
      </c>
      <c r="N2238" s="1" t="s">
        <v>989</v>
      </c>
      <c r="O2238" s="1" t="s">
        <v>361</v>
      </c>
      <c r="P2238" s="1" t="s">
        <v>362</v>
      </c>
      <c r="Q2238" s="1" t="s">
        <v>363</v>
      </c>
      <c r="R2238" s="1" t="s">
        <v>32</v>
      </c>
      <c r="S2238" s="1" t="s">
        <v>364</v>
      </c>
      <c r="T2238" s="1" t="s">
        <v>65</v>
      </c>
      <c r="U2238" s="1" t="s">
        <v>145</v>
      </c>
      <c r="V2238" s="1" t="s">
        <v>36</v>
      </c>
      <c r="W2238" s="1" t="s">
        <v>37</v>
      </c>
      <c r="X2238" s="1" t="s">
        <v>365</v>
      </c>
      <c r="Y2238" s="1" t="s">
        <v>366</v>
      </c>
      <c r="Z2238" s="1" t="str">
        <f>TRIM(_xlfn.CONCAT(sales_data_sample[[#This Row],[CONTACTFIRSTNAME]],", ",sales_data_sample[[#This Row],[CONTACTLASTNAME]]))</f>
        <v>Valarie, Nelson</v>
      </c>
      <c r="AA2238" s="1" t="s">
        <v>40</v>
      </c>
    </row>
    <row r="2239" spans="1:27" x14ac:dyDescent="0.25">
      <c r="A2239" s="10">
        <v>10281</v>
      </c>
      <c r="B2239" s="9">
        <v>31</v>
      </c>
      <c r="C2239" s="9">
        <v>5519</v>
      </c>
      <c r="D2239" s="9">
        <f>PRODUCT(sales_data_sample[[#This Row],[QUANTITYORDERED]],sales_data_sample[[#This Row],[PRICEEACH]])</f>
        <v>171089</v>
      </c>
      <c r="E2239" s="9">
        <f>IF(OR(sales_data_sample[[#This Row],[STATUS]]="Shipped",sales_data_sample[[#This Row],[STATUS]]="Resolved"),sales_data_sample[[#This Row],[SALES]],0)</f>
        <v>171089</v>
      </c>
      <c r="F2239" s="10">
        <v>3</v>
      </c>
      <c r="G2239" s="12" t="s">
        <v>585</v>
      </c>
      <c r="H2239" s="1" t="s">
        <v>26</v>
      </c>
      <c r="I2239">
        <v>3</v>
      </c>
      <c r="J2239">
        <v>8</v>
      </c>
      <c r="K2239">
        <v>2004</v>
      </c>
      <c r="L2239" s="1" t="s">
        <v>711</v>
      </c>
      <c r="M2239">
        <v>54</v>
      </c>
      <c r="N2239" s="1" t="s">
        <v>989</v>
      </c>
      <c r="O2239" s="1" t="s">
        <v>182</v>
      </c>
      <c r="P2239" s="1" t="s">
        <v>183</v>
      </c>
      <c r="Q2239" s="1" t="s">
        <v>184</v>
      </c>
      <c r="R2239" s="1" t="s">
        <v>32</v>
      </c>
      <c r="S2239" s="1" t="s">
        <v>185</v>
      </c>
      <c r="T2239" s="1" t="s">
        <v>186</v>
      </c>
      <c r="U2239" s="1" t="s">
        <v>187</v>
      </c>
      <c r="V2239" s="1" t="s">
        <v>36</v>
      </c>
      <c r="W2239" s="1" t="s">
        <v>37</v>
      </c>
      <c r="X2239" s="1" t="s">
        <v>38</v>
      </c>
      <c r="Y2239" s="1" t="s">
        <v>188</v>
      </c>
      <c r="Z2239" s="1" t="str">
        <f>TRIM(_xlfn.CONCAT(sales_data_sample[[#This Row],[CONTACTFIRSTNAME]],", ",sales_data_sample[[#This Row],[CONTACTLASTNAME]]))</f>
        <v>Kyung, Yu</v>
      </c>
      <c r="AA2239" s="1" t="s">
        <v>40</v>
      </c>
    </row>
    <row r="2240" spans="1:27" x14ac:dyDescent="0.25">
      <c r="A2240" s="10">
        <v>10292</v>
      </c>
      <c r="B2240" s="9">
        <v>50</v>
      </c>
      <c r="C2240" s="9">
        <v>4653</v>
      </c>
      <c r="D2240" s="9">
        <f>PRODUCT(sales_data_sample[[#This Row],[QUANTITYORDERED]],sales_data_sample[[#This Row],[PRICEEACH]])</f>
        <v>232650</v>
      </c>
      <c r="E2240" s="9">
        <f>IF(OR(sales_data_sample[[#This Row],[STATUS]]="Shipped",sales_data_sample[[#This Row],[STATUS]]="Resolved"),sales_data_sample[[#This Row],[SALES]],0)</f>
        <v>232650</v>
      </c>
      <c r="F2240" s="10">
        <v>10</v>
      </c>
      <c r="G2240" s="12" t="s">
        <v>346</v>
      </c>
      <c r="H2240" s="1" t="s">
        <v>26</v>
      </c>
      <c r="I2240">
        <v>3</v>
      </c>
      <c r="J2240">
        <v>9</v>
      </c>
      <c r="K2240">
        <v>2004</v>
      </c>
      <c r="L2240" s="1" t="s">
        <v>711</v>
      </c>
      <c r="M2240">
        <v>54</v>
      </c>
      <c r="N2240" s="1" t="s">
        <v>989</v>
      </c>
      <c r="O2240" s="1" t="s">
        <v>29</v>
      </c>
      <c r="P2240" s="1" t="s">
        <v>30</v>
      </c>
      <c r="Q2240" s="1" t="s">
        <v>31</v>
      </c>
      <c r="R2240" s="1" t="s">
        <v>32</v>
      </c>
      <c r="S2240" s="1" t="s">
        <v>33</v>
      </c>
      <c r="T2240" s="1" t="s">
        <v>34</v>
      </c>
      <c r="U2240" s="1" t="s">
        <v>35</v>
      </c>
      <c r="V2240" s="1" t="s">
        <v>36</v>
      </c>
      <c r="W2240" s="1" t="s">
        <v>37</v>
      </c>
      <c r="X2240" s="1" t="s">
        <v>38</v>
      </c>
      <c r="Y2240" s="1" t="s">
        <v>39</v>
      </c>
      <c r="Z2240" s="1" t="str">
        <f>TRIM(_xlfn.CONCAT(sales_data_sample[[#This Row],[CONTACTFIRSTNAME]],", ",sales_data_sample[[#This Row],[CONTACTLASTNAME]]))</f>
        <v>Kwai, Yu</v>
      </c>
      <c r="AA2240" s="1" t="s">
        <v>40</v>
      </c>
    </row>
    <row r="2241" spans="1:27" x14ac:dyDescent="0.25">
      <c r="A2241" s="10">
        <v>10305</v>
      </c>
      <c r="B2241" s="9">
        <v>40</v>
      </c>
      <c r="C2241" s="9">
        <v>579</v>
      </c>
      <c r="D2241" s="9">
        <f>PRODUCT(sales_data_sample[[#This Row],[QUANTITYORDERED]],sales_data_sample[[#This Row],[PRICEEACH]])</f>
        <v>23160</v>
      </c>
      <c r="E2241" s="9">
        <f>IF(OR(sales_data_sample[[#This Row],[STATUS]]="Shipped",sales_data_sample[[#This Row],[STATUS]]="Resolved"),sales_data_sample[[#This Row],[SALES]],0)</f>
        <v>23160</v>
      </c>
      <c r="F2241" s="10">
        <v>7</v>
      </c>
      <c r="G2241" s="12" t="s">
        <v>586</v>
      </c>
      <c r="H2241" s="1" t="s">
        <v>26</v>
      </c>
      <c r="I2241">
        <v>4</v>
      </c>
      <c r="J2241">
        <v>10</v>
      </c>
      <c r="K2241">
        <v>2004</v>
      </c>
      <c r="L2241" s="1" t="s">
        <v>711</v>
      </c>
      <c r="M2241">
        <v>54</v>
      </c>
      <c r="N2241" s="1" t="s">
        <v>989</v>
      </c>
      <c r="O2241" s="1" t="s">
        <v>156</v>
      </c>
      <c r="P2241" s="1" t="s">
        <v>157</v>
      </c>
      <c r="Q2241" s="1" t="s">
        <v>158</v>
      </c>
      <c r="R2241" s="1" t="s">
        <v>32</v>
      </c>
      <c r="S2241" s="1" t="s">
        <v>159</v>
      </c>
      <c r="T2241" s="1" t="s">
        <v>160</v>
      </c>
      <c r="U2241" s="1" t="s">
        <v>161</v>
      </c>
      <c r="V2241" s="1" t="s">
        <v>36</v>
      </c>
      <c r="W2241" s="1" t="s">
        <v>37</v>
      </c>
      <c r="X2241" s="1" t="s">
        <v>162</v>
      </c>
      <c r="Y2241" s="1" t="s">
        <v>163</v>
      </c>
      <c r="Z2241" s="1" t="str">
        <f>TRIM(_xlfn.CONCAT(sales_data_sample[[#This Row],[CONTACTFIRSTNAME]],", ",sales_data_sample[[#This Row],[CONTACTLASTNAME]]))</f>
        <v>Marta, Hernandez</v>
      </c>
      <c r="AA2241" s="1" t="s">
        <v>40</v>
      </c>
    </row>
    <row r="2242" spans="1:27" x14ac:dyDescent="0.25">
      <c r="A2242" s="10">
        <v>10313</v>
      </c>
      <c r="B2242" s="9">
        <v>38</v>
      </c>
      <c r="C2242" s="9">
        <v>4545</v>
      </c>
      <c r="D2242" s="9">
        <f>PRODUCT(sales_data_sample[[#This Row],[QUANTITYORDERED]],sales_data_sample[[#This Row],[PRICEEACH]])</f>
        <v>172710</v>
      </c>
      <c r="E2242" s="9">
        <f>IF(OR(sales_data_sample[[#This Row],[STATUS]]="Shipped",sales_data_sample[[#This Row],[STATUS]]="Resolved"),sales_data_sample[[#This Row],[SALES]],0)</f>
        <v>172710</v>
      </c>
      <c r="F2242" s="10">
        <v>1</v>
      </c>
      <c r="G2242" s="12" t="s">
        <v>587</v>
      </c>
      <c r="H2242" s="1" t="s">
        <v>26</v>
      </c>
      <c r="I2242">
        <v>4</v>
      </c>
      <c r="J2242">
        <v>10</v>
      </c>
      <c r="K2242">
        <v>2004</v>
      </c>
      <c r="L2242" s="1" t="s">
        <v>711</v>
      </c>
      <c r="M2242">
        <v>54</v>
      </c>
      <c r="N2242" s="1" t="s">
        <v>989</v>
      </c>
      <c r="O2242" s="1" t="s">
        <v>299</v>
      </c>
      <c r="P2242" s="1" t="s">
        <v>300</v>
      </c>
      <c r="Q2242" s="1" t="s">
        <v>301</v>
      </c>
      <c r="R2242" s="1" t="s">
        <v>32</v>
      </c>
      <c r="S2242" s="1" t="s">
        <v>302</v>
      </c>
      <c r="T2242" s="1" t="s">
        <v>303</v>
      </c>
      <c r="U2242" s="1" t="s">
        <v>304</v>
      </c>
      <c r="V2242" s="1" t="s">
        <v>305</v>
      </c>
      <c r="W2242" s="1" t="s">
        <v>37</v>
      </c>
      <c r="X2242" s="1" t="s">
        <v>306</v>
      </c>
      <c r="Y2242" s="1" t="s">
        <v>307</v>
      </c>
      <c r="Z2242" s="1" t="str">
        <f>TRIM(_xlfn.CONCAT(sales_data_sample[[#This Row],[CONTACTFIRSTNAME]],", ",sales_data_sample[[#This Row],[CONTACTLASTNAME]]))</f>
        <v>Yoshi, Tannamuri</v>
      </c>
      <c r="AA2242" s="1" t="s">
        <v>40</v>
      </c>
    </row>
    <row r="2243" spans="1:27" x14ac:dyDescent="0.25">
      <c r="A2243" s="10">
        <v>10325</v>
      </c>
      <c r="B2243" s="9">
        <v>38</v>
      </c>
      <c r="C2243" s="9">
        <v>100</v>
      </c>
      <c r="D2243" s="9">
        <f>PRODUCT(sales_data_sample[[#This Row],[QUANTITYORDERED]],sales_data_sample[[#This Row],[PRICEEACH]])</f>
        <v>3800</v>
      </c>
      <c r="E2243" s="9">
        <f>IF(OR(sales_data_sample[[#This Row],[STATUS]]="Shipped",sales_data_sample[[#This Row],[STATUS]]="Resolved"),sales_data_sample[[#This Row],[SALES]],0)</f>
        <v>3800</v>
      </c>
      <c r="F2243" s="10">
        <v>3</v>
      </c>
      <c r="G2243" s="12" t="s">
        <v>532</v>
      </c>
      <c r="H2243" s="1" t="s">
        <v>26</v>
      </c>
      <c r="I2243">
        <v>4</v>
      </c>
      <c r="J2243">
        <v>11</v>
      </c>
      <c r="K2243">
        <v>2004</v>
      </c>
      <c r="L2243" s="1" t="s">
        <v>711</v>
      </c>
      <c r="M2243">
        <v>54</v>
      </c>
      <c r="N2243" s="1" t="s">
        <v>989</v>
      </c>
      <c r="O2243" s="1" t="s">
        <v>174</v>
      </c>
      <c r="P2243" s="1" t="s">
        <v>175</v>
      </c>
      <c r="Q2243" s="1" t="s">
        <v>176</v>
      </c>
      <c r="R2243" s="1" t="s">
        <v>32</v>
      </c>
      <c r="S2243" s="1" t="s">
        <v>177</v>
      </c>
      <c r="T2243" s="1" t="s">
        <v>32</v>
      </c>
      <c r="U2243" s="1" t="s">
        <v>178</v>
      </c>
      <c r="V2243" s="1" t="s">
        <v>97</v>
      </c>
      <c r="W2243" s="1" t="s">
        <v>48</v>
      </c>
      <c r="X2243" s="1" t="s">
        <v>179</v>
      </c>
      <c r="Y2243" s="1" t="s">
        <v>180</v>
      </c>
      <c r="Z2243" s="1" t="str">
        <f>TRIM(_xlfn.CONCAT(sales_data_sample[[#This Row],[CONTACTFIRSTNAME]],", ",sales_data_sample[[#This Row],[CONTACTLASTNAME]]))</f>
        <v>Jonas, Bergulfsen</v>
      </c>
      <c r="AA2243" s="1" t="s">
        <v>199</v>
      </c>
    </row>
    <row r="2244" spans="1:27" x14ac:dyDescent="0.25">
      <c r="A2244" s="10">
        <v>10335</v>
      </c>
      <c r="B2244" s="9">
        <v>40</v>
      </c>
      <c r="C2244" s="9">
        <v>606</v>
      </c>
      <c r="D2244" s="9">
        <f>PRODUCT(sales_data_sample[[#This Row],[QUANTITYORDERED]],sales_data_sample[[#This Row],[PRICEEACH]])</f>
        <v>24240</v>
      </c>
      <c r="E2244" s="9">
        <f>IF(OR(sales_data_sample[[#This Row],[STATUS]]="Shipped",sales_data_sample[[#This Row],[STATUS]]="Resolved"),sales_data_sample[[#This Row],[SALES]],0)</f>
        <v>24240</v>
      </c>
      <c r="F2244" s="10">
        <v>3</v>
      </c>
      <c r="G2244" s="12" t="s">
        <v>588</v>
      </c>
      <c r="H2244" s="1" t="s">
        <v>26</v>
      </c>
      <c r="I2244">
        <v>4</v>
      </c>
      <c r="J2244">
        <v>11</v>
      </c>
      <c r="K2244">
        <v>2004</v>
      </c>
      <c r="L2244" s="1" t="s">
        <v>711</v>
      </c>
      <c r="M2244">
        <v>54</v>
      </c>
      <c r="N2244" s="1" t="s">
        <v>989</v>
      </c>
      <c r="O2244" s="1" t="s">
        <v>361</v>
      </c>
      <c r="P2244" s="1" t="s">
        <v>362</v>
      </c>
      <c r="Q2244" s="1" t="s">
        <v>363</v>
      </c>
      <c r="R2244" s="1" t="s">
        <v>32</v>
      </c>
      <c r="S2244" s="1" t="s">
        <v>364</v>
      </c>
      <c r="T2244" s="1" t="s">
        <v>65</v>
      </c>
      <c r="U2244" s="1" t="s">
        <v>145</v>
      </c>
      <c r="V2244" s="1" t="s">
        <v>36</v>
      </c>
      <c r="W2244" s="1" t="s">
        <v>37</v>
      </c>
      <c r="X2244" s="1" t="s">
        <v>365</v>
      </c>
      <c r="Y2244" s="1" t="s">
        <v>366</v>
      </c>
      <c r="Z2244" s="1" t="str">
        <f>TRIM(_xlfn.CONCAT(sales_data_sample[[#This Row],[CONTACTFIRSTNAME]],", ",sales_data_sample[[#This Row],[CONTACTLASTNAME]]))</f>
        <v>Valarie, Nelson</v>
      </c>
      <c r="AA2244" s="1" t="s">
        <v>40</v>
      </c>
    </row>
    <row r="2245" spans="1:27" x14ac:dyDescent="0.25">
      <c r="A2245">
        <v>10349</v>
      </c>
      <c r="B2245">
        <v>33</v>
      </c>
      <c r="C2245">
        <v>4653</v>
      </c>
      <c r="D2245">
        <f>PRODUCT(sales_data_sample[[#This Row],[QUANTITYORDERED]],sales_data_sample[[#This Row],[PRICEEACH]])</f>
        <v>153549</v>
      </c>
      <c r="E2245" s="9">
        <f>IF(OR(sales_data_sample[[#This Row],[STATUS]]="Shipped",sales_data_sample[[#This Row],[STATUS]]="Resolved"),sales_data_sample[[#This Row],[SALES]],0)</f>
        <v>153549</v>
      </c>
      <c r="F2245">
        <v>1</v>
      </c>
      <c r="G2245" s="12" t="s">
        <v>737</v>
      </c>
      <c r="H2245" s="1" t="s">
        <v>26</v>
      </c>
      <c r="I2245">
        <v>4</v>
      </c>
      <c r="J2245">
        <v>12</v>
      </c>
      <c r="K2245">
        <v>2004</v>
      </c>
      <c r="L2245" s="1" t="s">
        <v>711</v>
      </c>
      <c r="M2245">
        <v>54</v>
      </c>
      <c r="N2245" s="1" t="s">
        <v>989</v>
      </c>
      <c r="O2245" s="1" t="s">
        <v>667</v>
      </c>
      <c r="P2245" s="1" t="s">
        <v>668</v>
      </c>
      <c r="Q2245" s="1" t="s">
        <v>669</v>
      </c>
      <c r="R2245" s="1" t="s">
        <v>670</v>
      </c>
      <c r="S2245" s="1" t="s">
        <v>33</v>
      </c>
      <c r="T2245" s="1" t="s">
        <v>34</v>
      </c>
      <c r="U2245" s="1" t="s">
        <v>35</v>
      </c>
      <c r="V2245" s="1" t="s">
        <v>36</v>
      </c>
      <c r="W2245" s="1" t="s">
        <v>37</v>
      </c>
      <c r="X2245" s="1" t="s">
        <v>67</v>
      </c>
      <c r="Y2245" s="1" t="s">
        <v>671</v>
      </c>
      <c r="Z2245" s="1" t="str">
        <f>TRIM(_xlfn.CONCAT(sales_data_sample[[#This Row],[CONTACTFIRSTNAME]],", ",sales_data_sample[[#This Row],[CONTACTLASTNAME]]))</f>
        <v>Jeff, Young</v>
      </c>
      <c r="AA2245" s="1" t="s">
        <v>40</v>
      </c>
    </row>
    <row r="2246" spans="1:27" x14ac:dyDescent="0.25">
      <c r="A2246" s="10">
        <v>10359</v>
      </c>
      <c r="B2246" s="9">
        <v>36</v>
      </c>
      <c r="C2246" s="9">
        <v>100</v>
      </c>
      <c r="D2246" s="9">
        <f>PRODUCT(sales_data_sample[[#This Row],[QUANTITYORDERED]],sales_data_sample[[#This Row],[PRICEEACH]])</f>
        <v>3600</v>
      </c>
      <c r="E2246" s="9">
        <f>IF(OR(sales_data_sample[[#This Row],[STATUS]]="Shipped",sales_data_sample[[#This Row],[STATUS]]="Resolved"),sales_data_sample[[#This Row],[SALES]],0)</f>
        <v>3600</v>
      </c>
      <c r="F2246" s="10">
        <v>3</v>
      </c>
      <c r="G2246" s="12" t="s">
        <v>535</v>
      </c>
      <c r="H2246" s="1" t="s">
        <v>26</v>
      </c>
      <c r="I2246">
        <v>4</v>
      </c>
      <c r="J2246">
        <v>12</v>
      </c>
      <c r="K2246">
        <v>2004</v>
      </c>
      <c r="L2246" s="1" t="s">
        <v>711</v>
      </c>
      <c r="M2246">
        <v>54</v>
      </c>
      <c r="N2246" s="1" t="s">
        <v>989</v>
      </c>
      <c r="O2246" s="1" t="s">
        <v>42</v>
      </c>
      <c r="P2246" s="1" t="s">
        <v>43</v>
      </c>
      <c r="Q2246" s="1" t="s">
        <v>44</v>
      </c>
      <c r="R2246" s="1" t="s">
        <v>32</v>
      </c>
      <c r="S2246" s="1" t="s">
        <v>45</v>
      </c>
      <c r="T2246" s="1" t="s">
        <v>32</v>
      </c>
      <c r="U2246" s="1" t="s">
        <v>46</v>
      </c>
      <c r="V2246" s="1" t="s">
        <v>47</v>
      </c>
      <c r="W2246" s="1" t="s">
        <v>48</v>
      </c>
      <c r="X2246" s="1" t="s">
        <v>49</v>
      </c>
      <c r="Y2246" s="1" t="s">
        <v>50</v>
      </c>
      <c r="Z2246" s="1" t="str">
        <f>TRIM(_xlfn.CONCAT(sales_data_sample[[#This Row],[CONTACTFIRSTNAME]],", ",sales_data_sample[[#This Row],[CONTACTLASTNAME]]))</f>
        <v>Paul, Henriot</v>
      </c>
      <c r="AA2246" s="1" t="s">
        <v>59</v>
      </c>
    </row>
    <row r="2247" spans="1:27" x14ac:dyDescent="0.25">
      <c r="A2247" s="10">
        <v>10371</v>
      </c>
      <c r="B2247" s="9">
        <v>20</v>
      </c>
      <c r="C2247" s="9">
        <v>6647</v>
      </c>
      <c r="D2247" s="9">
        <f>PRODUCT(sales_data_sample[[#This Row],[QUANTITYORDERED]],sales_data_sample[[#This Row],[PRICEEACH]])</f>
        <v>132940</v>
      </c>
      <c r="E2247" s="9">
        <f>IF(OR(sales_data_sample[[#This Row],[STATUS]]="Shipped",sales_data_sample[[#This Row],[STATUS]]="Resolved"),sales_data_sample[[#This Row],[SALES]],0)</f>
        <v>132940</v>
      </c>
      <c r="F2247" s="10">
        <v>2</v>
      </c>
      <c r="G2247" s="12" t="s">
        <v>709</v>
      </c>
      <c r="H2247" s="1" t="s">
        <v>26</v>
      </c>
      <c r="I2247">
        <v>1</v>
      </c>
      <c r="J2247">
        <v>1</v>
      </c>
      <c r="K2247">
        <v>2005</v>
      </c>
      <c r="L2247" s="1" t="s">
        <v>711</v>
      </c>
      <c r="M2247">
        <v>54</v>
      </c>
      <c r="N2247" s="1" t="s">
        <v>989</v>
      </c>
      <c r="O2247" s="1" t="s">
        <v>361</v>
      </c>
      <c r="P2247" s="1" t="s">
        <v>362</v>
      </c>
      <c r="Q2247" s="1" t="s">
        <v>363</v>
      </c>
      <c r="R2247" s="1" t="s">
        <v>32</v>
      </c>
      <c r="S2247" s="1" t="s">
        <v>364</v>
      </c>
      <c r="T2247" s="1" t="s">
        <v>65</v>
      </c>
      <c r="U2247" s="1" t="s">
        <v>145</v>
      </c>
      <c r="V2247" s="1" t="s">
        <v>36</v>
      </c>
      <c r="W2247" s="1" t="s">
        <v>37</v>
      </c>
      <c r="X2247" s="1" t="s">
        <v>365</v>
      </c>
      <c r="Y2247" s="1" t="s">
        <v>366</v>
      </c>
      <c r="Z2247" s="1" t="str">
        <f>TRIM(_xlfn.CONCAT(sales_data_sample[[#This Row],[CONTACTFIRSTNAME]],", ",sales_data_sample[[#This Row],[CONTACTLASTNAME]]))</f>
        <v>Valarie, Nelson</v>
      </c>
      <c r="AA2247" s="1" t="s">
        <v>40</v>
      </c>
    </row>
    <row r="2248" spans="1:27" x14ac:dyDescent="0.25">
      <c r="A2248" s="10">
        <v>10383</v>
      </c>
      <c r="B2248" s="9">
        <v>32</v>
      </c>
      <c r="C2248" s="9">
        <v>5318</v>
      </c>
      <c r="D2248" s="9">
        <f>PRODUCT(sales_data_sample[[#This Row],[QUANTITYORDERED]],sales_data_sample[[#This Row],[PRICEEACH]])</f>
        <v>170176</v>
      </c>
      <c r="E2248" s="9">
        <f>IF(OR(sales_data_sample[[#This Row],[STATUS]]="Shipped",sales_data_sample[[#This Row],[STATUS]]="Resolved"),sales_data_sample[[#This Row],[SALES]],0)</f>
        <v>170176</v>
      </c>
      <c r="F2248" s="10">
        <v>5</v>
      </c>
      <c r="G2248" s="12" t="s">
        <v>884</v>
      </c>
      <c r="H2248" s="1" t="s">
        <v>26</v>
      </c>
      <c r="I2248">
        <v>1</v>
      </c>
      <c r="J2248">
        <v>2</v>
      </c>
      <c r="K2248">
        <v>2005</v>
      </c>
      <c r="L2248" s="1" t="s">
        <v>711</v>
      </c>
      <c r="M2248">
        <v>54</v>
      </c>
      <c r="N2248" s="1" t="s">
        <v>989</v>
      </c>
      <c r="O2248" s="1" t="s">
        <v>230</v>
      </c>
      <c r="P2248" s="1" t="s">
        <v>231</v>
      </c>
      <c r="Q2248" s="1" t="s">
        <v>232</v>
      </c>
      <c r="R2248" s="1" t="s">
        <v>32</v>
      </c>
      <c r="S2248" s="1" t="s">
        <v>233</v>
      </c>
      <c r="T2248" s="1" t="s">
        <v>32</v>
      </c>
      <c r="U2248" s="1" t="s">
        <v>234</v>
      </c>
      <c r="V2248" s="1" t="s">
        <v>235</v>
      </c>
      <c r="W2248" s="1" t="s">
        <v>48</v>
      </c>
      <c r="X2248" s="1" t="s">
        <v>236</v>
      </c>
      <c r="Y2248" s="1" t="s">
        <v>237</v>
      </c>
      <c r="Z2248" s="1" t="str">
        <f>TRIM(_xlfn.CONCAT(sales_data_sample[[#This Row],[CONTACTFIRSTNAME]],", ",sales_data_sample[[#This Row],[CONTACTLASTNAME]]))</f>
        <v>Diego, Freyre</v>
      </c>
      <c r="AA2248" s="1" t="s">
        <v>40</v>
      </c>
    </row>
    <row r="2249" spans="1:27" x14ac:dyDescent="0.25">
      <c r="A2249" s="10">
        <v>10394</v>
      </c>
      <c r="B2249" s="9">
        <v>36</v>
      </c>
      <c r="C2249" s="9">
        <v>6277</v>
      </c>
      <c r="D2249" s="9">
        <f>PRODUCT(sales_data_sample[[#This Row],[QUANTITYORDERED]],sales_data_sample[[#This Row],[PRICEEACH]])</f>
        <v>225972</v>
      </c>
      <c r="E2249" s="9">
        <f>IF(OR(sales_data_sample[[#This Row],[STATUS]]="Shipped",sales_data_sample[[#This Row],[STATUS]]="Resolved"),sales_data_sample[[#This Row],[SALES]],0)</f>
        <v>225972</v>
      </c>
      <c r="F2249" s="10">
        <v>3</v>
      </c>
      <c r="G2249" s="12" t="s">
        <v>917</v>
      </c>
      <c r="H2249" s="1" t="s">
        <v>26</v>
      </c>
      <c r="I2249">
        <v>1</v>
      </c>
      <c r="J2249">
        <v>3</v>
      </c>
      <c r="K2249">
        <v>2005</v>
      </c>
      <c r="L2249" s="1" t="s">
        <v>711</v>
      </c>
      <c r="M2249">
        <v>54</v>
      </c>
      <c r="N2249" s="1" t="s">
        <v>989</v>
      </c>
      <c r="O2249" s="1" t="s">
        <v>230</v>
      </c>
      <c r="P2249" s="1" t="s">
        <v>231</v>
      </c>
      <c r="Q2249" s="1" t="s">
        <v>232</v>
      </c>
      <c r="R2249" s="1" t="s">
        <v>32</v>
      </c>
      <c r="S2249" s="1" t="s">
        <v>233</v>
      </c>
      <c r="T2249" s="1" t="s">
        <v>32</v>
      </c>
      <c r="U2249" s="1" t="s">
        <v>234</v>
      </c>
      <c r="V2249" s="1" t="s">
        <v>235</v>
      </c>
      <c r="W2249" s="1" t="s">
        <v>48</v>
      </c>
      <c r="X2249" s="1" t="s">
        <v>236</v>
      </c>
      <c r="Y2249" s="1" t="s">
        <v>237</v>
      </c>
      <c r="Z2249" s="1" t="str">
        <f>TRIM(_xlfn.CONCAT(sales_data_sample[[#This Row],[CONTACTFIRSTNAME]],", ",sales_data_sample[[#This Row],[CONTACTLASTNAME]]))</f>
        <v>Diego, Freyre</v>
      </c>
      <c r="AA2249" s="1" t="s">
        <v>40</v>
      </c>
    </row>
    <row r="2250" spans="1:27" x14ac:dyDescent="0.25">
      <c r="A2250" s="10">
        <v>10412</v>
      </c>
      <c r="B2250" s="9">
        <v>19</v>
      </c>
      <c r="C2250" s="9">
        <v>487</v>
      </c>
      <c r="D2250" s="9">
        <f>PRODUCT(sales_data_sample[[#This Row],[QUANTITYORDERED]],sales_data_sample[[#This Row],[PRICEEACH]])</f>
        <v>9253</v>
      </c>
      <c r="E2250" s="9">
        <f>IF(OR(sales_data_sample[[#This Row],[STATUS]]="Shipped",sales_data_sample[[#This Row],[STATUS]]="Resolved"),sales_data_sample[[#This Row],[SALES]],0)</f>
        <v>9253</v>
      </c>
      <c r="F2250" s="10">
        <v>7</v>
      </c>
      <c r="G2250" s="12" t="s">
        <v>758</v>
      </c>
      <c r="H2250" s="1" t="s">
        <v>26</v>
      </c>
      <c r="I2250">
        <v>2</v>
      </c>
      <c r="J2250">
        <v>5</v>
      </c>
      <c r="K2250">
        <v>2005</v>
      </c>
      <c r="L2250" s="1" t="s">
        <v>711</v>
      </c>
      <c r="M2250">
        <v>54</v>
      </c>
      <c r="N2250" s="1" t="s">
        <v>989</v>
      </c>
      <c r="O2250" s="1" t="s">
        <v>230</v>
      </c>
      <c r="P2250" s="1" t="s">
        <v>231</v>
      </c>
      <c r="Q2250" s="1" t="s">
        <v>232</v>
      </c>
      <c r="R2250" s="1" t="s">
        <v>32</v>
      </c>
      <c r="S2250" s="1" t="s">
        <v>233</v>
      </c>
      <c r="T2250" s="1" t="s">
        <v>32</v>
      </c>
      <c r="U2250" s="1" t="s">
        <v>234</v>
      </c>
      <c r="V2250" s="1" t="s">
        <v>235</v>
      </c>
      <c r="W2250" s="1" t="s">
        <v>48</v>
      </c>
      <c r="X2250" s="1" t="s">
        <v>236</v>
      </c>
      <c r="Y2250" s="1" t="s">
        <v>237</v>
      </c>
      <c r="Z2250" s="1" t="str">
        <f>TRIM(_xlfn.CONCAT(sales_data_sample[[#This Row],[CONTACTFIRSTNAME]],", ",sales_data_sample[[#This Row],[CONTACTLASTNAME]]))</f>
        <v>Diego, Freyre</v>
      </c>
      <c r="AA2250" s="1" t="s">
        <v>40</v>
      </c>
    </row>
    <row r="2251" spans="1:27" x14ac:dyDescent="0.25">
      <c r="A2251" s="10">
        <v>10425</v>
      </c>
      <c r="B2251" s="9">
        <v>11</v>
      </c>
      <c r="C2251" s="9">
        <v>4383</v>
      </c>
      <c r="D2251" s="9">
        <f>PRODUCT(sales_data_sample[[#This Row],[QUANTITYORDERED]],sales_data_sample[[#This Row],[PRICEEACH]])</f>
        <v>48213</v>
      </c>
      <c r="E2251" s="9">
        <f>IF(OR(sales_data_sample[[#This Row],[STATUS]]="Shipped",sales_data_sample[[#This Row],[STATUS]]="Resolved"),sales_data_sample[[#This Row],[SALES]],0)</f>
        <v>0</v>
      </c>
      <c r="F2251" s="10">
        <v>6</v>
      </c>
      <c r="G2251" s="12" t="s">
        <v>402</v>
      </c>
      <c r="H2251" s="1" t="s">
        <v>403</v>
      </c>
      <c r="I2251">
        <v>2</v>
      </c>
      <c r="J2251">
        <v>5</v>
      </c>
      <c r="K2251">
        <v>2005</v>
      </c>
      <c r="L2251" s="1" t="s">
        <v>711</v>
      </c>
      <c r="M2251">
        <v>54</v>
      </c>
      <c r="N2251" s="1" t="s">
        <v>989</v>
      </c>
      <c r="O2251" s="1" t="s">
        <v>148</v>
      </c>
      <c r="P2251" s="1" t="s">
        <v>149</v>
      </c>
      <c r="Q2251" s="1" t="s">
        <v>150</v>
      </c>
      <c r="R2251" s="1" t="s">
        <v>32</v>
      </c>
      <c r="S2251" s="1" t="s">
        <v>151</v>
      </c>
      <c r="T2251" s="1" t="s">
        <v>32</v>
      </c>
      <c r="U2251" s="1" t="s">
        <v>152</v>
      </c>
      <c r="V2251" s="1" t="s">
        <v>47</v>
      </c>
      <c r="W2251" s="1" t="s">
        <v>48</v>
      </c>
      <c r="X2251" s="1" t="s">
        <v>153</v>
      </c>
      <c r="Y2251" s="1" t="s">
        <v>154</v>
      </c>
      <c r="Z2251" s="1" t="str">
        <f>TRIM(_xlfn.CONCAT(sales_data_sample[[#This Row],[CONTACTFIRSTNAME]],", ",sales_data_sample[[#This Row],[CONTACTLASTNAME]]))</f>
        <v>Janine, Labrune</v>
      </c>
      <c r="AA2251" s="1" t="s">
        <v>40</v>
      </c>
    </row>
    <row r="2252" spans="1:27" x14ac:dyDescent="0.25">
      <c r="A2252" s="10">
        <v>10104</v>
      </c>
      <c r="B2252" s="9">
        <v>49</v>
      </c>
      <c r="C2252" s="9">
        <v>6587</v>
      </c>
      <c r="D2252" s="9">
        <f>PRODUCT(sales_data_sample[[#This Row],[QUANTITYORDERED]],sales_data_sample[[#This Row],[PRICEEACH]])</f>
        <v>322763</v>
      </c>
      <c r="E2252" s="9">
        <f>IF(OR(sales_data_sample[[#This Row],[STATUS]]="Shipped",sales_data_sample[[#This Row],[STATUS]]="Resolved"),sales_data_sample[[#This Row],[SALES]],0)</f>
        <v>322763</v>
      </c>
      <c r="F2252" s="10">
        <v>4</v>
      </c>
      <c r="G2252" s="12" t="s">
        <v>723</v>
      </c>
      <c r="H2252" s="1" t="s">
        <v>26</v>
      </c>
      <c r="I2252">
        <v>1</v>
      </c>
      <c r="J2252">
        <v>1</v>
      </c>
      <c r="K2252">
        <v>2003</v>
      </c>
      <c r="L2252" s="1" t="s">
        <v>918</v>
      </c>
      <c r="M2252">
        <v>62</v>
      </c>
      <c r="N2252" s="1" t="s">
        <v>990</v>
      </c>
      <c r="O2252" s="1" t="s">
        <v>230</v>
      </c>
      <c r="P2252" s="1" t="s">
        <v>231</v>
      </c>
      <c r="Q2252" s="1" t="s">
        <v>232</v>
      </c>
      <c r="R2252" s="1" t="s">
        <v>32</v>
      </c>
      <c r="S2252" s="1" t="s">
        <v>233</v>
      </c>
      <c r="T2252" s="1" t="s">
        <v>32</v>
      </c>
      <c r="U2252" s="1" t="s">
        <v>234</v>
      </c>
      <c r="V2252" s="1" t="s">
        <v>235</v>
      </c>
      <c r="W2252" s="1" t="s">
        <v>48</v>
      </c>
      <c r="X2252" s="1" t="s">
        <v>236</v>
      </c>
      <c r="Y2252" s="1" t="s">
        <v>237</v>
      </c>
      <c r="Z2252" s="1" t="str">
        <f>TRIM(_xlfn.CONCAT(sales_data_sample[[#This Row],[CONTACTFIRSTNAME]],", ",sales_data_sample[[#This Row],[CONTACTLASTNAME]]))</f>
        <v>Diego, Freyre</v>
      </c>
      <c r="AA2252" s="1" t="s">
        <v>59</v>
      </c>
    </row>
    <row r="2253" spans="1:27" x14ac:dyDescent="0.25">
      <c r="A2253" s="10">
        <v>10116</v>
      </c>
      <c r="B2253" s="9">
        <v>27</v>
      </c>
      <c r="C2253" s="9">
        <v>6338</v>
      </c>
      <c r="D2253" s="9">
        <f>PRODUCT(sales_data_sample[[#This Row],[QUANTITYORDERED]],sales_data_sample[[#This Row],[PRICEEACH]])</f>
        <v>171126</v>
      </c>
      <c r="E2253" s="9">
        <f>IF(OR(sales_data_sample[[#This Row],[STATUS]]="Shipped",sales_data_sample[[#This Row],[STATUS]]="Resolved"),sales_data_sample[[#This Row],[SALES]],0)</f>
        <v>171126</v>
      </c>
      <c r="F2253" s="10">
        <v>1</v>
      </c>
      <c r="G2253" s="12" t="s">
        <v>991</v>
      </c>
      <c r="H2253" s="1" t="s">
        <v>26</v>
      </c>
      <c r="I2253">
        <v>2</v>
      </c>
      <c r="J2253">
        <v>4</v>
      </c>
      <c r="K2253">
        <v>2003</v>
      </c>
      <c r="L2253" s="1" t="s">
        <v>918</v>
      </c>
      <c r="M2253">
        <v>62</v>
      </c>
      <c r="N2253" s="1" t="s">
        <v>990</v>
      </c>
      <c r="O2253" s="1" t="s">
        <v>861</v>
      </c>
      <c r="P2253" s="1" t="s">
        <v>862</v>
      </c>
      <c r="Q2253" s="1" t="s">
        <v>863</v>
      </c>
      <c r="R2253" s="1" t="s">
        <v>32</v>
      </c>
      <c r="S2253" s="1" t="s">
        <v>864</v>
      </c>
      <c r="T2253" s="1" t="s">
        <v>32</v>
      </c>
      <c r="U2253" s="1" t="s">
        <v>865</v>
      </c>
      <c r="V2253" s="1" t="s">
        <v>505</v>
      </c>
      <c r="W2253" s="1" t="s">
        <v>48</v>
      </c>
      <c r="X2253" s="1" t="s">
        <v>866</v>
      </c>
      <c r="Y2253" s="1" t="s">
        <v>867</v>
      </c>
      <c r="Z2253" s="1" t="str">
        <f>TRIM(_xlfn.CONCAT(sales_data_sample[[#This Row],[CONTACTFIRSTNAME]],", ",sales_data_sample[[#This Row],[CONTACTLASTNAME]]))</f>
        <v>Pascale, Cartrain</v>
      </c>
      <c r="AA2253" s="1" t="s">
        <v>40</v>
      </c>
    </row>
    <row r="2254" spans="1:27" x14ac:dyDescent="0.25">
      <c r="A2254">
        <v>10127</v>
      </c>
      <c r="B2254">
        <v>29</v>
      </c>
      <c r="C2254">
        <v>7084</v>
      </c>
      <c r="D2254">
        <f>PRODUCT(sales_data_sample[[#This Row],[QUANTITYORDERED]],sales_data_sample[[#This Row],[PRICEEACH]])</f>
        <v>205436</v>
      </c>
      <c r="E2254" s="9">
        <f>IF(OR(sales_data_sample[[#This Row],[STATUS]]="Shipped",sales_data_sample[[#This Row],[STATUS]]="Resolved"),sales_data_sample[[#This Row],[SALES]],0)</f>
        <v>205436</v>
      </c>
      <c r="F2254">
        <v>6</v>
      </c>
      <c r="G2254" s="12" t="s">
        <v>666</v>
      </c>
      <c r="H2254" s="1" t="s">
        <v>26</v>
      </c>
      <c r="I2254">
        <v>2</v>
      </c>
      <c r="J2254">
        <v>6</v>
      </c>
      <c r="K2254">
        <v>2003</v>
      </c>
      <c r="L2254" s="1" t="s">
        <v>918</v>
      </c>
      <c r="M2254">
        <v>62</v>
      </c>
      <c r="N2254" s="1" t="s">
        <v>990</v>
      </c>
      <c r="O2254" s="1" t="s">
        <v>667</v>
      </c>
      <c r="P2254" s="1" t="s">
        <v>668</v>
      </c>
      <c r="Q2254" s="1" t="s">
        <v>669</v>
      </c>
      <c r="R2254" s="1" t="s">
        <v>670</v>
      </c>
      <c r="S2254" s="1" t="s">
        <v>33</v>
      </c>
      <c r="T2254" s="1" t="s">
        <v>34</v>
      </c>
      <c r="U2254" s="1" t="s">
        <v>35</v>
      </c>
      <c r="V2254" s="1" t="s">
        <v>36</v>
      </c>
      <c r="W2254" s="1" t="s">
        <v>37</v>
      </c>
      <c r="X2254" s="1" t="s">
        <v>67</v>
      </c>
      <c r="Y2254" s="1" t="s">
        <v>671</v>
      </c>
      <c r="Z2254" s="1" t="str">
        <f>TRIM(_xlfn.CONCAT(sales_data_sample[[#This Row],[CONTACTFIRSTNAME]],", ",sales_data_sample[[#This Row],[CONTACTLASTNAME]]))</f>
        <v>Jeff, Young</v>
      </c>
      <c r="AA2254" s="1" t="s">
        <v>40</v>
      </c>
    </row>
    <row r="2255" spans="1:27" x14ac:dyDescent="0.25">
      <c r="A2255" s="10">
        <v>10142</v>
      </c>
      <c r="B2255" s="9">
        <v>42</v>
      </c>
      <c r="C2255" s="9">
        <v>7457</v>
      </c>
      <c r="D2255" s="9">
        <f>PRODUCT(sales_data_sample[[#This Row],[QUANTITYORDERED]],sales_data_sample[[#This Row],[PRICEEACH]])</f>
        <v>313194</v>
      </c>
      <c r="E2255" s="9">
        <f>IF(OR(sales_data_sample[[#This Row],[STATUS]]="Shipped",sales_data_sample[[#This Row],[STATUS]]="Resolved"),sales_data_sample[[#This Row],[SALES]],0)</f>
        <v>313194</v>
      </c>
      <c r="F2255" s="10">
        <v>16</v>
      </c>
      <c r="G2255" s="12" t="s">
        <v>672</v>
      </c>
      <c r="H2255" s="1" t="s">
        <v>26</v>
      </c>
      <c r="I2255">
        <v>3</v>
      </c>
      <c r="J2255">
        <v>8</v>
      </c>
      <c r="K2255">
        <v>2003</v>
      </c>
      <c r="L2255" s="1" t="s">
        <v>918</v>
      </c>
      <c r="M2255">
        <v>62</v>
      </c>
      <c r="N2255" s="1" t="s">
        <v>990</v>
      </c>
      <c r="O2255" s="1" t="s">
        <v>361</v>
      </c>
      <c r="P2255" s="1" t="s">
        <v>362</v>
      </c>
      <c r="Q2255" s="1" t="s">
        <v>363</v>
      </c>
      <c r="R2255" s="1" t="s">
        <v>32</v>
      </c>
      <c r="S2255" s="1" t="s">
        <v>364</v>
      </c>
      <c r="T2255" s="1" t="s">
        <v>65</v>
      </c>
      <c r="U2255" s="1" t="s">
        <v>145</v>
      </c>
      <c r="V2255" s="1" t="s">
        <v>36</v>
      </c>
      <c r="W2255" s="1" t="s">
        <v>37</v>
      </c>
      <c r="X2255" s="1" t="s">
        <v>365</v>
      </c>
      <c r="Y2255" s="1" t="s">
        <v>366</v>
      </c>
      <c r="Z2255" s="1" t="str">
        <f>TRIM(_xlfn.CONCAT(sales_data_sample[[#This Row],[CONTACTFIRSTNAME]],", ",sales_data_sample[[#This Row],[CONTACTLASTNAME]]))</f>
        <v>Valarie, Nelson</v>
      </c>
      <c r="AA2255" s="1" t="s">
        <v>59</v>
      </c>
    </row>
    <row r="2256" spans="1:27" x14ac:dyDescent="0.25">
      <c r="A2256" s="10">
        <v>10152</v>
      </c>
      <c r="B2256" s="9">
        <v>33</v>
      </c>
      <c r="C2256" s="9">
        <v>5095</v>
      </c>
      <c r="D2256" s="9">
        <f>PRODUCT(sales_data_sample[[#This Row],[QUANTITYORDERED]],sales_data_sample[[#This Row],[PRICEEACH]])</f>
        <v>168135</v>
      </c>
      <c r="E2256" s="9">
        <f>IF(OR(sales_data_sample[[#This Row],[STATUS]]="Shipped",sales_data_sample[[#This Row],[STATUS]]="Resolved"),sales_data_sample[[#This Row],[SALES]],0)</f>
        <v>168135</v>
      </c>
      <c r="F2256" s="10">
        <v>2</v>
      </c>
      <c r="G2256" s="12" t="s">
        <v>939</v>
      </c>
      <c r="H2256" s="1" t="s">
        <v>26</v>
      </c>
      <c r="I2256">
        <v>3</v>
      </c>
      <c r="J2256">
        <v>9</v>
      </c>
      <c r="K2256">
        <v>2003</v>
      </c>
      <c r="L2256" s="1" t="s">
        <v>918</v>
      </c>
      <c r="M2256">
        <v>62</v>
      </c>
      <c r="N2256" s="1" t="s">
        <v>990</v>
      </c>
      <c r="O2256" s="1" t="s">
        <v>274</v>
      </c>
      <c r="P2256" s="1" t="s">
        <v>275</v>
      </c>
      <c r="Q2256" s="1" t="s">
        <v>276</v>
      </c>
      <c r="R2256" s="1" t="s">
        <v>32</v>
      </c>
      <c r="S2256" s="1" t="s">
        <v>277</v>
      </c>
      <c r="T2256" s="1" t="s">
        <v>278</v>
      </c>
      <c r="U2256" s="1" t="s">
        <v>279</v>
      </c>
      <c r="V2256" s="1" t="s">
        <v>120</v>
      </c>
      <c r="W2256" s="1" t="s">
        <v>121</v>
      </c>
      <c r="X2256" s="1" t="s">
        <v>280</v>
      </c>
      <c r="Y2256" s="1" t="s">
        <v>281</v>
      </c>
      <c r="Z2256" s="1" t="str">
        <f>TRIM(_xlfn.CONCAT(sales_data_sample[[#This Row],[CONTACTFIRSTNAME]],", ",sales_data_sample[[#This Row],[CONTACTLASTNAME]]))</f>
        <v>Tony, Calaghan</v>
      </c>
      <c r="AA2256" s="1" t="s">
        <v>40</v>
      </c>
    </row>
    <row r="2257" spans="1:27" x14ac:dyDescent="0.25">
      <c r="A2257" s="10">
        <v>10165</v>
      </c>
      <c r="B2257" s="9">
        <v>44</v>
      </c>
      <c r="C2257" s="9">
        <v>5344</v>
      </c>
      <c r="D2257" s="9">
        <f>PRODUCT(sales_data_sample[[#This Row],[QUANTITYORDERED]],sales_data_sample[[#This Row],[PRICEEACH]])</f>
        <v>235136</v>
      </c>
      <c r="E2257" s="9">
        <f>IF(OR(sales_data_sample[[#This Row],[STATUS]]="Shipped",sales_data_sample[[#This Row],[STATUS]]="Resolved"),sales_data_sample[[#This Row],[SALES]],0)</f>
        <v>235136</v>
      </c>
      <c r="F2257" s="10">
        <v>7</v>
      </c>
      <c r="G2257" s="12" t="s">
        <v>674</v>
      </c>
      <c r="H2257" s="1" t="s">
        <v>26</v>
      </c>
      <c r="I2257">
        <v>4</v>
      </c>
      <c r="J2257">
        <v>10</v>
      </c>
      <c r="K2257">
        <v>2003</v>
      </c>
      <c r="L2257" s="1" t="s">
        <v>918</v>
      </c>
      <c r="M2257">
        <v>62</v>
      </c>
      <c r="N2257" s="1" t="s">
        <v>990</v>
      </c>
      <c r="O2257" s="1" t="s">
        <v>259</v>
      </c>
      <c r="P2257" s="1" t="s">
        <v>260</v>
      </c>
      <c r="Q2257" s="1" t="s">
        <v>261</v>
      </c>
      <c r="R2257" s="1" t="s">
        <v>32</v>
      </c>
      <c r="S2257" s="1" t="s">
        <v>262</v>
      </c>
      <c r="T2257" s="1" t="s">
        <v>32</v>
      </c>
      <c r="U2257" s="1" t="s">
        <v>263</v>
      </c>
      <c r="V2257" s="1" t="s">
        <v>262</v>
      </c>
      <c r="W2257" s="1" t="s">
        <v>264</v>
      </c>
      <c r="X2257" s="1" t="s">
        <v>265</v>
      </c>
      <c r="Y2257" s="1" t="s">
        <v>266</v>
      </c>
      <c r="Z2257" s="1" t="str">
        <f>TRIM(_xlfn.CONCAT(sales_data_sample[[#This Row],[CONTACTFIRSTNAME]],", ",sales_data_sample[[#This Row],[CONTACTLASTNAME]]))</f>
        <v>Eric, Natividad</v>
      </c>
      <c r="AA2257" s="1" t="s">
        <v>40</v>
      </c>
    </row>
    <row r="2258" spans="1:27" x14ac:dyDescent="0.25">
      <c r="A2258" s="10">
        <v>10176</v>
      </c>
      <c r="B2258" s="9">
        <v>22</v>
      </c>
      <c r="C2258" s="9">
        <v>64</v>
      </c>
      <c r="D2258" s="9">
        <f>PRODUCT(sales_data_sample[[#This Row],[QUANTITYORDERED]],sales_data_sample[[#This Row],[PRICEEACH]])</f>
        <v>1408</v>
      </c>
      <c r="E2258" s="9">
        <f>IF(OR(sales_data_sample[[#This Row],[STATUS]]="Shipped",sales_data_sample[[#This Row],[STATUS]]="Resolved"),sales_data_sample[[#This Row],[SALES]],0)</f>
        <v>1408</v>
      </c>
      <c r="F2258" s="10">
        <v>6</v>
      </c>
      <c r="G2258" s="12" t="s">
        <v>273</v>
      </c>
      <c r="H2258" s="1" t="s">
        <v>26</v>
      </c>
      <c r="I2258">
        <v>4</v>
      </c>
      <c r="J2258">
        <v>11</v>
      </c>
      <c r="K2258">
        <v>2003</v>
      </c>
      <c r="L2258" s="1" t="s">
        <v>918</v>
      </c>
      <c r="M2258">
        <v>62</v>
      </c>
      <c r="N2258" s="1" t="s">
        <v>990</v>
      </c>
      <c r="O2258" s="1" t="s">
        <v>632</v>
      </c>
      <c r="P2258" s="1" t="s">
        <v>633</v>
      </c>
      <c r="Q2258" s="1" t="s">
        <v>634</v>
      </c>
      <c r="R2258" s="1" t="s">
        <v>32</v>
      </c>
      <c r="S2258" s="1" t="s">
        <v>635</v>
      </c>
      <c r="T2258" s="1" t="s">
        <v>32</v>
      </c>
      <c r="U2258" s="1" t="s">
        <v>636</v>
      </c>
      <c r="V2258" s="1" t="s">
        <v>343</v>
      </c>
      <c r="W2258" s="1" t="s">
        <v>48</v>
      </c>
      <c r="X2258" s="1" t="s">
        <v>637</v>
      </c>
      <c r="Y2258" s="1" t="s">
        <v>638</v>
      </c>
      <c r="Z2258" s="1" t="str">
        <f>TRIM(_xlfn.CONCAT(sales_data_sample[[#This Row],[CONTACTFIRSTNAME]],", ",sales_data_sample[[#This Row],[CONTACTLASTNAME]]))</f>
        <v>Maurizio, Moroni</v>
      </c>
      <c r="AA2258" s="1" t="s">
        <v>40</v>
      </c>
    </row>
    <row r="2259" spans="1:27" x14ac:dyDescent="0.25">
      <c r="A2259" s="10">
        <v>10184</v>
      </c>
      <c r="B2259" s="9">
        <v>48</v>
      </c>
      <c r="C2259" s="9">
        <v>5095</v>
      </c>
      <c r="D2259" s="9">
        <f>PRODUCT(sales_data_sample[[#This Row],[QUANTITYORDERED]],sales_data_sample[[#This Row],[PRICEEACH]])</f>
        <v>244560</v>
      </c>
      <c r="E2259" s="9">
        <f>IF(OR(sales_data_sample[[#This Row],[STATUS]]="Shipped",sales_data_sample[[#This Row],[STATUS]]="Resolved"),sales_data_sample[[#This Row],[SALES]],0)</f>
        <v>244560</v>
      </c>
      <c r="F2259" s="10">
        <v>1</v>
      </c>
      <c r="G2259" s="12" t="s">
        <v>470</v>
      </c>
      <c r="H2259" s="1" t="s">
        <v>26</v>
      </c>
      <c r="I2259">
        <v>4</v>
      </c>
      <c r="J2259">
        <v>11</v>
      </c>
      <c r="K2259">
        <v>2003</v>
      </c>
      <c r="L2259" s="1" t="s">
        <v>918</v>
      </c>
      <c r="M2259">
        <v>62</v>
      </c>
      <c r="N2259" s="1" t="s">
        <v>990</v>
      </c>
      <c r="O2259" s="1" t="s">
        <v>745</v>
      </c>
      <c r="P2259" s="1" t="s">
        <v>746</v>
      </c>
      <c r="Q2259" s="1" t="s">
        <v>747</v>
      </c>
      <c r="R2259" s="1" t="s">
        <v>32</v>
      </c>
      <c r="S2259" s="1" t="s">
        <v>748</v>
      </c>
      <c r="T2259" s="1" t="s">
        <v>32</v>
      </c>
      <c r="U2259" s="1" t="s">
        <v>749</v>
      </c>
      <c r="V2259" s="1" t="s">
        <v>235</v>
      </c>
      <c r="W2259" s="1" t="s">
        <v>48</v>
      </c>
      <c r="X2259" s="1" t="s">
        <v>750</v>
      </c>
      <c r="Y2259" s="1" t="s">
        <v>751</v>
      </c>
      <c r="Z2259" s="1" t="str">
        <f>TRIM(_xlfn.CONCAT(sales_data_sample[[#This Row],[CONTACTFIRSTNAME]],", ",sales_data_sample[[#This Row],[CONTACTLASTNAME]]))</f>
        <v>Jose Pedro, Roel</v>
      </c>
      <c r="AA2259" s="1" t="s">
        <v>40</v>
      </c>
    </row>
    <row r="2260" spans="1:27" x14ac:dyDescent="0.25">
      <c r="A2260" s="10">
        <v>10195</v>
      </c>
      <c r="B2260" s="9">
        <v>33</v>
      </c>
      <c r="C2260" s="9">
        <v>5468</v>
      </c>
      <c r="D2260" s="9">
        <f>PRODUCT(sales_data_sample[[#This Row],[QUANTITYORDERED]],sales_data_sample[[#This Row],[PRICEEACH]])</f>
        <v>180444</v>
      </c>
      <c r="E2260" s="9">
        <f>IF(OR(sales_data_sample[[#This Row],[STATUS]]="Shipped",sales_data_sample[[#This Row],[STATUS]]="Resolved"),sales_data_sample[[#This Row],[SALES]],0)</f>
        <v>180444</v>
      </c>
      <c r="F2260" s="10">
        <v>1</v>
      </c>
      <c r="G2260" s="12" t="s">
        <v>290</v>
      </c>
      <c r="H2260" s="1" t="s">
        <v>26</v>
      </c>
      <c r="I2260">
        <v>4</v>
      </c>
      <c r="J2260">
        <v>11</v>
      </c>
      <c r="K2260">
        <v>2003</v>
      </c>
      <c r="L2260" s="1" t="s">
        <v>918</v>
      </c>
      <c r="M2260">
        <v>62</v>
      </c>
      <c r="N2260" s="1" t="s">
        <v>990</v>
      </c>
      <c r="O2260" s="1" t="s">
        <v>425</v>
      </c>
      <c r="P2260" s="1" t="s">
        <v>426</v>
      </c>
      <c r="Q2260" s="1" t="s">
        <v>427</v>
      </c>
      <c r="R2260" s="1" t="s">
        <v>32</v>
      </c>
      <c r="S2260" s="1" t="s">
        <v>428</v>
      </c>
      <c r="T2260" s="1" t="s">
        <v>34</v>
      </c>
      <c r="U2260" s="1" t="s">
        <v>429</v>
      </c>
      <c r="V2260" s="1" t="s">
        <v>36</v>
      </c>
      <c r="W2260" s="1" t="s">
        <v>37</v>
      </c>
      <c r="X2260" s="1" t="s">
        <v>129</v>
      </c>
      <c r="Y2260" s="1" t="s">
        <v>314</v>
      </c>
      <c r="Z2260" s="1" t="str">
        <f>TRIM(_xlfn.CONCAT(sales_data_sample[[#This Row],[CONTACTFIRSTNAME]],", ",sales_data_sample[[#This Row],[CONTACTLASTNAME]]))</f>
        <v>Steve, Frick</v>
      </c>
      <c r="AA2260" s="1" t="s">
        <v>40</v>
      </c>
    </row>
    <row r="2261" spans="1:27" x14ac:dyDescent="0.25">
      <c r="A2261" s="10">
        <v>10207</v>
      </c>
      <c r="B2261" s="9">
        <v>45</v>
      </c>
      <c r="C2261" s="9">
        <v>5655</v>
      </c>
      <c r="D2261" s="9">
        <f>PRODUCT(sales_data_sample[[#This Row],[QUANTITYORDERED]],sales_data_sample[[#This Row],[PRICEEACH]])</f>
        <v>254475</v>
      </c>
      <c r="E2261" s="9">
        <f>IF(OR(sales_data_sample[[#This Row],[STATUS]]="Shipped",sales_data_sample[[#This Row],[STATUS]]="Resolved"),sales_data_sample[[#This Row],[SALES]],0)</f>
        <v>254475</v>
      </c>
      <c r="F2261" s="10">
        <v>2</v>
      </c>
      <c r="G2261" s="12" t="s">
        <v>571</v>
      </c>
      <c r="H2261" s="1" t="s">
        <v>26</v>
      </c>
      <c r="I2261">
        <v>4</v>
      </c>
      <c r="J2261">
        <v>12</v>
      </c>
      <c r="K2261">
        <v>2003</v>
      </c>
      <c r="L2261" s="1" t="s">
        <v>918</v>
      </c>
      <c r="M2261">
        <v>62</v>
      </c>
      <c r="N2261" s="1" t="s">
        <v>990</v>
      </c>
      <c r="O2261" s="1" t="s">
        <v>572</v>
      </c>
      <c r="P2261" s="1" t="s">
        <v>573</v>
      </c>
      <c r="Q2261" s="1" t="s">
        <v>574</v>
      </c>
      <c r="R2261" s="1" t="s">
        <v>32</v>
      </c>
      <c r="S2261" s="1" t="s">
        <v>519</v>
      </c>
      <c r="T2261" s="1" t="s">
        <v>160</v>
      </c>
      <c r="U2261" s="1" t="s">
        <v>520</v>
      </c>
      <c r="V2261" s="1" t="s">
        <v>36</v>
      </c>
      <c r="W2261" s="1" t="s">
        <v>37</v>
      </c>
      <c r="X2261" s="1" t="s">
        <v>575</v>
      </c>
      <c r="Y2261" s="1" t="s">
        <v>366</v>
      </c>
      <c r="Z2261" s="1" t="str">
        <f>TRIM(_xlfn.CONCAT(sales_data_sample[[#This Row],[CONTACTFIRSTNAME]],", ",sales_data_sample[[#This Row],[CONTACTLASTNAME]]))</f>
        <v>Valarie, Franco</v>
      </c>
      <c r="AA2261" s="1" t="s">
        <v>40</v>
      </c>
    </row>
    <row r="2262" spans="1:27" x14ac:dyDescent="0.25">
      <c r="A2262">
        <v>10220</v>
      </c>
      <c r="B2262">
        <v>20</v>
      </c>
      <c r="C2262">
        <v>5282</v>
      </c>
      <c r="D2262">
        <f>PRODUCT(sales_data_sample[[#This Row],[QUANTITYORDERED]],sales_data_sample[[#This Row],[PRICEEACH]])</f>
        <v>105640</v>
      </c>
      <c r="E2262" s="9">
        <f>IF(OR(sales_data_sample[[#This Row],[STATUS]]="Shipped",sales_data_sample[[#This Row],[STATUS]]="Resolved"),sales_data_sample[[#This Row],[SALES]],0)</f>
        <v>105640</v>
      </c>
      <c r="F2262">
        <v>6</v>
      </c>
      <c r="G2262" s="12" t="s">
        <v>676</v>
      </c>
      <c r="H2262" s="1" t="s">
        <v>26</v>
      </c>
      <c r="I2262">
        <v>1</v>
      </c>
      <c r="J2262">
        <v>2</v>
      </c>
      <c r="K2262">
        <v>2004</v>
      </c>
      <c r="L2262" s="1" t="s">
        <v>918</v>
      </c>
      <c r="M2262">
        <v>62</v>
      </c>
      <c r="N2262" s="1" t="s">
        <v>990</v>
      </c>
      <c r="O2262" s="1" t="s">
        <v>677</v>
      </c>
      <c r="P2262" s="1" t="s">
        <v>678</v>
      </c>
      <c r="Q2262" s="1" t="s">
        <v>679</v>
      </c>
      <c r="R2262" s="1" t="s">
        <v>680</v>
      </c>
      <c r="S2262" s="1" t="s">
        <v>681</v>
      </c>
      <c r="T2262" s="1" t="s">
        <v>32</v>
      </c>
      <c r="U2262" s="1" t="s">
        <v>682</v>
      </c>
      <c r="V2262" s="1" t="s">
        <v>683</v>
      </c>
      <c r="W2262" s="1" t="s">
        <v>48</v>
      </c>
      <c r="X2262" s="1" t="s">
        <v>684</v>
      </c>
      <c r="Y2262" s="1" t="s">
        <v>685</v>
      </c>
      <c r="Z2262" s="1" t="str">
        <f>TRIM(_xlfn.CONCAT(sales_data_sample[[#This Row],[CONTACTFIRSTNAME]],", ",sales_data_sample[[#This Row],[CONTACTLASTNAME]]))</f>
        <v>Dean, Cassidy</v>
      </c>
      <c r="AA2262" s="1" t="s">
        <v>40</v>
      </c>
    </row>
    <row r="2263" spans="1:27" x14ac:dyDescent="0.25">
      <c r="A2263" s="10">
        <v>10230</v>
      </c>
      <c r="B2263" s="9">
        <v>46</v>
      </c>
      <c r="C2263" s="9">
        <v>609</v>
      </c>
      <c r="D2263" s="9">
        <f>PRODUCT(sales_data_sample[[#This Row],[QUANTITYORDERED]],sales_data_sample[[#This Row],[PRICEEACH]])</f>
        <v>28014</v>
      </c>
      <c r="E2263" s="9">
        <f>IF(OR(sales_data_sample[[#This Row],[STATUS]]="Shipped",sales_data_sample[[#This Row],[STATUS]]="Resolved"),sales_data_sample[[#This Row],[SALES]],0)</f>
        <v>28014</v>
      </c>
      <c r="F2263" s="10">
        <v>4</v>
      </c>
      <c r="G2263" s="12" t="s">
        <v>725</v>
      </c>
      <c r="H2263" s="1" t="s">
        <v>26</v>
      </c>
      <c r="I2263">
        <v>1</v>
      </c>
      <c r="J2263">
        <v>3</v>
      </c>
      <c r="K2263">
        <v>2004</v>
      </c>
      <c r="L2263" s="1" t="s">
        <v>918</v>
      </c>
      <c r="M2263">
        <v>62</v>
      </c>
      <c r="N2263" s="1" t="s">
        <v>990</v>
      </c>
      <c r="O2263" s="1" t="s">
        <v>647</v>
      </c>
      <c r="P2263" s="1" t="s">
        <v>648</v>
      </c>
      <c r="Q2263" s="1" t="s">
        <v>649</v>
      </c>
      <c r="R2263" s="1" t="s">
        <v>32</v>
      </c>
      <c r="S2263" s="1" t="s">
        <v>650</v>
      </c>
      <c r="T2263" s="1" t="s">
        <v>32</v>
      </c>
      <c r="U2263" s="1" t="s">
        <v>651</v>
      </c>
      <c r="V2263" s="1" t="s">
        <v>617</v>
      </c>
      <c r="W2263" s="1" t="s">
        <v>48</v>
      </c>
      <c r="X2263" s="1" t="s">
        <v>652</v>
      </c>
      <c r="Y2263" s="1" t="s">
        <v>570</v>
      </c>
      <c r="Z2263" s="1" t="str">
        <f>TRIM(_xlfn.CONCAT(sales_data_sample[[#This Row],[CONTACTFIRSTNAME]],", ",sales_data_sample[[#This Row],[CONTACTLASTNAME]]))</f>
        <v>Roland, Keitel</v>
      </c>
      <c r="AA2263" s="1" t="s">
        <v>40</v>
      </c>
    </row>
    <row r="2264" spans="1:27" x14ac:dyDescent="0.25">
      <c r="A2264" s="10">
        <v>10247</v>
      </c>
      <c r="B2264" s="9">
        <v>40</v>
      </c>
      <c r="C2264" s="9">
        <v>4971</v>
      </c>
      <c r="D2264" s="9">
        <f>PRODUCT(sales_data_sample[[#This Row],[QUANTITYORDERED]],sales_data_sample[[#This Row],[PRICEEACH]])</f>
        <v>198840</v>
      </c>
      <c r="E2264" s="9">
        <f>IF(OR(sales_data_sample[[#This Row],[STATUS]]="Shipped",sales_data_sample[[#This Row],[STATUS]]="Resolved"),sales_data_sample[[#This Row],[SALES]],0)</f>
        <v>198840</v>
      </c>
      <c r="F2264" s="10">
        <v>6</v>
      </c>
      <c r="G2264" s="12" t="s">
        <v>692</v>
      </c>
      <c r="H2264" s="1" t="s">
        <v>26</v>
      </c>
      <c r="I2264">
        <v>2</v>
      </c>
      <c r="J2264">
        <v>5</v>
      </c>
      <c r="K2264">
        <v>2004</v>
      </c>
      <c r="L2264" s="1" t="s">
        <v>918</v>
      </c>
      <c r="M2264">
        <v>62</v>
      </c>
      <c r="N2264" s="1" t="s">
        <v>990</v>
      </c>
      <c r="O2264" s="1" t="s">
        <v>656</v>
      </c>
      <c r="P2264" s="1" t="s">
        <v>657</v>
      </c>
      <c r="Q2264" s="1" t="s">
        <v>658</v>
      </c>
      <c r="R2264" s="1" t="s">
        <v>32</v>
      </c>
      <c r="S2264" s="1" t="s">
        <v>659</v>
      </c>
      <c r="T2264" s="1" t="s">
        <v>32</v>
      </c>
      <c r="U2264" s="1" t="s">
        <v>660</v>
      </c>
      <c r="V2264" s="1" t="s">
        <v>170</v>
      </c>
      <c r="W2264" s="1" t="s">
        <v>48</v>
      </c>
      <c r="X2264" s="1" t="s">
        <v>661</v>
      </c>
      <c r="Y2264" s="1" t="s">
        <v>662</v>
      </c>
      <c r="Z2264" s="1" t="str">
        <f>TRIM(_xlfn.CONCAT(sales_data_sample[[#This Row],[CONTACTFIRSTNAME]],", ",sales_data_sample[[#This Row],[CONTACTLASTNAME]]))</f>
        <v>Kalle, Suominen</v>
      </c>
      <c r="AA2264" s="1" t="s">
        <v>40</v>
      </c>
    </row>
    <row r="2265" spans="1:27" x14ac:dyDescent="0.25">
      <c r="A2265" s="10">
        <v>10272</v>
      </c>
      <c r="B2265" s="9">
        <v>45</v>
      </c>
      <c r="C2265" s="9">
        <v>6463</v>
      </c>
      <c r="D2265" s="9">
        <f>PRODUCT(sales_data_sample[[#This Row],[QUANTITYORDERED]],sales_data_sample[[#This Row],[PRICEEACH]])</f>
        <v>290835</v>
      </c>
      <c r="E2265" s="9">
        <f>IF(OR(sales_data_sample[[#This Row],[STATUS]]="Shipped",sales_data_sample[[#This Row],[STATUS]]="Resolved"),sales_data_sample[[#This Row],[SALES]],0)</f>
        <v>290835</v>
      </c>
      <c r="F2265" s="10">
        <v>6</v>
      </c>
      <c r="G2265" s="12" t="s">
        <v>693</v>
      </c>
      <c r="H2265" s="1" t="s">
        <v>26</v>
      </c>
      <c r="I2265">
        <v>3</v>
      </c>
      <c r="J2265">
        <v>7</v>
      </c>
      <c r="K2265">
        <v>2004</v>
      </c>
      <c r="L2265" s="1" t="s">
        <v>918</v>
      </c>
      <c r="M2265">
        <v>62</v>
      </c>
      <c r="N2265" s="1" t="s">
        <v>990</v>
      </c>
      <c r="O2265" s="1" t="s">
        <v>182</v>
      </c>
      <c r="P2265" s="1" t="s">
        <v>183</v>
      </c>
      <c r="Q2265" s="1" t="s">
        <v>184</v>
      </c>
      <c r="R2265" s="1" t="s">
        <v>32</v>
      </c>
      <c r="S2265" s="1" t="s">
        <v>185</v>
      </c>
      <c r="T2265" s="1" t="s">
        <v>186</v>
      </c>
      <c r="U2265" s="1" t="s">
        <v>187</v>
      </c>
      <c r="V2265" s="1" t="s">
        <v>36</v>
      </c>
      <c r="W2265" s="1" t="s">
        <v>37</v>
      </c>
      <c r="X2265" s="1" t="s">
        <v>38</v>
      </c>
      <c r="Y2265" s="1" t="s">
        <v>188</v>
      </c>
      <c r="Z2265" s="1" t="str">
        <f>TRIM(_xlfn.CONCAT(sales_data_sample[[#This Row],[CONTACTFIRSTNAME]],", ",sales_data_sample[[#This Row],[CONTACTLASTNAME]]))</f>
        <v>Kyung, Yu</v>
      </c>
      <c r="AA2265" s="1" t="s">
        <v>40</v>
      </c>
    </row>
    <row r="2266" spans="1:27" x14ac:dyDescent="0.25">
      <c r="A2266" s="10">
        <v>10282</v>
      </c>
      <c r="B2266" s="9">
        <v>36</v>
      </c>
      <c r="C2266" s="9">
        <v>5965</v>
      </c>
      <c r="D2266" s="9">
        <f>PRODUCT(sales_data_sample[[#This Row],[QUANTITYORDERED]],sales_data_sample[[#This Row],[PRICEEACH]])</f>
        <v>214740</v>
      </c>
      <c r="E2266" s="9">
        <f>IF(OR(sales_data_sample[[#This Row],[STATUS]]="Shipped",sales_data_sample[[#This Row],[STATUS]]="Resolved"),sales_data_sample[[#This Row],[SALES]],0)</f>
        <v>214740</v>
      </c>
      <c r="F2266" s="10">
        <v>9</v>
      </c>
      <c r="G2266" s="12" t="s">
        <v>508</v>
      </c>
      <c r="H2266" s="1" t="s">
        <v>26</v>
      </c>
      <c r="I2266">
        <v>3</v>
      </c>
      <c r="J2266">
        <v>8</v>
      </c>
      <c r="K2266">
        <v>2004</v>
      </c>
      <c r="L2266" s="1" t="s">
        <v>918</v>
      </c>
      <c r="M2266">
        <v>62</v>
      </c>
      <c r="N2266" s="1" t="s">
        <v>990</v>
      </c>
      <c r="O2266" s="1" t="s">
        <v>361</v>
      </c>
      <c r="P2266" s="1" t="s">
        <v>362</v>
      </c>
      <c r="Q2266" s="1" t="s">
        <v>363</v>
      </c>
      <c r="R2266" s="1" t="s">
        <v>32</v>
      </c>
      <c r="S2266" s="1" t="s">
        <v>364</v>
      </c>
      <c r="T2266" s="1" t="s">
        <v>65</v>
      </c>
      <c r="U2266" s="1" t="s">
        <v>145</v>
      </c>
      <c r="V2266" s="1" t="s">
        <v>36</v>
      </c>
      <c r="W2266" s="1" t="s">
        <v>37</v>
      </c>
      <c r="X2266" s="1" t="s">
        <v>365</v>
      </c>
      <c r="Y2266" s="1" t="s">
        <v>366</v>
      </c>
      <c r="Z2266" s="1" t="str">
        <f>TRIM(_xlfn.CONCAT(sales_data_sample[[#This Row],[CONTACTFIRSTNAME]],", ",sales_data_sample[[#This Row],[CONTACTLASTNAME]]))</f>
        <v>Valarie, Nelson</v>
      </c>
      <c r="AA2266" s="1" t="s">
        <v>40</v>
      </c>
    </row>
    <row r="2267" spans="1:27" x14ac:dyDescent="0.25">
      <c r="A2267" s="10">
        <v>10292</v>
      </c>
      <c r="B2267" s="9">
        <v>31</v>
      </c>
      <c r="C2267" s="9">
        <v>6773</v>
      </c>
      <c r="D2267" s="9">
        <f>PRODUCT(sales_data_sample[[#This Row],[QUANTITYORDERED]],sales_data_sample[[#This Row],[PRICEEACH]])</f>
        <v>209963</v>
      </c>
      <c r="E2267" s="9">
        <f>IF(OR(sales_data_sample[[#This Row],[STATUS]]="Shipped",sales_data_sample[[#This Row],[STATUS]]="Resolved"),sales_data_sample[[#This Row],[SALES]],0)</f>
        <v>209963</v>
      </c>
      <c r="F2267" s="10">
        <v>3</v>
      </c>
      <c r="G2267" s="12" t="s">
        <v>346</v>
      </c>
      <c r="H2267" s="1" t="s">
        <v>26</v>
      </c>
      <c r="I2267">
        <v>3</v>
      </c>
      <c r="J2267">
        <v>9</v>
      </c>
      <c r="K2267">
        <v>2004</v>
      </c>
      <c r="L2267" s="1" t="s">
        <v>918</v>
      </c>
      <c r="M2267">
        <v>62</v>
      </c>
      <c r="N2267" s="1" t="s">
        <v>990</v>
      </c>
      <c r="O2267" s="1" t="s">
        <v>29</v>
      </c>
      <c r="P2267" s="1" t="s">
        <v>30</v>
      </c>
      <c r="Q2267" s="1" t="s">
        <v>31</v>
      </c>
      <c r="R2267" s="1" t="s">
        <v>32</v>
      </c>
      <c r="S2267" s="1" t="s">
        <v>33</v>
      </c>
      <c r="T2267" s="1" t="s">
        <v>34</v>
      </c>
      <c r="U2267" s="1" t="s">
        <v>35</v>
      </c>
      <c r="V2267" s="1" t="s">
        <v>36</v>
      </c>
      <c r="W2267" s="1" t="s">
        <v>37</v>
      </c>
      <c r="X2267" s="1" t="s">
        <v>38</v>
      </c>
      <c r="Y2267" s="1" t="s">
        <v>39</v>
      </c>
      <c r="Z2267" s="1" t="str">
        <f>TRIM(_xlfn.CONCAT(sales_data_sample[[#This Row],[CONTACTFIRSTNAME]],", ",sales_data_sample[[#This Row],[CONTACTLASTNAME]]))</f>
        <v>Kwai, Yu</v>
      </c>
      <c r="AA2267" s="1" t="s">
        <v>40</v>
      </c>
    </row>
    <row r="2268" spans="1:27" x14ac:dyDescent="0.25">
      <c r="A2268" s="10">
        <v>10306</v>
      </c>
      <c r="B2268" s="9">
        <v>46</v>
      </c>
      <c r="C2268" s="9">
        <v>5033</v>
      </c>
      <c r="D2268" s="9">
        <f>PRODUCT(sales_data_sample[[#This Row],[QUANTITYORDERED]],sales_data_sample[[#This Row],[PRICEEACH]])</f>
        <v>231518</v>
      </c>
      <c r="E2268" s="9">
        <f>IF(OR(sales_data_sample[[#This Row],[STATUS]]="Shipped",sales_data_sample[[#This Row],[STATUS]]="Resolved"),sales_data_sample[[#This Row],[SALES]],0)</f>
        <v>231518</v>
      </c>
      <c r="F2268" s="10">
        <v>17</v>
      </c>
      <c r="G2268" s="12" t="s">
        <v>522</v>
      </c>
      <c r="H2268" s="1" t="s">
        <v>26</v>
      </c>
      <c r="I2268">
        <v>4</v>
      </c>
      <c r="J2268">
        <v>10</v>
      </c>
      <c r="K2268">
        <v>2004</v>
      </c>
      <c r="L2268" s="1" t="s">
        <v>918</v>
      </c>
      <c r="M2268">
        <v>62</v>
      </c>
      <c r="N2268" s="1" t="s">
        <v>990</v>
      </c>
      <c r="O2268" s="1" t="s">
        <v>695</v>
      </c>
      <c r="P2268" s="1" t="s">
        <v>696</v>
      </c>
      <c r="Q2268" s="1" t="s">
        <v>697</v>
      </c>
      <c r="R2268" s="1" t="s">
        <v>32</v>
      </c>
      <c r="S2268" s="1" t="s">
        <v>698</v>
      </c>
      <c r="T2268" s="1" t="s">
        <v>32</v>
      </c>
      <c r="U2268" s="1" t="s">
        <v>699</v>
      </c>
      <c r="V2268" s="1" t="s">
        <v>225</v>
      </c>
      <c r="W2268" s="1" t="s">
        <v>48</v>
      </c>
      <c r="X2268" s="1" t="s">
        <v>700</v>
      </c>
      <c r="Y2268" s="1" t="s">
        <v>118</v>
      </c>
      <c r="Z2268" s="1" t="str">
        <f>TRIM(_xlfn.CONCAT(sales_data_sample[[#This Row],[CONTACTFIRSTNAME]],", ",sales_data_sample[[#This Row],[CONTACTLASTNAME]]))</f>
        <v>Victoria, Ashworth</v>
      </c>
      <c r="AA2268" s="1" t="s">
        <v>40</v>
      </c>
    </row>
    <row r="2269" spans="1:27" x14ac:dyDescent="0.25">
      <c r="A2269" s="10">
        <v>10314</v>
      </c>
      <c r="B2269" s="9">
        <v>35</v>
      </c>
      <c r="C2269" s="9">
        <v>6649</v>
      </c>
      <c r="D2269" s="9">
        <f>PRODUCT(sales_data_sample[[#This Row],[QUANTITYORDERED]],sales_data_sample[[#This Row],[PRICEEACH]])</f>
        <v>232715</v>
      </c>
      <c r="E2269" s="9">
        <f>IF(OR(sales_data_sample[[#This Row],[STATUS]]="Shipped",sales_data_sample[[#This Row],[STATUS]]="Resolved"),sales_data_sample[[#This Row],[SALES]],0)</f>
        <v>232715</v>
      </c>
      <c r="F2269" s="10">
        <v>9</v>
      </c>
      <c r="G2269" s="12" t="s">
        <v>587</v>
      </c>
      <c r="H2269" s="1" t="s">
        <v>26</v>
      </c>
      <c r="I2269">
        <v>4</v>
      </c>
      <c r="J2269">
        <v>10</v>
      </c>
      <c r="K2269">
        <v>2004</v>
      </c>
      <c r="L2269" s="1" t="s">
        <v>918</v>
      </c>
      <c r="M2269">
        <v>62</v>
      </c>
      <c r="N2269" s="1" t="s">
        <v>990</v>
      </c>
      <c r="O2269" s="1" t="s">
        <v>701</v>
      </c>
      <c r="P2269" s="1" t="s">
        <v>702</v>
      </c>
      <c r="Q2269" s="1" t="s">
        <v>703</v>
      </c>
      <c r="R2269" s="1" t="s">
        <v>32</v>
      </c>
      <c r="S2269" s="1" t="s">
        <v>704</v>
      </c>
      <c r="T2269" s="1" t="s">
        <v>32</v>
      </c>
      <c r="U2269" s="1" t="s">
        <v>705</v>
      </c>
      <c r="V2269" s="1" t="s">
        <v>442</v>
      </c>
      <c r="W2269" s="1" t="s">
        <v>48</v>
      </c>
      <c r="X2269" s="1" t="s">
        <v>706</v>
      </c>
      <c r="Y2269" s="1" t="s">
        <v>707</v>
      </c>
      <c r="Z2269" s="1" t="str">
        <f>TRIM(_xlfn.CONCAT(sales_data_sample[[#This Row],[CONTACTFIRSTNAME]],", ",sales_data_sample[[#This Row],[CONTACTLASTNAME]]))</f>
        <v>Palle, Ibsen</v>
      </c>
      <c r="AA2269" s="1" t="s">
        <v>40</v>
      </c>
    </row>
    <row r="2270" spans="1:27" x14ac:dyDescent="0.25">
      <c r="A2270" s="10">
        <v>10325</v>
      </c>
      <c r="B2270" s="9">
        <v>28</v>
      </c>
      <c r="C2270" s="9">
        <v>100</v>
      </c>
      <c r="D2270" s="9">
        <f>PRODUCT(sales_data_sample[[#This Row],[QUANTITYORDERED]],sales_data_sample[[#This Row],[PRICEEACH]])</f>
        <v>2800</v>
      </c>
      <c r="E2270" s="9">
        <f>IF(OR(sales_data_sample[[#This Row],[STATUS]]="Shipped",sales_data_sample[[#This Row],[STATUS]]="Resolved"),sales_data_sample[[#This Row],[SALES]],0)</f>
        <v>2800</v>
      </c>
      <c r="F2270" s="10">
        <v>2</v>
      </c>
      <c r="G2270" s="12" t="s">
        <v>532</v>
      </c>
      <c r="H2270" s="1" t="s">
        <v>26</v>
      </c>
      <c r="I2270">
        <v>4</v>
      </c>
      <c r="J2270">
        <v>11</v>
      </c>
      <c r="K2270">
        <v>2004</v>
      </c>
      <c r="L2270" s="1" t="s">
        <v>918</v>
      </c>
      <c r="M2270">
        <v>62</v>
      </c>
      <c r="N2270" s="1" t="s">
        <v>990</v>
      </c>
      <c r="O2270" s="1" t="s">
        <v>174</v>
      </c>
      <c r="P2270" s="1" t="s">
        <v>175</v>
      </c>
      <c r="Q2270" s="1" t="s">
        <v>176</v>
      </c>
      <c r="R2270" s="1" t="s">
        <v>32</v>
      </c>
      <c r="S2270" s="1" t="s">
        <v>177</v>
      </c>
      <c r="T2270" s="1" t="s">
        <v>32</v>
      </c>
      <c r="U2270" s="1" t="s">
        <v>178</v>
      </c>
      <c r="V2270" s="1" t="s">
        <v>97</v>
      </c>
      <c r="W2270" s="1" t="s">
        <v>48</v>
      </c>
      <c r="X2270" s="1" t="s">
        <v>179</v>
      </c>
      <c r="Y2270" s="1" t="s">
        <v>180</v>
      </c>
      <c r="Z2270" s="1" t="str">
        <f>TRIM(_xlfn.CONCAT(sales_data_sample[[#This Row],[CONTACTFIRSTNAME]],", ",sales_data_sample[[#This Row],[CONTACTLASTNAME]]))</f>
        <v>Jonas, Bergulfsen</v>
      </c>
      <c r="AA2270" s="1" t="s">
        <v>59</v>
      </c>
    </row>
    <row r="2271" spans="1:27" x14ac:dyDescent="0.25">
      <c r="A2271" s="10">
        <v>10336</v>
      </c>
      <c r="B2271" s="9">
        <v>31</v>
      </c>
      <c r="C2271" s="9">
        <v>8471</v>
      </c>
      <c r="D2271" s="9">
        <f>PRODUCT(sales_data_sample[[#This Row],[QUANTITYORDERED]],sales_data_sample[[#This Row],[PRICEEACH]])</f>
        <v>262601</v>
      </c>
      <c r="E2271" s="9">
        <f>IF(OR(sales_data_sample[[#This Row],[STATUS]]="Shipped",sales_data_sample[[#This Row],[STATUS]]="Resolved"),sales_data_sample[[#This Row],[SALES]],0)</f>
        <v>262601</v>
      </c>
      <c r="F2271" s="10">
        <v>9</v>
      </c>
      <c r="G2271" s="12" t="s">
        <v>708</v>
      </c>
      <c r="H2271" s="1" t="s">
        <v>26</v>
      </c>
      <c r="I2271">
        <v>4</v>
      </c>
      <c r="J2271">
        <v>11</v>
      </c>
      <c r="K2271">
        <v>2004</v>
      </c>
      <c r="L2271" s="1" t="s">
        <v>918</v>
      </c>
      <c r="M2271">
        <v>62</v>
      </c>
      <c r="N2271" s="1" t="s">
        <v>990</v>
      </c>
      <c r="O2271" s="1" t="s">
        <v>556</v>
      </c>
      <c r="P2271" s="1" t="s">
        <v>557</v>
      </c>
      <c r="Q2271" s="1" t="s">
        <v>558</v>
      </c>
      <c r="R2271" s="1" t="s">
        <v>32</v>
      </c>
      <c r="S2271" s="1" t="s">
        <v>55</v>
      </c>
      <c r="T2271" s="1" t="s">
        <v>32</v>
      </c>
      <c r="U2271" s="1" t="s">
        <v>559</v>
      </c>
      <c r="V2271" s="1" t="s">
        <v>47</v>
      </c>
      <c r="W2271" s="1" t="s">
        <v>48</v>
      </c>
      <c r="X2271" s="1" t="s">
        <v>560</v>
      </c>
      <c r="Y2271" s="1" t="s">
        <v>561</v>
      </c>
      <c r="Z2271" s="1" t="str">
        <f>TRIM(_xlfn.CONCAT(sales_data_sample[[#This Row],[CONTACTFIRSTNAME]],", ",sales_data_sample[[#This Row],[CONTACTLASTNAME]]))</f>
        <v>Marie, Bertrand</v>
      </c>
      <c r="AA2271" s="1" t="s">
        <v>40</v>
      </c>
    </row>
    <row r="2272" spans="1:27" x14ac:dyDescent="0.25">
      <c r="A2272" s="10">
        <v>10350</v>
      </c>
      <c r="B2272" s="9">
        <v>27</v>
      </c>
      <c r="C2272" s="9">
        <v>100</v>
      </c>
      <c r="D2272" s="9">
        <f>PRODUCT(sales_data_sample[[#This Row],[QUANTITYORDERED]],sales_data_sample[[#This Row],[PRICEEACH]])</f>
        <v>2700</v>
      </c>
      <c r="E2272" s="9">
        <f>IF(OR(sales_data_sample[[#This Row],[STATUS]]="Shipped",sales_data_sample[[#This Row],[STATUS]]="Resolved"),sales_data_sample[[#This Row],[SALES]],0)</f>
        <v>2700</v>
      </c>
      <c r="F2272" s="10">
        <v>14</v>
      </c>
      <c r="G2272" s="12" t="s">
        <v>534</v>
      </c>
      <c r="H2272" s="1" t="s">
        <v>26</v>
      </c>
      <c r="I2272">
        <v>4</v>
      </c>
      <c r="J2272">
        <v>12</v>
      </c>
      <c r="K2272">
        <v>2004</v>
      </c>
      <c r="L2272" s="1" t="s">
        <v>918</v>
      </c>
      <c r="M2272">
        <v>62</v>
      </c>
      <c r="N2272" s="1" t="s">
        <v>990</v>
      </c>
      <c r="O2272" s="1" t="s">
        <v>230</v>
      </c>
      <c r="P2272" s="1" t="s">
        <v>231</v>
      </c>
      <c r="Q2272" s="1" t="s">
        <v>232</v>
      </c>
      <c r="R2272" s="1" t="s">
        <v>32</v>
      </c>
      <c r="S2272" s="1" t="s">
        <v>233</v>
      </c>
      <c r="T2272" s="1" t="s">
        <v>32</v>
      </c>
      <c r="U2272" s="1" t="s">
        <v>234</v>
      </c>
      <c r="V2272" s="1" t="s">
        <v>235</v>
      </c>
      <c r="W2272" s="1" t="s">
        <v>48</v>
      </c>
      <c r="X2272" s="1" t="s">
        <v>236</v>
      </c>
      <c r="Y2272" s="1" t="s">
        <v>237</v>
      </c>
      <c r="Z2272" s="1" t="str">
        <f>TRIM(_xlfn.CONCAT(sales_data_sample[[#This Row],[CONTACTFIRSTNAME]],", ",sales_data_sample[[#This Row],[CONTACTLASTNAME]]))</f>
        <v>Diego, Freyre</v>
      </c>
      <c r="AA2272" s="1" t="s">
        <v>59</v>
      </c>
    </row>
    <row r="2273" spans="1:27" x14ac:dyDescent="0.25">
      <c r="A2273" s="10">
        <v>10359</v>
      </c>
      <c r="B2273" s="9">
        <v>22</v>
      </c>
      <c r="C2273" s="9">
        <v>100</v>
      </c>
      <c r="D2273" s="9">
        <f>PRODUCT(sales_data_sample[[#This Row],[QUANTITYORDERED]],sales_data_sample[[#This Row],[PRICEEACH]])</f>
        <v>2200</v>
      </c>
      <c r="E2273" s="9">
        <f>IF(OR(sales_data_sample[[#This Row],[STATUS]]="Shipped",sales_data_sample[[#This Row],[STATUS]]="Resolved"),sales_data_sample[[#This Row],[SALES]],0)</f>
        <v>2200</v>
      </c>
      <c r="F2273" s="10">
        <v>1</v>
      </c>
      <c r="G2273" s="12" t="s">
        <v>535</v>
      </c>
      <c r="H2273" s="1" t="s">
        <v>26</v>
      </c>
      <c r="I2273">
        <v>4</v>
      </c>
      <c r="J2273">
        <v>12</v>
      </c>
      <c r="K2273">
        <v>2004</v>
      </c>
      <c r="L2273" s="1" t="s">
        <v>918</v>
      </c>
      <c r="M2273">
        <v>62</v>
      </c>
      <c r="N2273" s="1" t="s">
        <v>990</v>
      </c>
      <c r="O2273" s="1" t="s">
        <v>42</v>
      </c>
      <c r="P2273" s="1" t="s">
        <v>43</v>
      </c>
      <c r="Q2273" s="1" t="s">
        <v>44</v>
      </c>
      <c r="R2273" s="1" t="s">
        <v>32</v>
      </c>
      <c r="S2273" s="1" t="s">
        <v>45</v>
      </c>
      <c r="T2273" s="1" t="s">
        <v>32</v>
      </c>
      <c r="U2273" s="1" t="s">
        <v>46</v>
      </c>
      <c r="V2273" s="1" t="s">
        <v>47</v>
      </c>
      <c r="W2273" s="1" t="s">
        <v>48</v>
      </c>
      <c r="X2273" s="1" t="s">
        <v>49</v>
      </c>
      <c r="Y2273" s="1" t="s">
        <v>50</v>
      </c>
      <c r="Z2273" s="1" t="str">
        <f>TRIM(_xlfn.CONCAT(sales_data_sample[[#This Row],[CONTACTFIRSTNAME]],", ",sales_data_sample[[#This Row],[CONTACTLASTNAME]]))</f>
        <v>Paul, Henriot</v>
      </c>
      <c r="AA2273" s="1" t="s">
        <v>59</v>
      </c>
    </row>
    <row r="2274" spans="1:27" x14ac:dyDescent="0.25">
      <c r="A2274" s="10">
        <v>10371</v>
      </c>
      <c r="B2274" s="9">
        <v>30</v>
      </c>
      <c r="C2274" s="9">
        <v>9955</v>
      </c>
      <c r="D2274" s="9">
        <f>PRODUCT(sales_data_sample[[#This Row],[QUANTITYORDERED]],sales_data_sample[[#This Row],[PRICEEACH]])</f>
        <v>298650</v>
      </c>
      <c r="E2274" s="9">
        <f>IF(OR(sales_data_sample[[#This Row],[STATUS]]="Shipped",sales_data_sample[[#This Row],[STATUS]]="Resolved"),sales_data_sample[[#This Row],[SALES]],0)</f>
        <v>298650</v>
      </c>
      <c r="F2274" s="10">
        <v>11</v>
      </c>
      <c r="G2274" s="12" t="s">
        <v>709</v>
      </c>
      <c r="H2274" s="1" t="s">
        <v>26</v>
      </c>
      <c r="I2274">
        <v>1</v>
      </c>
      <c r="J2274">
        <v>1</v>
      </c>
      <c r="K2274">
        <v>2005</v>
      </c>
      <c r="L2274" s="1" t="s">
        <v>918</v>
      </c>
      <c r="M2274">
        <v>62</v>
      </c>
      <c r="N2274" s="1" t="s">
        <v>990</v>
      </c>
      <c r="O2274" s="1" t="s">
        <v>361</v>
      </c>
      <c r="P2274" s="1" t="s">
        <v>362</v>
      </c>
      <c r="Q2274" s="1" t="s">
        <v>363</v>
      </c>
      <c r="R2274" s="1" t="s">
        <v>32</v>
      </c>
      <c r="S2274" s="1" t="s">
        <v>364</v>
      </c>
      <c r="T2274" s="1" t="s">
        <v>65</v>
      </c>
      <c r="U2274" s="1" t="s">
        <v>145</v>
      </c>
      <c r="V2274" s="1" t="s">
        <v>36</v>
      </c>
      <c r="W2274" s="1" t="s">
        <v>37</v>
      </c>
      <c r="X2274" s="1" t="s">
        <v>365</v>
      </c>
      <c r="Y2274" s="1" t="s">
        <v>366</v>
      </c>
      <c r="Z2274" s="1" t="str">
        <f>TRIM(_xlfn.CONCAT(sales_data_sample[[#This Row],[CONTACTFIRSTNAME]],", ",sales_data_sample[[#This Row],[CONTACTLASTNAME]]))</f>
        <v>Valarie, Nelson</v>
      </c>
      <c r="AA2274" s="1" t="s">
        <v>40</v>
      </c>
    </row>
    <row r="2275" spans="1:27" x14ac:dyDescent="0.25">
      <c r="A2275" s="10">
        <v>10383</v>
      </c>
      <c r="B2275" s="9">
        <v>44</v>
      </c>
      <c r="C2275" s="9">
        <v>3607</v>
      </c>
      <c r="D2275" s="9">
        <f>PRODUCT(sales_data_sample[[#This Row],[QUANTITYORDERED]],sales_data_sample[[#This Row],[PRICEEACH]])</f>
        <v>158708</v>
      </c>
      <c r="E2275" s="9">
        <f>IF(OR(sales_data_sample[[#This Row],[STATUS]]="Shipped",sales_data_sample[[#This Row],[STATUS]]="Resolved"),sales_data_sample[[#This Row],[SALES]],0)</f>
        <v>158708</v>
      </c>
      <c r="F2275" s="10">
        <v>8</v>
      </c>
      <c r="G2275" s="12" t="s">
        <v>884</v>
      </c>
      <c r="H2275" s="1" t="s">
        <v>26</v>
      </c>
      <c r="I2275">
        <v>1</v>
      </c>
      <c r="J2275">
        <v>2</v>
      </c>
      <c r="K2275">
        <v>2005</v>
      </c>
      <c r="L2275" s="1" t="s">
        <v>918</v>
      </c>
      <c r="M2275">
        <v>62</v>
      </c>
      <c r="N2275" s="1" t="s">
        <v>990</v>
      </c>
      <c r="O2275" s="1" t="s">
        <v>230</v>
      </c>
      <c r="P2275" s="1" t="s">
        <v>231</v>
      </c>
      <c r="Q2275" s="1" t="s">
        <v>232</v>
      </c>
      <c r="R2275" s="1" t="s">
        <v>32</v>
      </c>
      <c r="S2275" s="1" t="s">
        <v>233</v>
      </c>
      <c r="T2275" s="1" t="s">
        <v>32</v>
      </c>
      <c r="U2275" s="1" t="s">
        <v>234</v>
      </c>
      <c r="V2275" s="1" t="s">
        <v>235</v>
      </c>
      <c r="W2275" s="1" t="s">
        <v>48</v>
      </c>
      <c r="X2275" s="1" t="s">
        <v>236</v>
      </c>
      <c r="Y2275" s="1" t="s">
        <v>237</v>
      </c>
      <c r="Z2275" s="1" t="str">
        <f>TRIM(_xlfn.CONCAT(sales_data_sample[[#This Row],[CONTACTFIRSTNAME]],", ",sales_data_sample[[#This Row],[CONTACTLASTNAME]]))</f>
        <v>Diego, Freyre</v>
      </c>
      <c r="AA2275" s="1" t="s">
        <v>40</v>
      </c>
    </row>
    <row r="2276" spans="1:27" x14ac:dyDescent="0.25">
      <c r="A2276" s="10">
        <v>10394</v>
      </c>
      <c r="B2276" s="9">
        <v>30</v>
      </c>
      <c r="C2276" s="9">
        <v>6028</v>
      </c>
      <c r="D2276" s="9">
        <f>PRODUCT(sales_data_sample[[#This Row],[QUANTITYORDERED]],sales_data_sample[[#This Row],[PRICEEACH]])</f>
        <v>180840</v>
      </c>
      <c r="E2276" s="9">
        <f>IF(OR(sales_data_sample[[#This Row],[STATUS]]="Shipped",sales_data_sample[[#This Row],[STATUS]]="Resolved"),sales_data_sample[[#This Row],[SALES]],0)</f>
        <v>180840</v>
      </c>
      <c r="F2276" s="10">
        <v>4</v>
      </c>
      <c r="G2276" s="12" t="s">
        <v>917</v>
      </c>
      <c r="H2276" s="1" t="s">
        <v>26</v>
      </c>
      <c r="I2276">
        <v>1</v>
      </c>
      <c r="J2276">
        <v>3</v>
      </c>
      <c r="K2276">
        <v>2005</v>
      </c>
      <c r="L2276" s="1" t="s">
        <v>918</v>
      </c>
      <c r="M2276">
        <v>62</v>
      </c>
      <c r="N2276" s="1" t="s">
        <v>990</v>
      </c>
      <c r="O2276" s="1" t="s">
        <v>230</v>
      </c>
      <c r="P2276" s="1" t="s">
        <v>231</v>
      </c>
      <c r="Q2276" s="1" t="s">
        <v>232</v>
      </c>
      <c r="R2276" s="1" t="s">
        <v>32</v>
      </c>
      <c r="S2276" s="1" t="s">
        <v>233</v>
      </c>
      <c r="T2276" s="1" t="s">
        <v>32</v>
      </c>
      <c r="U2276" s="1" t="s">
        <v>234</v>
      </c>
      <c r="V2276" s="1" t="s">
        <v>235</v>
      </c>
      <c r="W2276" s="1" t="s">
        <v>48</v>
      </c>
      <c r="X2276" s="1" t="s">
        <v>236</v>
      </c>
      <c r="Y2276" s="1" t="s">
        <v>237</v>
      </c>
      <c r="Z2276" s="1" t="str">
        <f>TRIM(_xlfn.CONCAT(sales_data_sample[[#This Row],[CONTACTFIRSTNAME]],", ",sales_data_sample[[#This Row],[CONTACTLASTNAME]]))</f>
        <v>Diego, Freyre</v>
      </c>
      <c r="AA2276" s="1" t="s">
        <v>40</v>
      </c>
    </row>
    <row r="2277" spans="1:27" x14ac:dyDescent="0.25">
      <c r="A2277" s="10">
        <v>10413</v>
      </c>
      <c r="B2277" s="9">
        <v>24</v>
      </c>
      <c r="C2277" s="9">
        <v>4971</v>
      </c>
      <c r="D2277" s="9">
        <f>PRODUCT(sales_data_sample[[#This Row],[QUANTITYORDERED]],sales_data_sample[[#This Row],[PRICEEACH]])</f>
        <v>119304</v>
      </c>
      <c r="E2277" s="9">
        <f>IF(OR(sales_data_sample[[#This Row],[STATUS]]="Shipped",sales_data_sample[[#This Row],[STATUS]]="Resolved"),sales_data_sample[[#This Row],[SALES]],0)</f>
        <v>119304</v>
      </c>
      <c r="F2277" s="10">
        <v>6</v>
      </c>
      <c r="G2277" s="12" t="s">
        <v>710</v>
      </c>
      <c r="H2277" s="1" t="s">
        <v>26</v>
      </c>
      <c r="I2277">
        <v>2</v>
      </c>
      <c r="J2277">
        <v>5</v>
      </c>
      <c r="K2277">
        <v>2005</v>
      </c>
      <c r="L2277" s="1" t="s">
        <v>918</v>
      </c>
      <c r="M2277">
        <v>62</v>
      </c>
      <c r="N2277" s="1" t="s">
        <v>990</v>
      </c>
      <c r="O2277" s="1" t="s">
        <v>140</v>
      </c>
      <c r="P2277" s="1" t="s">
        <v>141</v>
      </c>
      <c r="Q2277" s="1" t="s">
        <v>142</v>
      </c>
      <c r="R2277" s="1" t="s">
        <v>32</v>
      </c>
      <c r="S2277" s="1" t="s">
        <v>143</v>
      </c>
      <c r="T2277" s="1" t="s">
        <v>144</v>
      </c>
      <c r="U2277" s="1" t="s">
        <v>145</v>
      </c>
      <c r="V2277" s="1" t="s">
        <v>36</v>
      </c>
      <c r="W2277" s="1" t="s">
        <v>37</v>
      </c>
      <c r="X2277" s="1" t="s">
        <v>146</v>
      </c>
      <c r="Y2277" s="1" t="s">
        <v>68</v>
      </c>
      <c r="Z2277" s="1" t="str">
        <f>TRIM(_xlfn.CONCAT(sales_data_sample[[#This Row],[CONTACTFIRSTNAME]],", ",sales_data_sample[[#This Row],[CONTACTLASTNAME]]))</f>
        <v>Julie, King</v>
      </c>
      <c r="AA2277" s="1" t="s">
        <v>40</v>
      </c>
    </row>
    <row r="2278" spans="1:27" x14ac:dyDescent="0.25">
      <c r="A2278" s="10">
        <v>10103</v>
      </c>
      <c r="B2278" s="9">
        <v>45</v>
      </c>
      <c r="C2278" s="9">
        <v>7563</v>
      </c>
      <c r="D2278" s="9">
        <f>PRODUCT(sales_data_sample[[#This Row],[QUANTITYORDERED]],sales_data_sample[[#This Row],[PRICEEACH]])</f>
        <v>340335</v>
      </c>
      <c r="E2278" s="9">
        <f>IF(OR(sales_data_sample[[#This Row],[STATUS]]="Shipped",sales_data_sample[[#This Row],[STATUS]]="Resolved"),sales_data_sample[[#This Row],[SALES]],0)</f>
        <v>340335</v>
      </c>
      <c r="F2278" s="10">
        <v>7</v>
      </c>
      <c r="G2278" s="12" t="s">
        <v>238</v>
      </c>
      <c r="H2278" s="1" t="s">
        <v>26</v>
      </c>
      <c r="I2278">
        <v>1</v>
      </c>
      <c r="J2278">
        <v>1</v>
      </c>
      <c r="K2278">
        <v>2003</v>
      </c>
      <c r="L2278" s="1" t="s">
        <v>711</v>
      </c>
      <c r="M2278">
        <v>64</v>
      </c>
      <c r="N2278" s="1" t="s">
        <v>992</v>
      </c>
      <c r="O2278" s="1" t="s">
        <v>174</v>
      </c>
      <c r="P2278" s="1" t="s">
        <v>175</v>
      </c>
      <c r="Q2278" s="1" t="s">
        <v>176</v>
      </c>
      <c r="R2278" s="1" t="s">
        <v>32</v>
      </c>
      <c r="S2278" s="1" t="s">
        <v>177</v>
      </c>
      <c r="T2278" s="1" t="s">
        <v>32</v>
      </c>
      <c r="U2278" s="1" t="s">
        <v>178</v>
      </c>
      <c r="V2278" s="1" t="s">
        <v>97</v>
      </c>
      <c r="W2278" s="1" t="s">
        <v>48</v>
      </c>
      <c r="X2278" s="1" t="s">
        <v>179</v>
      </c>
      <c r="Y2278" s="1" t="s">
        <v>180</v>
      </c>
      <c r="Z2278" s="1" t="str">
        <f>TRIM(_xlfn.CONCAT(sales_data_sample[[#This Row],[CONTACTFIRSTNAME]],", ",sales_data_sample[[#This Row],[CONTACTLASTNAME]]))</f>
        <v>Jonas, Bergulfsen</v>
      </c>
      <c r="AA2278" s="1" t="s">
        <v>59</v>
      </c>
    </row>
    <row r="2279" spans="1:27" x14ac:dyDescent="0.25">
      <c r="A2279" s="10">
        <v>10113</v>
      </c>
      <c r="B2279" s="9">
        <v>23</v>
      </c>
      <c r="C2279" s="9">
        <v>6852</v>
      </c>
      <c r="D2279" s="9">
        <f>PRODUCT(sales_data_sample[[#This Row],[QUANTITYORDERED]],sales_data_sample[[#This Row],[PRICEEACH]])</f>
        <v>157596</v>
      </c>
      <c r="E2279" s="9">
        <f>IF(OR(sales_data_sample[[#This Row],[STATUS]]="Shipped",sales_data_sample[[#This Row],[STATUS]]="Resolved"),sales_data_sample[[#This Row],[SALES]],0)</f>
        <v>157596</v>
      </c>
      <c r="F2279" s="10">
        <v>1</v>
      </c>
      <c r="G2279" s="12" t="s">
        <v>713</v>
      </c>
      <c r="H2279" s="1" t="s">
        <v>26</v>
      </c>
      <c r="I2279">
        <v>1</v>
      </c>
      <c r="J2279">
        <v>3</v>
      </c>
      <c r="K2279">
        <v>2003</v>
      </c>
      <c r="L2279" s="1" t="s">
        <v>711</v>
      </c>
      <c r="M2279">
        <v>64</v>
      </c>
      <c r="N2279" s="1" t="s">
        <v>992</v>
      </c>
      <c r="O2279" s="1" t="s">
        <v>361</v>
      </c>
      <c r="P2279" s="1" t="s">
        <v>362</v>
      </c>
      <c r="Q2279" s="1" t="s">
        <v>363</v>
      </c>
      <c r="R2279" s="1" t="s">
        <v>32</v>
      </c>
      <c r="S2279" s="1" t="s">
        <v>364</v>
      </c>
      <c r="T2279" s="1" t="s">
        <v>65</v>
      </c>
      <c r="U2279" s="1" t="s">
        <v>145</v>
      </c>
      <c r="V2279" s="1" t="s">
        <v>36</v>
      </c>
      <c r="W2279" s="1" t="s">
        <v>37</v>
      </c>
      <c r="X2279" s="1" t="s">
        <v>365</v>
      </c>
      <c r="Y2279" s="1" t="s">
        <v>366</v>
      </c>
      <c r="Z2279" s="1" t="str">
        <f>TRIM(_xlfn.CONCAT(sales_data_sample[[#This Row],[CONTACTFIRSTNAME]],", ",sales_data_sample[[#This Row],[CONTACTLASTNAME]]))</f>
        <v>Valarie, Nelson</v>
      </c>
      <c r="AA2279" s="1" t="s">
        <v>40</v>
      </c>
    </row>
    <row r="2280" spans="1:27" x14ac:dyDescent="0.25">
      <c r="A2280" s="10">
        <v>10126</v>
      </c>
      <c r="B2280" s="9">
        <v>26</v>
      </c>
      <c r="C2280" s="9">
        <v>627</v>
      </c>
      <c r="D2280" s="9">
        <f>PRODUCT(sales_data_sample[[#This Row],[QUANTITYORDERED]],sales_data_sample[[#This Row],[PRICEEACH]])</f>
        <v>16302</v>
      </c>
      <c r="E2280" s="9">
        <f>IF(OR(sales_data_sample[[#This Row],[STATUS]]="Shipped",sales_data_sample[[#This Row],[STATUS]]="Resolved"),sales_data_sample[[#This Row],[SALES]],0)</f>
        <v>16302</v>
      </c>
      <c r="F2280" s="10">
        <v>7</v>
      </c>
      <c r="G2280" s="12" t="s">
        <v>250</v>
      </c>
      <c r="H2280" s="1" t="s">
        <v>26</v>
      </c>
      <c r="I2280">
        <v>2</v>
      </c>
      <c r="J2280">
        <v>5</v>
      </c>
      <c r="K2280">
        <v>2003</v>
      </c>
      <c r="L2280" s="1" t="s">
        <v>711</v>
      </c>
      <c r="M2280">
        <v>64</v>
      </c>
      <c r="N2280" s="1" t="s">
        <v>992</v>
      </c>
      <c r="O2280" s="1" t="s">
        <v>251</v>
      </c>
      <c r="P2280" s="1" t="s">
        <v>252</v>
      </c>
      <c r="Q2280" s="1" t="s">
        <v>253</v>
      </c>
      <c r="R2280" s="1" t="s">
        <v>32</v>
      </c>
      <c r="S2280" s="1" t="s">
        <v>233</v>
      </c>
      <c r="T2280" s="1" t="s">
        <v>32</v>
      </c>
      <c r="U2280" s="1" t="s">
        <v>254</v>
      </c>
      <c r="V2280" s="1" t="s">
        <v>235</v>
      </c>
      <c r="W2280" s="1" t="s">
        <v>48</v>
      </c>
      <c r="X2280" s="1" t="s">
        <v>255</v>
      </c>
      <c r="Y2280" s="1" t="s">
        <v>256</v>
      </c>
      <c r="Z2280" s="1" t="str">
        <f>TRIM(_xlfn.CONCAT(sales_data_sample[[#This Row],[CONTACTFIRSTNAME]],", ",sales_data_sample[[#This Row],[CONTACTLASTNAME]]))</f>
        <v>Mart¡n, Sommer</v>
      </c>
      <c r="AA2280" s="1" t="s">
        <v>40</v>
      </c>
    </row>
    <row r="2281" spans="1:27" x14ac:dyDescent="0.25">
      <c r="A2281" s="10">
        <v>10140</v>
      </c>
      <c r="B2281" s="9">
        <v>28</v>
      </c>
      <c r="C2281" s="9">
        <v>6076</v>
      </c>
      <c r="D2281" s="9">
        <f>PRODUCT(sales_data_sample[[#This Row],[QUANTITYORDERED]],sales_data_sample[[#This Row],[PRICEEACH]])</f>
        <v>170128</v>
      </c>
      <c r="E2281" s="9">
        <f>IF(OR(sales_data_sample[[#This Row],[STATUS]]="Shipped",sales_data_sample[[#This Row],[STATUS]]="Resolved"),sales_data_sample[[#This Row],[SALES]],0)</f>
        <v>170128</v>
      </c>
      <c r="F2281" s="10">
        <v>7</v>
      </c>
      <c r="G2281" s="12" t="s">
        <v>257</v>
      </c>
      <c r="H2281" s="1" t="s">
        <v>26</v>
      </c>
      <c r="I2281">
        <v>3</v>
      </c>
      <c r="J2281">
        <v>7</v>
      </c>
      <c r="K2281">
        <v>2003</v>
      </c>
      <c r="L2281" s="1" t="s">
        <v>711</v>
      </c>
      <c r="M2281">
        <v>64</v>
      </c>
      <c r="N2281" s="1" t="s">
        <v>992</v>
      </c>
      <c r="O2281" s="1" t="s">
        <v>76</v>
      </c>
      <c r="P2281" s="1" t="s">
        <v>77</v>
      </c>
      <c r="Q2281" s="1" t="s">
        <v>78</v>
      </c>
      <c r="R2281" s="1" t="s">
        <v>32</v>
      </c>
      <c r="S2281" s="1" t="s">
        <v>79</v>
      </c>
      <c r="T2281" s="1" t="s">
        <v>65</v>
      </c>
      <c r="U2281" s="1" t="s">
        <v>80</v>
      </c>
      <c r="V2281" s="1" t="s">
        <v>36</v>
      </c>
      <c r="W2281" s="1" t="s">
        <v>37</v>
      </c>
      <c r="X2281" s="1" t="s">
        <v>81</v>
      </c>
      <c r="Y2281" s="1" t="s">
        <v>82</v>
      </c>
      <c r="Z2281" s="1" t="str">
        <f>TRIM(_xlfn.CONCAT(sales_data_sample[[#This Row],[CONTACTFIRSTNAME]],", ",sales_data_sample[[#This Row],[CONTACTLASTNAME]]))</f>
        <v>Juri, Hirano</v>
      </c>
      <c r="AA2281" s="1" t="s">
        <v>40</v>
      </c>
    </row>
    <row r="2282" spans="1:27" x14ac:dyDescent="0.25">
      <c r="A2282" s="10">
        <v>10150</v>
      </c>
      <c r="B2282" s="9">
        <v>49</v>
      </c>
      <c r="C2282" s="9">
        <v>5818</v>
      </c>
      <c r="D2282" s="9">
        <f>PRODUCT(sales_data_sample[[#This Row],[QUANTITYORDERED]],sales_data_sample[[#This Row],[PRICEEACH]])</f>
        <v>285082</v>
      </c>
      <c r="E2282" s="9">
        <f>IF(OR(sales_data_sample[[#This Row],[STATUS]]="Shipped",sales_data_sample[[#This Row],[STATUS]]="Resolved"),sales_data_sample[[#This Row],[SALES]],0)</f>
        <v>285082</v>
      </c>
      <c r="F2282" s="10">
        <v>4</v>
      </c>
      <c r="G2282" s="12" t="s">
        <v>258</v>
      </c>
      <c r="H2282" s="1" t="s">
        <v>26</v>
      </c>
      <c r="I2282">
        <v>3</v>
      </c>
      <c r="J2282">
        <v>9</v>
      </c>
      <c r="K2282">
        <v>2003</v>
      </c>
      <c r="L2282" s="1" t="s">
        <v>711</v>
      </c>
      <c r="M2282">
        <v>64</v>
      </c>
      <c r="N2282" s="1" t="s">
        <v>992</v>
      </c>
      <c r="O2282" s="1" t="s">
        <v>259</v>
      </c>
      <c r="P2282" s="1" t="s">
        <v>260</v>
      </c>
      <c r="Q2282" s="1" t="s">
        <v>261</v>
      </c>
      <c r="R2282" s="1" t="s">
        <v>32</v>
      </c>
      <c r="S2282" s="1" t="s">
        <v>262</v>
      </c>
      <c r="T2282" s="1" t="s">
        <v>32</v>
      </c>
      <c r="U2282" s="1" t="s">
        <v>263</v>
      </c>
      <c r="V2282" s="1" t="s">
        <v>262</v>
      </c>
      <c r="W2282" s="1" t="s">
        <v>264</v>
      </c>
      <c r="X2282" s="1" t="s">
        <v>265</v>
      </c>
      <c r="Y2282" s="1" t="s">
        <v>266</v>
      </c>
      <c r="Z2282" s="1" t="str">
        <f>TRIM(_xlfn.CONCAT(sales_data_sample[[#This Row],[CONTACTFIRSTNAME]],", ",sales_data_sample[[#This Row],[CONTACTLASTNAME]]))</f>
        <v>Eric, Natividad</v>
      </c>
      <c r="AA2282" s="1" t="s">
        <v>40</v>
      </c>
    </row>
    <row r="2283" spans="1:27" x14ac:dyDescent="0.25">
      <c r="A2283" s="10">
        <v>10164</v>
      </c>
      <c r="B2283" s="9">
        <v>49</v>
      </c>
      <c r="C2283" s="9">
        <v>5494</v>
      </c>
      <c r="D2283" s="9">
        <f>PRODUCT(sales_data_sample[[#This Row],[QUANTITYORDERED]],sales_data_sample[[#This Row],[PRICEEACH]])</f>
        <v>269206</v>
      </c>
      <c r="E2283" s="9">
        <f>IF(OR(sales_data_sample[[#This Row],[STATUS]]="Shipped",sales_data_sample[[#This Row],[STATUS]]="Resolved"),sales_data_sample[[#This Row],[SALES]],0)</f>
        <v>269206</v>
      </c>
      <c r="F2283" s="10">
        <v>5</v>
      </c>
      <c r="G2283" s="12" t="s">
        <v>562</v>
      </c>
      <c r="H2283" s="1" t="s">
        <v>563</v>
      </c>
      <c r="I2283">
        <v>4</v>
      </c>
      <c r="J2283">
        <v>10</v>
      </c>
      <c r="K2283">
        <v>2003</v>
      </c>
      <c r="L2283" s="1" t="s">
        <v>711</v>
      </c>
      <c r="M2283">
        <v>64</v>
      </c>
      <c r="N2283" s="1" t="s">
        <v>992</v>
      </c>
      <c r="O2283" s="1" t="s">
        <v>564</v>
      </c>
      <c r="P2283" s="1" t="s">
        <v>565</v>
      </c>
      <c r="Q2283" s="1" t="s">
        <v>566</v>
      </c>
      <c r="R2283" s="1" t="s">
        <v>32</v>
      </c>
      <c r="S2283" s="1" t="s">
        <v>567</v>
      </c>
      <c r="T2283" s="1" t="s">
        <v>32</v>
      </c>
      <c r="U2283" s="1" t="s">
        <v>568</v>
      </c>
      <c r="V2283" s="1" t="s">
        <v>196</v>
      </c>
      <c r="W2283" s="1" t="s">
        <v>48</v>
      </c>
      <c r="X2283" s="1" t="s">
        <v>569</v>
      </c>
      <c r="Y2283" s="1" t="s">
        <v>570</v>
      </c>
      <c r="Z2283" s="1" t="str">
        <f>TRIM(_xlfn.CONCAT(sales_data_sample[[#This Row],[CONTACTFIRSTNAME]],", ",sales_data_sample[[#This Row],[CONTACTLASTNAME]]))</f>
        <v>Roland, Mendel</v>
      </c>
      <c r="AA2283" s="1" t="s">
        <v>40</v>
      </c>
    </row>
    <row r="2284" spans="1:27" x14ac:dyDescent="0.25">
      <c r="A2284" s="10">
        <v>10175</v>
      </c>
      <c r="B2284" s="9">
        <v>29</v>
      </c>
      <c r="C2284" s="9">
        <v>7498</v>
      </c>
      <c r="D2284" s="9">
        <f>PRODUCT(sales_data_sample[[#This Row],[QUANTITYORDERED]],sales_data_sample[[#This Row],[PRICEEACH]])</f>
        <v>217442</v>
      </c>
      <c r="E2284" s="9">
        <f>IF(OR(sales_data_sample[[#This Row],[STATUS]]="Shipped",sales_data_sample[[#This Row],[STATUS]]="Resolved"),sales_data_sample[[#This Row],[SALES]],0)</f>
        <v>217442</v>
      </c>
      <c r="F2284" s="10">
        <v>12</v>
      </c>
      <c r="G2284" s="12" t="s">
        <v>273</v>
      </c>
      <c r="H2284" s="1" t="s">
        <v>26</v>
      </c>
      <c r="I2284">
        <v>4</v>
      </c>
      <c r="J2284">
        <v>11</v>
      </c>
      <c r="K2284">
        <v>2003</v>
      </c>
      <c r="L2284" s="1" t="s">
        <v>711</v>
      </c>
      <c r="M2284">
        <v>64</v>
      </c>
      <c r="N2284" s="1" t="s">
        <v>992</v>
      </c>
      <c r="O2284" s="1" t="s">
        <v>447</v>
      </c>
      <c r="P2284" s="1" t="s">
        <v>448</v>
      </c>
      <c r="Q2284" s="1" t="s">
        <v>449</v>
      </c>
      <c r="R2284" s="1" t="s">
        <v>32</v>
      </c>
      <c r="S2284" s="1" t="s">
        <v>450</v>
      </c>
      <c r="T2284" s="1" t="s">
        <v>32</v>
      </c>
      <c r="U2284" s="1" t="s">
        <v>451</v>
      </c>
      <c r="V2284" s="1" t="s">
        <v>225</v>
      </c>
      <c r="W2284" s="1" t="s">
        <v>48</v>
      </c>
      <c r="X2284" s="1" t="s">
        <v>74</v>
      </c>
      <c r="Y2284" s="1" t="s">
        <v>452</v>
      </c>
      <c r="Z2284" s="1" t="str">
        <f>TRIM(_xlfn.CONCAT(sales_data_sample[[#This Row],[CONTACTFIRSTNAME]],", ",sales_data_sample[[#This Row],[CONTACTLASTNAME]]))</f>
        <v>Ann, Brown</v>
      </c>
      <c r="AA2284" s="1" t="s">
        <v>40</v>
      </c>
    </row>
    <row r="2285" spans="1:27" x14ac:dyDescent="0.25">
      <c r="A2285" s="10">
        <v>10183</v>
      </c>
      <c r="B2285" s="9">
        <v>49</v>
      </c>
      <c r="C2285" s="9">
        <v>6464</v>
      </c>
      <c r="D2285" s="9">
        <f>PRODUCT(sales_data_sample[[#This Row],[QUANTITYORDERED]],sales_data_sample[[#This Row],[PRICEEACH]])</f>
        <v>316736</v>
      </c>
      <c r="E2285" s="9">
        <f>IF(OR(sales_data_sample[[#This Row],[STATUS]]="Shipped",sales_data_sample[[#This Row],[STATUS]]="Resolved"),sales_data_sample[[#This Row],[SALES]],0)</f>
        <v>316736</v>
      </c>
      <c r="F2285" s="10">
        <v>4</v>
      </c>
      <c r="G2285" s="12" t="s">
        <v>282</v>
      </c>
      <c r="H2285" s="1" t="s">
        <v>26</v>
      </c>
      <c r="I2285">
        <v>4</v>
      </c>
      <c r="J2285">
        <v>11</v>
      </c>
      <c r="K2285">
        <v>2003</v>
      </c>
      <c r="L2285" s="1" t="s">
        <v>711</v>
      </c>
      <c r="M2285">
        <v>64</v>
      </c>
      <c r="N2285" s="1" t="s">
        <v>992</v>
      </c>
      <c r="O2285" s="1" t="s">
        <v>283</v>
      </c>
      <c r="P2285" s="1" t="s">
        <v>284</v>
      </c>
      <c r="Q2285" s="1" t="s">
        <v>285</v>
      </c>
      <c r="R2285" s="1" t="s">
        <v>32</v>
      </c>
      <c r="S2285" s="1" t="s">
        <v>286</v>
      </c>
      <c r="T2285" s="1" t="s">
        <v>186</v>
      </c>
      <c r="U2285" s="1" t="s">
        <v>287</v>
      </c>
      <c r="V2285" s="1" t="s">
        <v>36</v>
      </c>
      <c r="W2285" s="1" t="s">
        <v>37</v>
      </c>
      <c r="X2285" s="1" t="s">
        <v>288</v>
      </c>
      <c r="Y2285" s="1" t="s">
        <v>289</v>
      </c>
      <c r="Z2285" s="1" t="str">
        <f>TRIM(_xlfn.CONCAT(sales_data_sample[[#This Row],[CONTACTFIRSTNAME]],", ",sales_data_sample[[#This Row],[CONTACTLASTNAME]]))</f>
        <v>Francisca, Cervantes</v>
      </c>
      <c r="AA2285" s="1" t="s">
        <v>59</v>
      </c>
    </row>
    <row r="2286" spans="1:27" x14ac:dyDescent="0.25">
      <c r="A2286" s="10">
        <v>10194</v>
      </c>
      <c r="B2286" s="9">
        <v>39</v>
      </c>
      <c r="C2286" s="9">
        <v>5494</v>
      </c>
      <c r="D2286" s="9">
        <f>PRODUCT(sales_data_sample[[#This Row],[QUANTITYORDERED]],sales_data_sample[[#This Row],[PRICEEACH]])</f>
        <v>214266</v>
      </c>
      <c r="E2286" s="9">
        <f>IF(OR(sales_data_sample[[#This Row],[STATUS]]="Shipped",sales_data_sample[[#This Row],[STATUS]]="Resolved"),sales_data_sample[[#This Row],[SALES]],0)</f>
        <v>214266</v>
      </c>
      <c r="F2286" s="10">
        <v>7</v>
      </c>
      <c r="G2286" s="12" t="s">
        <v>290</v>
      </c>
      <c r="H2286" s="1" t="s">
        <v>26</v>
      </c>
      <c r="I2286">
        <v>4</v>
      </c>
      <c r="J2286">
        <v>11</v>
      </c>
      <c r="K2286">
        <v>2003</v>
      </c>
      <c r="L2286" s="1" t="s">
        <v>711</v>
      </c>
      <c r="M2286">
        <v>64</v>
      </c>
      <c r="N2286" s="1" t="s">
        <v>992</v>
      </c>
      <c r="O2286" s="1" t="s">
        <v>291</v>
      </c>
      <c r="P2286" s="1" t="s">
        <v>292</v>
      </c>
      <c r="Q2286" s="1" t="s">
        <v>293</v>
      </c>
      <c r="R2286" s="1" t="s">
        <v>32</v>
      </c>
      <c r="S2286" s="1" t="s">
        <v>294</v>
      </c>
      <c r="T2286" s="1" t="s">
        <v>32</v>
      </c>
      <c r="U2286" s="1" t="s">
        <v>295</v>
      </c>
      <c r="V2286" s="1" t="s">
        <v>47</v>
      </c>
      <c r="W2286" s="1" t="s">
        <v>48</v>
      </c>
      <c r="X2286" s="1" t="s">
        <v>296</v>
      </c>
      <c r="Y2286" s="1" t="s">
        <v>297</v>
      </c>
      <c r="Z2286" s="1" t="str">
        <f>TRIM(_xlfn.CONCAT(sales_data_sample[[#This Row],[CONTACTFIRSTNAME]],", ",sales_data_sample[[#This Row],[CONTACTLASTNAME]]))</f>
        <v>Mary, Saveley</v>
      </c>
      <c r="AA2286" s="1" t="s">
        <v>40</v>
      </c>
    </row>
    <row r="2287" spans="1:27" x14ac:dyDescent="0.25">
      <c r="A2287" s="10">
        <v>10206</v>
      </c>
      <c r="B2287" s="9">
        <v>36</v>
      </c>
      <c r="C2287" s="9">
        <v>5882</v>
      </c>
      <c r="D2287" s="9">
        <f>PRODUCT(sales_data_sample[[#This Row],[QUANTITYORDERED]],sales_data_sample[[#This Row],[PRICEEACH]])</f>
        <v>211752</v>
      </c>
      <c r="E2287" s="9">
        <f>IF(OR(sales_data_sample[[#This Row],[STATUS]]="Shipped",sales_data_sample[[#This Row],[STATUS]]="Resolved"),sales_data_sample[[#This Row],[SALES]],0)</f>
        <v>211752</v>
      </c>
      <c r="F2287" s="10">
        <v>2</v>
      </c>
      <c r="G2287" s="12" t="s">
        <v>298</v>
      </c>
      <c r="H2287" s="1" t="s">
        <v>26</v>
      </c>
      <c r="I2287">
        <v>4</v>
      </c>
      <c r="J2287">
        <v>12</v>
      </c>
      <c r="K2287">
        <v>2003</v>
      </c>
      <c r="L2287" s="1" t="s">
        <v>711</v>
      </c>
      <c r="M2287">
        <v>64</v>
      </c>
      <c r="N2287" s="1" t="s">
        <v>992</v>
      </c>
      <c r="O2287" s="1" t="s">
        <v>299</v>
      </c>
      <c r="P2287" s="1" t="s">
        <v>300</v>
      </c>
      <c r="Q2287" s="1" t="s">
        <v>301</v>
      </c>
      <c r="R2287" s="1" t="s">
        <v>32</v>
      </c>
      <c r="S2287" s="1" t="s">
        <v>302</v>
      </c>
      <c r="T2287" s="1" t="s">
        <v>303</v>
      </c>
      <c r="U2287" s="1" t="s">
        <v>304</v>
      </c>
      <c r="V2287" s="1" t="s">
        <v>305</v>
      </c>
      <c r="W2287" s="1" t="s">
        <v>37</v>
      </c>
      <c r="X2287" s="1" t="s">
        <v>306</v>
      </c>
      <c r="Y2287" s="1" t="s">
        <v>307</v>
      </c>
      <c r="Z2287" s="1" t="str">
        <f>TRIM(_xlfn.CONCAT(sales_data_sample[[#This Row],[CONTACTFIRSTNAME]],", ",sales_data_sample[[#This Row],[CONTACTLASTNAME]]))</f>
        <v>Yoshi, Tannamuri</v>
      </c>
      <c r="AA2287" s="1" t="s">
        <v>40</v>
      </c>
    </row>
    <row r="2288" spans="1:27" x14ac:dyDescent="0.25">
      <c r="A2288">
        <v>10217</v>
      </c>
      <c r="B2288">
        <v>39</v>
      </c>
      <c r="C2288">
        <v>6205</v>
      </c>
      <c r="D2288">
        <f>PRODUCT(sales_data_sample[[#This Row],[QUANTITYORDERED]],sales_data_sample[[#This Row],[PRICEEACH]])</f>
        <v>241995</v>
      </c>
      <c r="E2288" s="9">
        <f>IF(OR(sales_data_sample[[#This Row],[STATUS]]="Shipped",sales_data_sample[[#This Row],[STATUS]]="Resolved"),sales_data_sample[[#This Row],[SALES]],0)</f>
        <v>241995</v>
      </c>
      <c r="F2288">
        <v>7</v>
      </c>
      <c r="G2288" s="12" t="s">
        <v>576</v>
      </c>
      <c r="H2288" s="1" t="s">
        <v>26</v>
      </c>
      <c r="I2288">
        <v>1</v>
      </c>
      <c r="J2288">
        <v>2</v>
      </c>
      <c r="K2288">
        <v>2004</v>
      </c>
      <c r="L2288" s="1" t="s">
        <v>711</v>
      </c>
      <c r="M2288">
        <v>64</v>
      </c>
      <c r="N2288" s="1" t="s">
        <v>992</v>
      </c>
      <c r="O2288" s="1" t="s">
        <v>577</v>
      </c>
      <c r="P2288" s="1" t="s">
        <v>578</v>
      </c>
      <c r="Q2288" s="1" t="s">
        <v>579</v>
      </c>
      <c r="R2288" s="1" t="s">
        <v>580</v>
      </c>
      <c r="S2288" s="1" t="s">
        <v>262</v>
      </c>
      <c r="T2288" s="1" t="s">
        <v>32</v>
      </c>
      <c r="U2288" s="1" t="s">
        <v>581</v>
      </c>
      <c r="V2288" s="1" t="s">
        <v>262</v>
      </c>
      <c r="W2288" s="1" t="s">
        <v>121</v>
      </c>
      <c r="X2288" s="1" t="s">
        <v>582</v>
      </c>
      <c r="Y2288" s="1" t="s">
        <v>583</v>
      </c>
      <c r="Z2288" s="1" t="str">
        <f>TRIM(_xlfn.CONCAT(sales_data_sample[[#This Row],[CONTACTFIRSTNAME]],", ",sales_data_sample[[#This Row],[CONTACTLASTNAME]]))</f>
        <v>Wendy, Victorino</v>
      </c>
      <c r="AA2288" s="1" t="s">
        <v>40</v>
      </c>
    </row>
    <row r="2289" spans="1:27" x14ac:dyDescent="0.25">
      <c r="A2289" s="10">
        <v>10229</v>
      </c>
      <c r="B2289" s="9">
        <v>30</v>
      </c>
      <c r="C2289" s="9">
        <v>7304</v>
      </c>
      <c r="D2289" s="9">
        <f>PRODUCT(sales_data_sample[[#This Row],[QUANTITYORDERED]],sales_data_sample[[#This Row],[PRICEEACH]])</f>
        <v>219120</v>
      </c>
      <c r="E2289" s="9">
        <f>IF(OR(sales_data_sample[[#This Row],[STATUS]]="Shipped",sales_data_sample[[#This Row],[STATUS]]="Resolved"),sales_data_sample[[#This Row],[SALES]],0)</f>
        <v>219120</v>
      </c>
      <c r="F2289" s="10">
        <v>12</v>
      </c>
      <c r="G2289" s="12" t="s">
        <v>584</v>
      </c>
      <c r="H2289" s="1" t="s">
        <v>26</v>
      </c>
      <c r="I2289">
        <v>1</v>
      </c>
      <c r="J2289">
        <v>3</v>
      </c>
      <c r="K2289">
        <v>2004</v>
      </c>
      <c r="L2289" s="1" t="s">
        <v>711</v>
      </c>
      <c r="M2289">
        <v>64</v>
      </c>
      <c r="N2289" s="1" t="s">
        <v>992</v>
      </c>
      <c r="O2289" s="1" t="s">
        <v>361</v>
      </c>
      <c r="P2289" s="1" t="s">
        <v>362</v>
      </c>
      <c r="Q2289" s="1" t="s">
        <v>363</v>
      </c>
      <c r="R2289" s="1" t="s">
        <v>32</v>
      </c>
      <c r="S2289" s="1" t="s">
        <v>364</v>
      </c>
      <c r="T2289" s="1" t="s">
        <v>65</v>
      </c>
      <c r="U2289" s="1" t="s">
        <v>145</v>
      </c>
      <c r="V2289" s="1" t="s">
        <v>36</v>
      </c>
      <c r="W2289" s="1" t="s">
        <v>37</v>
      </c>
      <c r="X2289" s="1" t="s">
        <v>365</v>
      </c>
      <c r="Y2289" s="1" t="s">
        <v>366</v>
      </c>
      <c r="Z2289" s="1" t="str">
        <f>TRIM(_xlfn.CONCAT(sales_data_sample[[#This Row],[CONTACTFIRSTNAME]],", ",sales_data_sample[[#This Row],[CONTACTLASTNAME]]))</f>
        <v>Valarie, Nelson</v>
      </c>
      <c r="AA2289" s="1" t="s">
        <v>40</v>
      </c>
    </row>
    <row r="2290" spans="1:27" x14ac:dyDescent="0.25">
      <c r="A2290" s="10">
        <v>10245</v>
      </c>
      <c r="B2290" s="9">
        <v>44</v>
      </c>
      <c r="C2290" s="9">
        <v>6916</v>
      </c>
      <c r="D2290" s="9">
        <f>PRODUCT(sales_data_sample[[#This Row],[QUANTITYORDERED]],sales_data_sample[[#This Row],[PRICEEACH]])</f>
        <v>304304</v>
      </c>
      <c r="E2290" s="9">
        <f>IF(OR(sales_data_sample[[#This Row],[STATUS]]="Shipped",sales_data_sample[[#This Row],[STATUS]]="Resolved"),sales_data_sample[[#This Row],[SALES]],0)</f>
        <v>304304</v>
      </c>
      <c r="F2290" s="10">
        <v>5</v>
      </c>
      <c r="G2290" s="12" t="s">
        <v>320</v>
      </c>
      <c r="H2290" s="1" t="s">
        <v>26</v>
      </c>
      <c r="I2290">
        <v>2</v>
      </c>
      <c r="J2290">
        <v>5</v>
      </c>
      <c r="K2290">
        <v>2004</v>
      </c>
      <c r="L2290" s="1" t="s">
        <v>711</v>
      </c>
      <c r="M2290">
        <v>64</v>
      </c>
      <c r="N2290" s="1" t="s">
        <v>992</v>
      </c>
      <c r="O2290" s="1" t="s">
        <v>321</v>
      </c>
      <c r="P2290" s="1" t="s">
        <v>322</v>
      </c>
      <c r="Q2290" s="1" t="s">
        <v>323</v>
      </c>
      <c r="R2290" s="1" t="s">
        <v>32</v>
      </c>
      <c r="S2290" s="1" t="s">
        <v>324</v>
      </c>
      <c r="T2290" s="1" t="s">
        <v>144</v>
      </c>
      <c r="U2290" s="1" t="s">
        <v>325</v>
      </c>
      <c r="V2290" s="1" t="s">
        <v>36</v>
      </c>
      <c r="W2290" s="1" t="s">
        <v>37</v>
      </c>
      <c r="X2290" s="1" t="s">
        <v>104</v>
      </c>
      <c r="Y2290" s="1" t="s">
        <v>326</v>
      </c>
      <c r="Z2290" s="1" t="str">
        <f>TRIM(_xlfn.CONCAT(sales_data_sample[[#This Row],[CONTACTFIRSTNAME]],", ",sales_data_sample[[#This Row],[CONTACTLASTNAME]]))</f>
        <v>Leslie, Murphy</v>
      </c>
      <c r="AA2290" s="1" t="s">
        <v>59</v>
      </c>
    </row>
    <row r="2291" spans="1:27" x14ac:dyDescent="0.25">
      <c r="A2291" s="10">
        <v>10258</v>
      </c>
      <c r="B2291" s="9">
        <v>20</v>
      </c>
      <c r="C2291" s="9">
        <v>6141</v>
      </c>
      <c r="D2291" s="9">
        <f>PRODUCT(sales_data_sample[[#This Row],[QUANTITYORDERED]],sales_data_sample[[#This Row],[PRICEEACH]])</f>
        <v>122820</v>
      </c>
      <c r="E2291" s="9">
        <f>IF(OR(sales_data_sample[[#This Row],[STATUS]]="Shipped",sales_data_sample[[#This Row],[STATUS]]="Resolved"),sales_data_sample[[#This Row],[SALES]],0)</f>
        <v>122820</v>
      </c>
      <c r="F2291" s="10">
        <v>2</v>
      </c>
      <c r="G2291" s="12" t="s">
        <v>327</v>
      </c>
      <c r="H2291" s="1" t="s">
        <v>26</v>
      </c>
      <c r="I2291">
        <v>2</v>
      </c>
      <c r="J2291">
        <v>6</v>
      </c>
      <c r="K2291">
        <v>2004</v>
      </c>
      <c r="L2291" s="1" t="s">
        <v>711</v>
      </c>
      <c r="M2291">
        <v>64</v>
      </c>
      <c r="N2291" s="1" t="s">
        <v>992</v>
      </c>
      <c r="O2291" s="1" t="s">
        <v>328</v>
      </c>
      <c r="P2291" s="1" t="s">
        <v>329</v>
      </c>
      <c r="Q2291" s="1" t="s">
        <v>330</v>
      </c>
      <c r="R2291" s="1" t="s">
        <v>32</v>
      </c>
      <c r="S2291" s="1" t="s">
        <v>331</v>
      </c>
      <c r="T2291" s="1" t="s">
        <v>332</v>
      </c>
      <c r="U2291" s="1" t="s">
        <v>333</v>
      </c>
      <c r="V2291" s="1" t="s">
        <v>264</v>
      </c>
      <c r="W2291" s="1" t="s">
        <v>264</v>
      </c>
      <c r="X2291" s="1" t="s">
        <v>334</v>
      </c>
      <c r="Y2291" s="1" t="s">
        <v>335</v>
      </c>
      <c r="Z2291" s="1" t="str">
        <f>TRIM(_xlfn.CONCAT(sales_data_sample[[#This Row],[CONTACTFIRSTNAME]],", ",sales_data_sample[[#This Row],[CONTACTLASTNAME]]))</f>
        <v>Akiko, Shimamura</v>
      </c>
      <c r="AA2291" s="1" t="s">
        <v>40</v>
      </c>
    </row>
    <row r="2292" spans="1:27" x14ac:dyDescent="0.25">
      <c r="A2292">
        <v>10270</v>
      </c>
      <c r="B2292">
        <v>21</v>
      </c>
      <c r="C2292">
        <v>6335</v>
      </c>
      <c r="D2292">
        <f>PRODUCT(sales_data_sample[[#This Row],[QUANTITYORDERED]],sales_data_sample[[#This Row],[PRICEEACH]])</f>
        <v>133035</v>
      </c>
      <c r="E2292" s="9">
        <f>IF(OR(sales_data_sample[[#This Row],[STATUS]]="Shipped",sales_data_sample[[#This Row],[STATUS]]="Resolved"),sales_data_sample[[#This Row],[SALES]],0)</f>
        <v>133035</v>
      </c>
      <c r="F2292">
        <v>5</v>
      </c>
      <c r="G2292" s="12" t="s">
        <v>336</v>
      </c>
      <c r="H2292" s="1" t="s">
        <v>26</v>
      </c>
      <c r="I2292">
        <v>3</v>
      </c>
      <c r="J2292">
        <v>7</v>
      </c>
      <c r="K2292">
        <v>2004</v>
      </c>
      <c r="L2292" s="1" t="s">
        <v>711</v>
      </c>
      <c r="M2292">
        <v>64</v>
      </c>
      <c r="N2292" s="1" t="s">
        <v>992</v>
      </c>
      <c r="O2292" s="1" t="s">
        <v>201</v>
      </c>
      <c r="P2292" s="1" t="s">
        <v>202</v>
      </c>
      <c r="Q2292" s="1" t="s">
        <v>203</v>
      </c>
      <c r="R2292" s="1" t="s">
        <v>204</v>
      </c>
      <c r="S2292" s="1" t="s">
        <v>205</v>
      </c>
      <c r="T2292" s="1" t="s">
        <v>206</v>
      </c>
      <c r="U2292" s="1" t="s">
        <v>207</v>
      </c>
      <c r="V2292" s="1" t="s">
        <v>120</v>
      </c>
      <c r="W2292" s="1" t="s">
        <v>121</v>
      </c>
      <c r="X2292" s="1" t="s">
        <v>208</v>
      </c>
      <c r="Y2292" s="1" t="s">
        <v>209</v>
      </c>
      <c r="Z2292" s="1" t="str">
        <f>TRIM(_xlfn.CONCAT(sales_data_sample[[#This Row],[CONTACTFIRSTNAME]],", ",sales_data_sample[[#This Row],[CONTACTLASTNAME]]))</f>
        <v>Adrian, Huxley</v>
      </c>
      <c r="AA2292" s="1" t="s">
        <v>40</v>
      </c>
    </row>
    <row r="2293" spans="1:27" x14ac:dyDescent="0.25">
      <c r="A2293" s="10">
        <v>10281</v>
      </c>
      <c r="B2293" s="9">
        <v>36</v>
      </c>
      <c r="C2293" s="9">
        <v>7757</v>
      </c>
      <c r="D2293" s="9">
        <f>PRODUCT(sales_data_sample[[#This Row],[QUANTITYORDERED]],sales_data_sample[[#This Row],[PRICEEACH]])</f>
        <v>279252</v>
      </c>
      <c r="E2293" s="9">
        <f>IF(OR(sales_data_sample[[#This Row],[STATUS]]="Shipped",sales_data_sample[[#This Row],[STATUS]]="Resolved"),sales_data_sample[[#This Row],[SALES]],0)</f>
        <v>279252</v>
      </c>
      <c r="F2293" s="10">
        <v>12</v>
      </c>
      <c r="G2293" s="12" t="s">
        <v>585</v>
      </c>
      <c r="H2293" s="1" t="s">
        <v>26</v>
      </c>
      <c r="I2293">
        <v>3</v>
      </c>
      <c r="J2293">
        <v>8</v>
      </c>
      <c r="K2293">
        <v>2004</v>
      </c>
      <c r="L2293" s="1" t="s">
        <v>711</v>
      </c>
      <c r="M2293">
        <v>64</v>
      </c>
      <c r="N2293" s="1" t="s">
        <v>992</v>
      </c>
      <c r="O2293" s="1" t="s">
        <v>182</v>
      </c>
      <c r="P2293" s="1" t="s">
        <v>183</v>
      </c>
      <c r="Q2293" s="1" t="s">
        <v>184</v>
      </c>
      <c r="R2293" s="1" t="s">
        <v>32</v>
      </c>
      <c r="S2293" s="1" t="s">
        <v>185</v>
      </c>
      <c r="T2293" s="1" t="s">
        <v>186</v>
      </c>
      <c r="U2293" s="1" t="s">
        <v>187</v>
      </c>
      <c r="V2293" s="1" t="s">
        <v>36</v>
      </c>
      <c r="W2293" s="1" t="s">
        <v>37</v>
      </c>
      <c r="X2293" s="1" t="s">
        <v>38</v>
      </c>
      <c r="Y2293" s="1" t="s">
        <v>188</v>
      </c>
      <c r="Z2293" s="1" t="str">
        <f>TRIM(_xlfn.CONCAT(sales_data_sample[[#This Row],[CONTACTFIRSTNAME]],", ",sales_data_sample[[#This Row],[CONTACTLASTNAME]]))</f>
        <v>Kyung, Yu</v>
      </c>
      <c r="AA2293" s="1" t="s">
        <v>40</v>
      </c>
    </row>
    <row r="2294" spans="1:27" x14ac:dyDescent="0.25">
      <c r="A2294" s="10">
        <v>10291</v>
      </c>
      <c r="B2294" s="9">
        <v>32</v>
      </c>
      <c r="C2294" s="9">
        <v>7175</v>
      </c>
      <c r="D2294" s="9">
        <f>PRODUCT(sales_data_sample[[#This Row],[QUANTITYORDERED]],sales_data_sample[[#This Row],[PRICEEACH]])</f>
        <v>229600</v>
      </c>
      <c r="E2294" s="9">
        <f>IF(OR(sales_data_sample[[#This Row],[STATUS]]="Shipped",sales_data_sample[[#This Row],[STATUS]]="Resolved"),sales_data_sample[[#This Row],[SALES]],0)</f>
        <v>229600</v>
      </c>
      <c r="F2294" s="10">
        <v>7</v>
      </c>
      <c r="G2294" s="12" t="s">
        <v>346</v>
      </c>
      <c r="H2294" s="1" t="s">
        <v>26</v>
      </c>
      <c r="I2294">
        <v>3</v>
      </c>
      <c r="J2294">
        <v>9</v>
      </c>
      <c r="K2294">
        <v>2004</v>
      </c>
      <c r="L2294" s="1" t="s">
        <v>711</v>
      </c>
      <c r="M2294">
        <v>64</v>
      </c>
      <c r="N2294" s="1" t="s">
        <v>992</v>
      </c>
      <c r="O2294" s="1" t="s">
        <v>347</v>
      </c>
      <c r="P2294" s="1" t="s">
        <v>348</v>
      </c>
      <c r="Q2294" s="1" t="s">
        <v>349</v>
      </c>
      <c r="R2294" s="1" t="s">
        <v>32</v>
      </c>
      <c r="S2294" s="1" t="s">
        <v>350</v>
      </c>
      <c r="T2294" s="1" t="s">
        <v>32</v>
      </c>
      <c r="U2294" s="1" t="s">
        <v>351</v>
      </c>
      <c r="V2294" s="1" t="s">
        <v>247</v>
      </c>
      <c r="W2294" s="1" t="s">
        <v>48</v>
      </c>
      <c r="X2294" s="1" t="s">
        <v>352</v>
      </c>
      <c r="Y2294" s="1" t="s">
        <v>272</v>
      </c>
      <c r="Z2294" s="1" t="str">
        <f>TRIM(_xlfn.CONCAT(sales_data_sample[[#This Row],[CONTACTFIRSTNAME]],", ",sales_data_sample[[#This Row],[CONTACTLASTNAME]]))</f>
        <v>Maria, Larsson</v>
      </c>
      <c r="AA2294" s="1" t="s">
        <v>40</v>
      </c>
    </row>
    <row r="2295" spans="1:27" x14ac:dyDescent="0.25">
      <c r="A2295" s="10">
        <v>10304</v>
      </c>
      <c r="B2295" s="9">
        <v>36</v>
      </c>
      <c r="C2295" s="9">
        <v>7304</v>
      </c>
      <c r="D2295" s="9">
        <f>PRODUCT(sales_data_sample[[#This Row],[QUANTITYORDERED]],sales_data_sample[[#This Row],[PRICEEACH]])</f>
        <v>262944</v>
      </c>
      <c r="E2295" s="9">
        <f>IF(OR(sales_data_sample[[#This Row],[STATUS]]="Shipped",sales_data_sample[[#This Row],[STATUS]]="Resolved"),sales_data_sample[[#This Row],[SALES]],0)</f>
        <v>262944</v>
      </c>
      <c r="F2295" s="10">
        <v>2</v>
      </c>
      <c r="G2295" s="12" t="s">
        <v>353</v>
      </c>
      <c r="H2295" s="1" t="s">
        <v>26</v>
      </c>
      <c r="I2295">
        <v>4</v>
      </c>
      <c r="J2295">
        <v>10</v>
      </c>
      <c r="K2295">
        <v>2004</v>
      </c>
      <c r="L2295" s="1" t="s">
        <v>711</v>
      </c>
      <c r="M2295">
        <v>64</v>
      </c>
      <c r="N2295" s="1" t="s">
        <v>992</v>
      </c>
      <c r="O2295" s="1" t="s">
        <v>354</v>
      </c>
      <c r="P2295" s="1" t="s">
        <v>355</v>
      </c>
      <c r="Q2295" s="1" t="s">
        <v>356</v>
      </c>
      <c r="R2295" s="1" t="s">
        <v>32</v>
      </c>
      <c r="S2295" s="1" t="s">
        <v>357</v>
      </c>
      <c r="T2295" s="1" t="s">
        <v>32</v>
      </c>
      <c r="U2295" s="1" t="s">
        <v>358</v>
      </c>
      <c r="V2295" s="1" t="s">
        <v>47</v>
      </c>
      <c r="W2295" s="1" t="s">
        <v>48</v>
      </c>
      <c r="X2295" s="1" t="s">
        <v>359</v>
      </c>
      <c r="Y2295" s="1" t="s">
        <v>58</v>
      </c>
      <c r="Z2295" s="1" t="str">
        <f>TRIM(_xlfn.CONCAT(sales_data_sample[[#This Row],[CONTACTFIRSTNAME]],", ",sales_data_sample[[#This Row],[CONTACTLASTNAME]]))</f>
        <v>Daniel, Tonini</v>
      </c>
      <c r="AA2295" s="1" t="s">
        <v>40</v>
      </c>
    </row>
    <row r="2296" spans="1:27" x14ac:dyDescent="0.25">
      <c r="A2296" s="10">
        <v>10313</v>
      </c>
      <c r="B2296" s="9">
        <v>34</v>
      </c>
      <c r="C2296" s="9">
        <v>5624</v>
      </c>
      <c r="D2296" s="9">
        <f>PRODUCT(sales_data_sample[[#This Row],[QUANTITYORDERED]],sales_data_sample[[#This Row],[PRICEEACH]])</f>
        <v>191216</v>
      </c>
      <c r="E2296" s="9">
        <f>IF(OR(sales_data_sample[[#This Row],[STATUS]]="Shipped",sales_data_sample[[#This Row],[STATUS]]="Resolved"),sales_data_sample[[#This Row],[SALES]],0)</f>
        <v>191216</v>
      </c>
      <c r="F2296" s="10">
        <v>10</v>
      </c>
      <c r="G2296" s="12" t="s">
        <v>587</v>
      </c>
      <c r="H2296" s="1" t="s">
        <v>26</v>
      </c>
      <c r="I2296">
        <v>4</v>
      </c>
      <c r="J2296">
        <v>10</v>
      </c>
      <c r="K2296">
        <v>2004</v>
      </c>
      <c r="L2296" s="1" t="s">
        <v>711</v>
      </c>
      <c r="M2296">
        <v>64</v>
      </c>
      <c r="N2296" s="1" t="s">
        <v>992</v>
      </c>
      <c r="O2296" s="1" t="s">
        <v>299</v>
      </c>
      <c r="P2296" s="1" t="s">
        <v>300</v>
      </c>
      <c r="Q2296" s="1" t="s">
        <v>301</v>
      </c>
      <c r="R2296" s="1" t="s">
        <v>32</v>
      </c>
      <c r="S2296" s="1" t="s">
        <v>302</v>
      </c>
      <c r="T2296" s="1" t="s">
        <v>303</v>
      </c>
      <c r="U2296" s="1" t="s">
        <v>304</v>
      </c>
      <c r="V2296" s="1" t="s">
        <v>305</v>
      </c>
      <c r="W2296" s="1" t="s">
        <v>37</v>
      </c>
      <c r="X2296" s="1" t="s">
        <v>306</v>
      </c>
      <c r="Y2296" s="1" t="s">
        <v>307</v>
      </c>
      <c r="Z2296" s="1" t="str">
        <f>TRIM(_xlfn.CONCAT(sales_data_sample[[#This Row],[CONTACTFIRSTNAME]],", ",sales_data_sample[[#This Row],[CONTACTLASTNAME]]))</f>
        <v>Yoshi, Tannamuri</v>
      </c>
      <c r="AA2296" s="1" t="s">
        <v>40</v>
      </c>
    </row>
    <row r="2297" spans="1:27" x14ac:dyDescent="0.25">
      <c r="A2297">
        <v>10324</v>
      </c>
      <c r="B2297">
        <v>48</v>
      </c>
      <c r="C2297">
        <v>100</v>
      </c>
      <c r="D2297">
        <f>PRODUCT(sales_data_sample[[#This Row],[QUANTITYORDERED]],sales_data_sample[[#This Row],[PRICEEACH]])</f>
        <v>4800</v>
      </c>
      <c r="E2297" s="9">
        <f>IF(OR(sales_data_sample[[#This Row],[STATUS]]="Shipped",sales_data_sample[[#This Row],[STATUS]]="Resolved"),sales_data_sample[[#This Row],[SALES]],0)</f>
        <v>4800</v>
      </c>
      <c r="F2297">
        <v>4</v>
      </c>
      <c r="G2297" s="12" t="s">
        <v>532</v>
      </c>
      <c r="H2297" s="1" t="s">
        <v>26</v>
      </c>
      <c r="I2297">
        <v>4</v>
      </c>
      <c r="J2297">
        <v>11</v>
      </c>
      <c r="K2297">
        <v>2004</v>
      </c>
      <c r="L2297" s="1" t="s">
        <v>711</v>
      </c>
      <c r="M2297">
        <v>64</v>
      </c>
      <c r="N2297" s="1" t="s">
        <v>992</v>
      </c>
      <c r="O2297" s="1" t="s">
        <v>125</v>
      </c>
      <c r="P2297" s="1" t="s">
        <v>126</v>
      </c>
      <c r="Q2297" s="1" t="s">
        <v>127</v>
      </c>
      <c r="R2297" s="1" t="s">
        <v>128</v>
      </c>
      <c r="S2297" s="1" t="s">
        <v>33</v>
      </c>
      <c r="T2297" s="1" t="s">
        <v>34</v>
      </c>
      <c r="U2297" s="1" t="s">
        <v>35</v>
      </c>
      <c r="V2297" s="1" t="s">
        <v>36</v>
      </c>
      <c r="W2297" s="1" t="s">
        <v>37</v>
      </c>
      <c r="X2297" s="1" t="s">
        <v>129</v>
      </c>
      <c r="Y2297" s="1" t="s">
        <v>130</v>
      </c>
      <c r="Z2297" s="1" t="str">
        <f>TRIM(_xlfn.CONCAT(sales_data_sample[[#This Row],[CONTACTFIRSTNAME]],", ",sales_data_sample[[#This Row],[CONTACTLASTNAME]]))</f>
        <v>Michael, Frick</v>
      </c>
      <c r="AA2297" s="1" t="s">
        <v>199</v>
      </c>
    </row>
    <row r="2298" spans="1:27" x14ac:dyDescent="0.25">
      <c r="A2298" s="10">
        <v>10333</v>
      </c>
      <c r="B2298" s="9">
        <v>33</v>
      </c>
      <c r="C2298" s="9">
        <v>7369</v>
      </c>
      <c r="D2298" s="9">
        <f>PRODUCT(sales_data_sample[[#This Row],[QUANTITYORDERED]],sales_data_sample[[#This Row],[PRICEEACH]])</f>
        <v>243177</v>
      </c>
      <c r="E2298" s="9">
        <f>IF(OR(sales_data_sample[[#This Row],[STATUS]]="Shipped",sales_data_sample[[#This Row],[STATUS]]="Resolved"),sales_data_sample[[#This Row],[SALES]],0)</f>
        <v>243177</v>
      </c>
      <c r="F2298" s="10">
        <v>4</v>
      </c>
      <c r="G2298" s="12" t="s">
        <v>374</v>
      </c>
      <c r="H2298" s="1" t="s">
        <v>26</v>
      </c>
      <c r="I2298">
        <v>4</v>
      </c>
      <c r="J2298">
        <v>11</v>
      </c>
      <c r="K2298">
        <v>2004</v>
      </c>
      <c r="L2298" s="1" t="s">
        <v>711</v>
      </c>
      <c r="M2298">
        <v>64</v>
      </c>
      <c r="N2298" s="1" t="s">
        <v>992</v>
      </c>
      <c r="O2298" s="1" t="s">
        <v>101</v>
      </c>
      <c r="P2298" s="1" t="s">
        <v>102</v>
      </c>
      <c r="Q2298" s="1" t="s">
        <v>103</v>
      </c>
      <c r="R2298" s="1" t="s">
        <v>32</v>
      </c>
      <c r="S2298" s="1" t="s">
        <v>73</v>
      </c>
      <c r="T2298" s="1" t="s">
        <v>65</v>
      </c>
      <c r="U2298" s="1" t="s">
        <v>32</v>
      </c>
      <c r="V2298" s="1" t="s">
        <v>36</v>
      </c>
      <c r="W2298" s="1" t="s">
        <v>37</v>
      </c>
      <c r="X2298" s="1" t="s">
        <v>104</v>
      </c>
      <c r="Y2298" s="1" t="s">
        <v>68</v>
      </c>
      <c r="Z2298" s="1" t="str">
        <f>TRIM(_xlfn.CONCAT(sales_data_sample[[#This Row],[CONTACTFIRSTNAME]],", ",sales_data_sample[[#This Row],[CONTACTLASTNAME]]))</f>
        <v>Julie, Murphy</v>
      </c>
      <c r="AA2298" s="1" t="s">
        <v>40</v>
      </c>
    </row>
    <row r="2299" spans="1:27" x14ac:dyDescent="0.25">
      <c r="A2299" s="10">
        <v>10348</v>
      </c>
      <c r="B2299" s="9">
        <v>31</v>
      </c>
      <c r="C2299" s="9">
        <v>100</v>
      </c>
      <c r="D2299" s="9">
        <f>PRODUCT(sales_data_sample[[#This Row],[QUANTITYORDERED]],sales_data_sample[[#This Row],[PRICEEACH]])</f>
        <v>3100</v>
      </c>
      <c r="E2299" s="9">
        <f>IF(OR(sales_data_sample[[#This Row],[STATUS]]="Shipped",sales_data_sample[[#This Row],[STATUS]]="Resolved"),sales_data_sample[[#This Row],[SALES]],0)</f>
        <v>3100</v>
      </c>
      <c r="F2299" s="10">
        <v>5</v>
      </c>
      <c r="G2299" s="12" t="s">
        <v>523</v>
      </c>
      <c r="H2299" s="1" t="s">
        <v>26</v>
      </c>
      <c r="I2299">
        <v>4</v>
      </c>
      <c r="J2299">
        <v>11</v>
      </c>
      <c r="K2299">
        <v>2004</v>
      </c>
      <c r="L2299" s="1" t="s">
        <v>711</v>
      </c>
      <c r="M2299">
        <v>64</v>
      </c>
      <c r="N2299" s="1" t="s">
        <v>992</v>
      </c>
      <c r="O2299" s="1" t="s">
        <v>251</v>
      </c>
      <c r="P2299" s="1" t="s">
        <v>252</v>
      </c>
      <c r="Q2299" s="1" t="s">
        <v>253</v>
      </c>
      <c r="R2299" s="1" t="s">
        <v>32</v>
      </c>
      <c r="S2299" s="1" t="s">
        <v>233</v>
      </c>
      <c r="T2299" s="1" t="s">
        <v>32</v>
      </c>
      <c r="U2299" s="1" t="s">
        <v>254</v>
      </c>
      <c r="V2299" s="1" t="s">
        <v>235</v>
      </c>
      <c r="W2299" s="1" t="s">
        <v>48</v>
      </c>
      <c r="X2299" s="1" t="s">
        <v>255</v>
      </c>
      <c r="Y2299" s="1" t="s">
        <v>256</v>
      </c>
      <c r="Z2299" s="1" t="str">
        <f>TRIM(_xlfn.CONCAT(sales_data_sample[[#This Row],[CONTACTFIRSTNAME]],", ",sales_data_sample[[#This Row],[CONTACTLASTNAME]]))</f>
        <v>Mart¡n, Sommer</v>
      </c>
      <c r="AA2299" s="1" t="s">
        <v>59</v>
      </c>
    </row>
    <row r="2300" spans="1:27" x14ac:dyDescent="0.25">
      <c r="A2300" s="10">
        <v>10358</v>
      </c>
      <c r="B2300" s="9">
        <v>36</v>
      </c>
      <c r="C2300" s="9">
        <v>100</v>
      </c>
      <c r="D2300" s="9">
        <f>PRODUCT(sales_data_sample[[#This Row],[QUANTITYORDERED]],sales_data_sample[[#This Row],[PRICEEACH]])</f>
        <v>3600</v>
      </c>
      <c r="E2300" s="9">
        <f>IF(OR(sales_data_sample[[#This Row],[STATUS]]="Shipped",sales_data_sample[[#This Row],[STATUS]]="Resolved"),sales_data_sample[[#This Row],[SALES]],0)</f>
        <v>3600</v>
      </c>
      <c r="F2300" s="10">
        <v>2</v>
      </c>
      <c r="G2300" s="12" t="s">
        <v>376</v>
      </c>
      <c r="H2300" s="1" t="s">
        <v>26</v>
      </c>
      <c r="I2300">
        <v>4</v>
      </c>
      <c r="J2300">
        <v>12</v>
      </c>
      <c r="K2300">
        <v>2004</v>
      </c>
      <c r="L2300" s="1" t="s">
        <v>711</v>
      </c>
      <c r="M2300">
        <v>64</v>
      </c>
      <c r="N2300" s="1" t="s">
        <v>992</v>
      </c>
      <c r="O2300" s="1" t="s">
        <v>230</v>
      </c>
      <c r="P2300" s="1" t="s">
        <v>231</v>
      </c>
      <c r="Q2300" s="1" t="s">
        <v>232</v>
      </c>
      <c r="R2300" s="1" t="s">
        <v>32</v>
      </c>
      <c r="S2300" s="1" t="s">
        <v>233</v>
      </c>
      <c r="T2300" s="1" t="s">
        <v>32</v>
      </c>
      <c r="U2300" s="1" t="s">
        <v>234</v>
      </c>
      <c r="V2300" s="1" t="s">
        <v>235</v>
      </c>
      <c r="W2300" s="1" t="s">
        <v>48</v>
      </c>
      <c r="X2300" s="1" t="s">
        <v>236</v>
      </c>
      <c r="Y2300" s="1" t="s">
        <v>237</v>
      </c>
      <c r="Z2300" s="1" t="str">
        <f>TRIM(_xlfn.CONCAT(sales_data_sample[[#This Row],[CONTACTFIRSTNAME]],", ",sales_data_sample[[#This Row],[CONTACTLASTNAME]]))</f>
        <v>Diego, Freyre</v>
      </c>
      <c r="AA2300" s="1" t="s">
        <v>59</v>
      </c>
    </row>
    <row r="2301" spans="1:27" x14ac:dyDescent="0.25">
      <c r="A2301">
        <v>10370</v>
      </c>
      <c r="B2301">
        <v>25</v>
      </c>
      <c r="C2301">
        <v>100</v>
      </c>
      <c r="D2301">
        <f>PRODUCT(sales_data_sample[[#This Row],[QUANTITYORDERED]],sales_data_sample[[#This Row],[PRICEEACH]])</f>
        <v>2500</v>
      </c>
      <c r="E2301" s="9">
        <f>IF(OR(sales_data_sample[[#This Row],[STATUS]]="Shipped",sales_data_sample[[#This Row],[STATUS]]="Resolved"),sales_data_sample[[#This Row],[SALES]],0)</f>
        <v>2500</v>
      </c>
      <c r="F2301">
        <v>3</v>
      </c>
      <c r="G2301" s="12" t="s">
        <v>377</v>
      </c>
      <c r="H2301" s="1" t="s">
        <v>26</v>
      </c>
      <c r="I2301">
        <v>1</v>
      </c>
      <c r="J2301">
        <v>1</v>
      </c>
      <c r="K2301">
        <v>2005</v>
      </c>
      <c r="L2301" s="1" t="s">
        <v>711</v>
      </c>
      <c r="M2301">
        <v>64</v>
      </c>
      <c r="N2301" s="1" t="s">
        <v>992</v>
      </c>
      <c r="O2301" s="1" t="s">
        <v>385</v>
      </c>
      <c r="P2301" s="1" t="s">
        <v>386</v>
      </c>
      <c r="Q2301" s="1" t="s">
        <v>387</v>
      </c>
      <c r="R2301" s="1" t="s">
        <v>388</v>
      </c>
      <c r="S2301" s="1" t="s">
        <v>389</v>
      </c>
      <c r="T2301" s="1" t="s">
        <v>206</v>
      </c>
      <c r="U2301" s="1" t="s">
        <v>390</v>
      </c>
      <c r="V2301" s="1" t="s">
        <v>120</v>
      </c>
      <c r="W2301" s="1" t="s">
        <v>121</v>
      </c>
      <c r="X2301" s="1" t="s">
        <v>391</v>
      </c>
      <c r="Y2301" s="1" t="s">
        <v>392</v>
      </c>
      <c r="Z2301" s="1" t="str">
        <f>TRIM(_xlfn.CONCAT(sales_data_sample[[#This Row],[CONTACTFIRSTNAME]],", ",sales_data_sample[[#This Row],[CONTACTLASTNAME]]))</f>
        <v>Anna, O'Hara</v>
      </c>
      <c r="AA2301" s="1" t="s">
        <v>59</v>
      </c>
    </row>
    <row r="2302" spans="1:27" x14ac:dyDescent="0.25">
      <c r="A2302" s="10">
        <v>10382</v>
      </c>
      <c r="B2302" s="9">
        <v>48</v>
      </c>
      <c r="C2302" s="9">
        <v>100</v>
      </c>
      <c r="D2302" s="9">
        <f>PRODUCT(sales_data_sample[[#This Row],[QUANTITYORDERED]],sales_data_sample[[#This Row],[PRICEEACH]])</f>
        <v>4800</v>
      </c>
      <c r="E2302" s="9">
        <f>IF(OR(sales_data_sample[[#This Row],[STATUS]]="Shipped",sales_data_sample[[#This Row],[STATUS]]="Resolved"),sales_data_sample[[#This Row],[SALES]],0)</f>
        <v>4800</v>
      </c>
      <c r="F2302" s="10">
        <v>8</v>
      </c>
      <c r="G2302" s="12" t="s">
        <v>383</v>
      </c>
      <c r="H2302" s="1" t="s">
        <v>26</v>
      </c>
      <c r="I2302">
        <v>1</v>
      </c>
      <c r="J2302">
        <v>2</v>
      </c>
      <c r="K2302">
        <v>2005</v>
      </c>
      <c r="L2302" s="1" t="s">
        <v>711</v>
      </c>
      <c r="M2302">
        <v>64</v>
      </c>
      <c r="N2302" s="1" t="s">
        <v>992</v>
      </c>
      <c r="O2302" s="1" t="s">
        <v>361</v>
      </c>
      <c r="P2302" s="1" t="s">
        <v>362</v>
      </c>
      <c r="Q2302" s="1" t="s">
        <v>363</v>
      </c>
      <c r="R2302" s="1" t="s">
        <v>32</v>
      </c>
      <c r="S2302" s="1" t="s">
        <v>364</v>
      </c>
      <c r="T2302" s="1" t="s">
        <v>65</v>
      </c>
      <c r="U2302" s="1" t="s">
        <v>145</v>
      </c>
      <c r="V2302" s="1" t="s">
        <v>36</v>
      </c>
      <c r="W2302" s="1" t="s">
        <v>37</v>
      </c>
      <c r="X2302" s="1" t="s">
        <v>365</v>
      </c>
      <c r="Y2302" s="1" t="s">
        <v>366</v>
      </c>
      <c r="Z2302" s="1" t="str">
        <f>TRIM(_xlfn.CONCAT(sales_data_sample[[#This Row],[CONTACTFIRSTNAME]],", ",sales_data_sample[[#This Row],[CONTACTLASTNAME]]))</f>
        <v>Valarie, Nelson</v>
      </c>
      <c r="AA2302" s="1" t="s">
        <v>59</v>
      </c>
    </row>
    <row r="2303" spans="1:27" x14ac:dyDescent="0.25">
      <c r="A2303" s="10">
        <v>10411</v>
      </c>
      <c r="B2303" s="9">
        <v>27</v>
      </c>
      <c r="C2303" s="9">
        <v>6916</v>
      </c>
      <c r="D2303" s="9">
        <f>PRODUCT(sales_data_sample[[#This Row],[QUANTITYORDERED]],sales_data_sample[[#This Row],[PRICEEACH]])</f>
        <v>186732</v>
      </c>
      <c r="E2303" s="9">
        <f>IF(OR(sales_data_sample[[#This Row],[STATUS]]="Shipped",sales_data_sample[[#This Row],[STATUS]]="Resolved"),sales_data_sample[[#This Row],[SALES]],0)</f>
        <v>186732</v>
      </c>
      <c r="F2303" s="10">
        <v>5</v>
      </c>
      <c r="G2303" s="12" t="s">
        <v>393</v>
      </c>
      <c r="H2303" s="1" t="s">
        <v>26</v>
      </c>
      <c r="I2303">
        <v>2</v>
      </c>
      <c r="J2303">
        <v>5</v>
      </c>
      <c r="K2303">
        <v>2005</v>
      </c>
      <c r="L2303" s="1" t="s">
        <v>711</v>
      </c>
      <c r="M2303">
        <v>64</v>
      </c>
      <c r="N2303" s="1" t="s">
        <v>992</v>
      </c>
      <c r="O2303" s="1" t="s">
        <v>394</v>
      </c>
      <c r="P2303" s="1" t="s">
        <v>395</v>
      </c>
      <c r="Q2303" s="1" t="s">
        <v>396</v>
      </c>
      <c r="R2303" s="1" t="s">
        <v>32</v>
      </c>
      <c r="S2303" s="1" t="s">
        <v>397</v>
      </c>
      <c r="T2303" s="1" t="s">
        <v>398</v>
      </c>
      <c r="U2303" s="1" t="s">
        <v>399</v>
      </c>
      <c r="V2303" s="1" t="s">
        <v>305</v>
      </c>
      <c r="W2303" s="1" t="s">
        <v>37</v>
      </c>
      <c r="X2303" s="1" t="s">
        <v>400</v>
      </c>
      <c r="Y2303" s="1" t="s">
        <v>401</v>
      </c>
      <c r="Z2303" s="1" t="str">
        <f>TRIM(_xlfn.CONCAT(sales_data_sample[[#This Row],[CONTACTFIRSTNAME]],", ",sales_data_sample[[#This Row],[CONTACTLASTNAME]]))</f>
        <v>Jean, Fresnisre</v>
      </c>
      <c r="AA2303" s="1" t="s">
        <v>40</v>
      </c>
    </row>
    <row r="2304" spans="1:27" x14ac:dyDescent="0.25">
      <c r="A2304" s="10">
        <v>10424</v>
      </c>
      <c r="B2304" s="9">
        <v>44</v>
      </c>
      <c r="C2304" s="9">
        <v>6141</v>
      </c>
      <c r="D2304" s="9">
        <f>PRODUCT(sales_data_sample[[#This Row],[QUANTITYORDERED]],sales_data_sample[[#This Row],[PRICEEACH]])</f>
        <v>270204</v>
      </c>
      <c r="E2304" s="9">
        <f>IF(OR(sales_data_sample[[#This Row],[STATUS]]="Shipped",sales_data_sample[[#This Row],[STATUS]]="Resolved"),sales_data_sample[[#This Row],[SALES]],0)</f>
        <v>0</v>
      </c>
      <c r="F2304" s="10">
        <v>2</v>
      </c>
      <c r="G2304" s="12" t="s">
        <v>402</v>
      </c>
      <c r="H2304" s="1" t="s">
        <v>403</v>
      </c>
      <c r="I2304">
        <v>2</v>
      </c>
      <c r="J2304">
        <v>5</v>
      </c>
      <c r="K2304">
        <v>2005</v>
      </c>
      <c r="L2304" s="1" t="s">
        <v>711</v>
      </c>
      <c r="M2304">
        <v>64</v>
      </c>
      <c r="N2304" s="1" t="s">
        <v>992</v>
      </c>
      <c r="O2304" s="1" t="s">
        <v>230</v>
      </c>
      <c r="P2304" s="1" t="s">
        <v>231</v>
      </c>
      <c r="Q2304" s="1" t="s">
        <v>232</v>
      </c>
      <c r="R2304" s="1" t="s">
        <v>32</v>
      </c>
      <c r="S2304" s="1" t="s">
        <v>233</v>
      </c>
      <c r="T2304" s="1" t="s">
        <v>32</v>
      </c>
      <c r="U2304" s="1" t="s">
        <v>234</v>
      </c>
      <c r="V2304" s="1" t="s">
        <v>235</v>
      </c>
      <c r="W2304" s="1" t="s">
        <v>48</v>
      </c>
      <c r="X2304" s="1" t="s">
        <v>236</v>
      </c>
      <c r="Y2304" s="1" t="s">
        <v>237</v>
      </c>
      <c r="Z2304" s="1" t="str">
        <f>TRIM(_xlfn.CONCAT(sales_data_sample[[#This Row],[CONTACTFIRSTNAME]],", ",sales_data_sample[[#This Row],[CONTACTLASTNAME]]))</f>
        <v>Diego, Freyre</v>
      </c>
      <c r="AA2304" s="1" t="s">
        <v>40</v>
      </c>
    </row>
    <row r="2305" spans="1:27" x14ac:dyDescent="0.25">
      <c r="A2305" s="10">
        <v>10106</v>
      </c>
      <c r="B2305" s="9">
        <v>33</v>
      </c>
      <c r="C2305" s="9">
        <v>7292</v>
      </c>
      <c r="D2305" s="9">
        <f>PRODUCT(sales_data_sample[[#This Row],[QUANTITYORDERED]],sales_data_sample[[#This Row],[PRICEEACH]])</f>
        <v>240636</v>
      </c>
      <c r="E2305" s="9">
        <f>IF(OR(sales_data_sample[[#This Row],[STATUS]]="Shipped",sales_data_sample[[#This Row],[STATUS]]="Resolved"),sales_data_sample[[#This Row],[SALES]],0)</f>
        <v>240636</v>
      </c>
      <c r="F2305" s="10">
        <v>5</v>
      </c>
      <c r="G2305" s="12" t="s">
        <v>838</v>
      </c>
      <c r="H2305" s="1" t="s">
        <v>26</v>
      </c>
      <c r="I2305">
        <v>1</v>
      </c>
      <c r="J2305">
        <v>2</v>
      </c>
      <c r="K2305">
        <v>2003</v>
      </c>
      <c r="L2305" s="1" t="s">
        <v>799</v>
      </c>
      <c r="M2305">
        <v>68</v>
      </c>
      <c r="N2305" s="1" t="s">
        <v>993</v>
      </c>
      <c r="O2305" s="1" t="s">
        <v>806</v>
      </c>
      <c r="P2305" s="1" t="s">
        <v>807</v>
      </c>
      <c r="Q2305" s="1" t="s">
        <v>808</v>
      </c>
      <c r="R2305" s="1" t="s">
        <v>32</v>
      </c>
      <c r="S2305" s="1" t="s">
        <v>809</v>
      </c>
      <c r="T2305" s="1" t="s">
        <v>32</v>
      </c>
      <c r="U2305" s="1" t="s">
        <v>810</v>
      </c>
      <c r="V2305" s="1" t="s">
        <v>343</v>
      </c>
      <c r="W2305" s="1" t="s">
        <v>48</v>
      </c>
      <c r="X2305" s="1" t="s">
        <v>811</v>
      </c>
      <c r="Y2305" s="1" t="s">
        <v>812</v>
      </c>
      <c r="Z2305" s="1" t="str">
        <f>TRIM(_xlfn.CONCAT(sales_data_sample[[#This Row],[CONTACTFIRSTNAME]],", ",sales_data_sample[[#This Row],[CONTACTLASTNAME]]))</f>
        <v>Giovanni, Rovelli</v>
      </c>
      <c r="AA2305" s="1" t="s">
        <v>40</v>
      </c>
    </row>
    <row r="2306" spans="1:27" x14ac:dyDescent="0.25">
      <c r="A2306">
        <v>10120</v>
      </c>
      <c r="B2306">
        <v>29</v>
      </c>
      <c r="C2306">
        <v>7223</v>
      </c>
      <c r="D2306">
        <f>PRODUCT(sales_data_sample[[#This Row],[QUANTITYORDERED]],sales_data_sample[[#This Row],[PRICEEACH]])</f>
        <v>209467</v>
      </c>
      <c r="E2306" s="9">
        <f>IF(OR(sales_data_sample[[#This Row],[STATUS]]="Shipped",sales_data_sample[[#This Row],[STATUS]]="Resolved"),sales_data_sample[[#This Row],[SALES]],0)</f>
        <v>209467</v>
      </c>
      <c r="F2306">
        <v>11</v>
      </c>
      <c r="G2306" s="12" t="s">
        <v>405</v>
      </c>
      <c r="H2306" s="1" t="s">
        <v>26</v>
      </c>
      <c r="I2306">
        <v>2</v>
      </c>
      <c r="J2306">
        <v>4</v>
      </c>
      <c r="K2306">
        <v>2003</v>
      </c>
      <c r="L2306" s="1" t="s">
        <v>799</v>
      </c>
      <c r="M2306">
        <v>68</v>
      </c>
      <c r="N2306" s="1" t="s">
        <v>993</v>
      </c>
      <c r="O2306" s="1" t="s">
        <v>113</v>
      </c>
      <c r="P2306" s="1" t="s">
        <v>114</v>
      </c>
      <c r="Q2306" s="1" t="s">
        <v>115</v>
      </c>
      <c r="R2306" s="1" t="s">
        <v>116</v>
      </c>
      <c r="S2306" s="1" t="s">
        <v>117</v>
      </c>
      <c r="T2306" s="1" t="s">
        <v>118</v>
      </c>
      <c r="U2306" s="1" t="s">
        <v>119</v>
      </c>
      <c r="V2306" s="1" t="s">
        <v>120</v>
      </c>
      <c r="W2306" s="1" t="s">
        <v>121</v>
      </c>
      <c r="X2306" s="1" t="s">
        <v>122</v>
      </c>
      <c r="Y2306" s="1" t="s">
        <v>123</v>
      </c>
      <c r="Z2306" s="1" t="str">
        <f>TRIM(_xlfn.CONCAT(sales_data_sample[[#This Row],[CONTACTFIRSTNAME]],", ",sales_data_sample[[#This Row],[CONTACTLASTNAME]]))</f>
        <v>Peter, Ferguson</v>
      </c>
      <c r="AA2306" s="1" t="s">
        <v>40</v>
      </c>
    </row>
    <row r="2307" spans="1:27" x14ac:dyDescent="0.25">
      <c r="A2307" s="10">
        <v>10133</v>
      </c>
      <c r="B2307" s="9">
        <v>49</v>
      </c>
      <c r="C2307" s="9">
        <v>571</v>
      </c>
      <c r="D2307" s="9">
        <f>PRODUCT(sales_data_sample[[#This Row],[QUANTITYORDERED]],sales_data_sample[[#This Row],[PRICEEACH]])</f>
        <v>27979</v>
      </c>
      <c r="E2307" s="9">
        <f>IF(OR(sales_data_sample[[#This Row],[STATUS]]="Shipped",sales_data_sample[[#This Row],[STATUS]]="Resolved"),sales_data_sample[[#This Row],[SALES]],0)</f>
        <v>27979</v>
      </c>
      <c r="F2307" s="10">
        <v>6</v>
      </c>
      <c r="G2307" s="12" t="s">
        <v>891</v>
      </c>
      <c r="H2307" s="1" t="s">
        <v>26</v>
      </c>
      <c r="I2307">
        <v>2</v>
      </c>
      <c r="J2307">
        <v>6</v>
      </c>
      <c r="K2307">
        <v>2003</v>
      </c>
      <c r="L2307" s="1" t="s">
        <v>799</v>
      </c>
      <c r="M2307">
        <v>68</v>
      </c>
      <c r="N2307" s="1" t="s">
        <v>993</v>
      </c>
      <c r="O2307" s="1" t="s">
        <v>230</v>
      </c>
      <c r="P2307" s="1" t="s">
        <v>231</v>
      </c>
      <c r="Q2307" s="1" t="s">
        <v>232</v>
      </c>
      <c r="R2307" s="1" t="s">
        <v>32</v>
      </c>
      <c r="S2307" s="1" t="s">
        <v>233</v>
      </c>
      <c r="T2307" s="1" t="s">
        <v>32</v>
      </c>
      <c r="U2307" s="1" t="s">
        <v>234</v>
      </c>
      <c r="V2307" s="1" t="s">
        <v>235</v>
      </c>
      <c r="W2307" s="1" t="s">
        <v>48</v>
      </c>
      <c r="X2307" s="1" t="s">
        <v>236</v>
      </c>
      <c r="Y2307" s="1" t="s">
        <v>237</v>
      </c>
      <c r="Z2307" s="1" t="str">
        <f>TRIM(_xlfn.CONCAT(sales_data_sample[[#This Row],[CONTACTFIRSTNAME]],", ",sales_data_sample[[#This Row],[CONTACTLASTNAME]]))</f>
        <v>Diego, Freyre</v>
      </c>
      <c r="AA2307" s="1" t="s">
        <v>40</v>
      </c>
    </row>
    <row r="2308" spans="1:27" x14ac:dyDescent="0.25">
      <c r="A2308" s="10">
        <v>10144</v>
      </c>
      <c r="B2308" s="9">
        <v>20</v>
      </c>
      <c r="C2308" s="9">
        <v>8186</v>
      </c>
      <c r="D2308" s="9">
        <f>PRODUCT(sales_data_sample[[#This Row],[QUANTITYORDERED]],sales_data_sample[[#This Row],[PRICEEACH]])</f>
        <v>163720</v>
      </c>
      <c r="E2308" s="9">
        <f>IF(OR(sales_data_sample[[#This Row],[STATUS]]="Shipped",sales_data_sample[[#This Row],[STATUS]]="Resolved"),sales_data_sample[[#This Row],[SALES]],0)</f>
        <v>163720</v>
      </c>
      <c r="F2308" s="10">
        <v>1</v>
      </c>
      <c r="G2308" s="12" t="s">
        <v>994</v>
      </c>
      <c r="H2308" s="1" t="s">
        <v>26</v>
      </c>
      <c r="I2308">
        <v>3</v>
      </c>
      <c r="J2308">
        <v>8</v>
      </c>
      <c r="K2308">
        <v>2003</v>
      </c>
      <c r="L2308" s="1" t="s">
        <v>799</v>
      </c>
      <c r="M2308">
        <v>68</v>
      </c>
      <c r="N2308" s="1" t="s">
        <v>993</v>
      </c>
      <c r="O2308" s="1" t="s">
        <v>861</v>
      </c>
      <c r="P2308" s="1" t="s">
        <v>862</v>
      </c>
      <c r="Q2308" s="1" t="s">
        <v>863</v>
      </c>
      <c r="R2308" s="1" t="s">
        <v>32</v>
      </c>
      <c r="S2308" s="1" t="s">
        <v>864</v>
      </c>
      <c r="T2308" s="1" t="s">
        <v>32</v>
      </c>
      <c r="U2308" s="1" t="s">
        <v>865</v>
      </c>
      <c r="V2308" s="1" t="s">
        <v>505</v>
      </c>
      <c r="W2308" s="1" t="s">
        <v>48</v>
      </c>
      <c r="X2308" s="1" t="s">
        <v>866</v>
      </c>
      <c r="Y2308" s="1" t="s">
        <v>867</v>
      </c>
      <c r="Z2308" s="1" t="str">
        <f>TRIM(_xlfn.CONCAT(sales_data_sample[[#This Row],[CONTACTFIRSTNAME]],", ",sales_data_sample[[#This Row],[CONTACTLASTNAME]]))</f>
        <v>Pascale, Cartrain</v>
      </c>
      <c r="AA2308" s="1" t="s">
        <v>40</v>
      </c>
    </row>
    <row r="2309" spans="1:27" x14ac:dyDescent="0.25">
      <c r="A2309" s="10">
        <v>10168</v>
      </c>
      <c r="B2309" s="9">
        <v>31</v>
      </c>
      <c r="C2309" s="9">
        <v>7361</v>
      </c>
      <c r="D2309" s="9">
        <f>PRODUCT(sales_data_sample[[#This Row],[QUANTITYORDERED]],sales_data_sample[[#This Row],[PRICEEACH]])</f>
        <v>228191</v>
      </c>
      <c r="E2309" s="9">
        <f>IF(OR(sales_data_sample[[#This Row],[STATUS]]="Shipped",sales_data_sample[[#This Row],[STATUS]]="Resolved"),sales_data_sample[[#This Row],[SALES]],0)</f>
        <v>228191</v>
      </c>
      <c r="F2309" s="10">
        <v>12</v>
      </c>
      <c r="G2309" s="12" t="s">
        <v>75</v>
      </c>
      <c r="H2309" s="1" t="s">
        <v>26</v>
      </c>
      <c r="I2309">
        <v>4</v>
      </c>
      <c r="J2309">
        <v>10</v>
      </c>
      <c r="K2309">
        <v>2003</v>
      </c>
      <c r="L2309" s="1" t="s">
        <v>799</v>
      </c>
      <c r="M2309">
        <v>68</v>
      </c>
      <c r="N2309" s="1" t="s">
        <v>993</v>
      </c>
      <c r="O2309" s="1" t="s">
        <v>76</v>
      </c>
      <c r="P2309" s="1" t="s">
        <v>77</v>
      </c>
      <c r="Q2309" s="1" t="s">
        <v>78</v>
      </c>
      <c r="R2309" s="1" t="s">
        <v>32</v>
      </c>
      <c r="S2309" s="1" t="s">
        <v>79</v>
      </c>
      <c r="T2309" s="1" t="s">
        <v>65</v>
      </c>
      <c r="U2309" s="1" t="s">
        <v>80</v>
      </c>
      <c r="V2309" s="1" t="s">
        <v>36</v>
      </c>
      <c r="W2309" s="1" t="s">
        <v>37</v>
      </c>
      <c r="X2309" s="1" t="s">
        <v>81</v>
      </c>
      <c r="Y2309" s="1" t="s">
        <v>82</v>
      </c>
      <c r="Z2309" s="1" t="str">
        <f>TRIM(_xlfn.CONCAT(sales_data_sample[[#This Row],[CONTACTFIRSTNAME]],", ",sales_data_sample[[#This Row],[CONTACTLASTNAME]]))</f>
        <v>Juri, Hirano</v>
      </c>
      <c r="AA2309" s="1" t="s">
        <v>40</v>
      </c>
    </row>
    <row r="2310" spans="1:27" x14ac:dyDescent="0.25">
      <c r="A2310" s="10">
        <v>10210</v>
      </c>
      <c r="B2310" s="9">
        <v>39</v>
      </c>
      <c r="C2310" s="9">
        <v>5916</v>
      </c>
      <c r="D2310" s="9">
        <f>PRODUCT(sales_data_sample[[#This Row],[QUANTITYORDERED]],sales_data_sample[[#This Row],[PRICEEACH]])</f>
        <v>230724</v>
      </c>
      <c r="E2310" s="9">
        <f>IF(OR(sales_data_sample[[#This Row],[STATUS]]="Shipped",sales_data_sample[[#This Row],[STATUS]]="Resolved"),sales_data_sample[[#This Row],[SALES]],0)</f>
        <v>230724</v>
      </c>
      <c r="F2310" s="10">
        <v>10</v>
      </c>
      <c r="G2310" s="12" t="s">
        <v>406</v>
      </c>
      <c r="H2310" s="1" t="s">
        <v>26</v>
      </c>
      <c r="I2310">
        <v>1</v>
      </c>
      <c r="J2310">
        <v>1</v>
      </c>
      <c r="K2310">
        <v>2004</v>
      </c>
      <c r="L2310" s="1" t="s">
        <v>799</v>
      </c>
      <c r="M2310">
        <v>68</v>
      </c>
      <c r="N2310" s="1" t="s">
        <v>993</v>
      </c>
      <c r="O2310" s="1" t="s">
        <v>407</v>
      </c>
      <c r="P2310" s="1" t="s">
        <v>408</v>
      </c>
      <c r="Q2310" s="1" t="s">
        <v>409</v>
      </c>
      <c r="R2310" s="1" t="s">
        <v>32</v>
      </c>
      <c r="S2310" s="1" t="s">
        <v>410</v>
      </c>
      <c r="T2310" s="1" t="s">
        <v>410</v>
      </c>
      <c r="U2310" s="1" t="s">
        <v>411</v>
      </c>
      <c r="V2310" s="1" t="s">
        <v>264</v>
      </c>
      <c r="W2310" s="1" t="s">
        <v>264</v>
      </c>
      <c r="X2310" s="1" t="s">
        <v>412</v>
      </c>
      <c r="Y2310" s="1" t="s">
        <v>413</v>
      </c>
      <c r="Z2310" s="1" t="str">
        <f>TRIM(_xlfn.CONCAT(sales_data_sample[[#This Row],[CONTACTFIRSTNAME]],", ",sales_data_sample[[#This Row],[CONTACTLASTNAME]]))</f>
        <v>Mory, Kentary</v>
      </c>
      <c r="AA2310" s="1" t="s">
        <v>40</v>
      </c>
    </row>
    <row r="2311" spans="1:27" x14ac:dyDescent="0.25">
      <c r="A2311">
        <v>10223</v>
      </c>
      <c r="B2311">
        <v>20</v>
      </c>
      <c r="C2311">
        <v>6604</v>
      </c>
      <c r="D2311">
        <f>PRODUCT(sales_data_sample[[#This Row],[QUANTITYORDERED]],sales_data_sample[[#This Row],[PRICEEACH]])</f>
        <v>132080</v>
      </c>
      <c r="E2311" s="9">
        <f>IF(OR(sales_data_sample[[#This Row],[STATUS]]="Shipped",sales_data_sample[[#This Row],[STATUS]]="Resolved"),sales_data_sample[[#This Row],[SALES]],0)</f>
        <v>132080</v>
      </c>
      <c r="F2311">
        <v>12</v>
      </c>
      <c r="G2311" s="12" t="s">
        <v>112</v>
      </c>
      <c r="H2311" s="1" t="s">
        <v>26</v>
      </c>
      <c r="I2311">
        <v>1</v>
      </c>
      <c r="J2311">
        <v>2</v>
      </c>
      <c r="K2311">
        <v>2004</v>
      </c>
      <c r="L2311" s="1" t="s">
        <v>799</v>
      </c>
      <c r="M2311">
        <v>68</v>
      </c>
      <c r="N2311" s="1" t="s">
        <v>993</v>
      </c>
      <c r="O2311" s="1" t="s">
        <v>113</v>
      </c>
      <c r="P2311" s="1" t="s">
        <v>114</v>
      </c>
      <c r="Q2311" s="1" t="s">
        <v>115</v>
      </c>
      <c r="R2311" s="1" t="s">
        <v>116</v>
      </c>
      <c r="S2311" s="1" t="s">
        <v>117</v>
      </c>
      <c r="T2311" s="1" t="s">
        <v>118</v>
      </c>
      <c r="U2311" s="1" t="s">
        <v>119</v>
      </c>
      <c r="V2311" s="1" t="s">
        <v>120</v>
      </c>
      <c r="W2311" s="1" t="s">
        <v>121</v>
      </c>
      <c r="X2311" s="1" t="s">
        <v>122</v>
      </c>
      <c r="Y2311" s="1" t="s">
        <v>123</v>
      </c>
      <c r="Z2311" s="1" t="str">
        <f>TRIM(_xlfn.CONCAT(sales_data_sample[[#This Row],[CONTACTFIRSTNAME]],", ",sales_data_sample[[#This Row],[CONTACTLASTNAME]]))</f>
        <v>Peter, Ferguson</v>
      </c>
      <c r="AA2311" s="1" t="s">
        <v>40</v>
      </c>
    </row>
    <row r="2312" spans="1:27" x14ac:dyDescent="0.25">
      <c r="A2312" s="10">
        <v>10235</v>
      </c>
      <c r="B2312" s="9">
        <v>34</v>
      </c>
      <c r="C2312" s="9">
        <v>7773</v>
      </c>
      <c r="D2312" s="9">
        <f>PRODUCT(sales_data_sample[[#This Row],[QUANTITYORDERED]],sales_data_sample[[#This Row],[PRICEEACH]])</f>
        <v>264282</v>
      </c>
      <c r="E2312" s="9">
        <f>IF(OR(sales_data_sample[[#This Row],[STATUS]]="Shipped",sales_data_sample[[#This Row],[STATUS]]="Resolved"),sales_data_sample[[#This Row],[SALES]],0)</f>
        <v>264282</v>
      </c>
      <c r="F2312" s="10">
        <v>6</v>
      </c>
      <c r="G2312" s="12" t="s">
        <v>892</v>
      </c>
      <c r="H2312" s="1" t="s">
        <v>26</v>
      </c>
      <c r="I2312">
        <v>2</v>
      </c>
      <c r="J2312">
        <v>4</v>
      </c>
      <c r="K2312">
        <v>2004</v>
      </c>
      <c r="L2312" s="1" t="s">
        <v>799</v>
      </c>
      <c r="M2312">
        <v>68</v>
      </c>
      <c r="N2312" s="1" t="s">
        <v>993</v>
      </c>
      <c r="O2312" s="1" t="s">
        <v>509</v>
      </c>
      <c r="P2312" s="1" t="s">
        <v>510</v>
      </c>
      <c r="Q2312" s="1" t="s">
        <v>511</v>
      </c>
      <c r="R2312" s="1" t="s">
        <v>32</v>
      </c>
      <c r="S2312" s="1" t="s">
        <v>512</v>
      </c>
      <c r="T2312" s="1" t="s">
        <v>303</v>
      </c>
      <c r="U2312" s="1" t="s">
        <v>513</v>
      </c>
      <c r="V2312" s="1" t="s">
        <v>305</v>
      </c>
      <c r="W2312" s="1" t="s">
        <v>37</v>
      </c>
      <c r="X2312" s="1" t="s">
        <v>514</v>
      </c>
      <c r="Y2312" s="1" t="s">
        <v>227</v>
      </c>
      <c r="Z2312" s="1" t="str">
        <f>TRIM(_xlfn.CONCAT(sales_data_sample[[#This Row],[CONTACTFIRSTNAME]],", ",sales_data_sample[[#This Row],[CONTACTLASTNAME]]))</f>
        <v>Elizabeth, Lincoln</v>
      </c>
      <c r="AA2312" s="1" t="s">
        <v>40</v>
      </c>
    </row>
    <row r="2313" spans="1:27" x14ac:dyDescent="0.25">
      <c r="A2313" s="10">
        <v>10250</v>
      </c>
      <c r="B2313" s="9">
        <v>50</v>
      </c>
      <c r="C2313" s="9">
        <v>6122</v>
      </c>
      <c r="D2313" s="9">
        <f>PRODUCT(sales_data_sample[[#This Row],[QUANTITYORDERED]],sales_data_sample[[#This Row],[PRICEEACH]])</f>
        <v>306100</v>
      </c>
      <c r="E2313" s="9">
        <f>IF(OR(sales_data_sample[[#This Row],[STATUS]]="Shipped",sales_data_sample[[#This Row],[STATUS]]="Resolved"),sales_data_sample[[#This Row],[SALES]],0)</f>
        <v>306100</v>
      </c>
      <c r="F2313" s="10">
        <v>7</v>
      </c>
      <c r="G2313" s="12" t="s">
        <v>849</v>
      </c>
      <c r="H2313" s="1" t="s">
        <v>26</v>
      </c>
      <c r="I2313">
        <v>2</v>
      </c>
      <c r="J2313">
        <v>5</v>
      </c>
      <c r="K2313">
        <v>2004</v>
      </c>
      <c r="L2313" s="1" t="s">
        <v>799</v>
      </c>
      <c r="M2313">
        <v>68</v>
      </c>
      <c r="N2313" s="1" t="s">
        <v>993</v>
      </c>
      <c r="O2313" s="1" t="s">
        <v>547</v>
      </c>
      <c r="P2313" s="1" t="s">
        <v>548</v>
      </c>
      <c r="Q2313" s="1" t="s">
        <v>549</v>
      </c>
      <c r="R2313" s="1" t="s">
        <v>32</v>
      </c>
      <c r="S2313" s="1" t="s">
        <v>550</v>
      </c>
      <c r="T2313" s="1" t="s">
        <v>65</v>
      </c>
      <c r="U2313" s="1" t="s">
        <v>80</v>
      </c>
      <c r="V2313" s="1" t="s">
        <v>36</v>
      </c>
      <c r="W2313" s="1" t="s">
        <v>37</v>
      </c>
      <c r="X2313" s="1" t="s">
        <v>129</v>
      </c>
      <c r="Y2313" s="1" t="s">
        <v>551</v>
      </c>
      <c r="Z2313" s="1" t="str">
        <f>TRIM(_xlfn.CONCAT(sales_data_sample[[#This Row],[CONTACTFIRSTNAME]],", ",sales_data_sample[[#This Row],[CONTACTLASTNAME]]))</f>
        <v>Sue, Frick</v>
      </c>
      <c r="AA2313" s="1" t="s">
        <v>59</v>
      </c>
    </row>
    <row r="2314" spans="1:27" x14ac:dyDescent="0.25">
      <c r="A2314" s="10">
        <v>10262</v>
      </c>
      <c r="B2314" s="9">
        <v>40</v>
      </c>
      <c r="C2314" s="9">
        <v>7911</v>
      </c>
      <c r="D2314" s="9">
        <f>PRODUCT(sales_data_sample[[#This Row],[QUANTITYORDERED]],sales_data_sample[[#This Row],[PRICEEACH]])</f>
        <v>316440</v>
      </c>
      <c r="E2314" s="9">
        <f>IF(OR(sales_data_sample[[#This Row],[STATUS]]="Shipped",sales_data_sample[[#This Row],[STATUS]]="Resolved"),sales_data_sample[[#This Row],[SALES]],0)</f>
        <v>0</v>
      </c>
      <c r="F2314" s="10">
        <v>2</v>
      </c>
      <c r="G2314" s="12" t="s">
        <v>850</v>
      </c>
      <c r="H2314" s="1" t="s">
        <v>461</v>
      </c>
      <c r="I2314">
        <v>2</v>
      </c>
      <c r="J2314">
        <v>6</v>
      </c>
      <c r="K2314">
        <v>2004</v>
      </c>
      <c r="L2314" s="1" t="s">
        <v>799</v>
      </c>
      <c r="M2314">
        <v>68</v>
      </c>
      <c r="N2314" s="1" t="s">
        <v>993</v>
      </c>
      <c r="O2314" s="1" t="s">
        <v>230</v>
      </c>
      <c r="P2314" s="1" t="s">
        <v>231</v>
      </c>
      <c r="Q2314" s="1" t="s">
        <v>232</v>
      </c>
      <c r="R2314" s="1" t="s">
        <v>32</v>
      </c>
      <c r="S2314" s="1" t="s">
        <v>233</v>
      </c>
      <c r="T2314" s="1" t="s">
        <v>32</v>
      </c>
      <c r="U2314" s="1" t="s">
        <v>234</v>
      </c>
      <c r="V2314" s="1" t="s">
        <v>235</v>
      </c>
      <c r="W2314" s="1" t="s">
        <v>48</v>
      </c>
      <c r="X2314" s="1" t="s">
        <v>236</v>
      </c>
      <c r="Y2314" s="1" t="s">
        <v>237</v>
      </c>
      <c r="Z2314" s="1" t="str">
        <f>TRIM(_xlfn.CONCAT(sales_data_sample[[#This Row],[CONTACTFIRSTNAME]],", ",sales_data_sample[[#This Row],[CONTACTLASTNAME]]))</f>
        <v>Diego, Freyre</v>
      </c>
      <c r="AA2314" s="1" t="s">
        <v>59</v>
      </c>
    </row>
    <row r="2315" spans="1:27" x14ac:dyDescent="0.25">
      <c r="A2315" s="10">
        <v>10275</v>
      </c>
      <c r="B2315" s="9">
        <v>28</v>
      </c>
      <c r="C2315" s="9">
        <v>6397</v>
      </c>
      <c r="D2315" s="9">
        <f>PRODUCT(sales_data_sample[[#This Row],[QUANTITYORDERED]],sales_data_sample[[#This Row],[PRICEEACH]])</f>
        <v>179116</v>
      </c>
      <c r="E2315" s="9">
        <f>IF(OR(sales_data_sample[[#This Row],[STATUS]]="Shipped",sales_data_sample[[#This Row],[STATUS]]="Resolved"),sales_data_sample[[#This Row],[SALES]],0)</f>
        <v>179116</v>
      </c>
      <c r="F2315" s="10">
        <v>12</v>
      </c>
      <c r="G2315" s="12" t="s">
        <v>147</v>
      </c>
      <c r="H2315" s="1" t="s">
        <v>26</v>
      </c>
      <c r="I2315">
        <v>3</v>
      </c>
      <c r="J2315">
        <v>7</v>
      </c>
      <c r="K2315">
        <v>2004</v>
      </c>
      <c r="L2315" s="1" t="s">
        <v>799</v>
      </c>
      <c r="M2315">
        <v>68</v>
      </c>
      <c r="N2315" s="1" t="s">
        <v>993</v>
      </c>
      <c r="O2315" s="1" t="s">
        <v>148</v>
      </c>
      <c r="P2315" s="1" t="s">
        <v>149</v>
      </c>
      <c r="Q2315" s="1" t="s">
        <v>150</v>
      </c>
      <c r="R2315" s="1" t="s">
        <v>32</v>
      </c>
      <c r="S2315" s="1" t="s">
        <v>151</v>
      </c>
      <c r="T2315" s="1" t="s">
        <v>32</v>
      </c>
      <c r="U2315" s="1" t="s">
        <v>152</v>
      </c>
      <c r="V2315" s="1" t="s">
        <v>47</v>
      </c>
      <c r="W2315" s="1" t="s">
        <v>48</v>
      </c>
      <c r="X2315" s="1" t="s">
        <v>153</v>
      </c>
      <c r="Y2315" s="1" t="s">
        <v>154</v>
      </c>
      <c r="Z2315" s="1" t="str">
        <f>TRIM(_xlfn.CONCAT(sales_data_sample[[#This Row],[CONTACTFIRSTNAME]],", ",sales_data_sample[[#This Row],[CONTACTLASTNAME]]))</f>
        <v>Janine, Labrune</v>
      </c>
      <c r="AA2315" s="1" t="s">
        <v>40</v>
      </c>
    </row>
    <row r="2316" spans="1:27" x14ac:dyDescent="0.25">
      <c r="A2316" s="10">
        <v>10284</v>
      </c>
      <c r="B2316" s="9">
        <v>50</v>
      </c>
      <c r="C2316" s="9">
        <v>8186</v>
      </c>
      <c r="D2316" s="9">
        <f>PRODUCT(sales_data_sample[[#This Row],[QUANTITYORDERED]],sales_data_sample[[#This Row],[PRICEEACH]])</f>
        <v>409300</v>
      </c>
      <c r="E2316" s="9">
        <f>IF(OR(sales_data_sample[[#This Row],[STATUS]]="Shipped",sales_data_sample[[#This Row],[STATUS]]="Resolved"),sales_data_sample[[#This Row],[SALES]],0)</f>
        <v>409300</v>
      </c>
      <c r="F2316" s="10">
        <v>4</v>
      </c>
      <c r="G2316" s="12" t="s">
        <v>851</v>
      </c>
      <c r="H2316" s="1" t="s">
        <v>26</v>
      </c>
      <c r="I2316">
        <v>3</v>
      </c>
      <c r="J2316">
        <v>8</v>
      </c>
      <c r="K2316">
        <v>2004</v>
      </c>
      <c r="L2316" s="1" t="s">
        <v>799</v>
      </c>
      <c r="M2316">
        <v>68</v>
      </c>
      <c r="N2316" s="1" t="s">
        <v>993</v>
      </c>
      <c r="O2316" s="1" t="s">
        <v>786</v>
      </c>
      <c r="P2316" s="1" t="s">
        <v>787</v>
      </c>
      <c r="Q2316" s="1" t="s">
        <v>788</v>
      </c>
      <c r="R2316" s="1" t="s">
        <v>32</v>
      </c>
      <c r="S2316" s="1" t="s">
        <v>789</v>
      </c>
      <c r="T2316" s="1" t="s">
        <v>32</v>
      </c>
      <c r="U2316" s="1" t="s">
        <v>790</v>
      </c>
      <c r="V2316" s="1" t="s">
        <v>97</v>
      </c>
      <c r="W2316" s="1" t="s">
        <v>48</v>
      </c>
      <c r="X2316" s="1" t="s">
        <v>791</v>
      </c>
      <c r="Y2316" s="1" t="s">
        <v>792</v>
      </c>
      <c r="Z2316" s="1" t="str">
        <f>TRIM(_xlfn.CONCAT(sales_data_sample[[#This Row],[CONTACTFIRSTNAME]],", ",sales_data_sample[[#This Row],[CONTACTLASTNAME]]))</f>
        <v>Jan, Klaeboe</v>
      </c>
      <c r="AA2316" s="1" t="s">
        <v>59</v>
      </c>
    </row>
    <row r="2317" spans="1:27" x14ac:dyDescent="0.25">
      <c r="A2317">
        <v>10297</v>
      </c>
      <c r="B2317">
        <v>28</v>
      </c>
      <c r="C2317">
        <v>798</v>
      </c>
      <c r="D2317">
        <f>PRODUCT(sales_data_sample[[#This Row],[QUANTITYORDERED]],sales_data_sample[[#This Row],[PRICEEACH]])</f>
        <v>22344</v>
      </c>
      <c r="E2317" s="9">
        <f>IF(OR(sales_data_sample[[#This Row],[STATUS]]="Shipped",sales_data_sample[[#This Row],[STATUS]]="Resolved"),sales_data_sample[[#This Row],[SALES]],0)</f>
        <v>22344</v>
      </c>
      <c r="F2317">
        <v>7</v>
      </c>
      <c r="G2317" s="12" t="s">
        <v>893</v>
      </c>
      <c r="H2317" s="1" t="s">
        <v>26</v>
      </c>
      <c r="I2317">
        <v>3</v>
      </c>
      <c r="J2317">
        <v>9</v>
      </c>
      <c r="K2317">
        <v>2004</v>
      </c>
      <c r="L2317" s="1" t="s">
        <v>799</v>
      </c>
      <c r="M2317">
        <v>68</v>
      </c>
      <c r="N2317" s="1" t="s">
        <v>993</v>
      </c>
      <c r="O2317" s="1" t="s">
        <v>677</v>
      </c>
      <c r="P2317" s="1" t="s">
        <v>678</v>
      </c>
      <c r="Q2317" s="1" t="s">
        <v>679</v>
      </c>
      <c r="R2317" s="1" t="s">
        <v>680</v>
      </c>
      <c r="S2317" s="1" t="s">
        <v>681</v>
      </c>
      <c r="T2317" s="1" t="s">
        <v>32</v>
      </c>
      <c r="U2317" s="1" t="s">
        <v>682</v>
      </c>
      <c r="V2317" s="1" t="s">
        <v>683</v>
      </c>
      <c r="W2317" s="1" t="s">
        <v>48</v>
      </c>
      <c r="X2317" s="1" t="s">
        <v>684</v>
      </c>
      <c r="Y2317" s="1" t="s">
        <v>685</v>
      </c>
      <c r="Z2317" s="1" t="str">
        <f>TRIM(_xlfn.CONCAT(sales_data_sample[[#This Row],[CONTACTFIRSTNAME]],", ",sales_data_sample[[#This Row],[CONTACTLASTNAME]]))</f>
        <v>Dean, Cassidy</v>
      </c>
      <c r="AA2317" s="1" t="s">
        <v>40</v>
      </c>
    </row>
    <row r="2318" spans="1:27" x14ac:dyDescent="0.25">
      <c r="A2318" s="10">
        <v>10308</v>
      </c>
      <c r="B2318" s="9">
        <v>46</v>
      </c>
      <c r="C2318" s="9">
        <v>6604</v>
      </c>
      <c r="D2318" s="9">
        <f>PRODUCT(sales_data_sample[[#This Row],[QUANTITYORDERED]],sales_data_sample[[#This Row],[PRICEEACH]])</f>
        <v>303784</v>
      </c>
      <c r="E2318" s="9">
        <f>IF(OR(sales_data_sample[[#This Row],[STATUS]]="Shipped",sales_data_sample[[#This Row],[STATUS]]="Resolved"),sales_data_sample[[#This Row],[SALES]],0)</f>
        <v>303784</v>
      </c>
      <c r="F2318" s="10">
        <v>10</v>
      </c>
      <c r="G2318" s="12" t="s">
        <v>173</v>
      </c>
      <c r="H2318" s="1" t="s">
        <v>26</v>
      </c>
      <c r="I2318">
        <v>4</v>
      </c>
      <c r="J2318">
        <v>10</v>
      </c>
      <c r="K2318">
        <v>2004</v>
      </c>
      <c r="L2318" s="1" t="s">
        <v>799</v>
      </c>
      <c r="M2318">
        <v>68</v>
      </c>
      <c r="N2318" s="1" t="s">
        <v>993</v>
      </c>
      <c r="O2318" s="1" t="s">
        <v>425</v>
      </c>
      <c r="P2318" s="1" t="s">
        <v>426</v>
      </c>
      <c r="Q2318" s="1" t="s">
        <v>427</v>
      </c>
      <c r="R2318" s="1" t="s">
        <v>32</v>
      </c>
      <c r="S2318" s="1" t="s">
        <v>428</v>
      </c>
      <c r="T2318" s="1" t="s">
        <v>34</v>
      </c>
      <c r="U2318" s="1" t="s">
        <v>429</v>
      </c>
      <c r="V2318" s="1" t="s">
        <v>36</v>
      </c>
      <c r="W2318" s="1" t="s">
        <v>37</v>
      </c>
      <c r="X2318" s="1" t="s">
        <v>129</v>
      </c>
      <c r="Y2318" s="1" t="s">
        <v>314</v>
      </c>
      <c r="Z2318" s="1" t="str">
        <f>TRIM(_xlfn.CONCAT(sales_data_sample[[#This Row],[CONTACTFIRSTNAME]],", ",sales_data_sample[[#This Row],[CONTACTLASTNAME]]))</f>
        <v>Steve, Frick</v>
      </c>
      <c r="AA2318" s="1" t="s">
        <v>59</v>
      </c>
    </row>
    <row r="2319" spans="1:27" x14ac:dyDescent="0.25">
      <c r="A2319" s="10">
        <v>10316</v>
      </c>
      <c r="B2319" s="9">
        <v>24</v>
      </c>
      <c r="C2319" s="9">
        <v>5916</v>
      </c>
      <c r="D2319" s="9">
        <f>PRODUCT(sales_data_sample[[#This Row],[QUANTITYORDERED]],sales_data_sample[[#This Row],[PRICEEACH]])</f>
        <v>141984</v>
      </c>
      <c r="E2319" s="9">
        <f>IF(OR(sales_data_sample[[#This Row],[STATUS]]="Shipped",sales_data_sample[[#This Row],[STATUS]]="Resolved"),sales_data_sample[[#This Row],[SALES]],0)</f>
        <v>141984</v>
      </c>
      <c r="F2319" s="10">
        <v>2</v>
      </c>
      <c r="G2319" s="12" t="s">
        <v>523</v>
      </c>
      <c r="H2319" s="1" t="s">
        <v>26</v>
      </c>
      <c r="I2319">
        <v>4</v>
      </c>
      <c r="J2319">
        <v>11</v>
      </c>
      <c r="K2319">
        <v>2004</v>
      </c>
      <c r="L2319" s="1" t="s">
        <v>799</v>
      </c>
      <c r="M2319">
        <v>68</v>
      </c>
      <c r="N2319" s="1" t="s">
        <v>993</v>
      </c>
      <c r="O2319" s="1" t="s">
        <v>524</v>
      </c>
      <c r="P2319" s="1" t="s">
        <v>525</v>
      </c>
      <c r="Q2319" s="1" t="s">
        <v>526</v>
      </c>
      <c r="R2319" s="1" t="s">
        <v>32</v>
      </c>
      <c r="S2319" s="1" t="s">
        <v>527</v>
      </c>
      <c r="T2319" s="1" t="s">
        <v>528</v>
      </c>
      <c r="U2319" s="1" t="s">
        <v>529</v>
      </c>
      <c r="V2319" s="1" t="s">
        <v>225</v>
      </c>
      <c r="W2319" s="1" t="s">
        <v>48</v>
      </c>
      <c r="X2319" s="1" t="s">
        <v>530</v>
      </c>
      <c r="Y2319" s="1" t="s">
        <v>531</v>
      </c>
      <c r="Z2319" s="1" t="str">
        <f>TRIM(_xlfn.CONCAT(sales_data_sample[[#This Row],[CONTACTFIRSTNAME]],", ",sales_data_sample[[#This Row],[CONTACTLASTNAME]]))</f>
        <v>Helen, Bennett</v>
      </c>
      <c r="AA2319" s="1" t="s">
        <v>40</v>
      </c>
    </row>
    <row r="2320" spans="1:27" x14ac:dyDescent="0.25">
      <c r="A2320" s="10">
        <v>10328</v>
      </c>
      <c r="B2320" s="9">
        <v>24</v>
      </c>
      <c r="C2320" s="9">
        <v>8117</v>
      </c>
      <c r="D2320" s="9">
        <f>PRODUCT(sales_data_sample[[#This Row],[QUANTITYORDERED]],sales_data_sample[[#This Row],[PRICEEACH]])</f>
        <v>194808</v>
      </c>
      <c r="E2320" s="9">
        <f>IF(OR(sales_data_sample[[#This Row],[STATUS]]="Shipped",sales_data_sample[[#This Row],[STATUS]]="Resolved"),sales_data_sample[[#This Row],[SALES]],0)</f>
        <v>194808</v>
      </c>
      <c r="F2320" s="10">
        <v>5</v>
      </c>
      <c r="G2320" s="12" t="s">
        <v>936</v>
      </c>
      <c r="H2320" s="1" t="s">
        <v>26</v>
      </c>
      <c r="I2320">
        <v>4</v>
      </c>
      <c r="J2320">
        <v>11</v>
      </c>
      <c r="K2320">
        <v>2004</v>
      </c>
      <c r="L2320" s="1" t="s">
        <v>799</v>
      </c>
      <c r="M2320">
        <v>68</v>
      </c>
      <c r="N2320" s="1" t="s">
        <v>993</v>
      </c>
      <c r="O2320" s="1" t="s">
        <v>806</v>
      </c>
      <c r="P2320" s="1" t="s">
        <v>807</v>
      </c>
      <c r="Q2320" s="1" t="s">
        <v>808</v>
      </c>
      <c r="R2320" s="1" t="s">
        <v>32</v>
      </c>
      <c r="S2320" s="1" t="s">
        <v>809</v>
      </c>
      <c r="T2320" s="1" t="s">
        <v>32</v>
      </c>
      <c r="U2320" s="1" t="s">
        <v>810</v>
      </c>
      <c r="V2320" s="1" t="s">
        <v>343</v>
      </c>
      <c r="W2320" s="1" t="s">
        <v>48</v>
      </c>
      <c r="X2320" s="1" t="s">
        <v>811</v>
      </c>
      <c r="Y2320" s="1" t="s">
        <v>812</v>
      </c>
      <c r="Z2320" s="1" t="str">
        <f>TRIM(_xlfn.CONCAT(sales_data_sample[[#This Row],[CONTACTFIRSTNAME]],", ",sales_data_sample[[#This Row],[CONTACTLASTNAME]]))</f>
        <v>Giovanni, Rovelli</v>
      </c>
      <c r="AA2320" s="1" t="s">
        <v>40</v>
      </c>
    </row>
    <row r="2321" spans="1:27" x14ac:dyDescent="0.25">
      <c r="A2321" s="10">
        <v>10340</v>
      </c>
      <c r="B2321" s="9">
        <v>39</v>
      </c>
      <c r="C2321" s="9">
        <v>5916</v>
      </c>
      <c r="D2321" s="9">
        <f>PRODUCT(sales_data_sample[[#This Row],[QUANTITYORDERED]],sales_data_sample[[#This Row],[PRICEEACH]])</f>
        <v>230724</v>
      </c>
      <c r="E2321" s="9">
        <f>IF(OR(sales_data_sample[[#This Row],[STATUS]]="Shipped",sales_data_sample[[#This Row],[STATUS]]="Resolved"),sales_data_sample[[#This Row],[SALES]],0)</f>
        <v>230724</v>
      </c>
      <c r="F2321" s="10">
        <v>3</v>
      </c>
      <c r="G2321" s="12" t="s">
        <v>190</v>
      </c>
      <c r="H2321" s="1" t="s">
        <v>26</v>
      </c>
      <c r="I2321">
        <v>4</v>
      </c>
      <c r="J2321">
        <v>11</v>
      </c>
      <c r="K2321">
        <v>2004</v>
      </c>
      <c r="L2321" s="1" t="s">
        <v>799</v>
      </c>
      <c r="M2321">
        <v>68</v>
      </c>
      <c r="N2321" s="1" t="s">
        <v>993</v>
      </c>
      <c r="O2321" s="1" t="s">
        <v>478</v>
      </c>
      <c r="P2321" s="1" t="s">
        <v>479</v>
      </c>
      <c r="Q2321" s="1" t="s">
        <v>480</v>
      </c>
      <c r="R2321" s="1" t="s">
        <v>32</v>
      </c>
      <c r="S2321" s="1" t="s">
        <v>481</v>
      </c>
      <c r="T2321" s="1" t="s">
        <v>32</v>
      </c>
      <c r="U2321" s="1" t="s">
        <v>482</v>
      </c>
      <c r="V2321" s="1" t="s">
        <v>235</v>
      </c>
      <c r="W2321" s="1" t="s">
        <v>48</v>
      </c>
      <c r="X2321" s="1" t="s">
        <v>483</v>
      </c>
      <c r="Y2321" s="1" t="s">
        <v>484</v>
      </c>
      <c r="Z2321" s="1" t="str">
        <f>TRIM(_xlfn.CONCAT(sales_data_sample[[#This Row],[CONTACTFIRSTNAME]],", ",sales_data_sample[[#This Row],[CONTACTLASTNAME]]))</f>
        <v>Eduardo, Saavedra</v>
      </c>
      <c r="AA2321" s="1" t="s">
        <v>40</v>
      </c>
    </row>
    <row r="2322" spans="1:27" x14ac:dyDescent="0.25">
      <c r="A2322" s="10">
        <v>10353</v>
      </c>
      <c r="B2322" s="9">
        <v>40</v>
      </c>
      <c r="C2322" s="9">
        <v>4451</v>
      </c>
      <c r="D2322" s="9">
        <f>PRODUCT(sales_data_sample[[#This Row],[QUANTITYORDERED]],sales_data_sample[[#This Row],[PRICEEACH]])</f>
        <v>178040</v>
      </c>
      <c r="E2322" s="9">
        <f>IF(OR(sales_data_sample[[#This Row],[STATUS]]="Shipped",sales_data_sample[[#This Row],[STATUS]]="Resolved"),sales_data_sample[[#This Row],[SALES]],0)</f>
        <v>178040</v>
      </c>
      <c r="F2322" s="10">
        <v>7</v>
      </c>
      <c r="G2322" s="12" t="s">
        <v>894</v>
      </c>
      <c r="H2322" s="1" t="s">
        <v>26</v>
      </c>
      <c r="I2322">
        <v>4</v>
      </c>
      <c r="J2322">
        <v>12</v>
      </c>
      <c r="K2322">
        <v>2004</v>
      </c>
      <c r="L2322" s="1" t="s">
        <v>799</v>
      </c>
      <c r="M2322">
        <v>68</v>
      </c>
      <c r="N2322" s="1" t="s">
        <v>993</v>
      </c>
      <c r="O2322" s="1" t="s">
        <v>842</v>
      </c>
      <c r="P2322" s="1" t="s">
        <v>843</v>
      </c>
      <c r="Q2322" s="1" t="s">
        <v>844</v>
      </c>
      <c r="R2322" s="1" t="s">
        <v>32</v>
      </c>
      <c r="S2322" s="1" t="s">
        <v>734</v>
      </c>
      <c r="T2322" s="1" t="s">
        <v>144</v>
      </c>
      <c r="U2322" s="1" t="s">
        <v>845</v>
      </c>
      <c r="V2322" s="1" t="s">
        <v>36</v>
      </c>
      <c r="W2322" s="1" t="s">
        <v>37</v>
      </c>
      <c r="X2322" s="1" t="s">
        <v>846</v>
      </c>
      <c r="Y2322" s="1" t="s">
        <v>847</v>
      </c>
      <c r="Z2322" s="1" t="str">
        <f>TRIM(_xlfn.CONCAT(sales_data_sample[[#This Row],[CONTACTFIRSTNAME]],", ",sales_data_sample[[#This Row],[CONTACTLASTNAME]]))</f>
        <v>Dan, Lewis</v>
      </c>
      <c r="AA2322" s="1" t="s">
        <v>40</v>
      </c>
    </row>
    <row r="2323" spans="1:27" x14ac:dyDescent="0.25">
      <c r="A2323">
        <v>10361</v>
      </c>
      <c r="B2323">
        <v>49</v>
      </c>
      <c r="C2323">
        <v>7233</v>
      </c>
      <c r="D2323">
        <f>PRODUCT(sales_data_sample[[#This Row],[QUANTITYORDERED]],sales_data_sample[[#This Row],[PRICEEACH]])</f>
        <v>354417</v>
      </c>
      <c r="E2323" s="9">
        <f>IF(OR(sales_data_sample[[#This Row],[STATUS]]="Shipped",sales_data_sample[[#This Row],[STATUS]]="Resolved"),sales_data_sample[[#This Row],[SALES]],0)</f>
        <v>354417</v>
      </c>
      <c r="F2323">
        <v>2</v>
      </c>
      <c r="G2323" s="12" t="s">
        <v>200</v>
      </c>
      <c r="H2323" s="1" t="s">
        <v>26</v>
      </c>
      <c r="I2323">
        <v>4</v>
      </c>
      <c r="J2323">
        <v>12</v>
      </c>
      <c r="K2323">
        <v>2004</v>
      </c>
      <c r="L2323" s="1" t="s">
        <v>799</v>
      </c>
      <c r="M2323">
        <v>68</v>
      </c>
      <c r="N2323" s="1" t="s">
        <v>993</v>
      </c>
      <c r="O2323" s="1" t="s">
        <v>201</v>
      </c>
      <c r="P2323" s="1" t="s">
        <v>202</v>
      </c>
      <c r="Q2323" s="1" t="s">
        <v>203</v>
      </c>
      <c r="R2323" s="1" t="s">
        <v>204</v>
      </c>
      <c r="S2323" s="1" t="s">
        <v>205</v>
      </c>
      <c r="T2323" s="1" t="s">
        <v>206</v>
      </c>
      <c r="U2323" s="1" t="s">
        <v>207</v>
      </c>
      <c r="V2323" s="1" t="s">
        <v>120</v>
      </c>
      <c r="W2323" s="1" t="s">
        <v>121</v>
      </c>
      <c r="X2323" s="1" t="s">
        <v>208</v>
      </c>
      <c r="Y2323" s="1" t="s">
        <v>209</v>
      </c>
      <c r="Z2323" s="1" t="str">
        <f>TRIM(_xlfn.CONCAT(sales_data_sample[[#This Row],[CONTACTFIRSTNAME]],", ",sales_data_sample[[#This Row],[CONTACTLASTNAME]]))</f>
        <v>Adrian, Huxley</v>
      </c>
      <c r="AA2323" s="1" t="s">
        <v>59</v>
      </c>
    </row>
    <row r="2324" spans="1:27" x14ac:dyDescent="0.25">
      <c r="A2324" s="10">
        <v>10375</v>
      </c>
      <c r="B2324" s="9">
        <v>44</v>
      </c>
      <c r="C2324" s="9">
        <v>8226</v>
      </c>
      <c r="D2324" s="9">
        <f>PRODUCT(sales_data_sample[[#This Row],[QUANTITYORDERED]],sales_data_sample[[#This Row],[PRICEEACH]])</f>
        <v>361944</v>
      </c>
      <c r="E2324" s="9">
        <f>IF(OR(sales_data_sample[[#This Row],[STATUS]]="Shipped",sales_data_sample[[#This Row],[STATUS]]="Resolved"),sales_data_sample[[#This Row],[SALES]],0)</f>
        <v>361944</v>
      </c>
      <c r="F2324" s="10">
        <v>4</v>
      </c>
      <c r="G2324" s="12" t="s">
        <v>210</v>
      </c>
      <c r="H2324" s="1" t="s">
        <v>26</v>
      </c>
      <c r="I2324">
        <v>1</v>
      </c>
      <c r="J2324">
        <v>2</v>
      </c>
      <c r="K2324">
        <v>2005</v>
      </c>
      <c r="L2324" s="1" t="s">
        <v>799</v>
      </c>
      <c r="M2324">
        <v>68</v>
      </c>
      <c r="N2324" s="1" t="s">
        <v>993</v>
      </c>
      <c r="O2324" s="1" t="s">
        <v>148</v>
      </c>
      <c r="P2324" s="1" t="s">
        <v>149</v>
      </c>
      <c r="Q2324" s="1" t="s">
        <v>150</v>
      </c>
      <c r="R2324" s="1" t="s">
        <v>32</v>
      </c>
      <c r="S2324" s="1" t="s">
        <v>151</v>
      </c>
      <c r="T2324" s="1" t="s">
        <v>32</v>
      </c>
      <c r="U2324" s="1" t="s">
        <v>152</v>
      </c>
      <c r="V2324" s="1" t="s">
        <v>47</v>
      </c>
      <c r="W2324" s="1" t="s">
        <v>48</v>
      </c>
      <c r="X2324" s="1" t="s">
        <v>153</v>
      </c>
      <c r="Y2324" s="1" t="s">
        <v>154</v>
      </c>
      <c r="Z2324" s="1" t="str">
        <f>TRIM(_xlfn.CONCAT(sales_data_sample[[#This Row],[CONTACTFIRSTNAME]],", ",sales_data_sample[[#This Row],[CONTACTLASTNAME]]))</f>
        <v>Janine, Labrune</v>
      </c>
      <c r="AA2324" s="1" t="s">
        <v>59</v>
      </c>
    </row>
    <row r="2325" spans="1:27" x14ac:dyDescent="0.25">
      <c r="A2325" s="10">
        <v>10388</v>
      </c>
      <c r="B2325" s="9">
        <v>35</v>
      </c>
      <c r="C2325" s="9">
        <v>100</v>
      </c>
      <c r="D2325" s="9">
        <f>PRODUCT(sales_data_sample[[#This Row],[QUANTITYORDERED]],sales_data_sample[[#This Row],[PRICEEACH]])</f>
        <v>3500</v>
      </c>
      <c r="E2325" s="9">
        <f>IF(OR(sales_data_sample[[#This Row],[STATUS]]="Shipped",sales_data_sample[[#This Row],[STATUS]]="Resolved"),sales_data_sample[[#This Row],[SALES]],0)</f>
        <v>3500</v>
      </c>
      <c r="F2325" s="10">
        <v>8</v>
      </c>
      <c r="G2325" s="12" t="s">
        <v>211</v>
      </c>
      <c r="H2325" s="1" t="s">
        <v>26</v>
      </c>
      <c r="I2325">
        <v>1</v>
      </c>
      <c r="J2325">
        <v>3</v>
      </c>
      <c r="K2325">
        <v>2005</v>
      </c>
      <c r="L2325" s="1" t="s">
        <v>799</v>
      </c>
      <c r="M2325">
        <v>68</v>
      </c>
      <c r="N2325" s="1" t="s">
        <v>993</v>
      </c>
      <c r="O2325" s="1" t="s">
        <v>212</v>
      </c>
      <c r="P2325" s="1" t="s">
        <v>213</v>
      </c>
      <c r="Q2325" s="1" t="s">
        <v>214</v>
      </c>
      <c r="R2325" s="1" t="s">
        <v>32</v>
      </c>
      <c r="S2325" s="1" t="s">
        <v>215</v>
      </c>
      <c r="T2325" s="1" t="s">
        <v>160</v>
      </c>
      <c r="U2325" s="1" t="s">
        <v>216</v>
      </c>
      <c r="V2325" s="1" t="s">
        <v>36</v>
      </c>
      <c r="W2325" s="1" t="s">
        <v>37</v>
      </c>
      <c r="X2325" s="1" t="s">
        <v>217</v>
      </c>
      <c r="Y2325" s="1" t="s">
        <v>218</v>
      </c>
      <c r="Z2325" s="1" t="str">
        <f>TRIM(_xlfn.CONCAT(sales_data_sample[[#This Row],[CONTACTFIRSTNAME]],", ",sales_data_sample[[#This Row],[CONTACTLASTNAME]]))</f>
        <v>Violeta, Benitez</v>
      </c>
      <c r="AA2325" s="1" t="s">
        <v>59</v>
      </c>
    </row>
    <row r="2326" spans="1:27" x14ac:dyDescent="0.25">
      <c r="A2326" s="10">
        <v>10398</v>
      </c>
      <c r="B2326" s="9">
        <v>22</v>
      </c>
      <c r="C2326" s="9">
        <v>6741</v>
      </c>
      <c r="D2326" s="9">
        <f>PRODUCT(sales_data_sample[[#This Row],[QUANTITYORDERED]],sales_data_sample[[#This Row],[PRICEEACH]])</f>
        <v>148302</v>
      </c>
      <c r="E2326" s="9">
        <f>IF(OR(sales_data_sample[[#This Row],[STATUS]]="Shipped",sales_data_sample[[#This Row],[STATUS]]="Resolved"),sales_data_sample[[#This Row],[SALES]],0)</f>
        <v>148302</v>
      </c>
      <c r="F2326" s="10">
        <v>4</v>
      </c>
      <c r="G2326" s="12" t="s">
        <v>870</v>
      </c>
      <c r="H2326" s="1" t="s">
        <v>26</v>
      </c>
      <c r="I2326">
        <v>1</v>
      </c>
      <c r="J2326">
        <v>3</v>
      </c>
      <c r="K2326">
        <v>2005</v>
      </c>
      <c r="L2326" s="1" t="s">
        <v>799</v>
      </c>
      <c r="M2326">
        <v>68</v>
      </c>
      <c r="N2326" s="1" t="s">
        <v>993</v>
      </c>
      <c r="O2326" s="1" t="s">
        <v>42</v>
      </c>
      <c r="P2326" s="1" t="s">
        <v>43</v>
      </c>
      <c r="Q2326" s="1" t="s">
        <v>44</v>
      </c>
      <c r="R2326" s="1" t="s">
        <v>32</v>
      </c>
      <c r="S2326" s="1" t="s">
        <v>45</v>
      </c>
      <c r="T2326" s="1" t="s">
        <v>32</v>
      </c>
      <c r="U2326" s="1" t="s">
        <v>46</v>
      </c>
      <c r="V2326" s="1" t="s">
        <v>47</v>
      </c>
      <c r="W2326" s="1" t="s">
        <v>48</v>
      </c>
      <c r="X2326" s="1" t="s">
        <v>49</v>
      </c>
      <c r="Y2326" s="1" t="s">
        <v>50</v>
      </c>
      <c r="Z2326" s="1" t="str">
        <f>TRIM(_xlfn.CONCAT(sales_data_sample[[#This Row],[CONTACTFIRSTNAME]],", ",sales_data_sample[[#This Row],[CONTACTLASTNAME]]))</f>
        <v>Paul, Henriot</v>
      </c>
      <c r="AA2326" s="1" t="s">
        <v>40</v>
      </c>
    </row>
    <row r="2327" spans="1:27" x14ac:dyDescent="0.25">
      <c r="A2327" s="10">
        <v>10401</v>
      </c>
      <c r="B2327" s="9">
        <v>62</v>
      </c>
      <c r="C2327" s="9">
        <v>7773</v>
      </c>
      <c r="D2327" s="9">
        <f>PRODUCT(sales_data_sample[[#This Row],[QUANTITYORDERED]],sales_data_sample[[#This Row],[PRICEEACH]])</f>
        <v>481926</v>
      </c>
      <c r="E2327" s="9">
        <f>IF(OR(sales_data_sample[[#This Row],[STATUS]]="Shipped",sales_data_sample[[#This Row],[STATUS]]="Resolved"),sales_data_sample[[#This Row],[SALES]],0)</f>
        <v>0</v>
      </c>
      <c r="F2327" s="10">
        <v>6</v>
      </c>
      <c r="G2327" s="12" t="s">
        <v>895</v>
      </c>
      <c r="H2327" s="1" t="s">
        <v>553</v>
      </c>
      <c r="I2327">
        <v>2</v>
      </c>
      <c r="J2327">
        <v>4</v>
      </c>
      <c r="K2327">
        <v>2005</v>
      </c>
      <c r="L2327" s="1" t="s">
        <v>799</v>
      </c>
      <c r="M2327">
        <v>68</v>
      </c>
      <c r="N2327" s="1" t="s">
        <v>993</v>
      </c>
      <c r="O2327" s="1" t="s">
        <v>132</v>
      </c>
      <c r="P2327" s="1" t="s">
        <v>133</v>
      </c>
      <c r="Q2327" s="1" t="s">
        <v>134</v>
      </c>
      <c r="R2327" s="1" t="s">
        <v>32</v>
      </c>
      <c r="S2327" s="1" t="s">
        <v>135</v>
      </c>
      <c r="T2327" s="1" t="s">
        <v>136</v>
      </c>
      <c r="U2327" s="1" t="s">
        <v>137</v>
      </c>
      <c r="V2327" s="1" t="s">
        <v>36</v>
      </c>
      <c r="W2327" s="1" t="s">
        <v>37</v>
      </c>
      <c r="X2327" s="1" t="s">
        <v>74</v>
      </c>
      <c r="Y2327" s="1" t="s">
        <v>138</v>
      </c>
      <c r="Z2327" s="1" t="str">
        <f>TRIM(_xlfn.CONCAT(sales_data_sample[[#This Row],[CONTACTFIRSTNAME]],", ",sales_data_sample[[#This Row],[CONTACTLASTNAME]]))</f>
        <v>William, Brown</v>
      </c>
      <c r="AA2327" s="1" t="s">
        <v>59</v>
      </c>
    </row>
    <row r="2328" spans="1:27" x14ac:dyDescent="0.25">
      <c r="A2328" s="10">
        <v>10416</v>
      </c>
      <c r="B2328" s="9">
        <v>26</v>
      </c>
      <c r="C2328" s="9">
        <v>6122</v>
      </c>
      <c r="D2328" s="9">
        <f>PRODUCT(sales_data_sample[[#This Row],[QUANTITYORDERED]],sales_data_sample[[#This Row],[PRICEEACH]])</f>
        <v>159172</v>
      </c>
      <c r="E2328" s="9">
        <f>IF(OR(sales_data_sample[[#This Row],[STATUS]]="Shipped",sales_data_sample[[#This Row],[STATUS]]="Resolved"),sales_data_sample[[#This Row],[SALES]],0)</f>
        <v>159172</v>
      </c>
      <c r="F2328" s="10">
        <v>7</v>
      </c>
      <c r="G2328" s="12" t="s">
        <v>871</v>
      </c>
      <c r="H2328" s="1" t="s">
        <v>26</v>
      </c>
      <c r="I2328">
        <v>2</v>
      </c>
      <c r="J2328">
        <v>5</v>
      </c>
      <c r="K2328">
        <v>2005</v>
      </c>
      <c r="L2328" s="1" t="s">
        <v>799</v>
      </c>
      <c r="M2328">
        <v>68</v>
      </c>
      <c r="N2328" s="1" t="s">
        <v>993</v>
      </c>
      <c r="O2328" s="1" t="s">
        <v>632</v>
      </c>
      <c r="P2328" s="1" t="s">
        <v>633</v>
      </c>
      <c r="Q2328" s="1" t="s">
        <v>634</v>
      </c>
      <c r="R2328" s="1" t="s">
        <v>32</v>
      </c>
      <c r="S2328" s="1" t="s">
        <v>635</v>
      </c>
      <c r="T2328" s="1" t="s">
        <v>32</v>
      </c>
      <c r="U2328" s="1" t="s">
        <v>636</v>
      </c>
      <c r="V2328" s="1" t="s">
        <v>343</v>
      </c>
      <c r="W2328" s="1" t="s">
        <v>48</v>
      </c>
      <c r="X2328" s="1" t="s">
        <v>637</v>
      </c>
      <c r="Y2328" s="1" t="s">
        <v>638</v>
      </c>
      <c r="Z2328" s="1" t="str">
        <f>TRIM(_xlfn.CONCAT(sales_data_sample[[#This Row],[CONTACTFIRSTNAME]],", ",sales_data_sample[[#This Row],[CONTACTLASTNAME]]))</f>
        <v>Maurizio, Moroni</v>
      </c>
      <c r="AA2328" s="1" t="s">
        <v>40</v>
      </c>
    </row>
    <row r="2329" spans="1:27" x14ac:dyDescent="0.25">
      <c r="A2329" s="10">
        <v>10108</v>
      </c>
      <c r="B2329" s="9">
        <v>31</v>
      </c>
      <c r="C2329" s="9">
        <v>100</v>
      </c>
      <c r="D2329" s="9">
        <f>PRODUCT(sales_data_sample[[#This Row],[QUANTITYORDERED]],sales_data_sample[[#This Row],[PRICEEACH]])</f>
        <v>3100</v>
      </c>
      <c r="E2329" s="9">
        <f>IF(OR(sales_data_sample[[#This Row],[STATUS]]="Shipped",sales_data_sample[[#This Row],[STATUS]]="Resolved"),sales_data_sample[[#This Row],[SALES]],0)</f>
        <v>3100</v>
      </c>
      <c r="F2329" s="10">
        <v>16</v>
      </c>
      <c r="G2329" s="12" t="s">
        <v>589</v>
      </c>
      <c r="H2329" s="1" t="s">
        <v>26</v>
      </c>
      <c r="I2329">
        <v>1</v>
      </c>
      <c r="J2329">
        <v>3</v>
      </c>
      <c r="K2329">
        <v>2003</v>
      </c>
      <c r="L2329" s="1" t="s">
        <v>27</v>
      </c>
      <c r="M2329">
        <v>102</v>
      </c>
      <c r="N2329" s="1" t="s">
        <v>995</v>
      </c>
      <c r="O2329" s="1" t="s">
        <v>591</v>
      </c>
      <c r="P2329" s="1" t="s">
        <v>592</v>
      </c>
      <c r="Q2329" s="1" t="s">
        <v>593</v>
      </c>
      <c r="R2329" s="1" t="s">
        <v>32</v>
      </c>
      <c r="S2329" s="1" t="s">
        <v>594</v>
      </c>
      <c r="T2329" s="1" t="s">
        <v>32</v>
      </c>
      <c r="U2329" s="1" t="s">
        <v>595</v>
      </c>
      <c r="V2329" s="1" t="s">
        <v>596</v>
      </c>
      <c r="W2329" s="1" t="s">
        <v>264</v>
      </c>
      <c r="X2329" s="1" t="s">
        <v>597</v>
      </c>
      <c r="Y2329" s="1" t="s">
        <v>598</v>
      </c>
      <c r="Z2329" s="1" t="str">
        <f>TRIM(_xlfn.CONCAT(sales_data_sample[[#This Row],[CONTACTFIRSTNAME]],", ",sales_data_sample[[#This Row],[CONTACTLASTNAME]]))</f>
        <v>Arnold, Cruz</v>
      </c>
      <c r="AA2329" s="1" t="s">
        <v>59</v>
      </c>
    </row>
    <row r="2330" spans="1:27" x14ac:dyDescent="0.25">
      <c r="A2330" s="10">
        <v>10121</v>
      </c>
      <c r="B2330" s="9">
        <v>25</v>
      </c>
      <c r="C2330" s="9">
        <v>8674</v>
      </c>
      <c r="D2330" s="9">
        <f>PRODUCT(sales_data_sample[[#This Row],[QUANTITYORDERED]],sales_data_sample[[#This Row],[PRICEEACH]])</f>
        <v>216850</v>
      </c>
      <c r="E2330" s="9">
        <f>IF(OR(sales_data_sample[[#This Row],[STATUS]]="Shipped",sales_data_sample[[#This Row],[STATUS]]="Resolved"),sales_data_sample[[#This Row],[SALES]],0)</f>
        <v>216850</v>
      </c>
      <c r="F2330" s="10">
        <v>3</v>
      </c>
      <c r="G2330" s="12" t="s">
        <v>41</v>
      </c>
      <c r="H2330" s="1" t="s">
        <v>26</v>
      </c>
      <c r="I2330">
        <v>2</v>
      </c>
      <c r="J2330">
        <v>5</v>
      </c>
      <c r="K2330">
        <v>2003</v>
      </c>
      <c r="L2330" s="1" t="s">
        <v>27</v>
      </c>
      <c r="M2330">
        <v>102</v>
      </c>
      <c r="N2330" s="1" t="s">
        <v>995</v>
      </c>
      <c r="O2330" s="1" t="s">
        <v>42</v>
      </c>
      <c r="P2330" s="1" t="s">
        <v>43</v>
      </c>
      <c r="Q2330" s="1" t="s">
        <v>44</v>
      </c>
      <c r="R2330" s="1" t="s">
        <v>32</v>
      </c>
      <c r="S2330" s="1" t="s">
        <v>45</v>
      </c>
      <c r="T2330" s="1" t="s">
        <v>32</v>
      </c>
      <c r="U2330" s="1" t="s">
        <v>46</v>
      </c>
      <c r="V2330" s="1" t="s">
        <v>47</v>
      </c>
      <c r="W2330" s="1" t="s">
        <v>48</v>
      </c>
      <c r="X2330" s="1" t="s">
        <v>49</v>
      </c>
      <c r="Y2330" s="1" t="s">
        <v>50</v>
      </c>
      <c r="Z2330" s="1" t="str">
        <f>TRIM(_xlfn.CONCAT(sales_data_sample[[#This Row],[CONTACTFIRSTNAME]],", ",sales_data_sample[[#This Row],[CONTACTLASTNAME]]))</f>
        <v>Paul, Henriot</v>
      </c>
      <c r="AA2330" s="1" t="s">
        <v>40</v>
      </c>
    </row>
    <row r="2331" spans="1:27" x14ac:dyDescent="0.25">
      <c r="A2331" s="10">
        <v>10135</v>
      </c>
      <c r="B2331" s="9">
        <v>30</v>
      </c>
      <c r="C2331" s="9">
        <v>898</v>
      </c>
      <c r="D2331" s="9">
        <f>PRODUCT(sales_data_sample[[#This Row],[QUANTITYORDERED]],sales_data_sample[[#This Row],[PRICEEACH]])</f>
        <v>26940</v>
      </c>
      <c r="E2331" s="9">
        <f>IF(OR(sales_data_sample[[#This Row],[STATUS]]="Shipped",sales_data_sample[[#This Row],[STATUS]]="Resolved"),sales_data_sample[[#This Row],[SALES]],0)</f>
        <v>26940</v>
      </c>
      <c r="F2331" s="10">
        <v>17</v>
      </c>
      <c r="G2331" s="12" t="s">
        <v>607</v>
      </c>
      <c r="H2331" s="1" t="s">
        <v>26</v>
      </c>
      <c r="I2331">
        <v>3</v>
      </c>
      <c r="J2331">
        <v>7</v>
      </c>
      <c r="K2331">
        <v>2003</v>
      </c>
      <c r="L2331" s="1" t="s">
        <v>27</v>
      </c>
      <c r="M2331">
        <v>102</v>
      </c>
      <c r="N2331" s="1" t="s">
        <v>995</v>
      </c>
      <c r="O2331" s="1" t="s">
        <v>361</v>
      </c>
      <c r="P2331" s="1" t="s">
        <v>362</v>
      </c>
      <c r="Q2331" s="1" t="s">
        <v>363</v>
      </c>
      <c r="R2331" s="1" t="s">
        <v>32</v>
      </c>
      <c r="S2331" s="1" t="s">
        <v>364</v>
      </c>
      <c r="T2331" s="1" t="s">
        <v>65</v>
      </c>
      <c r="U2331" s="1" t="s">
        <v>145</v>
      </c>
      <c r="V2331" s="1" t="s">
        <v>36</v>
      </c>
      <c r="W2331" s="1" t="s">
        <v>37</v>
      </c>
      <c r="X2331" s="1" t="s">
        <v>365</v>
      </c>
      <c r="Y2331" s="1" t="s">
        <v>366</v>
      </c>
      <c r="Z2331" s="1" t="str">
        <f>TRIM(_xlfn.CONCAT(sales_data_sample[[#This Row],[CONTACTFIRSTNAME]],", ",sales_data_sample[[#This Row],[CONTACTLASTNAME]]))</f>
        <v>Valarie, Nelson</v>
      </c>
      <c r="AA2331" s="1" t="s">
        <v>40</v>
      </c>
    </row>
    <row r="2332" spans="1:27" x14ac:dyDescent="0.25">
      <c r="A2332" s="10">
        <v>10145</v>
      </c>
      <c r="B2332" s="9">
        <v>27</v>
      </c>
      <c r="C2332" s="9">
        <v>100</v>
      </c>
      <c r="D2332" s="9">
        <f>PRODUCT(sales_data_sample[[#This Row],[QUANTITYORDERED]],sales_data_sample[[#This Row],[PRICEEACH]])</f>
        <v>2700</v>
      </c>
      <c r="E2332" s="9">
        <f>IF(OR(sales_data_sample[[#This Row],[STATUS]]="Shipped",sales_data_sample[[#This Row],[STATUS]]="Resolved"),sales_data_sample[[#This Row],[SALES]],0)</f>
        <v>2700</v>
      </c>
      <c r="F2332" s="10">
        <v>4</v>
      </c>
      <c r="G2332" s="12" t="s">
        <v>60</v>
      </c>
      <c r="H2332" s="1" t="s">
        <v>26</v>
      </c>
      <c r="I2332">
        <v>3</v>
      </c>
      <c r="J2332">
        <v>8</v>
      </c>
      <c r="K2332">
        <v>2003</v>
      </c>
      <c r="L2332" s="1" t="s">
        <v>27</v>
      </c>
      <c r="M2332">
        <v>102</v>
      </c>
      <c r="N2332" s="1" t="s">
        <v>995</v>
      </c>
      <c r="O2332" s="1" t="s">
        <v>61</v>
      </c>
      <c r="P2332" s="1" t="s">
        <v>62</v>
      </c>
      <c r="Q2332" s="1" t="s">
        <v>63</v>
      </c>
      <c r="R2332" s="1" t="s">
        <v>32</v>
      </c>
      <c r="S2332" s="1" t="s">
        <v>64</v>
      </c>
      <c r="T2332" s="1" t="s">
        <v>65</v>
      </c>
      <c r="U2332" s="1" t="s">
        <v>66</v>
      </c>
      <c r="V2332" s="1" t="s">
        <v>36</v>
      </c>
      <c r="W2332" s="1" t="s">
        <v>37</v>
      </c>
      <c r="X2332" s="1" t="s">
        <v>67</v>
      </c>
      <c r="Y2332" s="1" t="s">
        <v>68</v>
      </c>
      <c r="Z2332" s="1" t="str">
        <f>TRIM(_xlfn.CONCAT(sales_data_sample[[#This Row],[CONTACTFIRSTNAME]],", ",sales_data_sample[[#This Row],[CONTACTLASTNAME]]))</f>
        <v>Julie, Young</v>
      </c>
      <c r="AA2332" s="1" t="s">
        <v>59</v>
      </c>
    </row>
    <row r="2333" spans="1:27" x14ac:dyDescent="0.25">
      <c r="A2333" s="10">
        <v>10159</v>
      </c>
      <c r="B2333" s="9">
        <v>23</v>
      </c>
      <c r="C2333" s="9">
        <v>100</v>
      </c>
      <c r="D2333" s="9">
        <f>PRODUCT(sales_data_sample[[#This Row],[QUANTITYORDERED]],sales_data_sample[[#This Row],[PRICEEACH]])</f>
        <v>2300</v>
      </c>
      <c r="E2333" s="9">
        <f>IF(OR(sales_data_sample[[#This Row],[STATUS]]="Shipped",sales_data_sample[[#This Row],[STATUS]]="Resolved"),sales_data_sample[[#This Row],[SALES]],0)</f>
        <v>2300</v>
      </c>
      <c r="F2333" s="10">
        <v>12</v>
      </c>
      <c r="G2333" s="12" t="s">
        <v>69</v>
      </c>
      <c r="H2333" s="1" t="s">
        <v>26</v>
      </c>
      <c r="I2333">
        <v>4</v>
      </c>
      <c r="J2333">
        <v>10</v>
      </c>
      <c r="K2333">
        <v>2003</v>
      </c>
      <c r="L2333" s="1" t="s">
        <v>27</v>
      </c>
      <c r="M2333">
        <v>102</v>
      </c>
      <c r="N2333" s="1" t="s">
        <v>995</v>
      </c>
      <c r="O2333" s="1" t="s">
        <v>70</v>
      </c>
      <c r="P2333" s="1" t="s">
        <v>71</v>
      </c>
      <c r="Q2333" s="1" t="s">
        <v>72</v>
      </c>
      <c r="R2333" s="1" t="s">
        <v>32</v>
      </c>
      <c r="S2333" s="1" t="s">
        <v>73</v>
      </c>
      <c r="T2333" s="1" t="s">
        <v>65</v>
      </c>
      <c r="U2333" s="1" t="s">
        <v>32</v>
      </c>
      <c r="V2333" s="1" t="s">
        <v>36</v>
      </c>
      <c r="W2333" s="1" t="s">
        <v>37</v>
      </c>
      <c r="X2333" s="1" t="s">
        <v>74</v>
      </c>
      <c r="Y2333" s="1" t="s">
        <v>68</v>
      </c>
      <c r="Z2333" s="1" t="str">
        <f>TRIM(_xlfn.CONCAT(sales_data_sample[[#This Row],[CONTACTFIRSTNAME]],", ",sales_data_sample[[#This Row],[CONTACTLASTNAME]]))</f>
        <v>Julie, Brown</v>
      </c>
      <c r="AA2333" s="1" t="s">
        <v>40</v>
      </c>
    </row>
    <row r="2334" spans="1:27" x14ac:dyDescent="0.25">
      <c r="A2334">
        <v>10169</v>
      </c>
      <c r="B2334">
        <v>34</v>
      </c>
      <c r="C2334">
        <v>100</v>
      </c>
      <c r="D2334">
        <f>PRODUCT(sales_data_sample[[#This Row],[QUANTITYORDERED]],sales_data_sample[[#This Row],[PRICEEACH]])</f>
        <v>3400</v>
      </c>
      <c r="E2334" s="9">
        <f>IF(OR(sales_data_sample[[#This Row],[STATUS]]="Shipped",sales_data_sample[[#This Row],[STATUS]]="Resolved"),sales_data_sample[[#This Row],[SALES]],0)</f>
        <v>3400</v>
      </c>
      <c r="F2334">
        <v>12</v>
      </c>
      <c r="G2334" s="12" t="s">
        <v>609</v>
      </c>
      <c r="H2334" s="1" t="s">
        <v>26</v>
      </c>
      <c r="I2334">
        <v>4</v>
      </c>
      <c r="J2334">
        <v>11</v>
      </c>
      <c r="K2334">
        <v>2003</v>
      </c>
      <c r="L2334" s="1" t="s">
        <v>27</v>
      </c>
      <c r="M2334">
        <v>102</v>
      </c>
      <c r="N2334" s="1" t="s">
        <v>995</v>
      </c>
      <c r="O2334" s="1" t="s">
        <v>385</v>
      </c>
      <c r="P2334" s="1" t="s">
        <v>386</v>
      </c>
      <c r="Q2334" s="1" t="s">
        <v>387</v>
      </c>
      <c r="R2334" s="1" t="s">
        <v>388</v>
      </c>
      <c r="S2334" s="1" t="s">
        <v>389</v>
      </c>
      <c r="T2334" s="1" t="s">
        <v>206</v>
      </c>
      <c r="U2334" s="1" t="s">
        <v>390</v>
      </c>
      <c r="V2334" s="1" t="s">
        <v>120</v>
      </c>
      <c r="W2334" s="1" t="s">
        <v>121</v>
      </c>
      <c r="X2334" s="1" t="s">
        <v>391</v>
      </c>
      <c r="Y2334" s="1" t="s">
        <v>392</v>
      </c>
      <c r="Z2334" s="1" t="str">
        <f>TRIM(_xlfn.CONCAT(sales_data_sample[[#This Row],[CONTACTFIRSTNAME]],", ",sales_data_sample[[#This Row],[CONTACTLASTNAME]]))</f>
        <v>Anna, O'Hara</v>
      </c>
      <c r="AA2334" s="1" t="s">
        <v>59</v>
      </c>
    </row>
    <row r="2335" spans="1:27" x14ac:dyDescent="0.25">
      <c r="A2335" s="10">
        <v>10180</v>
      </c>
      <c r="B2335" s="9">
        <v>22</v>
      </c>
      <c r="C2335" s="9">
        <v>100</v>
      </c>
      <c r="D2335" s="9">
        <f>PRODUCT(sales_data_sample[[#This Row],[QUANTITYORDERED]],sales_data_sample[[#This Row],[PRICEEACH]])</f>
        <v>2200</v>
      </c>
      <c r="E2335" s="9">
        <f>IF(OR(sales_data_sample[[#This Row],[STATUS]]="Shipped",sales_data_sample[[#This Row],[STATUS]]="Resolved"),sales_data_sample[[#This Row],[SALES]],0)</f>
        <v>2200</v>
      </c>
      <c r="F2335" s="10">
        <v>7</v>
      </c>
      <c r="G2335" s="12" t="s">
        <v>83</v>
      </c>
      <c r="H2335" s="1" t="s">
        <v>26</v>
      </c>
      <c r="I2335">
        <v>4</v>
      </c>
      <c r="J2335">
        <v>11</v>
      </c>
      <c r="K2335">
        <v>2003</v>
      </c>
      <c r="L2335" s="1" t="s">
        <v>27</v>
      </c>
      <c r="M2335">
        <v>102</v>
      </c>
      <c r="N2335" s="1" t="s">
        <v>995</v>
      </c>
      <c r="O2335" s="1" t="s">
        <v>84</v>
      </c>
      <c r="P2335" s="1" t="s">
        <v>85</v>
      </c>
      <c r="Q2335" s="1" t="s">
        <v>86</v>
      </c>
      <c r="R2335" s="1" t="s">
        <v>32</v>
      </c>
      <c r="S2335" s="1" t="s">
        <v>87</v>
      </c>
      <c r="T2335" s="1" t="s">
        <v>32</v>
      </c>
      <c r="U2335" s="1" t="s">
        <v>88</v>
      </c>
      <c r="V2335" s="1" t="s">
        <v>47</v>
      </c>
      <c r="W2335" s="1" t="s">
        <v>48</v>
      </c>
      <c r="X2335" s="1" t="s">
        <v>89</v>
      </c>
      <c r="Y2335" s="1" t="s">
        <v>90</v>
      </c>
      <c r="Z2335" s="1" t="str">
        <f>TRIM(_xlfn.CONCAT(sales_data_sample[[#This Row],[CONTACTFIRSTNAME]],", ",sales_data_sample[[#This Row],[CONTACTLASTNAME]]))</f>
        <v>Martine, Rance</v>
      </c>
      <c r="AA2335" s="1" t="s">
        <v>40</v>
      </c>
    </row>
    <row r="2336" spans="1:27" x14ac:dyDescent="0.25">
      <c r="A2336" s="10">
        <v>10190</v>
      </c>
      <c r="B2336" s="9">
        <v>42</v>
      </c>
      <c r="C2336" s="9">
        <v>8572</v>
      </c>
      <c r="D2336" s="9">
        <f>PRODUCT(sales_data_sample[[#This Row],[QUANTITYORDERED]],sales_data_sample[[#This Row],[PRICEEACH]])</f>
        <v>360024</v>
      </c>
      <c r="E2336" s="9">
        <f>IF(OR(sales_data_sample[[#This Row],[STATUS]]="Shipped",sales_data_sample[[#This Row],[STATUS]]="Resolved"),sales_data_sample[[#This Row],[SALES]],0)</f>
        <v>360024</v>
      </c>
      <c r="F2336" s="10">
        <v>4</v>
      </c>
      <c r="G2336" s="12" t="s">
        <v>961</v>
      </c>
      <c r="H2336" s="1" t="s">
        <v>26</v>
      </c>
      <c r="I2336">
        <v>4</v>
      </c>
      <c r="J2336">
        <v>11</v>
      </c>
      <c r="K2336">
        <v>2003</v>
      </c>
      <c r="L2336" s="1" t="s">
        <v>27</v>
      </c>
      <c r="M2336">
        <v>102</v>
      </c>
      <c r="N2336" s="1" t="s">
        <v>995</v>
      </c>
      <c r="O2336" s="1" t="s">
        <v>230</v>
      </c>
      <c r="P2336" s="1" t="s">
        <v>231</v>
      </c>
      <c r="Q2336" s="1" t="s">
        <v>232</v>
      </c>
      <c r="R2336" s="1" t="s">
        <v>32</v>
      </c>
      <c r="S2336" s="1" t="s">
        <v>233</v>
      </c>
      <c r="T2336" s="1" t="s">
        <v>32</v>
      </c>
      <c r="U2336" s="1" t="s">
        <v>234</v>
      </c>
      <c r="V2336" s="1" t="s">
        <v>235</v>
      </c>
      <c r="W2336" s="1" t="s">
        <v>48</v>
      </c>
      <c r="X2336" s="1" t="s">
        <v>236</v>
      </c>
      <c r="Y2336" s="1" t="s">
        <v>237</v>
      </c>
      <c r="Z2336" s="1" t="str">
        <f>TRIM(_xlfn.CONCAT(sales_data_sample[[#This Row],[CONTACTFIRSTNAME]],", ",sales_data_sample[[#This Row],[CONTACTLASTNAME]]))</f>
        <v>Diego, Freyre</v>
      </c>
      <c r="AA2336" s="1" t="s">
        <v>59</v>
      </c>
    </row>
    <row r="2337" spans="1:27" x14ac:dyDescent="0.25">
      <c r="A2337" s="10">
        <v>10211</v>
      </c>
      <c r="B2337" s="9">
        <v>37</v>
      </c>
      <c r="C2337" s="9">
        <v>100</v>
      </c>
      <c r="D2337" s="9">
        <f>PRODUCT(sales_data_sample[[#This Row],[QUANTITYORDERED]],sales_data_sample[[#This Row],[PRICEEACH]])</f>
        <v>3700</v>
      </c>
      <c r="E2337" s="9">
        <f>IF(OR(sales_data_sample[[#This Row],[STATUS]]="Shipped",sales_data_sample[[#This Row],[STATUS]]="Resolved"),sales_data_sample[[#This Row],[SALES]],0)</f>
        <v>3700</v>
      </c>
      <c r="F2337" s="10">
        <v>12</v>
      </c>
      <c r="G2337" s="12" t="s">
        <v>105</v>
      </c>
      <c r="H2337" s="1" t="s">
        <v>26</v>
      </c>
      <c r="I2337">
        <v>1</v>
      </c>
      <c r="J2337">
        <v>1</v>
      </c>
      <c r="K2337">
        <v>2004</v>
      </c>
      <c r="L2337" s="1" t="s">
        <v>27</v>
      </c>
      <c r="M2337">
        <v>102</v>
      </c>
      <c r="N2337" s="1" t="s">
        <v>995</v>
      </c>
      <c r="O2337" s="1" t="s">
        <v>106</v>
      </c>
      <c r="P2337" s="1" t="s">
        <v>107</v>
      </c>
      <c r="Q2337" s="1" t="s">
        <v>108</v>
      </c>
      <c r="R2337" s="1" t="s">
        <v>32</v>
      </c>
      <c r="S2337" s="1" t="s">
        <v>55</v>
      </c>
      <c r="T2337" s="1" t="s">
        <v>32</v>
      </c>
      <c r="U2337" s="1" t="s">
        <v>109</v>
      </c>
      <c r="V2337" s="1" t="s">
        <v>47</v>
      </c>
      <c r="W2337" s="1" t="s">
        <v>48</v>
      </c>
      <c r="X2337" s="1" t="s">
        <v>110</v>
      </c>
      <c r="Y2337" s="1" t="s">
        <v>111</v>
      </c>
      <c r="Z2337" s="1" t="str">
        <f>TRIM(_xlfn.CONCAT(sales_data_sample[[#This Row],[CONTACTFIRSTNAME]],", ",sales_data_sample[[#This Row],[CONTACTLASTNAME]]))</f>
        <v>Dominique, Perrier</v>
      </c>
      <c r="AA2337" s="1" t="s">
        <v>59</v>
      </c>
    </row>
    <row r="2338" spans="1:27" x14ac:dyDescent="0.25">
      <c r="A2338" s="10">
        <v>10224</v>
      </c>
      <c r="B2338" s="9">
        <v>30</v>
      </c>
      <c r="C2338" s="9">
        <v>100</v>
      </c>
      <c r="D2338" s="9">
        <f>PRODUCT(sales_data_sample[[#This Row],[QUANTITYORDERED]],sales_data_sample[[#This Row],[PRICEEACH]])</f>
        <v>3000</v>
      </c>
      <c r="E2338" s="9">
        <f>IF(OR(sales_data_sample[[#This Row],[STATUS]]="Shipped",sales_data_sample[[#This Row],[STATUS]]="Resolved"),sales_data_sample[[#This Row],[SALES]],0)</f>
        <v>3000</v>
      </c>
      <c r="F2338" s="10">
        <v>5</v>
      </c>
      <c r="G2338" s="12" t="s">
        <v>716</v>
      </c>
      <c r="H2338" s="1" t="s">
        <v>26</v>
      </c>
      <c r="I2338">
        <v>1</v>
      </c>
      <c r="J2338">
        <v>2</v>
      </c>
      <c r="K2338">
        <v>2004</v>
      </c>
      <c r="L2338" s="1" t="s">
        <v>27</v>
      </c>
      <c r="M2338">
        <v>102</v>
      </c>
      <c r="N2338" s="1" t="s">
        <v>995</v>
      </c>
      <c r="O2338" s="1" t="s">
        <v>84</v>
      </c>
      <c r="P2338" s="1" t="s">
        <v>85</v>
      </c>
      <c r="Q2338" s="1" t="s">
        <v>86</v>
      </c>
      <c r="R2338" s="1" t="s">
        <v>32</v>
      </c>
      <c r="S2338" s="1" t="s">
        <v>87</v>
      </c>
      <c r="T2338" s="1" t="s">
        <v>32</v>
      </c>
      <c r="U2338" s="1" t="s">
        <v>88</v>
      </c>
      <c r="V2338" s="1" t="s">
        <v>47</v>
      </c>
      <c r="W2338" s="1" t="s">
        <v>48</v>
      </c>
      <c r="X2338" s="1" t="s">
        <v>89</v>
      </c>
      <c r="Y2338" s="1" t="s">
        <v>90</v>
      </c>
      <c r="Z2338" s="1" t="str">
        <f>TRIM(_xlfn.CONCAT(sales_data_sample[[#This Row],[CONTACTFIRSTNAME]],", ",sales_data_sample[[#This Row],[CONTACTLASTNAME]]))</f>
        <v>Martine, Rance</v>
      </c>
      <c r="AA2338" s="1" t="s">
        <v>59</v>
      </c>
    </row>
    <row r="2339" spans="1:27" x14ac:dyDescent="0.25">
      <c r="A2339">
        <v>10237</v>
      </c>
      <c r="B2339">
        <v>27</v>
      </c>
      <c r="C2339">
        <v>100</v>
      </c>
      <c r="D2339">
        <f>PRODUCT(sales_data_sample[[#This Row],[QUANTITYORDERED]],sales_data_sample[[#This Row],[PRICEEACH]])</f>
        <v>2700</v>
      </c>
      <c r="E2339" s="9">
        <f>IF(OR(sales_data_sample[[#This Row],[STATUS]]="Shipped",sales_data_sample[[#This Row],[STATUS]]="Resolved"),sales_data_sample[[#This Row],[SALES]],0)</f>
        <v>2700</v>
      </c>
      <c r="F2339">
        <v>5</v>
      </c>
      <c r="G2339" s="12" t="s">
        <v>124</v>
      </c>
      <c r="H2339" s="1" t="s">
        <v>26</v>
      </c>
      <c r="I2339">
        <v>2</v>
      </c>
      <c r="J2339">
        <v>4</v>
      </c>
      <c r="K2339">
        <v>2004</v>
      </c>
      <c r="L2339" s="1" t="s">
        <v>27</v>
      </c>
      <c r="M2339">
        <v>102</v>
      </c>
      <c r="N2339" s="1" t="s">
        <v>995</v>
      </c>
      <c r="O2339" s="1" t="s">
        <v>125</v>
      </c>
      <c r="P2339" s="1" t="s">
        <v>126</v>
      </c>
      <c r="Q2339" s="1" t="s">
        <v>127</v>
      </c>
      <c r="R2339" s="1" t="s">
        <v>128</v>
      </c>
      <c r="S2339" s="1" t="s">
        <v>33</v>
      </c>
      <c r="T2339" s="1" t="s">
        <v>34</v>
      </c>
      <c r="U2339" s="1" t="s">
        <v>35</v>
      </c>
      <c r="V2339" s="1" t="s">
        <v>36</v>
      </c>
      <c r="W2339" s="1" t="s">
        <v>37</v>
      </c>
      <c r="X2339" s="1" t="s">
        <v>129</v>
      </c>
      <c r="Y2339" s="1" t="s">
        <v>130</v>
      </c>
      <c r="Z2339" s="1" t="str">
        <f>TRIM(_xlfn.CONCAT(sales_data_sample[[#This Row],[CONTACTFIRSTNAME]],", ",sales_data_sample[[#This Row],[CONTACTLASTNAME]]))</f>
        <v>Michael, Frick</v>
      </c>
      <c r="AA2339" s="1" t="s">
        <v>59</v>
      </c>
    </row>
    <row r="2340" spans="1:27" x14ac:dyDescent="0.25">
      <c r="A2340" s="10">
        <v>10252</v>
      </c>
      <c r="B2340" s="9">
        <v>25</v>
      </c>
      <c r="C2340" s="9">
        <v>100</v>
      </c>
      <c r="D2340" s="9">
        <f>PRODUCT(sales_data_sample[[#This Row],[QUANTITYORDERED]],sales_data_sample[[#This Row],[PRICEEACH]])</f>
        <v>2500</v>
      </c>
      <c r="E2340" s="9">
        <f>IF(OR(sales_data_sample[[#This Row],[STATUS]]="Shipped",sales_data_sample[[#This Row],[STATUS]]="Resolved"),sales_data_sample[[#This Row],[SALES]],0)</f>
        <v>2500</v>
      </c>
      <c r="F2340" s="10">
        <v>9</v>
      </c>
      <c r="G2340" s="12" t="s">
        <v>922</v>
      </c>
      <c r="H2340" s="1" t="s">
        <v>26</v>
      </c>
      <c r="I2340">
        <v>2</v>
      </c>
      <c r="J2340">
        <v>5</v>
      </c>
      <c r="K2340">
        <v>2004</v>
      </c>
      <c r="L2340" s="1" t="s">
        <v>27</v>
      </c>
      <c r="M2340">
        <v>102</v>
      </c>
      <c r="N2340" s="1" t="s">
        <v>995</v>
      </c>
      <c r="O2340" s="1" t="s">
        <v>106</v>
      </c>
      <c r="P2340" s="1" t="s">
        <v>107</v>
      </c>
      <c r="Q2340" s="1" t="s">
        <v>108</v>
      </c>
      <c r="R2340" s="1" t="s">
        <v>32</v>
      </c>
      <c r="S2340" s="1" t="s">
        <v>55</v>
      </c>
      <c r="T2340" s="1" t="s">
        <v>32</v>
      </c>
      <c r="U2340" s="1" t="s">
        <v>109</v>
      </c>
      <c r="V2340" s="1" t="s">
        <v>47</v>
      </c>
      <c r="W2340" s="1" t="s">
        <v>48</v>
      </c>
      <c r="X2340" s="1" t="s">
        <v>110</v>
      </c>
      <c r="Y2340" s="1" t="s">
        <v>111</v>
      </c>
      <c r="Z2340" s="1" t="str">
        <f>TRIM(_xlfn.CONCAT(sales_data_sample[[#This Row],[CONTACTFIRSTNAME]],", ",sales_data_sample[[#This Row],[CONTACTLASTNAME]]))</f>
        <v>Dominique, Perrier</v>
      </c>
      <c r="AA2340" s="1" t="s">
        <v>40</v>
      </c>
    </row>
    <row r="2341" spans="1:27" x14ac:dyDescent="0.25">
      <c r="A2341" s="10">
        <v>10264</v>
      </c>
      <c r="B2341" s="9">
        <v>34</v>
      </c>
      <c r="C2341" s="9">
        <v>9797</v>
      </c>
      <c r="D2341" s="9">
        <f>PRODUCT(sales_data_sample[[#This Row],[QUANTITYORDERED]],sales_data_sample[[#This Row],[PRICEEACH]])</f>
        <v>333098</v>
      </c>
      <c r="E2341" s="9">
        <f>IF(OR(sales_data_sample[[#This Row],[STATUS]]="Shipped",sales_data_sample[[#This Row],[STATUS]]="Resolved"),sales_data_sample[[#This Row],[SALES]],0)</f>
        <v>333098</v>
      </c>
      <c r="F2341" s="10">
        <v>7</v>
      </c>
      <c r="G2341" s="12" t="s">
        <v>932</v>
      </c>
      <c r="H2341" s="1" t="s">
        <v>26</v>
      </c>
      <c r="I2341">
        <v>2</v>
      </c>
      <c r="J2341">
        <v>6</v>
      </c>
      <c r="K2341">
        <v>2004</v>
      </c>
      <c r="L2341" s="1" t="s">
        <v>27</v>
      </c>
      <c r="M2341">
        <v>102</v>
      </c>
      <c r="N2341" s="1" t="s">
        <v>995</v>
      </c>
      <c r="O2341" s="1" t="s">
        <v>516</v>
      </c>
      <c r="P2341" s="1" t="s">
        <v>517</v>
      </c>
      <c r="Q2341" s="1" t="s">
        <v>518</v>
      </c>
      <c r="R2341" s="1" t="s">
        <v>32</v>
      </c>
      <c r="S2341" s="1" t="s">
        <v>519</v>
      </c>
      <c r="T2341" s="1" t="s">
        <v>160</v>
      </c>
      <c r="U2341" s="1" t="s">
        <v>520</v>
      </c>
      <c r="V2341" s="1" t="s">
        <v>36</v>
      </c>
      <c r="W2341" s="1" t="s">
        <v>37</v>
      </c>
      <c r="X2341" s="1" t="s">
        <v>521</v>
      </c>
      <c r="Y2341" s="1" t="s">
        <v>82</v>
      </c>
      <c r="Z2341" s="1" t="str">
        <f>TRIM(_xlfn.CONCAT(sales_data_sample[[#This Row],[CONTACTFIRSTNAME]],", ",sales_data_sample[[#This Row],[CONTACTLASTNAME]]))</f>
        <v>Juri, Yoshido</v>
      </c>
      <c r="AA2341" s="1" t="s">
        <v>59</v>
      </c>
    </row>
    <row r="2342" spans="1:27" x14ac:dyDescent="0.25">
      <c r="A2342" s="10">
        <v>10276</v>
      </c>
      <c r="B2342" s="9">
        <v>38</v>
      </c>
      <c r="C2342" s="9">
        <v>100</v>
      </c>
      <c r="D2342" s="9">
        <f>PRODUCT(sales_data_sample[[#This Row],[QUANTITYORDERED]],sales_data_sample[[#This Row],[PRICEEACH]])</f>
        <v>3800</v>
      </c>
      <c r="E2342" s="9">
        <f>IF(OR(sales_data_sample[[#This Row],[STATUS]]="Shipped",sales_data_sample[[#This Row],[STATUS]]="Resolved"),sales_data_sample[[#This Row],[SALES]],0)</f>
        <v>3800</v>
      </c>
      <c r="F2342" s="10">
        <v>13</v>
      </c>
      <c r="G2342" s="12" t="s">
        <v>639</v>
      </c>
      <c r="H2342" s="1" t="s">
        <v>26</v>
      </c>
      <c r="I2342">
        <v>3</v>
      </c>
      <c r="J2342">
        <v>8</v>
      </c>
      <c r="K2342">
        <v>2004</v>
      </c>
      <c r="L2342" s="1" t="s">
        <v>27</v>
      </c>
      <c r="M2342">
        <v>102</v>
      </c>
      <c r="N2342" s="1" t="s">
        <v>995</v>
      </c>
      <c r="O2342" s="1" t="s">
        <v>640</v>
      </c>
      <c r="P2342" s="1" t="s">
        <v>641</v>
      </c>
      <c r="Q2342" s="1" t="s">
        <v>642</v>
      </c>
      <c r="R2342" s="1" t="s">
        <v>32</v>
      </c>
      <c r="S2342" s="1" t="s">
        <v>380</v>
      </c>
      <c r="T2342" s="1" t="s">
        <v>160</v>
      </c>
      <c r="U2342" s="1" t="s">
        <v>381</v>
      </c>
      <c r="V2342" s="1" t="s">
        <v>36</v>
      </c>
      <c r="W2342" s="1" t="s">
        <v>37</v>
      </c>
      <c r="X2342" s="1" t="s">
        <v>643</v>
      </c>
      <c r="Y2342" s="1" t="s">
        <v>644</v>
      </c>
      <c r="Z2342" s="1" t="str">
        <f>TRIM(_xlfn.CONCAT(sales_data_sample[[#This Row],[CONTACTFIRSTNAME]],", ",sales_data_sample[[#This Row],[CONTACTLASTNAME]]))</f>
        <v>Miguel, Barajas</v>
      </c>
      <c r="AA2342" s="1" t="s">
        <v>59</v>
      </c>
    </row>
    <row r="2343" spans="1:27" x14ac:dyDescent="0.25">
      <c r="A2343" s="10">
        <v>10285</v>
      </c>
      <c r="B2343" s="9">
        <v>26</v>
      </c>
      <c r="C2343" s="9">
        <v>100</v>
      </c>
      <c r="D2343" s="9">
        <f>PRODUCT(sales_data_sample[[#This Row],[QUANTITYORDERED]],sales_data_sample[[#This Row],[PRICEEACH]])</f>
        <v>2600</v>
      </c>
      <c r="E2343" s="9">
        <f>IF(OR(sales_data_sample[[#This Row],[STATUS]]="Shipped",sales_data_sample[[#This Row],[STATUS]]="Resolved"),sales_data_sample[[#This Row],[SALES]],0)</f>
        <v>2600</v>
      </c>
      <c r="F2343" s="10">
        <v>4</v>
      </c>
      <c r="G2343" s="12" t="s">
        <v>155</v>
      </c>
      <c r="H2343" s="1" t="s">
        <v>26</v>
      </c>
      <c r="I2343">
        <v>3</v>
      </c>
      <c r="J2343">
        <v>8</v>
      </c>
      <c r="K2343">
        <v>2004</v>
      </c>
      <c r="L2343" s="1" t="s">
        <v>27</v>
      </c>
      <c r="M2343">
        <v>102</v>
      </c>
      <c r="N2343" s="1" t="s">
        <v>995</v>
      </c>
      <c r="O2343" s="1" t="s">
        <v>156</v>
      </c>
      <c r="P2343" s="1" t="s">
        <v>157</v>
      </c>
      <c r="Q2343" s="1" t="s">
        <v>158</v>
      </c>
      <c r="R2343" s="1" t="s">
        <v>32</v>
      </c>
      <c r="S2343" s="1" t="s">
        <v>159</v>
      </c>
      <c r="T2343" s="1" t="s">
        <v>160</v>
      </c>
      <c r="U2343" s="1" t="s">
        <v>161</v>
      </c>
      <c r="V2343" s="1" t="s">
        <v>36</v>
      </c>
      <c r="W2343" s="1" t="s">
        <v>37</v>
      </c>
      <c r="X2343" s="1" t="s">
        <v>162</v>
      </c>
      <c r="Y2343" s="1" t="s">
        <v>163</v>
      </c>
      <c r="Z2343" s="1" t="str">
        <f>TRIM(_xlfn.CONCAT(sales_data_sample[[#This Row],[CONTACTFIRSTNAME]],", ",sales_data_sample[[#This Row],[CONTACTLASTNAME]]))</f>
        <v>Marta, Hernandez</v>
      </c>
      <c r="AA2343" s="1" t="s">
        <v>40</v>
      </c>
    </row>
    <row r="2344" spans="1:27" x14ac:dyDescent="0.25">
      <c r="A2344" s="10">
        <v>10299</v>
      </c>
      <c r="B2344" s="9">
        <v>38</v>
      </c>
      <c r="C2344" s="9">
        <v>100</v>
      </c>
      <c r="D2344" s="9">
        <f>PRODUCT(sales_data_sample[[#This Row],[QUANTITYORDERED]],sales_data_sample[[#This Row],[PRICEEACH]])</f>
        <v>3800</v>
      </c>
      <c r="E2344" s="9">
        <f>IF(OR(sales_data_sample[[#This Row],[STATUS]]="Shipped",sales_data_sample[[#This Row],[STATUS]]="Resolved"),sales_data_sample[[#This Row],[SALES]],0)</f>
        <v>3800</v>
      </c>
      <c r="F2344" s="10">
        <v>7</v>
      </c>
      <c r="G2344" s="12" t="s">
        <v>164</v>
      </c>
      <c r="H2344" s="1" t="s">
        <v>26</v>
      </c>
      <c r="I2344">
        <v>3</v>
      </c>
      <c r="J2344">
        <v>9</v>
      </c>
      <c r="K2344">
        <v>2004</v>
      </c>
      <c r="L2344" s="1" t="s">
        <v>27</v>
      </c>
      <c r="M2344">
        <v>102</v>
      </c>
      <c r="N2344" s="1" t="s">
        <v>995</v>
      </c>
      <c r="O2344" s="1" t="s">
        <v>165</v>
      </c>
      <c r="P2344" s="1" t="s">
        <v>166</v>
      </c>
      <c r="Q2344" s="1" t="s">
        <v>167</v>
      </c>
      <c r="R2344" s="1" t="s">
        <v>32</v>
      </c>
      <c r="S2344" s="1" t="s">
        <v>168</v>
      </c>
      <c r="T2344" s="1" t="s">
        <v>32</v>
      </c>
      <c r="U2344" s="1" t="s">
        <v>169</v>
      </c>
      <c r="V2344" s="1" t="s">
        <v>170</v>
      </c>
      <c r="W2344" s="1" t="s">
        <v>48</v>
      </c>
      <c r="X2344" s="1" t="s">
        <v>171</v>
      </c>
      <c r="Y2344" s="1" t="s">
        <v>172</v>
      </c>
      <c r="Z2344" s="1" t="str">
        <f>TRIM(_xlfn.CONCAT(sales_data_sample[[#This Row],[CONTACTFIRSTNAME]],", ",sales_data_sample[[#This Row],[CONTACTLASTNAME]]))</f>
        <v>Matti, Karttunen</v>
      </c>
      <c r="AA2344" s="1" t="s">
        <v>59</v>
      </c>
    </row>
    <row r="2345" spans="1:27" x14ac:dyDescent="0.25">
      <c r="A2345" s="10">
        <v>10309</v>
      </c>
      <c r="B2345" s="9">
        <v>50</v>
      </c>
      <c r="C2345" s="9">
        <v>847</v>
      </c>
      <c r="D2345" s="9">
        <f>PRODUCT(sales_data_sample[[#This Row],[QUANTITYORDERED]],sales_data_sample[[#This Row],[PRICEEACH]])</f>
        <v>42350</v>
      </c>
      <c r="E2345" s="9">
        <f>IF(OR(sales_data_sample[[#This Row],[STATUS]]="Shipped",sales_data_sample[[#This Row],[STATUS]]="Resolved"),sales_data_sample[[#This Row],[SALES]],0)</f>
        <v>42350</v>
      </c>
      <c r="F2345" s="10">
        <v>3</v>
      </c>
      <c r="G2345" s="12" t="s">
        <v>173</v>
      </c>
      <c r="H2345" s="1" t="s">
        <v>26</v>
      </c>
      <c r="I2345">
        <v>4</v>
      </c>
      <c r="J2345">
        <v>10</v>
      </c>
      <c r="K2345">
        <v>2004</v>
      </c>
      <c r="L2345" s="1" t="s">
        <v>27</v>
      </c>
      <c r="M2345">
        <v>102</v>
      </c>
      <c r="N2345" s="1" t="s">
        <v>995</v>
      </c>
      <c r="O2345" s="1" t="s">
        <v>174</v>
      </c>
      <c r="P2345" s="1" t="s">
        <v>175</v>
      </c>
      <c r="Q2345" s="1" t="s">
        <v>176</v>
      </c>
      <c r="R2345" s="1" t="s">
        <v>32</v>
      </c>
      <c r="S2345" s="1" t="s">
        <v>177</v>
      </c>
      <c r="T2345" s="1" t="s">
        <v>32</v>
      </c>
      <c r="U2345" s="1" t="s">
        <v>178</v>
      </c>
      <c r="V2345" s="1" t="s">
        <v>97</v>
      </c>
      <c r="W2345" s="1" t="s">
        <v>48</v>
      </c>
      <c r="X2345" s="1" t="s">
        <v>179</v>
      </c>
      <c r="Y2345" s="1" t="s">
        <v>180</v>
      </c>
      <c r="Z2345" s="1" t="str">
        <f>TRIM(_xlfn.CONCAT(sales_data_sample[[#This Row],[CONTACTFIRSTNAME]],", ",sales_data_sample[[#This Row],[CONTACTLASTNAME]]))</f>
        <v>Jonas, Bergulfsen</v>
      </c>
      <c r="AA2345" s="1" t="s">
        <v>59</v>
      </c>
    </row>
    <row r="2346" spans="1:27" x14ac:dyDescent="0.25">
      <c r="A2346">
        <v>10319</v>
      </c>
      <c r="B2346">
        <v>22</v>
      </c>
      <c r="C2346">
        <v>100</v>
      </c>
      <c r="D2346">
        <f>PRODUCT(sales_data_sample[[#This Row],[QUANTITYORDERED]],sales_data_sample[[#This Row],[PRICEEACH]])</f>
        <v>2200</v>
      </c>
      <c r="E2346" s="9">
        <f>IF(OR(sales_data_sample[[#This Row],[STATUS]]="Shipped",sales_data_sample[[#This Row],[STATUS]]="Resolved"),sales_data_sample[[#This Row],[SALES]],0)</f>
        <v>2200</v>
      </c>
      <c r="F2346">
        <v>8</v>
      </c>
      <c r="G2346" s="12" t="s">
        <v>654</v>
      </c>
      <c r="H2346" s="1" t="s">
        <v>26</v>
      </c>
      <c r="I2346">
        <v>4</v>
      </c>
      <c r="J2346">
        <v>11</v>
      </c>
      <c r="K2346">
        <v>2004</v>
      </c>
      <c r="L2346" s="1" t="s">
        <v>27</v>
      </c>
      <c r="M2346">
        <v>102</v>
      </c>
      <c r="N2346" s="1" t="s">
        <v>995</v>
      </c>
      <c r="O2346" s="1" t="s">
        <v>717</v>
      </c>
      <c r="P2346" s="1" t="s">
        <v>718</v>
      </c>
      <c r="Q2346" s="1" t="s">
        <v>719</v>
      </c>
      <c r="R2346" s="1" t="s">
        <v>720</v>
      </c>
      <c r="S2346" s="1" t="s">
        <v>33</v>
      </c>
      <c r="T2346" s="1" t="s">
        <v>34</v>
      </c>
      <c r="U2346" s="1" t="s">
        <v>35</v>
      </c>
      <c r="V2346" s="1" t="s">
        <v>36</v>
      </c>
      <c r="W2346" s="1" t="s">
        <v>37</v>
      </c>
      <c r="X2346" s="1" t="s">
        <v>721</v>
      </c>
      <c r="Y2346" s="1" t="s">
        <v>722</v>
      </c>
      <c r="Z2346" s="1" t="str">
        <f>TRIM(_xlfn.CONCAT(sales_data_sample[[#This Row],[CONTACTFIRSTNAME]],", ",sales_data_sample[[#This Row],[CONTACTLASTNAME]]))</f>
        <v>Kee, Kuo</v>
      </c>
      <c r="AA2346" s="1" t="s">
        <v>40</v>
      </c>
    </row>
    <row r="2347" spans="1:27" x14ac:dyDescent="0.25">
      <c r="A2347" s="10">
        <v>10331</v>
      </c>
      <c r="B2347" s="9">
        <v>32</v>
      </c>
      <c r="C2347" s="9">
        <v>100</v>
      </c>
      <c r="D2347" s="9">
        <f>PRODUCT(sales_data_sample[[#This Row],[QUANTITYORDERED]],sales_data_sample[[#This Row],[PRICEEACH]])</f>
        <v>3200</v>
      </c>
      <c r="E2347" s="9">
        <f>IF(OR(sales_data_sample[[#This Row],[STATUS]]="Shipped",sales_data_sample[[#This Row],[STATUS]]="Resolved"),sales_data_sample[[#This Row],[SALES]],0)</f>
        <v>3200</v>
      </c>
      <c r="F2347" s="10">
        <v>4</v>
      </c>
      <c r="G2347" s="12" t="s">
        <v>793</v>
      </c>
      <c r="H2347" s="1" t="s">
        <v>26</v>
      </c>
      <c r="I2347">
        <v>4</v>
      </c>
      <c r="J2347">
        <v>11</v>
      </c>
      <c r="K2347">
        <v>2004</v>
      </c>
      <c r="L2347" s="1" t="s">
        <v>27</v>
      </c>
      <c r="M2347">
        <v>102</v>
      </c>
      <c r="N2347" s="1" t="s">
        <v>995</v>
      </c>
      <c r="O2347" s="1" t="s">
        <v>415</v>
      </c>
      <c r="P2347" s="1" t="s">
        <v>416</v>
      </c>
      <c r="Q2347" s="1" t="s">
        <v>417</v>
      </c>
      <c r="R2347" s="1" t="s">
        <v>32</v>
      </c>
      <c r="S2347" s="1" t="s">
        <v>286</v>
      </c>
      <c r="T2347" s="1" t="s">
        <v>186</v>
      </c>
      <c r="U2347" s="1" t="s">
        <v>287</v>
      </c>
      <c r="V2347" s="1" t="s">
        <v>36</v>
      </c>
      <c r="W2347" s="1" t="s">
        <v>37</v>
      </c>
      <c r="X2347" s="1" t="s">
        <v>162</v>
      </c>
      <c r="Y2347" s="1" t="s">
        <v>418</v>
      </c>
      <c r="Z2347" s="1" t="str">
        <f>TRIM(_xlfn.CONCAT(sales_data_sample[[#This Row],[CONTACTFIRSTNAME]],", ",sales_data_sample[[#This Row],[CONTACTLASTNAME]]))</f>
        <v>Rosa, Hernandez</v>
      </c>
      <c r="AA2347" s="1" t="s">
        <v>59</v>
      </c>
    </row>
    <row r="2348" spans="1:27" x14ac:dyDescent="0.25">
      <c r="A2348" s="10">
        <v>10341</v>
      </c>
      <c r="B2348" s="9">
        <v>31</v>
      </c>
      <c r="C2348" s="9">
        <v>7102</v>
      </c>
      <c r="D2348" s="9">
        <f>PRODUCT(sales_data_sample[[#This Row],[QUANTITYORDERED]],sales_data_sample[[#This Row],[PRICEEACH]])</f>
        <v>220162</v>
      </c>
      <c r="E2348" s="9">
        <f>IF(OR(sales_data_sample[[#This Row],[STATUS]]="Shipped",sales_data_sample[[#This Row],[STATUS]]="Resolved"),sales_data_sample[[#This Row],[SALES]],0)</f>
        <v>220162</v>
      </c>
      <c r="F2348" s="10">
        <v>4</v>
      </c>
      <c r="G2348" s="12" t="s">
        <v>190</v>
      </c>
      <c r="H2348" s="1" t="s">
        <v>26</v>
      </c>
      <c r="I2348">
        <v>4</v>
      </c>
      <c r="J2348">
        <v>11</v>
      </c>
      <c r="K2348">
        <v>2004</v>
      </c>
      <c r="L2348" s="1" t="s">
        <v>27</v>
      </c>
      <c r="M2348">
        <v>102</v>
      </c>
      <c r="N2348" s="1" t="s">
        <v>995</v>
      </c>
      <c r="O2348" s="1" t="s">
        <v>191</v>
      </c>
      <c r="P2348" s="1" t="s">
        <v>192</v>
      </c>
      <c r="Q2348" s="1" t="s">
        <v>193</v>
      </c>
      <c r="R2348" s="1" t="s">
        <v>32</v>
      </c>
      <c r="S2348" s="1" t="s">
        <v>194</v>
      </c>
      <c r="T2348" s="1" t="s">
        <v>32</v>
      </c>
      <c r="U2348" s="1" t="s">
        <v>195</v>
      </c>
      <c r="V2348" s="1" t="s">
        <v>196</v>
      </c>
      <c r="W2348" s="1" t="s">
        <v>48</v>
      </c>
      <c r="X2348" s="1" t="s">
        <v>197</v>
      </c>
      <c r="Y2348" s="1" t="s">
        <v>198</v>
      </c>
      <c r="Z2348" s="1" t="str">
        <f>TRIM(_xlfn.CONCAT(sales_data_sample[[#This Row],[CONTACTFIRSTNAME]],", ",sales_data_sample[[#This Row],[CONTACTLASTNAME]]))</f>
        <v>Georg, Pipps</v>
      </c>
      <c r="AA2348" s="1" t="s">
        <v>40</v>
      </c>
    </row>
    <row r="2349" spans="1:27" x14ac:dyDescent="0.25">
      <c r="A2349" s="10">
        <v>10355</v>
      </c>
      <c r="B2349" s="9">
        <v>40</v>
      </c>
      <c r="C2349" s="9">
        <v>100</v>
      </c>
      <c r="D2349" s="9">
        <f>PRODUCT(sales_data_sample[[#This Row],[QUANTITYORDERED]],sales_data_sample[[#This Row],[PRICEEACH]])</f>
        <v>4000</v>
      </c>
      <c r="E2349" s="9">
        <f>IF(OR(sales_data_sample[[#This Row],[STATUS]]="Shipped",sales_data_sample[[#This Row],[STATUS]]="Resolved"),sales_data_sample[[#This Row],[SALES]],0)</f>
        <v>4000</v>
      </c>
      <c r="F2349" s="10">
        <v>5</v>
      </c>
      <c r="G2349" s="12" t="s">
        <v>928</v>
      </c>
      <c r="H2349" s="1" t="s">
        <v>26</v>
      </c>
      <c r="I2349">
        <v>4</v>
      </c>
      <c r="J2349">
        <v>12</v>
      </c>
      <c r="K2349">
        <v>2004</v>
      </c>
      <c r="L2349" s="1" t="s">
        <v>27</v>
      </c>
      <c r="M2349">
        <v>102</v>
      </c>
      <c r="N2349" s="1" t="s">
        <v>995</v>
      </c>
      <c r="O2349" s="1" t="s">
        <v>230</v>
      </c>
      <c r="P2349" s="1" t="s">
        <v>231</v>
      </c>
      <c r="Q2349" s="1" t="s">
        <v>232</v>
      </c>
      <c r="R2349" s="1" t="s">
        <v>32</v>
      </c>
      <c r="S2349" s="1" t="s">
        <v>233</v>
      </c>
      <c r="T2349" s="1" t="s">
        <v>32</v>
      </c>
      <c r="U2349" s="1" t="s">
        <v>234</v>
      </c>
      <c r="V2349" s="1" t="s">
        <v>235</v>
      </c>
      <c r="W2349" s="1" t="s">
        <v>48</v>
      </c>
      <c r="X2349" s="1" t="s">
        <v>236</v>
      </c>
      <c r="Y2349" s="1" t="s">
        <v>237</v>
      </c>
      <c r="Z2349" s="1" t="str">
        <f>TRIM(_xlfn.CONCAT(sales_data_sample[[#This Row],[CONTACTFIRSTNAME]],", ",sales_data_sample[[#This Row],[CONTACTLASTNAME]]))</f>
        <v>Diego, Freyre</v>
      </c>
      <c r="AA2349" s="1" t="s">
        <v>59</v>
      </c>
    </row>
    <row r="2350" spans="1:27" x14ac:dyDescent="0.25">
      <c r="A2350" s="10">
        <v>10365</v>
      </c>
      <c r="B2350" s="9">
        <v>22</v>
      </c>
      <c r="C2350" s="9">
        <v>100</v>
      </c>
      <c r="D2350" s="9">
        <f>PRODUCT(sales_data_sample[[#This Row],[QUANTITYORDERED]],sales_data_sample[[#This Row],[PRICEEACH]])</f>
        <v>2200</v>
      </c>
      <c r="E2350" s="9">
        <f>IF(OR(sales_data_sample[[#This Row],[STATUS]]="Shipped",sales_data_sample[[#This Row],[STATUS]]="Resolved"),sales_data_sample[[#This Row],[SALES]],0)</f>
        <v>2200</v>
      </c>
      <c r="F2350" s="10">
        <v>3</v>
      </c>
      <c r="G2350" s="12" t="s">
        <v>795</v>
      </c>
      <c r="H2350" s="1" t="s">
        <v>26</v>
      </c>
      <c r="I2350">
        <v>1</v>
      </c>
      <c r="J2350">
        <v>1</v>
      </c>
      <c r="K2350">
        <v>2005</v>
      </c>
      <c r="L2350" s="1" t="s">
        <v>27</v>
      </c>
      <c r="M2350">
        <v>102</v>
      </c>
      <c r="N2350" s="1" t="s">
        <v>995</v>
      </c>
      <c r="O2350" s="1" t="s">
        <v>454</v>
      </c>
      <c r="P2350" s="1" t="s">
        <v>455</v>
      </c>
      <c r="Q2350" s="1" t="s">
        <v>456</v>
      </c>
      <c r="R2350" s="1" t="s">
        <v>32</v>
      </c>
      <c r="S2350" s="1" t="s">
        <v>215</v>
      </c>
      <c r="T2350" s="1" t="s">
        <v>160</v>
      </c>
      <c r="U2350" s="1" t="s">
        <v>216</v>
      </c>
      <c r="V2350" s="1" t="s">
        <v>36</v>
      </c>
      <c r="W2350" s="1" t="s">
        <v>37</v>
      </c>
      <c r="X2350" s="1" t="s">
        <v>457</v>
      </c>
      <c r="Y2350" s="1" t="s">
        <v>458</v>
      </c>
      <c r="Z2350" s="1" t="str">
        <f>TRIM(_xlfn.CONCAT(sales_data_sample[[#This Row],[CONTACTFIRSTNAME]],", ",sales_data_sample[[#This Row],[CONTACTLASTNAME]]))</f>
        <v>Wing C, Tam</v>
      </c>
      <c r="AA2350" s="1" t="s">
        <v>59</v>
      </c>
    </row>
    <row r="2351" spans="1:27" x14ac:dyDescent="0.25">
      <c r="A2351" s="10">
        <v>10375</v>
      </c>
      <c r="B2351" s="9">
        <v>41</v>
      </c>
      <c r="C2351" s="9">
        <v>100</v>
      </c>
      <c r="D2351" s="9">
        <f>PRODUCT(sales_data_sample[[#This Row],[QUANTITYORDERED]],sales_data_sample[[#This Row],[PRICEEACH]])</f>
        <v>4100</v>
      </c>
      <c r="E2351" s="9">
        <f>IF(OR(sales_data_sample[[#This Row],[STATUS]]="Shipped",sales_data_sample[[#This Row],[STATUS]]="Resolved"),sales_data_sample[[#This Row],[SALES]],0)</f>
        <v>4100</v>
      </c>
      <c r="F2351" s="10">
        <v>15</v>
      </c>
      <c r="G2351" s="12" t="s">
        <v>210</v>
      </c>
      <c r="H2351" s="1" t="s">
        <v>26</v>
      </c>
      <c r="I2351">
        <v>1</v>
      </c>
      <c r="J2351">
        <v>2</v>
      </c>
      <c r="K2351">
        <v>2005</v>
      </c>
      <c r="L2351" s="1" t="s">
        <v>27</v>
      </c>
      <c r="M2351">
        <v>102</v>
      </c>
      <c r="N2351" s="1" t="s">
        <v>995</v>
      </c>
      <c r="O2351" s="1" t="s">
        <v>148</v>
      </c>
      <c r="P2351" s="1" t="s">
        <v>149</v>
      </c>
      <c r="Q2351" s="1" t="s">
        <v>150</v>
      </c>
      <c r="R2351" s="1" t="s">
        <v>32</v>
      </c>
      <c r="S2351" s="1" t="s">
        <v>151</v>
      </c>
      <c r="T2351" s="1" t="s">
        <v>32</v>
      </c>
      <c r="U2351" s="1" t="s">
        <v>152</v>
      </c>
      <c r="V2351" s="1" t="s">
        <v>47</v>
      </c>
      <c r="W2351" s="1" t="s">
        <v>48</v>
      </c>
      <c r="X2351" s="1" t="s">
        <v>153</v>
      </c>
      <c r="Y2351" s="1" t="s">
        <v>154</v>
      </c>
      <c r="Z2351" s="1" t="str">
        <f>TRIM(_xlfn.CONCAT(sales_data_sample[[#This Row],[CONTACTFIRSTNAME]],", ",sales_data_sample[[#This Row],[CONTACTLASTNAME]]))</f>
        <v>Janine, Labrune</v>
      </c>
      <c r="AA2351" s="1" t="s">
        <v>59</v>
      </c>
    </row>
    <row r="2352" spans="1:27" x14ac:dyDescent="0.25">
      <c r="A2352" s="10">
        <v>10390</v>
      </c>
      <c r="B2352" s="9">
        <v>45</v>
      </c>
      <c r="C2352" s="9">
        <v>4898</v>
      </c>
      <c r="D2352" s="9">
        <f>PRODUCT(sales_data_sample[[#This Row],[QUANTITYORDERED]],sales_data_sample[[#This Row],[PRICEEACH]])</f>
        <v>220410</v>
      </c>
      <c r="E2352" s="9">
        <f>IF(OR(sales_data_sample[[#This Row],[STATUS]]="Shipped",sales_data_sample[[#This Row],[STATUS]]="Resolved"),sales_data_sample[[#This Row],[SALES]],0)</f>
        <v>220410</v>
      </c>
      <c r="F2352" s="10">
        <v>12</v>
      </c>
      <c r="G2352" s="12" t="s">
        <v>796</v>
      </c>
      <c r="H2352" s="1" t="s">
        <v>26</v>
      </c>
      <c r="I2352">
        <v>1</v>
      </c>
      <c r="J2352">
        <v>3</v>
      </c>
      <c r="K2352">
        <v>2005</v>
      </c>
      <c r="L2352" s="1" t="s">
        <v>27</v>
      </c>
      <c r="M2352">
        <v>102</v>
      </c>
      <c r="N2352" s="1" t="s">
        <v>995</v>
      </c>
      <c r="O2352" s="1" t="s">
        <v>361</v>
      </c>
      <c r="P2352" s="1" t="s">
        <v>362</v>
      </c>
      <c r="Q2352" s="1" t="s">
        <v>363</v>
      </c>
      <c r="R2352" s="1" t="s">
        <v>32</v>
      </c>
      <c r="S2352" s="1" t="s">
        <v>364</v>
      </c>
      <c r="T2352" s="1" t="s">
        <v>65</v>
      </c>
      <c r="U2352" s="1" t="s">
        <v>145</v>
      </c>
      <c r="V2352" s="1" t="s">
        <v>36</v>
      </c>
      <c r="W2352" s="1" t="s">
        <v>37</v>
      </c>
      <c r="X2352" s="1" t="s">
        <v>365</v>
      </c>
      <c r="Y2352" s="1" t="s">
        <v>366</v>
      </c>
      <c r="Z2352" s="1" t="str">
        <f>TRIM(_xlfn.CONCAT(sales_data_sample[[#This Row],[CONTACTFIRSTNAME]],", ",sales_data_sample[[#This Row],[CONTACTLASTNAME]]))</f>
        <v>Valarie, Nelson</v>
      </c>
      <c r="AA2352" s="1" t="s">
        <v>40</v>
      </c>
    </row>
    <row r="2353" spans="1:27" x14ac:dyDescent="0.25">
      <c r="A2353" s="10">
        <v>10403</v>
      </c>
      <c r="B2353" s="9">
        <v>45</v>
      </c>
      <c r="C2353" s="9">
        <v>100</v>
      </c>
      <c r="D2353" s="9">
        <f>PRODUCT(sales_data_sample[[#This Row],[QUANTITYORDERED]],sales_data_sample[[#This Row],[PRICEEACH]])</f>
        <v>4500</v>
      </c>
      <c r="E2353" s="9">
        <f>IF(OR(sales_data_sample[[#This Row],[STATUS]]="Shipped",sales_data_sample[[#This Row],[STATUS]]="Resolved"),sales_data_sample[[#This Row],[SALES]],0)</f>
        <v>4500</v>
      </c>
      <c r="F2353" s="10">
        <v>5</v>
      </c>
      <c r="G2353" s="12" t="s">
        <v>219</v>
      </c>
      <c r="H2353" s="1" t="s">
        <v>26</v>
      </c>
      <c r="I2353">
        <v>2</v>
      </c>
      <c r="J2353">
        <v>4</v>
      </c>
      <c r="K2353">
        <v>2005</v>
      </c>
      <c r="L2353" s="1" t="s">
        <v>27</v>
      </c>
      <c r="M2353">
        <v>102</v>
      </c>
      <c r="N2353" s="1" t="s">
        <v>995</v>
      </c>
      <c r="O2353" s="1" t="s">
        <v>220</v>
      </c>
      <c r="P2353" s="1" t="s">
        <v>221</v>
      </c>
      <c r="Q2353" s="1" t="s">
        <v>222</v>
      </c>
      <c r="R2353" s="1" t="s">
        <v>32</v>
      </c>
      <c r="S2353" s="1" t="s">
        <v>223</v>
      </c>
      <c r="T2353" s="1" t="s">
        <v>32</v>
      </c>
      <c r="U2353" s="1" t="s">
        <v>224</v>
      </c>
      <c r="V2353" s="1" t="s">
        <v>225</v>
      </c>
      <c r="W2353" s="1" t="s">
        <v>48</v>
      </c>
      <c r="X2353" s="1" t="s">
        <v>226</v>
      </c>
      <c r="Y2353" s="1" t="s">
        <v>227</v>
      </c>
      <c r="Z2353" s="1" t="str">
        <f>TRIM(_xlfn.CONCAT(sales_data_sample[[#This Row],[CONTACTFIRSTNAME]],", ",sales_data_sample[[#This Row],[CONTACTLASTNAME]]))</f>
        <v>Elizabeth, Devon</v>
      </c>
      <c r="AA2353" s="1" t="s">
        <v>59</v>
      </c>
    </row>
    <row r="2354" spans="1:27" x14ac:dyDescent="0.25">
      <c r="A2354" s="10">
        <v>10106</v>
      </c>
      <c r="B2354" s="9">
        <v>39</v>
      </c>
      <c r="C2354" s="9">
        <v>4015</v>
      </c>
      <c r="D2354" s="9">
        <f>PRODUCT(sales_data_sample[[#This Row],[QUANTITYORDERED]],sales_data_sample[[#This Row],[PRICEEACH]])</f>
        <v>156585</v>
      </c>
      <c r="E2354" s="9">
        <f>IF(OR(sales_data_sample[[#This Row],[STATUS]]="Shipped",sales_data_sample[[#This Row],[STATUS]]="Resolved"),sales_data_sample[[#This Row],[SALES]],0)</f>
        <v>156585</v>
      </c>
      <c r="F2354" s="10">
        <v>6</v>
      </c>
      <c r="G2354" s="12" t="s">
        <v>838</v>
      </c>
      <c r="H2354" s="1" t="s">
        <v>26</v>
      </c>
      <c r="I2354">
        <v>1</v>
      </c>
      <c r="J2354">
        <v>2</v>
      </c>
      <c r="K2354">
        <v>2003</v>
      </c>
      <c r="L2354" s="1" t="s">
        <v>799</v>
      </c>
      <c r="M2354">
        <v>43</v>
      </c>
      <c r="N2354" s="1" t="s">
        <v>996</v>
      </c>
      <c r="O2354" s="1" t="s">
        <v>806</v>
      </c>
      <c r="P2354" s="1" t="s">
        <v>807</v>
      </c>
      <c r="Q2354" s="1" t="s">
        <v>808</v>
      </c>
      <c r="R2354" s="1" t="s">
        <v>32</v>
      </c>
      <c r="S2354" s="1" t="s">
        <v>809</v>
      </c>
      <c r="T2354" s="1" t="s">
        <v>32</v>
      </c>
      <c r="U2354" s="1" t="s">
        <v>810</v>
      </c>
      <c r="V2354" s="1" t="s">
        <v>343</v>
      </c>
      <c r="W2354" s="1" t="s">
        <v>48</v>
      </c>
      <c r="X2354" s="1" t="s">
        <v>811</v>
      </c>
      <c r="Y2354" s="1" t="s">
        <v>812</v>
      </c>
      <c r="Z2354" s="1" t="str">
        <f>TRIM(_xlfn.CONCAT(sales_data_sample[[#This Row],[CONTACTFIRSTNAME]],", ",sales_data_sample[[#This Row],[CONTACTLASTNAME]]))</f>
        <v>Giovanni, Rovelli</v>
      </c>
      <c r="AA2354" s="1" t="s">
        <v>40</v>
      </c>
    </row>
    <row r="2355" spans="1:27" x14ac:dyDescent="0.25">
      <c r="A2355">
        <v>10120</v>
      </c>
      <c r="B2355">
        <v>49</v>
      </c>
      <c r="C2355">
        <v>5062</v>
      </c>
      <c r="D2355">
        <f>PRODUCT(sales_data_sample[[#This Row],[QUANTITYORDERED]],sales_data_sample[[#This Row],[PRICEEACH]])</f>
        <v>248038</v>
      </c>
      <c r="E2355" s="9">
        <f>IF(OR(sales_data_sample[[#This Row],[STATUS]]="Shipped",sales_data_sample[[#This Row],[STATUS]]="Resolved"),sales_data_sample[[#This Row],[SALES]],0)</f>
        <v>248038</v>
      </c>
      <c r="F2355">
        <v>12</v>
      </c>
      <c r="G2355" s="12" t="s">
        <v>405</v>
      </c>
      <c r="H2355" s="1" t="s">
        <v>26</v>
      </c>
      <c r="I2355">
        <v>2</v>
      </c>
      <c r="J2355">
        <v>4</v>
      </c>
      <c r="K2355">
        <v>2003</v>
      </c>
      <c r="L2355" s="1" t="s">
        <v>799</v>
      </c>
      <c r="M2355">
        <v>43</v>
      </c>
      <c r="N2355" s="1" t="s">
        <v>996</v>
      </c>
      <c r="O2355" s="1" t="s">
        <v>113</v>
      </c>
      <c r="P2355" s="1" t="s">
        <v>114</v>
      </c>
      <c r="Q2355" s="1" t="s">
        <v>115</v>
      </c>
      <c r="R2355" s="1" t="s">
        <v>116</v>
      </c>
      <c r="S2355" s="1" t="s">
        <v>117</v>
      </c>
      <c r="T2355" s="1" t="s">
        <v>118</v>
      </c>
      <c r="U2355" s="1" t="s">
        <v>119</v>
      </c>
      <c r="V2355" s="1" t="s">
        <v>120</v>
      </c>
      <c r="W2355" s="1" t="s">
        <v>121</v>
      </c>
      <c r="X2355" s="1" t="s">
        <v>122</v>
      </c>
      <c r="Y2355" s="1" t="s">
        <v>123</v>
      </c>
      <c r="Z2355" s="1" t="str">
        <f>TRIM(_xlfn.CONCAT(sales_data_sample[[#This Row],[CONTACTFIRSTNAME]],", ",sales_data_sample[[#This Row],[CONTACTLASTNAME]]))</f>
        <v>Peter, Ferguson</v>
      </c>
      <c r="AA2355" s="1" t="s">
        <v>40</v>
      </c>
    </row>
    <row r="2356" spans="1:27" x14ac:dyDescent="0.25">
      <c r="A2356" s="10">
        <v>10133</v>
      </c>
      <c r="B2356" s="9">
        <v>27</v>
      </c>
      <c r="C2356" s="9">
        <v>5019</v>
      </c>
      <c r="D2356" s="9">
        <f>PRODUCT(sales_data_sample[[#This Row],[QUANTITYORDERED]],sales_data_sample[[#This Row],[PRICEEACH]])</f>
        <v>135513</v>
      </c>
      <c r="E2356" s="9">
        <f>IF(OR(sales_data_sample[[#This Row],[STATUS]]="Shipped",sales_data_sample[[#This Row],[STATUS]]="Resolved"),sales_data_sample[[#This Row],[SALES]],0)</f>
        <v>135513</v>
      </c>
      <c r="F2356" s="10">
        <v>7</v>
      </c>
      <c r="G2356" s="12" t="s">
        <v>891</v>
      </c>
      <c r="H2356" s="1" t="s">
        <v>26</v>
      </c>
      <c r="I2356">
        <v>2</v>
      </c>
      <c r="J2356">
        <v>6</v>
      </c>
      <c r="K2356">
        <v>2003</v>
      </c>
      <c r="L2356" s="1" t="s">
        <v>799</v>
      </c>
      <c r="M2356">
        <v>43</v>
      </c>
      <c r="N2356" s="1" t="s">
        <v>996</v>
      </c>
      <c r="O2356" s="1" t="s">
        <v>230</v>
      </c>
      <c r="P2356" s="1" t="s">
        <v>231</v>
      </c>
      <c r="Q2356" s="1" t="s">
        <v>232</v>
      </c>
      <c r="R2356" s="1" t="s">
        <v>32</v>
      </c>
      <c r="S2356" s="1" t="s">
        <v>233</v>
      </c>
      <c r="T2356" s="1" t="s">
        <v>32</v>
      </c>
      <c r="U2356" s="1" t="s">
        <v>234</v>
      </c>
      <c r="V2356" s="1" t="s">
        <v>235</v>
      </c>
      <c r="W2356" s="1" t="s">
        <v>48</v>
      </c>
      <c r="X2356" s="1" t="s">
        <v>236</v>
      </c>
      <c r="Y2356" s="1" t="s">
        <v>237</v>
      </c>
      <c r="Z2356" s="1" t="str">
        <f>TRIM(_xlfn.CONCAT(sales_data_sample[[#This Row],[CONTACTFIRSTNAME]],", ",sales_data_sample[[#This Row],[CONTACTLASTNAME]]))</f>
        <v>Diego, Freyre</v>
      </c>
      <c r="AA2356" s="1" t="s">
        <v>40</v>
      </c>
    </row>
    <row r="2357" spans="1:27" x14ac:dyDescent="0.25">
      <c r="A2357" s="10">
        <v>10143</v>
      </c>
      <c r="B2357" s="9">
        <v>34</v>
      </c>
      <c r="C2357" s="9">
        <v>3666</v>
      </c>
      <c r="D2357" s="9">
        <f>PRODUCT(sales_data_sample[[#This Row],[QUANTITYORDERED]],sales_data_sample[[#This Row],[PRICEEACH]])</f>
        <v>124644</v>
      </c>
      <c r="E2357" s="9">
        <f>IF(OR(sales_data_sample[[#This Row],[STATUS]]="Shipped",sales_data_sample[[#This Row],[STATUS]]="Resolved"),sales_data_sample[[#This Row],[SALES]],0)</f>
        <v>124644</v>
      </c>
      <c r="F2357" s="10">
        <v>1</v>
      </c>
      <c r="G2357" s="12" t="s">
        <v>453</v>
      </c>
      <c r="H2357" s="1" t="s">
        <v>26</v>
      </c>
      <c r="I2357">
        <v>3</v>
      </c>
      <c r="J2357">
        <v>8</v>
      </c>
      <c r="K2357">
        <v>2003</v>
      </c>
      <c r="L2357" s="1" t="s">
        <v>799</v>
      </c>
      <c r="M2357">
        <v>43</v>
      </c>
      <c r="N2357" s="1" t="s">
        <v>996</v>
      </c>
      <c r="O2357" s="1" t="s">
        <v>454</v>
      </c>
      <c r="P2357" s="1" t="s">
        <v>455</v>
      </c>
      <c r="Q2357" s="1" t="s">
        <v>456</v>
      </c>
      <c r="R2357" s="1" t="s">
        <v>32</v>
      </c>
      <c r="S2357" s="1" t="s">
        <v>215</v>
      </c>
      <c r="T2357" s="1" t="s">
        <v>160</v>
      </c>
      <c r="U2357" s="1" t="s">
        <v>216</v>
      </c>
      <c r="V2357" s="1" t="s">
        <v>36</v>
      </c>
      <c r="W2357" s="1" t="s">
        <v>37</v>
      </c>
      <c r="X2357" s="1" t="s">
        <v>457</v>
      </c>
      <c r="Y2357" s="1" t="s">
        <v>458</v>
      </c>
      <c r="Z2357" s="1" t="str">
        <f>TRIM(_xlfn.CONCAT(sales_data_sample[[#This Row],[CONTACTFIRSTNAME]],", ",sales_data_sample[[#This Row],[CONTACTLASTNAME]]))</f>
        <v>Wing C, Tam</v>
      </c>
      <c r="AA2357" s="1" t="s">
        <v>40</v>
      </c>
    </row>
    <row r="2358" spans="1:27" x14ac:dyDescent="0.25">
      <c r="A2358" s="10">
        <v>10156</v>
      </c>
      <c r="B2358" s="9">
        <v>20</v>
      </c>
      <c r="C2358" s="9">
        <v>4102</v>
      </c>
      <c r="D2358" s="9">
        <f>PRODUCT(sales_data_sample[[#This Row],[QUANTITYORDERED]],sales_data_sample[[#This Row],[PRICEEACH]])</f>
        <v>82040</v>
      </c>
      <c r="E2358" s="9">
        <f>IF(OR(sales_data_sample[[#This Row],[STATUS]]="Shipped",sales_data_sample[[#This Row],[STATUS]]="Resolved"),sales_data_sample[[#This Row],[SALES]],0)</f>
        <v>82040</v>
      </c>
      <c r="F2358" s="10">
        <v>1</v>
      </c>
      <c r="G2358" s="12" t="s">
        <v>997</v>
      </c>
      <c r="H2358" s="1" t="s">
        <v>26</v>
      </c>
      <c r="I2358">
        <v>4</v>
      </c>
      <c r="J2358">
        <v>10</v>
      </c>
      <c r="K2358">
        <v>2003</v>
      </c>
      <c r="L2358" s="1" t="s">
        <v>799</v>
      </c>
      <c r="M2358">
        <v>43</v>
      </c>
      <c r="N2358" s="1" t="s">
        <v>996</v>
      </c>
      <c r="O2358" s="1" t="s">
        <v>230</v>
      </c>
      <c r="P2358" s="1" t="s">
        <v>231</v>
      </c>
      <c r="Q2358" s="1" t="s">
        <v>232</v>
      </c>
      <c r="R2358" s="1" t="s">
        <v>32</v>
      </c>
      <c r="S2358" s="1" t="s">
        <v>233</v>
      </c>
      <c r="T2358" s="1" t="s">
        <v>32</v>
      </c>
      <c r="U2358" s="1" t="s">
        <v>234</v>
      </c>
      <c r="V2358" s="1" t="s">
        <v>235</v>
      </c>
      <c r="W2358" s="1" t="s">
        <v>48</v>
      </c>
      <c r="X2358" s="1" t="s">
        <v>236</v>
      </c>
      <c r="Y2358" s="1" t="s">
        <v>237</v>
      </c>
      <c r="Z2358" s="1" t="str">
        <f>TRIM(_xlfn.CONCAT(sales_data_sample[[#This Row],[CONTACTFIRSTNAME]],", ",sales_data_sample[[#This Row],[CONTACTLASTNAME]]))</f>
        <v>Diego, Freyre</v>
      </c>
      <c r="AA2358" s="1" t="s">
        <v>40</v>
      </c>
    </row>
    <row r="2359" spans="1:27" x14ac:dyDescent="0.25">
      <c r="A2359" s="10">
        <v>10168</v>
      </c>
      <c r="B2359" s="9">
        <v>48</v>
      </c>
      <c r="C2359" s="9">
        <v>5193</v>
      </c>
      <c r="D2359" s="9">
        <f>PRODUCT(sales_data_sample[[#This Row],[QUANTITYORDERED]],sales_data_sample[[#This Row],[PRICEEACH]])</f>
        <v>249264</v>
      </c>
      <c r="E2359" s="9">
        <f>IF(OR(sales_data_sample[[#This Row],[STATUS]]="Shipped",sales_data_sample[[#This Row],[STATUS]]="Resolved"),sales_data_sample[[#This Row],[SALES]],0)</f>
        <v>249264</v>
      </c>
      <c r="F2359" s="10">
        <v>13</v>
      </c>
      <c r="G2359" s="12" t="s">
        <v>75</v>
      </c>
      <c r="H2359" s="1" t="s">
        <v>26</v>
      </c>
      <c r="I2359">
        <v>4</v>
      </c>
      <c r="J2359">
        <v>10</v>
      </c>
      <c r="K2359">
        <v>2003</v>
      </c>
      <c r="L2359" s="1" t="s">
        <v>799</v>
      </c>
      <c r="M2359">
        <v>43</v>
      </c>
      <c r="N2359" s="1" t="s">
        <v>996</v>
      </c>
      <c r="O2359" s="1" t="s">
        <v>76</v>
      </c>
      <c r="P2359" s="1" t="s">
        <v>77</v>
      </c>
      <c r="Q2359" s="1" t="s">
        <v>78</v>
      </c>
      <c r="R2359" s="1" t="s">
        <v>32</v>
      </c>
      <c r="S2359" s="1" t="s">
        <v>79</v>
      </c>
      <c r="T2359" s="1" t="s">
        <v>65</v>
      </c>
      <c r="U2359" s="1" t="s">
        <v>80</v>
      </c>
      <c r="V2359" s="1" t="s">
        <v>36</v>
      </c>
      <c r="W2359" s="1" t="s">
        <v>37</v>
      </c>
      <c r="X2359" s="1" t="s">
        <v>81</v>
      </c>
      <c r="Y2359" s="1" t="s">
        <v>82</v>
      </c>
      <c r="Z2359" s="1" t="str">
        <f>TRIM(_xlfn.CONCAT(sales_data_sample[[#This Row],[CONTACTFIRSTNAME]],", ",sales_data_sample[[#This Row],[CONTACTLASTNAME]]))</f>
        <v>Juri, Hirano</v>
      </c>
      <c r="AA2359" s="1" t="s">
        <v>40</v>
      </c>
    </row>
    <row r="2360" spans="1:27" x14ac:dyDescent="0.25">
      <c r="A2360" s="10">
        <v>10199</v>
      </c>
      <c r="B2360" s="9">
        <v>29</v>
      </c>
      <c r="C2360" s="9">
        <v>384</v>
      </c>
      <c r="D2360" s="9">
        <f>PRODUCT(sales_data_sample[[#This Row],[QUANTITYORDERED]],sales_data_sample[[#This Row],[PRICEEACH]])</f>
        <v>11136</v>
      </c>
      <c r="E2360" s="9">
        <f>IF(OR(sales_data_sample[[#This Row],[STATUS]]="Shipped",sales_data_sample[[#This Row],[STATUS]]="Resolved"),sales_data_sample[[#This Row],[SALES]],0)</f>
        <v>11136</v>
      </c>
      <c r="F2360" s="10">
        <v>1</v>
      </c>
      <c r="G2360" s="12" t="s">
        <v>100</v>
      </c>
      <c r="H2360" s="1" t="s">
        <v>26</v>
      </c>
      <c r="I2360">
        <v>4</v>
      </c>
      <c r="J2360">
        <v>12</v>
      </c>
      <c r="K2360">
        <v>2003</v>
      </c>
      <c r="L2360" s="1" t="s">
        <v>799</v>
      </c>
      <c r="M2360">
        <v>43</v>
      </c>
      <c r="N2360" s="1" t="s">
        <v>996</v>
      </c>
      <c r="O2360" s="1" t="s">
        <v>309</v>
      </c>
      <c r="P2360" s="1" t="s">
        <v>310</v>
      </c>
      <c r="Q2360" s="1" t="s">
        <v>311</v>
      </c>
      <c r="R2360" s="1" t="s">
        <v>32</v>
      </c>
      <c r="S2360" s="1" t="s">
        <v>312</v>
      </c>
      <c r="T2360" s="1" t="s">
        <v>65</v>
      </c>
      <c r="U2360" s="1" t="s">
        <v>137</v>
      </c>
      <c r="V2360" s="1" t="s">
        <v>36</v>
      </c>
      <c r="W2360" s="1" t="s">
        <v>37</v>
      </c>
      <c r="X2360" s="1" t="s">
        <v>313</v>
      </c>
      <c r="Y2360" s="1" t="s">
        <v>314</v>
      </c>
      <c r="Z2360" s="1" t="str">
        <f>TRIM(_xlfn.CONCAT(sales_data_sample[[#This Row],[CONTACTFIRSTNAME]],", ",sales_data_sample[[#This Row],[CONTACTLASTNAME]]))</f>
        <v>Steve, Thompson</v>
      </c>
      <c r="AA2360" s="1" t="s">
        <v>40</v>
      </c>
    </row>
    <row r="2361" spans="1:27" x14ac:dyDescent="0.25">
      <c r="A2361" s="10">
        <v>10210</v>
      </c>
      <c r="B2361" s="9">
        <v>43</v>
      </c>
      <c r="C2361" s="9">
        <v>4102</v>
      </c>
      <c r="D2361" s="9">
        <f>PRODUCT(sales_data_sample[[#This Row],[QUANTITYORDERED]],sales_data_sample[[#This Row],[PRICEEACH]])</f>
        <v>176386</v>
      </c>
      <c r="E2361" s="9">
        <f>IF(OR(sales_data_sample[[#This Row],[STATUS]]="Shipped",sales_data_sample[[#This Row],[STATUS]]="Resolved"),sales_data_sample[[#This Row],[SALES]],0)</f>
        <v>176386</v>
      </c>
      <c r="F2361" s="10">
        <v>11</v>
      </c>
      <c r="G2361" s="12" t="s">
        <v>406</v>
      </c>
      <c r="H2361" s="1" t="s">
        <v>26</v>
      </c>
      <c r="I2361">
        <v>1</v>
      </c>
      <c r="J2361">
        <v>1</v>
      </c>
      <c r="K2361">
        <v>2004</v>
      </c>
      <c r="L2361" s="1" t="s">
        <v>799</v>
      </c>
      <c r="M2361">
        <v>43</v>
      </c>
      <c r="N2361" s="1" t="s">
        <v>996</v>
      </c>
      <c r="O2361" s="1" t="s">
        <v>407</v>
      </c>
      <c r="P2361" s="1" t="s">
        <v>408</v>
      </c>
      <c r="Q2361" s="1" t="s">
        <v>409</v>
      </c>
      <c r="R2361" s="1" t="s">
        <v>32</v>
      </c>
      <c r="S2361" s="1" t="s">
        <v>410</v>
      </c>
      <c r="T2361" s="1" t="s">
        <v>410</v>
      </c>
      <c r="U2361" s="1" t="s">
        <v>411</v>
      </c>
      <c r="V2361" s="1" t="s">
        <v>264</v>
      </c>
      <c r="W2361" s="1" t="s">
        <v>264</v>
      </c>
      <c r="X2361" s="1" t="s">
        <v>412</v>
      </c>
      <c r="Y2361" s="1" t="s">
        <v>413</v>
      </c>
      <c r="Z2361" s="1" t="str">
        <f>TRIM(_xlfn.CONCAT(sales_data_sample[[#This Row],[CONTACTFIRSTNAME]],", ",sales_data_sample[[#This Row],[CONTACTLASTNAME]]))</f>
        <v>Mory, Kentary</v>
      </c>
      <c r="AA2361" s="1" t="s">
        <v>40</v>
      </c>
    </row>
    <row r="2362" spans="1:27" x14ac:dyDescent="0.25">
      <c r="A2362">
        <v>10223</v>
      </c>
      <c r="B2362">
        <v>41</v>
      </c>
      <c r="C2362">
        <v>4626</v>
      </c>
      <c r="D2362">
        <f>PRODUCT(sales_data_sample[[#This Row],[QUANTITYORDERED]],sales_data_sample[[#This Row],[PRICEEACH]])</f>
        <v>189666</v>
      </c>
      <c r="E2362" s="9">
        <f>IF(OR(sales_data_sample[[#This Row],[STATUS]]="Shipped",sales_data_sample[[#This Row],[STATUS]]="Resolved"),sales_data_sample[[#This Row],[SALES]],0)</f>
        <v>189666</v>
      </c>
      <c r="F2362">
        <v>13</v>
      </c>
      <c r="G2362" s="12" t="s">
        <v>112</v>
      </c>
      <c r="H2362" s="1" t="s">
        <v>26</v>
      </c>
      <c r="I2362">
        <v>1</v>
      </c>
      <c r="J2362">
        <v>2</v>
      </c>
      <c r="K2362">
        <v>2004</v>
      </c>
      <c r="L2362" s="1" t="s">
        <v>799</v>
      </c>
      <c r="M2362">
        <v>43</v>
      </c>
      <c r="N2362" s="1" t="s">
        <v>996</v>
      </c>
      <c r="O2362" s="1" t="s">
        <v>113</v>
      </c>
      <c r="P2362" s="1" t="s">
        <v>114</v>
      </c>
      <c r="Q2362" s="1" t="s">
        <v>115</v>
      </c>
      <c r="R2362" s="1" t="s">
        <v>116</v>
      </c>
      <c r="S2362" s="1" t="s">
        <v>117</v>
      </c>
      <c r="T2362" s="1" t="s">
        <v>118</v>
      </c>
      <c r="U2362" s="1" t="s">
        <v>119</v>
      </c>
      <c r="V2362" s="1" t="s">
        <v>120</v>
      </c>
      <c r="W2362" s="1" t="s">
        <v>121</v>
      </c>
      <c r="X2362" s="1" t="s">
        <v>122</v>
      </c>
      <c r="Y2362" s="1" t="s">
        <v>123</v>
      </c>
      <c r="Z2362" s="1" t="str">
        <f>TRIM(_xlfn.CONCAT(sales_data_sample[[#This Row],[CONTACTFIRSTNAME]],", ",sales_data_sample[[#This Row],[CONTACTLASTNAME]]))</f>
        <v>Peter, Ferguson</v>
      </c>
      <c r="AA2362" s="1" t="s">
        <v>40</v>
      </c>
    </row>
    <row r="2363" spans="1:27" x14ac:dyDescent="0.25">
      <c r="A2363" s="10">
        <v>10235</v>
      </c>
      <c r="B2363" s="9">
        <v>41</v>
      </c>
      <c r="C2363" s="9">
        <v>3535</v>
      </c>
      <c r="D2363" s="9">
        <f>PRODUCT(sales_data_sample[[#This Row],[QUANTITYORDERED]],sales_data_sample[[#This Row],[PRICEEACH]])</f>
        <v>144935</v>
      </c>
      <c r="E2363" s="9">
        <f>IF(OR(sales_data_sample[[#This Row],[STATUS]]="Shipped",sales_data_sample[[#This Row],[STATUS]]="Resolved"),sales_data_sample[[#This Row],[SALES]],0)</f>
        <v>144935</v>
      </c>
      <c r="F2363" s="10">
        <v>7</v>
      </c>
      <c r="G2363" s="12" t="s">
        <v>892</v>
      </c>
      <c r="H2363" s="1" t="s">
        <v>26</v>
      </c>
      <c r="I2363">
        <v>2</v>
      </c>
      <c r="J2363">
        <v>4</v>
      </c>
      <c r="K2363">
        <v>2004</v>
      </c>
      <c r="L2363" s="1" t="s">
        <v>799</v>
      </c>
      <c r="M2363">
        <v>43</v>
      </c>
      <c r="N2363" s="1" t="s">
        <v>996</v>
      </c>
      <c r="O2363" s="1" t="s">
        <v>509</v>
      </c>
      <c r="P2363" s="1" t="s">
        <v>510</v>
      </c>
      <c r="Q2363" s="1" t="s">
        <v>511</v>
      </c>
      <c r="R2363" s="1" t="s">
        <v>32</v>
      </c>
      <c r="S2363" s="1" t="s">
        <v>512</v>
      </c>
      <c r="T2363" s="1" t="s">
        <v>303</v>
      </c>
      <c r="U2363" s="1" t="s">
        <v>513</v>
      </c>
      <c r="V2363" s="1" t="s">
        <v>305</v>
      </c>
      <c r="W2363" s="1" t="s">
        <v>37</v>
      </c>
      <c r="X2363" s="1" t="s">
        <v>514</v>
      </c>
      <c r="Y2363" s="1" t="s">
        <v>227</v>
      </c>
      <c r="Z2363" s="1" t="str">
        <f>TRIM(_xlfn.CONCAT(sales_data_sample[[#This Row],[CONTACTFIRSTNAME]],", ",sales_data_sample[[#This Row],[CONTACTLASTNAME]]))</f>
        <v>Elizabeth, Lincoln</v>
      </c>
      <c r="AA2363" s="1" t="s">
        <v>40</v>
      </c>
    </row>
    <row r="2364" spans="1:27" x14ac:dyDescent="0.25">
      <c r="A2364" s="10">
        <v>10250</v>
      </c>
      <c r="B2364" s="9">
        <v>36</v>
      </c>
      <c r="C2364" s="9">
        <v>5193</v>
      </c>
      <c r="D2364" s="9">
        <f>PRODUCT(sales_data_sample[[#This Row],[QUANTITYORDERED]],sales_data_sample[[#This Row],[PRICEEACH]])</f>
        <v>186948</v>
      </c>
      <c r="E2364" s="9">
        <f>IF(OR(sales_data_sample[[#This Row],[STATUS]]="Shipped",sales_data_sample[[#This Row],[STATUS]]="Resolved"),sales_data_sample[[#This Row],[SALES]],0)</f>
        <v>186948</v>
      </c>
      <c r="F2364" s="10">
        <v>8</v>
      </c>
      <c r="G2364" s="12" t="s">
        <v>849</v>
      </c>
      <c r="H2364" s="1" t="s">
        <v>26</v>
      </c>
      <c r="I2364">
        <v>2</v>
      </c>
      <c r="J2364">
        <v>5</v>
      </c>
      <c r="K2364">
        <v>2004</v>
      </c>
      <c r="L2364" s="1" t="s">
        <v>799</v>
      </c>
      <c r="M2364">
        <v>43</v>
      </c>
      <c r="N2364" s="1" t="s">
        <v>996</v>
      </c>
      <c r="O2364" s="1" t="s">
        <v>547</v>
      </c>
      <c r="P2364" s="1" t="s">
        <v>548</v>
      </c>
      <c r="Q2364" s="1" t="s">
        <v>549</v>
      </c>
      <c r="R2364" s="1" t="s">
        <v>32</v>
      </c>
      <c r="S2364" s="1" t="s">
        <v>550</v>
      </c>
      <c r="T2364" s="1" t="s">
        <v>65</v>
      </c>
      <c r="U2364" s="1" t="s">
        <v>80</v>
      </c>
      <c r="V2364" s="1" t="s">
        <v>36</v>
      </c>
      <c r="W2364" s="1" t="s">
        <v>37</v>
      </c>
      <c r="X2364" s="1" t="s">
        <v>129</v>
      </c>
      <c r="Y2364" s="1" t="s">
        <v>551</v>
      </c>
      <c r="Z2364" s="1" t="str">
        <f>TRIM(_xlfn.CONCAT(sales_data_sample[[#This Row],[CONTACTFIRSTNAME]],", ",sales_data_sample[[#This Row],[CONTACTLASTNAME]]))</f>
        <v>Sue, Frick</v>
      </c>
      <c r="AA2364" s="1" t="s">
        <v>40</v>
      </c>
    </row>
    <row r="2365" spans="1:27" x14ac:dyDescent="0.25">
      <c r="A2365" s="10">
        <v>10262</v>
      </c>
      <c r="B2365" s="9">
        <v>49</v>
      </c>
      <c r="C2365" s="9">
        <v>3797</v>
      </c>
      <c r="D2365" s="9">
        <f>PRODUCT(sales_data_sample[[#This Row],[QUANTITYORDERED]],sales_data_sample[[#This Row],[PRICEEACH]])</f>
        <v>186053</v>
      </c>
      <c r="E2365" s="9">
        <f>IF(OR(sales_data_sample[[#This Row],[STATUS]]="Shipped",sales_data_sample[[#This Row],[STATUS]]="Resolved"),sales_data_sample[[#This Row],[SALES]],0)</f>
        <v>0</v>
      </c>
      <c r="F2365" s="10">
        <v>3</v>
      </c>
      <c r="G2365" s="12" t="s">
        <v>850</v>
      </c>
      <c r="H2365" s="1" t="s">
        <v>461</v>
      </c>
      <c r="I2365">
        <v>2</v>
      </c>
      <c r="J2365">
        <v>6</v>
      </c>
      <c r="K2365">
        <v>2004</v>
      </c>
      <c r="L2365" s="1" t="s">
        <v>799</v>
      </c>
      <c r="M2365">
        <v>43</v>
      </c>
      <c r="N2365" s="1" t="s">
        <v>996</v>
      </c>
      <c r="O2365" s="1" t="s">
        <v>230</v>
      </c>
      <c r="P2365" s="1" t="s">
        <v>231</v>
      </c>
      <c r="Q2365" s="1" t="s">
        <v>232</v>
      </c>
      <c r="R2365" s="1" t="s">
        <v>32</v>
      </c>
      <c r="S2365" s="1" t="s">
        <v>233</v>
      </c>
      <c r="T2365" s="1" t="s">
        <v>32</v>
      </c>
      <c r="U2365" s="1" t="s">
        <v>234</v>
      </c>
      <c r="V2365" s="1" t="s">
        <v>235</v>
      </c>
      <c r="W2365" s="1" t="s">
        <v>48</v>
      </c>
      <c r="X2365" s="1" t="s">
        <v>236</v>
      </c>
      <c r="Y2365" s="1" t="s">
        <v>237</v>
      </c>
      <c r="Z2365" s="1" t="str">
        <f>TRIM(_xlfn.CONCAT(sales_data_sample[[#This Row],[CONTACTFIRSTNAME]],", ",sales_data_sample[[#This Row],[CONTACTLASTNAME]]))</f>
        <v>Diego, Freyre</v>
      </c>
      <c r="AA2365" s="1" t="s">
        <v>40</v>
      </c>
    </row>
    <row r="2366" spans="1:27" x14ac:dyDescent="0.25">
      <c r="A2366" s="10">
        <v>10275</v>
      </c>
      <c r="B2366" s="9">
        <v>38</v>
      </c>
      <c r="C2366" s="9">
        <v>4539</v>
      </c>
      <c r="D2366" s="9">
        <f>PRODUCT(sales_data_sample[[#This Row],[QUANTITYORDERED]],sales_data_sample[[#This Row],[PRICEEACH]])</f>
        <v>172482</v>
      </c>
      <c r="E2366" s="9">
        <f>IF(OR(sales_data_sample[[#This Row],[STATUS]]="Shipped",sales_data_sample[[#This Row],[STATUS]]="Resolved"),sales_data_sample[[#This Row],[SALES]],0)</f>
        <v>172482</v>
      </c>
      <c r="F2366" s="10">
        <v>13</v>
      </c>
      <c r="G2366" s="12" t="s">
        <v>147</v>
      </c>
      <c r="H2366" s="1" t="s">
        <v>26</v>
      </c>
      <c r="I2366">
        <v>3</v>
      </c>
      <c r="J2366">
        <v>7</v>
      </c>
      <c r="K2366">
        <v>2004</v>
      </c>
      <c r="L2366" s="1" t="s">
        <v>799</v>
      </c>
      <c r="M2366">
        <v>43</v>
      </c>
      <c r="N2366" s="1" t="s">
        <v>996</v>
      </c>
      <c r="O2366" s="1" t="s">
        <v>148</v>
      </c>
      <c r="P2366" s="1" t="s">
        <v>149</v>
      </c>
      <c r="Q2366" s="1" t="s">
        <v>150</v>
      </c>
      <c r="R2366" s="1" t="s">
        <v>32</v>
      </c>
      <c r="S2366" s="1" t="s">
        <v>151</v>
      </c>
      <c r="T2366" s="1" t="s">
        <v>32</v>
      </c>
      <c r="U2366" s="1" t="s">
        <v>152</v>
      </c>
      <c r="V2366" s="1" t="s">
        <v>47</v>
      </c>
      <c r="W2366" s="1" t="s">
        <v>48</v>
      </c>
      <c r="X2366" s="1" t="s">
        <v>153</v>
      </c>
      <c r="Y2366" s="1" t="s">
        <v>154</v>
      </c>
      <c r="Z2366" s="1" t="str">
        <f>TRIM(_xlfn.CONCAT(sales_data_sample[[#This Row],[CONTACTFIRSTNAME]],", ",sales_data_sample[[#This Row],[CONTACTLASTNAME]]))</f>
        <v>Janine, Labrune</v>
      </c>
      <c r="AA2366" s="1" t="s">
        <v>40</v>
      </c>
    </row>
    <row r="2367" spans="1:27" x14ac:dyDescent="0.25">
      <c r="A2367" s="10">
        <v>10284</v>
      </c>
      <c r="B2367" s="9">
        <v>33</v>
      </c>
      <c r="C2367" s="9">
        <v>5193</v>
      </c>
      <c r="D2367" s="9">
        <f>PRODUCT(sales_data_sample[[#This Row],[QUANTITYORDERED]],sales_data_sample[[#This Row],[PRICEEACH]])</f>
        <v>171369</v>
      </c>
      <c r="E2367" s="9">
        <f>IF(OR(sales_data_sample[[#This Row],[STATUS]]="Shipped",sales_data_sample[[#This Row],[STATUS]]="Resolved"),sales_data_sample[[#This Row],[SALES]],0)</f>
        <v>171369</v>
      </c>
      <c r="F2367" s="10">
        <v>5</v>
      </c>
      <c r="G2367" s="12" t="s">
        <v>851</v>
      </c>
      <c r="H2367" s="1" t="s">
        <v>26</v>
      </c>
      <c r="I2367">
        <v>3</v>
      </c>
      <c r="J2367">
        <v>8</v>
      </c>
      <c r="K2367">
        <v>2004</v>
      </c>
      <c r="L2367" s="1" t="s">
        <v>799</v>
      </c>
      <c r="M2367">
        <v>43</v>
      </c>
      <c r="N2367" s="1" t="s">
        <v>996</v>
      </c>
      <c r="O2367" s="1" t="s">
        <v>786</v>
      </c>
      <c r="P2367" s="1" t="s">
        <v>787</v>
      </c>
      <c r="Q2367" s="1" t="s">
        <v>788</v>
      </c>
      <c r="R2367" s="1" t="s">
        <v>32</v>
      </c>
      <c r="S2367" s="1" t="s">
        <v>789</v>
      </c>
      <c r="T2367" s="1" t="s">
        <v>32</v>
      </c>
      <c r="U2367" s="1" t="s">
        <v>790</v>
      </c>
      <c r="V2367" s="1" t="s">
        <v>97</v>
      </c>
      <c r="W2367" s="1" t="s">
        <v>48</v>
      </c>
      <c r="X2367" s="1" t="s">
        <v>791</v>
      </c>
      <c r="Y2367" s="1" t="s">
        <v>792</v>
      </c>
      <c r="Z2367" s="1" t="str">
        <f>TRIM(_xlfn.CONCAT(sales_data_sample[[#This Row],[CONTACTFIRSTNAME]],", ",sales_data_sample[[#This Row],[CONTACTLASTNAME]]))</f>
        <v>Jan, Klaeboe</v>
      </c>
      <c r="AA2367" s="1" t="s">
        <v>40</v>
      </c>
    </row>
    <row r="2368" spans="1:27" x14ac:dyDescent="0.25">
      <c r="A2368" s="10">
        <v>10296</v>
      </c>
      <c r="B2368" s="9">
        <v>26</v>
      </c>
      <c r="C2368" s="9">
        <v>4844</v>
      </c>
      <c r="D2368" s="9">
        <f>PRODUCT(sales_data_sample[[#This Row],[QUANTITYORDERED]],sales_data_sample[[#This Row],[PRICEEACH]])</f>
        <v>125944</v>
      </c>
      <c r="E2368" s="9">
        <f>IF(OR(sales_data_sample[[#This Row],[STATUS]]="Shipped",sales_data_sample[[#This Row],[STATUS]]="Resolved"),sales_data_sample[[#This Row],[SALES]],0)</f>
        <v>125944</v>
      </c>
      <c r="F2368" s="10">
        <v>1</v>
      </c>
      <c r="G2368" s="12" t="s">
        <v>852</v>
      </c>
      <c r="H2368" s="1" t="s">
        <v>26</v>
      </c>
      <c r="I2368">
        <v>3</v>
      </c>
      <c r="J2368">
        <v>9</v>
      </c>
      <c r="K2368">
        <v>2004</v>
      </c>
      <c r="L2368" s="1" t="s">
        <v>799</v>
      </c>
      <c r="M2368">
        <v>43</v>
      </c>
      <c r="N2368" s="1" t="s">
        <v>996</v>
      </c>
      <c r="O2368" s="1" t="s">
        <v>853</v>
      </c>
      <c r="P2368" s="1" t="s">
        <v>854</v>
      </c>
      <c r="Q2368" s="1" t="s">
        <v>855</v>
      </c>
      <c r="R2368" s="1" t="s">
        <v>32</v>
      </c>
      <c r="S2368" s="1" t="s">
        <v>856</v>
      </c>
      <c r="T2368" s="1" t="s">
        <v>32</v>
      </c>
      <c r="U2368" s="1" t="s">
        <v>857</v>
      </c>
      <c r="V2368" s="1" t="s">
        <v>617</v>
      </c>
      <c r="W2368" s="1" t="s">
        <v>48</v>
      </c>
      <c r="X2368" s="1" t="s">
        <v>858</v>
      </c>
      <c r="Y2368" s="1" t="s">
        <v>130</v>
      </c>
      <c r="Z2368" s="1" t="str">
        <f>TRIM(_xlfn.CONCAT(sales_data_sample[[#This Row],[CONTACTFIRSTNAME]],", ",sales_data_sample[[#This Row],[CONTACTLASTNAME]]))</f>
        <v>Michael, Donnermeyer</v>
      </c>
      <c r="AA2368" s="1" t="s">
        <v>40</v>
      </c>
    </row>
    <row r="2369" spans="1:27" x14ac:dyDescent="0.25">
      <c r="A2369" s="10">
        <v>10308</v>
      </c>
      <c r="B2369" s="9">
        <v>47</v>
      </c>
      <c r="C2369" s="9">
        <v>4364</v>
      </c>
      <c r="D2369" s="9">
        <f>PRODUCT(sales_data_sample[[#This Row],[QUANTITYORDERED]],sales_data_sample[[#This Row],[PRICEEACH]])</f>
        <v>205108</v>
      </c>
      <c r="E2369" s="9">
        <f>IF(OR(sales_data_sample[[#This Row],[STATUS]]="Shipped",sales_data_sample[[#This Row],[STATUS]]="Resolved"),sales_data_sample[[#This Row],[SALES]],0)</f>
        <v>205108</v>
      </c>
      <c r="F2369" s="10">
        <v>11</v>
      </c>
      <c r="G2369" s="12" t="s">
        <v>173</v>
      </c>
      <c r="H2369" s="1" t="s">
        <v>26</v>
      </c>
      <c r="I2369">
        <v>4</v>
      </c>
      <c r="J2369">
        <v>10</v>
      </c>
      <c r="K2369">
        <v>2004</v>
      </c>
      <c r="L2369" s="1" t="s">
        <v>799</v>
      </c>
      <c r="M2369">
        <v>43</v>
      </c>
      <c r="N2369" s="1" t="s">
        <v>996</v>
      </c>
      <c r="O2369" s="1" t="s">
        <v>425</v>
      </c>
      <c r="P2369" s="1" t="s">
        <v>426</v>
      </c>
      <c r="Q2369" s="1" t="s">
        <v>427</v>
      </c>
      <c r="R2369" s="1" t="s">
        <v>32</v>
      </c>
      <c r="S2369" s="1" t="s">
        <v>428</v>
      </c>
      <c r="T2369" s="1" t="s">
        <v>34</v>
      </c>
      <c r="U2369" s="1" t="s">
        <v>429</v>
      </c>
      <c r="V2369" s="1" t="s">
        <v>36</v>
      </c>
      <c r="W2369" s="1" t="s">
        <v>37</v>
      </c>
      <c r="X2369" s="1" t="s">
        <v>129</v>
      </c>
      <c r="Y2369" s="1" t="s">
        <v>314</v>
      </c>
      <c r="Z2369" s="1" t="str">
        <f>TRIM(_xlfn.CONCAT(sales_data_sample[[#This Row],[CONTACTFIRSTNAME]],", ",sales_data_sample[[#This Row],[CONTACTLASTNAME]]))</f>
        <v>Steve, Frick</v>
      </c>
      <c r="AA2369" s="1" t="s">
        <v>40</v>
      </c>
    </row>
    <row r="2370" spans="1:27" x14ac:dyDescent="0.25">
      <c r="A2370" s="10">
        <v>10316</v>
      </c>
      <c r="B2370" s="9">
        <v>34</v>
      </c>
      <c r="C2370" s="9">
        <v>4757</v>
      </c>
      <c r="D2370" s="9">
        <f>PRODUCT(sales_data_sample[[#This Row],[QUANTITYORDERED]],sales_data_sample[[#This Row],[PRICEEACH]])</f>
        <v>161738</v>
      </c>
      <c r="E2370" s="9">
        <f>IF(OR(sales_data_sample[[#This Row],[STATUS]]="Shipped",sales_data_sample[[#This Row],[STATUS]]="Resolved"),sales_data_sample[[#This Row],[SALES]],0)</f>
        <v>161738</v>
      </c>
      <c r="F2370" s="10">
        <v>3</v>
      </c>
      <c r="G2370" s="12" t="s">
        <v>523</v>
      </c>
      <c r="H2370" s="1" t="s">
        <v>26</v>
      </c>
      <c r="I2370">
        <v>4</v>
      </c>
      <c r="J2370">
        <v>11</v>
      </c>
      <c r="K2370">
        <v>2004</v>
      </c>
      <c r="L2370" s="1" t="s">
        <v>799</v>
      </c>
      <c r="M2370">
        <v>43</v>
      </c>
      <c r="N2370" s="1" t="s">
        <v>996</v>
      </c>
      <c r="O2370" s="1" t="s">
        <v>524</v>
      </c>
      <c r="P2370" s="1" t="s">
        <v>525</v>
      </c>
      <c r="Q2370" s="1" t="s">
        <v>526</v>
      </c>
      <c r="R2370" s="1" t="s">
        <v>32</v>
      </c>
      <c r="S2370" s="1" t="s">
        <v>527</v>
      </c>
      <c r="T2370" s="1" t="s">
        <v>528</v>
      </c>
      <c r="U2370" s="1" t="s">
        <v>529</v>
      </c>
      <c r="V2370" s="1" t="s">
        <v>225</v>
      </c>
      <c r="W2370" s="1" t="s">
        <v>48</v>
      </c>
      <c r="X2370" s="1" t="s">
        <v>530</v>
      </c>
      <c r="Y2370" s="1" t="s">
        <v>531</v>
      </c>
      <c r="Z2370" s="1" t="str">
        <f>TRIM(_xlfn.CONCAT(sales_data_sample[[#This Row],[CONTACTFIRSTNAME]],", ",sales_data_sample[[#This Row],[CONTACTLASTNAME]]))</f>
        <v>Helen, Bennett</v>
      </c>
      <c r="AA2370" s="1" t="s">
        <v>40</v>
      </c>
    </row>
    <row r="2371" spans="1:27" x14ac:dyDescent="0.25">
      <c r="A2371" s="10">
        <v>10328</v>
      </c>
      <c r="B2371" s="9">
        <v>34</v>
      </c>
      <c r="C2371" s="9">
        <v>5193</v>
      </c>
      <c r="D2371" s="9">
        <f>PRODUCT(sales_data_sample[[#This Row],[QUANTITYORDERED]],sales_data_sample[[#This Row],[PRICEEACH]])</f>
        <v>176562</v>
      </c>
      <c r="E2371" s="9">
        <f>IF(OR(sales_data_sample[[#This Row],[STATUS]]="Shipped",sales_data_sample[[#This Row],[STATUS]]="Resolved"),sales_data_sample[[#This Row],[SALES]],0)</f>
        <v>176562</v>
      </c>
      <c r="F2371" s="10">
        <v>7</v>
      </c>
      <c r="G2371" s="12" t="s">
        <v>936</v>
      </c>
      <c r="H2371" s="1" t="s">
        <v>26</v>
      </c>
      <c r="I2371">
        <v>4</v>
      </c>
      <c r="J2371">
        <v>11</v>
      </c>
      <c r="K2371">
        <v>2004</v>
      </c>
      <c r="L2371" s="1" t="s">
        <v>799</v>
      </c>
      <c r="M2371">
        <v>43</v>
      </c>
      <c r="N2371" s="1" t="s">
        <v>996</v>
      </c>
      <c r="O2371" s="1" t="s">
        <v>806</v>
      </c>
      <c r="P2371" s="1" t="s">
        <v>807</v>
      </c>
      <c r="Q2371" s="1" t="s">
        <v>808</v>
      </c>
      <c r="R2371" s="1" t="s">
        <v>32</v>
      </c>
      <c r="S2371" s="1" t="s">
        <v>809</v>
      </c>
      <c r="T2371" s="1" t="s">
        <v>32</v>
      </c>
      <c r="U2371" s="1" t="s">
        <v>810</v>
      </c>
      <c r="V2371" s="1" t="s">
        <v>343</v>
      </c>
      <c r="W2371" s="1" t="s">
        <v>48</v>
      </c>
      <c r="X2371" s="1" t="s">
        <v>811</v>
      </c>
      <c r="Y2371" s="1" t="s">
        <v>812</v>
      </c>
      <c r="Z2371" s="1" t="str">
        <f>TRIM(_xlfn.CONCAT(sales_data_sample[[#This Row],[CONTACTFIRSTNAME]],", ",sales_data_sample[[#This Row],[CONTACTLASTNAME]]))</f>
        <v>Giovanni, Rovelli</v>
      </c>
      <c r="AA2371" s="1" t="s">
        <v>40</v>
      </c>
    </row>
    <row r="2372" spans="1:27" x14ac:dyDescent="0.25">
      <c r="A2372" s="10">
        <v>10340</v>
      </c>
      <c r="B2372" s="9">
        <v>40</v>
      </c>
      <c r="C2372" s="9">
        <v>5062</v>
      </c>
      <c r="D2372" s="9">
        <f>PRODUCT(sales_data_sample[[#This Row],[QUANTITYORDERED]],sales_data_sample[[#This Row],[PRICEEACH]])</f>
        <v>202480</v>
      </c>
      <c r="E2372" s="9">
        <f>IF(OR(sales_data_sample[[#This Row],[STATUS]]="Shipped",sales_data_sample[[#This Row],[STATUS]]="Resolved"),sales_data_sample[[#This Row],[SALES]],0)</f>
        <v>202480</v>
      </c>
      <c r="F2372" s="10">
        <v>4</v>
      </c>
      <c r="G2372" s="12" t="s">
        <v>190</v>
      </c>
      <c r="H2372" s="1" t="s">
        <v>26</v>
      </c>
      <c r="I2372">
        <v>4</v>
      </c>
      <c r="J2372">
        <v>11</v>
      </c>
      <c r="K2372">
        <v>2004</v>
      </c>
      <c r="L2372" s="1" t="s">
        <v>799</v>
      </c>
      <c r="M2372">
        <v>43</v>
      </c>
      <c r="N2372" s="1" t="s">
        <v>996</v>
      </c>
      <c r="O2372" s="1" t="s">
        <v>478</v>
      </c>
      <c r="P2372" s="1" t="s">
        <v>479</v>
      </c>
      <c r="Q2372" s="1" t="s">
        <v>480</v>
      </c>
      <c r="R2372" s="1" t="s">
        <v>32</v>
      </c>
      <c r="S2372" s="1" t="s">
        <v>481</v>
      </c>
      <c r="T2372" s="1" t="s">
        <v>32</v>
      </c>
      <c r="U2372" s="1" t="s">
        <v>482</v>
      </c>
      <c r="V2372" s="1" t="s">
        <v>235</v>
      </c>
      <c r="W2372" s="1" t="s">
        <v>48</v>
      </c>
      <c r="X2372" s="1" t="s">
        <v>483</v>
      </c>
      <c r="Y2372" s="1" t="s">
        <v>484</v>
      </c>
      <c r="Z2372" s="1" t="str">
        <f>TRIM(_xlfn.CONCAT(sales_data_sample[[#This Row],[CONTACTFIRSTNAME]],", ",sales_data_sample[[#This Row],[CONTACTLASTNAME]]))</f>
        <v>Eduardo, Saavedra</v>
      </c>
      <c r="AA2372" s="1" t="s">
        <v>40</v>
      </c>
    </row>
    <row r="2373" spans="1:27" x14ac:dyDescent="0.25">
      <c r="A2373" s="10">
        <v>10353</v>
      </c>
      <c r="B2373" s="9">
        <v>40</v>
      </c>
      <c r="C2373" s="9">
        <v>8221</v>
      </c>
      <c r="D2373" s="9">
        <f>PRODUCT(sales_data_sample[[#This Row],[QUANTITYORDERED]],sales_data_sample[[#This Row],[PRICEEACH]])</f>
        <v>328840</v>
      </c>
      <c r="E2373" s="9">
        <f>IF(OR(sales_data_sample[[#This Row],[STATUS]]="Shipped",sales_data_sample[[#This Row],[STATUS]]="Resolved"),sales_data_sample[[#This Row],[SALES]],0)</f>
        <v>328840</v>
      </c>
      <c r="F2373" s="10">
        <v>8</v>
      </c>
      <c r="G2373" s="12" t="s">
        <v>894</v>
      </c>
      <c r="H2373" s="1" t="s">
        <v>26</v>
      </c>
      <c r="I2373">
        <v>4</v>
      </c>
      <c r="J2373">
        <v>12</v>
      </c>
      <c r="K2373">
        <v>2004</v>
      </c>
      <c r="L2373" s="1" t="s">
        <v>799</v>
      </c>
      <c r="M2373">
        <v>43</v>
      </c>
      <c r="N2373" s="1" t="s">
        <v>996</v>
      </c>
      <c r="O2373" s="1" t="s">
        <v>842</v>
      </c>
      <c r="P2373" s="1" t="s">
        <v>843</v>
      </c>
      <c r="Q2373" s="1" t="s">
        <v>844</v>
      </c>
      <c r="R2373" s="1" t="s">
        <v>32</v>
      </c>
      <c r="S2373" s="1" t="s">
        <v>734</v>
      </c>
      <c r="T2373" s="1" t="s">
        <v>144</v>
      </c>
      <c r="U2373" s="1" t="s">
        <v>845</v>
      </c>
      <c r="V2373" s="1" t="s">
        <v>36</v>
      </c>
      <c r="W2373" s="1" t="s">
        <v>37</v>
      </c>
      <c r="X2373" s="1" t="s">
        <v>846</v>
      </c>
      <c r="Y2373" s="1" t="s">
        <v>847</v>
      </c>
      <c r="Z2373" s="1" t="str">
        <f>TRIM(_xlfn.CONCAT(sales_data_sample[[#This Row],[CONTACTFIRSTNAME]],", ",sales_data_sample[[#This Row],[CONTACTLASTNAME]]))</f>
        <v>Dan, Lewis</v>
      </c>
      <c r="AA2373" s="1" t="s">
        <v>59</v>
      </c>
    </row>
    <row r="2374" spans="1:27" x14ac:dyDescent="0.25">
      <c r="A2374">
        <v>10361</v>
      </c>
      <c r="B2374">
        <v>33</v>
      </c>
      <c r="C2374">
        <v>8259</v>
      </c>
      <c r="D2374">
        <f>PRODUCT(sales_data_sample[[#This Row],[QUANTITYORDERED]],sales_data_sample[[#This Row],[PRICEEACH]])</f>
        <v>272547</v>
      </c>
      <c r="E2374" s="9">
        <f>IF(OR(sales_data_sample[[#This Row],[STATUS]]="Shipped",sales_data_sample[[#This Row],[STATUS]]="Resolved"),sales_data_sample[[#This Row],[SALES]],0)</f>
        <v>272547</v>
      </c>
      <c r="F2374">
        <v>3</v>
      </c>
      <c r="G2374" s="12" t="s">
        <v>200</v>
      </c>
      <c r="H2374" s="1" t="s">
        <v>26</v>
      </c>
      <c r="I2374">
        <v>4</v>
      </c>
      <c r="J2374">
        <v>12</v>
      </c>
      <c r="K2374">
        <v>2004</v>
      </c>
      <c r="L2374" s="1" t="s">
        <v>799</v>
      </c>
      <c r="M2374">
        <v>43</v>
      </c>
      <c r="N2374" s="1" t="s">
        <v>996</v>
      </c>
      <c r="O2374" s="1" t="s">
        <v>201</v>
      </c>
      <c r="P2374" s="1" t="s">
        <v>202</v>
      </c>
      <c r="Q2374" s="1" t="s">
        <v>203</v>
      </c>
      <c r="R2374" s="1" t="s">
        <v>204</v>
      </c>
      <c r="S2374" s="1" t="s">
        <v>205</v>
      </c>
      <c r="T2374" s="1" t="s">
        <v>206</v>
      </c>
      <c r="U2374" s="1" t="s">
        <v>207</v>
      </c>
      <c r="V2374" s="1" t="s">
        <v>120</v>
      </c>
      <c r="W2374" s="1" t="s">
        <v>121</v>
      </c>
      <c r="X2374" s="1" t="s">
        <v>208</v>
      </c>
      <c r="Y2374" s="1" t="s">
        <v>209</v>
      </c>
      <c r="Z2374" s="1" t="str">
        <f>TRIM(_xlfn.CONCAT(sales_data_sample[[#This Row],[CONTACTFIRSTNAME]],", ",sales_data_sample[[#This Row],[CONTACTLASTNAME]]))</f>
        <v>Adrian, Huxley</v>
      </c>
      <c r="AA2374" s="1" t="s">
        <v>40</v>
      </c>
    </row>
    <row r="2375" spans="1:27" x14ac:dyDescent="0.25">
      <c r="A2375" s="10">
        <v>10375</v>
      </c>
      <c r="B2375" s="9">
        <v>49</v>
      </c>
      <c r="C2375" s="9">
        <v>658</v>
      </c>
      <c r="D2375" s="9">
        <f>PRODUCT(sales_data_sample[[#This Row],[QUANTITYORDERED]],sales_data_sample[[#This Row],[PRICEEACH]])</f>
        <v>32242</v>
      </c>
      <c r="E2375" s="9">
        <f>IF(OR(sales_data_sample[[#This Row],[STATUS]]="Shipped",sales_data_sample[[#This Row],[STATUS]]="Resolved"),sales_data_sample[[#This Row],[SALES]],0)</f>
        <v>32242</v>
      </c>
      <c r="F2375" s="10">
        <v>5</v>
      </c>
      <c r="G2375" s="12" t="s">
        <v>210</v>
      </c>
      <c r="H2375" s="1" t="s">
        <v>26</v>
      </c>
      <c r="I2375">
        <v>1</v>
      </c>
      <c r="J2375">
        <v>2</v>
      </c>
      <c r="K2375">
        <v>2005</v>
      </c>
      <c r="L2375" s="1" t="s">
        <v>799</v>
      </c>
      <c r="M2375">
        <v>43</v>
      </c>
      <c r="N2375" s="1" t="s">
        <v>996</v>
      </c>
      <c r="O2375" s="1" t="s">
        <v>148</v>
      </c>
      <c r="P2375" s="1" t="s">
        <v>149</v>
      </c>
      <c r="Q2375" s="1" t="s">
        <v>150</v>
      </c>
      <c r="R2375" s="1" t="s">
        <v>32</v>
      </c>
      <c r="S2375" s="1" t="s">
        <v>151</v>
      </c>
      <c r="T2375" s="1" t="s">
        <v>32</v>
      </c>
      <c r="U2375" s="1" t="s">
        <v>152</v>
      </c>
      <c r="V2375" s="1" t="s">
        <v>47</v>
      </c>
      <c r="W2375" s="1" t="s">
        <v>48</v>
      </c>
      <c r="X2375" s="1" t="s">
        <v>153</v>
      </c>
      <c r="Y2375" s="1" t="s">
        <v>154</v>
      </c>
      <c r="Z2375" s="1" t="str">
        <f>TRIM(_xlfn.CONCAT(sales_data_sample[[#This Row],[CONTACTFIRSTNAME]],", ",sales_data_sample[[#This Row],[CONTACTLASTNAME]]))</f>
        <v>Janine, Labrune</v>
      </c>
      <c r="AA2375" s="1" t="s">
        <v>59</v>
      </c>
    </row>
    <row r="2376" spans="1:27" x14ac:dyDescent="0.25">
      <c r="A2376" s="10">
        <v>10388</v>
      </c>
      <c r="B2376" s="9">
        <v>27</v>
      </c>
      <c r="C2376" s="9">
        <v>100</v>
      </c>
      <c r="D2376" s="9">
        <f>PRODUCT(sales_data_sample[[#This Row],[QUANTITYORDERED]],sales_data_sample[[#This Row],[PRICEEACH]])</f>
        <v>2700</v>
      </c>
      <c r="E2376" s="9">
        <f>IF(OR(sales_data_sample[[#This Row],[STATUS]]="Shipped",sales_data_sample[[#This Row],[STATUS]]="Resolved"),sales_data_sample[[#This Row],[SALES]],0)</f>
        <v>2700</v>
      </c>
      <c r="F2376" s="10">
        <v>1</v>
      </c>
      <c r="G2376" s="12" t="s">
        <v>211</v>
      </c>
      <c r="H2376" s="1" t="s">
        <v>26</v>
      </c>
      <c r="I2376">
        <v>1</v>
      </c>
      <c r="J2376">
        <v>3</v>
      </c>
      <c r="K2376">
        <v>2005</v>
      </c>
      <c r="L2376" s="1" t="s">
        <v>799</v>
      </c>
      <c r="M2376">
        <v>43</v>
      </c>
      <c r="N2376" s="1" t="s">
        <v>996</v>
      </c>
      <c r="O2376" s="1" t="s">
        <v>212</v>
      </c>
      <c r="P2376" s="1" t="s">
        <v>213</v>
      </c>
      <c r="Q2376" s="1" t="s">
        <v>214</v>
      </c>
      <c r="R2376" s="1" t="s">
        <v>32</v>
      </c>
      <c r="S2376" s="1" t="s">
        <v>215</v>
      </c>
      <c r="T2376" s="1" t="s">
        <v>160</v>
      </c>
      <c r="U2376" s="1" t="s">
        <v>216</v>
      </c>
      <c r="V2376" s="1" t="s">
        <v>36</v>
      </c>
      <c r="W2376" s="1" t="s">
        <v>37</v>
      </c>
      <c r="X2376" s="1" t="s">
        <v>217</v>
      </c>
      <c r="Y2376" s="1" t="s">
        <v>218</v>
      </c>
      <c r="Z2376" s="1" t="str">
        <f>TRIM(_xlfn.CONCAT(sales_data_sample[[#This Row],[CONTACTFIRSTNAME]],", ",sales_data_sample[[#This Row],[CONTACTLASTNAME]]))</f>
        <v>Violeta, Benitez</v>
      </c>
      <c r="AA2376" s="1" t="s">
        <v>59</v>
      </c>
    </row>
    <row r="2377" spans="1:27" x14ac:dyDescent="0.25">
      <c r="A2377" s="10">
        <v>10398</v>
      </c>
      <c r="B2377" s="9">
        <v>49</v>
      </c>
      <c r="C2377" s="9">
        <v>3666</v>
      </c>
      <c r="D2377" s="9">
        <f>PRODUCT(sales_data_sample[[#This Row],[QUANTITYORDERED]],sales_data_sample[[#This Row],[PRICEEACH]])</f>
        <v>179634</v>
      </c>
      <c r="E2377" s="9">
        <f>IF(OR(sales_data_sample[[#This Row],[STATUS]]="Shipped",sales_data_sample[[#This Row],[STATUS]]="Resolved"),sales_data_sample[[#This Row],[SALES]],0)</f>
        <v>179634</v>
      </c>
      <c r="F2377" s="10">
        <v>5</v>
      </c>
      <c r="G2377" s="12" t="s">
        <v>870</v>
      </c>
      <c r="H2377" s="1" t="s">
        <v>26</v>
      </c>
      <c r="I2377">
        <v>1</v>
      </c>
      <c r="J2377">
        <v>3</v>
      </c>
      <c r="K2377">
        <v>2005</v>
      </c>
      <c r="L2377" s="1" t="s">
        <v>799</v>
      </c>
      <c r="M2377">
        <v>43</v>
      </c>
      <c r="N2377" s="1" t="s">
        <v>996</v>
      </c>
      <c r="O2377" s="1" t="s">
        <v>42</v>
      </c>
      <c r="P2377" s="1" t="s">
        <v>43</v>
      </c>
      <c r="Q2377" s="1" t="s">
        <v>44</v>
      </c>
      <c r="R2377" s="1" t="s">
        <v>32</v>
      </c>
      <c r="S2377" s="1" t="s">
        <v>45</v>
      </c>
      <c r="T2377" s="1" t="s">
        <v>32</v>
      </c>
      <c r="U2377" s="1" t="s">
        <v>46</v>
      </c>
      <c r="V2377" s="1" t="s">
        <v>47</v>
      </c>
      <c r="W2377" s="1" t="s">
        <v>48</v>
      </c>
      <c r="X2377" s="1" t="s">
        <v>49</v>
      </c>
      <c r="Y2377" s="1" t="s">
        <v>50</v>
      </c>
      <c r="Z2377" s="1" t="str">
        <f>TRIM(_xlfn.CONCAT(sales_data_sample[[#This Row],[CONTACTFIRSTNAME]],", ",sales_data_sample[[#This Row],[CONTACTLASTNAME]]))</f>
        <v>Paul, Henriot</v>
      </c>
      <c r="AA2377" s="1" t="s">
        <v>40</v>
      </c>
    </row>
    <row r="2378" spans="1:27" x14ac:dyDescent="0.25">
      <c r="A2378" s="10">
        <v>10401</v>
      </c>
      <c r="B2378" s="9">
        <v>56</v>
      </c>
      <c r="C2378" s="9">
        <v>3535</v>
      </c>
      <c r="D2378" s="9">
        <f>PRODUCT(sales_data_sample[[#This Row],[QUANTITYORDERED]],sales_data_sample[[#This Row],[PRICEEACH]])</f>
        <v>197960</v>
      </c>
      <c r="E2378" s="9">
        <f>IF(OR(sales_data_sample[[#This Row],[STATUS]]="Shipped",sales_data_sample[[#This Row],[STATUS]]="Resolved"),sales_data_sample[[#This Row],[SALES]],0)</f>
        <v>0</v>
      </c>
      <c r="F2378" s="10">
        <v>7</v>
      </c>
      <c r="G2378" s="12" t="s">
        <v>895</v>
      </c>
      <c r="H2378" s="1" t="s">
        <v>553</v>
      </c>
      <c r="I2378">
        <v>2</v>
      </c>
      <c r="J2378">
        <v>4</v>
      </c>
      <c r="K2378">
        <v>2005</v>
      </c>
      <c r="L2378" s="1" t="s">
        <v>799</v>
      </c>
      <c r="M2378">
        <v>43</v>
      </c>
      <c r="N2378" s="1" t="s">
        <v>996</v>
      </c>
      <c r="O2378" s="1" t="s">
        <v>132</v>
      </c>
      <c r="P2378" s="1" t="s">
        <v>133</v>
      </c>
      <c r="Q2378" s="1" t="s">
        <v>134</v>
      </c>
      <c r="R2378" s="1" t="s">
        <v>32</v>
      </c>
      <c r="S2378" s="1" t="s">
        <v>135</v>
      </c>
      <c r="T2378" s="1" t="s">
        <v>136</v>
      </c>
      <c r="U2378" s="1" t="s">
        <v>137</v>
      </c>
      <c r="V2378" s="1" t="s">
        <v>36</v>
      </c>
      <c r="W2378" s="1" t="s">
        <v>37</v>
      </c>
      <c r="X2378" s="1" t="s">
        <v>74</v>
      </c>
      <c r="Y2378" s="1" t="s">
        <v>138</v>
      </c>
      <c r="Z2378" s="1" t="str">
        <f>TRIM(_xlfn.CONCAT(sales_data_sample[[#This Row],[CONTACTFIRSTNAME]],", ",sales_data_sample[[#This Row],[CONTACTLASTNAME]]))</f>
        <v>William, Brown</v>
      </c>
      <c r="AA2378" s="1" t="s">
        <v>40</v>
      </c>
    </row>
    <row r="2379" spans="1:27" x14ac:dyDescent="0.25">
      <c r="A2379" s="10">
        <v>10416</v>
      </c>
      <c r="B2379" s="9">
        <v>37</v>
      </c>
      <c r="C2379" s="9">
        <v>5193</v>
      </c>
      <c r="D2379" s="9">
        <f>PRODUCT(sales_data_sample[[#This Row],[QUANTITYORDERED]],sales_data_sample[[#This Row],[PRICEEACH]])</f>
        <v>192141</v>
      </c>
      <c r="E2379" s="9">
        <f>IF(OR(sales_data_sample[[#This Row],[STATUS]]="Shipped",sales_data_sample[[#This Row],[STATUS]]="Resolved"),sales_data_sample[[#This Row],[SALES]],0)</f>
        <v>192141</v>
      </c>
      <c r="F2379" s="10">
        <v>8</v>
      </c>
      <c r="G2379" s="12" t="s">
        <v>871</v>
      </c>
      <c r="H2379" s="1" t="s">
        <v>26</v>
      </c>
      <c r="I2379">
        <v>2</v>
      </c>
      <c r="J2379">
        <v>5</v>
      </c>
      <c r="K2379">
        <v>2005</v>
      </c>
      <c r="L2379" s="1" t="s">
        <v>799</v>
      </c>
      <c r="M2379">
        <v>43</v>
      </c>
      <c r="N2379" s="1" t="s">
        <v>996</v>
      </c>
      <c r="O2379" s="1" t="s">
        <v>632</v>
      </c>
      <c r="P2379" s="1" t="s">
        <v>633</v>
      </c>
      <c r="Q2379" s="1" t="s">
        <v>634</v>
      </c>
      <c r="R2379" s="1" t="s">
        <v>32</v>
      </c>
      <c r="S2379" s="1" t="s">
        <v>635</v>
      </c>
      <c r="T2379" s="1" t="s">
        <v>32</v>
      </c>
      <c r="U2379" s="1" t="s">
        <v>636</v>
      </c>
      <c r="V2379" s="1" t="s">
        <v>343</v>
      </c>
      <c r="W2379" s="1" t="s">
        <v>48</v>
      </c>
      <c r="X2379" s="1" t="s">
        <v>637</v>
      </c>
      <c r="Y2379" s="1" t="s">
        <v>638</v>
      </c>
      <c r="Z2379" s="1" t="str">
        <f>TRIM(_xlfn.CONCAT(sales_data_sample[[#This Row],[CONTACTFIRSTNAME]],", ",sales_data_sample[[#This Row],[CONTACTLASTNAME]]))</f>
        <v>Maurizio, Moroni</v>
      </c>
      <c r="AA2379" s="1" t="s">
        <v>40</v>
      </c>
    </row>
    <row r="2380" spans="1:27" x14ac:dyDescent="0.25">
      <c r="A2380" s="10">
        <v>10104</v>
      </c>
      <c r="B2380" s="9">
        <v>33</v>
      </c>
      <c r="C2380" s="9">
        <v>100</v>
      </c>
      <c r="D2380" s="9">
        <f>PRODUCT(sales_data_sample[[#This Row],[QUANTITYORDERED]],sales_data_sample[[#This Row],[PRICEEACH]])</f>
        <v>3300</v>
      </c>
      <c r="E2380" s="9">
        <f>IF(OR(sales_data_sample[[#This Row],[STATUS]]="Shipped",sales_data_sample[[#This Row],[STATUS]]="Resolved"),sales_data_sample[[#This Row],[SALES]],0)</f>
        <v>3300</v>
      </c>
      <c r="F2380" s="10">
        <v>7</v>
      </c>
      <c r="G2380" s="12" t="s">
        <v>723</v>
      </c>
      <c r="H2380" s="1" t="s">
        <v>26</v>
      </c>
      <c r="I2380">
        <v>1</v>
      </c>
      <c r="J2380">
        <v>1</v>
      </c>
      <c r="K2380">
        <v>2003</v>
      </c>
      <c r="L2380" s="1" t="s">
        <v>711</v>
      </c>
      <c r="M2380">
        <v>115</v>
      </c>
      <c r="N2380" s="1" t="s">
        <v>998</v>
      </c>
      <c r="O2380" s="1" t="s">
        <v>230</v>
      </c>
      <c r="P2380" s="1" t="s">
        <v>231</v>
      </c>
      <c r="Q2380" s="1" t="s">
        <v>232</v>
      </c>
      <c r="R2380" s="1" t="s">
        <v>32</v>
      </c>
      <c r="S2380" s="1" t="s">
        <v>233</v>
      </c>
      <c r="T2380" s="1" t="s">
        <v>32</v>
      </c>
      <c r="U2380" s="1" t="s">
        <v>234</v>
      </c>
      <c r="V2380" s="1" t="s">
        <v>235</v>
      </c>
      <c r="W2380" s="1" t="s">
        <v>48</v>
      </c>
      <c r="X2380" s="1" t="s">
        <v>236</v>
      </c>
      <c r="Y2380" s="1" t="s">
        <v>237</v>
      </c>
      <c r="Z2380" s="1" t="str">
        <f>TRIM(_xlfn.CONCAT(sales_data_sample[[#This Row],[CONTACTFIRSTNAME]],", ",sales_data_sample[[#This Row],[CONTACTLASTNAME]]))</f>
        <v>Diego, Freyre</v>
      </c>
      <c r="AA2380" s="1" t="s">
        <v>59</v>
      </c>
    </row>
    <row r="2381" spans="1:27" x14ac:dyDescent="0.25">
      <c r="A2381">
        <v>10115</v>
      </c>
      <c r="B2381">
        <v>27</v>
      </c>
      <c r="C2381">
        <v>100</v>
      </c>
      <c r="D2381">
        <f>PRODUCT(sales_data_sample[[#This Row],[QUANTITYORDERED]],sales_data_sample[[#This Row],[PRICEEACH]])</f>
        <v>2700</v>
      </c>
      <c r="E2381" s="9">
        <f>IF(OR(sales_data_sample[[#This Row],[STATUS]]="Shipped",sales_data_sample[[#This Row],[STATUS]]="Resolved"),sales_data_sample[[#This Row],[SALES]],0)</f>
        <v>2700</v>
      </c>
      <c r="F2381">
        <v>3</v>
      </c>
      <c r="G2381" s="12" t="s">
        <v>742</v>
      </c>
      <c r="H2381" s="1" t="s">
        <v>26</v>
      </c>
      <c r="I2381">
        <v>2</v>
      </c>
      <c r="J2381">
        <v>4</v>
      </c>
      <c r="K2381">
        <v>2003</v>
      </c>
      <c r="L2381" s="1" t="s">
        <v>711</v>
      </c>
      <c r="M2381">
        <v>115</v>
      </c>
      <c r="N2381" s="1" t="s">
        <v>998</v>
      </c>
      <c r="O2381" s="1" t="s">
        <v>268</v>
      </c>
      <c r="P2381" s="1" t="s">
        <v>269</v>
      </c>
      <c r="Q2381" s="1" t="s">
        <v>270</v>
      </c>
      <c r="R2381" s="1" t="s">
        <v>271</v>
      </c>
      <c r="S2381" s="1" t="s">
        <v>33</v>
      </c>
      <c r="T2381" s="1" t="s">
        <v>34</v>
      </c>
      <c r="U2381" s="1" t="s">
        <v>35</v>
      </c>
      <c r="V2381" s="1" t="s">
        <v>36</v>
      </c>
      <c r="W2381" s="1" t="s">
        <v>37</v>
      </c>
      <c r="X2381" s="1" t="s">
        <v>162</v>
      </c>
      <c r="Y2381" s="1" t="s">
        <v>272</v>
      </c>
      <c r="Z2381" s="1" t="str">
        <f>TRIM(_xlfn.CONCAT(sales_data_sample[[#This Row],[CONTACTFIRSTNAME]],", ",sales_data_sample[[#This Row],[CONTACTLASTNAME]]))</f>
        <v>Maria, Hernandez</v>
      </c>
      <c r="AA2381" s="1" t="s">
        <v>40</v>
      </c>
    </row>
    <row r="2382" spans="1:27" x14ac:dyDescent="0.25">
      <c r="A2382">
        <v>10127</v>
      </c>
      <c r="B2382">
        <v>46</v>
      </c>
      <c r="C2382">
        <v>100</v>
      </c>
      <c r="D2382">
        <f>PRODUCT(sales_data_sample[[#This Row],[QUANTITYORDERED]],sales_data_sample[[#This Row],[PRICEEACH]])</f>
        <v>4600</v>
      </c>
      <c r="E2382" s="9">
        <f>IF(OR(sales_data_sample[[#This Row],[STATUS]]="Shipped",sales_data_sample[[#This Row],[STATUS]]="Resolved"),sales_data_sample[[#This Row],[SALES]],0)</f>
        <v>4600</v>
      </c>
      <c r="F2382">
        <v>9</v>
      </c>
      <c r="G2382" s="12" t="s">
        <v>666</v>
      </c>
      <c r="H2382" s="1" t="s">
        <v>26</v>
      </c>
      <c r="I2382">
        <v>2</v>
      </c>
      <c r="J2382">
        <v>6</v>
      </c>
      <c r="K2382">
        <v>2003</v>
      </c>
      <c r="L2382" s="1" t="s">
        <v>711</v>
      </c>
      <c r="M2382">
        <v>115</v>
      </c>
      <c r="N2382" s="1" t="s">
        <v>998</v>
      </c>
      <c r="O2382" s="1" t="s">
        <v>667</v>
      </c>
      <c r="P2382" s="1" t="s">
        <v>668</v>
      </c>
      <c r="Q2382" s="1" t="s">
        <v>669</v>
      </c>
      <c r="R2382" s="1" t="s">
        <v>670</v>
      </c>
      <c r="S2382" s="1" t="s">
        <v>33</v>
      </c>
      <c r="T2382" s="1" t="s">
        <v>34</v>
      </c>
      <c r="U2382" s="1" t="s">
        <v>35</v>
      </c>
      <c r="V2382" s="1" t="s">
        <v>36</v>
      </c>
      <c r="W2382" s="1" t="s">
        <v>37</v>
      </c>
      <c r="X2382" s="1" t="s">
        <v>67</v>
      </c>
      <c r="Y2382" s="1" t="s">
        <v>671</v>
      </c>
      <c r="Z2382" s="1" t="str">
        <f>TRIM(_xlfn.CONCAT(sales_data_sample[[#This Row],[CONTACTFIRSTNAME]],", ",sales_data_sample[[#This Row],[CONTACTLASTNAME]]))</f>
        <v>Jeff, Young</v>
      </c>
      <c r="AA2382" s="1" t="s">
        <v>59</v>
      </c>
    </row>
    <row r="2383" spans="1:27" x14ac:dyDescent="0.25">
      <c r="A2383" s="10">
        <v>10141</v>
      </c>
      <c r="B2383" s="9">
        <v>44</v>
      </c>
      <c r="C2383" s="9">
        <v>100</v>
      </c>
      <c r="D2383" s="9">
        <f>PRODUCT(sales_data_sample[[#This Row],[QUANTITYORDERED]],sales_data_sample[[#This Row],[PRICEEACH]])</f>
        <v>4400</v>
      </c>
      <c r="E2383" s="9">
        <f>IF(OR(sales_data_sample[[#This Row],[STATUS]]="Shipped",sales_data_sample[[#This Row],[STATUS]]="Resolved"),sales_data_sample[[#This Row],[SALES]],0)</f>
        <v>4400</v>
      </c>
      <c r="F2383" s="10">
        <v>3</v>
      </c>
      <c r="G2383" s="12" t="s">
        <v>743</v>
      </c>
      <c r="H2383" s="1" t="s">
        <v>26</v>
      </c>
      <c r="I2383">
        <v>3</v>
      </c>
      <c r="J2383">
        <v>8</v>
      </c>
      <c r="K2383">
        <v>2003</v>
      </c>
      <c r="L2383" s="1" t="s">
        <v>711</v>
      </c>
      <c r="M2383">
        <v>115</v>
      </c>
      <c r="N2383" s="1" t="s">
        <v>998</v>
      </c>
      <c r="O2383" s="1" t="s">
        <v>656</v>
      </c>
      <c r="P2383" s="1" t="s">
        <v>657</v>
      </c>
      <c r="Q2383" s="1" t="s">
        <v>658</v>
      </c>
      <c r="R2383" s="1" t="s">
        <v>32</v>
      </c>
      <c r="S2383" s="1" t="s">
        <v>659</v>
      </c>
      <c r="T2383" s="1" t="s">
        <v>32</v>
      </c>
      <c r="U2383" s="1" t="s">
        <v>660</v>
      </c>
      <c r="V2383" s="1" t="s">
        <v>170</v>
      </c>
      <c r="W2383" s="1" t="s">
        <v>48</v>
      </c>
      <c r="X2383" s="1" t="s">
        <v>661</v>
      </c>
      <c r="Y2383" s="1" t="s">
        <v>662</v>
      </c>
      <c r="Z2383" s="1" t="str">
        <f>TRIM(_xlfn.CONCAT(sales_data_sample[[#This Row],[CONTACTFIRSTNAME]],", ",sales_data_sample[[#This Row],[CONTACTLASTNAME]]))</f>
        <v>Kalle, Suominen</v>
      </c>
      <c r="AA2383" s="1" t="s">
        <v>59</v>
      </c>
    </row>
    <row r="2384" spans="1:27" x14ac:dyDescent="0.25">
      <c r="A2384" s="10">
        <v>10151</v>
      </c>
      <c r="B2384" s="9">
        <v>26</v>
      </c>
      <c r="C2384" s="9">
        <v>100</v>
      </c>
      <c r="D2384" s="9">
        <f>PRODUCT(sales_data_sample[[#This Row],[QUANTITYORDERED]],sales_data_sample[[#This Row],[PRICEEACH]])</f>
        <v>2600</v>
      </c>
      <c r="E2384" s="9">
        <f>IF(OR(sales_data_sample[[#This Row],[STATUS]]="Shipped",sales_data_sample[[#This Row],[STATUS]]="Resolved"),sales_data_sample[[#This Row],[SALES]],0)</f>
        <v>2600</v>
      </c>
      <c r="F2384" s="10">
        <v>1</v>
      </c>
      <c r="G2384" s="12" t="s">
        <v>744</v>
      </c>
      <c r="H2384" s="1" t="s">
        <v>26</v>
      </c>
      <c r="I2384">
        <v>3</v>
      </c>
      <c r="J2384">
        <v>9</v>
      </c>
      <c r="K2384">
        <v>2003</v>
      </c>
      <c r="L2384" s="1" t="s">
        <v>711</v>
      </c>
      <c r="M2384">
        <v>115</v>
      </c>
      <c r="N2384" s="1" t="s">
        <v>998</v>
      </c>
      <c r="O2384" s="1" t="s">
        <v>537</v>
      </c>
      <c r="P2384" s="1" t="s">
        <v>538</v>
      </c>
      <c r="Q2384" s="1" t="s">
        <v>539</v>
      </c>
      <c r="R2384" s="1" t="s">
        <v>32</v>
      </c>
      <c r="S2384" s="1" t="s">
        <v>540</v>
      </c>
      <c r="T2384" s="1" t="s">
        <v>32</v>
      </c>
      <c r="U2384" s="1" t="s">
        <v>541</v>
      </c>
      <c r="V2384" s="1" t="s">
        <v>170</v>
      </c>
      <c r="W2384" s="1" t="s">
        <v>48</v>
      </c>
      <c r="X2384" s="1" t="s">
        <v>542</v>
      </c>
      <c r="Y2384" s="1" t="s">
        <v>543</v>
      </c>
      <c r="Z2384" s="1" t="str">
        <f>TRIM(_xlfn.CONCAT(sales_data_sample[[#This Row],[CONTACTFIRSTNAME]],", ",sales_data_sample[[#This Row],[CONTACTLASTNAME]]))</f>
        <v>Pirkko, Koskitalo</v>
      </c>
      <c r="AA2384" s="1" t="s">
        <v>59</v>
      </c>
    </row>
    <row r="2385" spans="1:27" x14ac:dyDescent="0.25">
      <c r="A2385" s="10">
        <v>10165</v>
      </c>
      <c r="B2385" s="9">
        <v>48</v>
      </c>
      <c r="C2385" s="9">
        <v>9492</v>
      </c>
      <c r="D2385" s="9">
        <f>PRODUCT(sales_data_sample[[#This Row],[QUANTITYORDERED]],sales_data_sample[[#This Row],[PRICEEACH]])</f>
        <v>455616</v>
      </c>
      <c r="E2385" s="9">
        <f>IF(OR(sales_data_sample[[#This Row],[STATUS]]="Shipped",sales_data_sample[[#This Row],[STATUS]]="Resolved"),sales_data_sample[[#This Row],[SALES]],0)</f>
        <v>455616</v>
      </c>
      <c r="F2385" s="10">
        <v>10</v>
      </c>
      <c r="G2385" s="12" t="s">
        <v>674</v>
      </c>
      <c r="H2385" s="1" t="s">
        <v>26</v>
      </c>
      <c r="I2385">
        <v>4</v>
      </c>
      <c r="J2385">
        <v>10</v>
      </c>
      <c r="K2385">
        <v>2003</v>
      </c>
      <c r="L2385" s="1" t="s">
        <v>711</v>
      </c>
      <c r="M2385">
        <v>115</v>
      </c>
      <c r="N2385" s="1" t="s">
        <v>998</v>
      </c>
      <c r="O2385" s="1" t="s">
        <v>259</v>
      </c>
      <c r="P2385" s="1" t="s">
        <v>260</v>
      </c>
      <c r="Q2385" s="1" t="s">
        <v>261</v>
      </c>
      <c r="R2385" s="1" t="s">
        <v>32</v>
      </c>
      <c r="S2385" s="1" t="s">
        <v>262</v>
      </c>
      <c r="T2385" s="1" t="s">
        <v>32</v>
      </c>
      <c r="U2385" s="1" t="s">
        <v>263</v>
      </c>
      <c r="V2385" s="1" t="s">
        <v>262</v>
      </c>
      <c r="W2385" s="1" t="s">
        <v>264</v>
      </c>
      <c r="X2385" s="1" t="s">
        <v>265</v>
      </c>
      <c r="Y2385" s="1" t="s">
        <v>266</v>
      </c>
      <c r="Z2385" s="1" t="str">
        <f>TRIM(_xlfn.CONCAT(sales_data_sample[[#This Row],[CONTACTFIRSTNAME]],", ",sales_data_sample[[#This Row],[CONTACTLASTNAME]]))</f>
        <v>Eric, Natividad</v>
      </c>
      <c r="AA2385" s="1" t="s">
        <v>59</v>
      </c>
    </row>
    <row r="2386" spans="1:27" x14ac:dyDescent="0.25">
      <c r="A2386" s="10">
        <v>10176</v>
      </c>
      <c r="B2386" s="9">
        <v>23</v>
      </c>
      <c r="C2386" s="9">
        <v>100</v>
      </c>
      <c r="D2386" s="9">
        <f>PRODUCT(sales_data_sample[[#This Row],[QUANTITYORDERED]],sales_data_sample[[#This Row],[PRICEEACH]])</f>
        <v>2300</v>
      </c>
      <c r="E2386" s="9">
        <f>IF(OR(sales_data_sample[[#This Row],[STATUS]]="Shipped",sales_data_sample[[#This Row],[STATUS]]="Resolved"),sales_data_sample[[#This Row],[SALES]],0)</f>
        <v>2300</v>
      </c>
      <c r="F2386" s="10">
        <v>9</v>
      </c>
      <c r="G2386" s="12" t="s">
        <v>273</v>
      </c>
      <c r="H2386" s="1" t="s">
        <v>26</v>
      </c>
      <c r="I2386">
        <v>4</v>
      </c>
      <c r="J2386">
        <v>11</v>
      </c>
      <c r="K2386">
        <v>2003</v>
      </c>
      <c r="L2386" s="1" t="s">
        <v>711</v>
      </c>
      <c r="M2386">
        <v>115</v>
      </c>
      <c r="N2386" s="1" t="s">
        <v>998</v>
      </c>
      <c r="O2386" s="1" t="s">
        <v>632</v>
      </c>
      <c r="P2386" s="1" t="s">
        <v>633</v>
      </c>
      <c r="Q2386" s="1" t="s">
        <v>634</v>
      </c>
      <c r="R2386" s="1" t="s">
        <v>32</v>
      </c>
      <c r="S2386" s="1" t="s">
        <v>635</v>
      </c>
      <c r="T2386" s="1" t="s">
        <v>32</v>
      </c>
      <c r="U2386" s="1" t="s">
        <v>636</v>
      </c>
      <c r="V2386" s="1" t="s">
        <v>343</v>
      </c>
      <c r="W2386" s="1" t="s">
        <v>48</v>
      </c>
      <c r="X2386" s="1" t="s">
        <v>637</v>
      </c>
      <c r="Y2386" s="1" t="s">
        <v>638</v>
      </c>
      <c r="Z2386" s="1" t="str">
        <f>TRIM(_xlfn.CONCAT(sales_data_sample[[#This Row],[CONTACTFIRSTNAME]],", ",sales_data_sample[[#This Row],[CONTACTLASTNAME]]))</f>
        <v>Maurizio, Moroni</v>
      </c>
      <c r="AA2386" s="1" t="s">
        <v>59</v>
      </c>
    </row>
    <row r="2387" spans="1:27" x14ac:dyDescent="0.25">
      <c r="A2387" s="10">
        <v>10184</v>
      </c>
      <c r="B2387" s="9">
        <v>45</v>
      </c>
      <c r="C2387" s="9">
        <v>100</v>
      </c>
      <c r="D2387" s="9">
        <f>PRODUCT(sales_data_sample[[#This Row],[QUANTITYORDERED]],sales_data_sample[[#This Row],[PRICEEACH]])</f>
        <v>4500</v>
      </c>
      <c r="E2387" s="9">
        <f>IF(OR(sales_data_sample[[#This Row],[STATUS]]="Shipped",sales_data_sample[[#This Row],[STATUS]]="Resolved"),sales_data_sample[[#This Row],[SALES]],0)</f>
        <v>4500</v>
      </c>
      <c r="F2387" s="10">
        <v>4</v>
      </c>
      <c r="G2387" s="12" t="s">
        <v>470</v>
      </c>
      <c r="H2387" s="1" t="s">
        <v>26</v>
      </c>
      <c r="I2387">
        <v>4</v>
      </c>
      <c r="J2387">
        <v>11</v>
      </c>
      <c r="K2387">
        <v>2003</v>
      </c>
      <c r="L2387" s="1" t="s">
        <v>711</v>
      </c>
      <c r="M2387">
        <v>115</v>
      </c>
      <c r="N2387" s="1" t="s">
        <v>998</v>
      </c>
      <c r="O2387" s="1" t="s">
        <v>745</v>
      </c>
      <c r="P2387" s="1" t="s">
        <v>746</v>
      </c>
      <c r="Q2387" s="1" t="s">
        <v>747</v>
      </c>
      <c r="R2387" s="1" t="s">
        <v>32</v>
      </c>
      <c r="S2387" s="1" t="s">
        <v>748</v>
      </c>
      <c r="T2387" s="1" t="s">
        <v>32</v>
      </c>
      <c r="U2387" s="1" t="s">
        <v>749</v>
      </c>
      <c r="V2387" s="1" t="s">
        <v>235</v>
      </c>
      <c r="W2387" s="1" t="s">
        <v>48</v>
      </c>
      <c r="X2387" s="1" t="s">
        <v>750</v>
      </c>
      <c r="Y2387" s="1" t="s">
        <v>751</v>
      </c>
      <c r="Z2387" s="1" t="str">
        <f>TRIM(_xlfn.CONCAT(sales_data_sample[[#This Row],[CONTACTFIRSTNAME]],", ",sales_data_sample[[#This Row],[CONTACTLASTNAME]]))</f>
        <v>Jose Pedro, Roel</v>
      </c>
      <c r="AA2387" s="1" t="s">
        <v>59</v>
      </c>
    </row>
    <row r="2388" spans="1:27" x14ac:dyDescent="0.25">
      <c r="A2388" s="10">
        <v>10195</v>
      </c>
      <c r="B2388" s="9">
        <v>49</v>
      </c>
      <c r="C2388" s="9">
        <v>100</v>
      </c>
      <c r="D2388" s="9">
        <f>PRODUCT(sales_data_sample[[#This Row],[QUANTITYORDERED]],sales_data_sample[[#This Row],[PRICEEACH]])</f>
        <v>4900</v>
      </c>
      <c r="E2388" s="9">
        <f>IF(OR(sales_data_sample[[#This Row],[STATUS]]="Shipped",sales_data_sample[[#This Row],[STATUS]]="Resolved"),sales_data_sample[[#This Row],[SALES]],0)</f>
        <v>4900</v>
      </c>
      <c r="F2388" s="10">
        <v>4</v>
      </c>
      <c r="G2388" s="12" t="s">
        <v>290</v>
      </c>
      <c r="H2388" s="1" t="s">
        <v>26</v>
      </c>
      <c r="I2388">
        <v>4</v>
      </c>
      <c r="J2388">
        <v>11</v>
      </c>
      <c r="K2388">
        <v>2003</v>
      </c>
      <c r="L2388" s="1" t="s">
        <v>711</v>
      </c>
      <c r="M2388">
        <v>115</v>
      </c>
      <c r="N2388" s="1" t="s">
        <v>998</v>
      </c>
      <c r="O2388" s="1" t="s">
        <v>425</v>
      </c>
      <c r="P2388" s="1" t="s">
        <v>426</v>
      </c>
      <c r="Q2388" s="1" t="s">
        <v>427</v>
      </c>
      <c r="R2388" s="1" t="s">
        <v>32</v>
      </c>
      <c r="S2388" s="1" t="s">
        <v>428</v>
      </c>
      <c r="T2388" s="1" t="s">
        <v>34</v>
      </c>
      <c r="U2388" s="1" t="s">
        <v>429</v>
      </c>
      <c r="V2388" s="1" t="s">
        <v>36</v>
      </c>
      <c r="W2388" s="1" t="s">
        <v>37</v>
      </c>
      <c r="X2388" s="1" t="s">
        <v>129</v>
      </c>
      <c r="Y2388" s="1" t="s">
        <v>314</v>
      </c>
      <c r="Z2388" s="1" t="str">
        <f>TRIM(_xlfn.CONCAT(sales_data_sample[[#This Row],[CONTACTFIRSTNAME]],", ",sales_data_sample[[#This Row],[CONTACTLASTNAME]]))</f>
        <v>Steve, Frick</v>
      </c>
      <c r="AA2388" s="1" t="s">
        <v>59</v>
      </c>
    </row>
    <row r="2389" spans="1:27" x14ac:dyDescent="0.25">
      <c r="A2389" s="10">
        <v>10207</v>
      </c>
      <c r="B2389" s="9">
        <v>28</v>
      </c>
      <c r="C2389" s="9">
        <v>9492</v>
      </c>
      <c r="D2389" s="9">
        <f>PRODUCT(sales_data_sample[[#This Row],[QUANTITYORDERED]],sales_data_sample[[#This Row],[PRICEEACH]])</f>
        <v>265776</v>
      </c>
      <c r="E2389" s="9">
        <f>IF(OR(sales_data_sample[[#This Row],[STATUS]]="Shipped",sales_data_sample[[#This Row],[STATUS]]="Resolved"),sales_data_sample[[#This Row],[SALES]],0)</f>
        <v>265776</v>
      </c>
      <c r="F2389" s="10">
        <v>5</v>
      </c>
      <c r="G2389" s="12" t="s">
        <v>571</v>
      </c>
      <c r="H2389" s="1" t="s">
        <v>26</v>
      </c>
      <c r="I2389">
        <v>4</v>
      </c>
      <c r="J2389">
        <v>12</v>
      </c>
      <c r="K2389">
        <v>2003</v>
      </c>
      <c r="L2389" s="1" t="s">
        <v>711</v>
      </c>
      <c r="M2389">
        <v>115</v>
      </c>
      <c r="N2389" s="1" t="s">
        <v>998</v>
      </c>
      <c r="O2389" s="1" t="s">
        <v>572</v>
      </c>
      <c r="P2389" s="1" t="s">
        <v>573</v>
      </c>
      <c r="Q2389" s="1" t="s">
        <v>574</v>
      </c>
      <c r="R2389" s="1" t="s">
        <v>32</v>
      </c>
      <c r="S2389" s="1" t="s">
        <v>519</v>
      </c>
      <c r="T2389" s="1" t="s">
        <v>160</v>
      </c>
      <c r="U2389" s="1" t="s">
        <v>520</v>
      </c>
      <c r="V2389" s="1" t="s">
        <v>36</v>
      </c>
      <c r="W2389" s="1" t="s">
        <v>37</v>
      </c>
      <c r="X2389" s="1" t="s">
        <v>575</v>
      </c>
      <c r="Y2389" s="1" t="s">
        <v>366</v>
      </c>
      <c r="Z2389" s="1" t="str">
        <f>TRIM(_xlfn.CONCAT(sales_data_sample[[#This Row],[CONTACTFIRSTNAME]],", ",sales_data_sample[[#This Row],[CONTACTLASTNAME]]))</f>
        <v>Valarie, Franco</v>
      </c>
      <c r="AA2389" s="1" t="s">
        <v>40</v>
      </c>
    </row>
    <row r="2390" spans="1:27" x14ac:dyDescent="0.25">
      <c r="A2390">
        <v>10220</v>
      </c>
      <c r="B2390">
        <v>37</v>
      </c>
      <c r="C2390">
        <v>100</v>
      </c>
      <c r="D2390">
        <f>PRODUCT(sales_data_sample[[#This Row],[QUANTITYORDERED]],sales_data_sample[[#This Row],[PRICEEACH]])</f>
        <v>3700</v>
      </c>
      <c r="E2390" s="9">
        <f>IF(OR(sales_data_sample[[#This Row],[STATUS]]="Shipped",sales_data_sample[[#This Row],[STATUS]]="Resolved"),sales_data_sample[[#This Row],[SALES]],0)</f>
        <v>3700</v>
      </c>
      <c r="F2390">
        <v>9</v>
      </c>
      <c r="G2390" s="12" t="s">
        <v>676</v>
      </c>
      <c r="H2390" s="1" t="s">
        <v>26</v>
      </c>
      <c r="I2390">
        <v>1</v>
      </c>
      <c r="J2390">
        <v>2</v>
      </c>
      <c r="K2390">
        <v>2004</v>
      </c>
      <c r="L2390" s="1" t="s">
        <v>711</v>
      </c>
      <c r="M2390">
        <v>115</v>
      </c>
      <c r="N2390" s="1" t="s">
        <v>998</v>
      </c>
      <c r="O2390" s="1" t="s">
        <v>677</v>
      </c>
      <c r="P2390" s="1" t="s">
        <v>678</v>
      </c>
      <c r="Q2390" s="1" t="s">
        <v>679</v>
      </c>
      <c r="R2390" s="1" t="s">
        <v>680</v>
      </c>
      <c r="S2390" s="1" t="s">
        <v>681</v>
      </c>
      <c r="T2390" s="1" t="s">
        <v>32</v>
      </c>
      <c r="U2390" s="1" t="s">
        <v>682</v>
      </c>
      <c r="V2390" s="1" t="s">
        <v>683</v>
      </c>
      <c r="W2390" s="1" t="s">
        <v>48</v>
      </c>
      <c r="X2390" s="1" t="s">
        <v>684</v>
      </c>
      <c r="Y2390" s="1" t="s">
        <v>685</v>
      </c>
      <c r="Z2390" s="1" t="str">
        <f>TRIM(_xlfn.CONCAT(sales_data_sample[[#This Row],[CONTACTFIRSTNAME]],", ",sales_data_sample[[#This Row],[CONTACTLASTNAME]]))</f>
        <v>Dean, Cassidy</v>
      </c>
      <c r="AA2390" s="1" t="s">
        <v>59</v>
      </c>
    </row>
    <row r="2391" spans="1:27" x14ac:dyDescent="0.25">
      <c r="A2391" s="10">
        <v>10230</v>
      </c>
      <c r="B2391" s="9">
        <v>34</v>
      </c>
      <c r="C2391" s="9">
        <v>100</v>
      </c>
      <c r="D2391" s="9">
        <f>PRODUCT(sales_data_sample[[#This Row],[QUANTITYORDERED]],sales_data_sample[[#This Row],[PRICEEACH]])</f>
        <v>3400</v>
      </c>
      <c r="E2391" s="9">
        <f>IF(OR(sales_data_sample[[#This Row],[STATUS]]="Shipped",sales_data_sample[[#This Row],[STATUS]]="Resolved"),sales_data_sample[[#This Row],[SALES]],0)</f>
        <v>3400</v>
      </c>
      <c r="F2391" s="10">
        <v>7</v>
      </c>
      <c r="G2391" s="12" t="s">
        <v>725</v>
      </c>
      <c r="H2391" s="1" t="s">
        <v>26</v>
      </c>
      <c r="I2391">
        <v>1</v>
      </c>
      <c r="J2391">
        <v>3</v>
      </c>
      <c r="K2391">
        <v>2004</v>
      </c>
      <c r="L2391" s="1" t="s">
        <v>711</v>
      </c>
      <c r="M2391">
        <v>115</v>
      </c>
      <c r="N2391" s="1" t="s">
        <v>998</v>
      </c>
      <c r="O2391" s="1" t="s">
        <v>647</v>
      </c>
      <c r="P2391" s="1" t="s">
        <v>648</v>
      </c>
      <c r="Q2391" s="1" t="s">
        <v>649</v>
      </c>
      <c r="R2391" s="1" t="s">
        <v>32</v>
      </c>
      <c r="S2391" s="1" t="s">
        <v>650</v>
      </c>
      <c r="T2391" s="1" t="s">
        <v>32</v>
      </c>
      <c r="U2391" s="1" t="s">
        <v>651</v>
      </c>
      <c r="V2391" s="1" t="s">
        <v>617</v>
      </c>
      <c r="W2391" s="1" t="s">
        <v>48</v>
      </c>
      <c r="X2391" s="1" t="s">
        <v>652</v>
      </c>
      <c r="Y2391" s="1" t="s">
        <v>570</v>
      </c>
      <c r="Z2391" s="1" t="str">
        <f>TRIM(_xlfn.CONCAT(sales_data_sample[[#This Row],[CONTACTFIRSTNAME]],", ",sales_data_sample[[#This Row],[CONTACTLASTNAME]]))</f>
        <v>Roland, Keitel</v>
      </c>
      <c r="AA2391" s="1" t="s">
        <v>59</v>
      </c>
    </row>
    <row r="2392" spans="1:27" x14ac:dyDescent="0.25">
      <c r="A2392" s="10">
        <v>10246</v>
      </c>
      <c r="B2392" s="9">
        <v>22</v>
      </c>
      <c r="C2392" s="9">
        <v>100</v>
      </c>
      <c r="D2392" s="9">
        <f>PRODUCT(sales_data_sample[[#This Row],[QUANTITYORDERED]],sales_data_sample[[#This Row],[PRICEEACH]])</f>
        <v>2200</v>
      </c>
      <c r="E2392" s="9">
        <f>IF(OR(sales_data_sample[[#This Row],[STATUS]]="Shipped",sales_data_sample[[#This Row],[STATUS]]="Resolved"),sales_data_sample[[#This Row],[SALES]],0)</f>
        <v>2200</v>
      </c>
      <c r="F2392" s="10">
        <v>3</v>
      </c>
      <c r="G2392" s="12" t="s">
        <v>692</v>
      </c>
      <c r="H2392" s="1" t="s">
        <v>26</v>
      </c>
      <c r="I2392">
        <v>2</v>
      </c>
      <c r="J2392">
        <v>5</v>
      </c>
      <c r="K2392">
        <v>2004</v>
      </c>
      <c r="L2392" s="1" t="s">
        <v>711</v>
      </c>
      <c r="M2392">
        <v>115</v>
      </c>
      <c r="N2392" s="1" t="s">
        <v>998</v>
      </c>
      <c r="O2392" s="1" t="s">
        <v>230</v>
      </c>
      <c r="P2392" s="1" t="s">
        <v>231</v>
      </c>
      <c r="Q2392" s="1" t="s">
        <v>232</v>
      </c>
      <c r="R2392" s="1" t="s">
        <v>32</v>
      </c>
      <c r="S2392" s="1" t="s">
        <v>233</v>
      </c>
      <c r="T2392" s="1" t="s">
        <v>32</v>
      </c>
      <c r="U2392" s="1" t="s">
        <v>234</v>
      </c>
      <c r="V2392" s="1" t="s">
        <v>235</v>
      </c>
      <c r="W2392" s="1" t="s">
        <v>48</v>
      </c>
      <c r="X2392" s="1" t="s">
        <v>236</v>
      </c>
      <c r="Y2392" s="1" t="s">
        <v>237</v>
      </c>
      <c r="Z2392" s="1" t="str">
        <f>TRIM(_xlfn.CONCAT(sales_data_sample[[#This Row],[CONTACTFIRSTNAME]],", ",sales_data_sample[[#This Row],[CONTACTLASTNAME]]))</f>
        <v>Diego, Freyre</v>
      </c>
      <c r="AA2392" s="1" t="s">
        <v>40</v>
      </c>
    </row>
    <row r="2393" spans="1:27" x14ac:dyDescent="0.25">
      <c r="A2393">
        <v>10259</v>
      </c>
      <c r="B2393">
        <v>29</v>
      </c>
      <c r="C2393">
        <v>100</v>
      </c>
      <c r="D2393">
        <f>PRODUCT(sales_data_sample[[#This Row],[QUANTITYORDERED]],sales_data_sample[[#This Row],[PRICEEACH]])</f>
        <v>2900</v>
      </c>
      <c r="E2393" s="9">
        <f>IF(OR(sales_data_sample[[#This Row],[STATUS]]="Shipped",sales_data_sample[[#This Row],[STATUS]]="Resolved"),sales_data_sample[[#This Row],[SALES]],0)</f>
        <v>2900</v>
      </c>
      <c r="F2393">
        <v>2</v>
      </c>
      <c r="G2393" s="12" t="s">
        <v>327</v>
      </c>
      <c r="H2393" s="1" t="s">
        <v>26</v>
      </c>
      <c r="I2393">
        <v>2</v>
      </c>
      <c r="J2393">
        <v>6</v>
      </c>
      <c r="K2393">
        <v>2004</v>
      </c>
      <c r="L2393" s="1" t="s">
        <v>711</v>
      </c>
      <c r="M2393">
        <v>115</v>
      </c>
      <c r="N2393" s="1" t="s">
        <v>998</v>
      </c>
      <c r="O2393" s="1" t="s">
        <v>577</v>
      </c>
      <c r="P2393" s="1" t="s">
        <v>578</v>
      </c>
      <c r="Q2393" s="1" t="s">
        <v>579</v>
      </c>
      <c r="R2393" s="1" t="s">
        <v>580</v>
      </c>
      <c r="S2393" s="1" t="s">
        <v>262</v>
      </c>
      <c r="T2393" s="1" t="s">
        <v>32</v>
      </c>
      <c r="U2393" s="1" t="s">
        <v>581</v>
      </c>
      <c r="V2393" s="1" t="s">
        <v>262</v>
      </c>
      <c r="W2393" s="1" t="s">
        <v>121</v>
      </c>
      <c r="X2393" s="1" t="s">
        <v>582</v>
      </c>
      <c r="Y2393" s="1" t="s">
        <v>583</v>
      </c>
      <c r="Z2393" s="1" t="str">
        <f>TRIM(_xlfn.CONCAT(sales_data_sample[[#This Row],[CONTACTFIRSTNAME]],", ",sales_data_sample[[#This Row],[CONTACTLASTNAME]]))</f>
        <v>Wendy, Victorino</v>
      </c>
      <c r="AA2393" s="1" t="s">
        <v>59</v>
      </c>
    </row>
    <row r="2394" spans="1:27" x14ac:dyDescent="0.25">
      <c r="A2394" s="10">
        <v>10271</v>
      </c>
      <c r="B2394" s="9">
        <v>34</v>
      </c>
      <c r="C2394" s="9">
        <v>9839</v>
      </c>
      <c r="D2394" s="9">
        <f>PRODUCT(sales_data_sample[[#This Row],[QUANTITYORDERED]],sales_data_sample[[#This Row],[PRICEEACH]])</f>
        <v>334526</v>
      </c>
      <c r="E2394" s="9">
        <f>IF(OR(sales_data_sample[[#This Row],[STATUS]]="Shipped",sales_data_sample[[#This Row],[STATUS]]="Resolved"),sales_data_sample[[#This Row],[SALES]],0)</f>
        <v>334526</v>
      </c>
      <c r="F2394" s="10">
        <v>3</v>
      </c>
      <c r="G2394" s="12" t="s">
        <v>693</v>
      </c>
      <c r="H2394" s="1" t="s">
        <v>26</v>
      </c>
      <c r="I2394">
        <v>3</v>
      </c>
      <c r="J2394">
        <v>7</v>
      </c>
      <c r="K2394">
        <v>2004</v>
      </c>
      <c r="L2394" s="1" t="s">
        <v>711</v>
      </c>
      <c r="M2394">
        <v>115</v>
      </c>
      <c r="N2394" s="1" t="s">
        <v>998</v>
      </c>
      <c r="O2394" s="1" t="s">
        <v>361</v>
      </c>
      <c r="P2394" s="1" t="s">
        <v>362</v>
      </c>
      <c r="Q2394" s="1" t="s">
        <v>363</v>
      </c>
      <c r="R2394" s="1" t="s">
        <v>32</v>
      </c>
      <c r="S2394" s="1" t="s">
        <v>364</v>
      </c>
      <c r="T2394" s="1" t="s">
        <v>65</v>
      </c>
      <c r="U2394" s="1" t="s">
        <v>145</v>
      </c>
      <c r="V2394" s="1" t="s">
        <v>36</v>
      </c>
      <c r="W2394" s="1" t="s">
        <v>37</v>
      </c>
      <c r="X2394" s="1" t="s">
        <v>365</v>
      </c>
      <c r="Y2394" s="1" t="s">
        <v>366</v>
      </c>
      <c r="Z2394" s="1" t="str">
        <f>TRIM(_xlfn.CONCAT(sales_data_sample[[#This Row],[CONTACTFIRSTNAME]],", ",sales_data_sample[[#This Row],[CONTACTLASTNAME]]))</f>
        <v>Valarie, Nelson</v>
      </c>
      <c r="AA2394" s="1" t="s">
        <v>59</v>
      </c>
    </row>
    <row r="2395" spans="1:27" x14ac:dyDescent="0.25">
      <c r="A2395" s="10">
        <v>10282</v>
      </c>
      <c r="B2395" s="9">
        <v>38</v>
      </c>
      <c r="C2395" s="9">
        <v>100</v>
      </c>
      <c r="D2395" s="9">
        <f>PRODUCT(sales_data_sample[[#This Row],[QUANTITYORDERED]],sales_data_sample[[#This Row],[PRICEEACH]])</f>
        <v>3800</v>
      </c>
      <c r="E2395" s="9">
        <f>IF(OR(sales_data_sample[[#This Row],[STATUS]]="Shipped",sales_data_sample[[#This Row],[STATUS]]="Resolved"),sales_data_sample[[#This Row],[SALES]],0)</f>
        <v>3800</v>
      </c>
      <c r="F2395" s="10">
        <v>12</v>
      </c>
      <c r="G2395" s="12" t="s">
        <v>508</v>
      </c>
      <c r="H2395" s="1" t="s">
        <v>26</v>
      </c>
      <c r="I2395">
        <v>3</v>
      </c>
      <c r="J2395">
        <v>8</v>
      </c>
      <c r="K2395">
        <v>2004</v>
      </c>
      <c r="L2395" s="1" t="s">
        <v>711</v>
      </c>
      <c r="M2395">
        <v>115</v>
      </c>
      <c r="N2395" s="1" t="s">
        <v>998</v>
      </c>
      <c r="O2395" s="1" t="s">
        <v>361</v>
      </c>
      <c r="P2395" s="1" t="s">
        <v>362</v>
      </c>
      <c r="Q2395" s="1" t="s">
        <v>363</v>
      </c>
      <c r="R2395" s="1" t="s">
        <v>32</v>
      </c>
      <c r="S2395" s="1" t="s">
        <v>364</v>
      </c>
      <c r="T2395" s="1" t="s">
        <v>65</v>
      </c>
      <c r="U2395" s="1" t="s">
        <v>145</v>
      </c>
      <c r="V2395" s="1" t="s">
        <v>36</v>
      </c>
      <c r="W2395" s="1" t="s">
        <v>37</v>
      </c>
      <c r="X2395" s="1" t="s">
        <v>365</v>
      </c>
      <c r="Y2395" s="1" t="s">
        <v>366</v>
      </c>
      <c r="Z2395" s="1" t="str">
        <f>TRIM(_xlfn.CONCAT(sales_data_sample[[#This Row],[CONTACTFIRSTNAME]],", ",sales_data_sample[[#This Row],[CONTACTLASTNAME]]))</f>
        <v>Valarie, Nelson</v>
      </c>
      <c r="AA2395" s="1" t="s">
        <v>59</v>
      </c>
    </row>
    <row r="2396" spans="1:27" x14ac:dyDescent="0.25">
      <c r="A2396" s="10">
        <v>10292</v>
      </c>
      <c r="B2396" s="9">
        <v>41</v>
      </c>
      <c r="C2396" s="9">
        <v>100</v>
      </c>
      <c r="D2396" s="9">
        <f>PRODUCT(sales_data_sample[[#This Row],[QUANTITYORDERED]],sales_data_sample[[#This Row],[PRICEEACH]])</f>
        <v>4100</v>
      </c>
      <c r="E2396" s="9">
        <f>IF(OR(sales_data_sample[[#This Row],[STATUS]]="Shipped",sales_data_sample[[#This Row],[STATUS]]="Resolved"),sales_data_sample[[#This Row],[SALES]],0)</f>
        <v>4100</v>
      </c>
      <c r="F2396" s="10">
        <v>6</v>
      </c>
      <c r="G2396" s="12" t="s">
        <v>346</v>
      </c>
      <c r="H2396" s="1" t="s">
        <v>26</v>
      </c>
      <c r="I2396">
        <v>3</v>
      </c>
      <c r="J2396">
        <v>9</v>
      </c>
      <c r="K2396">
        <v>2004</v>
      </c>
      <c r="L2396" s="1" t="s">
        <v>711</v>
      </c>
      <c r="M2396">
        <v>115</v>
      </c>
      <c r="N2396" s="1" t="s">
        <v>998</v>
      </c>
      <c r="O2396" s="1" t="s">
        <v>29</v>
      </c>
      <c r="P2396" s="1" t="s">
        <v>30</v>
      </c>
      <c r="Q2396" s="1" t="s">
        <v>31</v>
      </c>
      <c r="R2396" s="1" t="s">
        <v>32</v>
      </c>
      <c r="S2396" s="1" t="s">
        <v>33</v>
      </c>
      <c r="T2396" s="1" t="s">
        <v>34</v>
      </c>
      <c r="U2396" s="1" t="s">
        <v>35</v>
      </c>
      <c r="V2396" s="1" t="s">
        <v>36</v>
      </c>
      <c r="W2396" s="1" t="s">
        <v>37</v>
      </c>
      <c r="X2396" s="1" t="s">
        <v>38</v>
      </c>
      <c r="Y2396" s="1" t="s">
        <v>39</v>
      </c>
      <c r="Z2396" s="1" t="str">
        <f>TRIM(_xlfn.CONCAT(sales_data_sample[[#This Row],[CONTACTFIRSTNAME]],", ",sales_data_sample[[#This Row],[CONTACTLASTNAME]]))</f>
        <v>Kwai, Yu</v>
      </c>
      <c r="AA2396" s="1" t="s">
        <v>59</v>
      </c>
    </row>
    <row r="2397" spans="1:27" x14ac:dyDescent="0.25">
      <c r="A2397" s="10">
        <v>10305</v>
      </c>
      <c r="B2397" s="9">
        <v>42</v>
      </c>
      <c r="C2397" s="9">
        <v>100</v>
      </c>
      <c r="D2397" s="9">
        <f>PRODUCT(sales_data_sample[[#This Row],[QUANTITYORDERED]],sales_data_sample[[#This Row],[PRICEEACH]])</f>
        <v>4200</v>
      </c>
      <c r="E2397" s="9">
        <f>IF(OR(sales_data_sample[[#This Row],[STATUS]]="Shipped",sales_data_sample[[#This Row],[STATUS]]="Resolved"),sales_data_sample[[#This Row],[SALES]],0)</f>
        <v>4200</v>
      </c>
      <c r="F2397" s="10">
        <v>3</v>
      </c>
      <c r="G2397" s="12" t="s">
        <v>586</v>
      </c>
      <c r="H2397" s="1" t="s">
        <v>26</v>
      </c>
      <c r="I2397">
        <v>4</v>
      </c>
      <c r="J2397">
        <v>10</v>
      </c>
      <c r="K2397">
        <v>2004</v>
      </c>
      <c r="L2397" s="1" t="s">
        <v>711</v>
      </c>
      <c r="M2397">
        <v>115</v>
      </c>
      <c r="N2397" s="1" t="s">
        <v>998</v>
      </c>
      <c r="O2397" s="1" t="s">
        <v>156</v>
      </c>
      <c r="P2397" s="1" t="s">
        <v>157</v>
      </c>
      <c r="Q2397" s="1" t="s">
        <v>158</v>
      </c>
      <c r="R2397" s="1" t="s">
        <v>32</v>
      </c>
      <c r="S2397" s="1" t="s">
        <v>159</v>
      </c>
      <c r="T2397" s="1" t="s">
        <v>160</v>
      </c>
      <c r="U2397" s="1" t="s">
        <v>161</v>
      </c>
      <c r="V2397" s="1" t="s">
        <v>36</v>
      </c>
      <c r="W2397" s="1" t="s">
        <v>37</v>
      </c>
      <c r="X2397" s="1" t="s">
        <v>162</v>
      </c>
      <c r="Y2397" s="1" t="s">
        <v>163</v>
      </c>
      <c r="Z2397" s="1" t="str">
        <f>TRIM(_xlfn.CONCAT(sales_data_sample[[#This Row],[CONTACTFIRSTNAME]],", ",sales_data_sample[[#This Row],[CONTACTLASTNAME]]))</f>
        <v>Marta, Hernandez</v>
      </c>
      <c r="AA2397" s="1" t="s">
        <v>59</v>
      </c>
    </row>
    <row r="2398" spans="1:27" x14ac:dyDescent="0.25">
      <c r="A2398" s="10">
        <v>10314</v>
      </c>
      <c r="B2398" s="9">
        <v>28</v>
      </c>
      <c r="C2398" s="9">
        <v>100</v>
      </c>
      <c r="D2398" s="9">
        <f>PRODUCT(sales_data_sample[[#This Row],[QUANTITYORDERED]],sales_data_sample[[#This Row],[PRICEEACH]])</f>
        <v>2800</v>
      </c>
      <c r="E2398" s="9">
        <f>IF(OR(sales_data_sample[[#This Row],[STATUS]]="Shipped",sales_data_sample[[#This Row],[STATUS]]="Resolved"),sales_data_sample[[#This Row],[SALES]],0)</f>
        <v>2800</v>
      </c>
      <c r="F2398" s="10">
        <v>12</v>
      </c>
      <c r="G2398" s="12" t="s">
        <v>587</v>
      </c>
      <c r="H2398" s="1" t="s">
        <v>26</v>
      </c>
      <c r="I2398">
        <v>4</v>
      </c>
      <c r="J2398">
        <v>10</v>
      </c>
      <c r="K2398">
        <v>2004</v>
      </c>
      <c r="L2398" s="1" t="s">
        <v>711</v>
      </c>
      <c r="M2398">
        <v>115</v>
      </c>
      <c r="N2398" s="1" t="s">
        <v>998</v>
      </c>
      <c r="O2398" s="1" t="s">
        <v>701</v>
      </c>
      <c r="P2398" s="1" t="s">
        <v>702</v>
      </c>
      <c r="Q2398" s="1" t="s">
        <v>703</v>
      </c>
      <c r="R2398" s="1" t="s">
        <v>32</v>
      </c>
      <c r="S2398" s="1" t="s">
        <v>704</v>
      </c>
      <c r="T2398" s="1" t="s">
        <v>32</v>
      </c>
      <c r="U2398" s="1" t="s">
        <v>705</v>
      </c>
      <c r="V2398" s="1" t="s">
        <v>442</v>
      </c>
      <c r="W2398" s="1" t="s">
        <v>48</v>
      </c>
      <c r="X2398" s="1" t="s">
        <v>706</v>
      </c>
      <c r="Y2398" s="1" t="s">
        <v>707</v>
      </c>
      <c r="Z2398" s="1" t="str">
        <f>TRIM(_xlfn.CONCAT(sales_data_sample[[#This Row],[CONTACTFIRSTNAME]],", ",sales_data_sample[[#This Row],[CONTACTLASTNAME]]))</f>
        <v>Palle, Ibsen</v>
      </c>
      <c r="AA2398" s="1" t="s">
        <v>59</v>
      </c>
    </row>
    <row r="2399" spans="1:27" x14ac:dyDescent="0.25">
      <c r="A2399" s="10">
        <v>10325</v>
      </c>
      <c r="B2399" s="9">
        <v>38</v>
      </c>
      <c r="C2399" s="9">
        <v>100</v>
      </c>
      <c r="D2399" s="9">
        <f>PRODUCT(sales_data_sample[[#This Row],[QUANTITYORDERED]],sales_data_sample[[#This Row],[PRICEEACH]])</f>
        <v>3800</v>
      </c>
      <c r="E2399" s="9">
        <f>IF(OR(sales_data_sample[[#This Row],[STATUS]]="Shipped",sales_data_sample[[#This Row],[STATUS]]="Resolved"),sales_data_sample[[#This Row],[SALES]],0)</f>
        <v>3800</v>
      </c>
      <c r="F2399" s="10">
        <v>4</v>
      </c>
      <c r="G2399" s="12" t="s">
        <v>532</v>
      </c>
      <c r="H2399" s="1" t="s">
        <v>26</v>
      </c>
      <c r="I2399">
        <v>4</v>
      </c>
      <c r="J2399">
        <v>11</v>
      </c>
      <c r="K2399">
        <v>2004</v>
      </c>
      <c r="L2399" s="1" t="s">
        <v>711</v>
      </c>
      <c r="M2399">
        <v>115</v>
      </c>
      <c r="N2399" s="1" t="s">
        <v>998</v>
      </c>
      <c r="O2399" s="1" t="s">
        <v>174</v>
      </c>
      <c r="P2399" s="1" t="s">
        <v>175</v>
      </c>
      <c r="Q2399" s="1" t="s">
        <v>176</v>
      </c>
      <c r="R2399" s="1" t="s">
        <v>32</v>
      </c>
      <c r="S2399" s="1" t="s">
        <v>177</v>
      </c>
      <c r="T2399" s="1" t="s">
        <v>32</v>
      </c>
      <c r="U2399" s="1" t="s">
        <v>178</v>
      </c>
      <c r="V2399" s="1" t="s">
        <v>97</v>
      </c>
      <c r="W2399" s="1" t="s">
        <v>48</v>
      </c>
      <c r="X2399" s="1" t="s">
        <v>179</v>
      </c>
      <c r="Y2399" s="1" t="s">
        <v>180</v>
      </c>
      <c r="Z2399" s="1" t="str">
        <f>TRIM(_xlfn.CONCAT(sales_data_sample[[#This Row],[CONTACTFIRSTNAME]],", ",sales_data_sample[[#This Row],[CONTACTLASTNAME]]))</f>
        <v>Jonas, Bergulfsen</v>
      </c>
      <c r="AA2399" s="1" t="s">
        <v>59</v>
      </c>
    </row>
    <row r="2400" spans="1:27" x14ac:dyDescent="0.25">
      <c r="A2400" s="10">
        <v>10336</v>
      </c>
      <c r="B2400" s="9">
        <v>23</v>
      </c>
      <c r="C2400" s="9">
        <v>100</v>
      </c>
      <c r="D2400" s="9">
        <f>PRODUCT(sales_data_sample[[#This Row],[QUANTITYORDERED]],sales_data_sample[[#This Row],[PRICEEACH]])</f>
        <v>2300</v>
      </c>
      <c r="E2400" s="9">
        <f>IF(OR(sales_data_sample[[#This Row],[STATUS]]="Shipped",sales_data_sample[[#This Row],[STATUS]]="Resolved"),sales_data_sample[[#This Row],[SALES]],0)</f>
        <v>2300</v>
      </c>
      <c r="F2400" s="10">
        <v>8</v>
      </c>
      <c r="G2400" s="12" t="s">
        <v>708</v>
      </c>
      <c r="H2400" s="1" t="s">
        <v>26</v>
      </c>
      <c r="I2400">
        <v>4</v>
      </c>
      <c r="J2400">
        <v>11</v>
      </c>
      <c r="K2400">
        <v>2004</v>
      </c>
      <c r="L2400" s="1" t="s">
        <v>711</v>
      </c>
      <c r="M2400">
        <v>115</v>
      </c>
      <c r="N2400" s="1" t="s">
        <v>998</v>
      </c>
      <c r="O2400" s="1" t="s">
        <v>556</v>
      </c>
      <c r="P2400" s="1" t="s">
        <v>557</v>
      </c>
      <c r="Q2400" s="1" t="s">
        <v>558</v>
      </c>
      <c r="R2400" s="1" t="s">
        <v>32</v>
      </c>
      <c r="S2400" s="1" t="s">
        <v>55</v>
      </c>
      <c r="T2400" s="1" t="s">
        <v>32</v>
      </c>
      <c r="U2400" s="1" t="s">
        <v>559</v>
      </c>
      <c r="V2400" s="1" t="s">
        <v>47</v>
      </c>
      <c r="W2400" s="1" t="s">
        <v>48</v>
      </c>
      <c r="X2400" s="1" t="s">
        <v>560</v>
      </c>
      <c r="Y2400" s="1" t="s">
        <v>561</v>
      </c>
      <c r="Z2400" s="1" t="str">
        <f>TRIM(_xlfn.CONCAT(sales_data_sample[[#This Row],[CONTACTFIRSTNAME]],", ",sales_data_sample[[#This Row],[CONTACTLASTNAME]]))</f>
        <v>Marie, Bertrand</v>
      </c>
      <c r="AA2400" s="1" t="s">
        <v>59</v>
      </c>
    </row>
    <row r="2401" spans="1:27" x14ac:dyDescent="0.25">
      <c r="A2401" s="10">
        <v>10350</v>
      </c>
      <c r="B2401" s="9">
        <v>31</v>
      </c>
      <c r="C2401" s="9">
        <v>714</v>
      </c>
      <c r="D2401" s="9">
        <f>PRODUCT(sales_data_sample[[#This Row],[QUANTITYORDERED]],sales_data_sample[[#This Row],[PRICEEACH]])</f>
        <v>22134</v>
      </c>
      <c r="E2401" s="9">
        <f>IF(OR(sales_data_sample[[#This Row],[STATUS]]="Shipped",sales_data_sample[[#This Row],[STATUS]]="Resolved"),sales_data_sample[[#This Row],[SALES]],0)</f>
        <v>22134</v>
      </c>
      <c r="F2401" s="10">
        <v>8</v>
      </c>
      <c r="G2401" s="12" t="s">
        <v>534</v>
      </c>
      <c r="H2401" s="1" t="s">
        <v>26</v>
      </c>
      <c r="I2401">
        <v>4</v>
      </c>
      <c r="J2401">
        <v>12</v>
      </c>
      <c r="K2401">
        <v>2004</v>
      </c>
      <c r="L2401" s="1" t="s">
        <v>711</v>
      </c>
      <c r="M2401">
        <v>115</v>
      </c>
      <c r="N2401" s="1" t="s">
        <v>998</v>
      </c>
      <c r="O2401" s="1" t="s">
        <v>230</v>
      </c>
      <c r="P2401" s="1" t="s">
        <v>231</v>
      </c>
      <c r="Q2401" s="1" t="s">
        <v>232</v>
      </c>
      <c r="R2401" s="1" t="s">
        <v>32</v>
      </c>
      <c r="S2401" s="1" t="s">
        <v>233</v>
      </c>
      <c r="T2401" s="1" t="s">
        <v>32</v>
      </c>
      <c r="U2401" s="1" t="s">
        <v>234</v>
      </c>
      <c r="V2401" s="1" t="s">
        <v>235</v>
      </c>
      <c r="W2401" s="1" t="s">
        <v>48</v>
      </c>
      <c r="X2401" s="1" t="s">
        <v>236</v>
      </c>
      <c r="Y2401" s="1" t="s">
        <v>237</v>
      </c>
      <c r="Z2401" s="1" t="str">
        <f>TRIM(_xlfn.CONCAT(sales_data_sample[[#This Row],[CONTACTFIRSTNAME]],", ",sales_data_sample[[#This Row],[CONTACTLASTNAME]]))</f>
        <v>Diego, Freyre</v>
      </c>
      <c r="AA2401" s="1" t="s">
        <v>40</v>
      </c>
    </row>
    <row r="2402" spans="1:27" x14ac:dyDescent="0.25">
      <c r="A2402" s="10">
        <v>10359</v>
      </c>
      <c r="B2402" s="9">
        <v>46</v>
      </c>
      <c r="C2402" s="9">
        <v>100</v>
      </c>
      <c r="D2402" s="9">
        <f>PRODUCT(sales_data_sample[[#This Row],[QUANTITYORDERED]],sales_data_sample[[#This Row],[PRICEEACH]])</f>
        <v>4600</v>
      </c>
      <c r="E2402" s="9">
        <f>IF(OR(sales_data_sample[[#This Row],[STATUS]]="Shipped",sales_data_sample[[#This Row],[STATUS]]="Resolved"),sales_data_sample[[#This Row],[SALES]],0)</f>
        <v>4600</v>
      </c>
      <c r="F2402" s="10">
        <v>2</v>
      </c>
      <c r="G2402" s="12" t="s">
        <v>535</v>
      </c>
      <c r="H2402" s="1" t="s">
        <v>26</v>
      </c>
      <c r="I2402">
        <v>4</v>
      </c>
      <c r="J2402">
        <v>12</v>
      </c>
      <c r="K2402">
        <v>2004</v>
      </c>
      <c r="L2402" s="1" t="s">
        <v>711</v>
      </c>
      <c r="M2402">
        <v>115</v>
      </c>
      <c r="N2402" s="1" t="s">
        <v>998</v>
      </c>
      <c r="O2402" s="1" t="s">
        <v>42</v>
      </c>
      <c r="P2402" s="1" t="s">
        <v>43</v>
      </c>
      <c r="Q2402" s="1" t="s">
        <v>44</v>
      </c>
      <c r="R2402" s="1" t="s">
        <v>32</v>
      </c>
      <c r="S2402" s="1" t="s">
        <v>45</v>
      </c>
      <c r="T2402" s="1" t="s">
        <v>32</v>
      </c>
      <c r="U2402" s="1" t="s">
        <v>46</v>
      </c>
      <c r="V2402" s="1" t="s">
        <v>47</v>
      </c>
      <c r="W2402" s="1" t="s">
        <v>48</v>
      </c>
      <c r="X2402" s="1" t="s">
        <v>49</v>
      </c>
      <c r="Y2402" s="1" t="s">
        <v>50</v>
      </c>
      <c r="Z2402" s="1" t="str">
        <f>TRIM(_xlfn.CONCAT(sales_data_sample[[#This Row],[CONTACTFIRSTNAME]],", ",sales_data_sample[[#This Row],[CONTACTLASTNAME]]))</f>
        <v>Paul, Henriot</v>
      </c>
      <c r="AA2402" s="1" t="s">
        <v>59</v>
      </c>
    </row>
    <row r="2403" spans="1:27" x14ac:dyDescent="0.25">
      <c r="A2403" s="10">
        <v>10371</v>
      </c>
      <c r="B2403" s="9">
        <v>48</v>
      </c>
      <c r="C2403" s="9">
        <v>5655</v>
      </c>
      <c r="D2403" s="9">
        <f>PRODUCT(sales_data_sample[[#This Row],[QUANTITYORDERED]],sales_data_sample[[#This Row],[PRICEEACH]])</f>
        <v>271440</v>
      </c>
      <c r="E2403" s="9">
        <f>IF(OR(sales_data_sample[[#This Row],[STATUS]]="Shipped",sales_data_sample[[#This Row],[STATUS]]="Resolved"),sales_data_sample[[#This Row],[SALES]],0)</f>
        <v>271440</v>
      </c>
      <c r="F2403" s="10">
        <v>10</v>
      </c>
      <c r="G2403" s="12" t="s">
        <v>709</v>
      </c>
      <c r="H2403" s="1" t="s">
        <v>26</v>
      </c>
      <c r="I2403">
        <v>1</v>
      </c>
      <c r="J2403">
        <v>1</v>
      </c>
      <c r="K2403">
        <v>2005</v>
      </c>
      <c r="L2403" s="1" t="s">
        <v>711</v>
      </c>
      <c r="M2403">
        <v>115</v>
      </c>
      <c r="N2403" s="1" t="s">
        <v>998</v>
      </c>
      <c r="O2403" s="1" t="s">
        <v>361</v>
      </c>
      <c r="P2403" s="1" t="s">
        <v>362</v>
      </c>
      <c r="Q2403" s="1" t="s">
        <v>363</v>
      </c>
      <c r="R2403" s="1" t="s">
        <v>32</v>
      </c>
      <c r="S2403" s="1" t="s">
        <v>364</v>
      </c>
      <c r="T2403" s="1" t="s">
        <v>65</v>
      </c>
      <c r="U2403" s="1" t="s">
        <v>145</v>
      </c>
      <c r="V2403" s="1" t="s">
        <v>36</v>
      </c>
      <c r="W2403" s="1" t="s">
        <v>37</v>
      </c>
      <c r="X2403" s="1" t="s">
        <v>365</v>
      </c>
      <c r="Y2403" s="1" t="s">
        <v>366</v>
      </c>
      <c r="Z2403" s="1" t="str">
        <f>TRIM(_xlfn.CONCAT(sales_data_sample[[#This Row],[CONTACTFIRSTNAME]],", ",sales_data_sample[[#This Row],[CONTACTLASTNAME]]))</f>
        <v>Valarie, Nelson</v>
      </c>
      <c r="AA2403" s="1" t="s">
        <v>40</v>
      </c>
    </row>
    <row r="2404" spans="1:27" x14ac:dyDescent="0.25">
      <c r="A2404" s="10">
        <v>10383</v>
      </c>
      <c r="B2404" s="9">
        <v>29</v>
      </c>
      <c r="C2404" s="9">
        <v>100</v>
      </c>
      <c r="D2404" s="9">
        <f>PRODUCT(sales_data_sample[[#This Row],[QUANTITYORDERED]],sales_data_sample[[#This Row],[PRICEEACH]])</f>
        <v>2900</v>
      </c>
      <c r="E2404" s="9">
        <f>IF(OR(sales_data_sample[[#This Row],[STATUS]]="Shipped",sales_data_sample[[#This Row],[STATUS]]="Resolved"),sales_data_sample[[#This Row],[SALES]],0)</f>
        <v>2900</v>
      </c>
      <c r="F2404" s="10">
        <v>13</v>
      </c>
      <c r="G2404" s="12" t="s">
        <v>884</v>
      </c>
      <c r="H2404" s="1" t="s">
        <v>26</v>
      </c>
      <c r="I2404">
        <v>1</v>
      </c>
      <c r="J2404">
        <v>2</v>
      </c>
      <c r="K2404">
        <v>2005</v>
      </c>
      <c r="L2404" s="1" t="s">
        <v>711</v>
      </c>
      <c r="M2404">
        <v>115</v>
      </c>
      <c r="N2404" s="1" t="s">
        <v>998</v>
      </c>
      <c r="O2404" s="1" t="s">
        <v>230</v>
      </c>
      <c r="P2404" s="1" t="s">
        <v>231</v>
      </c>
      <c r="Q2404" s="1" t="s">
        <v>232</v>
      </c>
      <c r="R2404" s="1" t="s">
        <v>32</v>
      </c>
      <c r="S2404" s="1" t="s">
        <v>233</v>
      </c>
      <c r="T2404" s="1" t="s">
        <v>32</v>
      </c>
      <c r="U2404" s="1" t="s">
        <v>234</v>
      </c>
      <c r="V2404" s="1" t="s">
        <v>235</v>
      </c>
      <c r="W2404" s="1" t="s">
        <v>48</v>
      </c>
      <c r="X2404" s="1" t="s">
        <v>236</v>
      </c>
      <c r="Y2404" s="1" t="s">
        <v>237</v>
      </c>
      <c r="Z2404" s="1" t="str">
        <f>TRIM(_xlfn.CONCAT(sales_data_sample[[#This Row],[CONTACTFIRSTNAME]],", ",sales_data_sample[[#This Row],[CONTACTLASTNAME]]))</f>
        <v>Diego, Freyre</v>
      </c>
      <c r="AA2404" s="1" t="s">
        <v>59</v>
      </c>
    </row>
    <row r="2405" spans="1:27" x14ac:dyDescent="0.25">
      <c r="A2405" s="10">
        <v>10395</v>
      </c>
      <c r="B2405" s="9">
        <v>46</v>
      </c>
      <c r="C2405" s="9">
        <v>100</v>
      </c>
      <c r="D2405" s="9">
        <f>PRODUCT(sales_data_sample[[#This Row],[QUANTITYORDERED]],sales_data_sample[[#This Row],[PRICEEACH]])</f>
        <v>4600</v>
      </c>
      <c r="E2405" s="9">
        <f>IF(OR(sales_data_sample[[#This Row],[STATUS]]="Shipped",sales_data_sample[[#This Row],[STATUS]]="Resolved"),sales_data_sample[[#This Row],[SALES]],0)</f>
        <v>4600</v>
      </c>
      <c r="F2405" s="10">
        <v>4</v>
      </c>
      <c r="G2405" s="12" t="s">
        <v>545</v>
      </c>
      <c r="H2405" s="1" t="s">
        <v>26</v>
      </c>
      <c r="I2405">
        <v>1</v>
      </c>
      <c r="J2405">
        <v>3</v>
      </c>
      <c r="K2405">
        <v>2005</v>
      </c>
      <c r="L2405" s="1" t="s">
        <v>711</v>
      </c>
      <c r="M2405">
        <v>115</v>
      </c>
      <c r="N2405" s="1" t="s">
        <v>998</v>
      </c>
      <c r="O2405" s="1" t="s">
        <v>52</v>
      </c>
      <c r="P2405" s="1" t="s">
        <v>53</v>
      </c>
      <c r="Q2405" s="1" t="s">
        <v>54</v>
      </c>
      <c r="R2405" s="1" t="s">
        <v>32</v>
      </c>
      <c r="S2405" s="1" t="s">
        <v>55</v>
      </c>
      <c r="T2405" s="1" t="s">
        <v>32</v>
      </c>
      <c r="U2405" s="1" t="s">
        <v>56</v>
      </c>
      <c r="V2405" s="1" t="s">
        <v>47</v>
      </c>
      <c r="W2405" s="1" t="s">
        <v>48</v>
      </c>
      <c r="X2405" s="1" t="s">
        <v>57</v>
      </c>
      <c r="Y2405" s="1" t="s">
        <v>58</v>
      </c>
      <c r="Z2405" s="1" t="str">
        <f>TRIM(_xlfn.CONCAT(sales_data_sample[[#This Row],[CONTACTFIRSTNAME]],", ",sales_data_sample[[#This Row],[CONTACTLASTNAME]]))</f>
        <v>Daniel, Da Cunha</v>
      </c>
      <c r="AA2405" s="1" t="s">
        <v>59</v>
      </c>
    </row>
    <row r="2406" spans="1:27" x14ac:dyDescent="0.25">
      <c r="A2406" s="10">
        <v>10412</v>
      </c>
      <c r="B2406" s="9">
        <v>26</v>
      </c>
      <c r="C2406" s="9">
        <v>100</v>
      </c>
      <c r="D2406" s="9">
        <f>PRODUCT(sales_data_sample[[#This Row],[QUANTITYORDERED]],sales_data_sample[[#This Row],[PRICEEACH]])</f>
        <v>2600</v>
      </c>
      <c r="E2406" s="9">
        <f>IF(OR(sales_data_sample[[#This Row],[STATUS]]="Shipped",sales_data_sample[[#This Row],[STATUS]]="Resolved"),sales_data_sample[[#This Row],[SALES]],0)</f>
        <v>2600</v>
      </c>
      <c r="F2406" s="10">
        <v>3</v>
      </c>
      <c r="G2406" s="12" t="s">
        <v>758</v>
      </c>
      <c r="H2406" s="1" t="s">
        <v>26</v>
      </c>
      <c r="I2406">
        <v>2</v>
      </c>
      <c r="J2406">
        <v>5</v>
      </c>
      <c r="K2406">
        <v>2005</v>
      </c>
      <c r="L2406" s="1" t="s">
        <v>711</v>
      </c>
      <c r="M2406">
        <v>115</v>
      </c>
      <c r="N2406" s="1" t="s">
        <v>998</v>
      </c>
      <c r="O2406" s="1" t="s">
        <v>230</v>
      </c>
      <c r="P2406" s="1" t="s">
        <v>231</v>
      </c>
      <c r="Q2406" s="1" t="s">
        <v>232</v>
      </c>
      <c r="R2406" s="1" t="s">
        <v>32</v>
      </c>
      <c r="S2406" s="1" t="s">
        <v>233</v>
      </c>
      <c r="T2406" s="1" t="s">
        <v>32</v>
      </c>
      <c r="U2406" s="1" t="s">
        <v>234</v>
      </c>
      <c r="V2406" s="1" t="s">
        <v>235</v>
      </c>
      <c r="W2406" s="1" t="s">
        <v>48</v>
      </c>
      <c r="X2406" s="1" t="s">
        <v>236</v>
      </c>
      <c r="Y2406" s="1" t="s">
        <v>237</v>
      </c>
      <c r="Z2406" s="1" t="str">
        <f>TRIM(_xlfn.CONCAT(sales_data_sample[[#This Row],[CONTACTFIRSTNAME]],", ",sales_data_sample[[#This Row],[CONTACTLASTNAME]]))</f>
        <v>Diego, Freyre</v>
      </c>
      <c r="AA2406" s="1" t="s">
        <v>59</v>
      </c>
    </row>
    <row r="2407" spans="1:27" x14ac:dyDescent="0.25">
      <c r="A2407" s="10">
        <v>10425</v>
      </c>
      <c r="B2407" s="9">
        <v>18</v>
      </c>
      <c r="C2407" s="9">
        <v>100</v>
      </c>
      <c r="D2407" s="9">
        <f>PRODUCT(sales_data_sample[[#This Row],[QUANTITYORDERED]],sales_data_sample[[#This Row],[PRICEEACH]])</f>
        <v>1800</v>
      </c>
      <c r="E2407" s="9">
        <f>IF(OR(sales_data_sample[[#This Row],[STATUS]]="Shipped",sales_data_sample[[#This Row],[STATUS]]="Resolved"),sales_data_sample[[#This Row],[SALES]],0)</f>
        <v>0</v>
      </c>
      <c r="F2407" s="10">
        <v>2</v>
      </c>
      <c r="G2407" s="12" t="s">
        <v>402</v>
      </c>
      <c r="H2407" s="1" t="s">
        <v>403</v>
      </c>
      <c r="I2407">
        <v>2</v>
      </c>
      <c r="J2407">
        <v>5</v>
      </c>
      <c r="K2407">
        <v>2005</v>
      </c>
      <c r="L2407" s="1" t="s">
        <v>711</v>
      </c>
      <c r="M2407">
        <v>115</v>
      </c>
      <c r="N2407" s="1" t="s">
        <v>998</v>
      </c>
      <c r="O2407" s="1" t="s">
        <v>148</v>
      </c>
      <c r="P2407" s="1" t="s">
        <v>149</v>
      </c>
      <c r="Q2407" s="1" t="s">
        <v>150</v>
      </c>
      <c r="R2407" s="1" t="s">
        <v>32</v>
      </c>
      <c r="S2407" s="1" t="s">
        <v>151</v>
      </c>
      <c r="T2407" s="1" t="s">
        <v>32</v>
      </c>
      <c r="U2407" s="1" t="s">
        <v>152</v>
      </c>
      <c r="V2407" s="1" t="s">
        <v>47</v>
      </c>
      <c r="W2407" s="1" t="s">
        <v>48</v>
      </c>
      <c r="X2407" s="1" t="s">
        <v>153</v>
      </c>
      <c r="Y2407" s="1" t="s">
        <v>154</v>
      </c>
      <c r="Z2407" s="1" t="str">
        <f>TRIM(_xlfn.CONCAT(sales_data_sample[[#This Row],[CONTACTFIRSTNAME]],", ",sales_data_sample[[#This Row],[CONTACTLASTNAME]]))</f>
        <v>Janine, Labrune</v>
      </c>
      <c r="AA2407" s="1" t="s">
        <v>40</v>
      </c>
    </row>
    <row r="2408" spans="1:27" x14ac:dyDescent="0.25">
      <c r="A2408" s="10">
        <v>10104</v>
      </c>
      <c r="B2408" s="9">
        <v>32</v>
      </c>
      <c r="C2408" s="9">
        <v>5331</v>
      </c>
      <c r="D2408" s="9">
        <f>PRODUCT(sales_data_sample[[#This Row],[QUANTITYORDERED]],sales_data_sample[[#This Row],[PRICEEACH]])</f>
        <v>170592</v>
      </c>
      <c r="E2408" s="9">
        <f>IF(OR(sales_data_sample[[#This Row],[STATUS]]="Shipped",sales_data_sample[[#This Row],[STATUS]]="Resolved"),sales_data_sample[[#This Row],[SALES]],0)</f>
        <v>170592</v>
      </c>
      <c r="F2408" s="10">
        <v>2</v>
      </c>
      <c r="G2408" s="12" t="s">
        <v>723</v>
      </c>
      <c r="H2408" s="1" t="s">
        <v>26</v>
      </c>
      <c r="I2408">
        <v>1</v>
      </c>
      <c r="J2408">
        <v>1</v>
      </c>
      <c r="K2408">
        <v>2003</v>
      </c>
      <c r="L2408" s="1" t="s">
        <v>918</v>
      </c>
      <c r="M2408">
        <v>58</v>
      </c>
      <c r="N2408" s="1" t="s">
        <v>999</v>
      </c>
      <c r="O2408" s="1" t="s">
        <v>230</v>
      </c>
      <c r="P2408" s="1" t="s">
        <v>231</v>
      </c>
      <c r="Q2408" s="1" t="s">
        <v>232</v>
      </c>
      <c r="R2408" s="1" t="s">
        <v>32</v>
      </c>
      <c r="S2408" s="1" t="s">
        <v>233</v>
      </c>
      <c r="T2408" s="1" t="s">
        <v>32</v>
      </c>
      <c r="U2408" s="1" t="s">
        <v>234</v>
      </c>
      <c r="V2408" s="1" t="s">
        <v>235</v>
      </c>
      <c r="W2408" s="1" t="s">
        <v>48</v>
      </c>
      <c r="X2408" s="1" t="s">
        <v>236</v>
      </c>
      <c r="Y2408" s="1" t="s">
        <v>237</v>
      </c>
      <c r="Z2408" s="1" t="str">
        <f>TRIM(_xlfn.CONCAT(sales_data_sample[[#This Row],[CONTACTFIRSTNAME]],", ",sales_data_sample[[#This Row],[CONTACTLASTNAME]]))</f>
        <v>Diego, Freyre</v>
      </c>
      <c r="AA2408" s="1" t="s">
        <v>40</v>
      </c>
    </row>
    <row r="2409" spans="1:27" x14ac:dyDescent="0.25">
      <c r="A2409" s="10">
        <v>10117</v>
      </c>
      <c r="B2409" s="9">
        <v>21</v>
      </c>
      <c r="C2409" s="9">
        <v>4921</v>
      </c>
      <c r="D2409" s="9">
        <f>PRODUCT(sales_data_sample[[#This Row],[QUANTITYORDERED]],sales_data_sample[[#This Row],[PRICEEACH]])</f>
        <v>103341</v>
      </c>
      <c r="E2409" s="9">
        <f>IF(OR(sales_data_sample[[#This Row],[STATUS]]="Shipped",sales_data_sample[[#This Row],[STATUS]]="Resolved"),sales_data_sample[[#This Row],[SALES]],0)</f>
        <v>103341</v>
      </c>
      <c r="F2409" s="10">
        <v>11</v>
      </c>
      <c r="G2409" s="12" t="s">
        <v>665</v>
      </c>
      <c r="H2409" s="1" t="s">
        <v>26</v>
      </c>
      <c r="I2409">
        <v>2</v>
      </c>
      <c r="J2409">
        <v>4</v>
      </c>
      <c r="K2409">
        <v>2003</v>
      </c>
      <c r="L2409" s="1" t="s">
        <v>918</v>
      </c>
      <c r="M2409">
        <v>58</v>
      </c>
      <c r="N2409" s="1" t="s">
        <v>999</v>
      </c>
      <c r="O2409" s="1" t="s">
        <v>259</v>
      </c>
      <c r="P2409" s="1" t="s">
        <v>260</v>
      </c>
      <c r="Q2409" s="1" t="s">
        <v>261</v>
      </c>
      <c r="R2409" s="1" t="s">
        <v>32</v>
      </c>
      <c r="S2409" s="1" t="s">
        <v>262</v>
      </c>
      <c r="T2409" s="1" t="s">
        <v>32</v>
      </c>
      <c r="U2409" s="1" t="s">
        <v>263</v>
      </c>
      <c r="V2409" s="1" t="s">
        <v>262</v>
      </c>
      <c r="W2409" s="1" t="s">
        <v>264</v>
      </c>
      <c r="X2409" s="1" t="s">
        <v>265</v>
      </c>
      <c r="Y2409" s="1" t="s">
        <v>266</v>
      </c>
      <c r="Z2409" s="1" t="str">
        <f>TRIM(_xlfn.CONCAT(sales_data_sample[[#This Row],[CONTACTFIRSTNAME]],", ",sales_data_sample[[#This Row],[CONTACTLASTNAME]]))</f>
        <v>Eric, Natividad</v>
      </c>
      <c r="AA2409" s="1" t="s">
        <v>40</v>
      </c>
    </row>
    <row r="2410" spans="1:27" x14ac:dyDescent="0.25">
      <c r="A2410">
        <v>10127</v>
      </c>
      <c r="B2410">
        <v>46</v>
      </c>
      <c r="C2410">
        <v>6912</v>
      </c>
      <c r="D2410">
        <f>PRODUCT(sales_data_sample[[#This Row],[QUANTITYORDERED]],sales_data_sample[[#This Row],[PRICEEACH]])</f>
        <v>317952</v>
      </c>
      <c r="E2410" s="9">
        <f>IF(OR(sales_data_sample[[#This Row],[STATUS]]="Shipped",sales_data_sample[[#This Row],[STATUS]]="Resolved"),sales_data_sample[[#This Row],[SALES]],0)</f>
        <v>317952</v>
      </c>
      <c r="F2410">
        <v>4</v>
      </c>
      <c r="G2410" s="12" t="s">
        <v>666</v>
      </c>
      <c r="H2410" s="1" t="s">
        <v>26</v>
      </c>
      <c r="I2410">
        <v>2</v>
      </c>
      <c r="J2410">
        <v>6</v>
      </c>
      <c r="K2410">
        <v>2003</v>
      </c>
      <c r="L2410" s="1" t="s">
        <v>918</v>
      </c>
      <c r="M2410">
        <v>58</v>
      </c>
      <c r="N2410" s="1" t="s">
        <v>999</v>
      </c>
      <c r="O2410" s="1" t="s">
        <v>667</v>
      </c>
      <c r="P2410" s="1" t="s">
        <v>668</v>
      </c>
      <c r="Q2410" s="1" t="s">
        <v>669</v>
      </c>
      <c r="R2410" s="1" t="s">
        <v>670</v>
      </c>
      <c r="S2410" s="1" t="s">
        <v>33</v>
      </c>
      <c r="T2410" s="1" t="s">
        <v>34</v>
      </c>
      <c r="U2410" s="1" t="s">
        <v>35</v>
      </c>
      <c r="V2410" s="1" t="s">
        <v>36</v>
      </c>
      <c r="W2410" s="1" t="s">
        <v>37</v>
      </c>
      <c r="X2410" s="1" t="s">
        <v>67</v>
      </c>
      <c r="Y2410" s="1" t="s">
        <v>671</v>
      </c>
      <c r="Z2410" s="1" t="str">
        <f>TRIM(_xlfn.CONCAT(sales_data_sample[[#This Row],[CONTACTFIRSTNAME]],", ",sales_data_sample[[#This Row],[CONTACTLASTNAME]]))</f>
        <v>Jeff, Young</v>
      </c>
      <c r="AA2410" s="1" t="s">
        <v>59</v>
      </c>
    </row>
    <row r="2411" spans="1:27" x14ac:dyDescent="0.25">
      <c r="A2411" s="10">
        <v>10142</v>
      </c>
      <c r="B2411" s="9">
        <v>42</v>
      </c>
      <c r="C2411" s="9">
        <v>4979</v>
      </c>
      <c r="D2411" s="9">
        <f>PRODUCT(sales_data_sample[[#This Row],[QUANTITYORDERED]],sales_data_sample[[#This Row],[PRICEEACH]])</f>
        <v>209118</v>
      </c>
      <c r="E2411" s="9">
        <f>IF(OR(sales_data_sample[[#This Row],[STATUS]]="Shipped",sales_data_sample[[#This Row],[STATUS]]="Resolved"),sales_data_sample[[#This Row],[SALES]],0)</f>
        <v>209118</v>
      </c>
      <c r="F2411" s="10">
        <v>14</v>
      </c>
      <c r="G2411" s="12" t="s">
        <v>672</v>
      </c>
      <c r="H2411" s="1" t="s">
        <v>26</v>
      </c>
      <c r="I2411">
        <v>3</v>
      </c>
      <c r="J2411">
        <v>8</v>
      </c>
      <c r="K2411">
        <v>2003</v>
      </c>
      <c r="L2411" s="1" t="s">
        <v>918</v>
      </c>
      <c r="M2411">
        <v>58</v>
      </c>
      <c r="N2411" s="1" t="s">
        <v>999</v>
      </c>
      <c r="O2411" s="1" t="s">
        <v>361</v>
      </c>
      <c r="P2411" s="1" t="s">
        <v>362</v>
      </c>
      <c r="Q2411" s="1" t="s">
        <v>363</v>
      </c>
      <c r="R2411" s="1" t="s">
        <v>32</v>
      </c>
      <c r="S2411" s="1" t="s">
        <v>364</v>
      </c>
      <c r="T2411" s="1" t="s">
        <v>65</v>
      </c>
      <c r="U2411" s="1" t="s">
        <v>145</v>
      </c>
      <c r="V2411" s="1" t="s">
        <v>36</v>
      </c>
      <c r="W2411" s="1" t="s">
        <v>37</v>
      </c>
      <c r="X2411" s="1" t="s">
        <v>365</v>
      </c>
      <c r="Y2411" s="1" t="s">
        <v>366</v>
      </c>
      <c r="Z2411" s="1" t="str">
        <f>TRIM(_xlfn.CONCAT(sales_data_sample[[#This Row],[CONTACTFIRSTNAME]],", ",sales_data_sample[[#This Row],[CONTACTLASTNAME]]))</f>
        <v>Valarie, Nelson</v>
      </c>
      <c r="AA2411" s="1" t="s">
        <v>40</v>
      </c>
    </row>
    <row r="2412" spans="1:27" x14ac:dyDescent="0.25">
      <c r="A2412" s="10">
        <v>10153</v>
      </c>
      <c r="B2412" s="9">
        <v>31</v>
      </c>
      <c r="C2412" s="9">
        <v>5741</v>
      </c>
      <c r="D2412" s="9">
        <f>PRODUCT(sales_data_sample[[#This Row],[QUANTITYORDERED]],sales_data_sample[[#This Row],[PRICEEACH]])</f>
        <v>177971</v>
      </c>
      <c r="E2412" s="9">
        <f>IF(OR(sales_data_sample[[#This Row],[STATUS]]="Shipped",sales_data_sample[[#This Row],[STATUS]]="Resolved"),sales_data_sample[[#This Row],[SALES]],0)</f>
        <v>177971</v>
      </c>
      <c r="F2412" s="10">
        <v>13</v>
      </c>
      <c r="G2412" s="12" t="s">
        <v>673</v>
      </c>
      <c r="H2412" s="1" t="s">
        <v>26</v>
      </c>
      <c r="I2412">
        <v>3</v>
      </c>
      <c r="J2412">
        <v>9</v>
      </c>
      <c r="K2412">
        <v>2003</v>
      </c>
      <c r="L2412" s="1" t="s">
        <v>918</v>
      </c>
      <c r="M2412">
        <v>58</v>
      </c>
      <c r="N2412" s="1" t="s">
        <v>999</v>
      </c>
      <c r="O2412" s="1" t="s">
        <v>230</v>
      </c>
      <c r="P2412" s="1" t="s">
        <v>231</v>
      </c>
      <c r="Q2412" s="1" t="s">
        <v>232</v>
      </c>
      <c r="R2412" s="1" t="s">
        <v>32</v>
      </c>
      <c r="S2412" s="1" t="s">
        <v>233</v>
      </c>
      <c r="T2412" s="1" t="s">
        <v>32</v>
      </c>
      <c r="U2412" s="1" t="s">
        <v>234</v>
      </c>
      <c r="V2412" s="1" t="s">
        <v>235</v>
      </c>
      <c r="W2412" s="1" t="s">
        <v>48</v>
      </c>
      <c r="X2412" s="1" t="s">
        <v>236</v>
      </c>
      <c r="Y2412" s="1" t="s">
        <v>237</v>
      </c>
      <c r="Z2412" s="1" t="str">
        <f>TRIM(_xlfn.CONCAT(sales_data_sample[[#This Row],[CONTACTFIRSTNAME]],", ",sales_data_sample[[#This Row],[CONTACTLASTNAME]]))</f>
        <v>Diego, Freyre</v>
      </c>
      <c r="AA2412" s="1" t="s">
        <v>40</v>
      </c>
    </row>
    <row r="2413" spans="1:27" x14ac:dyDescent="0.25">
      <c r="A2413" s="10">
        <v>10165</v>
      </c>
      <c r="B2413" s="9">
        <v>38</v>
      </c>
      <c r="C2413" s="9">
        <v>6678</v>
      </c>
      <c r="D2413" s="9">
        <f>PRODUCT(sales_data_sample[[#This Row],[QUANTITYORDERED]],sales_data_sample[[#This Row],[PRICEEACH]])</f>
        <v>253764</v>
      </c>
      <c r="E2413" s="9">
        <f>IF(OR(sales_data_sample[[#This Row],[STATUS]]="Shipped",sales_data_sample[[#This Row],[STATUS]]="Resolved"),sales_data_sample[[#This Row],[SALES]],0)</f>
        <v>253764</v>
      </c>
      <c r="F2413" s="10">
        <v>5</v>
      </c>
      <c r="G2413" s="12" t="s">
        <v>674</v>
      </c>
      <c r="H2413" s="1" t="s">
        <v>26</v>
      </c>
      <c r="I2413">
        <v>4</v>
      </c>
      <c r="J2413">
        <v>10</v>
      </c>
      <c r="K2413">
        <v>2003</v>
      </c>
      <c r="L2413" s="1" t="s">
        <v>918</v>
      </c>
      <c r="M2413">
        <v>58</v>
      </c>
      <c r="N2413" s="1" t="s">
        <v>999</v>
      </c>
      <c r="O2413" s="1" t="s">
        <v>259</v>
      </c>
      <c r="P2413" s="1" t="s">
        <v>260</v>
      </c>
      <c r="Q2413" s="1" t="s">
        <v>261</v>
      </c>
      <c r="R2413" s="1" t="s">
        <v>32</v>
      </c>
      <c r="S2413" s="1" t="s">
        <v>262</v>
      </c>
      <c r="T2413" s="1" t="s">
        <v>32</v>
      </c>
      <c r="U2413" s="1" t="s">
        <v>263</v>
      </c>
      <c r="V2413" s="1" t="s">
        <v>262</v>
      </c>
      <c r="W2413" s="1" t="s">
        <v>264</v>
      </c>
      <c r="X2413" s="1" t="s">
        <v>265</v>
      </c>
      <c r="Y2413" s="1" t="s">
        <v>266</v>
      </c>
      <c r="Z2413" s="1" t="str">
        <f>TRIM(_xlfn.CONCAT(sales_data_sample[[#This Row],[CONTACTFIRSTNAME]],", ",sales_data_sample[[#This Row],[CONTACTLASTNAME]]))</f>
        <v>Eric, Natividad</v>
      </c>
      <c r="AA2413" s="1" t="s">
        <v>40</v>
      </c>
    </row>
    <row r="2414" spans="1:27" x14ac:dyDescent="0.25">
      <c r="A2414" s="10">
        <v>10176</v>
      </c>
      <c r="B2414" s="9">
        <v>38</v>
      </c>
      <c r="C2414" s="9">
        <v>6444</v>
      </c>
      <c r="D2414" s="9">
        <f>PRODUCT(sales_data_sample[[#This Row],[QUANTITYORDERED]],sales_data_sample[[#This Row],[PRICEEACH]])</f>
        <v>244872</v>
      </c>
      <c r="E2414" s="9">
        <f>IF(OR(sales_data_sample[[#This Row],[STATUS]]="Shipped",sales_data_sample[[#This Row],[STATUS]]="Resolved"),sales_data_sample[[#This Row],[SALES]],0)</f>
        <v>244872</v>
      </c>
      <c r="F2414" s="10">
        <v>4</v>
      </c>
      <c r="G2414" s="12" t="s">
        <v>273</v>
      </c>
      <c r="H2414" s="1" t="s">
        <v>26</v>
      </c>
      <c r="I2414">
        <v>4</v>
      </c>
      <c r="J2414">
        <v>11</v>
      </c>
      <c r="K2414">
        <v>2003</v>
      </c>
      <c r="L2414" s="1" t="s">
        <v>918</v>
      </c>
      <c r="M2414">
        <v>58</v>
      </c>
      <c r="N2414" s="1" t="s">
        <v>999</v>
      </c>
      <c r="O2414" s="1" t="s">
        <v>632</v>
      </c>
      <c r="P2414" s="1" t="s">
        <v>633</v>
      </c>
      <c r="Q2414" s="1" t="s">
        <v>634</v>
      </c>
      <c r="R2414" s="1" t="s">
        <v>32</v>
      </c>
      <c r="S2414" s="1" t="s">
        <v>635</v>
      </c>
      <c r="T2414" s="1" t="s">
        <v>32</v>
      </c>
      <c r="U2414" s="1" t="s">
        <v>636</v>
      </c>
      <c r="V2414" s="1" t="s">
        <v>343</v>
      </c>
      <c r="W2414" s="1" t="s">
        <v>48</v>
      </c>
      <c r="X2414" s="1" t="s">
        <v>637</v>
      </c>
      <c r="Y2414" s="1" t="s">
        <v>638</v>
      </c>
      <c r="Z2414" s="1" t="str">
        <f>TRIM(_xlfn.CONCAT(sales_data_sample[[#This Row],[CONTACTFIRSTNAME]],", ",sales_data_sample[[#This Row],[CONTACTLASTNAME]]))</f>
        <v>Maurizio, Moroni</v>
      </c>
      <c r="AA2414" s="1" t="s">
        <v>40</v>
      </c>
    </row>
    <row r="2415" spans="1:27" x14ac:dyDescent="0.25">
      <c r="A2415" s="10">
        <v>10185</v>
      </c>
      <c r="B2415" s="9">
        <v>20</v>
      </c>
      <c r="C2415" s="9">
        <v>4862</v>
      </c>
      <c r="D2415" s="9">
        <f>PRODUCT(sales_data_sample[[#This Row],[QUANTITYORDERED]],sales_data_sample[[#This Row],[PRICEEACH]])</f>
        <v>97240</v>
      </c>
      <c r="E2415" s="9">
        <f>IF(OR(sales_data_sample[[#This Row],[STATUS]]="Shipped",sales_data_sample[[#This Row],[STATUS]]="Resolved"),sales_data_sample[[#This Row],[SALES]],0)</f>
        <v>97240</v>
      </c>
      <c r="F2415" s="10">
        <v>15</v>
      </c>
      <c r="G2415" s="12" t="s">
        <v>470</v>
      </c>
      <c r="H2415" s="1" t="s">
        <v>26</v>
      </c>
      <c r="I2415">
        <v>4</v>
      </c>
      <c r="J2415">
        <v>11</v>
      </c>
      <c r="K2415">
        <v>2003</v>
      </c>
      <c r="L2415" s="1" t="s">
        <v>918</v>
      </c>
      <c r="M2415">
        <v>58</v>
      </c>
      <c r="N2415" s="1" t="s">
        <v>999</v>
      </c>
      <c r="O2415" s="1" t="s">
        <v>454</v>
      </c>
      <c r="P2415" s="1" t="s">
        <v>455</v>
      </c>
      <c r="Q2415" s="1" t="s">
        <v>456</v>
      </c>
      <c r="R2415" s="1" t="s">
        <v>32</v>
      </c>
      <c r="S2415" s="1" t="s">
        <v>215</v>
      </c>
      <c r="T2415" s="1" t="s">
        <v>160</v>
      </c>
      <c r="U2415" s="1" t="s">
        <v>216</v>
      </c>
      <c r="V2415" s="1" t="s">
        <v>36</v>
      </c>
      <c r="W2415" s="1" t="s">
        <v>37</v>
      </c>
      <c r="X2415" s="1" t="s">
        <v>457</v>
      </c>
      <c r="Y2415" s="1" t="s">
        <v>458</v>
      </c>
      <c r="Z2415" s="1" t="str">
        <f>TRIM(_xlfn.CONCAT(sales_data_sample[[#This Row],[CONTACTFIRSTNAME]],", ",sales_data_sample[[#This Row],[CONTACTLASTNAME]]))</f>
        <v>Wing C, Tam</v>
      </c>
      <c r="AA2415" s="1" t="s">
        <v>40</v>
      </c>
    </row>
    <row r="2416" spans="1:27" x14ac:dyDescent="0.25">
      <c r="A2416" s="10">
        <v>10196</v>
      </c>
      <c r="B2416" s="9">
        <v>46</v>
      </c>
      <c r="C2416" s="9">
        <v>6209</v>
      </c>
      <c r="D2416" s="9">
        <f>PRODUCT(sales_data_sample[[#This Row],[QUANTITYORDERED]],sales_data_sample[[#This Row],[PRICEEACH]])</f>
        <v>285614</v>
      </c>
      <c r="E2416" s="9">
        <f>IF(OR(sales_data_sample[[#This Row],[STATUS]]="Shipped",sales_data_sample[[#This Row],[STATUS]]="Resolved"),sales_data_sample[[#This Row],[SALES]],0)</f>
        <v>285614</v>
      </c>
      <c r="F2416" s="10">
        <v>7</v>
      </c>
      <c r="G2416" s="12" t="s">
        <v>477</v>
      </c>
      <c r="H2416" s="1" t="s">
        <v>26</v>
      </c>
      <c r="I2416">
        <v>4</v>
      </c>
      <c r="J2416">
        <v>11</v>
      </c>
      <c r="K2416">
        <v>2003</v>
      </c>
      <c r="L2416" s="1" t="s">
        <v>918</v>
      </c>
      <c r="M2416">
        <v>58</v>
      </c>
      <c r="N2416" s="1" t="s">
        <v>999</v>
      </c>
      <c r="O2416" s="1" t="s">
        <v>321</v>
      </c>
      <c r="P2416" s="1" t="s">
        <v>322</v>
      </c>
      <c r="Q2416" s="1" t="s">
        <v>323</v>
      </c>
      <c r="R2416" s="1" t="s">
        <v>32</v>
      </c>
      <c r="S2416" s="1" t="s">
        <v>324</v>
      </c>
      <c r="T2416" s="1" t="s">
        <v>144</v>
      </c>
      <c r="U2416" s="1" t="s">
        <v>325</v>
      </c>
      <c r="V2416" s="1" t="s">
        <v>36</v>
      </c>
      <c r="W2416" s="1" t="s">
        <v>37</v>
      </c>
      <c r="X2416" s="1" t="s">
        <v>104</v>
      </c>
      <c r="Y2416" s="1" t="s">
        <v>326</v>
      </c>
      <c r="Z2416" s="1" t="str">
        <f>TRIM(_xlfn.CONCAT(sales_data_sample[[#This Row],[CONTACTFIRSTNAME]],", ",sales_data_sample[[#This Row],[CONTACTLASTNAME]]))</f>
        <v>Leslie, Murphy</v>
      </c>
      <c r="AA2416" s="1" t="s">
        <v>40</v>
      </c>
    </row>
    <row r="2417" spans="1:27" x14ac:dyDescent="0.25">
      <c r="A2417" s="10">
        <v>10208</v>
      </c>
      <c r="B2417" s="9">
        <v>30</v>
      </c>
      <c r="C2417" s="9">
        <v>6561</v>
      </c>
      <c r="D2417" s="9">
        <f>PRODUCT(sales_data_sample[[#This Row],[QUANTITYORDERED]],sales_data_sample[[#This Row],[PRICEEACH]])</f>
        <v>196830</v>
      </c>
      <c r="E2417" s="9">
        <f>IF(OR(sales_data_sample[[#This Row],[STATUS]]="Shipped",sales_data_sample[[#This Row],[STATUS]]="Resolved"),sales_data_sample[[#This Row],[SALES]],0)</f>
        <v>196830</v>
      </c>
      <c r="F2417" s="10">
        <v>15</v>
      </c>
      <c r="G2417" s="12" t="s">
        <v>675</v>
      </c>
      <c r="H2417" s="1" t="s">
        <v>26</v>
      </c>
      <c r="I2417">
        <v>1</v>
      </c>
      <c r="J2417">
        <v>1</v>
      </c>
      <c r="K2417">
        <v>2004</v>
      </c>
      <c r="L2417" s="1" t="s">
        <v>918</v>
      </c>
      <c r="M2417">
        <v>58</v>
      </c>
      <c r="N2417" s="1" t="s">
        <v>999</v>
      </c>
      <c r="O2417" s="1" t="s">
        <v>291</v>
      </c>
      <c r="P2417" s="1" t="s">
        <v>292</v>
      </c>
      <c r="Q2417" s="1" t="s">
        <v>293</v>
      </c>
      <c r="R2417" s="1" t="s">
        <v>32</v>
      </c>
      <c r="S2417" s="1" t="s">
        <v>294</v>
      </c>
      <c r="T2417" s="1" t="s">
        <v>32</v>
      </c>
      <c r="U2417" s="1" t="s">
        <v>295</v>
      </c>
      <c r="V2417" s="1" t="s">
        <v>47</v>
      </c>
      <c r="W2417" s="1" t="s">
        <v>48</v>
      </c>
      <c r="X2417" s="1" t="s">
        <v>296</v>
      </c>
      <c r="Y2417" s="1" t="s">
        <v>297</v>
      </c>
      <c r="Z2417" s="1" t="str">
        <f>TRIM(_xlfn.CONCAT(sales_data_sample[[#This Row],[CONTACTFIRSTNAME]],", ",sales_data_sample[[#This Row],[CONTACTLASTNAME]]))</f>
        <v>Mary, Saveley</v>
      </c>
      <c r="AA2417" s="1" t="s">
        <v>40</v>
      </c>
    </row>
    <row r="2418" spans="1:27" x14ac:dyDescent="0.25">
      <c r="A2418">
        <v>10220</v>
      </c>
      <c r="B2418">
        <v>30</v>
      </c>
      <c r="C2418">
        <v>6854</v>
      </c>
      <c r="D2418">
        <f>PRODUCT(sales_data_sample[[#This Row],[QUANTITYORDERED]],sales_data_sample[[#This Row],[PRICEEACH]])</f>
        <v>205620</v>
      </c>
      <c r="E2418" s="9">
        <f>IF(OR(sales_data_sample[[#This Row],[STATUS]]="Shipped",sales_data_sample[[#This Row],[STATUS]]="Resolved"),sales_data_sample[[#This Row],[SALES]],0)</f>
        <v>205620</v>
      </c>
      <c r="F2418">
        <v>4</v>
      </c>
      <c r="G2418" s="12" t="s">
        <v>676</v>
      </c>
      <c r="H2418" s="1" t="s">
        <v>26</v>
      </c>
      <c r="I2418">
        <v>1</v>
      </c>
      <c r="J2418">
        <v>2</v>
      </c>
      <c r="K2418">
        <v>2004</v>
      </c>
      <c r="L2418" s="1" t="s">
        <v>918</v>
      </c>
      <c r="M2418">
        <v>58</v>
      </c>
      <c r="N2418" s="1" t="s">
        <v>999</v>
      </c>
      <c r="O2418" s="1" t="s">
        <v>677</v>
      </c>
      <c r="P2418" s="1" t="s">
        <v>678</v>
      </c>
      <c r="Q2418" s="1" t="s">
        <v>679</v>
      </c>
      <c r="R2418" s="1" t="s">
        <v>680</v>
      </c>
      <c r="S2418" s="1" t="s">
        <v>681</v>
      </c>
      <c r="T2418" s="1" t="s">
        <v>32</v>
      </c>
      <c r="U2418" s="1" t="s">
        <v>682</v>
      </c>
      <c r="V2418" s="1" t="s">
        <v>683</v>
      </c>
      <c r="W2418" s="1" t="s">
        <v>48</v>
      </c>
      <c r="X2418" s="1" t="s">
        <v>684</v>
      </c>
      <c r="Y2418" s="1" t="s">
        <v>685</v>
      </c>
      <c r="Z2418" s="1" t="str">
        <f>TRIM(_xlfn.CONCAT(sales_data_sample[[#This Row],[CONTACTFIRSTNAME]],", ",sales_data_sample[[#This Row],[CONTACTLASTNAME]]))</f>
        <v>Dean, Cassidy</v>
      </c>
      <c r="AA2418" s="1" t="s">
        <v>40</v>
      </c>
    </row>
    <row r="2419" spans="1:27" x14ac:dyDescent="0.25">
      <c r="A2419" s="10">
        <v>10230</v>
      </c>
      <c r="B2419" s="9">
        <v>43</v>
      </c>
      <c r="C2419" s="9">
        <v>5214</v>
      </c>
      <c r="D2419" s="9">
        <f>PRODUCT(sales_data_sample[[#This Row],[QUANTITYORDERED]],sales_data_sample[[#This Row],[PRICEEACH]])</f>
        <v>224202</v>
      </c>
      <c r="E2419" s="9">
        <f>IF(OR(sales_data_sample[[#This Row],[STATUS]]="Shipped",sales_data_sample[[#This Row],[STATUS]]="Resolved"),sales_data_sample[[#This Row],[SALES]],0)</f>
        <v>224202</v>
      </c>
      <c r="F2419" s="10">
        <v>2</v>
      </c>
      <c r="G2419" s="12" t="s">
        <v>725</v>
      </c>
      <c r="H2419" s="1" t="s">
        <v>26</v>
      </c>
      <c r="I2419">
        <v>1</v>
      </c>
      <c r="J2419">
        <v>3</v>
      </c>
      <c r="K2419">
        <v>2004</v>
      </c>
      <c r="L2419" s="1" t="s">
        <v>918</v>
      </c>
      <c r="M2419">
        <v>58</v>
      </c>
      <c r="N2419" s="1" t="s">
        <v>999</v>
      </c>
      <c r="O2419" s="1" t="s">
        <v>647</v>
      </c>
      <c r="P2419" s="1" t="s">
        <v>648</v>
      </c>
      <c r="Q2419" s="1" t="s">
        <v>649</v>
      </c>
      <c r="R2419" s="1" t="s">
        <v>32</v>
      </c>
      <c r="S2419" s="1" t="s">
        <v>650</v>
      </c>
      <c r="T2419" s="1" t="s">
        <v>32</v>
      </c>
      <c r="U2419" s="1" t="s">
        <v>651</v>
      </c>
      <c r="V2419" s="1" t="s">
        <v>617</v>
      </c>
      <c r="W2419" s="1" t="s">
        <v>48</v>
      </c>
      <c r="X2419" s="1" t="s">
        <v>652</v>
      </c>
      <c r="Y2419" s="1" t="s">
        <v>570</v>
      </c>
      <c r="Z2419" s="1" t="str">
        <f>TRIM(_xlfn.CONCAT(sales_data_sample[[#This Row],[CONTACTFIRSTNAME]],", ",sales_data_sample[[#This Row],[CONTACTLASTNAME]]))</f>
        <v>Roland, Keitel</v>
      </c>
      <c r="AA2419" s="1" t="s">
        <v>40</v>
      </c>
    </row>
    <row r="2420" spans="1:27" x14ac:dyDescent="0.25">
      <c r="A2420" s="10">
        <v>10247</v>
      </c>
      <c r="B2420" s="9">
        <v>49</v>
      </c>
      <c r="C2420" s="9">
        <v>6385</v>
      </c>
      <c r="D2420" s="9">
        <f>PRODUCT(sales_data_sample[[#This Row],[QUANTITYORDERED]],sales_data_sample[[#This Row],[PRICEEACH]])</f>
        <v>312865</v>
      </c>
      <c r="E2420" s="9">
        <f>IF(OR(sales_data_sample[[#This Row],[STATUS]]="Shipped",sales_data_sample[[#This Row],[STATUS]]="Resolved"),sales_data_sample[[#This Row],[SALES]],0)</f>
        <v>312865</v>
      </c>
      <c r="F2420" s="10">
        <v>4</v>
      </c>
      <c r="G2420" s="12" t="s">
        <v>692</v>
      </c>
      <c r="H2420" s="1" t="s">
        <v>26</v>
      </c>
      <c r="I2420">
        <v>2</v>
      </c>
      <c r="J2420">
        <v>5</v>
      </c>
      <c r="K2420">
        <v>2004</v>
      </c>
      <c r="L2420" s="1" t="s">
        <v>918</v>
      </c>
      <c r="M2420">
        <v>58</v>
      </c>
      <c r="N2420" s="1" t="s">
        <v>999</v>
      </c>
      <c r="O2420" s="1" t="s">
        <v>656</v>
      </c>
      <c r="P2420" s="1" t="s">
        <v>657</v>
      </c>
      <c r="Q2420" s="1" t="s">
        <v>658</v>
      </c>
      <c r="R2420" s="1" t="s">
        <v>32</v>
      </c>
      <c r="S2420" s="1" t="s">
        <v>659</v>
      </c>
      <c r="T2420" s="1" t="s">
        <v>32</v>
      </c>
      <c r="U2420" s="1" t="s">
        <v>660</v>
      </c>
      <c r="V2420" s="1" t="s">
        <v>170</v>
      </c>
      <c r="W2420" s="1" t="s">
        <v>48</v>
      </c>
      <c r="X2420" s="1" t="s">
        <v>661</v>
      </c>
      <c r="Y2420" s="1" t="s">
        <v>662</v>
      </c>
      <c r="Z2420" s="1" t="str">
        <f>TRIM(_xlfn.CONCAT(sales_data_sample[[#This Row],[CONTACTFIRSTNAME]],", ",sales_data_sample[[#This Row],[CONTACTLASTNAME]]))</f>
        <v>Kalle, Suominen</v>
      </c>
      <c r="AA2420" s="1" t="s">
        <v>59</v>
      </c>
    </row>
    <row r="2421" spans="1:27" x14ac:dyDescent="0.25">
      <c r="A2421" s="10">
        <v>10272</v>
      </c>
      <c r="B2421" s="9">
        <v>43</v>
      </c>
      <c r="C2421" s="9">
        <v>5682</v>
      </c>
      <c r="D2421" s="9">
        <f>PRODUCT(sales_data_sample[[#This Row],[QUANTITYORDERED]],sales_data_sample[[#This Row],[PRICEEACH]])</f>
        <v>244326</v>
      </c>
      <c r="E2421" s="9">
        <f>IF(OR(sales_data_sample[[#This Row],[STATUS]]="Shipped",sales_data_sample[[#This Row],[STATUS]]="Resolved"),sales_data_sample[[#This Row],[SALES]],0)</f>
        <v>244326</v>
      </c>
      <c r="F2421" s="10">
        <v>4</v>
      </c>
      <c r="G2421" s="12" t="s">
        <v>693</v>
      </c>
      <c r="H2421" s="1" t="s">
        <v>26</v>
      </c>
      <c r="I2421">
        <v>3</v>
      </c>
      <c r="J2421">
        <v>7</v>
      </c>
      <c r="K2421">
        <v>2004</v>
      </c>
      <c r="L2421" s="1" t="s">
        <v>918</v>
      </c>
      <c r="M2421">
        <v>58</v>
      </c>
      <c r="N2421" s="1" t="s">
        <v>999</v>
      </c>
      <c r="O2421" s="1" t="s">
        <v>182</v>
      </c>
      <c r="P2421" s="1" t="s">
        <v>183</v>
      </c>
      <c r="Q2421" s="1" t="s">
        <v>184</v>
      </c>
      <c r="R2421" s="1" t="s">
        <v>32</v>
      </c>
      <c r="S2421" s="1" t="s">
        <v>185</v>
      </c>
      <c r="T2421" s="1" t="s">
        <v>186</v>
      </c>
      <c r="U2421" s="1" t="s">
        <v>187</v>
      </c>
      <c r="V2421" s="1" t="s">
        <v>36</v>
      </c>
      <c r="W2421" s="1" t="s">
        <v>37</v>
      </c>
      <c r="X2421" s="1" t="s">
        <v>38</v>
      </c>
      <c r="Y2421" s="1" t="s">
        <v>188</v>
      </c>
      <c r="Z2421" s="1" t="str">
        <f>TRIM(_xlfn.CONCAT(sales_data_sample[[#This Row],[CONTACTFIRSTNAME]],", ",sales_data_sample[[#This Row],[CONTACTLASTNAME]]))</f>
        <v>Kyung, Yu</v>
      </c>
      <c r="AA2421" s="1" t="s">
        <v>40</v>
      </c>
    </row>
    <row r="2422" spans="1:27" x14ac:dyDescent="0.25">
      <c r="A2422" s="10">
        <v>10282</v>
      </c>
      <c r="B2422" s="9">
        <v>37</v>
      </c>
      <c r="C2422" s="9">
        <v>6678</v>
      </c>
      <c r="D2422" s="9">
        <f>PRODUCT(sales_data_sample[[#This Row],[QUANTITYORDERED]],sales_data_sample[[#This Row],[PRICEEACH]])</f>
        <v>247086</v>
      </c>
      <c r="E2422" s="9">
        <f>IF(OR(sales_data_sample[[#This Row],[STATUS]]="Shipped",sales_data_sample[[#This Row],[STATUS]]="Resolved"),sales_data_sample[[#This Row],[SALES]],0)</f>
        <v>247086</v>
      </c>
      <c r="F2422" s="10">
        <v>7</v>
      </c>
      <c r="G2422" s="12" t="s">
        <v>508</v>
      </c>
      <c r="H2422" s="1" t="s">
        <v>26</v>
      </c>
      <c r="I2422">
        <v>3</v>
      </c>
      <c r="J2422">
        <v>8</v>
      </c>
      <c r="K2422">
        <v>2004</v>
      </c>
      <c r="L2422" s="1" t="s">
        <v>918</v>
      </c>
      <c r="M2422">
        <v>58</v>
      </c>
      <c r="N2422" s="1" t="s">
        <v>999</v>
      </c>
      <c r="O2422" s="1" t="s">
        <v>361</v>
      </c>
      <c r="P2422" s="1" t="s">
        <v>362</v>
      </c>
      <c r="Q2422" s="1" t="s">
        <v>363</v>
      </c>
      <c r="R2422" s="1" t="s">
        <v>32</v>
      </c>
      <c r="S2422" s="1" t="s">
        <v>364</v>
      </c>
      <c r="T2422" s="1" t="s">
        <v>65</v>
      </c>
      <c r="U2422" s="1" t="s">
        <v>145</v>
      </c>
      <c r="V2422" s="1" t="s">
        <v>36</v>
      </c>
      <c r="W2422" s="1" t="s">
        <v>37</v>
      </c>
      <c r="X2422" s="1" t="s">
        <v>365</v>
      </c>
      <c r="Y2422" s="1" t="s">
        <v>366</v>
      </c>
      <c r="Z2422" s="1" t="str">
        <f>TRIM(_xlfn.CONCAT(sales_data_sample[[#This Row],[CONTACTFIRSTNAME]],", ",sales_data_sample[[#This Row],[CONTACTLASTNAME]]))</f>
        <v>Valarie, Nelson</v>
      </c>
      <c r="AA2422" s="1" t="s">
        <v>40</v>
      </c>
    </row>
    <row r="2423" spans="1:27" x14ac:dyDescent="0.25">
      <c r="A2423" s="10">
        <v>10292</v>
      </c>
      <c r="B2423" s="9">
        <v>35</v>
      </c>
      <c r="C2423" s="9">
        <v>5507</v>
      </c>
      <c r="D2423" s="9">
        <f>PRODUCT(sales_data_sample[[#This Row],[QUANTITYORDERED]],sales_data_sample[[#This Row],[PRICEEACH]])</f>
        <v>192745</v>
      </c>
      <c r="E2423" s="9">
        <f>IF(OR(sales_data_sample[[#This Row],[STATUS]]="Shipped",sales_data_sample[[#This Row],[STATUS]]="Resolved"),sales_data_sample[[#This Row],[SALES]],0)</f>
        <v>192745</v>
      </c>
      <c r="F2423" s="10">
        <v>1</v>
      </c>
      <c r="G2423" s="12" t="s">
        <v>346</v>
      </c>
      <c r="H2423" s="1" t="s">
        <v>26</v>
      </c>
      <c r="I2423">
        <v>3</v>
      </c>
      <c r="J2423">
        <v>9</v>
      </c>
      <c r="K2423">
        <v>2004</v>
      </c>
      <c r="L2423" s="1" t="s">
        <v>918</v>
      </c>
      <c r="M2423">
        <v>58</v>
      </c>
      <c r="N2423" s="1" t="s">
        <v>999</v>
      </c>
      <c r="O2423" s="1" t="s">
        <v>29</v>
      </c>
      <c r="P2423" s="1" t="s">
        <v>30</v>
      </c>
      <c r="Q2423" s="1" t="s">
        <v>31</v>
      </c>
      <c r="R2423" s="1" t="s">
        <v>32</v>
      </c>
      <c r="S2423" s="1" t="s">
        <v>33</v>
      </c>
      <c r="T2423" s="1" t="s">
        <v>34</v>
      </c>
      <c r="U2423" s="1" t="s">
        <v>35</v>
      </c>
      <c r="V2423" s="1" t="s">
        <v>36</v>
      </c>
      <c r="W2423" s="1" t="s">
        <v>37</v>
      </c>
      <c r="X2423" s="1" t="s">
        <v>38</v>
      </c>
      <c r="Y2423" s="1" t="s">
        <v>39</v>
      </c>
      <c r="Z2423" s="1" t="str">
        <f>TRIM(_xlfn.CONCAT(sales_data_sample[[#This Row],[CONTACTFIRSTNAME]],", ",sales_data_sample[[#This Row],[CONTACTLASTNAME]]))</f>
        <v>Kwai, Yu</v>
      </c>
      <c r="AA2423" s="1" t="s">
        <v>40</v>
      </c>
    </row>
    <row r="2424" spans="1:27" x14ac:dyDescent="0.25">
      <c r="A2424" s="10">
        <v>10306</v>
      </c>
      <c r="B2424" s="9">
        <v>34</v>
      </c>
      <c r="C2424" s="9">
        <v>6034</v>
      </c>
      <c r="D2424" s="9">
        <f>PRODUCT(sales_data_sample[[#This Row],[QUANTITYORDERED]],sales_data_sample[[#This Row],[PRICEEACH]])</f>
        <v>205156</v>
      </c>
      <c r="E2424" s="9">
        <f>IF(OR(sales_data_sample[[#This Row],[STATUS]]="Shipped",sales_data_sample[[#This Row],[STATUS]]="Resolved"),sales_data_sample[[#This Row],[SALES]],0)</f>
        <v>205156</v>
      </c>
      <c r="F2424" s="10">
        <v>15</v>
      </c>
      <c r="G2424" s="12" t="s">
        <v>522</v>
      </c>
      <c r="H2424" s="1" t="s">
        <v>26</v>
      </c>
      <c r="I2424">
        <v>4</v>
      </c>
      <c r="J2424">
        <v>10</v>
      </c>
      <c r="K2424">
        <v>2004</v>
      </c>
      <c r="L2424" s="1" t="s">
        <v>918</v>
      </c>
      <c r="M2424">
        <v>58</v>
      </c>
      <c r="N2424" s="1" t="s">
        <v>999</v>
      </c>
      <c r="O2424" s="1" t="s">
        <v>695</v>
      </c>
      <c r="P2424" s="1" t="s">
        <v>696</v>
      </c>
      <c r="Q2424" s="1" t="s">
        <v>697</v>
      </c>
      <c r="R2424" s="1" t="s">
        <v>32</v>
      </c>
      <c r="S2424" s="1" t="s">
        <v>698</v>
      </c>
      <c r="T2424" s="1" t="s">
        <v>32</v>
      </c>
      <c r="U2424" s="1" t="s">
        <v>699</v>
      </c>
      <c r="V2424" s="1" t="s">
        <v>225</v>
      </c>
      <c r="W2424" s="1" t="s">
        <v>48</v>
      </c>
      <c r="X2424" s="1" t="s">
        <v>700</v>
      </c>
      <c r="Y2424" s="1" t="s">
        <v>118</v>
      </c>
      <c r="Z2424" s="1" t="str">
        <f>TRIM(_xlfn.CONCAT(sales_data_sample[[#This Row],[CONTACTFIRSTNAME]],", ",sales_data_sample[[#This Row],[CONTACTLASTNAME]]))</f>
        <v>Victoria, Ashworth</v>
      </c>
      <c r="AA2424" s="1" t="s">
        <v>40</v>
      </c>
    </row>
    <row r="2425" spans="1:27" x14ac:dyDescent="0.25">
      <c r="A2425" s="10">
        <v>10314</v>
      </c>
      <c r="B2425" s="9">
        <v>38</v>
      </c>
      <c r="C2425" s="9">
        <v>6151</v>
      </c>
      <c r="D2425" s="9">
        <f>PRODUCT(sales_data_sample[[#This Row],[QUANTITYORDERED]],sales_data_sample[[#This Row],[PRICEEACH]])</f>
        <v>233738</v>
      </c>
      <c r="E2425" s="9">
        <f>IF(OR(sales_data_sample[[#This Row],[STATUS]]="Shipped",sales_data_sample[[#This Row],[STATUS]]="Resolved"),sales_data_sample[[#This Row],[SALES]],0)</f>
        <v>233738</v>
      </c>
      <c r="F2425" s="10">
        <v>7</v>
      </c>
      <c r="G2425" s="12" t="s">
        <v>587</v>
      </c>
      <c r="H2425" s="1" t="s">
        <v>26</v>
      </c>
      <c r="I2425">
        <v>4</v>
      </c>
      <c r="J2425">
        <v>10</v>
      </c>
      <c r="K2425">
        <v>2004</v>
      </c>
      <c r="L2425" s="1" t="s">
        <v>918</v>
      </c>
      <c r="M2425">
        <v>58</v>
      </c>
      <c r="N2425" s="1" t="s">
        <v>999</v>
      </c>
      <c r="O2425" s="1" t="s">
        <v>701</v>
      </c>
      <c r="P2425" s="1" t="s">
        <v>702</v>
      </c>
      <c r="Q2425" s="1" t="s">
        <v>703</v>
      </c>
      <c r="R2425" s="1" t="s">
        <v>32</v>
      </c>
      <c r="S2425" s="1" t="s">
        <v>704</v>
      </c>
      <c r="T2425" s="1" t="s">
        <v>32</v>
      </c>
      <c r="U2425" s="1" t="s">
        <v>705</v>
      </c>
      <c r="V2425" s="1" t="s">
        <v>442</v>
      </c>
      <c r="W2425" s="1" t="s">
        <v>48</v>
      </c>
      <c r="X2425" s="1" t="s">
        <v>706</v>
      </c>
      <c r="Y2425" s="1" t="s">
        <v>707</v>
      </c>
      <c r="Z2425" s="1" t="str">
        <f>TRIM(_xlfn.CONCAT(sales_data_sample[[#This Row],[CONTACTFIRSTNAME]],", ",sales_data_sample[[#This Row],[CONTACTLASTNAME]]))</f>
        <v>Palle, Ibsen</v>
      </c>
      <c r="AA2425" s="1" t="s">
        <v>40</v>
      </c>
    </row>
    <row r="2426" spans="1:27" x14ac:dyDescent="0.25">
      <c r="A2426" s="10">
        <v>10325</v>
      </c>
      <c r="B2426" s="9">
        <v>44</v>
      </c>
      <c r="C2426" s="9">
        <v>100</v>
      </c>
      <c r="D2426" s="9">
        <f>PRODUCT(sales_data_sample[[#This Row],[QUANTITYORDERED]],sales_data_sample[[#This Row],[PRICEEACH]])</f>
        <v>4400</v>
      </c>
      <c r="E2426" s="9">
        <f>IF(OR(sales_data_sample[[#This Row],[STATUS]]="Shipped",sales_data_sample[[#This Row],[STATUS]]="Resolved"),sales_data_sample[[#This Row],[SALES]],0)</f>
        <v>4400</v>
      </c>
      <c r="F2426" s="10">
        <v>7</v>
      </c>
      <c r="G2426" s="12" t="s">
        <v>532</v>
      </c>
      <c r="H2426" s="1" t="s">
        <v>26</v>
      </c>
      <c r="I2426">
        <v>4</v>
      </c>
      <c r="J2426">
        <v>11</v>
      </c>
      <c r="K2426">
        <v>2004</v>
      </c>
      <c r="L2426" s="1" t="s">
        <v>918</v>
      </c>
      <c r="M2426">
        <v>58</v>
      </c>
      <c r="N2426" s="1" t="s">
        <v>999</v>
      </c>
      <c r="O2426" s="1" t="s">
        <v>174</v>
      </c>
      <c r="P2426" s="1" t="s">
        <v>175</v>
      </c>
      <c r="Q2426" s="1" t="s">
        <v>176</v>
      </c>
      <c r="R2426" s="1" t="s">
        <v>32</v>
      </c>
      <c r="S2426" s="1" t="s">
        <v>177</v>
      </c>
      <c r="T2426" s="1" t="s">
        <v>32</v>
      </c>
      <c r="U2426" s="1" t="s">
        <v>178</v>
      </c>
      <c r="V2426" s="1" t="s">
        <v>97</v>
      </c>
      <c r="W2426" s="1" t="s">
        <v>48</v>
      </c>
      <c r="X2426" s="1" t="s">
        <v>179</v>
      </c>
      <c r="Y2426" s="1" t="s">
        <v>180</v>
      </c>
      <c r="Z2426" s="1" t="str">
        <f>TRIM(_xlfn.CONCAT(sales_data_sample[[#This Row],[CONTACTFIRSTNAME]],", ",sales_data_sample[[#This Row],[CONTACTLASTNAME]]))</f>
        <v>Jonas, Bergulfsen</v>
      </c>
      <c r="AA2426" s="1" t="s">
        <v>59</v>
      </c>
    </row>
    <row r="2427" spans="1:27" x14ac:dyDescent="0.25">
      <c r="A2427">
        <v>10337</v>
      </c>
      <c r="B2427">
        <v>21</v>
      </c>
      <c r="C2427">
        <v>100</v>
      </c>
      <c r="D2427">
        <f>PRODUCT(sales_data_sample[[#This Row],[QUANTITYORDERED]],sales_data_sample[[#This Row],[PRICEEACH]])</f>
        <v>2100</v>
      </c>
      <c r="E2427" s="9">
        <f>IF(OR(sales_data_sample[[#This Row],[STATUS]]="Shipped",sales_data_sample[[#This Row],[STATUS]]="Resolved"),sales_data_sample[[#This Row],[SALES]],0)</f>
        <v>2100</v>
      </c>
      <c r="F2427">
        <v>6</v>
      </c>
      <c r="G2427" s="12" t="s">
        <v>533</v>
      </c>
      <c r="H2427" s="1" t="s">
        <v>26</v>
      </c>
      <c r="I2427">
        <v>4</v>
      </c>
      <c r="J2427">
        <v>11</v>
      </c>
      <c r="K2427">
        <v>2004</v>
      </c>
      <c r="L2427" s="1" t="s">
        <v>918</v>
      </c>
      <c r="M2427">
        <v>58</v>
      </c>
      <c r="N2427" s="1" t="s">
        <v>999</v>
      </c>
      <c r="O2427" s="1" t="s">
        <v>268</v>
      </c>
      <c r="P2427" s="1" t="s">
        <v>269</v>
      </c>
      <c r="Q2427" s="1" t="s">
        <v>270</v>
      </c>
      <c r="R2427" s="1" t="s">
        <v>271</v>
      </c>
      <c r="S2427" s="1" t="s">
        <v>33</v>
      </c>
      <c r="T2427" s="1" t="s">
        <v>34</v>
      </c>
      <c r="U2427" s="1" t="s">
        <v>35</v>
      </c>
      <c r="V2427" s="1" t="s">
        <v>36</v>
      </c>
      <c r="W2427" s="1" t="s">
        <v>37</v>
      </c>
      <c r="X2427" s="1" t="s">
        <v>162</v>
      </c>
      <c r="Y2427" s="1" t="s">
        <v>272</v>
      </c>
      <c r="Z2427" s="1" t="str">
        <f>TRIM(_xlfn.CONCAT(sales_data_sample[[#This Row],[CONTACTFIRSTNAME]],", ",sales_data_sample[[#This Row],[CONTACTLASTNAME]]))</f>
        <v>Maria, Hernandez</v>
      </c>
      <c r="AA2427" s="1" t="s">
        <v>40</v>
      </c>
    </row>
    <row r="2428" spans="1:27" x14ac:dyDescent="0.25">
      <c r="A2428" s="10">
        <v>10350</v>
      </c>
      <c r="B2428" s="9">
        <v>44</v>
      </c>
      <c r="C2428" s="9">
        <v>100</v>
      </c>
      <c r="D2428" s="9">
        <f>PRODUCT(sales_data_sample[[#This Row],[QUANTITYORDERED]],sales_data_sample[[#This Row],[PRICEEACH]])</f>
        <v>4400</v>
      </c>
      <c r="E2428" s="9">
        <f>IF(OR(sales_data_sample[[#This Row],[STATUS]]="Shipped",sales_data_sample[[#This Row],[STATUS]]="Resolved"),sales_data_sample[[#This Row],[SALES]],0)</f>
        <v>4400</v>
      </c>
      <c r="F2428" s="10">
        <v>17</v>
      </c>
      <c r="G2428" s="12" t="s">
        <v>534</v>
      </c>
      <c r="H2428" s="1" t="s">
        <v>26</v>
      </c>
      <c r="I2428">
        <v>4</v>
      </c>
      <c r="J2428">
        <v>12</v>
      </c>
      <c r="K2428">
        <v>2004</v>
      </c>
      <c r="L2428" s="1" t="s">
        <v>918</v>
      </c>
      <c r="M2428">
        <v>58</v>
      </c>
      <c r="N2428" s="1" t="s">
        <v>999</v>
      </c>
      <c r="O2428" s="1" t="s">
        <v>230</v>
      </c>
      <c r="P2428" s="1" t="s">
        <v>231</v>
      </c>
      <c r="Q2428" s="1" t="s">
        <v>232</v>
      </c>
      <c r="R2428" s="1" t="s">
        <v>32</v>
      </c>
      <c r="S2428" s="1" t="s">
        <v>233</v>
      </c>
      <c r="T2428" s="1" t="s">
        <v>32</v>
      </c>
      <c r="U2428" s="1" t="s">
        <v>234</v>
      </c>
      <c r="V2428" s="1" t="s">
        <v>235</v>
      </c>
      <c r="W2428" s="1" t="s">
        <v>48</v>
      </c>
      <c r="X2428" s="1" t="s">
        <v>236</v>
      </c>
      <c r="Y2428" s="1" t="s">
        <v>237</v>
      </c>
      <c r="Z2428" s="1" t="str">
        <f>TRIM(_xlfn.CONCAT(sales_data_sample[[#This Row],[CONTACTFIRSTNAME]],", ",sales_data_sample[[#This Row],[CONTACTLASTNAME]]))</f>
        <v>Diego, Freyre</v>
      </c>
      <c r="AA2428" s="1" t="s">
        <v>59</v>
      </c>
    </row>
    <row r="2429" spans="1:27" x14ac:dyDescent="0.25">
      <c r="A2429" s="10">
        <v>10359</v>
      </c>
      <c r="B2429" s="9">
        <v>25</v>
      </c>
      <c r="C2429" s="9">
        <v>6493</v>
      </c>
      <c r="D2429" s="9">
        <f>PRODUCT(sales_data_sample[[#This Row],[QUANTITYORDERED]],sales_data_sample[[#This Row],[PRICEEACH]])</f>
        <v>162325</v>
      </c>
      <c r="E2429" s="9">
        <f>IF(OR(sales_data_sample[[#This Row],[STATUS]]="Shipped",sales_data_sample[[#This Row],[STATUS]]="Resolved"),sales_data_sample[[#This Row],[SALES]],0)</f>
        <v>162325</v>
      </c>
      <c r="F2429" s="10">
        <v>4</v>
      </c>
      <c r="G2429" s="12" t="s">
        <v>535</v>
      </c>
      <c r="H2429" s="1" t="s">
        <v>26</v>
      </c>
      <c r="I2429">
        <v>4</v>
      </c>
      <c r="J2429">
        <v>12</v>
      </c>
      <c r="K2429">
        <v>2004</v>
      </c>
      <c r="L2429" s="1" t="s">
        <v>918</v>
      </c>
      <c r="M2429">
        <v>58</v>
      </c>
      <c r="N2429" s="1" t="s">
        <v>999</v>
      </c>
      <c r="O2429" s="1" t="s">
        <v>42</v>
      </c>
      <c r="P2429" s="1" t="s">
        <v>43</v>
      </c>
      <c r="Q2429" s="1" t="s">
        <v>44</v>
      </c>
      <c r="R2429" s="1" t="s">
        <v>32</v>
      </c>
      <c r="S2429" s="1" t="s">
        <v>45</v>
      </c>
      <c r="T2429" s="1" t="s">
        <v>32</v>
      </c>
      <c r="U2429" s="1" t="s">
        <v>46</v>
      </c>
      <c r="V2429" s="1" t="s">
        <v>47</v>
      </c>
      <c r="W2429" s="1" t="s">
        <v>48</v>
      </c>
      <c r="X2429" s="1" t="s">
        <v>49</v>
      </c>
      <c r="Y2429" s="1" t="s">
        <v>50</v>
      </c>
      <c r="Z2429" s="1" t="str">
        <f>TRIM(_xlfn.CONCAT(sales_data_sample[[#This Row],[CONTACTFIRSTNAME]],", ",sales_data_sample[[#This Row],[CONTACTLASTNAME]]))</f>
        <v>Paul, Henriot</v>
      </c>
      <c r="AA2429" s="1" t="s">
        <v>40</v>
      </c>
    </row>
    <row r="2430" spans="1:27" x14ac:dyDescent="0.25">
      <c r="A2430" s="10">
        <v>10372</v>
      </c>
      <c r="B2430" s="9">
        <v>24</v>
      </c>
      <c r="C2430" s="9">
        <v>5858</v>
      </c>
      <c r="D2430" s="9">
        <f>PRODUCT(sales_data_sample[[#This Row],[QUANTITYORDERED]],sales_data_sample[[#This Row],[PRICEEACH]])</f>
        <v>140592</v>
      </c>
      <c r="E2430" s="9">
        <f>IF(OR(sales_data_sample[[#This Row],[STATUS]]="Shipped",sales_data_sample[[#This Row],[STATUS]]="Resolved"),sales_data_sample[[#This Row],[SALES]],0)</f>
        <v>140592</v>
      </c>
      <c r="F2430" s="10">
        <v>9</v>
      </c>
      <c r="G2430" s="12" t="s">
        <v>726</v>
      </c>
      <c r="H2430" s="1" t="s">
        <v>26</v>
      </c>
      <c r="I2430">
        <v>1</v>
      </c>
      <c r="J2430">
        <v>1</v>
      </c>
      <c r="K2430">
        <v>2005</v>
      </c>
      <c r="L2430" s="1" t="s">
        <v>918</v>
      </c>
      <c r="M2430">
        <v>58</v>
      </c>
      <c r="N2430" s="1" t="s">
        <v>999</v>
      </c>
      <c r="O2430" s="1" t="s">
        <v>328</v>
      </c>
      <c r="P2430" s="1" t="s">
        <v>329</v>
      </c>
      <c r="Q2430" s="1" t="s">
        <v>330</v>
      </c>
      <c r="R2430" s="1" t="s">
        <v>32</v>
      </c>
      <c r="S2430" s="1" t="s">
        <v>331</v>
      </c>
      <c r="T2430" s="1" t="s">
        <v>332</v>
      </c>
      <c r="U2430" s="1" t="s">
        <v>333</v>
      </c>
      <c r="V2430" s="1" t="s">
        <v>264</v>
      </c>
      <c r="W2430" s="1" t="s">
        <v>264</v>
      </c>
      <c r="X2430" s="1" t="s">
        <v>334</v>
      </c>
      <c r="Y2430" s="1" t="s">
        <v>335</v>
      </c>
      <c r="Z2430" s="1" t="str">
        <f>TRIM(_xlfn.CONCAT(sales_data_sample[[#This Row],[CONTACTFIRSTNAME]],", ",sales_data_sample[[#This Row],[CONTACTLASTNAME]]))</f>
        <v>Akiko, Shimamura</v>
      </c>
      <c r="AA2430" s="1" t="s">
        <v>40</v>
      </c>
    </row>
    <row r="2431" spans="1:27" x14ac:dyDescent="0.25">
      <c r="A2431" s="10">
        <v>10383</v>
      </c>
      <c r="B2431" s="9">
        <v>38</v>
      </c>
      <c r="C2431" s="9">
        <v>6006</v>
      </c>
      <c r="D2431" s="9">
        <f>PRODUCT(sales_data_sample[[#This Row],[QUANTITYORDERED]],sales_data_sample[[#This Row],[PRICEEACH]])</f>
        <v>228228</v>
      </c>
      <c r="E2431" s="9">
        <f>IF(OR(sales_data_sample[[#This Row],[STATUS]]="Shipped",sales_data_sample[[#This Row],[STATUS]]="Resolved"),sales_data_sample[[#This Row],[SALES]],0)</f>
        <v>228228</v>
      </c>
      <c r="F2431" s="10">
        <v>10</v>
      </c>
      <c r="G2431" s="12" t="s">
        <v>884</v>
      </c>
      <c r="H2431" s="1" t="s">
        <v>26</v>
      </c>
      <c r="I2431">
        <v>1</v>
      </c>
      <c r="J2431">
        <v>2</v>
      </c>
      <c r="K2431">
        <v>2005</v>
      </c>
      <c r="L2431" s="1" t="s">
        <v>918</v>
      </c>
      <c r="M2431">
        <v>58</v>
      </c>
      <c r="N2431" s="1" t="s">
        <v>999</v>
      </c>
      <c r="O2431" s="1" t="s">
        <v>230</v>
      </c>
      <c r="P2431" s="1" t="s">
        <v>231</v>
      </c>
      <c r="Q2431" s="1" t="s">
        <v>232</v>
      </c>
      <c r="R2431" s="1" t="s">
        <v>32</v>
      </c>
      <c r="S2431" s="1" t="s">
        <v>233</v>
      </c>
      <c r="T2431" s="1" t="s">
        <v>32</v>
      </c>
      <c r="U2431" s="1" t="s">
        <v>234</v>
      </c>
      <c r="V2431" s="1" t="s">
        <v>235</v>
      </c>
      <c r="W2431" s="1" t="s">
        <v>48</v>
      </c>
      <c r="X2431" s="1" t="s">
        <v>236</v>
      </c>
      <c r="Y2431" s="1" t="s">
        <v>237</v>
      </c>
      <c r="Z2431" s="1" t="str">
        <f>TRIM(_xlfn.CONCAT(sales_data_sample[[#This Row],[CONTACTFIRSTNAME]],", ",sales_data_sample[[#This Row],[CONTACTLASTNAME]]))</f>
        <v>Diego, Freyre</v>
      </c>
      <c r="AA2431" s="1" t="s">
        <v>40</v>
      </c>
    </row>
    <row r="2432" spans="1:27" x14ac:dyDescent="0.25">
      <c r="A2432" s="10">
        <v>10395</v>
      </c>
      <c r="B2432" s="9">
        <v>45</v>
      </c>
      <c r="C2432" s="9">
        <v>100</v>
      </c>
      <c r="D2432" s="9">
        <f>PRODUCT(sales_data_sample[[#This Row],[QUANTITYORDERED]],sales_data_sample[[#This Row],[PRICEEACH]])</f>
        <v>4500</v>
      </c>
      <c r="E2432" s="9">
        <f>IF(OR(sales_data_sample[[#This Row],[STATUS]]="Shipped",sales_data_sample[[#This Row],[STATUS]]="Resolved"),sales_data_sample[[#This Row],[SALES]],0)</f>
        <v>4500</v>
      </c>
      <c r="F2432" s="10">
        <v>3</v>
      </c>
      <c r="G2432" s="12" t="s">
        <v>545</v>
      </c>
      <c r="H2432" s="1" t="s">
        <v>26</v>
      </c>
      <c r="I2432">
        <v>1</v>
      </c>
      <c r="J2432">
        <v>3</v>
      </c>
      <c r="K2432">
        <v>2005</v>
      </c>
      <c r="L2432" s="1" t="s">
        <v>918</v>
      </c>
      <c r="M2432">
        <v>58</v>
      </c>
      <c r="N2432" s="1" t="s">
        <v>999</v>
      </c>
      <c r="O2432" s="1" t="s">
        <v>52</v>
      </c>
      <c r="P2432" s="1" t="s">
        <v>53</v>
      </c>
      <c r="Q2432" s="1" t="s">
        <v>54</v>
      </c>
      <c r="R2432" s="1" t="s">
        <v>32</v>
      </c>
      <c r="S2432" s="1" t="s">
        <v>55</v>
      </c>
      <c r="T2432" s="1" t="s">
        <v>32</v>
      </c>
      <c r="U2432" s="1" t="s">
        <v>56</v>
      </c>
      <c r="V2432" s="1" t="s">
        <v>47</v>
      </c>
      <c r="W2432" s="1" t="s">
        <v>48</v>
      </c>
      <c r="X2432" s="1" t="s">
        <v>57</v>
      </c>
      <c r="Y2432" s="1" t="s">
        <v>58</v>
      </c>
      <c r="Z2432" s="1" t="str">
        <f>TRIM(_xlfn.CONCAT(sales_data_sample[[#This Row],[CONTACTFIRSTNAME]],", ",sales_data_sample[[#This Row],[CONTACTLASTNAME]]))</f>
        <v>Daniel, Da Cunha</v>
      </c>
      <c r="AA2432" s="1" t="s">
        <v>199</v>
      </c>
    </row>
    <row r="2433" spans="1:27" x14ac:dyDescent="0.25">
      <c r="A2433" s="10">
        <v>10413</v>
      </c>
      <c r="B2433" s="9">
        <v>51</v>
      </c>
      <c r="C2433" s="9">
        <v>6385</v>
      </c>
      <c r="D2433" s="9">
        <f>PRODUCT(sales_data_sample[[#This Row],[QUANTITYORDERED]],sales_data_sample[[#This Row],[PRICEEACH]])</f>
        <v>325635</v>
      </c>
      <c r="E2433" s="9">
        <f>IF(OR(sales_data_sample[[#This Row],[STATUS]]="Shipped",sales_data_sample[[#This Row],[STATUS]]="Resolved"),sales_data_sample[[#This Row],[SALES]],0)</f>
        <v>325635</v>
      </c>
      <c r="F2433" s="10">
        <v>4</v>
      </c>
      <c r="G2433" s="12" t="s">
        <v>710</v>
      </c>
      <c r="H2433" s="1" t="s">
        <v>26</v>
      </c>
      <c r="I2433">
        <v>2</v>
      </c>
      <c r="J2433">
        <v>5</v>
      </c>
      <c r="K2433">
        <v>2005</v>
      </c>
      <c r="L2433" s="1" t="s">
        <v>918</v>
      </c>
      <c r="M2433">
        <v>58</v>
      </c>
      <c r="N2433" s="1" t="s">
        <v>999</v>
      </c>
      <c r="O2433" s="1" t="s">
        <v>140</v>
      </c>
      <c r="P2433" s="1" t="s">
        <v>141</v>
      </c>
      <c r="Q2433" s="1" t="s">
        <v>142</v>
      </c>
      <c r="R2433" s="1" t="s">
        <v>32</v>
      </c>
      <c r="S2433" s="1" t="s">
        <v>143</v>
      </c>
      <c r="T2433" s="1" t="s">
        <v>144</v>
      </c>
      <c r="U2433" s="1" t="s">
        <v>145</v>
      </c>
      <c r="V2433" s="1" t="s">
        <v>36</v>
      </c>
      <c r="W2433" s="1" t="s">
        <v>37</v>
      </c>
      <c r="X2433" s="1" t="s">
        <v>146</v>
      </c>
      <c r="Y2433" s="1" t="s">
        <v>68</v>
      </c>
      <c r="Z2433" s="1" t="str">
        <f>TRIM(_xlfn.CONCAT(sales_data_sample[[#This Row],[CONTACTFIRSTNAME]],", ",sales_data_sample[[#This Row],[CONTACTLASTNAME]]))</f>
        <v>Julie, King</v>
      </c>
      <c r="AA2433" s="1" t="s">
        <v>59</v>
      </c>
    </row>
    <row r="2434" spans="1:27" x14ac:dyDescent="0.25">
      <c r="A2434" s="10">
        <v>10108</v>
      </c>
      <c r="B2434" s="9">
        <v>34</v>
      </c>
      <c r="C2434" s="9">
        <v>8299</v>
      </c>
      <c r="D2434" s="9">
        <f>PRODUCT(sales_data_sample[[#This Row],[QUANTITYORDERED]],sales_data_sample[[#This Row],[PRICEEACH]])</f>
        <v>282166</v>
      </c>
      <c r="E2434" s="9">
        <f>IF(OR(sales_data_sample[[#This Row],[STATUS]]="Shipped",sales_data_sample[[#This Row],[STATUS]]="Resolved"),sales_data_sample[[#This Row],[SALES]],0)</f>
        <v>282166</v>
      </c>
      <c r="F2434" s="10">
        <v>14</v>
      </c>
      <c r="G2434" s="12" t="s">
        <v>589</v>
      </c>
      <c r="H2434" s="1" t="s">
        <v>26</v>
      </c>
      <c r="I2434">
        <v>1</v>
      </c>
      <c r="J2434">
        <v>3</v>
      </c>
      <c r="K2434">
        <v>2003</v>
      </c>
      <c r="L2434" s="1" t="s">
        <v>27</v>
      </c>
      <c r="M2434">
        <v>81</v>
      </c>
      <c r="N2434" s="1" t="s">
        <v>1000</v>
      </c>
      <c r="O2434" s="1" t="s">
        <v>591</v>
      </c>
      <c r="P2434" s="1" t="s">
        <v>592</v>
      </c>
      <c r="Q2434" s="1" t="s">
        <v>593</v>
      </c>
      <c r="R2434" s="1" t="s">
        <v>32</v>
      </c>
      <c r="S2434" s="1" t="s">
        <v>594</v>
      </c>
      <c r="T2434" s="1" t="s">
        <v>32</v>
      </c>
      <c r="U2434" s="1" t="s">
        <v>595</v>
      </c>
      <c r="V2434" s="1" t="s">
        <v>596</v>
      </c>
      <c r="W2434" s="1" t="s">
        <v>264</v>
      </c>
      <c r="X2434" s="1" t="s">
        <v>597</v>
      </c>
      <c r="Y2434" s="1" t="s">
        <v>598</v>
      </c>
      <c r="Z2434" s="1" t="str">
        <f>TRIM(_xlfn.CONCAT(sales_data_sample[[#This Row],[CONTACTFIRSTNAME]],", ",sales_data_sample[[#This Row],[CONTACTLASTNAME]]))</f>
        <v>Arnold, Cruz</v>
      </c>
      <c r="AA2434" s="1" t="s">
        <v>40</v>
      </c>
    </row>
    <row r="2435" spans="1:27" x14ac:dyDescent="0.25">
      <c r="A2435" s="10">
        <v>10121</v>
      </c>
      <c r="B2435" s="9">
        <v>44</v>
      </c>
      <c r="C2435" s="9">
        <v>7485</v>
      </c>
      <c r="D2435" s="9">
        <f>PRODUCT(sales_data_sample[[#This Row],[QUANTITYORDERED]],sales_data_sample[[#This Row],[PRICEEACH]])</f>
        <v>329340</v>
      </c>
      <c r="E2435" s="9">
        <f>IF(OR(sales_data_sample[[#This Row],[STATUS]]="Shipped",sales_data_sample[[#This Row],[STATUS]]="Resolved"),sales_data_sample[[#This Row],[SALES]],0)</f>
        <v>329340</v>
      </c>
      <c r="F2435" s="10">
        <v>1</v>
      </c>
      <c r="G2435" s="12" t="s">
        <v>41</v>
      </c>
      <c r="H2435" s="1" t="s">
        <v>26</v>
      </c>
      <c r="I2435">
        <v>2</v>
      </c>
      <c r="J2435">
        <v>5</v>
      </c>
      <c r="K2435">
        <v>2003</v>
      </c>
      <c r="L2435" s="1" t="s">
        <v>27</v>
      </c>
      <c r="M2435">
        <v>81</v>
      </c>
      <c r="N2435" s="1" t="s">
        <v>1000</v>
      </c>
      <c r="O2435" s="1" t="s">
        <v>42</v>
      </c>
      <c r="P2435" s="1" t="s">
        <v>43</v>
      </c>
      <c r="Q2435" s="1" t="s">
        <v>44</v>
      </c>
      <c r="R2435" s="1" t="s">
        <v>32</v>
      </c>
      <c r="S2435" s="1" t="s">
        <v>45</v>
      </c>
      <c r="T2435" s="1" t="s">
        <v>32</v>
      </c>
      <c r="U2435" s="1" t="s">
        <v>46</v>
      </c>
      <c r="V2435" s="1" t="s">
        <v>47</v>
      </c>
      <c r="W2435" s="1" t="s">
        <v>48</v>
      </c>
      <c r="X2435" s="1" t="s">
        <v>49</v>
      </c>
      <c r="Y2435" s="1" t="s">
        <v>50</v>
      </c>
      <c r="Z2435" s="1" t="str">
        <f>TRIM(_xlfn.CONCAT(sales_data_sample[[#This Row],[CONTACTFIRSTNAME]],", ",sales_data_sample[[#This Row],[CONTACTLASTNAME]]))</f>
        <v>Paul, Henriot</v>
      </c>
      <c r="AA2435" s="1" t="s">
        <v>59</v>
      </c>
    </row>
    <row r="2436" spans="1:27" x14ac:dyDescent="0.25">
      <c r="A2436" s="10">
        <v>10135</v>
      </c>
      <c r="B2436" s="9">
        <v>44</v>
      </c>
      <c r="C2436" s="9">
        <v>96</v>
      </c>
      <c r="D2436" s="9">
        <f>PRODUCT(sales_data_sample[[#This Row],[QUANTITYORDERED]],sales_data_sample[[#This Row],[PRICEEACH]])</f>
        <v>4224</v>
      </c>
      <c r="E2436" s="9">
        <f>IF(OR(sales_data_sample[[#This Row],[STATUS]]="Shipped",sales_data_sample[[#This Row],[STATUS]]="Resolved"),sales_data_sample[[#This Row],[SALES]],0)</f>
        <v>4224</v>
      </c>
      <c r="F2436" s="10">
        <v>15</v>
      </c>
      <c r="G2436" s="12" t="s">
        <v>607</v>
      </c>
      <c r="H2436" s="1" t="s">
        <v>26</v>
      </c>
      <c r="I2436">
        <v>3</v>
      </c>
      <c r="J2436">
        <v>7</v>
      </c>
      <c r="K2436">
        <v>2003</v>
      </c>
      <c r="L2436" s="1" t="s">
        <v>27</v>
      </c>
      <c r="M2436">
        <v>81</v>
      </c>
      <c r="N2436" s="1" t="s">
        <v>1000</v>
      </c>
      <c r="O2436" s="1" t="s">
        <v>361</v>
      </c>
      <c r="P2436" s="1" t="s">
        <v>362</v>
      </c>
      <c r="Q2436" s="1" t="s">
        <v>363</v>
      </c>
      <c r="R2436" s="1" t="s">
        <v>32</v>
      </c>
      <c r="S2436" s="1" t="s">
        <v>364</v>
      </c>
      <c r="T2436" s="1" t="s">
        <v>65</v>
      </c>
      <c r="U2436" s="1" t="s">
        <v>145</v>
      </c>
      <c r="V2436" s="1" t="s">
        <v>36</v>
      </c>
      <c r="W2436" s="1" t="s">
        <v>37</v>
      </c>
      <c r="X2436" s="1" t="s">
        <v>365</v>
      </c>
      <c r="Y2436" s="1" t="s">
        <v>366</v>
      </c>
      <c r="Z2436" s="1" t="str">
        <f>TRIM(_xlfn.CONCAT(sales_data_sample[[#This Row],[CONTACTFIRSTNAME]],", ",sales_data_sample[[#This Row],[CONTACTLASTNAME]]))</f>
        <v>Valarie, Nelson</v>
      </c>
      <c r="AA2436" s="1" t="s">
        <v>59</v>
      </c>
    </row>
    <row r="2437" spans="1:27" x14ac:dyDescent="0.25">
      <c r="A2437" s="10">
        <v>10145</v>
      </c>
      <c r="B2437" s="9">
        <v>38</v>
      </c>
      <c r="C2437" s="9">
        <v>8136</v>
      </c>
      <c r="D2437" s="9">
        <f>PRODUCT(sales_data_sample[[#This Row],[QUANTITYORDERED]],sales_data_sample[[#This Row],[PRICEEACH]])</f>
        <v>309168</v>
      </c>
      <c r="E2437" s="9">
        <f>IF(OR(sales_data_sample[[#This Row],[STATUS]]="Shipped",sales_data_sample[[#This Row],[STATUS]]="Resolved"),sales_data_sample[[#This Row],[SALES]],0)</f>
        <v>309168</v>
      </c>
      <c r="F2437" s="10">
        <v>2</v>
      </c>
      <c r="G2437" s="12" t="s">
        <v>60</v>
      </c>
      <c r="H2437" s="1" t="s">
        <v>26</v>
      </c>
      <c r="I2437">
        <v>3</v>
      </c>
      <c r="J2437">
        <v>8</v>
      </c>
      <c r="K2437">
        <v>2003</v>
      </c>
      <c r="L2437" s="1" t="s">
        <v>27</v>
      </c>
      <c r="M2437">
        <v>81</v>
      </c>
      <c r="N2437" s="1" t="s">
        <v>1000</v>
      </c>
      <c r="O2437" s="1" t="s">
        <v>61</v>
      </c>
      <c r="P2437" s="1" t="s">
        <v>62</v>
      </c>
      <c r="Q2437" s="1" t="s">
        <v>63</v>
      </c>
      <c r="R2437" s="1" t="s">
        <v>32</v>
      </c>
      <c r="S2437" s="1" t="s">
        <v>64</v>
      </c>
      <c r="T2437" s="1" t="s">
        <v>65</v>
      </c>
      <c r="U2437" s="1" t="s">
        <v>66</v>
      </c>
      <c r="V2437" s="1" t="s">
        <v>36</v>
      </c>
      <c r="W2437" s="1" t="s">
        <v>37</v>
      </c>
      <c r="X2437" s="1" t="s">
        <v>67</v>
      </c>
      <c r="Y2437" s="1" t="s">
        <v>68</v>
      </c>
      <c r="Z2437" s="1" t="str">
        <f>TRIM(_xlfn.CONCAT(sales_data_sample[[#This Row],[CONTACTFIRSTNAME]],", ",sales_data_sample[[#This Row],[CONTACTLASTNAME]]))</f>
        <v>Julie, Young</v>
      </c>
      <c r="AA2437" s="1" t="s">
        <v>59</v>
      </c>
    </row>
    <row r="2438" spans="1:27" x14ac:dyDescent="0.25">
      <c r="A2438" s="10">
        <v>10159</v>
      </c>
      <c r="B2438" s="9">
        <v>31</v>
      </c>
      <c r="C2438" s="9">
        <v>716</v>
      </c>
      <c r="D2438" s="9">
        <f>PRODUCT(sales_data_sample[[#This Row],[QUANTITYORDERED]],sales_data_sample[[#This Row],[PRICEEACH]])</f>
        <v>22196</v>
      </c>
      <c r="E2438" s="9">
        <f>IF(OR(sales_data_sample[[#This Row],[STATUS]]="Shipped",sales_data_sample[[#This Row],[STATUS]]="Resolved"),sales_data_sample[[#This Row],[SALES]],0)</f>
        <v>22196</v>
      </c>
      <c r="F2438" s="10">
        <v>10</v>
      </c>
      <c r="G2438" s="12" t="s">
        <v>69</v>
      </c>
      <c r="H2438" s="1" t="s">
        <v>26</v>
      </c>
      <c r="I2438">
        <v>4</v>
      </c>
      <c r="J2438">
        <v>10</v>
      </c>
      <c r="K2438">
        <v>2003</v>
      </c>
      <c r="L2438" s="1" t="s">
        <v>27</v>
      </c>
      <c r="M2438">
        <v>81</v>
      </c>
      <c r="N2438" s="1" t="s">
        <v>1000</v>
      </c>
      <c r="O2438" s="1" t="s">
        <v>70</v>
      </c>
      <c r="P2438" s="1" t="s">
        <v>71</v>
      </c>
      <c r="Q2438" s="1" t="s">
        <v>72</v>
      </c>
      <c r="R2438" s="1" t="s">
        <v>32</v>
      </c>
      <c r="S2438" s="1" t="s">
        <v>73</v>
      </c>
      <c r="T2438" s="1" t="s">
        <v>65</v>
      </c>
      <c r="U2438" s="1" t="s">
        <v>32</v>
      </c>
      <c r="V2438" s="1" t="s">
        <v>36</v>
      </c>
      <c r="W2438" s="1" t="s">
        <v>37</v>
      </c>
      <c r="X2438" s="1" t="s">
        <v>74</v>
      </c>
      <c r="Y2438" s="1" t="s">
        <v>68</v>
      </c>
      <c r="Z2438" s="1" t="str">
        <f>TRIM(_xlfn.CONCAT(sales_data_sample[[#This Row],[CONTACTFIRSTNAME]],", ",sales_data_sample[[#This Row],[CONTACTLASTNAME]]))</f>
        <v>Julie, Brown</v>
      </c>
      <c r="AA2438" s="1" t="s">
        <v>40</v>
      </c>
    </row>
    <row r="2439" spans="1:27" x14ac:dyDescent="0.25">
      <c r="A2439">
        <v>10169</v>
      </c>
      <c r="B2439">
        <v>48</v>
      </c>
      <c r="C2439">
        <v>8055</v>
      </c>
      <c r="D2439">
        <f>PRODUCT(sales_data_sample[[#This Row],[QUANTITYORDERED]],sales_data_sample[[#This Row],[PRICEEACH]])</f>
        <v>386640</v>
      </c>
      <c r="E2439" s="9">
        <f>IF(OR(sales_data_sample[[#This Row],[STATUS]]="Shipped",sales_data_sample[[#This Row],[STATUS]]="Resolved"),sales_data_sample[[#This Row],[SALES]],0)</f>
        <v>386640</v>
      </c>
      <c r="F2439">
        <v>10</v>
      </c>
      <c r="G2439" s="12" t="s">
        <v>609</v>
      </c>
      <c r="H2439" s="1" t="s">
        <v>26</v>
      </c>
      <c r="I2439">
        <v>4</v>
      </c>
      <c r="J2439">
        <v>11</v>
      </c>
      <c r="K2439">
        <v>2003</v>
      </c>
      <c r="L2439" s="1" t="s">
        <v>27</v>
      </c>
      <c r="M2439">
        <v>81</v>
      </c>
      <c r="N2439" s="1" t="s">
        <v>1000</v>
      </c>
      <c r="O2439" s="1" t="s">
        <v>385</v>
      </c>
      <c r="P2439" s="1" t="s">
        <v>386</v>
      </c>
      <c r="Q2439" s="1" t="s">
        <v>387</v>
      </c>
      <c r="R2439" s="1" t="s">
        <v>388</v>
      </c>
      <c r="S2439" s="1" t="s">
        <v>389</v>
      </c>
      <c r="T2439" s="1" t="s">
        <v>206</v>
      </c>
      <c r="U2439" s="1" t="s">
        <v>390</v>
      </c>
      <c r="V2439" s="1" t="s">
        <v>120</v>
      </c>
      <c r="W2439" s="1" t="s">
        <v>121</v>
      </c>
      <c r="X2439" s="1" t="s">
        <v>391</v>
      </c>
      <c r="Y2439" s="1" t="s">
        <v>392</v>
      </c>
      <c r="Z2439" s="1" t="str">
        <f>TRIM(_xlfn.CONCAT(sales_data_sample[[#This Row],[CONTACTFIRSTNAME]],", ",sales_data_sample[[#This Row],[CONTACTLASTNAME]]))</f>
        <v>Anna, O'Hara</v>
      </c>
      <c r="AA2439" s="1" t="s">
        <v>59</v>
      </c>
    </row>
    <row r="2440" spans="1:27" x14ac:dyDescent="0.25">
      <c r="A2440" s="10">
        <v>10180</v>
      </c>
      <c r="B2440" s="9">
        <v>21</v>
      </c>
      <c r="C2440" s="9">
        <v>9356</v>
      </c>
      <c r="D2440" s="9">
        <f>PRODUCT(sales_data_sample[[#This Row],[QUANTITYORDERED]],sales_data_sample[[#This Row],[PRICEEACH]])</f>
        <v>196476</v>
      </c>
      <c r="E2440" s="9">
        <f>IF(OR(sales_data_sample[[#This Row],[STATUS]]="Shipped",sales_data_sample[[#This Row],[STATUS]]="Resolved"),sales_data_sample[[#This Row],[SALES]],0)</f>
        <v>196476</v>
      </c>
      <c r="F2440" s="10">
        <v>5</v>
      </c>
      <c r="G2440" s="12" t="s">
        <v>83</v>
      </c>
      <c r="H2440" s="1" t="s">
        <v>26</v>
      </c>
      <c r="I2440">
        <v>4</v>
      </c>
      <c r="J2440">
        <v>11</v>
      </c>
      <c r="K2440">
        <v>2003</v>
      </c>
      <c r="L2440" s="1" t="s">
        <v>27</v>
      </c>
      <c r="M2440">
        <v>81</v>
      </c>
      <c r="N2440" s="1" t="s">
        <v>1000</v>
      </c>
      <c r="O2440" s="1" t="s">
        <v>84</v>
      </c>
      <c r="P2440" s="1" t="s">
        <v>85</v>
      </c>
      <c r="Q2440" s="1" t="s">
        <v>86</v>
      </c>
      <c r="R2440" s="1" t="s">
        <v>32</v>
      </c>
      <c r="S2440" s="1" t="s">
        <v>87</v>
      </c>
      <c r="T2440" s="1" t="s">
        <v>32</v>
      </c>
      <c r="U2440" s="1" t="s">
        <v>88</v>
      </c>
      <c r="V2440" s="1" t="s">
        <v>47</v>
      </c>
      <c r="W2440" s="1" t="s">
        <v>48</v>
      </c>
      <c r="X2440" s="1" t="s">
        <v>89</v>
      </c>
      <c r="Y2440" s="1" t="s">
        <v>90</v>
      </c>
      <c r="Z2440" s="1" t="str">
        <f>TRIM(_xlfn.CONCAT(sales_data_sample[[#This Row],[CONTACTFIRSTNAME]],", ",sales_data_sample[[#This Row],[CONTACTLASTNAME]]))</f>
        <v>Martine, Rance</v>
      </c>
      <c r="AA2440" s="1" t="s">
        <v>40</v>
      </c>
    </row>
    <row r="2441" spans="1:27" x14ac:dyDescent="0.25">
      <c r="A2441" s="10">
        <v>10190</v>
      </c>
      <c r="B2441" s="9">
        <v>40</v>
      </c>
      <c r="C2441" s="9">
        <v>6672</v>
      </c>
      <c r="D2441" s="9">
        <f>PRODUCT(sales_data_sample[[#This Row],[QUANTITYORDERED]],sales_data_sample[[#This Row],[PRICEEACH]])</f>
        <v>266880</v>
      </c>
      <c r="E2441" s="9">
        <f>IF(OR(sales_data_sample[[#This Row],[STATUS]]="Shipped",sales_data_sample[[#This Row],[STATUS]]="Resolved"),sales_data_sample[[#This Row],[SALES]],0)</f>
        <v>266880</v>
      </c>
      <c r="F2441" s="10">
        <v>2</v>
      </c>
      <c r="G2441" s="12" t="s">
        <v>961</v>
      </c>
      <c r="H2441" s="1" t="s">
        <v>26</v>
      </c>
      <c r="I2441">
        <v>4</v>
      </c>
      <c r="J2441">
        <v>11</v>
      </c>
      <c r="K2441">
        <v>2003</v>
      </c>
      <c r="L2441" s="1" t="s">
        <v>27</v>
      </c>
      <c r="M2441">
        <v>81</v>
      </c>
      <c r="N2441" s="1" t="s">
        <v>1000</v>
      </c>
      <c r="O2441" s="1" t="s">
        <v>230</v>
      </c>
      <c r="P2441" s="1" t="s">
        <v>231</v>
      </c>
      <c r="Q2441" s="1" t="s">
        <v>232</v>
      </c>
      <c r="R2441" s="1" t="s">
        <v>32</v>
      </c>
      <c r="S2441" s="1" t="s">
        <v>233</v>
      </c>
      <c r="T2441" s="1" t="s">
        <v>32</v>
      </c>
      <c r="U2441" s="1" t="s">
        <v>234</v>
      </c>
      <c r="V2441" s="1" t="s">
        <v>235</v>
      </c>
      <c r="W2441" s="1" t="s">
        <v>48</v>
      </c>
      <c r="X2441" s="1" t="s">
        <v>236</v>
      </c>
      <c r="Y2441" s="1" t="s">
        <v>237</v>
      </c>
      <c r="Z2441" s="1" t="str">
        <f>TRIM(_xlfn.CONCAT(sales_data_sample[[#This Row],[CONTACTFIRSTNAME]],", ",sales_data_sample[[#This Row],[CONTACTLASTNAME]]))</f>
        <v>Diego, Freyre</v>
      </c>
      <c r="AA2441" s="1" t="s">
        <v>40</v>
      </c>
    </row>
    <row r="2442" spans="1:27" x14ac:dyDescent="0.25">
      <c r="A2442" s="10">
        <v>10211</v>
      </c>
      <c r="B2442" s="9">
        <v>40</v>
      </c>
      <c r="C2442" s="9">
        <v>8055</v>
      </c>
      <c r="D2442" s="9">
        <f>PRODUCT(sales_data_sample[[#This Row],[QUANTITYORDERED]],sales_data_sample[[#This Row],[PRICEEACH]])</f>
        <v>322200</v>
      </c>
      <c r="E2442" s="9">
        <f>IF(OR(sales_data_sample[[#This Row],[STATUS]]="Shipped",sales_data_sample[[#This Row],[STATUS]]="Resolved"),sales_data_sample[[#This Row],[SALES]],0)</f>
        <v>322200</v>
      </c>
      <c r="F2442" s="10">
        <v>10</v>
      </c>
      <c r="G2442" s="12" t="s">
        <v>105</v>
      </c>
      <c r="H2442" s="1" t="s">
        <v>26</v>
      </c>
      <c r="I2442">
        <v>1</v>
      </c>
      <c r="J2442">
        <v>1</v>
      </c>
      <c r="K2442">
        <v>2004</v>
      </c>
      <c r="L2442" s="1" t="s">
        <v>27</v>
      </c>
      <c r="M2442">
        <v>81</v>
      </c>
      <c r="N2442" s="1" t="s">
        <v>1000</v>
      </c>
      <c r="O2442" s="1" t="s">
        <v>106</v>
      </c>
      <c r="P2442" s="1" t="s">
        <v>107</v>
      </c>
      <c r="Q2442" s="1" t="s">
        <v>108</v>
      </c>
      <c r="R2442" s="1" t="s">
        <v>32</v>
      </c>
      <c r="S2442" s="1" t="s">
        <v>55</v>
      </c>
      <c r="T2442" s="1" t="s">
        <v>32</v>
      </c>
      <c r="U2442" s="1" t="s">
        <v>109</v>
      </c>
      <c r="V2442" s="1" t="s">
        <v>47</v>
      </c>
      <c r="W2442" s="1" t="s">
        <v>48</v>
      </c>
      <c r="X2442" s="1" t="s">
        <v>110</v>
      </c>
      <c r="Y2442" s="1" t="s">
        <v>111</v>
      </c>
      <c r="Z2442" s="1" t="str">
        <f>TRIM(_xlfn.CONCAT(sales_data_sample[[#This Row],[CONTACTFIRSTNAME]],", ",sales_data_sample[[#This Row],[CONTACTLASTNAME]]))</f>
        <v>Dominique, Perrier</v>
      </c>
      <c r="AA2442" s="1" t="s">
        <v>59</v>
      </c>
    </row>
    <row r="2443" spans="1:27" x14ac:dyDescent="0.25">
      <c r="A2443" s="10">
        <v>10224</v>
      </c>
      <c r="B2443" s="9">
        <v>50</v>
      </c>
      <c r="C2443" s="9">
        <v>7729</v>
      </c>
      <c r="D2443" s="9">
        <f>PRODUCT(sales_data_sample[[#This Row],[QUANTITYORDERED]],sales_data_sample[[#This Row],[PRICEEACH]])</f>
        <v>386450</v>
      </c>
      <c r="E2443" s="9">
        <f>IF(OR(sales_data_sample[[#This Row],[STATUS]]="Shipped",sales_data_sample[[#This Row],[STATUS]]="Resolved"),sales_data_sample[[#This Row],[SALES]],0)</f>
        <v>386450</v>
      </c>
      <c r="F2443" s="10">
        <v>3</v>
      </c>
      <c r="G2443" s="12" t="s">
        <v>716</v>
      </c>
      <c r="H2443" s="1" t="s">
        <v>26</v>
      </c>
      <c r="I2443">
        <v>1</v>
      </c>
      <c r="J2443">
        <v>2</v>
      </c>
      <c r="K2443">
        <v>2004</v>
      </c>
      <c r="L2443" s="1" t="s">
        <v>27</v>
      </c>
      <c r="M2443">
        <v>81</v>
      </c>
      <c r="N2443" s="1" t="s">
        <v>1000</v>
      </c>
      <c r="O2443" s="1" t="s">
        <v>84</v>
      </c>
      <c r="P2443" s="1" t="s">
        <v>85</v>
      </c>
      <c r="Q2443" s="1" t="s">
        <v>86</v>
      </c>
      <c r="R2443" s="1" t="s">
        <v>32</v>
      </c>
      <c r="S2443" s="1" t="s">
        <v>87</v>
      </c>
      <c r="T2443" s="1" t="s">
        <v>32</v>
      </c>
      <c r="U2443" s="1" t="s">
        <v>88</v>
      </c>
      <c r="V2443" s="1" t="s">
        <v>47</v>
      </c>
      <c r="W2443" s="1" t="s">
        <v>48</v>
      </c>
      <c r="X2443" s="1" t="s">
        <v>89</v>
      </c>
      <c r="Y2443" s="1" t="s">
        <v>90</v>
      </c>
      <c r="Z2443" s="1" t="str">
        <f>TRIM(_xlfn.CONCAT(sales_data_sample[[#This Row],[CONTACTFIRSTNAME]],", ",sales_data_sample[[#This Row],[CONTACTLASTNAME]]))</f>
        <v>Martine, Rance</v>
      </c>
      <c r="AA2443" s="1" t="s">
        <v>59</v>
      </c>
    </row>
    <row r="2444" spans="1:27" x14ac:dyDescent="0.25">
      <c r="A2444">
        <v>10237</v>
      </c>
      <c r="B2444">
        <v>20</v>
      </c>
      <c r="C2444">
        <v>6834</v>
      </c>
      <c r="D2444">
        <f>PRODUCT(sales_data_sample[[#This Row],[QUANTITYORDERED]],sales_data_sample[[#This Row],[PRICEEACH]])</f>
        <v>136680</v>
      </c>
      <c r="E2444" s="9">
        <f>IF(OR(sales_data_sample[[#This Row],[STATUS]]="Shipped",sales_data_sample[[#This Row],[STATUS]]="Resolved"),sales_data_sample[[#This Row],[SALES]],0)</f>
        <v>136680</v>
      </c>
      <c r="F2444">
        <v>3</v>
      </c>
      <c r="G2444" s="12" t="s">
        <v>124</v>
      </c>
      <c r="H2444" s="1" t="s">
        <v>26</v>
      </c>
      <c r="I2444">
        <v>2</v>
      </c>
      <c r="J2444">
        <v>4</v>
      </c>
      <c r="K2444">
        <v>2004</v>
      </c>
      <c r="L2444" s="1" t="s">
        <v>27</v>
      </c>
      <c r="M2444">
        <v>81</v>
      </c>
      <c r="N2444" s="1" t="s">
        <v>1000</v>
      </c>
      <c r="O2444" s="1" t="s">
        <v>125</v>
      </c>
      <c r="P2444" s="1" t="s">
        <v>126</v>
      </c>
      <c r="Q2444" s="1" t="s">
        <v>127</v>
      </c>
      <c r="R2444" s="1" t="s">
        <v>128</v>
      </c>
      <c r="S2444" s="1" t="s">
        <v>33</v>
      </c>
      <c r="T2444" s="1" t="s">
        <v>34</v>
      </c>
      <c r="U2444" s="1" t="s">
        <v>35</v>
      </c>
      <c r="V2444" s="1" t="s">
        <v>36</v>
      </c>
      <c r="W2444" s="1" t="s">
        <v>37</v>
      </c>
      <c r="X2444" s="1" t="s">
        <v>129</v>
      </c>
      <c r="Y2444" s="1" t="s">
        <v>130</v>
      </c>
      <c r="Z2444" s="1" t="str">
        <f>TRIM(_xlfn.CONCAT(sales_data_sample[[#This Row],[CONTACTFIRSTNAME]],", ",sales_data_sample[[#This Row],[CONTACTLASTNAME]]))</f>
        <v>Michael, Frick</v>
      </c>
      <c r="AA2444" s="1" t="s">
        <v>40</v>
      </c>
    </row>
    <row r="2445" spans="1:27" x14ac:dyDescent="0.25">
      <c r="A2445" s="10">
        <v>10252</v>
      </c>
      <c r="B2445" s="9">
        <v>48</v>
      </c>
      <c r="C2445" s="9">
        <v>7241</v>
      </c>
      <c r="D2445" s="9">
        <f>PRODUCT(sales_data_sample[[#This Row],[QUANTITYORDERED]],sales_data_sample[[#This Row],[PRICEEACH]])</f>
        <v>347568</v>
      </c>
      <c r="E2445" s="9">
        <f>IF(OR(sales_data_sample[[#This Row],[STATUS]]="Shipped",sales_data_sample[[#This Row],[STATUS]]="Resolved"),sales_data_sample[[#This Row],[SALES]],0)</f>
        <v>347568</v>
      </c>
      <c r="F2445" s="10">
        <v>7</v>
      </c>
      <c r="G2445" s="12" t="s">
        <v>922</v>
      </c>
      <c r="H2445" s="1" t="s">
        <v>26</v>
      </c>
      <c r="I2445">
        <v>2</v>
      </c>
      <c r="J2445">
        <v>5</v>
      </c>
      <c r="K2445">
        <v>2004</v>
      </c>
      <c r="L2445" s="1" t="s">
        <v>27</v>
      </c>
      <c r="M2445">
        <v>81</v>
      </c>
      <c r="N2445" s="1" t="s">
        <v>1000</v>
      </c>
      <c r="O2445" s="1" t="s">
        <v>106</v>
      </c>
      <c r="P2445" s="1" t="s">
        <v>107</v>
      </c>
      <c r="Q2445" s="1" t="s">
        <v>108</v>
      </c>
      <c r="R2445" s="1" t="s">
        <v>32</v>
      </c>
      <c r="S2445" s="1" t="s">
        <v>55</v>
      </c>
      <c r="T2445" s="1" t="s">
        <v>32</v>
      </c>
      <c r="U2445" s="1" t="s">
        <v>109</v>
      </c>
      <c r="V2445" s="1" t="s">
        <v>47</v>
      </c>
      <c r="W2445" s="1" t="s">
        <v>48</v>
      </c>
      <c r="X2445" s="1" t="s">
        <v>110</v>
      </c>
      <c r="Y2445" s="1" t="s">
        <v>111</v>
      </c>
      <c r="Z2445" s="1" t="str">
        <f>TRIM(_xlfn.CONCAT(sales_data_sample[[#This Row],[CONTACTFIRSTNAME]],", ",sales_data_sample[[#This Row],[CONTACTLASTNAME]]))</f>
        <v>Dominique, Perrier</v>
      </c>
      <c r="AA2445" s="1" t="s">
        <v>59</v>
      </c>
    </row>
    <row r="2446" spans="1:27" x14ac:dyDescent="0.25">
      <c r="A2446" s="10">
        <v>10264</v>
      </c>
      <c r="B2446" s="9">
        <v>47</v>
      </c>
      <c r="C2446" s="9">
        <v>895</v>
      </c>
      <c r="D2446" s="9">
        <f>PRODUCT(sales_data_sample[[#This Row],[QUANTITYORDERED]],sales_data_sample[[#This Row],[PRICEEACH]])</f>
        <v>42065</v>
      </c>
      <c r="E2446" s="9">
        <f>IF(OR(sales_data_sample[[#This Row],[STATUS]]="Shipped",sales_data_sample[[#This Row],[STATUS]]="Resolved"),sales_data_sample[[#This Row],[SALES]],0)</f>
        <v>42065</v>
      </c>
      <c r="F2446" s="10">
        <v>5</v>
      </c>
      <c r="G2446" s="12" t="s">
        <v>932</v>
      </c>
      <c r="H2446" s="1" t="s">
        <v>26</v>
      </c>
      <c r="I2446">
        <v>2</v>
      </c>
      <c r="J2446">
        <v>6</v>
      </c>
      <c r="K2446">
        <v>2004</v>
      </c>
      <c r="L2446" s="1" t="s">
        <v>27</v>
      </c>
      <c r="M2446">
        <v>81</v>
      </c>
      <c r="N2446" s="1" t="s">
        <v>1000</v>
      </c>
      <c r="O2446" s="1" t="s">
        <v>516</v>
      </c>
      <c r="P2446" s="1" t="s">
        <v>517</v>
      </c>
      <c r="Q2446" s="1" t="s">
        <v>518</v>
      </c>
      <c r="R2446" s="1" t="s">
        <v>32</v>
      </c>
      <c r="S2446" s="1" t="s">
        <v>519</v>
      </c>
      <c r="T2446" s="1" t="s">
        <v>160</v>
      </c>
      <c r="U2446" s="1" t="s">
        <v>520</v>
      </c>
      <c r="V2446" s="1" t="s">
        <v>36</v>
      </c>
      <c r="W2446" s="1" t="s">
        <v>37</v>
      </c>
      <c r="X2446" s="1" t="s">
        <v>521</v>
      </c>
      <c r="Y2446" s="1" t="s">
        <v>82</v>
      </c>
      <c r="Z2446" s="1" t="str">
        <f>TRIM(_xlfn.CONCAT(sales_data_sample[[#This Row],[CONTACTFIRSTNAME]],", ",sales_data_sample[[#This Row],[CONTACTLASTNAME]]))</f>
        <v>Juri, Yoshido</v>
      </c>
      <c r="AA2446" s="1" t="s">
        <v>59</v>
      </c>
    </row>
    <row r="2447" spans="1:27" x14ac:dyDescent="0.25">
      <c r="A2447" s="10">
        <v>10276</v>
      </c>
      <c r="B2447" s="9">
        <v>21</v>
      </c>
      <c r="C2447" s="9">
        <v>7078</v>
      </c>
      <c r="D2447" s="9">
        <f>PRODUCT(sales_data_sample[[#This Row],[QUANTITYORDERED]],sales_data_sample[[#This Row],[PRICEEACH]])</f>
        <v>148638</v>
      </c>
      <c r="E2447" s="9">
        <f>IF(OR(sales_data_sample[[#This Row],[STATUS]]="Shipped",sales_data_sample[[#This Row],[STATUS]]="Resolved"),sales_data_sample[[#This Row],[SALES]],0)</f>
        <v>148638</v>
      </c>
      <c r="F2447" s="10">
        <v>11</v>
      </c>
      <c r="G2447" s="12" t="s">
        <v>639</v>
      </c>
      <c r="H2447" s="1" t="s">
        <v>26</v>
      </c>
      <c r="I2447">
        <v>3</v>
      </c>
      <c r="J2447">
        <v>8</v>
      </c>
      <c r="K2447">
        <v>2004</v>
      </c>
      <c r="L2447" s="1" t="s">
        <v>27</v>
      </c>
      <c r="M2447">
        <v>81</v>
      </c>
      <c r="N2447" s="1" t="s">
        <v>1000</v>
      </c>
      <c r="O2447" s="1" t="s">
        <v>640</v>
      </c>
      <c r="P2447" s="1" t="s">
        <v>641</v>
      </c>
      <c r="Q2447" s="1" t="s">
        <v>642</v>
      </c>
      <c r="R2447" s="1" t="s">
        <v>32</v>
      </c>
      <c r="S2447" s="1" t="s">
        <v>380</v>
      </c>
      <c r="T2447" s="1" t="s">
        <v>160</v>
      </c>
      <c r="U2447" s="1" t="s">
        <v>381</v>
      </c>
      <c r="V2447" s="1" t="s">
        <v>36</v>
      </c>
      <c r="W2447" s="1" t="s">
        <v>37</v>
      </c>
      <c r="X2447" s="1" t="s">
        <v>643</v>
      </c>
      <c r="Y2447" s="1" t="s">
        <v>644</v>
      </c>
      <c r="Z2447" s="1" t="str">
        <f>TRIM(_xlfn.CONCAT(sales_data_sample[[#This Row],[CONTACTFIRSTNAME]],", ",sales_data_sample[[#This Row],[CONTACTLASTNAME]]))</f>
        <v>Miguel, Barajas</v>
      </c>
      <c r="AA2447" s="1" t="s">
        <v>40</v>
      </c>
    </row>
    <row r="2448" spans="1:27" x14ac:dyDescent="0.25">
      <c r="A2448" s="10">
        <v>10285</v>
      </c>
      <c r="B2448" s="9">
        <v>39</v>
      </c>
      <c r="C2448" s="9">
        <v>7892</v>
      </c>
      <c r="D2448" s="9">
        <f>PRODUCT(sales_data_sample[[#This Row],[QUANTITYORDERED]],sales_data_sample[[#This Row],[PRICEEACH]])</f>
        <v>307788</v>
      </c>
      <c r="E2448" s="9">
        <f>IF(OR(sales_data_sample[[#This Row],[STATUS]]="Shipped",sales_data_sample[[#This Row],[STATUS]]="Resolved"),sales_data_sample[[#This Row],[SALES]],0)</f>
        <v>307788</v>
      </c>
      <c r="F2448" s="10">
        <v>2</v>
      </c>
      <c r="G2448" s="12" t="s">
        <v>155</v>
      </c>
      <c r="H2448" s="1" t="s">
        <v>26</v>
      </c>
      <c r="I2448">
        <v>3</v>
      </c>
      <c r="J2448">
        <v>8</v>
      </c>
      <c r="K2448">
        <v>2004</v>
      </c>
      <c r="L2448" s="1" t="s">
        <v>27</v>
      </c>
      <c r="M2448">
        <v>81</v>
      </c>
      <c r="N2448" s="1" t="s">
        <v>1000</v>
      </c>
      <c r="O2448" s="1" t="s">
        <v>156</v>
      </c>
      <c r="P2448" s="1" t="s">
        <v>157</v>
      </c>
      <c r="Q2448" s="1" t="s">
        <v>158</v>
      </c>
      <c r="R2448" s="1" t="s">
        <v>32</v>
      </c>
      <c r="S2448" s="1" t="s">
        <v>159</v>
      </c>
      <c r="T2448" s="1" t="s">
        <v>160</v>
      </c>
      <c r="U2448" s="1" t="s">
        <v>161</v>
      </c>
      <c r="V2448" s="1" t="s">
        <v>36</v>
      </c>
      <c r="W2448" s="1" t="s">
        <v>37</v>
      </c>
      <c r="X2448" s="1" t="s">
        <v>162</v>
      </c>
      <c r="Y2448" s="1" t="s">
        <v>163</v>
      </c>
      <c r="Z2448" s="1" t="str">
        <f>TRIM(_xlfn.CONCAT(sales_data_sample[[#This Row],[CONTACTFIRSTNAME]],", ",sales_data_sample[[#This Row],[CONTACTLASTNAME]]))</f>
        <v>Marta, Hernandez</v>
      </c>
      <c r="AA2448" s="1" t="s">
        <v>59</v>
      </c>
    </row>
    <row r="2449" spans="1:27" x14ac:dyDescent="0.25">
      <c r="A2449" s="10">
        <v>10299</v>
      </c>
      <c r="B2449" s="9">
        <v>44</v>
      </c>
      <c r="C2449" s="9">
        <v>8055</v>
      </c>
      <c r="D2449" s="9">
        <f>PRODUCT(sales_data_sample[[#This Row],[QUANTITYORDERED]],sales_data_sample[[#This Row],[PRICEEACH]])</f>
        <v>354420</v>
      </c>
      <c r="E2449" s="9">
        <f>IF(OR(sales_data_sample[[#This Row],[STATUS]]="Shipped",sales_data_sample[[#This Row],[STATUS]]="Resolved"),sales_data_sample[[#This Row],[SALES]],0)</f>
        <v>354420</v>
      </c>
      <c r="F2449" s="10">
        <v>5</v>
      </c>
      <c r="G2449" s="12" t="s">
        <v>164</v>
      </c>
      <c r="H2449" s="1" t="s">
        <v>26</v>
      </c>
      <c r="I2449">
        <v>3</v>
      </c>
      <c r="J2449">
        <v>9</v>
      </c>
      <c r="K2449">
        <v>2004</v>
      </c>
      <c r="L2449" s="1" t="s">
        <v>27</v>
      </c>
      <c r="M2449">
        <v>81</v>
      </c>
      <c r="N2449" s="1" t="s">
        <v>1000</v>
      </c>
      <c r="O2449" s="1" t="s">
        <v>165</v>
      </c>
      <c r="P2449" s="1" t="s">
        <v>166</v>
      </c>
      <c r="Q2449" s="1" t="s">
        <v>167</v>
      </c>
      <c r="R2449" s="1" t="s">
        <v>32</v>
      </c>
      <c r="S2449" s="1" t="s">
        <v>168</v>
      </c>
      <c r="T2449" s="1" t="s">
        <v>32</v>
      </c>
      <c r="U2449" s="1" t="s">
        <v>169</v>
      </c>
      <c r="V2449" s="1" t="s">
        <v>170</v>
      </c>
      <c r="W2449" s="1" t="s">
        <v>48</v>
      </c>
      <c r="X2449" s="1" t="s">
        <v>171</v>
      </c>
      <c r="Y2449" s="1" t="s">
        <v>172</v>
      </c>
      <c r="Z2449" s="1" t="str">
        <f>TRIM(_xlfn.CONCAT(sales_data_sample[[#This Row],[CONTACTFIRSTNAME]],", ",sales_data_sample[[#This Row],[CONTACTLASTNAME]]))</f>
        <v>Matti, Karttunen</v>
      </c>
      <c r="AA2449" s="1" t="s">
        <v>59</v>
      </c>
    </row>
    <row r="2450" spans="1:27" x14ac:dyDescent="0.25">
      <c r="A2450" s="10">
        <v>10309</v>
      </c>
      <c r="B2450" s="9">
        <v>28</v>
      </c>
      <c r="C2450" s="9">
        <v>8868</v>
      </c>
      <c r="D2450" s="9">
        <f>PRODUCT(sales_data_sample[[#This Row],[QUANTITYORDERED]],sales_data_sample[[#This Row],[PRICEEACH]])</f>
        <v>248304</v>
      </c>
      <c r="E2450" s="9">
        <f>IF(OR(sales_data_sample[[#This Row],[STATUS]]="Shipped",sales_data_sample[[#This Row],[STATUS]]="Resolved"),sales_data_sample[[#This Row],[SALES]],0)</f>
        <v>248304</v>
      </c>
      <c r="F2450" s="10">
        <v>1</v>
      </c>
      <c r="G2450" s="12" t="s">
        <v>173</v>
      </c>
      <c r="H2450" s="1" t="s">
        <v>26</v>
      </c>
      <c r="I2450">
        <v>4</v>
      </c>
      <c r="J2450">
        <v>10</v>
      </c>
      <c r="K2450">
        <v>2004</v>
      </c>
      <c r="L2450" s="1" t="s">
        <v>27</v>
      </c>
      <c r="M2450">
        <v>81</v>
      </c>
      <c r="N2450" s="1" t="s">
        <v>1000</v>
      </c>
      <c r="O2450" s="1" t="s">
        <v>174</v>
      </c>
      <c r="P2450" s="1" t="s">
        <v>175</v>
      </c>
      <c r="Q2450" s="1" t="s">
        <v>176</v>
      </c>
      <c r="R2450" s="1" t="s">
        <v>32</v>
      </c>
      <c r="S2450" s="1" t="s">
        <v>177</v>
      </c>
      <c r="T2450" s="1" t="s">
        <v>32</v>
      </c>
      <c r="U2450" s="1" t="s">
        <v>178</v>
      </c>
      <c r="V2450" s="1" t="s">
        <v>97</v>
      </c>
      <c r="W2450" s="1" t="s">
        <v>48</v>
      </c>
      <c r="X2450" s="1" t="s">
        <v>179</v>
      </c>
      <c r="Y2450" s="1" t="s">
        <v>180</v>
      </c>
      <c r="Z2450" s="1" t="str">
        <f>TRIM(_xlfn.CONCAT(sales_data_sample[[#This Row],[CONTACTFIRSTNAME]],", ",sales_data_sample[[#This Row],[CONTACTLASTNAME]]))</f>
        <v>Jonas, Bergulfsen</v>
      </c>
      <c r="AA2450" s="1" t="s">
        <v>40</v>
      </c>
    </row>
    <row r="2451" spans="1:27" x14ac:dyDescent="0.25">
      <c r="A2451">
        <v>10319</v>
      </c>
      <c r="B2451">
        <v>45</v>
      </c>
      <c r="C2451">
        <v>7729</v>
      </c>
      <c r="D2451">
        <f>PRODUCT(sales_data_sample[[#This Row],[QUANTITYORDERED]],sales_data_sample[[#This Row],[PRICEEACH]])</f>
        <v>347805</v>
      </c>
      <c r="E2451" s="9">
        <f>IF(OR(sales_data_sample[[#This Row],[STATUS]]="Shipped",sales_data_sample[[#This Row],[STATUS]]="Resolved"),sales_data_sample[[#This Row],[SALES]],0)</f>
        <v>347805</v>
      </c>
      <c r="F2451">
        <v>6</v>
      </c>
      <c r="G2451" s="12" t="s">
        <v>654</v>
      </c>
      <c r="H2451" s="1" t="s">
        <v>26</v>
      </c>
      <c r="I2451">
        <v>4</v>
      </c>
      <c r="J2451">
        <v>11</v>
      </c>
      <c r="K2451">
        <v>2004</v>
      </c>
      <c r="L2451" s="1" t="s">
        <v>27</v>
      </c>
      <c r="M2451">
        <v>81</v>
      </c>
      <c r="N2451" s="1" t="s">
        <v>1000</v>
      </c>
      <c r="O2451" s="1" t="s">
        <v>717</v>
      </c>
      <c r="P2451" s="1" t="s">
        <v>718</v>
      </c>
      <c r="Q2451" s="1" t="s">
        <v>719</v>
      </c>
      <c r="R2451" s="1" t="s">
        <v>720</v>
      </c>
      <c r="S2451" s="1" t="s">
        <v>33</v>
      </c>
      <c r="T2451" s="1" t="s">
        <v>34</v>
      </c>
      <c r="U2451" s="1" t="s">
        <v>35</v>
      </c>
      <c r="V2451" s="1" t="s">
        <v>36</v>
      </c>
      <c r="W2451" s="1" t="s">
        <v>37</v>
      </c>
      <c r="X2451" s="1" t="s">
        <v>721</v>
      </c>
      <c r="Y2451" s="1" t="s">
        <v>722</v>
      </c>
      <c r="Z2451" s="1" t="str">
        <f>TRIM(_xlfn.CONCAT(sales_data_sample[[#This Row],[CONTACTFIRSTNAME]],", ",sales_data_sample[[#This Row],[CONTACTLASTNAME]]))</f>
        <v>Kee, Kuo</v>
      </c>
      <c r="AA2451" s="1" t="s">
        <v>59</v>
      </c>
    </row>
    <row r="2452" spans="1:27" x14ac:dyDescent="0.25">
      <c r="A2452" s="10">
        <v>10331</v>
      </c>
      <c r="B2452" s="9">
        <v>20</v>
      </c>
      <c r="C2452" s="9">
        <v>100</v>
      </c>
      <c r="D2452" s="9">
        <f>PRODUCT(sales_data_sample[[#This Row],[QUANTITYORDERED]],sales_data_sample[[#This Row],[PRICEEACH]])</f>
        <v>2000</v>
      </c>
      <c r="E2452" s="9">
        <f>IF(OR(sales_data_sample[[#This Row],[STATUS]]="Shipped",sales_data_sample[[#This Row],[STATUS]]="Resolved"),sales_data_sample[[#This Row],[SALES]],0)</f>
        <v>2000</v>
      </c>
      <c r="F2452" s="10">
        <v>5</v>
      </c>
      <c r="G2452" s="12" t="s">
        <v>793</v>
      </c>
      <c r="H2452" s="1" t="s">
        <v>26</v>
      </c>
      <c r="I2452">
        <v>4</v>
      </c>
      <c r="J2452">
        <v>11</v>
      </c>
      <c r="K2452">
        <v>2004</v>
      </c>
      <c r="L2452" s="1" t="s">
        <v>27</v>
      </c>
      <c r="M2452">
        <v>81</v>
      </c>
      <c r="N2452" s="1" t="s">
        <v>1000</v>
      </c>
      <c r="O2452" s="1" t="s">
        <v>415</v>
      </c>
      <c r="P2452" s="1" t="s">
        <v>416</v>
      </c>
      <c r="Q2452" s="1" t="s">
        <v>417</v>
      </c>
      <c r="R2452" s="1" t="s">
        <v>32</v>
      </c>
      <c r="S2452" s="1" t="s">
        <v>286</v>
      </c>
      <c r="T2452" s="1" t="s">
        <v>186</v>
      </c>
      <c r="U2452" s="1" t="s">
        <v>287</v>
      </c>
      <c r="V2452" s="1" t="s">
        <v>36</v>
      </c>
      <c r="W2452" s="1" t="s">
        <v>37</v>
      </c>
      <c r="X2452" s="1" t="s">
        <v>162</v>
      </c>
      <c r="Y2452" s="1" t="s">
        <v>418</v>
      </c>
      <c r="Z2452" s="1" t="str">
        <f>TRIM(_xlfn.CONCAT(sales_data_sample[[#This Row],[CONTACTFIRSTNAME]],", ",sales_data_sample[[#This Row],[CONTACTLASTNAME]]))</f>
        <v>Rosa, Hernandez</v>
      </c>
      <c r="AA2452" s="1" t="s">
        <v>59</v>
      </c>
    </row>
    <row r="2453" spans="1:27" x14ac:dyDescent="0.25">
      <c r="A2453" s="10">
        <v>10341</v>
      </c>
      <c r="B2453" s="9">
        <v>38</v>
      </c>
      <c r="C2453" s="9">
        <v>100</v>
      </c>
      <c r="D2453" s="9">
        <f>PRODUCT(sales_data_sample[[#This Row],[QUANTITYORDERED]],sales_data_sample[[#This Row],[PRICEEACH]])</f>
        <v>3800</v>
      </c>
      <c r="E2453" s="9">
        <f>IF(OR(sales_data_sample[[#This Row],[STATUS]]="Shipped",sales_data_sample[[#This Row],[STATUS]]="Resolved"),sales_data_sample[[#This Row],[SALES]],0)</f>
        <v>3800</v>
      </c>
      <c r="F2453" s="10">
        <v>3</v>
      </c>
      <c r="G2453" s="12" t="s">
        <v>190</v>
      </c>
      <c r="H2453" s="1" t="s">
        <v>26</v>
      </c>
      <c r="I2453">
        <v>4</v>
      </c>
      <c r="J2453">
        <v>11</v>
      </c>
      <c r="K2453">
        <v>2004</v>
      </c>
      <c r="L2453" s="1" t="s">
        <v>27</v>
      </c>
      <c r="M2453">
        <v>81</v>
      </c>
      <c r="N2453" s="1" t="s">
        <v>1000</v>
      </c>
      <c r="O2453" s="1" t="s">
        <v>191</v>
      </c>
      <c r="P2453" s="1" t="s">
        <v>192</v>
      </c>
      <c r="Q2453" s="1" t="s">
        <v>193</v>
      </c>
      <c r="R2453" s="1" t="s">
        <v>32</v>
      </c>
      <c r="S2453" s="1" t="s">
        <v>194</v>
      </c>
      <c r="T2453" s="1" t="s">
        <v>32</v>
      </c>
      <c r="U2453" s="1" t="s">
        <v>195</v>
      </c>
      <c r="V2453" s="1" t="s">
        <v>196</v>
      </c>
      <c r="W2453" s="1" t="s">
        <v>48</v>
      </c>
      <c r="X2453" s="1" t="s">
        <v>197</v>
      </c>
      <c r="Y2453" s="1" t="s">
        <v>198</v>
      </c>
      <c r="Z2453" s="1" t="str">
        <f>TRIM(_xlfn.CONCAT(sales_data_sample[[#This Row],[CONTACTFIRSTNAME]],", ",sales_data_sample[[#This Row],[CONTACTLASTNAME]]))</f>
        <v>Georg, Pipps</v>
      </c>
      <c r="AA2453" s="1" t="s">
        <v>59</v>
      </c>
    </row>
    <row r="2454" spans="1:27" x14ac:dyDescent="0.25">
      <c r="A2454" s="10">
        <v>10356</v>
      </c>
      <c r="B2454" s="9">
        <v>26</v>
      </c>
      <c r="C2454" s="9">
        <v>100</v>
      </c>
      <c r="D2454" s="9">
        <f>PRODUCT(sales_data_sample[[#This Row],[QUANTITYORDERED]],sales_data_sample[[#This Row],[PRICEEACH]])</f>
        <v>2600</v>
      </c>
      <c r="E2454" s="9">
        <f>IF(OR(sales_data_sample[[#This Row],[STATUS]]="Shipped",sales_data_sample[[#This Row],[STATUS]]="Resolved"),sales_data_sample[[#This Row],[SALES]],0)</f>
        <v>2600</v>
      </c>
      <c r="F2454" s="10">
        <v>4</v>
      </c>
      <c r="G2454" s="12" t="s">
        <v>794</v>
      </c>
      <c r="H2454" s="1" t="s">
        <v>26</v>
      </c>
      <c r="I2454">
        <v>4</v>
      </c>
      <c r="J2454">
        <v>12</v>
      </c>
      <c r="K2454">
        <v>2004</v>
      </c>
      <c r="L2454" s="1" t="s">
        <v>27</v>
      </c>
      <c r="M2454">
        <v>81</v>
      </c>
      <c r="N2454" s="1" t="s">
        <v>1000</v>
      </c>
      <c r="O2454" s="1" t="s">
        <v>52</v>
      </c>
      <c r="P2454" s="1" t="s">
        <v>53</v>
      </c>
      <c r="Q2454" s="1" t="s">
        <v>54</v>
      </c>
      <c r="R2454" s="1" t="s">
        <v>32</v>
      </c>
      <c r="S2454" s="1" t="s">
        <v>55</v>
      </c>
      <c r="T2454" s="1" t="s">
        <v>32</v>
      </c>
      <c r="U2454" s="1" t="s">
        <v>56</v>
      </c>
      <c r="V2454" s="1" t="s">
        <v>47</v>
      </c>
      <c r="W2454" s="1" t="s">
        <v>48</v>
      </c>
      <c r="X2454" s="1" t="s">
        <v>57</v>
      </c>
      <c r="Y2454" s="1" t="s">
        <v>58</v>
      </c>
      <c r="Z2454" s="1" t="str">
        <f>TRIM(_xlfn.CONCAT(sales_data_sample[[#This Row],[CONTACTFIRSTNAME]],", ",sales_data_sample[[#This Row],[CONTACTLASTNAME]]))</f>
        <v>Daniel, Da Cunha</v>
      </c>
      <c r="AA2454" s="1" t="s">
        <v>59</v>
      </c>
    </row>
    <row r="2455" spans="1:27" x14ac:dyDescent="0.25">
      <c r="A2455" s="10">
        <v>10365</v>
      </c>
      <c r="B2455" s="9">
        <v>44</v>
      </c>
      <c r="C2455" s="9">
        <v>100</v>
      </c>
      <c r="D2455" s="9">
        <f>PRODUCT(sales_data_sample[[#This Row],[QUANTITYORDERED]],sales_data_sample[[#This Row],[PRICEEACH]])</f>
        <v>4400</v>
      </c>
      <c r="E2455" s="9">
        <f>IF(OR(sales_data_sample[[#This Row],[STATUS]]="Shipped",sales_data_sample[[#This Row],[STATUS]]="Resolved"),sales_data_sample[[#This Row],[SALES]],0)</f>
        <v>4400</v>
      </c>
      <c r="F2455" s="10">
        <v>2</v>
      </c>
      <c r="G2455" s="12" t="s">
        <v>795</v>
      </c>
      <c r="H2455" s="1" t="s">
        <v>26</v>
      </c>
      <c r="I2455">
        <v>1</v>
      </c>
      <c r="J2455">
        <v>1</v>
      </c>
      <c r="K2455">
        <v>2005</v>
      </c>
      <c r="L2455" s="1" t="s">
        <v>27</v>
      </c>
      <c r="M2455">
        <v>81</v>
      </c>
      <c r="N2455" s="1" t="s">
        <v>1000</v>
      </c>
      <c r="O2455" s="1" t="s">
        <v>454</v>
      </c>
      <c r="P2455" s="1" t="s">
        <v>455</v>
      </c>
      <c r="Q2455" s="1" t="s">
        <v>456</v>
      </c>
      <c r="R2455" s="1" t="s">
        <v>32</v>
      </c>
      <c r="S2455" s="1" t="s">
        <v>215</v>
      </c>
      <c r="T2455" s="1" t="s">
        <v>160</v>
      </c>
      <c r="U2455" s="1" t="s">
        <v>216</v>
      </c>
      <c r="V2455" s="1" t="s">
        <v>36</v>
      </c>
      <c r="W2455" s="1" t="s">
        <v>37</v>
      </c>
      <c r="X2455" s="1" t="s">
        <v>457</v>
      </c>
      <c r="Y2455" s="1" t="s">
        <v>458</v>
      </c>
      <c r="Z2455" s="1" t="str">
        <f>TRIM(_xlfn.CONCAT(sales_data_sample[[#This Row],[CONTACTFIRSTNAME]],", ",sales_data_sample[[#This Row],[CONTACTLASTNAME]]))</f>
        <v>Wing C, Tam</v>
      </c>
      <c r="AA2455" s="1" t="s">
        <v>59</v>
      </c>
    </row>
    <row r="2456" spans="1:27" x14ac:dyDescent="0.25">
      <c r="A2456" s="10">
        <v>10375</v>
      </c>
      <c r="B2456" s="9">
        <v>49</v>
      </c>
      <c r="C2456" s="9">
        <v>100</v>
      </c>
      <c r="D2456" s="9">
        <f>PRODUCT(sales_data_sample[[#This Row],[QUANTITYORDERED]],sales_data_sample[[#This Row],[PRICEEACH]])</f>
        <v>4900</v>
      </c>
      <c r="E2456" s="9">
        <f>IF(OR(sales_data_sample[[#This Row],[STATUS]]="Shipped",sales_data_sample[[#This Row],[STATUS]]="Resolved"),sales_data_sample[[#This Row],[SALES]],0)</f>
        <v>4900</v>
      </c>
      <c r="F2456" s="10">
        <v>8</v>
      </c>
      <c r="G2456" s="12" t="s">
        <v>210</v>
      </c>
      <c r="H2456" s="1" t="s">
        <v>26</v>
      </c>
      <c r="I2456">
        <v>1</v>
      </c>
      <c r="J2456">
        <v>2</v>
      </c>
      <c r="K2456">
        <v>2005</v>
      </c>
      <c r="L2456" s="1" t="s">
        <v>27</v>
      </c>
      <c r="M2456">
        <v>81</v>
      </c>
      <c r="N2456" s="1" t="s">
        <v>1000</v>
      </c>
      <c r="O2456" s="1" t="s">
        <v>148</v>
      </c>
      <c r="P2456" s="1" t="s">
        <v>149</v>
      </c>
      <c r="Q2456" s="1" t="s">
        <v>150</v>
      </c>
      <c r="R2456" s="1" t="s">
        <v>32</v>
      </c>
      <c r="S2456" s="1" t="s">
        <v>151</v>
      </c>
      <c r="T2456" s="1" t="s">
        <v>32</v>
      </c>
      <c r="U2456" s="1" t="s">
        <v>152</v>
      </c>
      <c r="V2456" s="1" t="s">
        <v>47</v>
      </c>
      <c r="W2456" s="1" t="s">
        <v>48</v>
      </c>
      <c r="X2456" s="1" t="s">
        <v>153</v>
      </c>
      <c r="Y2456" s="1" t="s">
        <v>154</v>
      </c>
      <c r="Z2456" s="1" t="str">
        <f>TRIM(_xlfn.CONCAT(sales_data_sample[[#This Row],[CONTACTFIRSTNAME]],", ",sales_data_sample[[#This Row],[CONTACTLASTNAME]]))</f>
        <v>Janine, Labrune</v>
      </c>
      <c r="AA2456" s="1" t="s">
        <v>59</v>
      </c>
    </row>
    <row r="2457" spans="1:27" x14ac:dyDescent="0.25">
      <c r="A2457" s="10">
        <v>10390</v>
      </c>
      <c r="B2457" s="9">
        <v>22</v>
      </c>
      <c r="C2457" s="9">
        <v>100</v>
      </c>
      <c r="D2457" s="9">
        <f>PRODUCT(sales_data_sample[[#This Row],[QUANTITYORDERED]],sales_data_sample[[#This Row],[PRICEEACH]])</f>
        <v>2200</v>
      </c>
      <c r="E2457" s="9">
        <f>IF(OR(sales_data_sample[[#This Row],[STATUS]]="Shipped",sales_data_sample[[#This Row],[STATUS]]="Resolved"),sales_data_sample[[#This Row],[SALES]],0)</f>
        <v>2200</v>
      </c>
      <c r="F2457" s="10">
        <v>13</v>
      </c>
      <c r="G2457" s="12" t="s">
        <v>796</v>
      </c>
      <c r="H2457" s="1" t="s">
        <v>26</v>
      </c>
      <c r="I2457">
        <v>1</v>
      </c>
      <c r="J2457">
        <v>3</v>
      </c>
      <c r="K2457">
        <v>2005</v>
      </c>
      <c r="L2457" s="1" t="s">
        <v>27</v>
      </c>
      <c r="M2457">
        <v>81</v>
      </c>
      <c r="N2457" s="1" t="s">
        <v>1000</v>
      </c>
      <c r="O2457" s="1" t="s">
        <v>361</v>
      </c>
      <c r="P2457" s="1" t="s">
        <v>362</v>
      </c>
      <c r="Q2457" s="1" t="s">
        <v>363</v>
      </c>
      <c r="R2457" s="1" t="s">
        <v>32</v>
      </c>
      <c r="S2457" s="1" t="s">
        <v>364</v>
      </c>
      <c r="T2457" s="1" t="s">
        <v>65</v>
      </c>
      <c r="U2457" s="1" t="s">
        <v>145</v>
      </c>
      <c r="V2457" s="1" t="s">
        <v>36</v>
      </c>
      <c r="W2457" s="1" t="s">
        <v>37</v>
      </c>
      <c r="X2457" s="1" t="s">
        <v>365</v>
      </c>
      <c r="Y2457" s="1" t="s">
        <v>366</v>
      </c>
      <c r="Z2457" s="1" t="str">
        <f>TRIM(_xlfn.CONCAT(sales_data_sample[[#This Row],[CONTACTFIRSTNAME]],", ",sales_data_sample[[#This Row],[CONTACTLASTNAME]]))</f>
        <v>Valarie, Nelson</v>
      </c>
      <c r="AA2457" s="1" t="s">
        <v>59</v>
      </c>
    </row>
    <row r="2458" spans="1:27" x14ac:dyDescent="0.25">
      <c r="A2458" s="10">
        <v>10403</v>
      </c>
      <c r="B2458" s="9">
        <v>31</v>
      </c>
      <c r="C2458" s="9">
        <v>6834</v>
      </c>
      <c r="D2458" s="9">
        <f>PRODUCT(sales_data_sample[[#This Row],[QUANTITYORDERED]],sales_data_sample[[#This Row],[PRICEEACH]])</f>
        <v>211854</v>
      </c>
      <c r="E2458" s="9">
        <f>IF(OR(sales_data_sample[[#This Row],[STATUS]]="Shipped",sales_data_sample[[#This Row],[STATUS]]="Resolved"),sales_data_sample[[#This Row],[SALES]],0)</f>
        <v>211854</v>
      </c>
      <c r="F2458" s="10">
        <v>3</v>
      </c>
      <c r="G2458" s="12" t="s">
        <v>219</v>
      </c>
      <c r="H2458" s="1" t="s">
        <v>26</v>
      </c>
      <c r="I2458">
        <v>2</v>
      </c>
      <c r="J2458">
        <v>4</v>
      </c>
      <c r="K2458">
        <v>2005</v>
      </c>
      <c r="L2458" s="1" t="s">
        <v>27</v>
      </c>
      <c r="M2458">
        <v>81</v>
      </c>
      <c r="N2458" s="1" t="s">
        <v>1000</v>
      </c>
      <c r="O2458" s="1" t="s">
        <v>220</v>
      </c>
      <c r="P2458" s="1" t="s">
        <v>221</v>
      </c>
      <c r="Q2458" s="1" t="s">
        <v>222</v>
      </c>
      <c r="R2458" s="1" t="s">
        <v>32</v>
      </c>
      <c r="S2458" s="1" t="s">
        <v>223</v>
      </c>
      <c r="T2458" s="1" t="s">
        <v>32</v>
      </c>
      <c r="U2458" s="1" t="s">
        <v>224</v>
      </c>
      <c r="V2458" s="1" t="s">
        <v>225</v>
      </c>
      <c r="W2458" s="1" t="s">
        <v>48</v>
      </c>
      <c r="X2458" s="1" t="s">
        <v>226</v>
      </c>
      <c r="Y2458" s="1" t="s">
        <v>227</v>
      </c>
      <c r="Z2458" s="1" t="str">
        <f>TRIM(_xlfn.CONCAT(sales_data_sample[[#This Row],[CONTACTFIRSTNAME]],", ",sales_data_sample[[#This Row],[CONTACTLASTNAME]]))</f>
        <v>Elizabeth, Devon</v>
      </c>
      <c r="AA2458" s="1" t="s">
        <v>40</v>
      </c>
    </row>
    <row r="2459" spans="1:27" x14ac:dyDescent="0.25">
      <c r="A2459" s="10">
        <v>10105</v>
      </c>
      <c r="B2459" s="9">
        <v>41</v>
      </c>
      <c r="C2459" s="9">
        <v>7067</v>
      </c>
      <c r="D2459" s="9">
        <f>PRODUCT(sales_data_sample[[#This Row],[QUANTITYORDERED]],sales_data_sample[[#This Row],[PRICEEACH]])</f>
        <v>289747</v>
      </c>
      <c r="E2459" s="9">
        <f>IF(OR(sales_data_sample[[#This Row],[STATUS]]="Shipped",sales_data_sample[[#This Row],[STATUS]]="Resolved"),sales_data_sample[[#This Row],[SALES]],0)</f>
        <v>289747</v>
      </c>
      <c r="F2459" s="10">
        <v>5</v>
      </c>
      <c r="G2459" s="12" t="s">
        <v>435</v>
      </c>
      <c r="H2459" s="1" t="s">
        <v>26</v>
      </c>
      <c r="I2459">
        <v>1</v>
      </c>
      <c r="J2459">
        <v>2</v>
      </c>
      <c r="K2459">
        <v>2003</v>
      </c>
      <c r="L2459" s="1" t="s">
        <v>905</v>
      </c>
      <c r="M2459">
        <v>66</v>
      </c>
      <c r="N2459" s="1" t="s">
        <v>1001</v>
      </c>
      <c r="O2459" s="1" t="s">
        <v>437</v>
      </c>
      <c r="P2459" s="1" t="s">
        <v>438</v>
      </c>
      <c r="Q2459" s="1" t="s">
        <v>439</v>
      </c>
      <c r="R2459" s="1" t="s">
        <v>32</v>
      </c>
      <c r="S2459" s="1" t="s">
        <v>440</v>
      </c>
      <c r="T2459" s="1" t="s">
        <v>32</v>
      </c>
      <c r="U2459" s="1" t="s">
        <v>441</v>
      </c>
      <c r="V2459" s="1" t="s">
        <v>442</v>
      </c>
      <c r="W2459" s="1" t="s">
        <v>48</v>
      </c>
      <c r="X2459" s="1" t="s">
        <v>443</v>
      </c>
      <c r="Y2459" s="1" t="s">
        <v>444</v>
      </c>
      <c r="Z2459" s="1" t="str">
        <f>TRIM(_xlfn.CONCAT(sales_data_sample[[#This Row],[CONTACTFIRSTNAME]],", ",sales_data_sample[[#This Row],[CONTACTLASTNAME]]))</f>
        <v>Jytte, Petersen</v>
      </c>
      <c r="AA2459" s="1" t="s">
        <v>40</v>
      </c>
    </row>
    <row r="2460" spans="1:27" x14ac:dyDescent="0.25">
      <c r="A2460" s="10">
        <v>10119</v>
      </c>
      <c r="B2460" s="9">
        <v>25</v>
      </c>
      <c r="C2460" s="9">
        <v>7667</v>
      </c>
      <c r="D2460" s="9">
        <f>PRODUCT(sales_data_sample[[#This Row],[QUANTITYORDERED]],sales_data_sample[[#This Row],[PRICEEACH]])</f>
        <v>191675</v>
      </c>
      <c r="E2460" s="9">
        <f>IF(OR(sales_data_sample[[#This Row],[STATUS]]="Shipped",sales_data_sample[[#This Row],[STATUS]]="Resolved"),sales_data_sample[[#This Row],[SALES]],0)</f>
        <v>191675</v>
      </c>
      <c r="F2460" s="10">
        <v>14</v>
      </c>
      <c r="G2460" s="12" t="s">
        <v>445</v>
      </c>
      <c r="H2460" s="1" t="s">
        <v>26</v>
      </c>
      <c r="I2460">
        <v>2</v>
      </c>
      <c r="J2460">
        <v>4</v>
      </c>
      <c r="K2460">
        <v>2003</v>
      </c>
      <c r="L2460" s="1" t="s">
        <v>905</v>
      </c>
      <c r="M2460">
        <v>66</v>
      </c>
      <c r="N2460" s="1" t="s">
        <v>1001</v>
      </c>
      <c r="O2460" s="1" t="s">
        <v>191</v>
      </c>
      <c r="P2460" s="1" t="s">
        <v>192</v>
      </c>
      <c r="Q2460" s="1" t="s">
        <v>193</v>
      </c>
      <c r="R2460" s="1" t="s">
        <v>32</v>
      </c>
      <c r="S2460" s="1" t="s">
        <v>194</v>
      </c>
      <c r="T2460" s="1" t="s">
        <v>32</v>
      </c>
      <c r="U2460" s="1" t="s">
        <v>195</v>
      </c>
      <c r="V2460" s="1" t="s">
        <v>196</v>
      </c>
      <c r="W2460" s="1" t="s">
        <v>48</v>
      </c>
      <c r="X2460" s="1" t="s">
        <v>197</v>
      </c>
      <c r="Y2460" s="1" t="s">
        <v>198</v>
      </c>
      <c r="Z2460" s="1" t="str">
        <f>TRIM(_xlfn.CONCAT(sales_data_sample[[#This Row],[CONTACTFIRSTNAME]],", ",sales_data_sample[[#This Row],[CONTACTLASTNAME]]))</f>
        <v>Georg, Pipps</v>
      </c>
      <c r="AA2460" s="1" t="s">
        <v>40</v>
      </c>
    </row>
    <row r="2461" spans="1:27" x14ac:dyDescent="0.25">
      <c r="A2461" s="10">
        <v>10129</v>
      </c>
      <c r="B2461" s="9">
        <v>31</v>
      </c>
      <c r="C2461" s="9">
        <v>60</v>
      </c>
      <c r="D2461" s="9">
        <f>PRODUCT(sales_data_sample[[#This Row],[QUANTITYORDERED]],sales_data_sample[[#This Row],[PRICEEACH]])</f>
        <v>1860</v>
      </c>
      <c r="E2461" s="9">
        <f>IF(OR(sales_data_sample[[#This Row],[STATUS]]="Shipped",sales_data_sample[[#This Row],[STATUS]]="Resolved"),sales_data_sample[[#This Row],[SALES]],0)</f>
        <v>1860</v>
      </c>
      <c r="F2461" s="10">
        <v>5</v>
      </c>
      <c r="G2461" s="12" t="s">
        <v>446</v>
      </c>
      <c r="H2461" s="1" t="s">
        <v>26</v>
      </c>
      <c r="I2461">
        <v>2</v>
      </c>
      <c r="J2461">
        <v>6</v>
      </c>
      <c r="K2461">
        <v>2003</v>
      </c>
      <c r="L2461" s="1" t="s">
        <v>905</v>
      </c>
      <c r="M2461">
        <v>66</v>
      </c>
      <c r="N2461" s="1" t="s">
        <v>1001</v>
      </c>
      <c r="O2461" s="1" t="s">
        <v>447</v>
      </c>
      <c r="P2461" s="1" t="s">
        <v>448</v>
      </c>
      <c r="Q2461" s="1" t="s">
        <v>449</v>
      </c>
      <c r="R2461" s="1" t="s">
        <v>32</v>
      </c>
      <c r="S2461" s="1" t="s">
        <v>450</v>
      </c>
      <c r="T2461" s="1" t="s">
        <v>32</v>
      </c>
      <c r="U2461" s="1" t="s">
        <v>451</v>
      </c>
      <c r="V2461" s="1" t="s">
        <v>225</v>
      </c>
      <c r="W2461" s="1" t="s">
        <v>48</v>
      </c>
      <c r="X2461" s="1" t="s">
        <v>74</v>
      </c>
      <c r="Y2461" s="1" t="s">
        <v>452</v>
      </c>
      <c r="Z2461" s="1" t="str">
        <f>TRIM(_xlfn.CONCAT(sales_data_sample[[#This Row],[CONTACTFIRSTNAME]],", ",sales_data_sample[[#This Row],[CONTACTLASTNAME]]))</f>
        <v>Ann, Brown</v>
      </c>
      <c r="AA2461" s="1" t="s">
        <v>40</v>
      </c>
    </row>
    <row r="2462" spans="1:27" x14ac:dyDescent="0.25">
      <c r="A2462" s="10">
        <v>10142</v>
      </c>
      <c r="B2462" s="9">
        <v>41</v>
      </c>
      <c r="C2462" s="9">
        <v>64</v>
      </c>
      <c r="D2462" s="9">
        <f>PRODUCT(sales_data_sample[[#This Row],[QUANTITYORDERED]],sales_data_sample[[#This Row],[PRICEEACH]])</f>
        <v>2624</v>
      </c>
      <c r="E2462" s="9">
        <f>IF(OR(sales_data_sample[[#This Row],[STATUS]]="Shipped",sales_data_sample[[#This Row],[STATUS]]="Resolved"),sales_data_sample[[#This Row],[SALES]],0)</f>
        <v>2624</v>
      </c>
      <c r="F2462" s="10">
        <v>2</v>
      </c>
      <c r="G2462" s="12" t="s">
        <v>672</v>
      </c>
      <c r="H2462" s="1" t="s">
        <v>26</v>
      </c>
      <c r="I2462">
        <v>3</v>
      </c>
      <c r="J2462">
        <v>8</v>
      </c>
      <c r="K2462">
        <v>2003</v>
      </c>
      <c r="L2462" s="1" t="s">
        <v>905</v>
      </c>
      <c r="M2462">
        <v>66</v>
      </c>
      <c r="N2462" s="1" t="s">
        <v>1001</v>
      </c>
      <c r="O2462" s="1" t="s">
        <v>361</v>
      </c>
      <c r="P2462" s="1" t="s">
        <v>362</v>
      </c>
      <c r="Q2462" s="1" t="s">
        <v>363</v>
      </c>
      <c r="R2462" s="1" t="s">
        <v>32</v>
      </c>
      <c r="S2462" s="1" t="s">
        <v>364</v>
      </c>
      <c r="T2462" s="1" t="s">
        <v>65</v>
      </c>
      <c r="U2462" s="1" t="s">
        <v>145</v>
      </c>
      <c r="V2462" s="1" t="s">
        <v>36</v>
      </c>
      <c r="W2462" s="1" t="s">
        <v>37</v>
      </c>
      <c r="X2462" s="1" t="s">
        <v>365</v>
      </c>
      <c r="Y2462" s="1" t="s">
        <v>366</v>
      </c>
      <c r="Z2462" s="1" t="str">
        <f>TRIM(_xlfn.CONCAT(sales_data_sample[[#This Row],[CONTACTFIRSTNAME]],", ",sales_data_sample[[#This Row],[CONTACTLASTNAME]]))</f>
        <v>Valarie, Nelson</v>
      </c>
      <c r="AA2462" s="1" t="s">
        <v>40</v>
      </c>
    </row>
    <row r="2463" spans="1:27" x14ac:dyDescent="0.25">
      <c r="A2463" s="10">
        <v>10153</v>
      </c>
      <c r="B2463" s="9">
        <v>43</v>
      </c>
      <c r="C2463" s="9">
        <v>6467</v>
      </c>
      <c r="D2463" s="9">
        <f>PRODUCT(sales_data_sample[[#This Row],[QUANTITYORDERED]],sales_data_sample[[#This Row],[PRICEEACH]])</f>
        <v>278081</v>
      </c>
      <c r="E2463" s="9">
        <f>IF(OR(sales_data_sample[[#This Row],[STATUS]]="Shipped",sales_data_sample[[#This Row],[STATUS]]="Resolved"),sales_data_sample[[#This Row],[SALES]],0)</f>
        <v>278081</v>
      </c>
      <c r="F2463" s="10">
        <v>1</v>
      </c>
      <c r="G2463" s="12" t="s">
        <v>673</v>
      </c>
      <c r="H2463" s="1" t="s">
        <v>26</v>
      </c>
      <c r="I2463">
        <v>3</v>
      </c>
      <c r="J2463">
        <v>9</v>
      </c>
      <c r="K2463">
        <v>2003</v>
      </c>
      <c r="L2463" s="1" t="s">
        <v>905</v>
      </c>
      <c r="M2463">
        <v>66</v>
      </c>
      <c r="N2463" s="1" t="s">
        <v>1001</v>
      </c>
      <c r="O2463" s="1" t="s">
        <v>230</v>
      </c>
      <c r="P2463" s="1" t="s">
        <v>231</v>
      </c>
      <c r="Q2463" s="1" t="s">
        <v>232</v>
      </c>
      <c r="R2463" s="1" t="s">
        <v>32</v>
      </c>
      <c r="S2463" s="1" t="s">
        <v>233</v>
      </c>
      <c r="T2463" s="1" t="s">
        <v>32</v>
      </c>
      <c r="U2463" s="1" t="s">
        <v>234</v>
      </c>
      <c r="V2463" s="1" t="s">
        <v>235</v>
      </c>
      <c r="W2463" s="1" t="s">
        <v>48</v>
      </c>
      <c r="X2463" s="1" t="s">
        <v>236</v>
      </c>
      <c r="Y2463" s="1" t="s">
        <v>237</v>
      </c>
      <c r="Z2463" s="1" t="str">
        <f>TRIM(_xlfn.CONCAT(sales_data_sample[[#This Row],[CONTACTFIRSTNAME]],", ",sales_data_sample[[#This Row],[CONTACTLASTNAME]]))</f>
        <v>Diego, Freyre</v>
      </c>
      <c r="AA2463" s="1" t="s">
        <v>40</v>
      </c>
    </row>
    <row r="2464" spans="1:27" x14ac:dyDescent="0.25">
      <c r="A2464" s="10">
        <v>10167</v>
      </c>
      <c r="B2464" s="9">
        <v>43</v>
      </c>
      <c r="C2464" s="9">
        <v>7534</v>
      </c>
      <c r="D2464" s="9">
        <f>PRODUCT(sales_data_sample[[#This Row],[QUANTITYORDERED]],sales_data_sample[[#This Row],[PRICEEACH]])</f>
        <v>323962</v>
      </c>
      <c r="E2464" s="9">
        <f>IF(OR(sales_data_sample[[#This Row],[STATUS]]="Shipped",sales_data_sample[[#This Row],[STATUS]]="Resolved"),sales_data_sample[[#This Row],[SALES]],0)</f>
        <v>0</v>
      </c>
      <c r="F2464" s="10">
        <v>12</v>
      </c>
      <c r="G2464" s="12" t="s">
        <v>460</v>
      </c>
      <c r="H2464" s="1" t="s">
        <v>461</v>
      </c>
      <c r="I2464">
        <v>4</v>
      </c>
      <c r="J2464">
        <v>10</v>
      </c>
      <c r="K2464">
        <v>2003</v>
      </c>
      <c r="L2464" s="1" t="s">
        <v>905</v>
      </c>
      <c r="M2464">
        <v>66</v>
      </c>
      <c r="N2464" s="1" t="s">
        <v>1001</v>
      </c>
      <c r="O2464" s="1" t="s">
        <v>347</v>
      </c>
      <c r="P2464" s="1" t="s">
        <v>348</v>
      </c>
      <c r="Q2464" s="1" t="s">
        <v>349</v>
      </c>
      <c r="R2464" s="1" t="s">
        <v>32</v>
      </c>
      <c r="S2464" s="1" t="s">
        <v>350</v>
      </c>
      <c r="T2464" s="1" t="s">
        <v>32</v>
      </c>
      <c r="U2464" s="1" t="s">
        <v>351</v>
      </c>
      <c r="V2464" s="1" t="s">
        <v>247</v>
      </c>
      <c r="W2464" s="1" t="s">
        <v>48</v>
      </c>
      <c r="X2464" s="1" t="s">
        <v>352</v>
      </c>
      <c r="Y2464" s="1" t="s">
        <v>272</v>
      </c>
      <c r="Z2464" s="1" t="str">
        <f>TRIM(_xlfn.CONCAT(sales_data_sample[[#This Row],[CONTACTFIRSTNAME]],", ",sales_data_sample[[#This Row],[CONTACTLASTNAME]]))</f>
        <v>Maria, Larsson</v>
      </c>
      <c r="AA2464" s="1" t="s">
        <v>59</v>
      </c>
    </row>
    <row r="2465" spans="1:27" x14ac:dyDescent="0.25">
      <c r="A2465" s="10">
        <v>10177</v>
      </c>
      <c r="B2465" s="9">
        <v>24</v>
      </c>
      <c r="C2465" s="9">
        <v>76</v>
      </c>
      <c r="D2465" s="9">
        <f>PRODUCT(sales_data_sample[[#This Row],[QUANTITYORDERED]],sales_data_sample[[#This Row],[PRICEEACH]])</f>
        <v>1824</v>
      </c>
      <c r="E2465" s="9">
        <f>IF(OR(sales_data_sample[[#This Row],[STATUS]]="Shipped",sales_data_sample[[#This Row],[STATUS]]="Resolved"),sales_data_sample[[#This Row],[SALES]],0)</f>
        <v>1824</v>
      </c>
      <c r="F2465" s="10">
        <v>3</v>
      </c>
      <c r="G2465" s="12" t="s">
        <v>913</v>
      </c>
      <c r="H2465" s="1" t="s">
        <v>26</v>
      </c>
      <c r="I2465">
        <v>4</v>
      </c>
      <c r="J2465">
        <v>11</v>
      </c>
      <c r="K2465">
        <v>2003</v>
      </c>
      <c r="L2465" s="1" t="s">
        <v>905</v>
      </c>
      <c r="M2465">
        <v>66</v>
      </c>
      <c r="N2465" s="1" t="s">
        <v>1001</v>
      </c>
      <c r="O2465" s="1" t="s">
        <v>687</v>
      </c>
      <c r="P2465" s="1" t="s">
        <v>688</v>
      </c>
      <c r="Q2465" s="1" t="s">
        <v>689</v>
      </c>
      <c r="R2465" s="1" t="s">
        <v>32</v>
      </c>
      <c r="S2465" s="1" t="s">
        <v>233</v>
      </c>
      <c r="T2465" s="1" t="s">
        <v>32</v>
      </c>
      <c r="U2465" s="1" t="s">
        <v>254</v>
      </c>
      <c r="V2465" s="1" t="s">
        <v>235</v>
      </c>
      <c r="W2465" s="1" t="s">
        <v>48</v>
      </c>
      <c r="X2465" s="1" t="s">
        <v>690</v>
      </c>
      <c r="Y2465" s="1" t="s">
        <v>691</v>
      </c>
      <c r="Z2465" s="1" t="str">
        <f>TRIM(_xlfn.CONCAT(sales_data_sample[[#This Row],[CONTACTFIRSTNAME]],", ",sales_data_sample[[#This Row],[CONTACTLASTNAME]]))</f>
        <v>Jesus, Fernandez</v>
      </c>
      <c r="AA2465" s="1" t="s">
        <v>40</v>
      </c>
    </row>
    <row r="2466" spans="1:27" x14ac:dyDescent="0.25">
      <c r="A2466" s="10">
        <v>10185</v>
      </c>
      <c r="B2466" s="9">
        <v>21</v>
      </c>
      <c r="C2466" s="9">
        <v>54</v>
      </c>
      <c r="D2466" s="9">
        <f>PRODUCT(sales_data_sample[[#This Row],[QUANTITYORDERED]],sales_data_sample[[#This Row],[PRICEEACH]])</f>
        <v>1134</v>
      </c>
      <c r="E2466" s="9">
        <f>IF(OR(sales_data_sample[[#This Row],[STATUS]]="Shipped",sales_data_sample[[#This Row],[STATUS]]="Resolved"),sales_data_sample[[#This Row],[SALES]],0)</f>
        <v>1134</v>
      </c>
      <c r="F2466" s="10">
        <v>3</v>
      </c>
      <c r="G2466" s="12" t="s">
        <v>470</v>
      </c>
      <c r="H2466" s="1" t="s">
        <v>26</v>
      </c>
      <c r="I2466">
        <v>4</v>
      </c>
      <c r="J2466">
        <v>11</v>
      </c>
      <c r="K2466">
        <v>2003</v>
      </c>
      <c r="L2466" s="1" t="s">
        <v>905</v>
      </c>
      <c r="M2466">
        <v>66</v>
      </c>
      <c r="N2466" s="1" t="s">
        <v>1001</v>
      </c>
      <c r="O2466" s="1" t="s">
        <v>454</v>
      </c>
      <c r="P2466" s="1" t="s">
        <v>455</v>
      </c>
      <c r="Q2466" s="1" t="s">
        <v>456</v>
      </c>
      <c r="R2466" s="1" t="s">
        <v>32</v>
      </c>
      <c r="S2466" s="1" t="s">
        <v>215</v>
      </c>
      <c r="T2466" s="1" t="s">
        <v>160</v>
      </c>
      <c r="U2466" s="1" t="s">
        <v>216</v>
      </c>
      <c r="V2466" s="1" t="s">
        <v>36</v>
      </c>
      <c r="W2466" s="1" t="s">
        <v>37</v>
      </c>
      <c r="X2466" s="1" t="s">
        <v>457</v>
      </c>
      <c r="Y2466" s="1" t="s">
        <v>458</v>
      </c>
      <c r="Z2466" s="1" t="str">
        <f>TRIM(_xlfn.CONCAT(sales_data_sample[[#This Row],[CONTACTFIRSTNAME]],", ",sales_data_sample[[#This Row],[CONTACTLASTNAME]]))</f>
        <v>Wing C, Tam</v>
      </c>
      <c r="AA2466" s="1" t="s">
        <v>40</v>
      </c>
    </row>
    <row r="2467" spans="1:27" x14ac:dyDescent="0.25">
      <c r="A2467" s="10">
        <v>10197</v>
      </c>
      <c r="B2467" s="9">
        <v>23</v>
      </c>
      <c r="C2467" s="9">
        <v>6467</v>
      </c>
      <c r="D2467" s="9">
        <f>PRODUCT(sales_data_sample[[#This Row],[QUANTITYORDERED]],sales_data_sample[[#This Row],[PRICEEACH]])</f>
        <v>148741</v>
      </c>
      <c r="E2467" s="9">
        <f>IF(OR(sales_data_sample[[#This Row],[STATUS]]="Shipped",sales_data_sample[[#This Row],[STATUS]]="Resolved"),sales_data_sample[[#This Row],[SALES]],0)</f>
        <v>148741</v>
      </c>
      <c r="F2467" s="10">
        <v>9</v>
      </c>
      <c r="G2467" s="12" t="s">
        <v>477</v>
      </c>
      <c r="H2467" s="1" t="s">
        <v>26</v>
      </c>
      <c r="I2467">
        <v>4</v>
      </c>
      <c r="J2467">
        <v>11</v>
      </c>
      <c r="K2467">
        <v>2003</v>
      </c>
      <c r="L2467" s="1" t="s">
        <v>905</v>
      </c>
      <c r="M2467">
        <v>66</v>
      </c>
      <c r="N2467" s="1" t="s">
        <v>1001</v>
      </c>
      <c r="O2467" s="1" t="s">
        <v>478</v>
      </c>
      <c r="P2467" s="1" t="s">
        <v>479</v>
      </c>
      <c r="Q2467" s="1" t="s">
        <v>480</v>
      </c>
      <c r="R2467" s="1" t="s">
        <v>32</v>
      </c>
      <c r="S2467" s="1" t="s">
        <v>481</v>
      </c>
      <c r="T2467" s="1" t="s">
        <v>32</v>
      </c>
      <c r="U2467" s="1" t="s">
        <v>482</v>
      </c>
      <c r="V2467" s="1" t="s">
        <v>235</v>
      </c>
      <c r="W2467" s="1" t="s">
        <v>48</v>
      </c>
      <c r="X2467" s="1" t="s">
        <v>483</v>
      </c>
      <c r="Y2467" s="1" t="s">
        <v>484</v>
      </c>
      <c r="Z2467" s="1" t="str">
        <f>TRIM(_xlfn.CONCAT(sales_data_sample[[#This Row],[CONTACTFIRSTNAME]],", ",sales_data_sample[[#This Row],[CONTACTLASTNAME]]))</f>
        <v>Eduardo, Saavedra</v>
      </c>
      <c r="AA2467" s="1" t="s">
        <v>40</v>
      </c>
    </row>
    <row r="2468" spans="1:27" x14ac:dyDescent="0.25">
      <c r="A2468" s="10">
        <v>10208</v>
      </c>
      <c r="B2468" s="9">
        <v>38</v>
      </c>
      <c r="C2468" s="9">
        <v>7467</v>
      </c>
      <c r="D2468" s="9">
        <f>PRODUCT(sales_data_sample[[#This Row],[QUANTITYORDERED]],sales_data_sample[[#This Row],[PRICEEACH]])</f>
        <v>283746</v>
      </c>
      <c r="E2468" s="9">
        <f>IF(OR(sales_data_sample[[#This Row],[STATUS]]="Shipped",sales_data_sample[[#This Row],[STATUS]]="Resolved"),sales_data_sample[[#This Row],[SALES]],0)</f>
        <v>283746</v>
      </c>
      <c r="F2468" s="10">
        <v>3</v>
      </c>
      <c r="G2468" s="12" t="s">
        <v>675</v>
      </c>
      <c r="H2468" s="1" t="s">
        <v>26</v>
      </c>
      <c r="I2468">
        <v>1</v>
      </c>
      <c r="J2468">
        <v>1</v>
      </c>
      <c r="K2468">
        <v>2004</v>
      </c>
      <c r="L2468" s="1" t="s">
        <v>905</v>
      </c>
      <c r="M2468">
        <v>66</v>
      </c>
      <c r="N2468" s="1" t="s">
        <v>1001</v>
      </c>
      <c r="O2468" s="1" t="s">
        <v>291</v>
      </c>
      <c r="P2468" s="1" t="s">
        <v>292</v>
      </c>
      <c r="Q2468" s="1" t="s">
        <v>293</v>
      </c>
      <c r="R2468" s="1" t="s">
        <v>32</v>
      </c>
      <c r="S2468" s="1" t="s">
        <v>294</v>
      </c>
      <c r="T2468" s="1" t="s">
        <v>32</v>
      </c>
      <c r="U2468" s="1" t="s">
        <v>295</v>
      </c>
      <c r="V2468" s="1" t="s">
        <v>47</v>
      </c>
      <c r="W2468" s="1" t="s">
        <v>48</v>
      </c>
      <c r="X2468" s="1" t="s">
        <v>296</v>
      </c>
      <c r="Y2468" s="1" t="s">
        <v>297</v>
      </c>
      <c r="Z2468" s="1" t="str">
        <f>TRIM(_xlfn.CONCAT(sales_data_sample[[#This Row],[CONTACTFIRSTNAME]],", ",sales_data_sample[[#This Row],[CONTACTLASTNAME]]))</f>
        <v>Mary, Saveley</v>
      </c>
      <c r="AA2468" s="1" t="s">
        <v>40</v>
      </c>
    </row>
    <row r="2469" spans="1:27" x14ac:dyDescent="0.25">
      <c r="A2469" s="10">
        <v>10222</v>
      </c>
      <c r="B2469" s="9">
        <v>31</v>
      </c>
      <c r="C2469" s="9">
        <v>6267</v>
      </c>
      <c r="D2469" s="9">
        <f>PRODUCT(sales_data_sample[[#This Row],[QUANTITYORDERED]],sales_data_sample[[#This Row],[PRICEEACH]])</f>
        <v>194277</v>
      </c>
      <c r="E2469" s="9">
        <f>IF(OR(sales_data_sample[[#This Row],[STATUS]]="Shipped",sales_data_sample[[#This Row],[STATUS]]="Resolved"),sales_data_sample[[#This Row],[SALES]],0)</f>
        <v>194277</v>
      </c>
      <c r="F2469" s="10">
        <v>15</v>
      </c>
      <c r="G2469" s="12" t="s">
        <v>491</v>
      </c>
      <c r="H2469" s="1" t="s">
        <v>26</v>
      </c>
      <c r="I2469">
        <v>1</v>
      </c>
      <c r="J2469">
        <v>2</v>
      </c>
      <c r="K2469">
        <v>2004</v>
      </c>
      <c r="L2469" s="1" t="s">
        <v>905</v>
      </c>
      <c r="M2469">
        <v>66</v>
      </c>
      <c r="N2469" s="1" t="s">
        <v>1001</v>
      </c>
      <c r="O2469" s="1" t="s">
        <v>492</v>
      </c>
      <c r="P2469" s="1" t="s">
        <v>493</v>
      </c>
      <c r="Q2469" s="1" t="s">
        <v>494</v>
      </c>
      <c r="R2469" s="1" t="s">
        <v>32</v>
      </c>
      <c r="S2469" s="1" t="s">
        <v>495</v>
      </c>
      <c r="T2469" s="1" t="s">
        <v>65</v>
      </c>
      <c r="U2469" s="1" t="s">
        <v>496</v>
      </c>
      <c r="V2469" s="1" t="s">
        <v>36</v>
      </c>
      <c r="W2469" s="1" t="s">
        <v>37</v>
      </c>
      <c r="X2469" s="1" t="s">
        <v>313</v>
      </c>
      <c r="Y2469" s="1" t="s">
        <v>366</v>
      </c>
      <c r="Z2469" s="1" t="str">
        <f>TRIM(_xlfn.CONCAT(sales_data_sample[[#This Row],[CONTACTFIRSTNAME]],", ",sales_data_sample[[#This Row],[CONTACTLASTNAME]]))</f>
        <v>Valarie, Thompson</v>
      </c>
      <c r="AA2469" s="1" t="s">
        <v>40</v>
      </c>
    </row>
    <row r="2470" spans="1:27" x14ac:dyDescent="0.25">
      <c r="A2470" s="10">
        <v>10233</v>
      </c>
      <c r="B2470" s="9">
        <v>36</v>
      </c>
      <c r="C2470" s="9">
        <v>7067</v>
      </c>
      <c r="D2470" s="9">
        <f>PRODUCT(sales_data_sample[[#This Row],[QUANTITYORDERED]],sales_data_sample[[#This Row],[PRICEEACH]])</f>
        <v>254412</v>
      </c>
      <c r="E2470" s="9">
        <f>IF(OR(sales_data_sample[[#This Row],[STATUS]]="Shipped",sales_data_sample[[#This Row],[STATUS]]="Resolved"),sales_data_sample[[#This Row],[SALES]],0)</f>
        <v>254412</v>
      </c>
      <c r="F2470" s="10">
        <v>3</v>
      </c>
      <c r="G2470" s="12" t="s">
        <v>970</v>
      </c>
      <c r="H2470" s="1" t="s">
        <v>26</v>
      </c>
      <c r="I2470">
        <v>1</v>
      </c>
      <c r="J2470">
        <v>3</v>
      </c>
      <c r="K2470">
        <v>2004</v>
      </c>
      <c r="L2470" s="1" t="s">
        <v>905</v>
      </c>
      <c r="M2470">
        <v>66</v>
      </c>
      <c r="N2470" s="1" t="s">
        <v>1001</v>
      </c>
      <c r="O2470" s="1" t="s">
        <v>132</v>
      </c>
      <c r="P2470" s="1" t="s">
        <v>133</v>
      </c>
      <c r="Q2470" s="1" t="s">
        <v>134</v>
      </c>
      <c r="R2470" s="1" t="s">
        <v>32</v>
      </c>
      <c r="S2470" s="1" t="s">
        <v>135</v>
      </c>
      <c r="T2470" s="1" t="s">
        <v>136</v>
      </c>
      <c r="U2470" s="1" t="s">
        <v>137</v>
      </c>
      <c r="V2470" s="1" t="s">
        <v>36</v>
      </c>
      <c r="W2470" s="1" t="s">
        <v>37</v>
      </c>
      <c r="X2470" s="1" t="s">
        <v>74</v>
      </c>
      <c r="Y2470" s="1" t="s">
        <v>138</v>
      </c>
      <c r="Z2470" s="1" t="str">
        <f>TRIM(_xlfn.CONCAT(sales_data_sample[[#This Row],[CONTACTFIRSTNAME]],", ",sales_data_sample[[#This Row],[CONTACTLASTNAME]]))</f>
        <v>William, Brown</v>
      </c>
      <c r="AA2470" s="1" t="s">
        <v>40</v>
      </c>
    </row>
    <row r="2471" spans="1:27" x14ac:dyDescent="0.25">
      <c r="A2471" s="10">
        <v>10248</v>
      </c>
      <c r="B2471" s="9">
        <v>36</v>
      </c>
      <c r="C2471" s="9">
        <v>7134</v>
      </c>
      <c r="D2471" s="9">
        <f>PRODUCT(sales_data_sample[[#This Row],[QUANTITYORDERED]],sales_data_sample[[#This Row],[PRICEEACH]])</f>
        <v>256824</v>
      </c>
      <c r="E2471" s="9">
        <f>IF(OR(sales_data_sample[[#This Row],[STATUS]]="Shipped",sales_data_sample[[#This Row],[STATUS]]="Resolved"),sales_data_sample[[#This Row],[SALES]],0)</f>
        <v>0</v>
      </c>
      <c r="F2471" s="10">
        <v>6</v>
      </c>
      <c r="G2471" s="12" t="s">
        <v>497</v>
      </c>
      <c r="H2471" s="1" t="s">
        <v>461</v>
      </c>
      <c r="I2471">
        <v>2</v>
      </c>
      <c r="J2471">
        <v>5</v>
      </c>
      <c r="K2471">
        <v>2004</v>
      </c>
      <c r="L2471" s="1" t="s">
        <v>905</v>
      </c>
      <c r="M2471">
        <v>66</v>
      </c>
      <c r="N2471" s="1" t="s">
        <v>1001</v>
      </c>
      <c r="O2471" s="1" t="s">
        <v>29</v>
      </c>
      <c r="P2471" s="1" t="s">
        <v>30</v>
      </c>
      <c r="Q2471" s="1" t="s">
        <v>31</v>
      </c>
      <c r="R2471" s="1" t="s">
        <v>32</v>
      </c>
      <c r="S2471" s="1" t="s">
        <v>33</v>
      </c>
      <c r="T2471" s="1" t="s">
        <v>34</v>
      </c>
      <c r="U2471" s="1" t="s">
        <v>35</v>
      </c>
      <c r="V2471" s="1" t="s">
        <v>36</v>
      </c>
      <c r="W2471" s="1" t="s">
        <v>37</v>
      </c>
      <c r="X2471" s="1" t="s">
        <v>38</v>
      </c>
      <c r="Y2471" s="1" t="s">
        <v>39</v>
      </c>
      <c r="Z2471" s="1" t="str">
        <f>TRIM(_xlfn.CONCAT(sales_data_sample[[#This Row],[CONTACTFIRSTNAME]],", ",sales_data_sample[[#This Row],[CONTACTLASTNAME]]))</f>
        <v>Kwai, Yu</v>
      </c>
      <c r="AA2471" s="1" t="s">
        <v>40</v>
      </c>
    </row>
    <row r="2472" spans="1:27" x14ac:dyDescent="0.25">
      <c r="A2472" s="10">
        <v>10261</v>
      </c>
      <c r="B2472" s="9">
        <v>34</v>
      </c>
      <c r="C2472" s="9">
        <v>62</v>
      </c>
      <c r="D2472" s="9">
        <f>PRODUCT(sales_data_sample[[#This Row],[QUANTITYORDERED]],sales_data_sample[[#This Row],[PRICEEACH]])</f>
        <v>2108</v>
      </c>
      <c r="E2472" s="9">
        <f>IF(OR(sales_data_sample[[#This Row],[STATUS]]="Shipped",sales_data_sample[[#This Row],[STATUS]]="Resolved"),sales_data_sample[[#This Row],[SALES]],0)</f>
        <v>2108</v>
      </c>
      <c r="F2472" s="10">
        <v>4</v>
      </c>
      <c r="G2472" s="12" t="s">
        <v>498</v>
      </c>
      <c r="H2472" s="1" t="s">
        <v>26</v>
      </c>
      <c r="I2472">
        <v>2</v>
      </c>
      <c r="J2472">
        <v>6</v>
      </c>
      <c r="K2472">
        <v>2004</v>
      </c>
      <c r="L2472" s="1" t="s">
        <v>905</v>
      </c>
      <c r="M2472">
        <v>66</v>
      </c>
      <c r="N2472" s="1" t="s">
        <v>1001</v>
      </c>
      <c r="O2472" s="1" t="s">
        <v>394</v>
      </c>
      <c r="P2472" s="1" t="s">
        <v>395</v>
      </c>
      <c r="Q2472" s="1" t="s">
        <v>396</v>
      </c>
      <c r="R2472" s="1" t="s">
        <v>32</v>
      </c>
      <c r="S2472" s="1" t="s">
        <v>397</v>
      </c>
      <c r="T2472" s="1" t="s">
        <v>398</v>
      </c>
      <c r="U2472" s="1" t="s">
        <v>399</v>
      </c>
      <c r="V2472" s="1" t="s">
        <v>305</v>
      </c>
      <c r="W2472" s="1" t="s">
        <v>37</v>
      </c>
      <c r="X2472" s="1" t="s">
        <v>400</v>
      </c>
      <c r="Y2472" s="1" t="s">
        <v>401</v>
      </c>
      <c r="Z2472" s="1" t="str">
        <f>TRIM(_xlfn.CONCAT(sales_data_sample[[#This Row],[CONTACTFIRSTNAME]],", ",sales_data_sample[[#This Row],[CONTACTLASTNAME]]))</f>
        <v>Jean, Fresnisre</v>
      </c>
      <c r="AA2472" s="1" t="s">
        <v>40</v>
      </c>
    </row>
    <row r="2473" spans="1:27" x14ac:dyDescent="0.25">
      <c r="A2473" s="10">
        <v>10273</v>
      </c>
      <c r="B2473" s="9">
        <v>21</v>
      </c>
      <c r="C2473" s="9">
        <v>6534</v>
      </c>
      <c r="D2473" s="9">
        <f>PRODUCT(sales_data_sample[[#This Row],[QUANTITYORDERED]],sales_data_sample[[#This Row],[PRICEEACH]])</f>
        <v>137214</v>
      </c>
      <c r="E2473" s="9">
        <f>IF(OR(sales_data_sample[[#This Row],[STATUS]]="Shipped",sales_data_sample[[#This Row],[STATUS]]="Resolved"),sales_data_sample[[#This Row],[SALES]],0)</f>
        <v>137214</v>
      </c>
      <c r="F2473" s="10">
        <v>7</v>
      </c>
      <c r="G2473" s="12" t="s">
        <v>499</v>
      </c>
      <c r="H2473" s="1" t="s">
        <v>26</v>
      </c>
      <c r="I2473">
        <v>3</v>
      </c>
      <c r="J2473">
        <v>7</v>
      </c>
      <c r="K2473">
        <v>2004</v>
      </c>
      <c r="L2473" s="1" t="s">
        <v>905</v>
      </c>
      <c r="M2473">
        <v>66</v>
      </c>
      <c r="N2473" s="1" t="s">
        <v>1001</v>
      </c>
      <c r="O2473" s="1" t="s">
        <v>500</v>
      </c>
      <c r="P2473" s="1" t="s">
        <v>501</v>
      </c>
      <c r="Q2473" s="1" t="s">
        <v>502</v>
      </c>
      <c r="R2473" s="1" t="s">
        <v>32</v>
      </c>
      <c r="S2473" s="1" t="s">
        <v>503</v>
      </c>
      <c r="T2473" s="1" t="s">
        <v>32</v>
      </c>
      <c r="U2473" s="1" t="s">
        <v>504</v>
      </c>
      <c r="V2473" s="1" t="s">
        <v>505</v>
      </c>
      <c r="W2473" s="1" t="s">
        <v>48</v>
      </c>
      <c r="X2473" s="1" t="s">
        <v>506</v>
      </c>
      <c r="Y2473" s="1" t="s">
        <v>507</v>
      </c>
      <c r="Z2473" s="1" t="str">
        <f>TRIM(_xlfn.CONCAT(sales_data_sample[[#This Row],[CONTACTFIRSTNAME]],", ",sales_data_sample[[#This Row],[CONTACTLASTNAME]]))</f>
        <v>Catherine, Dewey</v>
      </c>
      <c r="AA2473" s="1" t="s">
        <v>40</v>
      </c>
    </row>
    <row r="2474" spans="1:27" x14ac:dyDescent="0.25">
      <c r="A2474" s="10">
        <v>10283</v>
      </c>
      <c r="B2474" s="9">
        <v>45</v>
      </c>
      <c r="C2474" s="9">
        <v>7867</v>
      </c>
      <c r="D2474" s="9">
        <f>PRODUCT(sales_data_sample[[#This Row],[QUANTITYORDERED]],sales_data_sample[[#This Row],[PRICEEACH]])</f>
        <v>354015</v>
      </c>
      <c r="E2474" s="9">
        <f>IF(OR(sales_data_sample[[#This Row],[STATUS]]="Shipped",sales_data_sample[[#This Row],[STATUS]]="Resolved"),sales_data_sample[[#This Row],[SALES]],0)</f>
        <v>354015</v>
      </c>
      <c r="F2474" s="10">
        <v>9</v>
      </c>
      <c r="G2474" s="12" t="s">
        <v>508</v>
      </c>
      <c r="H2474" s="1" t="s">
        <v>26</v>
      </c>
      <c r="I2474">
        <v>3</v>
      </c>
      <c r="J2474">
        <v>8</v>
      </c>
      <c r="K2474">
        <v>2004</v>
      </c>
      <c r="L2474" s="1" t="s">
        <v>905</v>
      </c>
      <c r="M2474">
        <v>66</v>
      </c>
      <c r="N2474" s="1" t="s">
        <v>1001</v>
      </c>
      <c r="O2474" s="1" t="s">
        <v>509</v>
      </c>
      <c r="P2474" s="1" t="s">
        <v>510</v>
      </c>
      <c r="Q2474" s="1" t="s">
        <v>511</v>
      </c>
      <c r="R2474" s="1" t="s">
        <v>32</v>
      </c>
      <c r="S2474" s="1" t="s">
        <v>512</v>
      </c>
      <c r="T2474" s="1" t="s">
        <v>303</v>
      </c>
      <c r="U2474" s="1" t="s">
        <v>513</v>
      </c>
      <c r="V2474" s="1" t="s">
        <v>305</v>
      </c>
      <c r="W2474" s="1" t="s">
        <v>37</v>
      </c>
      <c r="X2474" s="1" t="s">
        <v>514</v>
      </c>
      <c r="Y2474" s="1" t="s">
        <v>227</v>
      </c>
      <c r="Z2474" s="1" t="str">
        <f>TRIM(_xlfn.CONCAT(sales_data_sample[[#This Row],[CONTACTFIRSTNAME]],", ",sales_data_sample[[#This Row],[CONTACTLASTNAME]]))</f>
        <v>Elizabeth, Lincoln</v>
      </c>
      <c r="AA2474" s="1" t="s">
        <v>59</v>
      </c>
    </row>
    <row r="2475" spans="1:27" x14ac:dyDescent="0.25">
      <c r="A2475" s="10">
        <v>10295</v>
      </c>
      <c r="B2475" s="9">
        <v>26</v>
      </c>
      <c r="C2475" s="9">
        <v>7534</v>
      </c>
      <c r="D2475" s="9">
        <f>PRODUCT(sales_data_sample[[#This Row],[QUANTITYORDERED]],sales_data_sample[[#This Row],[PRICEEACH]])</f>
        <v>195884</v>
      </c>
      <c r="E2475" s="9">
        <f>IF(OR(sales_data_sample[[#This Row],[STATUS]]="Shipped",sales_data_sample[[#This Row],[STATUS]]="Resolved"),sales_data_sample[[#This Row],[SALES]],0)</f>
        <v>195884</v>
      </c>
      <c r="F2475" s="10">
        <v>4</v>
      </c>
      <c r="G2475" s="12" t="s">
        <v>515</v>
      </c>
      <c r="H2475" s="1" t="s">
        <v>26</v>
      </c>
      <c r="I2475">
        <v>3</v>
      </c>
      <c r="J2475">
        <v>9</v>
      </c>
      <c r="K2475">
        <v>2004</v>
      </c>
      <c r="L2475" s="1" t="s">
        <v>905</v>
      </c>
      <c r="M2475">
        <v>66</v>
      </c>
      <c r="N2475" s="1" t="s">
        <v>1001</v>
      </c>
      <c r="O2475" s="1" t="s">
        <v>516</v>
      </c>
      <c r="P2475" s="1" t="s">
        <v>517</v>
      </c>
      <c r="Q2475" s="1" t="s">
        <v>518</v>
      </c>
      <c r="R2475" s="1" t="s">
        <v>32</v>
      </c>
      <c r="S2475" s="1" t="s">
        <v>519</v>
      </c>
      <c r="T2475" s="1" t="s">
        <v>160</v>
      </c>
      <c r="U2475" s="1" t="s">
        <v>520</v>
      </c>
      <c r="V2475" s="1" t="s">
        <v>36</v>
      </c>
      <c r="W2475" s="1" t="s">
        <v>37</v>
      </c>
      <c r="X2475" s="1" t="s">
        <v>521</v>
      </c>
      <c r="Y2475" s="1" t="s">
        <v>82</v>
      </c>
      <c r="Z2475" s="1" t="str">
        <f>TRIM(_xlfn.CONCAT(sales_data_sample[[#This Row],[CONTACTFIRSTNAME]],", ",sales_data_sample[[#This Row],[CONTACTLASTNAME]]))</f>
        <v>Juri, Yoshido</v>
      </c>
      <c r="AA2475" s="1" t="s">
        <v>40</v>
      </c>
    </row>
    <row r="2476" spans="1:27" x14ac:dyDescent="0.25">
      <c r="A2476" s="10">
        <v>10306</v>
      </c>
      <c r="B2476" s="9">
        <v>50</v>
      </c>
      <c r="C2476" s="9">
        <v>54</v>
      </c>
      <c r="D2476" s="9">
        <f>PRODUCT(sales_data_sample[[#This Row],[QUANTITYORDERED]],sales_data_sample[[#This Row],[PRICEEACH]])</f>
        <v>2700</v>
      </c>
      <c r="E2476" s="9">
        <f>IF(OR(sales_data_sample[[#This Row],[STATUS]]="Shipped",sales_data_sample[[#This Row],[STATUS]]="Resolved"),sales_data_sample[[#This Row],[SALES]],0)</f>
        <v>2700</v>
      </c>
      <c r="F2476" s="10">
        <v>3</v>
      </c>
      <c r="G2476" s="12" t="s">
        <v>522</v>
      </c>
      <c r="H2476" s="1" t="s">
        <v>26</v>
      </c>
      <c r="I2476">
        <v>4</v>
      </c>
      <c r="J2476">
        <v>10</v>
      </c>
      <c r="K2476">
        <v>2004</v>
      </c>
      <c r="L2476" s="1" t="s">
        <v>905</v>
      </c>
      <c r="M2476">
        <v>66</v>
      </c>
      <c r="N2476" s="1" t="s">
        <v>1001</v>
      </c>
      <c r="O2476" s="1" t="s">
        <v>695</v>
      </c>
      <c r="P2476" s="1" t="s">
        <v>696</v>
      </c>
      <c r="Q2476" s="1" t="s">
        <v>697</v>
      </c>
      <c r="R2476" s="1" t="s">
        <v>32</v>
      </c>
      <c r="S2476" s="1" t="s">
        <v>698</v>
      </c>
      <c r="T2476" s="1" t="s">
        <v>32</v>
      </c>
      <c r="U2476" s="1" t="s">
        <v>699</v>
      </c>
      <c r="V2476" s="1" t="s">
        <v>225</v>
      </c>
      <c r="W2476" s="1" t="s">
        <v>48</v>
      </c>
      <c r="X2476" s="1" t="s">
        <v>700</v>
      </c>
      <c r="Y2476" s="1" t="s">
        <v>118</v>
      </c>
      <c r="Z2476" s="1" t="str">
        <f>TRIM(_xlfn.CONCAT(sales_data_sample[[#This Row],[CONTACTFIRSTNAME]],", ",sales_data_sample[[#This Row],[CONTACTLASTNAME]]))</f>
        <v>Victoria, Ashworth</v>
      </c>
      <c r="AA2476" s="1" t="s">
        <v>40</v>
      </c>
    </row>
    <row r="2477" spans="1:27" x14ac:dyDescent="0.25">
      <c r="A2477" s="10">
        <v>10315</v>
      </c>
      <c r="B2477" s="9">
        <v>41</v>
      </c>
      <c r="C2477" s="9">
        <v>62</v>
      </c>
      <c r="D2477" s="9">
        <f>PRODUCT(sales_data_sample[[#This Row],[QUANTITYORDERED]],sales_data_sample[[#This Row],[PRICEEACH]])</f>
        <v>2542</v>
      </c>
      <c r="E2477" s="9">
        <f>IF(OR(sales_data_sample[[#This Row],[STATUS]]="Shipped",sales_data_sample[[#This Row],[STATUS]]="Resolved"),sales_data_sample[[#This Row],[SALES]],0)</f>
        <v>2542</v>
      </c>
      <c r="F2477" s="10">
        <v>2</v>
      </c>
      <c r="G2477" s="12" t="s">
        <v>943</v>
      </c>
      <c r="H2477" s="1" t="s">
        <v>26</v>
      </c>
      <c r="I2477">
        <v>4</v>
      </c>
      <c r="J2477">
        <v>10</v>
      </c>
      <c r="K2477">
        <v>2004</v>
      </c>
      <c r="L2477" s="1" t="s">
        <v>905</v>
      </c>
      <c r="M2477">
        <v>66</v>
      </c>
      <c r="N2477" s="1" t="s">
        <v>1001</v>
      </c>
      <c r="O2477" s="1" t="s">
        <v>148</v>
      </c>
      <c r="P2477" s="1" t="s">
        <v>149</v>
      </c>
      <c r="Q2477" s="1" t="s">
        <v>150</v>
      </c>
      <c r="R2477" s="1" t="s">
        <v>32</v>
      </c>
      <c r="S2477" s="1" t="s">
        <v>151</v>
      </c>
      <c r="T2477" s="1" t="s">
        <v>32</v>
      </c>
      <c r="U2477" s="1" t="s">
        <v>152</v>
      </c>
      <c r="V2477" s="1" t="s">
        <v>47</v>
      </c>
      <c r="W2477" s="1" t="s">
        <v>48</v>
      </c>
      <c r="X2477" s="1" t="s">
        <v>153</v>
      </c>
      <c r="Y2477" s="1" t="s">
        <v>154</v>
      </c>
      <c r="Z2477" s="1" t="str">
        <f>TRIM(_xlfn.CONCAT(sales_data_sample[[#This Row],[CONTACTFIRSTNAME]],", ",sales_data_sample[[#This Row],[CONTACTLASTNAME]]))</f>
        <v>Janine, Labrune</v>
      </c>
      <c r="AA2477" s="1" t="s">
        <v>40</v>
      </c>
    </row>
    <row r="2478" spans="1:27" x14ac:dyDescent="0.25">
      <c r="A2478" s="10">
        <v>10326</v>
      </c>
      <c r="B2478" s="9">
        <v>39</v>
      </c>
      <c r="C2478" s="9">
        <v>60</v>
      </c>
      <c r="D2478" s="9">
        <f>PRODUCT(sales_data_sample[[#This Row],[QUANTITYORDERED]],sales_data_sample[[#This Row],[PRICEEACH]])</f>
        <v>2340</v>
      </c>
      <c r="E2478" s="9">
        <f>IF(OR(sales_data_sample[[#This Row],[STATUS]]="Shipped",sales_data_sample[[#This Row],[STATUS]]="Resolved"),sales_data_sample[[#This Row],[SALES]],0)</f>
        <v>2340</v>
      </c>
      <c r="F2478" s="10">
        <v>1</v>
      </c>
      <c r="G2478" s="12" t="s">
        <v>920</v>
      </c>
      <c r="H2478" s="1" t="s">
        <v>26</v>
      </c>
      <c r="I2478">
        <v>4</v>
      </c>
      <c r="J2478">
        <v>11</v>
      </c>
      <c r="K2478">
        <v>2004</v>
      </c>
      <c r="L2478" s="1" t="s">
        <v>905</v>
      </c>
      <c r="M2478">
        <v>66</v>
      </c>
      <c r="N2478" s="1" t="s">
        <v>1001</v>
      </c>
      <c r="O2478" s="1" t="s">
        <v>242</v>
      </c>
      <c r="P2478" s="1" t="s">
        <v>243</v>
      </c>
      <c r="Q2478" s="1" t="s">
        <v>244</v>
      </c>
      <c r="R2478" s="1" t="s">
        <v>32</v>
      </c>
      <c r="S2478" s="1" t="s">
        <v>245</v>
      </c>
      <c r="T2478" s="1" t="s">
        <v>32</v>
      </c>
      <c r="U2478" s="1" t="s">
        <v>246</v>
      </c>
      <c r="V2478" s="1" t="s">
        <v>247</v>
      </c>
      <c r="W2478" s="1" t="s">
        <v>48</v>
      </c>
      <c r="X2478" s="1" t="s">
        <v>248</v>
      </c>
      <c r="Y2478" s="1" t="s">
        <v>249</v>
      </c>
      <c r="Z2478" s="1" t="str">
        <f>TRIM(_xlfn.CONCAT(sales_data_sample[[#This Row],[CONTACTFIRSTNAME]],", ",sales_data_sample[[#This Row],[CONTACTLASTNAME]]))</f>
        <v>Christina, Berglund</v>
      </c>
      <c r="AA2478" s="1" t="s">
        <v>40</v>
      </c>
    </row>
    <row r="2479" spans="1:27" x14ac:dyDescent="0.25">
      <c r="A2479" s="10">
        <v>10339</v>
      </c>
      <c r="B2479" s="9">
        <v>22</v>
      </c>
      <c r="C2479" s="9">
        <v>100</v>
      </c>
      <c r="D2479" s="9">
        <f>PRODUCT(sales_data_sample[[#This Row],[QUANTITYORDERED]],sales_data_sample[[#This Row],[PRICEEACH]])</f>
        <v>2200</v>
      </c>
      <c r="E2479" s="9">
        <f>IF(OR(sales_data_sample[[#This Row],[STATUS]]="Shipped",sales_data_sample[[#This Row],[STATUS]]="Resolved"),sales_data_sample[[#This Row],[SALES]],0)</f>
        <v>2200</v>
      </c>
      <c r="F2479" s="10">
        <v>5</v>
      </c>
      <c r="G2479" s="12" t="s">
        <v>430</v>
      </c>
      <c r="H2479" s="1" t="s">
        <v>26</v>
      </c>
      <c r="I2479">
        <v>4</v>
      </c>
      <c r="J2479">
        <v>11</v>
      </c>
      <c r="K2479">
        <v>2004</v>
      </c>
      <c r="L2479" s="1" t="s">
        <v>905</v>
      </c>
      <c r="M2479">
        <v>66</v>
      </c>
      <c r="N2479" s="1" t="s">
        <v>1001</v>
      </c>
      <c r="O2479" s="1" t="s">
        <v>328</v>
      </c>
      <c r="P2479" s="1" t="s">
        <v>329</v>
      </c>
      <c r="Q2479" s="1" t="s">
        <v>330</v>
      </c>
      <c r="R2479" s="1" t="s">
        <v>32</v>
      </c>
      <c r="S2479" s="1" t="s">
        <v>331</v>
      </c>
      <c r="T2479" s="1" t="s">
        <v>332</v>
      </c>
      <c r="U2479" s="1" t="s">
        <v>333</v>
      </c>
      <c r="V2479" s="1" t="s">
        <v>264</v>
      </c>
      <c r="W2479" s="1" t="s">
        <v>264</v>
      </c>
      <c r="X2479" s="1" t="s">
        <v>334</v>
      </c>
      <c r="Y2479" s="1" t="s">
        <v>335</v>
      </c>
      <c r="Z2479" s="1" t="str">
        <f>TRIM(_xlfn.CONCAT(sales_data_sample[[#This Row],[CONTACTFIRSTNAME]],", ",sales_data_sample[[#This Row],[CONTACTLASTNAME]]))</f>
        <v>Akiko, Shimamura</v>
      </c>
      <c r="AA2479" s="1" t="s">
        <v>40</v>
      </c>
    </row>
    <row r="2480" spans="1:27" x14ac:dyDescent="0.25">
      <c r="A2480" s="10">
        <v>10350</v>
      </c>
      <c r="B2480" s="9">
        <v>46</v>
      </c>
      <c r="C2480" s="9">
        <v>7667</v>
      </c>
      <c r="D2480" s="9">
        <f>PRODUCT(sales_data_sample[[#This Row],[QUANTITYORDERED]],sales_data_sample[[#This Row],[PRICEEACH]])</f>
        <v>352682</v>
      </c>
      <c r="E2480" s="9">
        <f>IF(OR(sales_data_sample[[#This Row],[STATUS]]="Shipped",sales_data_sample[[#This Row],[STATUS]]="Resolved"),sales_data_sample[[#This Row],[SALES]],0)</f>
        <v>352682</v>
      </c>
      <c r="F2480" s="10">
        <v>11</v>
      </c>
      <c r="G2480" s="12" t="s">
        <v>534</v>
      </c>
      <c r="H2480" s="1" t="s">
        <v>26</v>
      </c>
      <c r="I2480">
        <v>4</v>
      </c>
      <c r="J2480">
        <v>12</v>
      </c>
      <c r="K2480">
        <v>2004</v>
      </c>
      <c r="L2480" s="1" t="s">
        <v>905</v>
      </c>
      <c r="M2480">
        <v>66</v>
      </c>
      <c r="N2480" s="1" t="s">
        <v>1001</v>
      </c>
      <c r="O2480" s="1" t="s">
        <v>230</v>
      </c>
      <c r="P2480" s="1" t="s">
        <v>231</v>
      </c>
      <c r="Q2480" s="1" t="s">
        <v>232</v>
      </c>
      <c r="R2480" s="1" t="s">
        <v>32</v>
      </c>
      <c r="S2480" s="1" t="s">
        <v>233</v>
      </c>
      <c r="T2480" s="1" t="s">
        <v>32</v>
      </c>
      <c r="U2480" s="1" t="s">
        <v>234</v>
      </c>
      <c r="V2480" s="1" t="s">
        <v>235</v>
      </c>
      <c r="W2480" s="1" t="s">
        <v>48</v>
      </c>
      <c r="X2480" s="1" t="s">
        <v>236</v>
      </c>
      <c r="Y2480" s="1" t="s">
        <v>237</v>
      </c>
      <c r="Z2480" s="1" t="str">
        <f>TRIM(_xlfn.CONCAT(sales_data_sample[[#This Row],[CONTACTFIRSTNAME]],", ",sales_data_sample[[#This Row],[CONTACTLASTNAME]]))</f>
        <v>Diego, Freyre</v>
      </c>
      <c r="AA2480" s="1" t="s">
        <v>59</v>
      </c>
    </row>
    <row r="2481" spans="1:27" x14ac:dyDescent="0.25">
      <c r="A2481" s="10">
        <v>10373</v>
      </c>
      <c r="B2481" s="9">
        <v>44</v>
      </c>
      <c r="C2481" s="9">
        <v>100</v>
      </c>
      <c r="D2481" s="9">
        <f>PRODUCT(sales_data_sample[[#This Row],[QUANTITYORDERED]],sales_data_sample[[#This Row],[PRICEEACH]])</f>
        <v>4400</v>
      </c>
      <c r="E2481" s="9">
        <f>IF(OR(sales_data_sample[[#This Row],[STATUS]]="Shipped",sales_data_sample[[#This Row],[STATUS]]="Resolved"),sales_data_sample[[#This Row],[SALES]],0)</f>
        <v>4400</v>
      </c>
      <c r="F2481" s="10">
        <v>14</v>
      </c>
      <c r="G2481" s="12" t="s">
        <v>536</v>
      </c>
      <c r="H2481" s="1" t="s">
        <v>26</v>
      </c>
      <c r="I2481">
        <v>1</v>
      </c>
      <c r="J2481">
        <v>1</v>
      </c>
      <c r="K2481">
        <v>2005</v>
      </c>
      <c r="L2481" s="1" t="s">
        <v>905</v>
      </c>
      <c r="M2481">
        <v>66</v>
      </c>
      <c r="N2481" s="1" t="s">
        <v>1001</v>
      </c>
      <c r="O2481" s="1" t="s">
        <v>537</v>
      </c>
      <c r="P2481" s="1" t="s">
        <v>538</v>
      </c>
      <c r="Q2481" s="1" t="s">
        <v>539</v>
      </c>
      <c r="R2481" s="1" t="s">
        <v>32</v>
      </c>
      <c r="S2481" s="1" t="s">
        <v>540</v>
      </c>
      <c r="T2481" s="1" t="s">
        <v>32</v>
      </c>
      <c r="U2481" s="1" t="s">
        <v>541</v>
      </c>
      <c r="V2481" s="1" t="s">
        <v>170</v>
      </c>
      <c r="W2481" s="1" t="s">
        <v>48</v>
      </c>
      <c r="X2481" s="1" t="s">
        <v>542</v>
      </c>
      <c r="Y2481" s="1" t="s">
        <v>543</v>
      </c>
      <c r="Z2481" s="1" t="str">
        <f>TRIM(_xlfn.CONCAT(sales_data_sample[[#This Row],[CONTACTFIRSTNAME]],", ",sales_data_sample[[#This Row],[CONTACTLASTNAME]]))</f>
        <v>Pirkko, Koskitalo</v>
      </c>
      <c r="AA2481" s="1" t="s">
        <v>59</v>
      </c>
    </row>
    <row r="2482" spans="1:27" x14ac:dyDescent="0.25">
      <c r="A2482" s="10">
        <v>10385</v>
      </c>
      <c r="B2482" s="9">
        <v>25</v>
      </c>
      <c r="C2482" s="9">
        <v>7734</v>
      </c>
      <c r="D2482" s="9">
        <f>PRODUCT(sales_data_sample[[#This Row],[QUANTITYORDERED]],sales_data_sample[[#This Row],[PRICEEACH]])</f>
        <v>193350</v>
      </c>
      <c r="E2482" s="9">
        <f>IF(OR(sales_data_sample[[#This Row],[STATUS]]="Shipped",sales_data_sample[[#This Row],[STATUS]]="Resolved"),sales_data_sample[[#This Row],[SALES]],0)</f>
        <v>193350</v>
      </c>
      <c r="F2482" s="10">
        <v>1</v>
      </c>
      <c r="G2482" s="12" t="s">
        <v>976</v>
      </c>
      <c r="H2482" s="1" t="s">
        <v>26</v>
      </c>
      <c r="I2482">
        <v>1</v>
      </c>
      <c r="J2482">
        <v>2</v>
      </c>
      <c r="K2482">
        <v>2005</v>
      </c>
      <c r="L2482" s="1" t="s">
        <v>905</v>
      </c>
      <c r="M2482">
        <v>66</v>
      </c>
      <c r="N2482" s="1" t="s">
        <v>1001</v>
      </c>
      <c r="O2482" s="1" t="s">
        <v>361</v>
      </c>
      <c r="P2482" s="1" t="s">
        <v>362</v>
      </c>
      <c r="Q2482" s="1" t="s">
        <v>363</v>
      </c>
      <c r="R2482" s="1" t="s">
        <v>32</v>
      </c>
      <c r="S2482" s="1" t="s">
        <v>364</v>
      </c>
      <c r="T2482" s="1" t="s">
        <v>65</v>
      </c>
      <c r="U2482" s="1" t="s">
        <v>145</v>
      </c>
      <c r="V2482" s="1" t="s">
        <v>36</v>
      </c>
      <c r="W2482" s="1" t="s">
        <v>37</v>
      </c>
      <c r="X2482" s="1" t="s">
        <v>365</v>
      </c>
      <c r="Y2482" s="1" t="s">
        <v>366</v>
      </c>
      <c r="Z2482" s="1" t="str">
        <f>TRIM(_xlfn.CONCAT(sales_data_sample[[#This Row],[CONTACTFIRSTNAME]],", ",sales_data_sample[[#This Row],[CONTACTLASTNAME]]))</f>
        <v>Valarie, Nelson</v>
      </c>
      <c r="AA2482" s="1" t="s">
        <v>40</v>
      </c>
    </row>
    <row r="2483" spans="1:27" x14ac:dyDescent="0.25">
      <c r="A2483" s="10">
        <v>10396</v>
      </c>
      <c r="B2483" s="9">
        <v>39</v>
      </c>
      <c r="C2483" s="9">
        <v>6667</v>
      </c>
      <c r="D2483" s="9">
        <f>PRODUCT(sales_data_sample[[#This Row],[QUANTITYORDERED]],sales_data_sample[[#This Row],[PRICEEACH]])</f>
        <v>260013</v>
      </c>
      <c r="E2483" s="9">
        <f>IF(OR(sales_data_sample[[#This Row],[STATUS]]="Shipped",sales_data_sample[[#This Row],[STATUS]]="Resolved"),sales_data_sample[[#This Row],[SALES]],0)</f>
        <v>260013</v>
      </c>
      <c r="F2483" s="10">
        <v>1</v>
      </c>
      <c r="G2483" s="12" t="s">
        <v>738</v>
      </c>
      <c r="H2483" s="1" t="s">
        <v>26</v>
      </c>
      <c r="I2483">
        <v>1</v>
      </c>
      <c r="J2483">
        <v>3</v>
      </c>
      <c r="K2483">
        <v>2005</v>
      </c>
      <c r="L2483" s="1" t="s">
        <v>905</v>
      </c>
      <c r="M2483">
        <v>66</v>
      </c>
      <c r="N2483" s="1" t="s">
        <v>1001</v>
      </c>
      <c r="O2483" s="1" t="s">
        <v>361</v>
      </c>
      <c r="P2483" s="1" t="s">
        <v>362</v>
      </c>
      <c r="Q2483" s="1" t="s">
        <v>363</v>
      </c>
      <c r="R2483" s="1" t="s">
        <v>32</v>
      </c>
      <c r="S2483" s="1" t="s">
        <v>364</v>
      </c>
      <c r="T2483" s="1" t="s">
        <v>65</v>
      </c>
      <c r="U2483" s="1" t="s">
        <v>145</v>
      </c>
      <c r="V2483" s="1" t="s">
        <v>36</v>
      </c>
      <c r="W2483" s="1" t="s">
        <v>37</v>
      </c>
      <c r="X2483" s="1" t="s">
        <v>365</v>
      </c>
      <c r="Y2483" s="1" t="s">
        <v>366</v>
      </c>
      <c r="Z2483" s="1" t="str">
        <f>TRIM(_xlfn.CONCAT(sales_data_sample[[#This Row],[CONTACTFIRSTNAME]],", ",sales_data_sample[[#This Row],[CONTACTLASTNAME]]))</f>
        <v>Valarie, Nelson</v>
      </c>
      <c r="AA2483" s="1" t="s">
        <v>40</v>
      </c>
    </row>
    <row r="2484" spans="1:27" x14ac:dyDescent="0.25">
      <c r="A2484" s="10">
        <v>10414</v>
      </c>
      <c r="B2484" s="9">
        <v>37</v>
      </c>
      <c r="C2484" s="9">
        <v>7134</v>
      </c>
      <c r="D2484" s="9">
        <f>PRODUCT(sales_data_sample[[#This Row],[QUANTITYORDERED]],sales_data_sample[[#This Row],[PRICEEACH]])</f>
        <v>263958</v>
      </c>
      <c r="E2484" s="9">
        <f>IF(OR(sales_data_sample[[#This Row],[STATUS]]="Shipped",sales_data_sample[[#This Row],[STATUS]]="Resolved"),sales_data_sample[[#This Row],[SALES]],0)</f>
        <v>0</v>
      </c>
      <c r="F2484" s="10">
        <v>6</v>
      </c>
      <c r="G2484" s="12" t="s">
        <v>552</v>
      </c>
      <c r="H2484" s="1" t="s">
        <v>553</v>
      </c>
      <c r="I2484">
        <v>2</v>
      </c>
      <c r="J2484">
        <v>5</v>
      </c>
      <c r="K2484">
        <v>2005</v>
      </c>
      <c r="L2484" s="1" t="s">
        <v>905</v>
      </c>
      <c r="M2484">
        <v>66</v>
      </c>
      <c r="N2484" s="1" t="s">
        <v>1001</v>
      </c>
      <c r="O2484" s="1" t="s">
        <v>516</v>
      </c>
      <c r="P2484" s="1" t="s">
        <v>517</v>
      </c>
      <c r="Q2484" s="1" t="s">
        <v>518</v>
      </c>
      <c r="R2484" s="1" t="s">
        <v>32</v>
      </c>
      <c r="S2484" s="1" t="s">
        <v>519</v>
      </c>
      <c r="T2484" s="1" t="s">
        <v>160</v>
      </c>
      <c r="U2484" s="1" t="s">
        <v>520</v>
      </c>
      <c r="V2484" s="1" t="s">
        <v>36</v>
      </c>
      <c r="W2484" s="1" t="s">
        <v>37</v>
      </c>
      <c r="X2484" s="1" t="s">
        <v>521</v>
      </c>
      <c r="Y2484" s="1" t="s">
        <v>82</v>
      </c>
      <c r="Z2484" s="1" t="str">
        <f>TRIM(_xlfn.CONCAT(sales_data_sample[[#This Row],[CONTACTFIRSTNAME]],", ",sales_data_sample[[#This Row],[CONTACTLASTNAME]]))</f>
        <v>Juri, Yoshido</v>
      </c>
      <c r="AA2484" s="1" t="s">
        <v>40</v>
      </c>
    </row>
    <row r="2485" spans="1:27" x14ac:dyDescent="0.25">
      <c r="A2485" s="10">
        <v>10106</v>
      </c>
      <c r="B2485" s="9">
        <v>31</v>
      </c>
      <c r="C2485" s="9">
        <v>100</v>
      </c>
      <c r="D2485" s="9">
        <f>PRODUCT(sales_data_sample[[#This Row],[QUANTITYORDERED]],sales_data_sample[[#This Row],[PRICEEACH]])</f>
        <v>3100</v>
      </c>
      <c r="E2485" s="9">
        <f>IF(OR(sales_data_sample[[#This Row],[STATUS]]="Shipped",sales_data_sample[[#This Row],[STATUS]]="Resolved"),sales_data_sample[[#This Row],[SALES]],0)</f>
        <v>3100</v>
      </c>
      <c r="F2485" s="10">
        <v>7</v>
      </c>
      <c r="G2485" s="12" t="s">
        <v>838</v>
      </c>
      <c r="H2485" s="1" t="s">
        <v>26</v>
      </c>
      <c r="I2485">
        <v>1</v>
      </c>
      <c r="J2485">
        <v>2</v>
      </c>
      <c r="K2485">
        <v>2003</v>
      </c>
      <c r="L2485" s="1" t="s">
        <v>839</v>
      </c>
      <c r="M2485">
        <v>91</v>
      </c>
      <c r="N2485" s="1" t="s">
        <v>1002</v>
      </c>
      <c r="O2485" s="1" t="s">
        <v>806</v>
      </c>
      <c r="P2485" s="1" t="s">
        <v>807</v>
      </c>
      <c r="Q2485" s="1" t="s">
        <v>808</v>
      </c>
      <c r="R2485" s="1" t="s">
        <v>32</v>
      </c>
      <c r="S2485" s="1" t="s">
        <v>809</v>
      </c>
      <c r="T2485" s="1" t="s">
        <v>32</v>
      </c>
      <c r="U2485" s="1" t="s">
        <v>810</v>
      </c>
      <c r="V2485" s="1" t="s">
        <v>343</v>
      </c>
      <c r="W2485" s="1" t="s">
        <v>48</v>
      </c>
      <c r="X2485" s="1" t="s">
        <v>811</v>
      </c>
      <c r="Y2485" s="1" t="s">
        <v>812</v>
      </c>
      <c r="Z2485" s="1" t="str">
        <f>TRIM(_xlfn.CONCAT(sales_data_sample[[#This Row],[CONTACTFIRSTNAME]],", ",sales_data_sample[[#This Row],[CONTACTLASTNAME]]))</f>
        <v>Giovanni, Rovelli</v>
      </c>
      <c r="AA2485" s="1" t="s">
        <v>59</v>
      </c>
    </row>
    <row r="2486" spans="1:27" x14ac:dyDescent="0.25">
      <c r="A2486">
        <v>10120</v>
      </c>
      <c r="B2486">
        <v>47</v>
      </c>
      <c r="C2486">
        <v>8221</v>
      </c>
      <c r="D2486">
        <f>PRODUCT(sales_data_sample[[#This Row],[QUANTITYORDERED]],sales_data_sample[[#This Row],[PRICEEACH]])</f>
        <v>386387</v>
      </c>
      <c r="E2486" s="9">
        <f>IF(OR(sales_data_sample[[#This Row],[STATUS]]="Shipped",sales_data_sample[[#This Row],[STATUS]]="Resolved"),sales_data_sample[[#This Row],[SALES]],0)</f>
        <v>386387</v>
      </c>
      <c r="F2486">
        <v>13</v>
      </c>
      <c r="G2486" s="12" t="s">
        <v>405</v>
      </c>
      <c r="H2486" s="1" t="s">
        <v>26</v>
      </c>
      <c r="I2486">
        <v>2</v>
      </c>
      <c r="J2486">
        <v>4</v>
      </c>
      <c r="K2486">
        <v>2003</v>
      </c>
      <c r="L2486" s="1" t="s">
        <v>839</v>
      </c>
      <c r="M2486">
        <v>91</v>
      </c>
      <c r="N2486" s="1" t="s">
        <v>1002</v>
      </c>
      <c r="O2486" s="1" t="s">
        <v>113</v>
      </c>
      <c r="P2486" s="1" t="s">
        <v>114</v>
      </c>
      <c r="Q2486" s="1" t="s">
        <v>115</v>
      </c>
      <c r="R2486" s="1" t="s">
        <v>116</v>
      </c>
      <c r="S2486" s="1" t="s">
        <v>117</v>
      </c>
      <c r="T2486" s="1" t="s">
        <v>118</v>
      </c>
      <c r="U2486" s="1" t="s">
        <v>119</v>
      </c>
      <c r="V2486" s="1" t="s">
        <v>120</v>
      </c>
      <c r="W2486" s="1" t="s">
        <v>121</v>
      </c>
      <c r="X2486" s="1" t="s">
        <v>122</v>
      </c>
      <c r="Y2486" s="1" t="s">
        <v>123</v>
      </c>
      <c r="Z2486" s="1" t="str">
        <f>TRIM(_xlfn.CONCAT(sales_data_sample[[#This Row],[CONTACTFIRSTNAME]],", ",sales_data_sample[[#This Row],[CONTACTLASTNAME]]))</f>
        <v>Peter, Ferguson</v>
      </c>
      <c r="AA2486" s="1" t="s">
        <v>59</v>
      </c>
    </row>
    <row r="2487" spans="1:27" x14ac:dyDescent="0.25">
      <c r="A2487" s="10">
        <v>10133</v>
      </c>
      <c r="B2487" s="9">
        <v>24</v>
      </c>
      <c r="C2487" s="9">
        <v>7764</v>
      </c>
      <c r="D2487" s="9">
        <f>PRODUCT(sales_data_sample[[#This Row],[QUANTITYORDERED]],sales_data_sample[[#This Row],[PRICEEACH]])</f>
        <v>186336</v>
      </c>
      <c r="E2487" s="9">
        <f>IF(OR(sales_data_sample[[#This Row],[STATUS]]="Shipped",sales_data_sample[[#This Row],[STATUS]]="Resolved"),sales_data_sample[[#This Row],[SALES]],0)</f>
        <v>186336</v>
      </c>
      <c r="F2487" s="10">
        <v>8</v>
      </c>
      <c r="G2487" s="12" t="s">
        <v>891</v>
      </c>
      <c r="H2487" s="1" t="s">
        <v>26</v>
      </c>
      <c r="I2487">
        <v>2</v>
      </c>
      <c r="J2487">
        <v>6</v>
      </c>
      <c r="K2487">
        <v>2003</v>
      </c>
      <c r="L2487" s="1" t="s">
        <v>839</v>
      </c>
      <c r="M2487">
        <v>91</v>
      </c>
      <c r="N2487" s="1" t="s">
        <v>1002</v>
      </c>
      <c r="O2487" s="1" t="s">
        <v>230</v>
      </c>
      <c r="P2487" s="1" t="s">
        <v>231</v>
      </c>
      <c r="Q2487" s="1" t="s">
        <v>232</v>
      </c>
      <c r="R2487" s="1" t="s">
        <v>32</v>
      </c>
      <c r="S2487" s="1" t="s">
        <v>233</v>
      </c>
      <c r="T2487" s="1" t="s">
        <v>32</v>
      </c>
      <c r="U2487" s="1" t="s">
        <v>234</v>
      </c>
      <c r="V2487" s="1" t="s">
        <v>235</v>
      </c>
      <c r="W2487" s="1" t="s">
        <v>48</v>
      </c>
      <c r="X2487" s="1" t="s">
        <v>236</v>
      </c>
      <c r="Y2487" s="1" t="s">
        <v>237</v>
      </c>
      <c r="Z2487" s="1" t="str">
        <f>TRIM(_xlfn.CONCAT(sales_data_sample[[#This Row],[CONTACTFIRSTNAME]],", ",sales_data_sample[[#This Row],[CONTACTLASTNAME]]))</f>
        <v>Diego, Freyre</v>
      </c>
      <c r="AA2487" s="1" t="s">
        <v>40</v>
      </c>
    </row>
    <row r="2488" spans="1:27" x14ac:dyDescent="0.25">
      <c r="A2488" s="10">
        <v>10143</v>
      </c>
      <c r="B2488" s="9">
        <v>36</v>
      </c>
      <c r="C2488" s="9">
        <v>100</v>
      </c>
      <c r="D2488" s="9">
        <f>PRODUCT(sales_data_sample[[#This Row],[QUANTITYORDERED]],sales_data_sample[[#This Row],[PRICEEACH]])</f>
        <v>3600</v>
      </c>
      <c r="E2488" s="9">
        <f>IF(OR(sales_data_sample[[#This Row],[STATUS]]="Shipped",sales_data_sample[[#This Row],[STATUS]]="Resolved"),sales_data_sample[[#This Row],[SALES]],0)</f>
        <v>3600</v>
      </c>
      <c r="F2488" s="10">
        <v>2</v>
      </c>
      <c r="G2488" s="12" t="s">
        <v>453</v>
      </c>
      <c r="H2488" s="1" t="s">
        <v>26</v>
      </c>
      <c r="I2488">
        <v>3</v>
      </c>
      <c r="J2488">
        <v>8</v>
      </c>
      <c r="K2488">
        <v>2003</v>
      </c>
      <c r="L2488" s="1" t="s">
        <v>839</v>
      </c>
      <c r="M2488">
        <v>91</v>
      </c>
      <c r="N2488" s="1" t="s">
        <v>1002</v>
      </c>
      <c r="O2488" s="1" t="s">
        <v>454</v>
      </c>
      <c r="P2488" s="1" t="s">
        <v>455</v>
      </c>
      <c r="Q2488" s="1" t="s">
        <v>456</v>
      </c>
      <c r="R2488" s="1" t="s">
        <v>32</v>
      </c>
      <c r="S2488" s="1" t="s">
        <v>215</v>
      </c>
      <c r="T2488" s="1" t="s">
        <v>160</v>
      </c>
      <c r="U2488" s="1" t="s">
        <v>216</v>
      </c>
      <c r="V2488" s="1" t="s">
        <v>36</v>
      </c>
      <c r="W2488" s="1" t="s">
        <v>37</v>
      </c>
      <c r="X2488" s="1" t="s">
        <v>457</v>
      </c>
      <c r="Y2488" s="1" t="s">
        <v>458</v>
      </c>
      <c r="Z2488" s="1" t="str">
        <f>TRIM(_xlfn.CONCAT(sales_data_sample[[#This Row],[CONTACTFIRSTNAME]],", ",sales_data_sample[[#This Row],[CONTACTLASTNAME]]))</f>
        <v>Wing C, Tam</v>
      </c>
      <c r="AA2488" s="1" t="s">
        <v>59</v>
      </c>
    </row>
    <row r="2489" spans="1:27" x14ac:dyDescent="0.25">
      <c r="A2489" s="10">
        <v>10156</v>
      </c>
      <c r="B2489" s="9">
        <v>48</v>
      </c>
      <c r="C2489" s="9">
        <v>100</v>
      </c>
      <c r="D2489" s="9">
        <f>PRODUCT(sales_data_sample[[#This Row],[QUANTITYORDERED]],sales_data_sample[[#This Row],[PRICEEACH]])</f>
        <v>4800</v>
      </c>
      <c r="E2489" s="9">
        <f>IF(OR(sales_data_sample[[#This Row],[STATUS]]="Shipped",sales_data_sample[[#This Row],[STATUS]]="Resolved"),sales_data_sample[[#This Row],[SALES]],0)</f>
        <v>4800</v>
      </c>
      <c r="F2489" s="10">
        <v>2</v>
      </c>
      <c r="G2489" s="12" t="s">
        <v>997</v>
      </c>
      <c r="H2489" s="1" t="s">
        <v>26</v>
      </c>
      <c r="I2489">
        <v>4</v>
      </c>
      <c r="J2489">
        <v>10</v>
      </c>
      <c r="K2489">
        <v>2003</v>
      </c>
      <c r="L2489" s="1" t="s">
        <v>839</v>
      </c>
      <c r="M2489">
        <v>91</v>
      </c>
      <c r="N2489" s="1" t="s">
        <v>1002</v>
      </c>
      <c r="O2489" s="1" t="s">
        <v>230</v>
      </c>
      <c r="P2489" s="1" t="s">
        <v>231</v>
      </c>
      <c r="Q2489" s="1" t="s">
        <v>232</v>
      </c>
      <c r="R2489" s="1" t="s">
        <v>32</v>
      </c>
      <c r="S2489" s="1" t="s">
        <v>233</v>
      </c>
      <c r="T2489" s="1" t="s">
        <v>32</v>
      </c>
      <c r="U2489" s="1" t="s">
        <v>234</v>
      </c>
      <c r="V2489" s="1" t="s">
        <v>235</v>
      </c>
      <c r="W2489" s="1" t="s">
        <v>48</v>
      </c>
      <c r="X2489" s="1" t="s">
        <v>236</v>
      </c>
      <c r="Y2489" s="1" t="s">
        <v>237</v>
      </c>
      <c r="Z2489" s="1" t="str">
        <f>TRIM(_xlfn.CONCAT(sales_data_sample[[#This Row],[CONTACTFIRSTNAME]],", ",sales_data_sample[[#This Row],[CONTACTLASTNAME]]))</f>
        <v>Diego, Freyre</v>
      </c>
      <c r="AA2489" s="1" t="s">
        <v>59</v>
      </c>
    </row>
    <row r="2490" spans="1:27" x14ac:dyDescent="0.25">
      <c r="A2490" s="10">
        <v>10168</v>
      </c>
      <c r="B2490" s="9">
        <v>28</v>
      </c>
      <c r="C2490" s="9">
        <v>9865</v>
      </c>
      <c r="D2490" s="9">
        <f>PRODUCT(sales_data_sample[[#This Row],[QUANTITYORDERED]],sales_data_sample[[#This Row],[PRICEEACH]])</f>
        <v>276220</v>
      </c>
      <c r="E2490" s="9">
        <f>IF(OR(sales_data_sample[[#This Row],[STATUS]]="Shipped",sales_data_sample[[#This Row],[STATUS]]="Resolved"),sales_data_sample[[#This Row],[SALES]],0)</f>
        <v>276220</v>
      </c>
      <c r="F2490" s="10">
        <v>14</v>
      </c>
      <c r="G2490" s="12" t="s">
        <v>75</v>
      </c>
      <c r="H2490" s="1" t="s">
        <v>26</v>
      </c>
      <c r="I2490">
        <v>4</v>
      </c>
      <c r="J2490">
        <v>10</v>
      </c>
      <c r="K2490">
        <v>2003</v>
      </c>
      <c r="L2490" s="1" t="s">
        <v>839</v>
      </c>
      <c r="M2490">
        <v>91</v>
      </c>
      <c r="N2490" s="1" t="s">
        <v>1002</v>
      </c>
      <c r="O2490" s="1" t="s">
        <v>76</v>
      </c>
      <c r="P2490" s="1" t="s">
        <v>77</v>
      </c>
      <c r="Q2490" s="1" t="s">
        <v>78</v>
      </c>
      <c r="R2490" s="1" t="s">
        <v>32</v>
      </c>
      <c r="S2490" s="1" t="s">
        <v>79</v>
      </c>
      <c r="T2490" s="1" t="s">
        <v>65</v>
      </c>
      <c r="U2490" s="1" t="s">
        <v>80</v>
      </c>
      <c r="V2490" s="1" t="s">
        <v>36</v>
      </c>
      <c r="W2490" s="1" t="s">
        <v>37</v>
      </c>
      <c r="X2490" s="1" t="s">
        <v>81</v>
      </c>
      <c r="Y2490" s="1" t="s">
        <v>82</v>
      </c>
      <c r="Z2490" s="1" t="str">
        <f>TRIM(_xlfn.CONCAT(sales_data_sample[[#This Row],[CONTACTFIRSTNAME]],", ",sales_data_sample[[#This Row],[CONTACTLASTNAME]]))</f>
        <v>Juri, Hirano</v>
      </c>
      <c r="AA2490" s="1" t="s">
        <v>40</v>
      </c>
    </row>
    <row r="2491" spans="1:27" x14ac:dyDescent="0.25">
      <c r="A2491" s="10">
        <v>10199</v>
      </c>
      <c r="B2491" s="9">
        <v>48</v>
      </c>
      <c r="C2491" s="9">
        <v>8312</v>
      </c>
      <c r="D2491" s="9">
        <f>PRODUCT(sales_data_sample[[#This Row],[QUANTITYORDERED]],sales_data_sample[[#This Row],[PRICEEACH]])</f>
        <v>398976</v>
      </c>
      <c r="E2491" s="9">
        <f>IF(OR(sales_data_sample[[#This Row],[STATUS]]="Shipped",sales_data_sample[[#This Row],[STATUS]]="Resolved"),sales_data_sample[[#This Row],[SALES]],0)</f>
        <v>398976</v>
      </c>
      <c r="F2491" s="10">
        <v>2</v>
      </c>
      <c r="G2491" s="12" t="s">
        <v>100</v>
      </c>
      <c r="H2491" s="1" t="s">
        <v>26</v>
      </c>
      <c r="I2491">
        <v>4</v>
      </c>
      <c r="J2491">
        <v>12</v>
      </c>
      <c r="K2491">
        <v>2003</v>
      </c>
      <c r="L2491" s="1" t="s">
        <v>839</v>
      </c>
      <c r="M2491">
        <v>91</v>
      </c>
      <c r="N2491" s="1" t="s">
        <v>1002</v>
      </c>
      <c r="O2491" s="1" t="s">
        <v>309</v>
      </c>
      <c r="P2491" s="1" t="s">
        <v>310</v>
      </c>
      <c r="Q2491" s="1" t="s">
        <v>311</v>
      </c>
      <c r="R2491" s="1" t="s">
        <v>32</v>
      </c>
      <c r="S2491" s="1" t="s">
        <v>312</v>
      </c>
      <c r="T2491" s="1" t="s">
        <v>65</v>
      </c>
      <c r="U2491" s="1" t="s">
        <v>137</v>
      </c>
      <c r="V2491" s="1" t="s">
        <v>36</v>
      </c>
      <c r="W2491" s="1" t="s">
        <v>37</v>
      </c>
      <c r="X2491" s="1" t="s">
        <v>313</v>
      </c>
      <c r="Y2491" s="1" t="s">
        <v>314</v>
      </c>
      <c r="Z2491" s="1" t="str">
        <f>TRIM(_xlfn.CONCAT(sales_data_sample[[#This Row],[CONTACTFIRSTNAME]],", ",sales_data_sample[[#This Row],[CONTACTLASTNAME]]))</f>
        <v>Steve, Thompson</v>
      </c>
      <c r="AA2491" s="1" t="s">
        <v>59</v>
      </c>
    </row>
    <row r="2492" spans="1:27" x14ac:dyDescent="0.25">
      <c r="A2492" s="10">
        <v>10210</v>
      </c>
      <c r="B2492" s="9">
        <v>21</v>
      </c>
      <c r="C2492" s="9">
        <v>7855</v>
      </c>
      <c r="D2492" s="9">
        <f>PRODUCT(sales_data_sample[[#This Row],[QUANTITYORDERED]],sales_data_sample[[#This Row],[PRICEEACH]])</f>
        <v>164955</v>
      </c>
      <c r="E2492" s="9">
        <f>IF(OR(sales_data_sample[[#This Row],[STATUS]]="Shipped",sales_data_sample[[#This Row],[STATUS]]="Resolved"),sales_data_sample[[#This Row],[SALES]],0)</f>
        <v>164955</v>
      </c>
      <c r="F2492" s="10">
        <v>12</v>
      </c>
      <c r="G2492" s="12" t="s">
        <v>406</v>
      </c>
      <c r="H2492" s="1" t="s">
        <v>26</v>
      </c>
      <c r="I2492">
        <v>1</v>
      </c>
      <c r="J2492">
        <v>1</v>
      </c>
      <c r="K2492">
        <v>2004</v>
      </c>
      <c r="L2492" s="1" t="s">
        <v>839</v>
      </c>
      <c r="M2492">
        <v>91</v>
      </c>
      <c r="N2492" s="1" t="s">
        <v>1002</v>
      </c>
      <c r="O2492" s="1" t="s">
        <v>407</v>
      </c>
      <c r="P2492" s="1" t="s">
        <v>408</v>
      </c>
      <c r="Q2492" s="1" t="s">
        <v>409</v>
      </c>
      <c r="R2492" s="1" t="s">
        <v>32</v>
      </c>
      <c r="S2492" s="1" t="s">
        <v>410</v>
      </c>
      <c r="T2492" s="1" t="s">
        <v>410</v>
      </c>
      <c r="U2492" s="1" t="s">
        <v>411</v>
      </c>
      <c r="V2492" s="1" t="s">
        <v>264</v>
      </c>
      <c r="W2492" s="1" t="s">
        <v>264</v>
      </c>
      <c r="X2492" s="1" t="s">
        <v>412</v>
      </c>
      <c r="Y2492" s="1" t="s">
        <v>413</v>
      </c>
      <c r="Z2492" s="1" t="str">
        <f>TRIM(_xlfn.CONCAT(sales_data_sample[[#This Row],[CONTACTFIRSTNAME]],", ",sales_data_sample[[#This Row],[CONTACTLASTNAME]]))</f>
        <v>Mory, Kentary</v>
      </c>
      <c r="AA2492" s="1" t="s">
        <v>40</v>
      </c>
    </row>
    <row r="2493" spans="1:27" x14ac:dyDescent="0.25">
      <c r="A2493">
        <v>10223</v>
      </c>
      <c r="B2493">
        <v>25</v>
      </c>
      <c r="C2493">
        <v>100</v>
      </c>
      <c r="D2493">
        <f>PRODUCT(sales_data_sample[[#This Row],[QUANTITYORDERED]],sales_data_sample[[#This Row],[PRICEEACH]])</f>
        <v>2500</v>
      </c>
      <c r="E2493" s="9">
        <f>IF(OR(sales_data_sample[[#This Row],[STATUS]]="Shipped",sales_data_sample[[#This Row],[STATUS]]="Resolved"),sales_data_sample[[#This Row],[SALES]],0)</f>
        <v>2500</v>
      </c>
      <c r="F2493">
        <v>14</v>
      </c>
      <c r="G2493" s="12" t="s">
        <v>112</v>
      </c>
      <c r="H2493" s="1" t="s">
        <v>26</v>
      </c>
      <c r="I2493">
        <v>1</v>
      </c>
      <c r="J2493">
        <v>2</v>
      </c>
      <c r="K2493">
        <v>2004</v>
      </c>
      <c r="L2493" s="1" t="s">
        <v>839</v>
      </c>
      <c r="M2493">
        <v>91</v>
      </c>
      <c r="N2493" s="1" t="s">
        <v>1002</v>
      </c>
      <c r="O2493" s="1" t="s">
        <v>113</v>
      </c>
      <c r="P2493" s="1" t="s">
        <v>114</v>
      </c>
      <c r="Q2493" s="1" t="s">
        <v>115</v>
      </c>
      <c r="R2493" s="1" t="s">
        <v>116</v>
      </c>
      <c r="S2493" s="1" t="s">
        <v>117</v>
      </c>
      <c r="T2493" s="1" t="s">
        <v>118</v>
      </c>
      <c r="U2493" s="1" t="s">
        <v>119</v>
      </c>
      <c r="V2493" s="1" t="s">
        <v>120</v>
      </c>
      <c r="W2493" s="1" t="s">
        <v>121</v>
      </c>
      <c r="X2493" s="1" t="s">
        <v>122</v>
      </c>
      <c r="Y2493" s="1" t="s">
        <v>123</v>
      </c>
      <c r="Z2493" s="1" t="str">
        <f>TRIM(_xlfn.CONCAT(sales_data_sample[[#This Row],[CONTACTFIRSTNAME]],", ",sales_data_sample[[#This Row],[CONTACTLASTNAME]]))</f>
        <v>Peter, Ferguson</v>
      </c>
      <c r="AA2493" s="1" t="s">
        <v>40</v>
      </c>
    </row>
    <row r="2494" spans="1:27" x14ac:dyDescent="0.25">
      <c r="A2494" s="10">
        <v>10235</v>
      </c>
      <c r="B2494" s="9">
        <v>25</v>
      </c>
      <c r="C2494" s="9">
        <v>100</v>
      </c>
      <c r="D2494" s="9">
        <f>PRODUCT(sales_data_sample[[#This Row],[QUANTITYORDERED]],sales_data_sample[[#This Row],[PRICEEACH]])</f>
        <v>2500</v>
      </c>
      <c r="E2494" s="9">
        <f>IF(OR(sales_data_sample[[#This Row],[STATUS]]="Shipped",sales_data_sample[[#This Row],[STATUS]]="Resolved"),sales_data_sample[[#This Row],[SALES]],0)</f>
        <v>2500</v>
      </c>
      <c r="F2494" s="10">
        <v>8</v>
      </c>
      <c r="G2494" s="12" t="s">
        <v>892</v>
      </c>
      <c r="H2494" s="1" t="s">
        <v>26</v>
      </c>
      <c r="I2494">
        <v>2</v>
      </c>
      <c r="J2494">
        <v>4</v>
      </c>
      <c r="K2494">
        <v>2004</v>
      </c>
      <c r="L2494" s="1" t="s">
        <v>839</v>
      </c>
      <c r="M2494">
        <v>91</v>
      </c>
      <c r="N2494" s="1" t="s">
        <v>1002</v>
      </c>
      <c r="O2494" s="1" t="s">
        <v>509</v>
      </c>
      <c r="P2494" s="1" t="s">
        <v>510</v>
      </c>
      <c r="Q2494" s="1" t="s">
        <v>511</v>
      </c>
      <c r="R2494" s="1" t="s">
        <v>32</v>
      </c>
      <c r="S2494" s="1" t="s">
        <v>512</v>
      </c>
      <c r="T2494" s="1" t="s">
        <v>303</v>
      </c>
      <c r="U2494" s="1" t="s">
        <v>513</v>
      </c>
      <c r="V2494" s="1" t="s">
        <v>305</v>
      </c>
      <c r="W2494" s="1" t="s">
        <v>37</v>
      </c>
      <c r="X2494" s="1" t="s">
        <v>514</v>
      </c>
      <c r="Y2494" s="1" t="s">
        <v>227</v>
      </c>
      <c r="Z2494" s="1" t="str">
        <f>TRIM(_xlfn.CONCAT(sales_data_sample[[#This Row],[CONTACTFIRSTNAME]],", ",sales_data_sample[[#This Row],[CONTACTLASTNAME]]))</f>
        <v>Elizabeth, Lincoln</v>
      </c>
      <c r="AA2494" s="1" t="s">
        <v>40</v>
      </c>
    </row>
    <row r="2495" spans="1:27" x14ac:dyDescent="0.25">
      <c r="A2495" s="10">
        <v>10250</v>
      </c>
      <c r="B2495" s="9">
        <v>31</v>
      </c>
      <c r="C2495" s="9">
        <v>9134</v>
      </c>
      <c r="D2495" s="9">
        <f>PRODUCT(sales_data_sample[[#This Row],[QUANTITYORDERED]],sales_data_sample[[#This Row],[PRICEEACH]])</f>
        <v>283154</v>
      </c>
      <c r="E2495" s="9">
        <f>IF(OR(sales_data_sample[[#This Row],[STATUS]]="Shipped",sales_data_sample[[#This Row],[STATUS]]="Resolved"),sales_data_sample[[#This Row],[SALES]],0)</f>
        <v>283154</v>
      </c>
      <c r="F2495" s="10">
        <v>9</v>
      </c>
      <c r="G2495" s="12" t="s">
        <v>849</v>
      </c>
      <c r="H2495" s="1" t="s">
        <v>26</v>
      </c>
      <c r="I2495">
        <v>2</v>
      </c>
      <c r="J2495">
        <v>5</v>
      </c>
      <c r="K2495">
        <v>2004</v>
      </c>
      <c r="L2495" s="1" t="s">
        <v>839</v>
      </c>
      <c r="M2495">
        <v>91</v>
      </c>
      <c r="N2495" s="1" t="s">
        <v>1002</v>
      </c>
      <c r="O2495" s="1" t="s">
        <v>547</v>
      </c>
      <c r="P2495" s="1" t="s">
        <v>548</v>
      </c>
      <c r="Q2495" s="1" t="s">
        <v>549</v>
      </c>
      <c r="R2495" s="1" t="s">
        <v>32</v>
      </c>
      <c r="S2495" s="1" t="s">
        <v>550</v>
      </c>
      <c r="T2495" s="1" t="s">
        <v>65</v>
      </c>
      <c r="U2495" s="1" t="s">
        <v>80</v>
      </c>
      <c r="V2495" s="1" t="s">
        <v>36</v>
      </c>
      <c r="W2495" s="1" t="s">
        <v>37</v>
      </c>
      <c r="X2495" s="1" t="s">
        <v>129</v>
      </c>
      <c r="Y2495" s="1" t="s">
        <v>551</v>
      </c>
      <c r="Z2495" s="1" t="str">
        <f>TRIM(_xlfn.CONCAT(sales_data_sample[[#This Row],[CONTACTFIRSTNAME]],", ",sales_data_sample[[#This Row],[CONTACTLASTNAME]]))</f>
        <v>Sue, Frick</v>
      </c>
      <c r="AA2495" s="1" t="s">
        <v>40</v>
      </c>
    </row>
    <row r="2496" spans="1:27" x14ac:dyDescent="0.25">
      <c r="A2496" s="10">
        <v>10262</v>
      </c>
      <c r="B2496" s="9">
        <v>40</v>
      </c>
      <c r="C2496" s="9">
        <v>8403</v>
      </c>
      <c r="D2496" s="9">
        <f>PRODUCT(sales_data_sample[[#This Row],[QUANTITYORDERED]],sales_data_sample[[#This Row],[PRICEEACH]])</f>
        <v>336120</v>
      </c>
      <c r="E2496" s="9">
        <f>IF(OR(sales_data_sample[[#This Row],[STATUS]]="Shipped",sales_data_sample[[#This Row],[STATUS]]="Resolved"),sales_data_sample[[#This Row],[SALES]],0)</f>
        <v>0</v>
      </c>
      <c r="F2496" s="10">
        <v>4</v>
      </c>
      <c r="G2496" s="12" t="s">
        <v>850</v>
      </c>
      <c r="H2496" s="1" t="s">
        <v>461</v>
      </c>
      <c r="I2496">
        <v>2</v>
      </c>
      <c r="J2496">
        <v>6</v>
      </c>
      <c r="K2496">
        <v>2004</v>
      </c>
      <c r="L2496" s="1" t="s">
        <v>839</v>
      </c>
      <c r="M2496">
        <v>91</v>
      </c>
      <c r="N2496" s="1" t="s">
        <v>1002</v>
      </c>
      <c r="O2496" s="1" t="s">
        <v>230</v>
      </c>
      <c r="P2496" s="1" t="s">
        <v>231</v>
      </c>
      <c r="Q2496" s="1" t="s">
        <v>232</v>
      </c>
      <c r="R2496" s="1" t="s">
        <v>32</v>
      </c>
      <c r="S2496" s="1" t="s">
        <v>233</v>
      </c>
      <c r="T2496" s="1" t="s">
        <v>32</v>
      </c>
      <c r="U2496" s="1" t="s">
        <v>234</v>
      </c>
      <c r="V2496" s="1" t="s">
        <v>235</v>
      </c>
      <c r="W2496" s="1" t="s">
        <v>48</v>
      </c>
      <c r="X2496" s="1" t="s">
        <v>236</v>
      </c>
      <c r="Y2496" s="1" t="s">
        <v>237</v>
      </c>
      <c r="Z2496" s="1" t="str">
        <f>TRIM(_xlfn.CONCAT(sales_data_sample[[#This Row],[CONTACTFIRSTNAME]],", ",sales_data_sample[[#This Row],[CONTACTLASTNAME]]))</f>
        <v>Diego, Freyre</v>
      </c>
      <c r="AA2496" s="1" t="s">
        <v>59</v>
      </c>
    </row>
    <row r="2497" spans="1:27" x14ac:dyDescent="0.25">
      <c r="A2497" s="10">
        <v>10275</v>
      </c>
      <c r="B2497" s="9">
        <v>32</v>
      </c>
      <c r="C2497" s="9">
        <v>8951</v>
      </c>
      <c r="D2497" s="9">
        <f>PRODUCT(sales_data_sample[[#This Row],[QUANTITYORDERED]],sales_data_sample[[#This Row],[PRICEEACH]])</f>
        <v>286432</v>
      </c>
      <c r="E2497" s="9">
        <f>IF(OR(sales_data_sample[[#This Row],[STATUS]]="Shipped",sales_data_sample[[#This Row],[STATUS]]="Resolved"),sales_data_sample[[#This Row],[SALES]],0)</f>
        <v>286432</v>
      </c>
      <c r="F2497" s="10">
        <v>14</v>
      </c>
      <c r="G2497" s="12" t="s">
        <v>147</v>
      </c>
      <c r="H2497" s="1" t="s">
        <v>26</v>
      </c>
      <c r="I2497">
        <v>3</v>
      </c>
      <c r="J2497">
        <v>7</v>
      </c>
      <c r="K2497">
        <v>2004</v>
      </c>
      <c r="L2497" s="1" t="s">
        <v>839</v>
      </c>
      <c r="M2497">
        <v>91</v>
      </c>
      <c r="N2497" s="1" t="s">
        <v>1002</v>
      </c>
      <c r="O2497" s="1" t="s">
        <v>148</v>
      </c>
      <c r="P2497" s="1" t="s">
        <v>149</v>
      </c>
      <c r="Q2497" s="1" t="s">
        <v>150</v>
      </c>
      <c r="R2497" s="1" t="s">
        <v>32</v>
      </c>
      <c r="S2497" s="1" t="s">
        <v>151</v>
      </c>
      <c r="T2497" s="1" t="s">
        <v>32</v>
      </c>
      <c r="U2497" s="1" t="s">
        <v>152</v>
      </c>
      <c r="V2497" s="1" t="s">
        <v>47</v>
      </c>
      <c r="W2497" s="1" t="s">
        <v>48</v>
      </c>
      <c r="X2497" s="1" t="s">
        <v>153</v>
      </c>
      <c r="Y2497" s="1" t="s">
        <v>154</v>
      </c>
      <c r="Z2497" s="1" t="str">
        <f>TRIM(_xlfn.CONCAT(sales_data_sample[[#This Row],[CONTACTFIRSTNAME]],", ",sales_data_sample[[#This Row],[CONTACTLASTNAME]]))</f>
        <v>Janine, Labrune</v>
      </c>
      <c r="AA2497" s="1" t="s">
        <v>40</v>
      </c>
    </row>
    <row r="2498" spans="1:27" x14ac:dyDescent="0.25">
      <c r="A2498" s="10">
        <v>10284</v>
      </c>
      <c r="B2498" s="9">
        <v>24</v>
      </c>
      <c r="C2498" s="9">
        <v>8312</v>
      </c>
      <c r="D2498" s="9">
        <f>PRODUCT(sales_data_sample[[#This Row],[QUANTITYORDERED]],sales_data_sample[[#This Row],[PRICEEACH]])</f>
        <v>199488</v>
      </c>
      <c r="E2498" s="9">
        <f>IF(OR(sales_data_sample[[#This Row],[STATUS]]="Shipped",sales_data_sample[[#This Row],[STATUS]]="Resolved"),sales_data_sample[[#This Row],[SALES]],0)</f>
        <v>199488</v>
      </c>
      <c r="F2498" s="10">
        <v>6</v>
      </c>
      <c r="G2498" s="12" t="s">
        <v>851</v>
      </c>
      <c r="H2498" s="1" t="s">
        <v>26</v>
      </c>
      <c r="I2498">
        <v>3</v>
      </c>
      <c r="J2498">
        <v>8</v>
      </c>
      <c r="K2498">
        <v>2004</v>
      </c>
      <c r="L2498" s="1" t="s">
        <v>839</v>
      </c>
      <c r="M2498">
        <v>91</v>
      </c>
      <c r="N2498" s="1" t="s">
        <v>1002</v>
      </c>
      <c r="O2498" s="1" t="s">
        <v>786</v>
      </c>
      <c r="P2498" s="1" t="s">
        <v>787</v>
      </c>
      <c r="Q2498" s="1" t="s">
        <v>788</v>
      </c>
      <c r="R2498" s="1" t="s">
        <v>32</v>
      </c>
      <c r="S2498" s="1" t="s">
        <v>789</v>
      </c>
      <c r="T2498" s="1" t="s">
        <v>32</v>
      </c>
      <c r="U2498" s="1" t="s">
        <v>790</v>
      </c>
      <c r="V2498" s="1" t="s">
        <v>97</v>
      </c>
      <c r="W2498" s="1" t="s">
        <v>48</v>
      </c>
      <c r="X2498" s="1" t="s">
        <v>791</v>
      </c>
      <c r="Y2498" s="1" t="s">
        <v>792</v>
      </c>
      <c r="Z2498" s="1" t="str">
        <f>TRIM(_xlfn.CONCAT(sales_data_sample[[#This Row],[CONTACTFIRSTNAME]],", ",sales_data_sample[[#This Row],[CONTACTLASTNAME]]))</f>
        <v>Jan, Klaeboe</v>
      </c>
      <c r="AA2498" s="1" t="s">
        <v>40</v>
      </c>
    </row>
    <row r="2499" spans="1:27" x14ac:dyDescent="0.25">
      <c r="A2499" s="10">
        <v>10296</v>
      </c>
      <c r="B2499" s="9">
        <v>42</v>
      </c>
      <c r="C2499" s="9">
        <v>100</v>
      </c>
      <c r="D2499" s="9">
        <f>PRODUCT(sales_data_sample[[#This Row],[QUANTITYORDERED]],sales_data_sample[[#This Row],[PRICEEACH]])</f>
        <v>4200</v>
      </c>
      <c r="E2499" s="9">
        <f>IF(OR(sales_data_sample[[#This Row],[STATUS]]="Shipped",sales_data_sample[[#This Row],[STATUS]]="Resolved"),sales_data_sample[[#This Row],[SALES]],0)</f>
        <v>4200</v>
      </c>
      <c r="F2499" s="10">
        <v>2</v>
      </c>
      <c r="G2499" s="12" t="s">
        <v>852</v>
      </c>
      <c r="H2499" s="1" t="s">
        <v>26</v>
      </c>
      <c r="I2499">
        <v>3</v>
      </c>
      <c r="J2499">
        <v>9</v>
      </c>
      <c r="K2499">
        <v>2004</v>
      </c>
      <c r="L2499" s="1" t="s">
        <v>839</v>
      </c>
      <c r="M2499">
        <v>91</v>
      </c>
      <c r="N2499" s="1" t="s">
        <v>1002</v>
      </c>
      <c r="O2499" s="1" t="s">
        <v>853</v>
      </c>
      <c r="P2499" s="1" t="s">
        <v>854</v>
      </c>
      <c r="Q2499" s="1" t="s">
        <v>855</v>
      </c>
      <c r="R2499" s="1" t="s">
        <v>32</v>
      </c>
      <c r="S2499" s="1" t="s">
        <v>856</v>
      </c>
      <c r="T2499" s="1" t="s">
        <v>32</v>
      </c>
      <c r="U2499" s="1" t="s">
        <v>857</v>
      </c>
      <c r="V2499" s="1" t="s">
        <v>617</v>
      </c>
      <c r="W2499" s="1" t="s">
        <v>48</v>
      </c>
      <c r="X2499" s="1" t="s">
        <v>858</v>
      </c>
      <c r="Y2499" s="1" t="s">
        <v>130</v>
      </c>
      <c r="Z2499" s="1" t="str">
        <f>TRIM(_xlfn.CONCAT(sales_data_sample[[#This Row],[CONTACTFIRSTNAME]],", ",sales_data_sample[[#This Row],[CONTACTLASTNAME]]))</f>
        <v>Michael, Donnermeyer</v>
      </c>
      <c r="AA2499" s="1" t="s">
        <v>59</v>
      </c>
    </row>
    <row r="2500" spans="1:27" x14ac:dyDescent="0.25">
      <c r="A2500" s="10">
        <v>10308</v>
      </c>
      <c r="B2500" s="9">
        <v>21</v>
      </c>
      <c r="C2500" s="9">
        <v>100</v>
      </c>
      <c r="D2500" s="9">
        <f>PRODUCT(sales_data_sample[[#This Row],[QUANTITYORDERED]],sales_data_sample[[#This Row],[PRICEEACH]])</f>
        <v>2100</v>
      </c>
      <c r="E2500" s="9">
        <f>IF(OR(sales_data_sample[[#This Row],[STATUS]]="Shipped",sales_data_sample[[#This Row],[STATUS]]="Resolved"),sales_data_sample[[#This Row],[SALES]],0)</f>
        <v>2100</v>
      </c>
      <c r="F2500" s="10">
        <v>12</v>
      </c>
      <c r="G2500" s="12" t="s">
        <v>173</v>
      </c>
      <c r="H2500" s="1" t="s">
        <v>26</v>
      </c>
      <c r="I2500">
        <v>4</v>
      </c>
      <c r="J2500">
        <v>10</v>
      </c>
      <c r="K2500">
        <v>2004</v>
      </c>
      <c r="L2500" s="1" t="s">
        <v>839</v>
      </c>
      <c r="M2500">
        <v>91</v>
      </c>
      <c r="N2500" s="1" t="s">
        <v>1002</v>
      </c>
      <c r="O2500" s="1" t="s">
        <v>425</v>
      </c>
      <c r="P2500" s="1" t="s">
        <v>426</v>
      </c>
      <c r="Q2500" s="1" t="s">
        <v>427</v>
      </c>
      <c r="R2500" s="1" t="s">
        <v>32</v>
      </c>
      <c r="S2500" s="1" t="s">
        <v>428</v>
      </c>
      <c r="T2500" s="1" t="s">
        <v>34</v>
      </c>
      <c r="U2500" s="1" t="s">
        <v>429</v>
      </c>
      <c r="V2500" s="1" t="s">
        <v>36</v>
      </c>
      <c r="W2500" s="1" t="s">
        <v>37</v>
      </c>
      <c r="X2500" s="1" t="s">
        <v>129</v>
      </c>
      <c r="Y2500" s="1" t="s">
        <v>314</v>
      </c>
      <c r="Z2500" s="1" t="str">
        <f>TRIM(_xlfn.CONCAT(sales_data_sample[[#This Row],[CONTACTFIRSTNAME]],", ",sales_data_sample[[#This Row],[CONTACTLASTNAME]]))</f>
        <v>Steve, Frick</v>
      </c>
      <c r="AA2500" s="1" t="s">
        <v>40</v>
      </c>
    </row>
    <row r="2501" spans="1:27" x14ac:dyDescent="0.25">
      <c r="A2501" s="10">
        <v>10316</v>
      </c>
      <c r="B2501" s="9">
        <v>34</v>
      </c>
      <c r="C2501" s="9">
        <v>8221</v>
      </c>
      <c r="D2501" s="9">
        <f>PRODUCT(sales_data_sample[[#This Row],[QUANTITYORDERED]],sales_data_sample[[#This Row],[PRICEEACH]])</f>
        <v>279514</v>
      </c>
      <c r="E2501" s="9">
        <f>IF(OR(sales_data_sample[[#This Row],[STATUS]]="Shipped",sales_data_sample[[#This Row],[STATUS]]="Resolved"),sales_data_sample[[#This Row],[SALES]],0)</f>
        <v>279514</v>
      </c>
      <c r="F2501" s="10">
        <v>4</v>
      </c>
      <c r="G2501" s="12" t="s">
        <v>523</v>
      </c>
      <c r="H2501" s="1" t="s">
        <v>26</v>
      </c>
      <c r="I2501">
        <v>4</v>
      </c>
      <c r="J2501">
        <v>11</v>
      </c>
      <c r="K2501">
        <v>2004</v>
      </c>
      <c r="L2501" s="1" t="s">
        <v>839</v>
      </c>
      <c r="M2501">
        <v>91</v>
      </c>
      <c r="N2501" s="1" t="s">
        <v>1002</v>
      </c>
      <c r="O2501" s="1" t="s">
        <v>524</v>
      </c>
      <c r="P2501" s="1" t="s">
        <v>525</v>
      </c>
      <c r="Q2501" s="1" t="s">
        <v>526</v>
      </c>
      <c r="R2501" s="1" t="s">
        <v>32</v>
      </c>
      <c r="S2501" s="1" t="s">
        <v>527</v>
      </c>
      <c r="T2501" s="1" t="s">
        <v>528</v>
      </c>
      <c r="U2501" s="1" t="s">
        <v>529</v>
      </c>
      <c r="V2501" s="1" t="s">
        <v>225</v>
      </c>
      <c r="W2501" s="1" t="s">
        <v>48</v>
      </c>
      <c r="X2501" s="1" t="s">
        <v>530</v>
      </c>
      <c r="Y2501" s="1" t="s">
        <v>531</v>
      </c>
      <c r="Z2501" s="1" t="str">
        <f>TRIM(_xlfn.CONCAT(sales_data_sample[[#This Row],[CONTACTFIRSTNAME]],", ",sales_data_sample[[#This Row],[CONTACTLASTNAME]]))</f>
        <v>Helen, Bennett</v>
      </c>
      <c r="AA2501" s="1" t="s">
        <v>40</v>
      </c>
    </row>
    <row r="2502" spans="1:27" x14ac:dyDescent="0.25">
      <c r="A2502" s="10">
        <v>10328</v>
      </c>
      <c r="B2502" s="9">
        <v>27</v>
      </c>
      <c r="C2502" s="9">
        <v>100</v>
      </c>
      <c r="D2502" s="9">
        <f>PRODUCT(sales_data_sample[[#This Row],[QUANTITYORDERED]],sales_data_sample[[#This Row],[PRICEEACH]])</f>
        <v>2700</v>
      </c>
      <c r="E2502" s="9">
        <f>IF(OR(sales_data_sample[[#This Row],[STATUS]]="Shipped",sales_data_sample[[#This Row],[STATUS]]="Resolved"),sales_data_sample[[#This Row],[SALES]],0)</f>
        <v>2700</v>
      </c>
      <c r="F2502" s="10">
        <v>8</v>
      </c>
      <c r="G2502" s="12" t="s">
        <v>936</v>
      </c>
      <c r="H2502" s="1" t="s">
        <v>26</v>
      </c>
      <c r="I2502">
        <v>4</v>
      </c>
      <c r="J2502">
        <v>11</v>
      </c>
      <c r="K2502">
        <v>2004</v>
      </c>
      <c r="L2502" s="1" t="s">
        <v>839</v>
      </c>
      <c r="M2502">
        <v>91</v>
      </c>
      <c r="N2502" s="1" t="s">
        <v>1002</v>
      </c>
      <c r="O2502" s="1" t="s">
        <v>806</v>
      </c>
      <c r="P2502" s="1" t="s">
        <v>807</v>
      </c>
      <c r="Q2502" s="1" t="s">
        <v>808</v>
      </c>
      <c r="R2502" s="1" t="s">
        <v>32</v>
      </c>
      <c r="S2502" s="1" t="s">
        <v>809</v>
      </c>
      <c r="T2502" s="1" t="s">
        <v>32</v>
      </c>
      <c r="U2502" s="1" t="s">
        <v>810</v>
      </c>
      <c r="V2502" s="1" t="s">
        <v>343</v>
      </c>
      <c r="W2502" s="1" t="s">
        <v>48</v>
      </c>
      <c r="X2502" s="1" t="s">
        <v>811</v>
      </c>
      <c r="Y2502" s="1" t="s">
        <v>812</v>
      </c>
      <c r="Z2502" s="1" t="str">
        <f>TRIM(_xlfn.CONCAT(sales_data_sample[[#This Row],[CONTACTFIRSTNAME]],", ",sales_data_sample[[#This Row],[CONTACTLASTNAME]]))</f>
        <v>Giovanni, Rovelli</v>
      </c>
      <c r="AA2502" s="1" t="s">
        <v>40</v>
      </c>
    </row>
    <row r="2503" spans="1:27" x14ac:dyDescent="0.25">
      <c r="A2503" s="10">
        <v>10340</v>
      </c>
      <c r="B2503" s="9">
        <v>30</v>
      </c>
      <c r="C2503" s="9">
        <v>886</v>
      </c>
      <c r="D2503" s="9">
        <f>PRODUCT(sales_data_sample[[#This Row],[QUANTITYORDERED]],sales_data_sample[[#This Row],[PRICEEACH]])</f>
        <v>26580</v>
      </c>
      <c r="E2503" s="9">
        <f>IF(OR(sales_data_sample[[#This Row],[STATUS]]="Shipped",sales_data_sample[[#This Row],[STATUS]]="Resolved"),sales_data_sample[[#This Row],[SALES]],0)</f>
        <v>26580</v>
      </c>
      <c r="F2503" s="10">
        <v>5</v>
      </c>
      <c r="G2503" s="12" t="s">
        <v>190</v>
      </c>
      <c r="H2503" s="1" t="s">
        <v>26</v>
      </c>
      <c r="I2503">
        <v>4</v>
      </c>
      <c r="J2503">
        <v>11</v>
      </c>
      <c r="K2503">
        <v>2004</v>
      </c>
      <c r="L2503" s="1" t="s">
        <v>839</v>
      </c>
      <c r="M2503">
        <v>91</v>
      </c>
      <c r="N2503" s="1" t="s">
        <v>1002</v>
      </c>
      <c r="O2503" s="1" t="s">
        <v>478</v>
      </c>
      <c r="P2503" s="1" t="s">
        <v>479</v>
      </c>
      <c r="Q2503" s="1" t="s">
        <v>480</v>
      </c>
      <c r="R2503" s="1" t="s">
        <v>32</v>
      </c>
      <c r="S2503" s="1" t="s">
        <v>481</v>
      </c>
      <c r="T2503" s="1" t="s">
        <v>32</v>
      </c>
      <c r="U2503" s="1" t="s">
        <v>482</v>
      </c>
      <c r="V2503" s="1" t="s">
        <v>235</v>
      </c>
      <c r="W2503" s="1" t="s">
        <v>48</v>
      </c>
      <c r="X2503" s="1" t="s">
        <v>483</v>
      </c>
      <c r="Y2503" s="1" t="s">
        <v>484</v>
      </c>
      <c r="Z2503" s="1" t="str">
        <f>TRIM(_xlfn.CONCAT(sales_data_sample[[#This Row],[CONTACTFIRSTNAME]],", ",sales_data_sample[[#This Row],[CONTACTLASTNAME]]))</f>
        <v>Eduardo, Saavedra</v>
      </c>
      <c r="AA2503" s="1" t="s">
        <v>40</v>
      </c>
    </row>
    <row r="2504" spans="1:27" x14ac:dyDescent="0.25">
      <c r="A2504" s="10">
        <v>10353</v>
      </c>
      <c r="B2504" s="9">
        <v>39</v>
      </c>
      <c r="C2504" s="9">
        <v>100</v>
      </c>
      <c r="D2504" s="9">
        <f>PRODUCT(sales_data_sample[[#This Row],[QUANTITYORDERED]],sales_data_sample[[#This Row],[PRICEEACH]])</f>
        <v>3900</v>
      </c>
      <c r="E2504" s="9">
        <f>IF(OR(sales_data_sample[[#This Row],[STATUS]]="Shipped",sales_data_sample[[#This Row],[STATUS]]="Resolved"),sales_data_sample[[#This Row],[SALES]],0)</f>
        <v>3900</v>
      </c>
      <c r="F2504" s="10">
        <v>9</v>
      </c>
      <c r="G2504" s="12" t="s">
        <v>894</v>
      </c>
      <c r="H2504" s="1" t="s">
        <v>26</v>
      </c>
      <c r="I2504">
        <v>4</v>
      </c>
      <c r="J2504">
        <v>12</v>
      </c>
      <c r="K2504">
        <v>2004</v>
      </c>
      <c r="L2504" s="1" t="s">
        <v>839</v>
      </c>
      <c r="M2504">
        <v>91</v>
      </c>
      <c r="N2504" s="1" t="s">
        <v>1002</v>
      </c>
      <c r="O2504" s="1" t="s">
        <v>842</v>
      </c>
      <c r="P2504" s="1" t="s">
        <v>843</v>
      </c>
      <c r="Q2504" s="1" t="s">
        <v>844</v>
      </c>
      <c r="R2504" s="1" t="s">
        <v>32</v>
      </c>
      <c r="S2504" s="1" t="s">
        <v>734</v>
      </c>
      <c r="T2504" s="1" t="s">
        <v>144</v>
      </c>
      <c r="U2504" s="1" t="s">
        <v>845</v>
      </c>
      <c r="V2504" s="1" t="s">
        <v>36</v>
      </c>
      <c r="W2504" s="1" t="s">
        <v>37</v>
      </c>
      <c r="X2504" s="1" t="s">
        <v>846</v>
      </c>
      <c r="Y2504" s="1" t="s">
        <v>847</v>
      </c>
      <c r="Z2504" s="1" t="str">
        <f>TRIM(_xlfn.CONCAT(sales_data_sample[[#This Row],[CONTACTFIRSTNAME]],", ",sales_data_sample[[#This Row],[CONTACTLASTNAME]]))</f>
        <v>Dan, Lewis</v>
      </c>
      <c r="AA2504" s="1" t="s">
        <v>59</v>
      </c>
    </row>
    <row r="2505" spans="1:27" x14ac:dyDescent="0.25">
      <c r="A2505">
        <v>10361</v>
      </c>
      <c r="B2505">
        <v>20</v>
      </c>
      <c r="C2505">
        <v>6054</v>
      </c>
      <c r="D2505">
        <f>PRODUCT(sales_data_sample[[#This Row],[QUANTITYORDERED]],sales_data_sample[[#This Row],[PRICEEACH]])</f>
        <v>121080</v>
      </c>
      <c r="E2505" s="9">
        <f>IF(OR(sales_data_sample[[#This Row],[STATUS]]="Shipped",sales_data_sample[[#This Row],[STATUS]]="Resolved"),sales_data_sample[[#This Row],[SALES]],0)</f>
        <v>121080</v>
      </c>
      <c r="F2505">
        <v>4</v>
      </c>
      <c r="G2505" s="12" t="s">
        <v>200</v>
      </c>
      <c r="H2505" s="1" t="s">
        <v>26</v>
      </c>
      <c r="I2505">
        <v>4</v>
      </c>
      <c r="J2505">
        <v>12</v>
      </c>
      <c r="K2505">
        <v>2004</v>
      </c>
      <c r="L2505" s="1" t="s">
        <v>839</v>
      </c>
      <c r="M2505">
        <v>91</v>
      </c>
      <c r="N2505" s="1" t="s">
        <v>1002</v>
      </c>
      <c r="O2505" s="1" t="s">
        <v>201</v>
      </c>
      <c r="P2505" s="1" t="s">
        <v>202</v>
      </c>
      <c r="Q2505" s="1" t="s">
        <v>203</v>
      </c>
      <c r="R2505" s="1" t="s">
        <v>204</v>
      </c>
      <c r="S2505" s="1" t="s">
        <v>205</v>
      </c>
      <c r="T2505" s="1" t="s">
        <v>206</v>
      </c>
      <c r="U2505" s="1" t="s">
        <v>207</v>
      </c>
      <c r="V2505" s="1" t="s">
        <v>120</v>
      </c>
      <c r="W2505" s="1" t="s">
        <v>121</v>
      </c>
      <c r="X2505" s="1" t="s">
        <v>208</v>
      </c>
      <c r="Y2505" s="1" t="s">
        <v>209</v>
      </c>
      <c r="Z2505" s="1" t="str">
        <f>TRIM(_xlfn.CONCAT(sales_data_sample[[#This Row],[CONTACTFIRSTNAME]],", ",sales_data_sample[[#This Row],[CONTACTLASTNAME]]))</f>
        <v>Adrian, Huxley</v>
      </c>
      <c r="AA2505" s="1" t="s">
        <v>40</v>
      </c>
    </row>
    <row r="2506" spans="1:27" x14ac:dyDescent="0.25">
      <c r="A2506" s="10">
        <v>10375</v>
      </c>
      <c r="B2506" s="9">
        <v>37</v>
      </c>
      <c r="C2506" s="9">
        <v>8187</v>
      </c>
      <c r="D2506" s="9">
        <f>PRODUCT(sales_data_sample[[#This Row],[QUANTITYORDERED]],sales_data_sample[[#This Row],[PRICEEACH]])</f>
        <v>302919</v>
      </c>
      <c r="E2506" s="9">
        <f>IF(OR(sales_data_sample[[#This Row],[STATUS]]="Shipped",sales_data_sample[[#This Row],[STATUS]]="Resolved"),sales_data_sample[[#This Row],[SALES]],0)</f>
        <v>302919</v>
      </c>
      <c r="F2506" s="10">
        <v>6</v>
      </c>
      <c r="G2506" s="12" t="s">
        <v>210</v>
      </c>
      <c r="H2506" s="1" t="s">
        <v>26</v>
      </c>
      <c r="I2506">
        <v>1</v>
      </c>
      <c r="J2506">
        <v>2</v>
      </c>
      <c r="K2506">
        <v>2005</v>
      </c>
      <c r="L2506" s="1" t="s">
        <v>839</v>
      </c>
      <c r="M2506">
        <v>91</v>
      </c>
      <c r="N2506" s="1" t="s">
        <v>1002</v>
      </c>
      <c r="O2506" s="1" t="s">
        <v>148</v>
      </c>
      <c r="P2506" s="1" t="s">
        <v>149</v>
      </c>
      <c r="Q2506" s="1" t="s">
        <v>150</v>
      </c>
      <c r="R2506" s="1" t="s">
        <v>32</v>
      </c>
      <c r="S2506" s="1" t="s">
        <v>151</v>
      </c>
      <c r="T2506" s="1" t="s">
        <v>32</v>
      </c>
      <c r="U2506" s="1" t="s">
        <v>152</v>
      </c>
      <c r="V2506" s="1" t="s">
        <v>47</v>
      </c>
      <c r="W2506" s="1" t="s">
        <v>48</v>
      </c>
      <c r="X2506" s="1" t="s">
        <v>153</v>
      </c>
      <c r="Y2506" s="1" t="s">
        <v>154</v>
      </c>
      <c r="Z2506" s="1" t="str">
        <f>TRIM(_xlfn.CONCAT(sales_data_sample[[#This Row],[CONTACTFIRSTNAME]],", ",sales_data_sample[[#This Row],[CONTACTLASTNAME]]))</f>
        <v>Janine, Labrune</v>
      </c>
      <c r="AA2506" s="1" t="s">
        <v>59</v>
      </c>
    </row>
    <row r="2507" spans="1:27" x14ac:dyDescent="0.25">
      <c r="A2507" s="10">
        <v>10388</v>
      </c>
      <c r="B2507" s="9">
        <v>46</v>
      </c>
      <c r="C2507" s="9">
        <v>100</v>
      </c>
      <c r="D2507" s="9">
        <f>PRODUCT(sales_data_sample[[#This Row],[QUANTITYORDERED]],sales_data_sample[[#This Row],[PRICEEACH]])</f>
        <v>4600</v>
      </c>
      <c r="E2507" s="9">
        <f>IF(OR(sales_data_sample[[#This Row],[STATUS]]="Shipped",sales_data_sample[[#This Row],[STATUS]]="Resolved"),sales_data_sample[[#This Row],[SALES]],0)</f>
        <v>4600</v>
      </c>
      <c r="F2507" s="10">
        <v>2</v>
      </c>
      <c r="G2507" s="12" t="s">
        <v>211</v>
      </c>
      <c r="H2507" s="1" t="s">
        <v>26</v>
      </c>
      <c r="I2507">
        <v>1</v>
      </c>
      <c r="J2507">
        <v>3</v>
      </c>
      <c r="K2507">
        <v>2005</v>
      </c>
      <c r="L2507" s="1" t="s">
        <v>839</v>
      </c>
      <c r="M2507">
        <v>91</v>
      </c>
      <c r="N2507" s="1" t="s">
        <v>1002</v>
      </c>
      <c r="O2507" s="1" t="s">
        <v>212</v>
      </c>
      <c r="P2507" s="1" t="s">
        <v>213</v>
      </c>
      <c r="Q2507" s="1" t="s">
        <v>214</v>
      </c>
      <c r="R2507" s="1" t="s">
        <v>32</v>
      </c>
      <c r="S2507" s="1" t="s">
        <v>215</v>
      </c>
      <c r="T2507" s="1" t="s">
        <v>160</v>
      </c>
      <c r="U2507" s="1" t="s">
        <v>216</v>
      </c>
      <c r="V2507" s="1" t="s">
        <v>36</v>
      </c>
      <c r="W2507" s="1" t="s">
        <v>37</v>
      </c>
      <c r="X2507" s="1" t="s">
        <v>217</v>
      </c>
      <c r="Y2507" s="1" t="s">
        <v>218</v>
      </c>
      <c r="Z2507" s="1" t="str">
        <f>TRIM(_xlfn.CONCAT(sales_data_sample[[#This Row],[CONTACTFIRSTNAME]],", ",sales_data_sample[[#This Row],[CONTACTLASTNAME]]))</f>
        <v>Violeta, Benitez</v>
      </c>
      <c r="AA2507" s="1" t="s">
        <v>199</v>
      </c>
    </row>
    <row r="2508" spans="1:27" x14ac:dyDescent="0.25">
      <c r="A2508" s="10">
        <v>10398</v>
      </c>
      <c r="B2508" s="9">
        <v>47</v>
      </c>
      <c r="C2508" s="9">
        <v>8769</v>
      </c>
      <c r="D2508" s="9">
        <f>PRODUCT(sales_data_sample[[#This Row],[QUANTITYORDERED]],sales_data_sample[[#This Row],[PRICEEACH]])</f>
        <v>412143</v>
      </c>
      <c r="E2508" s="9">
        <f>IF(OR(sales_data_sample[[#This Row],[STATUS]]="Shipped",sales_data_sample[[#This Row],[STATUS]]="Resolved"),sales_data_sample[[#This Row],[SALES]],0)</f>
        <v>412143</v>
      </c>
      <c r="F2508" s="10">
        <v>6</v>
      </c>
      <c r="G2508" s="12" t="s">
        <v>870</v>
      </c>
      <c r="H2508" s="1" t="s">
        <v>26</v>
      </c>
      <c r="I2508">
        <v>1</v>
      </c>
      <c r="J2508">
        <v>3</v>
      </c>
      <c r="K2508">
        <v>2005</v>
      </c>
      <c r="L2508" s="1" t="s">
        <v>839</v>
      </c>
      <c r="M2508">
        <v>91</v>
      </c>
      <c r="N2508" s="1" t="s">
        <v>1002</v>
      </c>
      <c r="O2508" s="1" t="s">
        <v>42</v>
      </c>
      <c r="P2508" s="1" t="s">
        <v>43</v>
      </c>
      <c r="Q2508" s="1" t="s">
        <v>44</v>
      </c>
      <c r="R2508" s="1" t="s">
        <v>32</v>
      </c>
      <c r="S2508" s="1" t="s">
        <v>45</v>
      </c>
      <c r="T2508" s="1" t="s">
        <v>32</v>
      </c>
      <c r="U2508" s="1" t="s">
        <v>46</v>
      </c>
      <c r="V2508" s="1" t="s">
        <v>47</v>
      </c>
      <c r="W2508" s="1" t="s">
        <v>48</v>
      </c>
      <c r="X2508" s="1" t="s">
        <v>49</v>
      </c>
      <c r="Y2508" s="1" t="s">
        <v>50</v>
      </c>
      <c r="Z2508" s="1" t="str">
        <f>TRIM(_xlfn.CONCAT(sales_data_sample[[#This Row],[CONTACTFIRSTNAME]],", ",sales_data_sample[[#This Row],[CONTACTLASTNAME]]))</f>
        <v>Paul, Henriot</v>
      </c>
      <c r="AA2508" s="1" t="s">
        <v>59</v>
      </c>
    </row>
    <row r="2509" spans="1:27" x14ac:dyDescent="0.25">
      <c r="A2509" s="10">
        <v>10401</v>
      </c>
      <c r="B2509" s="9">
        <v>11</v>
      </c>
      <c r="C2509" s="9">
        <v>100</v>
      </c>
      <c r="D2509" s="9">
        <f>PRODUCT(sales_data_sample[[#This Row],[QUANTITYORDERED]],sales_data_sample[[#This Row],[PRICEEACH]])</f>
        <v>1100</v>
      </c>
      <c r="E2509" s="9">
        <f>IF(OR(sales_data_sample[[#This Row],[STATUS]]="Shipped",sales_data_sample[[#This Row],[STATUS]]="Resolved"),sales_data_sample[[#This Row],[SALES]],0)</f>
        <v>0</v>
      </c>
      <c r="F2509" s="10">
        <v>8</v>
      </c>
      <c r="G2509" s="12" t="s">
        <v>895</v>
      </c>
      <c r="H2509" s="1" t="s">
        <v>553</v>
      </c>
      <c r="I2509">
        <v>2</v>
      </c>
      <c r="J2509">
        <v>4</v>
      </c>
      <c r="K2509">
        <v>2005</v>
      </c>
      <c r="L2509" s="1" t="s">
        <v>839</v>
      </c>
      <c r="M2509">
        <v>91</v>
      </c>
      <c r="N2509" s="1" t="s">
        <v>1002</v>
      </c>
      <c r="O2509" s="1" t="s">
        <v>132</v>
      </c>
      <c r="P2509" s="1" t="s">
        <v>133</v>
      </c>
      <c r="Q2509" s="1" t="s">
        <v>134</v>
      </c>
      <c r="R2509" s="1" t="s">
        <v>32</v>
      </c>
      <c r="S2509" s="1" t="s">
        <v>135</v>
      </c>
      <c r="T2509" s="1" t="s">
        <v>136</v>
      </c>
      <c r="U2509" s="1" t="s">
        <v>137</v>
      </c>
      <c r="V2509" s="1" t="s">
        <v>36</v>
      </c>
      <c r="W2509" s="1" t="s">
        <v>37</v>
      </c>
      <c r="X2509" s="1" t="s">
        <v>74</v>
      </c>
      <c r="Y2509" s="1" t="s">
        <v>138</v>
      </c>
      <c r="Z2509" s="1" t="str">
        <f>TRIM(_xlfn.CONCAT(sales_data_sample[[#This Row],[CONTACTFIRSTNAME]],", ",sales_data_sample[[#This Row],[CONTACTLASTNAME]]))</f>
        <v>William, Brown</v>
      </c>
      <c r="AA2509" s="1" t="s">
        <v>40</v>
      </c>
    </row>
    <row r="2510" spans="1:27" x14ac:dyDescent="0.25">
      <c r="A2510" s="10">
        <v>10416</v>
      </c>
      <c r="B2510" s="9">
        <v>23</v>
      </c>
      <c r="C2510" s="9">
        <v>9134</v>
      </c>
      <c r="D2510" s="9">
        <f>PRODUCT(sales_data_sample[[#This Row],[QUANTITYORDERED]],sales_data_sample[[#This Row],[PRICEEACH]])</f>
        <v>210082</v>
      </c>
      <c r="E2510" s="9">
        <f>IF(OR(sales_data_sample[[#This Row],[STATUS]]="Shipped",sales_data_sample[[#This Row],[STATUS]]="Resolved"),sales_data_sample[[#This Row],[SALES]],0)</f>
        <v>210082</v>
      </c>
      <c r="F2510" s="10">
        <v>9</v>
      </c>
      <c r="G2510" s="12" t="s">
        <v>871</v>
      </c>
      <c r="H2510" s="1" t="s">
        <v>26</v>
      </c>
      <c r="I2510">
        <v>2</v>
      </c>
      <c r="J2510">
        <v>5</v>
      </c>
      <c r="K2510">
        <v>2005</v>
      </c>
      <c r="L2510" s="1" t="s">
        <v>839</v>
      </c>
      <c r="M2510">
        <v>91</v>
      </c>
      <c r="N2510" s="1" t="s">
        <v>1002</v>
      </c>
      <c r="O2510" s="1" t="s">
        <v>632</v>
      </c>
      <c r="P2510" s="1" t="s">
        <v>633</v>
      </c>
      <c r="Q2510" s="1" t="s">
        <v>634</v>
      </c>
      <c r="R2510" s="1" t="s">
        <v>32</v>
      </c>
      <c r="S2510" s="1" t="s">
        <v>635</v>
      </c>
      <c r="T2510" s="1" t="s">
        <v>32</v>
      </c>
      <c r="U2510" s="1" t="s">
        <v>636</v>
      </c>
      <c r="V2510" s="1" t="s">
        <v>343</v>
      </c>
      <c r="W2510" s="1" t="s">
        <v>48</v>
      </c>
      <c r="X2510" s="1" t="s">
        <v>637</v>
      </c>
      <c r="Y2510" s="1" t="s">
        <v>638</v>
      </c>
      <c r="Z2510" s="1" t="str">
        <f>TRIM(_xlfn.CONCAT(sales_data_sample[[#This Row],[CONTACTFIRSTNAME]],", ",sales_data_sample[[#This Row],[CONTACTLASTNAME]]))</f>
        <v>Maurizio, Moroni</v>
      </c>
      <c r="AA2510" s="1" t="s">
        <v>40</v>
      </c>
    </row>
    <row r="2511" spans="1:27" x14ac:dyDescent="0.25">
      <c r="A2511" s="10">
        <v>10105</v>
      </c>
      <c r="B2511" s="9">
        <v>29</v>
      </c>
      <c r="C2511" s="9">
        <v>7015</v>
      </c>
      <c r="D2511" s="9">
        <f>PRODUCT(sales_data_sample[[#This Row],[QUANTITYORDERED]],sales_data_sample[[#This Row],[PRICEEACH]])</f>
        <v>203435</v>
      </c>
      <c r="E2511" s="9">
        <f>IF(OR(sales_data_sample[[#This Row],[STATUS]]="Shipped",sales_data_sample[[#This Row],[STATUS]]="Resolved"),sales_data_sample[[#This Row],[SALES]],0)</f>
        <v>203435</v>
      </c>
      <c r="F2511" s="10">
        <v>12</v>
      </c>
      <c r="G2511" s="12" t="s">
        <v>435</v>
      </c>
      <c r="H2511" s="1" t="s">
        <v>26</v>
      </c>
      <c r="I2511">
        <v>1</v>
      </c>
      <c r="J2511">
        <v>2</v>
      </c>
      <c r="K2511">
        <v>2003</v>
      </c>
      <c r="L2511" s="1" t="s">
        <v>905</v>
      </c>
      <c r="M2511">
        <v>86</v>
      </c>
      <c r="N2511" s="1" t="s">
        <v>1003</v>
      </c>
      <c r="O2511" s="1" t="s">
        <v>437</v>
      </c>
      <c r="P2511" s="1" t="s">
        <v>438</v>
      </c>
      <c r="Q2511" s="1" t="s">
        <v>439</v>
      </c>
      <c r="R2511" s="1" t="s">
        <v>32</v>
      </c>
      <c r="S2511" s="1" t="s">
        <v>440</v>
      </c>
      <c r="T2511" s="1" t="s">
        <v>32</v>
      </c>
      <c r="U2511" s="1" t="s">
        <v>441</v>
      </c>
      <c r="V2511" s="1" t="s">
        <v>442</v>
      </c>
      <c r="W2511" s="1" t="s">
        <v>48</v>
      </c>
      <c r="X2511" s="1" t="s">
        <v>443</v>
      </c>
      <c r="Y2511" s="1" t="s">
        <v>444</v>
      </c>
      <c r="Z2511" s="1" t="str">
        <f>TRIM(_xlfn.CONCAT(sales_data_sample[[#This Row],[CONTACTFIRSTNAME]],", ",sales_data_sample[[#This Row],[CONTACTLASTNAME]]))</f>
        <v>Jytte, Petersen</v>
      </c>
      <c r="AA2511" s="1" t="s">
        <v>40</v>
      </c>
    </row>
    <row r="2512" spans="1:27" x14ac:dyDescent="0.25">
      <c r="A2512" s="10">
        <v>10117</v>
      </c>
      <c r="B2512" s="9">
        <v>38</v>
      </c>
      <c r="C2512" s="9">
        <v>7968</v>
      </c>
      <c r="D2512" s="9">
        <f>PRODUCT(sales_data_sample[[#This Row],[QUANTITYORDERED]],sales_data_sample[[#This Row],[PRICEEACH]])</f>
        <v>302784</v>
      </c>
      <c r="E2512" s="9">
        <f>IF(OR(sales_data_sample[[#This Row],[STATUS]]="Shipped",sales_data_sample[[#This Row],[STATUS]]="Resolved"),sales_data_sample[[#This Row],[SALES]],0)</f>
        <v>302784</v>
      </c>
      <c r="F2512" s="10">
        <v>6</v>
      </c>
      <c r="G2512" s="12" t="s">
        <v>665</v>
      </c>
      <c r="H2512" s="1" t="s">
        <v>26</v>
      </c>
      <c r="I2512">
        <v>2</v>
      </c>
      <c r="J2512">
        <v>4</v>
      </c>
      <c r="K2512">
        <v>2003</v>
      </c>
      <c r="L2512" s="1" t="s">
        <v>905</v>
      </c>
      <c r="M2512">
        <v>86</v>
      </c>
      <c r="N2512" s="1" t="s">
        <v>1003</v>
      </c>
      <c r="O2512" s="1" t="s">
        <v>259</v>
      </c>
      <c r="P2512" s="1" t="s">
        <v>260</v>
      </c>
      <c r="Q2512" s="1" t="s">
        <v>261</v>
      </c>
      <c r="R2512" s="1" t="s">
        <v>32</v>
      </c>
      <c r="S2512" s="1" t="s">
        <v>262</v>
      </c>
      <c r="T2512" s="1" t="s">
        <v>32</v>
      </c>
      <c r="U2512" s="1" t="s">
        <v>263</v>
      </c>
      <c r="V2512" s="1" t="s">
        <v>262</v>
      </c>
      <c r="W2512" s="1" t="s">
        <v>264</v>
      </c>
      <c r="X2512" s="1" t="s">
        <v>265</v>
      </c>
      <c r="Y2512" s="1" t="s">
        <v>266</v>
      </c>
      <c r="Z2512" s="1" t="str">
        <f>TRIM(_xlfn.CONCAT(sales_data_sample[[#This Row],[CONTACTFIRSTNAME]],", ",sales_data_sample[[#This Row],[CONTACTLASTNAME]]))</f>
        <v>Eric, Natividad</v>
      </c>
      <c r="AA2512" s="1" t="s">
        <v>59</v>
      </c>
    </row>
    <row r="2513" spans="1:27" x14ac:dyDescent="0.25">
      <c r="A2513" s="10">
        <v>10128</v>
      </c>
      <c r="B2513" s="9">
        <v>32</v>
      </c>
      <c r="C2513" s="9">
        <v>97</v>
      </c>
      <c r="D2513" s="9">
        <f>PRODUCT(sales_data_sample[[#This Row],[QUANTITYORDERED]],sales_data_sample[[#This Row],[PRICEEACH]])</f>
        <v>3104</v>
      </c>
      <c r="E2513" s="9">
        <f>IF(OR(sales_data_sample[[#This Row],[STATUS]]="Shipped",sales_data_sample[[#This Row],[STATUS]]="Resolved"),sales_data_sample[[#This Row],[SALES]],0)</f>
        <v>3104</v>
      </c>
      <c r="F2513" s="10">
        <v>3</v>
      </c>
      <c r="G2513" s="12" t="s">
        <v>912</v>
      </c>
      <c r="H2513" s="1" t="s">
        <v>26</v>
      </c>
      <c r="I2513">
        <v>2</v>
      </c>
      <c r="J2513">
        <v>6</v>
      </c>
      <c r="K2513">
        <v>2003</v>
      </c>
      <c r="L2513" s="1" t="s">
        <v>905</v>
      </c>
      <c r="M2513">
        <v>86</v>
      </c>
      <c r="N2513" s="1" t="s">
        <v>1003</v>
      </c>
      <c r="O2513" s="1" t="s">
        <v>230</v>
      </c>
      <c r="P2513" s="1" t="s">
        <v>231</v>
      </c>
      <c r="Q2513" s="1" t="s">
        <v>232</v>
      </c>
      <c r="R2513" s="1" t="s">
        <v>32</v>
      </c>
      <c r="S2513" s="1" t="s">
        <v>233</v>
      </c>
      <c r="T2513" s="1" t="s">
        <v>32</v>
      </c>
      <c r="U2513" s="1" t="s">
        <v>234</v>
      </c>
      <c r="V2513" s="1" t="s">
        <v>235</v>
      </c>
      <c r="W2513" s="1" t="s">
        <v>48</v>
      </c>
      <c r="X2513" s="1" t="s">
        <v>236</v>
      </c>
      <c r="Y2513" s="1" t="s">
        <v>237</v>
      </c>
      <c r="Z2513" s="1" t="str">
        <f>TRIM(_xlfn.CONCAT(sales_data_sample[[#This Row],[CONTACTFIRSTNAME]],", ",sales_data_sample[[#This Row],[CONTACTLASTNAME]]))</f>
        <v>Diego, Freyre</v>
      </c>
      <c r="AA2513" s="1" t="s">
        <v>59</v>
      </c>
    </row>
    <row r="2514" spans="1:27" x14ac:dyDescent="0.25">
      <c r="A2514" s="10">
        <v>10142</v>
      </c>
      <c r="B2514" s="9">
        <v>43</v>
      </c>
      <c r="C2514" s="9">
        <v>8401</v>
      </c>
      <c r="D2514" s="9">
        <f>PRODUCT(sales_data_sample[[#This Row],[QUANTITYORDERED]],sales_data_sample[[#This Row],[PRICEEACH]])</f>
        <v>361243</v>
      </c>
      <c r="E2514" s="9">
        <f>IF(OR(sales_data_sample[[#This Row],[STATUS]]="Shipped",sales_data_sample[[#This Row],[STATUS]]="Resolved"),sales_data_sample[[#This Row],[SALES]],0)</f>
        <v>361243</v>
      </c>
      <c r="F2514" s="10">
        <v>9</v>
      </c>
      <c r="G2514" s="12" t="s">
        <v>672</v>
      </c>
      <c r="H2514" s="1" t="s">
        <v>26</v>
      </c>
      <c r="I2514">
        <v>3</v>
      </c>
      <c r="J2514">
        <v>8</v>
      </c>
      <c r="K2514">
        <v>2003</v>
      </c>
      <c r="L2514" s="1" t="s">
        <v>905</v>
      </c>
      <c r="M2514">
        <v>86</v>
      </c>
      <c r="N2514" s="1" t="s">
        <v>1003</v>
      </c>
      <c r="O2514" s="1" t="s">
        <v>361</v>
      </c>
      <c r="P2514" s="1" t="s">
        <v>362</v>
      </c>
      <c r="Q2514" s="1" t="s">
        <v>363</v>
      </c>
      <c r="R2514" s="1" t="s">
        <v>32</v>
      </c>
      <c r="S2514" s="1" t="s">
        <v>364</v>
      </c>
      <c r="T2514" s="1" t="s">
        <v>65</v>
      </c>
      <c r="U2514" s="1" t="s">
        <v>145</v>
      </c>
      <c r="V2514" s="1" t="s">
        <v>36</v>
      </c>
      <c r="W2514" s="1" t="s">
        <v>37</v>
      </c>
      <c r="X2514" s="1" t="s">
        <v>365</v>
      </c>
      <c r="Y2514" s="1" t="s">
        <v>366</v>
      </c>
      <c r="Z2514" s="1" t="str">
        <f>TRIM(_xlfn.CONCAT(sales_data_sample[[#This Row],[CONTACTFIRSTNAME]],", ",sales_data_sample[[#This Row],[CONTACTLASTNAME]]))</f>
        <v>Valarie, Nelson</v>
      </c>
      <c r="AA2514" s="1" t="s">
        <v>59</v>
      </c>
    </row>
    <row r="2515" spans="1:27" x14ac:dyDescent="0.25">
      <c r="A2515" s="10">
        <v>10153</v>
      </c>
      <c r="B2515" s="9">
        <v>31</v>
      </c>
      <c r="C2515" s="9">
        <v>8748</v>
      </c>
      <c r="D2515" s="9">
        <f>PRODUCT(sales_data_sample[[#This Row],[QUANTITYORDERED]],sales_data_sample[[#This Row],[PRICEEACH]])</f>
        <v>271188</v>
      </c>
      <c r="E2515" s="9">
        <f>IF(OR(sales_data_sample[[#This Row],[STATUS]]="Shipped",sales_data_sample[[#This Row],[STATUS]]="Resolved"),sales_data_sample[[#This Row],[SALES]],0)</f>
        <v>271188</v>
      </c>
      <c r="F2515" s="10">
        <v>8</v>
      </c>
      <c r="G2515" s="12" t="s">
        <v>673</v>
      </c>
      <c r="H2515" s="1" t="s">
        <v>26</v>
      </c>
      <c r="I2515">
        <v>3</v>
      </c>
      <c r="J2515">
        <v>9</v>
      </c>
      <c r="K2515">
        <v>2003</v>
      </c>
      <c r="L2515" s="1" t="s">
        <v>905</v>
      </c>
      <c r="M2515">
        <v>86</v>
      </c>
      <c r="N2515" s="1" t="s">
        <v>1003</v>
      </c>
      <c r="O2515" s="1" t="s">
        <v>230</v>
      </c>
      <c r="P2515" s="1" t="s">
        <v>231</v>
      </c>
      <c r="Q2515" s="1" t="s">
        <v>232</v>
      </c>
      <c r="R2515" s="1" t="s">
        <v>32</v>
      </c>
      <c r="S2515" s="1" t="s">
        <v>233</v>
      </c>
      <c r="T2515" s="1" t="s">
        <v>32</v>
      </c>
      <c r="U2515" s="1" t="s">
        <v>234</v>
      </c>
      <c r="V2515" s="1" t="s">
        <v>235</v>
      </c>
      <c r="W2515" s="1" t="s">
        <v>48</v>
      </c>
      <c r="X2515" s="1" t="s">
        <v>236</v>
      </c>
      <c r="Y2515" s="1" t="s">
        <v>237</v>
      </c>
      <c r="Z2515" s="1" t="str">
        <f>TRIM(_xlfn.CONCAT(sales_data_sample[[#This Row],[CONTACTFIRSTNAME]],", ",sales_data_sample[[#This Row],[CONTACTLASTNAME]]))</f>
        <v>Diego, Freyre</v>
      </c>
      <c r="AA2515" s="1" t="s">
        <v>40</v>
      </c>
    </row>
    <row r="2516" spans="1:27" x14ac:dyDescent="0.25">
      <c r="A2516" s="10">
        <v>10166</v>
      </c>
      <c r="B2516" s="9">
        <v>29</v>
      </c>
      <c r="C2516" s="9">
        <v>100</v>
      </c>
      <c r="D2516" s="9">
        <f>PRODUCT(sales_data_sample[[#This Row],[QUANTITYORDERED]],sales_data_sample[[#This Row],[PRICEEACH]])</f>
        <v>2900</v>
      </c>
      <c r="E2516" s="9">
        <f>IF(OR(sales_data_sample[[#This Row],[STATUS]]="Shipped",sales_data_sample[[#This Row],[STATUS]]="Resolved"),sales_data_sample[[#This Row],[SALES]],0)</f>
        <v>2900</v>
      </c>
      <c r="F2516" s="10">
        <v>3</v>
      </c>
      <c r="G2516" s="12" t="s">
        <v>562</v>
      </c>
      <c r="H2516" s="1" t="s">
        <v>26</v>
      </c>
      <c r="I2516">
        <v>4</v>
      </c>
      <c r="J2516">
        <v>10</v>
      </c>
      <c r="K2516">
        <v>2003</v>
      </c>
      <c r="L2516" s="1" t="s">
        <v>905</v>
      </c>
      <c r="M2516">
        <v>86</v>
      </c>
      <c r="N2516" s="1" t="s">
        <v>1003</v>
      </c>
      <c r="O2516" s="1" t="s">
        <v>212</v>
      </c>
      <c r="P2516" s="1" t="s">
        <v>213</v>
      </c>
      <c r="Q2516" s="1" t="s">
        <v>214</v>
      </c>
      <c r="R2516" s="1" t="s">
        <v>32</v>
      </c>
      <c r="S2516" s="1" t="s">
        <v>215</v>
      </c>
      <c r="T2516" s="1" t="s">
        <v>160</v>
      </c>
      <c r="U2516" s="1" t="s">
        <v>216</v>
      </c>
      <c r="V2516" s="1" t="s">
        <v>36</v>
      </c>
      <c r="W2516" s="1" t="s">
        <v>37</v>
      </c>
      <c r="X2516" s="1" t="s">
        <v>217</v>
      </c>
      <c r="Y2516" s="1" t="s">
        <v>218</v>
      </c>
      <c r="Z2516" s="1" t="str">
        <f>TRIM(_xlfn.CONCAT(sales_data_sample[[#This Row],[CONTACTFIRSTNAME]],", ",sales_data_sample[[#This Row],[CONTACTLASTNAME]]))</f>
        <v>Violeta, Benitez</v>
      </c>
      <c r="AA2516" s="1" t="s">
        <v>59</v>
      </c>
    </row>
    <row r="2517" spans="1:27" x14ac:dyDescent="0.25">
      <c r="A2517" s="10">
        <v>10177</v>
      </c>
      <c r="B2517" s="9">
        <v>31</v>
      </c>
      <c r="C2517" s="9">
        <v>8834</v>
      </c>
      <c r="D2517" s="9">
        <f>PRODUCT(sales_data_sample[[#This Row],[QUANTITYORDERED]],sales_data_sample[[#This Row],[PRICEEACH]])</f>
        <v>273854</v>
      </c>
      <c r="E2517" s="9">
        <f>IF(OR(sales_data_sample[[#This Row],[STATUS]]="Shipped",sales_data_sample[[#This Row],[STATUS]]="Resolved"),sales_data_sample[[#This Row],[SALES]],0)</f>
        <v>273854</v>
      </c>
      <c r="F2517" s="10">
        <v>10</v>
      </c>
      <c r="G2517" s="12" t="s">
        <v>913</v>
      </c>
      <c r="H2517" s="1" t="s">
        <v>26</v>
      </c>
      <c r="I2517">
        <v>4</v>
      </c>
      <c r="J2517">
        <v>11</v>
      </c>
      <c r="K2517">
        <v>2003</v>
      </c>
      <c r="L2517" s="1" t="s">
        <v>905</v>
      </c>
      <c r="M2517">
        <v>86</v>
      </c>
      <c r="N2517" s="1" t="s">
        <v>1003</v>
      </c>
      <c r="O2517" s="1" t="s">
        <v>687</v>
      </c>
      <c r="P2517" s="1" t="s">
        <v>688</v>
      </c>
      <c r="Q2517" s="1" t="s">
        <v>689</v>
      </c>
      <c r="R2517" s="1" t="s">
        <v>32</v>
      </c>
      <c r="S2517" s="1" t="s">
        <v>233</v>
      </c>
      <c r="T2517" s="1" t="s">
        <v>32</v>
      </c>
      <c r="U2517" s="1" t="s">
        <v>254</v>
      </c>
      <c r="V2517" s="1" t="s">
        <v>235</v>
      </c>
      <c r="W2517" s="1" t="s">
        <v>48</v>
      </c>
      <c r="X2517" s="1" t="s">
        <v>690</v>
      </c>
      <c r="Y2517" s="1" t="s">
        <v>691</v>
      </c>
      <c r="Z2517" s="1" t="str">
        <f>TRIM(_xlfn.CONCAT(sales_data_sample[[#This Row],[CONTACTFIRSTNAME]],", ",sales_data_sample[[#This Row],[CONTACTLASTNAME]]))</f>
        <v>Jesus, Fernandez</v>
      </c>
      <c r="AA2517" s="1" t="s">
        <v>40</v>
      </c>
    </row>
    <row r="2518" spans="1:27" x14ac:dyDescent="0.25">
      <c r="A2518" s="10">
        <v>10185</v>
      </c>
      <c r="B2518" s="9">
        <v>30</v>
      </c>
      <c r="C2518" s="9">
        <v>944</v>
      </c>
      <c r="D2518" s="9">
        <f>PRODUCT(sales_data_sample[[#This Row],[QUANTITYORDERED]],sales_data_sample[[#This Row],[PRICEEACH]])</f>
        <v>28320</v>
      </c>
      <c r="E2518" s="9">
        <f>IF(OR(sales_data_sample[[#This Row],[STATUS]]="Shipped",sales_data_sample[[#This Row],[STATUS]]="Resolved"),sales_data_sample[[#This Row],[SALES]],0)</f>
        <v>28320</v>
      </c>
      <c r="F2518" s="10">
        <v>10</v>
      </c>
      <c r="G2518" s="12" t="s">
        <v>470</v>
      </c>
      <c r="H2518" s="1" t="s">
        <v>26</v>
      </c>
      <c r="I2518">
        <v>4</v>
      </c>
      <c r="J2518">
        <v>11</v>
      </c>
      <c r="K2518">
        <v>2003</v>
      </c>
      <c r="L2518" s="1" t="s">
        <v>905</v>
      </c>
      <c r="M2518">
        <v>86</v>
      </c>
      <c r="N2518" s="1" t="s">
        <v>1003</v>
      </c>
      <c r="O2518" s="1" t="s">
        <v>454</v>
      </c>
      <c r="P2518" s="1" t="s">
        <v>455</v>
      </c>
      <c r="Q2518" s="1" t="s">
        <v>456</v>
      </c>
      <c r="R2518" s="1" t="s">
        <v>32</v>
      </c>
      <c r="S2518" s="1" t="s">
        <v>215</v>
      </c>
      <c r="T2518" s="1" t="s">
        <v>160</v>
      </c>
      <c r="U2518" s="1" t="s">
        <v>216</v>
      </c>
      <c r="V2518" s="1" t="s">
        <v>36</v>
      </c>
      <c r="W2518" s="1" t="s">
        <v>37</v>
      </c>
      <c r="X2518" s="1" t="s">
        <v>457</v>
      </c>
      <c r="Y2518" s="1" t="s">
        <v>458</v>
      </c>
      <c r="Z2518" s="1" t="str">
        <f>TRIM(_xlfn.CONCAT(sales_data_sample[[#This Row],[CONTACTFIRSTNAME]],", ",sales_data_sample[[#This Row],[CONTACTLASTNAME]]))</f>
        <v>Wing C, Tam</v>
      </c>
      <c r="AA2518" s="1" t="s">
        <v>40</v>
      </c>
    </row>
    <row r="2519" spans="1:27" x14ac:dyDescent="0.25">
      <c r="A2519" s="10">
        <v>10196</v>
      </c>
      <c r="B2519" s="9">
        <v>50</v>
      </c>
      <c r="C2519" s="9">
        <v>944</v>
      </c>
      <c r="D2519" s="9">
        <f>PRODUCT(sales_data_sample[[#This Row],[QUANTITYORDERED]],sales_data_sample[[#This Row],[PRICEEACH]])</f>
        <v>47200</v>
      </c>
      <c r="E2519" s="9">
        <f>IF(OR(sales_data_sample[[#This Row],[STATUS]]="Shipped",sales_data_sample[[#This Row],[STATUS]]="Resolved"),sales_data_sample[[#This Row],[SALES]],0)</f>
        <v>47200</v>
      </c>
      <c r="F2519" s="10">
        <v>2</v>
      </c>
      <c r="G2519" s="12" t="s">
        <v>477</v>
      </c>
      <c r="H2519" s="1" t="s">
        <v>26</v>
      </c>
      <c r="I2519">
        <v>4</v>
      </c>
      <c r="J2519">
        <v>11</v>
      </c>
      <c r="K2519">
        <v>2003</v>
      </c>
      <c r="L2519" s="1" t="s">
        <v>905</v>
      </c>
      <c r="M2519">
        <v>86</v>
      </c>
      <c r="N2519" s="1" t="s">
        <v>1003</v>
      </c>
      <c r="O2519" s="1" t="s">
        <v>321</v>
      </c>
      <c r="P2519" s="1" t="s">
        <v>322</v>
      </c>
      <c r="Q2519" s="1" t="s">
        <v>323</v>
      </c>
      <c r="R2519" s="1" t="s">
        <v>32</v>
      </c>
      <c r="S2519" s="1" t="s">
        <v>324</v>
      </c>
      <c r="T2519" s="1" t="s">
        <v>144</v>
      </c>
      <c r="U2519" s="1" t="s">
        <v>325</v>
      </c>
      <c r="V2519" s="1" t="s">
        <v>36</v>
      </c>
      <c r="W2519" s="1" t="s">
        <v>37</v>
      </c>
      <c r="X2519" s="1" t="s">
        <v>104</v>
      </c>
      <c r="Y2519" s="1" t="s">
        <v>326</v>
      </c>
      <c r="Z2519" s="1" t="str">
        <f>TRIM(_xlfn.CONCAT(sales_data_sample[[#This Row],[CONTACTFIRSTNAME]],", ",sales_data_sample[[#This Row],[CONTACTLASTNAME]]))</f>
        <v>Leslie, Murphy</v>
      </c>
      <c r="AA2519" s="1" t="s">
        <v>59</v>
      </c>
    </row>
    <row r="2520" spans="1:27" x14ac:dyDescent="0.25">
      <c r="A2520" s="10">
        <v>10208</v>
      </c>
      <c r="B2520" s="9">
        <v>40</v>
      </c>
      <c r="C2520" s="9">
        <v>8055</v>
      </c>
      <c r="D2520" s="9">
        <f>PRODUCT(sales_data_sample[[#This Row],[QUANTITYORDERED]],sales_data_sample[[#This Row],[PRICEEACH]])</f>
        <v>322200</v>
      </c>
      <c r="E2520" s="9">
        <f>IF(OR(sales_data_sample[[#This Row],[STATUS]]="Shipped",sales_data_sample[[#This Row],[STATUS]]="Resolved"),sales_data_sample[[#This Row],[SALES]],0)</f>
        <v>322200</v>
      </c>
      <c r="F2520" s="10">
        <v>10</v>
      </c>
      <c r="G2520" s="12" t="s">
        <v>675</v>
      </c>
      <c r="H2520" s="1" t="s">
        <v>26</v>
      </c>
      <c r="I2520">
        <v>1</v>
      </c>
      <c r="J2520">
        <v>1</v>
      </c>
      <c r="K2520">
        <v>2004</v>
      </c>
      <c r="L2520" s="1" t="s">
        <v>905</v>
      </c>
      <c r="M2520">
        <v>86</v>
      </c>
      <c r="N2520" s="1" t="s">
        <v>1003</v>
      </c>
      <c r="O2520" s="1" t="s">
        <v>291</v>
      </c>
      <c r="P2520" s="1" t="s">
        <v>292</v>
      </c>
      <c r="Q2520" s="1" t="s">
        <v>293</v>
      </c>
      <c r="R2520" s="1" t="s">
        <v>32</v>
      </c>
      <c r="S2520" s="1" t="s">
        <v>294</v>
      </c>
      <c r="T2520" s="1" t="s">
        <v>32</v>
      </c>
      <c r="U2520" s="1" t="s">
        <v>295</v>
      </c>
      <c r="V2520" s="1" t="s">
        <v>47</v>
      </c>
      <c r="W2520" s="1" t="s">
        <v>48</v>
      </c>
      <c r="X2520" s="1" t="s">
        <v>296</v>
      </c>
      <c r="Y2520" s="1" t="s">
        <v>297</v>
      </c>
      <c r="Z2520" s="1" t="str">
        <f>TRIM(_xlfn.CONCAT(sales_data_sample[[#This Row],[CONTACTFIRSTNAME]],", ",sales_data_sample[[#This Row],[CONTACTLASTNAME]]))</f>
        <v>Mary, Saveley</v>
      </c>
      <c r="AA2520" s="1" t="s">
        <v>59</v>
      </c>
    </row>
    <row r="2521" spans="1:27" x14ac:dyDescent="0.25">
      <c r="A2521" s="10">
        <v>10221</v>
      </c>
      <c r="B2521" s="9">
        <v>23</v>
      </c>
      <c r="C2521" s="9">
        <v>97</v>
      </c>
      <c r="D2521" s="9">
        <f>PRODUCT(sales_data_sample[[#This Row],[QUANTITYORDERED]],sales_data_sample[[#This Row],[PRICEEACH]])</f>
        <v>2231</v>
      </c>
      <c r="E2521" s="9">
        <f>IF(OR(sales_data_sample[[#This Row],[STATUS]]="Shipped",sales_data_sample[[#This Row],[STATUS]]="Resolved"),sales_data_sample[[#This Row],[SALES]],0)</f>
        <v>2231</v>
      </c>
      <c r="F2521" s="10">
        <v>4</v>
      </c>
      <c r="G2521" s="12" t="s">
        <v>914</v>
      </c>
      <c r="H2521" s="1" t="s">
        <v>26</v>
      </c>
      <c r="I2521">
        <v>1</v>
      </c>
      <c r="J2521">
        <v>2</v>
      </c>
      <c r="K2521">
        <v>2004</v>
      </c>
      <c r="L2521" s="1" t="s">
        <v>905</v>
      </c>
      <c r="M2521">
        <v>86</v>
      </c>
      <c r="N2521" s="1" t="s">
        <v>1003</v>
      </c>
      <c r="O2521" s="1" t="s">
        <v>500</v>
      </c>
      <c r="P2521" s="1" t="s">
        <v>501</v>
      </c>
      <c r="Q2521" s="1" t="s">
        <v>502</v>
      </c>
      <c r="R2521" s="1" t="s">
        <v>32</v>
      </c>
      <c r="S2521" s="1" t="s">
        <v>503</v>
      </c>
      <c r="T2521" s="1" t="s">
        <v>32</v>
      </c>
      <c r="U2521" s="1" t="s">
        <v>504</v>
      </c>
      <c r="V2521" s="1" t="s">
        <v>505</v>
      </c>
      <c r="W2521" s="1" t="s">
        <v>48</v>
      </c>
      <c r="X2521" s="1" t="s">
        <v>506</v>
      </c>
      <c r="Y2521" s="1" t="s">
        <v>507</v>
      </c>
      <c r="Z2521" s="1" t="str">
        <f>TRIM(_xlfn.CONCAT(sales_data_sample[[#This Row],[CONTACTFIRSTNAME]],", ",sales_data_sample[[#This Row],[CONTACTLASTNAME]]))</f>
        <v>Catherine, Dewey</v>
      </c>
      <c r="AA2521" s="1" t="s">
        <v>40</v>
      </c>
    </row>
    <row r="2522" spans="1:27" x14ac:dyDescent="0.25">
      <c r="A2522" s="10">
        <v>10232</v>
      </c>
      <c r="B2522" s="9">
        <v>26</v>
      </c>
      <c r="C2522" s="9">
        <v>8834</v>
      </c>
      <c r="D2522" s="9">
        <f>PRODUCT(sales_data_sample[[#This Row],[QUANTITYORDERED]],sales_data_sample[[#This Row],[PRICEEACH]])</f>
        <v>229684</v>
      </c>
      <c r="E2522" s="9">
        <f>IF(OR(sales_data_sample[[#This Row],[STATUS]]="Shipped",sales_data_sample[[#This Row],[STATUS]]="Resolved"),sales_data_sample[[#This Row],[SALES]],0)</f>
        <v>229684</v>
      </c>
      <c r="F2522" s="10">
        <v>7</v>
      </c>
      <c r="G2522" s="12" t="s">
        <v>915</v>
      </c>
      <c r="H2522" s="1" t="s">
        <v>26</v>
      </c>
      <c r="I2522">
        <v>1</v>
      </c>
      <c r="J2522">
        <v>3</v>
      </c>
      <c r="K2522">
        <v>2004</v>
      </c>
      <c r="L2522" s="1" t="s">
        <v>905</v>
      </c>
      <c r="M2522">
        <v>86</v>
      </c>
      <c r="N2522" s="1" t="s">
        <v>1003</v>
      </c>
      <c r="O2522" s="1" t="s">
        <v>524</v>
      </c>
      <c r="P2522" s="1" t="s">
        <v>525</v>
      </c>
      <c r="Q2522" s="1" t="s">
        <v>526</v>
      </c>
      <c r="R2522" s="1" t="s">
        <v>32</v>
      </c>
      <c r="S2522" s="1" t="s">
        <v>527</v>
      </c>
      <c r="T2522" s="1" t="s">
        <v>528</v>
      </c>
      <c r="U2522" s="1" t="s">
        <v>529</v>
      </c>
      <c r="V2522" s="1" t="s">
        <v>225</v>
      </c>
      <c r="W2522" s="1" t="s">
        <v>48</v>
      </c>
      <c r="X2522" s="1" t="s">
        <v>530</v>
      </c>
      <c r="Y2522" s="1" t="s">
        <v>531</v>
      </c>
      <c r="Z2522" s="1" t="str">
        <f>TRIM(_xlfn.CONCAT(sales_data_sample[[#This Row],[CONTACTFIRSTNAME]],", ",sales_data_sample[[#This Row],[CONTACTLASTNAME]]))</f>
        <v>Helen, Bennett</v>
      </c>
      <c r="AA2522" s="1" t="s">
        <v>40</v>
      </c>
    </row>
    <row r="2523" spans="1:27" x14ac:dyDescent="0.25">
      <c r="A2523" s="10">
        <v>10248</v>
      </c>
      <c r="B2523" s="9">
        <v>40</v>
      </c>
      <c r="C2523" s="9">
        <v>100</v>
      </c>
      <c r="D2523" s="9">
        <f>PRODUCT(sales_data_sample[[#This Row],[QUANTITYORDERED]],sales_data_sample[[#This Row],[PRICEEACH]])</f>
        <v>4000</v>
      </c>
      <c r="E2523" s="9">
        <f>IF(OR(sales_data_sample[[#This Row],[STATUS]]="Shipped",sales_data_sample[[#This Row],[STATUS]]="Resolved"),sales_data_sample[[#This Row],[SALES]],0)</f>
        <v>0</v>
      </c>
      <c r="F2523" s="10">
        <v>13</v>
      </c>
      <c r="G2523" s="12" t="s">
        <v>497</v>
      </c>
      <c r="H2523" s="1" t="s">
        <v>461</v>
      </c>
      <c r="I2523">
        <v>2</v>
      </c>
      <c r="J2523">
        <v>5</v>
      </c>
      <c r="K2523">
        <v>2004</v>
      </c>
      <c r="L2523" s="1" t="s">
        <v>905</v>
      </c>
      <c r="M2523">
        <v>86</v>
      </c>
      <c r="N2523" s="1" t="s">
        <v>1003</v>
      </c>
      <c r="O2523" s="1" t="s">
        <v>29</v>
      </c>
      <c r="P2523" s="1" t="s">
        <v>30</v>
      </c>
      <c r="Q2523" s="1" t="s">
        <v>31</v>
      </c>
      <c r="R2523" s="1" t="s">
        <v>32</v>
      </c>
      <c r="S2523" s="1" t="s">
        <v>33</v>
      </c>
      <c r="T2523" s="1" t="s">
        <v>34</v>
      </c>
      <c r="U2523" s="1" t="s">
        <v>35</v>
      </c>
      <c r="V2523" s="1" t="s">
        <v>36</v>
      </c>
      <c r="W2523" s="1" t="s">
        <v>37</v>
      </c>
      <c r="X2523" s="1" t="s">
        <v>38</v>
      </c>
      <c r="Y2523" s="1" t="s">
        <v>39</v>
      </c>
      <c r="Z2523" s="1" t="str">
        <f>TRIM(_xlfn.CONCAT(sales_data_sample[[#This Row],[CONTACTFIRSTNAME]],", ",sales_data_sample[[#This Row],[CONTACTLASTNAME]]))</f>
        <v>Kwai, Yu</v>
      </c>
      <c r="AA2523" s="1" t="s">
        <v>59</v>
      </c>
    </row>
    <row r="2524" spans="1:27" x14ac:dyDescent="0.25">
      <c r="A2524" s="10">
        <v>10273</v>
      </c>
      <c r="B2524" s="9">
        <v>21</v>
      </c>
      <c r="C2524" s="9">
        <v>100</v>
      </c>
      <c r="D2524" s="9">
        <f>PRODUCT(sales_data_sample[[#This Row],[QUANTITYORDERED]],sales_data_sample[[#This Row],[PRICEEACH]])</f>
        <v>2100</v>
      </c>
      <c r="E2524" s="9">
        <f>IF(OR(sales_data_sample[[#This Row],[STATUS]]="Shipped",sales_data_sample[[#This Row],[STATUS]]="Resolved"),sales_data_sample[[#This Row],[SALES]],0)</f>
        <v>2100</v>
      </c>
      <c r="F2524" s="10">
        <v>14</v>
      </c>
      <c r="G2524" s="12" t="s">
        <v>499</v>
      </c>
      <c r="H2524" s="1" t="s">
        <v>26</v>
      </c>
      <c r="I2524">
        <v>3</v>
      </c>
      <c r="J2524">
        <v>7</v>
      </c>
      <c r="K2524">
        <v>2004</v>
      </c>
      <c r="L2524" s="1" t="s">
        <v>905</v>
      </c>
      <c r="M2524">
        <v>86</v>
      </c>
      <c r="N2524" s="1" t="s">
        <v>1003</v>
      </c>
      <c r="O2524" s="1" t="s">
        <v>500</v>
      </c>
      <c r="P2524" s="1" t="s">
        <v>501</v>
      </c>
      <c r="Q2524" s="1" t="s">
        <v>502</v>
      </c>
      <c r="R2524" s="1" t="s">
        <v>32</v>
      </c>
      <c r="S2524" s="1" t="s">
        <v>503</v>
      </c>
      <c r="T2524" s="1" t="s">
        <v>32</v>
      </c>
      <c r="U2524" s="1" t="s">
        <v>504</v>
      </c>
      <c r="V2524" s="1" t="s">
        <v>505</v>
      </c>
      <c r="W2524" s="1" t="s">
        <v>48</v>
      </c>
      <c r="X2524" s="1" t="s">
        <v>506</v>
      </c>
      <c r="Y2524" s="1" t="s">
        <v>507</v>
      </c>
      <c r="Z2524" s="1" t="str">
        <f>TRIM(_xlfn.CONCAT(sales_data_sample[[#This Row],[CONTACTFIRSTNAME]],", ",sales_data_sample[[#This Row],[CONTACTLASTNAME]]))</f>
        <v>Catherine, Dewey</v>
      </c>
      <c r="AA2524" s="1" t="s">
        <v>40</v>
      </c>
    </row>
    <row r="2525" spans="1:27" x14ac:dyDescent="0.25">
      <c r="A2525" s="10">
        <v>10282</v>
      </c>
      <c r="B2525" s="9">
        <v>43</v>
      </c>
      <c r="C2525" s="9">
        <v>8661</v>
      </c>
      <c r="D2525" s="9">
        <f>PRODUCT(sales_data_sample[[#This Row],[QUANTITYORDERED]],sales_data_sample[[#This Row],[PRICEEACH]])</f>
        <v>372423</v>
      </c>
      <c r="E2525" s="9">
        <f>IF(OR(sales_data_sample[[#This Row],[STATUS]]="Shipped",sales_data_sample[[#This Row],[STATUS]]="Resolved"),sales_data_sample[[#This Row],[SALES]],0)</f>
        <v>372423</v>
      </c>
      <c r="F2525" s="10">
        <v>2</v>
      </c>
      <c r="G2525" s="12" t="s">
        <v>508</v>
      </c>
      <c r="H2525" s="1" t="s">
        <v>26</v>
      </c>
      <c r="I2525">
        <v>3</v>
      </c>
      <c r="J2525">
        <v>8</v>
      </c>
      <c r="K2525">
        <v>2004</v>
      </c>
      <c r="L2525" s="1" t="s">
        <v>905</v>
      </c>
      <c r="M2525">
        <v>86</v>
      </c>
      <c r="N2525" s="1" t="s">
        <v>1003</v>
      </c>
      <c r="O2525" s="1" t="s">
        <v>361</v>
      </c>
      <c r="P2525" s="1" t="s">
        <v>362</v>
      </c>
      <c r="Q2525" s="1" t="s">
        <v>363</v>
      </c>
      <c r="R2525" s="1" t="s">
        <v>32</v>
      </c>
      <c r="S2525" s="1" t="s">
        <v>364</v>
      </c>
      <c r="T2525" s="1" t="s">
        <v>65</v>
      </c>
      <c r="U2525" s="1" t="s">
        <v>145</v>
      </c>
      <c r="V2525" s="1" t="s">
        <v>36</v>
      </c>
      <c r="W2525" s="1" t="s">
        <v>37</v>
      </c>
      <c r="X2525" s="1" t="s">
        <v>365</v>
      </c>
      <c r="Y2525" s="1" t="s">
        <v>366</v>
      </c>
      <c r="Z2525" s="1" t="str">
        <f>TRIM(_xlfn.CONCAT(sales_data_sample[[#This Row],[CONTACTFIRSTNAME]],", ",sales_data_sample[[#This Row],[CONTACTLASTNAME]]))</f>
        <v>Valarie, Nelson</v>
      </c>
      <c r="AA2525" s="1" t="s">
        <v>59</v>
      </c>
    </row>
    <row r="2526" spans="1:27" x14ac:dyDescent="0.25">
      <c r="A2526" s="10">
        <v>10293</v>
      </c>
      <c r="B2526" s="9">
        <v>29</v>
      </c>
      <c r="C2526" s="9">
        <v>7189</v>
      </c>
      <c r="D2526" s="9">
        <f>PRODUCT(sales_data_sample[[#This Row],[QUANTITYORDERED]],sales_data_sample[[#This Row],[PRICEEACH]])</f>
        <v>208481</v>
      </c>
      <c r="E2526" s="9">
        <f>IF(OR(sales_data_sample[[#This Row],[STATUS]]="Shipped",sales_data_sample[[#This Row],[STATUS]]="Resolved"),sales_data_sample[[#This Row],[SALES]],0)</f>
        <v>208481</v>
      </c>
      <c r="F2526" s="10">
        <v>5</v>
      </c>
      <c r="G2526" s="12" t="s">
        <v>694</v>
      </c>
      <c r="H2526" s="1" t="s">
        <v>26</v>
      </c>
      <c r="I2526">
        <v>3</v>
      </c>
      <c r="J2526">
        <v>9</v>
      </c>
      <c r="K2526">
        <v>2004</v>
      </c>
      <c r="L2526" s="1" t="s">
        <v>905</v>
      </c>
      <c r="M2526">
        <v>86</v>
      </c>
      <c r="N2526" s="1" t="s">
        <v>1003</v>
      </c>
      <c r="O2526" s="1" t="s">
        <v>338</v>
      </c>
      <c r="P2526" s="1" t="s">
        <v>339</v>
      </c>
      <c r="Q2526" s="1" t="s">
        <v>340</v>
      </c>
      <c r="R2526" s="1" t="s">
        <v>32</v>
      </c>
      <c r="S2526" s="1" t="s">
        <v>341</v>
      </c>
      <c r="T2526" s="1" t="s">
        <v>32</v>
      </c>
      <c r="U2526" s="1" t="s">
        <v>342</v>
      </c>
      <c r="V2526" s="1" t="s">
        <v>343</v>
      </c>
      <c r="W2526" s="1" t="s">
        <v>48</v>
      </c>
      <c r="X2526" s="1" t="s">
        <v>344</v>
      </c>
      <c r="Y2526" s="1" t="s">
        <v>345</v>
      </c>
      <c r="Z2526" s="1" t="str">
        <f>TRIM(_xlfn.CONCAT(sales_data_sample[[#This Row],[CONTACTFIRSTNAME]],", ",sales_data_sample[[#This Row],[CONTACTLASTNAME]]))</f>
        <v>Paolo, Accorti</v>
      </c>
      <c r="AA2526" s="1" t="s">
        <v>40</v>
      </c>
    </row>
    <row r="2527" spans="1:27" x14ac:dyDescent="0.25">
      <c r="A2527" s="10">
        <v>10306</v>
      </c>
      <c r="B2527" s="9">
        <v>38</v>
      </c>
      <c r="C2527" s="9">
        <v>9181</v>
      </c>
      <c r="D2527" s="9">
        <f>PRODUCT(sales_data_sample[[#This Row],[QUANTITYORDERED]],sales_data_sample[[#This Row],[PRICEEACH]])</f>
        <v>348878</v>
      </c>
      <c r="E2527" s="9">
        <f>IF(OR(sales_data_sample[[#This Row],[STATUS]]="Shipped",sales_data_sample[[#This Row],[STATUS]]="Resolved"),sales_data_sample[[#This Row],[SALES]],0)</f>
        <v>348878</v>
      </c>
      <c r="F2527" s="10">
        <v>10</v>
      </c>
      <c r="G2527" s="12" t="s">
        <v>522</v>
      </c>
      <c r="H2527" s="1" t="s">
        <v>26</v>
      </c>
      <c r="I2527">
        <v>4</v>
      </c>
      <c r="J2527">
        <v>10</v>
      </c>
      <c r="K2527">
        <v>2004</v>
      </c>
      <c r="L2527" s="1" t="s">
        <v>905</v>
      </c>
      <c r="M2527">
        <v>86</v>
      </c>
      <c r="N2527" s="1" t="s">
        <v>1003</v>
      </c>
      <c r="O2527" s="1" t="s">
        <v>695</v>
      </c>
      <c r="P2527" s="1" t="s">
        <v>696</v>
      </c>
      <c r="Q2527" s="1" t="s">
        <v>697</v>
      </c>
      <c r="R2527" s="1" t="s">
        <v>32</v>
      </c>
      <c r="S2527" s="1" t="s">
        <v>698</v>
      </c>
      <c r="T2527" s="1" t="s">
        <v>32</v>
      </c>
      <c r="U2527" s="1" t="s">
        <v>699</v>
      </c>
      <c r="V2527" s="1" t="s">
        <v>225</v>
      </c>
      <c r="W2527" s="1" t="s">
        <v>48</v>
      </c>
      <c r="X2527" s="1" t="s">
        <v>700</v>
      </c>
      <c r="Y2527" s="1" t="s">
        <v>118</v>
      </c>
      <c r="Z2527" s="1" t="str">
        <f>TRIM(_xlfn.CONCAT(sales_data_sample[[#This Row],[CONTACTFIRSTNAME]],", ",sales_data_sample[[#This Row],[CONTACTLASTNAME]]))</f>
        <v>Victoria, Ashworth</v>
      </c>
      <c r="AA2527" s="1" t="s">
        <v>59</v>
      </c>
    </row>
    <row r="2528" spans="1:27" x14ac:dyDescent="0.25">
      <c r="A2528" s="10">
        <v>10314</v>
      </c>
      <c r="B2528" s="9">
        <v>23</v>
      </c>
      <c r="C2528" s="9">
        <v>7622</v>
      </c>
      <c r="D2528" s="9">
        <f>PRODUCT(sales_data_sample[[#This Row],[QUANTITYORDERED]],sales_data_sample[[#This Row],[PRICEEACH]])</f>
        <v>175306</v>
      </c>
      <c r="E2528" s="9">
        <f>IF(OR(sales_data_sample[[#This Row],[STATUS]]="Shipped",sales_data_sample[[#This Row],[STATUS]]="Resolved"),sales_data_sample[[#This Row],[SALES]],0)</f>
        <v>175306</v>
      </c>
      <c r="F2528" s="10">
        <v>2</v>
      </c>
      <c r="G2528" s="12" t="s">
        <v>587</v>
      </c>
      <c r="H2528" s="1" t="s">
        <v>26</v>
      </c>
      <c r="I2528">
        <v>4</v>
      </c>
      <c r="J2528">
        <v>10</v>
      </c>
      <c r="K2528">
        <v>2004</v>
      </c>
      <c r="L2528" s="1" t="s">
        <v>905</v>
      </c>
      <c r="M2528">
        <v>86</v>
      </c>
      <c r="N2528" s="1" t="s">
        <v>1003</v>
      </c>
      <c r="O2528" s="1" t="s">
        <v>701</v>
      </c>
      <c r="P2528" s="1" t="s">
        <v>702</v>
      </c>
      <c r="Q2528" s="1" t="s">
        <v>703</v>
      </c>
      <c r="R2528" s="1" t="s">
        <v>32</v>
      </c>
      <c r="S2528" s="1" t="s">
        <v>704</v>
      </c>
      <c r="T2528" s="1" t="s">
        <v>32</v>
      </c>
      <c r="U2528" s="1" t="s">
        <v>705</v>
      </c>
      <c r="V2528" s="1" t="s">
        <v>442</v>
      </c>
      <c r="W2528" s="1" t="s">
        <v>48</v>
      </c>
      <c r="X2528" s="1" t="s">
        <v>706</v>
      </c>
      <c r="Y2528" s="1" t="s">
        <v>707</v>
      </c>
      <c r="Z2528" s="1" t="str">
        <f>TRIM(_xlfn.CONCAT(sales_data_sample[[#This Row],[CONTACTFIRSTNAME]],", ",sales_data_sample[[#This Row],[CONTACTLASTNAME]]))</f>
        <v>Palle, Ibsen</v>
      </c>
      <c r="AA2528" s="1" t="s">
        <v>40</v>
      </c>
    </row>
    <row r="2529" spans="1:27" x14ac:dyDescent="0.25">
      <c r="A2529" s="10">
        <v>10327</v>
      </c>
      <c r="B2529" s="9">
        <v>20</v>
      </c>
      <c r="C2529" s="9">
        <v>100</v>
      </c>
      <c r="D2529" s="9">
        <f>PRODUCT(sales_data_sample[[#This Row],[QUANTITYORDERED]],sales_data_sample[[#This Row],[PRICEEACH]])</f>
        <v>2000</v>
      </c>
      <c r="E2529" s="9">
        <f>IF(OR(sales_data_sample[[#This Row],[STATUS]]="Shipped",sales_data_sample[[#This Row],[STATUS]]="Resolved"),sales_data_sample[[#This Row],[SALES]],0)</f>
        <v>2000</v>
      </c>
      <c r="F2529" s="10">
        <v>7</v>
      </c>
      <c r="G2529" s="12" t="s">
        <v>859</v>
      </c>
      <c r="H2529" s="1" t="s">
        <v>563</v>
      </c>
      <c r="I2529">
        <v>4</v>
      </c>
      <c r="J2529">
        <v>11</v>
      </c>
      <c r="K2529">
        <v>2004</v>
      </c>
      <c r="L2529" s="1" t="s">
        <v>905</v>
      </c>
      <c r="M2529">
        <v>86</v>
      </c>
      <c r="N2529" s="1" t="s">
        <v>1003</v>
      </c>
      <c r="O2529" s="1" t="s">
        <v>437</v>
      </c>
      <c r="P2529" s="1" t="s">
        <v>438</v>
      </c>
      <c r="Q2529" s="1" t="s">
        <v>439</v>
      </c>
      <c r="R2529" s="1" t="s">
        <v>32</v>
      </c>
      <c r="S2529" s="1" t="s">
        <v>440</v>
      </c>
      <c r="T2529" s="1" t="s">
        <v>32</v>
      </c>
      <c r="U2529" s="1" t="s">
        <v>441</v>
      </c>
      <c r="V2529" s="1" t="s">
        <v>442</v>
      </c>
      <c r="W2529" s="1" t="s">
        <v>48</v>
      </c>
      <c r="X2529" s="1" t="s">
        <v>443</v>
      </c>
      <c r="Y2529" s="1" t="s">
        <v>444</v>
      </c>
      <c r="Z2529" s="1" t="str">
        <f>TRIM(_xlfn.CONCAT(sales_data_sample[[#This Row],[CONTACTFIRSTNAME]],", ",sales_data_sample[[#This Row],[CONTACTLASTNAME]]))</f>
        <v>Jytte, Petersen</v>
      </c>
      <c r="AA2529" s="1" t="s">
        <v>59</v>
      </c>
    </row>
    <row r="2530" spans="1:27" x14ac:dyDescent="0.25">
      <c r="A2530">
        <v>10337</v>
      </c>
      <c r="B2530">
        <v>36</v>
      </c>
      <c r="C2530">
        <v>703</v>
      </c>
      <c r="D2530">
        <f>PRODUCT(sales_data_sample[[#This Row],[QUANTITYORDERED]],sales_data_sample[[#This Row],[PRICEEACH]])</f>
        <v>25308</v>
      </c>
      <c r="E2530" s="9">
        <f>IF(OR(sales_data_sample[[#This Row],[STATUS]]="Shipped",sales_data_sample[[#This Row],[STATUS]]="Resolved"),sales_data_sample[[#This Row],[SALES]],0)</f>
        <v>25308</v>
      </c>
      <c r="F2530">
        <v>9</v>
      </c>
      <c r="G2530" s="12" t="s">
        <v>533</v>
      </c>
      <c r="H2530" s="1" t="s">
        <v>26</v>
      </c>
      <c r="I2530">
        <v>4</v>
      </c>
      <c r="J2530">
        <v>11</v>
      </c>
      <c r="K2530">
        <v>2004</v>
      </c>
      <c r="L2530" s="1" t="s">
        <v>905</v>
      </c>
      <c r="M2530">
        <v>86</v>
      </c>
      <c r="N2530" s="1" t="s">
        <v>1003</v>
      </c>
      <c r="O2530" s="1" t="s">
        <v>268</v>
      </c>
      <c r="P2530" s="1" t="s">
        <v>269</v>
      </c>
      <c r="Q2530" s="1" t="s">
        <v>270</v>
      </c>
      <c r="R2530" s="1" t="s">
        <v>271</v>
      </c>
      <c r="S2530" s="1" t="s">
        <v>33</v>
      </c>
      <c r="T2530" s="1" t="s">
        <v>34</v>
      </c>
      <c r="U2530" s="1" t="s">
        <v>35</v>
      </c>
      <c r="V2530" s="1" t="s">
        <v>36</v>
      </c>
      <c r="W2530" s="1" t="s">
        <v>37</v>
      </c>
      <c r="X2530" s="1" t="s">
        <v>162</v>
      </c>
      <c r="Y2530" s="1" t="s">
        <v>272</v>
      </c>
      <c r="Z2530" s="1" t="str">
        <f>TRIM(_xlfn.CONCAT(sales_data_sample[[#This Row],[CONTACTFIRSTNAME]],", ",sales_data_sample[[#This Row],[CONTACTLASTNAME]]))</f>
        <v>Maria, Hernandez</v>
      </c>
      <c r="AA2530" s="1" t="s">
        <v>40</v>
      </c>
    </row>
    <row r="2531" spans="1:27" x14ac:dyDescent="0.25">
      <c r="A2531" s="10">
        <v>10350</v>
      </c>
      <c r="B2531" s="9">
        <v>28</v>
      </c>
      <c r="C2531" s="9">
        <v>100</v>
      </c>
      <c r="D2531" s="9">
        <f>PRODUCT(sales_data_sample[[#This Row],[QUANTITYORDERED]],sales_data_sample[[#This Row],[PRICEEACH]])</f>
        <v>2800</v>
      </c>
      <c r="E2531" s="9">
        <f>IF(OR(sales_data_sample[[#This Row],[STATUS]]="Shipped",sales_data_sample[[#This Row],[STATUS]]="Resolved"),sales_data_sample[[#This Row],[SALES]],0)</f>
        <v>2800</v>
      </c>
      <c r="F2531" s="10">
        <v>4</v>
      </c>
      <c r="G2531" s="12" t="s">
        <v>534</v>
      </c>
      <c r="H2531" s="1" t="s">
        <v>26</v>
      </c>
      <c r="I2531">
        <v>4</v>
      </c>
      <c r="J2531">
        <v>12</v>
      </c>
      <c r="K2531">
        <v>2004</v>
      </c>
      <c r="L2531" s="1" t="s">
        <v>905</v>
      </c>
      <c r="M2531">
        <v>86</v>
      </c>
      <c r="N2531" s="1" t="s">
        <v>1003</v>
      </c>
      <c r="O2531" s="1" t="s">
        <v>230</v>
      </c>
      <c r="P2531" s="1" t="s">
        <v>231</v>
      </c>
      <c r="Q2531" s="1" t="s">
        <v>232</v>
      </c>
      <c r="R2531" s="1" t="s">
        <v>32</v>
      </c>
      <c r="S2531" s="1" t="s">
        <v>233</v>
      </c>
      <c r="T2531" s="1" t="s">
        <v>32</v>
      </c>
      <c r="U2531" s="1" t="s">
        <v>234</v>
      </c>
      <c r="V2531" s="1" t="s">
        <v>235</v>
      </c>
      <c r="W2531" s="1" t="s">
        <v>48</v>
      </c>
      <c r="X2531" s="1" t="s">
        <v>236</v>
      </c>
      <c r="Y2531" s="1" t="s">
        <v>237</v>
      </c>
      <c r="Z2531" s="1" t="str">
        <f>TRIM(_xlfn.CONCAT(sales_data_sample[[#This Row],[CONTACTFIRSTNAME]],", ",sales_data_sample[[#This Row],[CONTACTLASTNAME]]))</f>
        <v>Diego, Freyre</v>
      </c>
      <c r="AA2531" s="1" t="s">
        <v>40</v>
      </c>
    </row>
    <row r="2532" spans="1:27" x14ac:dyDescent="0.25">
      <c r="A2532" s="10">
        <v>10372</v>
      </c>
      <c r="B2532" s="9">
        <v>44</v>
      </c>
      <c r="C2532" s="9">
        <v>100</v>
      </c>
      <c r="D2532" s="9">
        <f>PRODUCT(sales_data_sample[[#This Row],[QUANTITYORDERED]],sales_data_sample[[#This Row],[PRICEEACH]])</f>
        <v>4400</v>
      </c>
      <c r="E2532" s="9">
        <f>IF(OR(sales_data_sample[[#This Row],[STATUS]]="Shipped",sales_data_sample[[#This Row],[STATUS]]="Resolved"),sales_data_sample[[#This Row],[SALES]],0)</f>
        <v>4400</v>
      </c>
      <c r="F2532" s="10">
        <v>2</v>
      </c>
      <c r="G2532" s="12" t="s">
        <v>726</v>
      </c>
      <c r="H2532" s="1" t="s">
        <v>26</v>
      </c>
      <c r="I2532">
        <v>1</v>
      </c>
      <c r="J2532">
        <v>1</v>
      </c>
      <c r="K2532">
        <v>2005</v>
      </c>
      <c r="L2532" s="1" t="s">
        <v>905</v>
      </c>
      <c r="M2532">
        <v>86</v>
      </c>
      <c r="N2532" s="1" t="s">
        <v>1003</v>
      </c>
      <c r="O2532" s="1" t="s">
        <v>328</v>
      </c>
      <c r="P2532" s="1" t="s">
        <v>329</v>
      </c>
      <c r="Q2532" s="1" t="s">
        <v>330</v>
      </c>
      <c r="R2532" s="1" t="s">
        <v>32</v>
      </c>
      <c r="S2532" s="1" t="s">
        <v>331</v>
      </c>
      <c r="T2532" s="1" t="s">
        <v>332</v>
      </c>
      <c r="U2532" s="1" t="s">
        <v>333</v>
      </c>
      <c r="V2532" s="1" t="s">
        <v>264</v>
      </c>
      <c r="W2532" s="1" t="s">
        <v>264</v>
      </c>
      <c r="X2532" s="1" t="s">
        <v>334</v>
      </c>
      <c r="Y2532" s="1" t="s">
        <v>335</v>
      </c>
      <c r="Z2532" s="1" t="str">
        <f>TRIM(_xlfn.CONCAT(sales_data_sample[[#This Row],[CONTACTFIRSTNAME]],", ",sales_data_sample[[#This Row],[CONTACTLASTNAME]]))</f>
        <v>Akiko, Shimamura</v>
      </c>
      <c r="AA2532" s="1" t="s">
        <v>59</v>
      </c>
    </row>
    <row r="2533" spans="1:27" x14ac:dyDescent="0.25">
      <c r="A2533" s="10">
        <v>10384</v>
      </c>
      <c r="B2533" s="9">
        <v>49</v>
      </c>
      <c r="C2533" s="9">
        <v>100</v>
      </c>
      <c r="D2533" s="9">
        <f>PRODUCT(sales_data_sample[[#This Row],[QUANTITYORDERED]],sales_data_sample[[#This Row],[PRICEEACH]])</f>
        <v>4900</v>
      </c>
      <c r="E2533" s="9">
        <f>IF(OR(sales_data_sample[[#This Row],[STATUS]]="Shipped",sales_data_sample[[#This Row],[STATUS]]="Resolved"),sales_data_sample[[#This Row],[SALES]],0)</f>
        <v>4900</v>
      </c>
      <c r="F2533" s="10">
        <v>1</v>
      </c>
      <c r="G2533" s="12" t="s">
        <v>544</v>
      </c>
      <c r="H2533" s="1" t="s">
        <v>26</v>
      </c>
      <c r="I2533">
        <v>1</v>
      </c>
      <c r="J2533">
        <v>2</v>
      </c>
      <c r="K2533">
        <v>2005</v>
      </c>
      <c r="L2533" s="1" t="s">
        <v>905</v>
      </c>
      <c r="M2533">
        <v>86</v>
      </c>
      <c r="N2533" s="1" t="s">
        <v>1003</v>
      </c>
      <c r="O2533" s="1" t="s">
        <v>70</v>
      </c>
      <c r="P2533" s="1" t="s">
        <v>71</v>
      </c>
      <c r="Q2533" s="1" t="s">
        <v>72</v>
      </c>
      <c r="R2533" s="1" t="s">
        <v>32</v>
      </c>
      <c r="S2533" s="1" t="s">
        <v>73</v>
      </c>
      <c r="T2533" s="1" t="s">
        <v>65</v>
      </c>
      <c r="U2533" s="1" t="s">
        <v>32</v>
      </c>
      <c r="V2533" s="1" t="s">
        <v>36</v>
      </c>
      <c r="W2533" s="1" t="s">
        <v>37</v>
      </c>
      <c r="X2533" s="1" t="s">
        <v>74</v>
      </c>
      <c r="Y2533" s="1" t="s">
        <v>68</v>
      </c>
      <c r="Z2533" s="1" t="str">
        <f>TRIM(_xlfn.CONCAT(sales_data_sample[[#This Row],[CONTACTFIRSTNAME]],", ",sales_data_sample[[#This Row],[CONTACTLASTNAME]]))</f>
        <v>Julie, Brown</v>
      </c>
      <c r="AA2533" s="1" t="s">
        <v>59</v>
      </c>
    </row>
    <row r="2534" spans="1:27" x14ac:dyDescent="0.25">
      <c r="A2534" s="10">
        <v>10397</v>
      </c>
      <c r="B2534" s="9">
        <v>32</v>
      </c>
      <c r="C2534" s="9">
        <v>8055</v>
      </c>
      <c r="D2534" s="9">
        <f>PRODUCT(sales_data_sample[[#This Row],[QUANTITYORDERED]],sales_data_sample[[#This Row],[PRICEEACH]])</f>
        <v>257760</v>
      </c>
      <c r="E2534" s="9">
        <f>IF(OR(sales_data_sample[[#This Row],[STATUS]]="Shipped",sales_data_sample[[#This Row],[STATUS]]="Resolved"),sales_data_sample[[#This Row],[SALES]],0)</f>
        <v>257760</v>
      </c>
      <c r="F2534" s="10">
        <v>5</v>
      </c>
      <c r="G2534" s="12" t="s">
        <v>1004</v>
      </c>
      <c r="H2534" s="1" t="s">
        <v>26</v>
      </c>
      <c r="I2534">
        <v>1</v>
      </c>
      <c r="J2534">
        <v>3</v>
      </c>
      <c r="K2534">
        <v>2005</v>
      </c>
      <c r="L2534" s="1" t="s">
        <v>905</v>
      </c>
      <c r="M2534">
        <v>86</v>
      </c>
      <c r="N2534" s="1" t="s">
        <v>1003</v>
      </c>
      <c r="O2534" s="1" t="s">
        <v>463</v>
      </c>
      <c r="P2534" s="1" t="s">
        <v>464</v>
      </c>
      <c r="Q2534" s="1" t="s">
        <v>465</v>
      </c>
      <c r="R2534" s="1" t="s">
        <v>32</v>
      </c>
      <c r="S2534" s="1" t="s">
        <v>466</v>
      </c>
      <c r="T2534" s="1" t="s">
        <v>32</v>
      </c>
      <c r="U2534" s="1" t="s">
        <v>467</v>
      </c>
      <c r="V2534" s="1" t="s">
        <v>47</v>
      </c>
      <c r="W2534" s="1" t="s">
        <v>48</v>
      </c>
      <c r="X2534" s="1" t="s">
        <v>468</v>
      </c>
      <c r="Y2534" s="1" t="s">
        <v>469</v>
      </c>
      <c r="Z2534" s="1" t="str">
        <f>TRIM(_xlfn.CONCAT(sales_data_sample[[#This Row],[CONTACTFIRSTNAME]],", ",sales_data_sample[[#This Row],[CONTACTLASTNAME]]))</f>
        <v>Annette, Roulet</v>
      </c>
      <c r="AA2534" s="1" t="s">
        <v>40</v>
      </c>
    </row>
    <row r="2535" spans="1:27" x14ac:dyDescent="0.25">
      <c r="A2535" s="10">
        <v>10414</v>
      </c>
      <c r="B2535" s="9">
        <v>34</v>
      </c>
      <c r="C2535" s="9">
        <v>100</v>
      </c>
      <c r="D2535" s="9">
        <f>PRODUCT(sales_data_sample[[#This Row],[QUANTITYORDERED]],sales_data_sample[[#This Row],[PRICEEACH]])</f>
        <v>3400</v>
      </c>
      <c r="E2535" s="9">
        <f>IF(OR(sales_data_sample[[#This Row],[STATUS]]="Shipped",sales_data_sample[[#This Row],[STATUS]]="Resolved"),sales_data_sample[[#This Row],[SALES]],0)</f>
        <v>0</v>
      </c>
      <c r="F2535" s="10">
        <v>13</v>
      </c>
      <c r="G2535" s="12" t="s">
        <v>552</v>
      </c>
      <c r="H2535" s="1" t="s">
        <v>553</v>
      </c>
      <c r="I2535">
        <v>2</v>
      </c>
      <c r="J2535">
        <v>5</v>
      </c>
      <c r="K2535">
        <v>2005</v>
      </c>
      <c r="L2535" s="1" t="s">
        <v>905</v>
      </c>
      <c r="M2535">
        <v>86</v>
      </c>
      <c r="N2535" s="1" t="s">
        <v>1003</v>
      </c>
      <c r="O2535" s="1" t="s">
        <v>516</v>
      </c>
      <c r="P2535" s="1" t="s">
        <v>517</v>
      </c>
      <c r="Q2535" s="1" t="s">
        <v>518</v>
      </c>
      <c r="R2535" s="1" t="s">
        <v>32</v>
      </c>
      <c r="S2535" s="1" t="s">
        <v>519</v>
      </c>
      <c r="T2535" s="1" t="s">
        <v>160</v>
      </c>
      <c r="U2535" s="1" t="s">
        <v>520</v>
      </c>
      <c r="V2535" s="1" t="s">
        <v>36</v>
      </c>
      <c r="W2535" s="1" t="s">
        <v>37</v>
      </c>
      <c r="X2535" s="1" t="s">
        <v>521</v>
      </c>
      <c r="Y2535" s="1" t="s">
        <v>82</v>
      </c>
      <c r="Z2535" s="1" t="str">
        <f>TRIM(_xlfn.CONCAT(sales_data_sample[[#This Row],[CONTACTFIRSTNAME]],", ",sales_data_sample[[#This Row],[CONTACTLASTNAME]]))</f>
        <v>Juri, Yoshido</v>
      </c>
      <c r="AA2535" s="1" t="s">
        <v>59</v>
      </c>
    </row>
    <row r="2536" spans="1:27" x14ac:dyDescent="0.25">
      <c r="A2536" s="10">
        <v>10106</v>
      </c>
      <c r="B2536" s="9">
        <v>30</v>
      </c>
      <c r="C2536" s="9">
        <v>100</v>
      </c>
      <c r="D2536" s="9">
        <f>PRODUCT(sales_data_sample[[#This Row],[QUANTITYORDERED]],sales_data_sample[[#This Row],[PRICEEACH]])</f>
        <v>3000</v>
      </c>
      <c r="E2536" s="9">
        <f>IF(OR(sales_data_sample[[#This Row],[STATUS]]="Shipped",sales_data_sample[[#This Row],[STATUS]]="Resolved"),sales_data_sample[[#This Row],[SALES]],0)</f>
        <v>3000</v>
      </c>
      <c r="F2536" s="10">
        <v>16</v>
      </c>
      <c r="G2536" s="12" t="s">
        <v>838</v>
      </c>
      <c r="H2536" s="1" t="s">
        <v>26</v>
      </c>
      <c r="I2536">
        <v>1</v>
      </c>
      <c r="J2536">
        <v>2</v>
      </c>
      <c r="K2536">
        <v>2003</v>
      </c>
      <c r="L2536" s="1" t="s">
        <v>905</v>
      </c>
      <c r="M2536">
        <v>90</v>
      </c>
      <c r="N2536" s="1" t="s">
        <v>1005</v>
      </c>
      <c r="O2536" s="1" t="s">
        <v>806</v>
      </c>
      <c r="P2536" s="1" t="s">
        <v>807</v>
      </c>
      <c r="Q2536" s="1" t="s">
        <v>808</v>
      </c>
      <c r="R2536" s="1" t="s">
        <v>32</v>
      </c>
      <c r="S2536" s="1" t="s">
        <v>809</v>
      </c>
      <c r="T2536" s="1" t="s">
        <v>32</v>
      </c>
      <c r="U2536" s="1" t="s">
        <v>810</v>
      </c>
      <c r="V2536" s="1" t="s">
        <v>343</v>
      </c>
      <c r="W2536" s="1" t="s">
        <v>48</v>
      </c>
      <c r="X2536" s="1" t="s">
        <v>811</v>
      </c>
      <c r="Y2536" s="1" t="s">
        <v>812</v>
      </c>
      <c r="Z2536" s="1" t="str">
        <f>TRIM(_xlfn.CONCAT(sales_data_sample[[#This Row],[CONTACTFIRSTNAME]],", ",sales_data_sample[[#This Row],[CONTACTLASTNAME]]))</f>
        <v>Giovanni, Rovelli</v>
      </c>
      <c r="AA2536" s="1" t="s">
        <v>59</v>
      </c>
    </row>
    <row r="2537" spans="1:27" x14ac:dyDescent="0.25">
      <c r="A2537" s="10">
        <v>10119</v>
      </c>
      <c r="B2537" s="9">
        <v>29</v>
      </c>
      <c r="C2537" s="9">
        <v>9414</v>
      </c>
      <c r="D2537" s="9">
        <f>PRODUCT(sales_data_sample[[#This Row],[QUANTITYORDERED]],sales_data_sample[[#This Row],[PRICEEACH]])</f>
        <v>273006</v>
      </c>
      <c r="E2537" s="9">
        <f>IF(OR(sales_data_sample[[#This Row],[STATUS]]="Shipped",sales_data_sample[[#This Row],[STATUS]]="Resolved"),sales_data_sample[[#This Row],[SALES]],0)</f>
        <v>273006</v>
      </c>
      <c r="F2537" s="10">
        <v>7</v>
      </c>
      <c r="G2537" s="12" t="s">
        <v>445</v>
      </c>
      <c r="H2537" s="1" t="s">
        <v>26</v>
      </c>
      <c r="I2537">
        <v>2</v>
      </c>
      <c r="J2537">
        <v>4</v>
      </c>
      <c r="K2537">
        <v>2003</v>
      </c>
      <c r="L2537" s="1" t="s">
        <v>905</v>
      </c>
      <c r="M2537">
        <v>90</v>
      </c>
      <c r="N2537" s="1" t="s">
        <v>1005</v>
      </c>
      <c r="O2537" s="1" t="s">
        <v>191</v>
      </c>
      <c r="P2537" s="1" t="s">
        <v>192</v>
      </c>
      <c r="Q2537" s="1" t="s">
        <v>193</v>
      </c>
      <c r="R2537" s="1" t="s">
        <v>32</v>
      </c>
      <c r="S2537" s="1" t="s">
        <v>194</v>
      </c>
      <c r="T2537" s="1" t="s">
        <v>32</v>
      </c>
      <c r="U2537" s="1" t="s">
        <v>195</v>
      </c>
      <c r="V2537" s="1" t="s">
        <v>196</v>
      </c>
      <c r="W2537" s="1" t="s">
        <v>48</v>
      </c>
      <c r="X2537" s="1" t="s">
        <v>197</v>
      </c>
      <c r="Y2537" s="1" t="s">
        <v>198</v>
      </c>
      <c r="Z2537" s="1" t="str">
        <f>TRIM(_xlfn.CONCAT(sales_data_sample[[#This Row],[CONTACTFIRSTNAME]],", ",sales_data_sample[[#This Row],[CONTACTLASTNAME]]))</f>
        <v>Georg, Pipps</v>
      </c>
      <c r="AA2537" s="1" t="s">
        <v>40</v>
      </c>
    </row>
    <row r="2538" spans="1:27" x14ac:dyDescent="0.25">
      <c r="A2538" s="10">
        <v>10131</v>
      </c>
      <c r="B2538" s="9">
        <v>22</v>
      </c>
      <c r="C2538" s="9">
        <v>8599</v>
      </c>
      <c r="D2538" s="9">
        <f>PRODUCT(sales_data_sample[[#This Row],[QUANTITYORDERED]],sales_data_sample[[#This Row],[PRICEEACH]])</f>
        <v>189178</v>
      </c>
      <c r="E2538" s="9">
        <f>IF(OR(sales_data_sample[[#This Row],[STATUS]]="Shipped",sales_data_sample[[#This Row],[STATUS]]="Resolved"),sales_data_sample[[#This Row],[SALES]],0)</f>
        <v>189178</v>
      </c>
      <c r="F2538" s="10">
        <v>8</v>
      </c>
      <c r="G2538" s="12" t="s">
        <v>841</v>
      </c>
      <c r="H2538" s="1" t="s">
        <v>26</v>
      </c>
      <c r="I2538">
        <v>2</v>
      </c>
      <c r="J2538">
        <v>6</v>
      </c>
      <c r="K2538">
        <v>2003</v>
      </c>
      <c r="L2538" s="1" t="s">
        <v>905</v>
      </c>
      <c r="M2538">
        <v>90</v>
      </c>
      <c r="N2538" s="1" t="s">
        <v>1005</v>
      </c>
      <c r="O2538" s="1" t="s">
        <v>842</v>
      </c>
      <c r="P2538" s="1" t="s">
        <v>843</v>
      </c>
      <c r="Q2538" s="1" t="s">
        <v>844</v>
      </c>
      <c r="R2538" s="1" t="s">
        <v>32</v>
      </c>
      <c r="S2538" s="1" t="s">
        <v>734</v>
      </c>
      <c r="T2538" s="1" t="s">
        <v>144</v>
      </c>
      <c r="U2538" s="1" t="s">
        <v>845</v>
      </c>
      <c r="V2538" s="1" t="s">
        <v>36</v>
      </c>
      <c r="W2538" s="1" t="s">
        <v>37</v>
      </c>
      <c r="X2538" s="1" t="s">
        <v>846</v>
      </c>
      <c r="Y2538" s="1" t="s">
        <v>847</v>
      </c>
      <c r="Z2538" s="1" t="str">
        <f>TRIM(_xlfn.CONCAT(sales_data_sample[[#This Row],[CONTACTFIRSTNAME]],", ",sales_data_sample[[#This Row],[CONTACTLASTNAME]]))</f>
        <v>Dan, Lewis</v>
      </c>
      <c r="AA2538" s="1" t="s">
        <v>40</v>
      </c>
    </row>
    <row r="2539" spans="1:27" x14ac:dyDescent="0.25">
      <c r="A2539" s="10">
        <v>10143</v>
      </c>
      <c r="B2539" s="9">
        <v>26</v>
      </c>
      <c r="C2539" s="9">
        <v>100</v>
      </c>
      <c r="D2539" s="9">
        <f>PRODUCT(sales_data_sample[[#This Row],[QUANTITYORDERED]],sales_data_sample[[#This Row],[PRICEEACH]])</f>
        <v>2600</v>
      </c>
      <c r="E2539" s="9">
        <f>IF(OR(sales_data_sample[[#This Row],[STATUS]]="Shipped",sales_data_sample[[#This Row],[STATUS]]="Resolved"),sales_data_sample[[#This Row],[SALES]],0)</f>
        <v>2600</v>
      </c>
      <c r="F2539" s="10">
        <v>11</v>
      </c>
      <c r="G2539" s="12" t="s">
        <v>453</v>
      </c>
      <c r="H2539" s="1" t="s">
        <v>26</v>
      </c>
      <c r="I2539">
        <v>3</v>
      </c>
      <c r="J2539">
        <v>8</v>
      </c>
      <c r="K2539">
        <v>2003</v>
      </c>
      <c r="L2539" s="1" t="s">
        <v>905</v>
      </c>
      <c r="M2539">
        <v>90</v>
      </c>
      <c r="N2539" s="1" t="s">
        <v>1005</v>
      </c>
      <c r="O2539" s="1" t="s">
        <v>454</v>
      </c>
      <c r="P2539" s="1" t="s">
        <v>455</v>
      </c>
      <c r="Q2539" s="1" t="s">
        <v>456</v>
      </c>
      <c r="R2539" s="1" t="s">
        <v>32</v>
      </c>
      <c r="S2539" s="1" t="s">
        <v>215</v>
      </c>
      <c r="T2539" s="1" t="s">
        <v>160</v>
      </c>
      <c r="U2539" s="1" t="s">
        <v>216</v>
      </c>
      <c r="V2539" s="1" t="s">
        <v>36</v>
      </c>
      <c r="W2539" s="1" t="s">
        <v>37</v>
      </c>
      <c r="X2539" s="1" t="s">
        <v>457</v>
      </c>
      <c r="Y2539" s="1" t="s">
        <v>458</v>
      </c>
      <c r="Z2539" s="1" t="str">
        <f>TRIM(_xlfn.CONCAT(sales_data_sample[[#This Row],[CONTACTFIRSTNAME]],", ",sales_data_sample[[#This Row],[CONTACTLASTNAME]]))</f>
        <v>Wing C, Tam</v>
      </c>
      <c r="AA2539" s="1" t="s">
        <v>40</v>
      </c>
    </row>
    <row r="2540" spans="1:27" x14ac:dyDescent="0.25">
      <c r="A2540" s="10">
        <v>10155</v>
      </c>
      <c r="B2540" s="9">
        <v>32</v>
      </c>
      <c r="C2540" s="9">
        <v>9143</v>
      </c>
      <c r="D2540" s="9">
        <f>PRODUCT(sales_data_sample[[#This Row],[QUANTITYORDERED]],sales_data_sample[[#This Row],[PRICEEACH]])</f>
        <v>292576</v>
      </c>
      <c r="E2540" s="9">
        <f>IF(OR(sales_data_sample[[#This Row],[STATUS]]="Shipped",sales_data_sample[[#This Row],[STATUS]]="Resolved"),sales_data_sample[[#This Row],[SALES]],0)</f>
        <v>292576</v>
      </c>
      <c r="F2540" s="10">
        <v>9</v>
      </c>
      <c r="G2540" s="12" t="s">
        <v>459</v>
      </c>
      <c r="H2540" s="1" t="s">
        <v>26</v>
      </c>
      <c r="I2540">
        <v>4</v>
      </c>
      <c r="J2540">
        <v>10</v>
      </c>
      <c r="K2540">
        <v>2003</v>
      </c>
      <c r="L2540" s="1" t="s">
        <v>905</v>
      </c>
      <c r="M2540">
        <v>90</v>
      </c>
      <c r="N2540" s="1" t="s">
        <v>1005</v>
      </c>
      <c r="O2540" s="1" t="s">
        <v>165</v>
      </c>
      <c r="P2540" s="1" t="s">
        <v>166</v>
      </c>
      <c r="Q2540" s="1" t="s">
        <v>167</v>
      </c>
      <c r="R2540" s="1" t="s">
        <v>32</v>
      </c>
      <c r="S2540" s="1" t="s">
        <v>168</v>
      </c>
      <c r="T2540" s="1" t="s">
        <v>32</v>
      </c>
      <c r="U2540" s="1" t="s">
        <v>169</v>
      </c>
      <c r="V2540" s="1" t="s">
        <v>170</v>
      </c>
      <c r="W2540" s="1" t="s">
        <v>48</v>
      </c>
      <c r="X2540" s="1" t="s">
        <v>171</v>
      </c>
      <c r="Y2540" s="1" t="s">
        <v>172</v>
      </c>
      <c r="Z2540" s="1" t="str">
        <f>TRIM(_xlfn.CONCAT(sales_data_sample[[#This Row],[CONTACTFIRSTNAME]],", ",sales_data_sample[[#This Row],[CONTACTLASTNAME]]))</f>
        <v>Matti, Karttunen</v>
      </c>
      <c r="AA2540" s="1" t="s">
        <v>40</v>
      </c>
    </row>
    <row r="2541" spans="1:27" x14ac:dyDescent="0.25">
      <c r="A2541" s="10">
        <v>10167</v>
      </c>
      <c r="B2541" s="9">
        <v>29</v>
      </c>
      <c r="C2541" s="9">
        <v>100</v>
      </c>
      <c r="D2541" s="9">
        <f>PRODUCT(sales_data_sample[[#This Row],[QUANTITYORDERED]],sales_data_sample[[#This Row],[PRICEEACH]])</f>
        <v>2900</v>
      </c>
      <c r="E2541" s="9">
        <f>IF(OR(sales_data_sample[[#This Row],[STATUS]]="Shipped",sales_data_sample[[#This Row],[STATUS]]="Resolved"),sales_data_sample[[#This Row],[SALES]],0)</f>
        <v>0</v>
      </c>
      <c r="F2541" s="10">
        <v>5</v>
      </c>
      <c r="G2541" s="12" t="s">
        <v>460</v>
      </c>
      <c r="H2541" s="1" t="s">
        <v>461</v>
      </c>
      <c r="I2541">
        <v>4</v>
      </c>
      <c r="J2541">
        <v>10</v>
      </c>
      <c r="K2541">
        <v>2003</v>
      </c>
      <c r="L2541" s="1" t="s">
        <v>905</v>
      </c>
      <c r="M2541">
        <v>90</v>
      </c>
      <c r="N2541" s="1" t="s">
        <v>1005</v>
      </c>
      <c r="O2541" s="1" t="s">
        <v>347</v>
      </c>
      <c r="P2541" s="1" t="s">
        <v>348</v>
      </c>
      <c r="Q2541" s="1" t="s">
        <v>349</v>
      </c>
      <c r="R2541" s="1" t="s">
        <v>32</v>
      </c>
      <c r="S2541" s="1" t="s">
        <v>350</v>
      </c>
      <c r="T2541" s="1" t="s">
        <v>32</v>
      </c>
      <c r="U2541" s="1" t="s">
        <v>351</v>
      </c>
      <c r="V2541" s="1" t="s">
        <v>247</v>
      </c>
      <c r="W2541" s="1" t="s">
        <v>48</v>
      </c>
      <c r="X2541" s="1" t="s">
        <v>352</v>
      </c>
      <c r="Y2541" s="1" t="s">
        <v>272</v>
      </c>
      <c r="Z2541" s="1" t="str">
        <f>TRIM(_xlfn.CONCAT(sales_data_sample[[#This Row],[CONTACTFIRSTNAME]],", ",sales_data_sample[[#This Row],[CONTACTLASTNAME]]))</f>
        <v>Maria, Larsson</v>
      </c>
      <c r="AA2541" s="1" t="s">
        <v>40</v>
      </c>
    </row>
    <row r="2542" spans="1:27" x14ac:dyDescent="0.25">
      <c r="A2542" s="10">
        <v>10178</v>
      </c>
      <c r="B2542" s="9">
        <v>34</v>
      </c>
      <c r="C2542" s="9">
        <v>9686</v>
      </c>
      <c r="D2542" s="9">
        <f>PRODUCT(sales_data_sample[[#This Row],[QUANTITYORDERED]],sales_data_sample[[#This Row],[PRICEEACH]])</f>
        <v>329324</v>
      </c>
      <c r="E2542" s="9">
        <f>IF(OR(sales_data_sample[[#This Row],[STATUS]]="Shipped",sales_data_sample[[#This Row],[STATUS]]="Resolved"),sales_data_sample[[#This Row],[SALES]],0)</f>
        <v>329324</v>
      </c>
      <c r="F2542" s="10">
        <v>8</v>
      </c>
      <c r="G2542" s="12" t="s">
        <v>462</v>
      </c>
      <c r="H2542" s="1" t="s">
        <v>26</v>
      </c>
      <c r="I2542">
        <v>4</v>
      </c>
      <c r="J2542">
        <v>11</v>
      </c>
      <c r="K2542">
        <v>2003</v>
      </c>
      <c r="L2542" s="1" t="s">
        <v>905</v>
      </c>
      <c r="M2542">
        <v>90</v>
      </c>
      <c r="N2542" s="1" t="s">
        <v>1005</v>
      </c>
      <c r="O2542" s="1" t="s">
        <v>463</v>
      </c>
      <c r="P2542" s="1" t="s">
        <v>464</v>
      </c>
      <c r="Q2542" s="1" t="s">
        <v>465</v>
      </c>
      <c r="R2542" s="1" t="s">
        <v>32</v>
      </c>
      <c r="S2542" s="1" t="s">
        <v>466</v>
      </c>
      <c r="T2542" s="1" t="s">
        <v>32</v>
      </c>
      <c r="U2542" s="1" t="s">
        <v>467</v>
      </c>
      <c r="V2542" s="1" t="s">
        <v>47</v>
      </c>
      <c r="W2542" s="1" t="s">
        <v>48</v>
      </c>
      <c r="X2542" s="1" t="s">
        <v>468</v>
      </c>
      <c r="Y2542" s="1" t="s">
        <v>469</v>
      </c>
      <c r="Z2542" s="1" t="str">
        <f>TRIM(_xlfn.CONCAT(sales_data_sample[[#This Row],[CONTACTFIRSTNAME]],", ",sales_data_sample[[#This Row],[CONTACTLASTNAME]]))</f>
        <v>Annette, Roulet</v>
      </c>
      <c r="AA2542" s="1" t="s">
        <v>59</v>
      </c>
    </row>
    <row r="2543" spans="1:27" x14ac:dyDescent="0.25">
      <c r="A2543" s="10">
        <v>10186</v>
      </c>
      <c r="B2543" s="9">
        <v>24</v>
      </c>
      <c r="C2543" s="9">
        <v>9957</v>
      </c>
      <c r="D2543" s="9">
        <f>PRODUCT(sales_data_sample[[#This Row],[QUANTITYORDERED]],sales_data_sample[[#This Row],[PRICEEACH]])</f>
        <v>238968</v>
      </c>
      <c r="E2543" s="9">
        <f>IF(OR(sales_data_sample[[#This Row],[STATUS]]="Shipped",sales_data_sample[[#This Row],[STATUS]]="Resolved"),sales_data_sample[[#This Row],[SALES]],0)</f>
        <v>238968</v>
      </c>
      <c r="F2543" s="10">
        <v>5</v>
      </c>
      <c r="G2543" s="12" t="s">
        <v>470</v>
      </c>
      <c r="H2543" s="1" t="s">
        <v>26</v>
      </c>
      <c r="I2543">
        <v>4</v>
      </c>
      <c r="J2543">
        <v>11</v>
      </c>
      <c r="K2543">
        <v>2003</v>
      </c>
      <c r="L2543" s="1" t="s">
        <v>905</v>
      </c>
      <c r="M2543">
        <v>90</v>
      </c>
      <c r="N2543" s="1" t="s">
        <v>1005</v>
      </c>
      <c r="O2543" s="1" t="s">
        <v>471</v>
      </c>
      <c r="P2543" s="1" t="s">
        <v>472</v>
      </c>
      <c r="Q2543" s="1" t="s">
        <v>473</v>
      </c>
      <c r="R2543" s="1" t="s">
        <v>32</v>
      </c>
      <c r="S2543" s="1" t="s">
        <v>450</v>
      </c>
      <c r="T2543" s="1" t="s">
        <v>32</v>
      </c>
      <c r="U2543" s="1" t="s">
        <v>474</v>
      </c>
      <c r="V2543" s="1" t="s">
        <v>225</v>
      </c>
      <c r="W2543" s="1" t="s">
        <v>48</v>
      </c>
      <c r="X2543" s="1" t="s">
        <v>475</v>
      </c>
      <c r="Y2543" s="1" t="s">
        <v>476</v>
      </c>
      <c r="Z2543" s="1" t="str">
        <f>TRIM(_xlfn.CONCAT(sales_data_sample[[#This Row],[CONTACTFIRSTNAME]],", ",sales_data_sample[[#This Row],[CONTACTLASTNAME]]))</f>
        <v>Thomas, Hardy</v>
      </c>
      <c r="AA2543" s="1" t="s">
        <v>40</v>
      </c>
    </row>
    <row r="2544" spans="1:27" x14ac:dyDescent="0.25">
      <c r="A2544" s="10">
        <v>10197</v>
      </c>
      <c r="B2544" s="9">
        <v>24</v>
      </c>
      <c r="C2544" s="9">
        <v>9052</v>
      </c>
      <c r="D2544" s="9">
        <f>PRODUCT(sales_data_sample[[#This Row],[QUANTITYORDERED]],sales_data_sample[[#This Row],[PRICEEACH]])</f>
        <v>217248</v>
      </c>
      <c r="E2544" s="9">
        <f>IF(OR(sales_data_sample[[#This Row],[STATUS]]="Shipped",sales_data_sample[[#This Row],[STATUS]]="Resolved"),sales_data_sample[[#This Row],[SALES]],0)</f>
        <v>217248</v>
      </c>
      <c r="F2544" s="10">
        <v>2</v>
      </c>
      <c r="G2544" s="12" t="s">
        <v>477</v>
      </c>
      <c r="H2544" s="1" t="s">
        <v>26</v>
      </c>
      <c r="I2544">
        <v>4</v>
      </c>
      <c r="J2544">
        <v>11</v>
      </c>
      <c r="K2544">
        <v>2003</v>
      </c>
      <c r="L2544" s="1" t="s">
        <v>905</v>
      </c>
      <c r="M2544">
        <v>90</v>
      </c>
      <c r="N2544" s="1" t="s">
        <v>1005</v>
      </c>
      <c r="O2544" s="1" t="s">
        <v>478</v>
      </c>
      <c r="P2544" s="1" t="s">
        <v>479</v>
      </c>
      <c r="Q2544" s="1" t="s">
        <v>480</v>
      </c>
      <c r="R2544" s="1" t="s">
        <v>32</v>
      </c>
      <c r="S2544" s="1" t="s">
        <v>481</v>
      </c>
      <c r="T2544" s="1" t="s">
        <v>32</v>
      </c>
      <c r="U2544" s="1" t="s">
        <v>482</v>
      </c>
      <c r="V2544" s="1" t="s">
        <v>235</v>
      </c>
      <c r="W2544" s="1" t="s">
        <v>48</v>
      </c>
      <c r="X2544" s="1" t="s">
        <v>483</v>
      </c>
      <c r="Y2544" s="1" t="s">
        <v>484</v>
      </c>
      <c r="Z2544" s="1" t="str">
        <f>TRIM(_xlfn.CONCAT(sales_data_sample[[#This Row],[CONTACTFIRSTNAME]],", ",sales_data_sample[[#This Row],[CONTACTLASTNAME]]))</f>
        <v>Eduardo, Saavedra</v>
      </c>
      <c r="AA2544" s="1" t="s">
        <v>40</v>
      </c>
    </row>
    <row r="2545" spans="1:27" x14ac:dyDescent="0.25">
      <c r="A2545" s="10">
        <v>10209</v>
      </c>
      <c r="B2545" s="9">
        <v>33</v>
      </c>
      <c r="C2545" s="9">
        <v>8871</v>
      </c>
      <c r="D2545" s="9">
        <f>PRODUCT(sales_data_sample[[#This Row],[QUANTITYORDERED]],sales_data_sample[[#This Row],[PRICEEACH]])</f>
        <v>292743</v>
      </c>
      <c r="E2545" s="9">
        <f>IF(OR(sales_data_sample[[#This Row],[STATUS]]="Shipped",sales_data_sample[[#This Row],[STATUS]]="Resolved"),sales_data_sample[[#This Row],[SALES]],0)</f>
        <v>292743</v>
      </c>
      <c r="F2545" s="10">
        <v>4</v>
      </c>
      <c r="G2545" s="12" t="s">
        <v>485</v>
      </c>
      <c r="H2545" s="1" t="s">
        <v>26</v>
      </c>
      <c r="I2545">
        <v>1</v>
      </c>
      <c r="J2545">
        <v>1</v>
      </c>
      <c r="K2545">
        <v>2004</v>
      </c>
      <c r="L2545" s="1" t="s">
        <v>905</v>
      </c>
      <c r="M2545">
        <v>90</v>
      </c>
      <c r="N2545" s="1" t="s">
        <v>1005</v>
      </c>
      <c r="O2545" s="1" t="s">
        <v>486</v>
      </c>
      <c r="P2545" s="1" t="s">
        <v>487</v>
      </c>
      <c r="Q2545" s="1" t="s">
        <v>488</v>
      </c>
      <c r="R2545" s="1" t="s">
        <v>32</v>
      </c>
      <c r="S2545" s="1" t="s">
        <v>489</v>
      </c>
      <c r="T2545" s="1" t="s">
        <v>65</v>
      </c>
      <c r="U2545" s="1" t="s">
        <v>32</v>
      </c>
      <c r="V2545" s="1" t="s">
        <v>36</v>
      </c>
      <c r="W2545" s="1" t="s">
        <v>37</v>
      </c>
      <c r="X2545" s="1" t="s">
        <v>490</v>
      </c>
      <c r="Y2545" s="1" t="s">
        <v>130</v>
      </c>
      <c r="Z2545" s="1" t="str">
        <f>TRIM(_xlfn.CONCAT(sales_data_sample[[#This Row],[CONTACTFIRSTNAME]],", ",sales_data_sample[[#This Row],[CONTACTLASTNAME]]))</f>
        <v>Michael, Chandler</v>
      </c>
      <c r="AA2545" s="1" t="s">
        <v>40</v>
      </c>
    </row>
    <row r="2546" spans="1:27" x14ac:dyDescent="0.25">
      <c r="A2546" s="10">
        <v>10222</v>
      </c>
      <c r="B2546" s="9">
        <v>26</v>
      </c>
      <c r="C2546" s="9">
        <v>100</v>
      </c>
      <c r="D2546" s="9">
        <f>PRODUCT(sales_data_sample[[#This Row],[QUANTITYORDERED]],sales_data_sample[[#This Row],[PRICEEACH]])</f>
        <v>2600</v>
      </c>
      <c r="E2546" s="9">
        <f>IF(OR(sales_data_sample[[#This Row],[STATUS]]="Shipped",sales_data_sample[[#This Row],[STATUS]]="Resolved"),sales_data_sample[[#This Row],[SALES]],0)</f>
        <v>2600</v>
      </c>
      <c r="F2546" s="10">
        <v>8</v>
      </c>
      <c r="G2546" s="12" t="s">
        <v>491</v>
      </c>
      <c r="H2546" s="1" t="s">
        <v>26</v>
      </c>
      <c r="I2546">
        <v>1</v>
      </c>
      <c r="J2546">
        <v>2</v>
      </c>
      <c r="K2546">
        <v>2004</v>
      </c>
      <c r="L2546" s="1" t="s">
        <v>905</v>
      </c>
      <c r="M2546">
        <v>90</v>
      </c>
      <c r="N2546" s="1" t="s">
        <v>1005</v>
      </c>
      <c r="O2546" s="1" t="s">
        <v>492</v>
      </c>
      <c r="P2546" s="1" t="s">
        <v>493</v>
      </c>
      <c r="Q2546" s="1" t="s">
        <v>494</v>
      </c>
      <c r="R2546" s="1" t="s">
        <v>32</v>
      </c>
      <c r="S2546" s="1" t="s">
        <v>495</v>
      </c>
      <c r="T2546" s="1" t="s">
        <v>65</v>
      </c>
      <c r="U2546" s="1" t="s">
        <v>496</v>
      </c>
      <c r="V2546" s="1" t="s">
        <v>36</v>
      </c>
      <c r="W2546" s="1" t="s">
        <v>37</v>
      </c>
      <c r="X2546" s="1" t="s">
        <v>313</v>
      </c>
      <c r="Y2546" s="1" t="s">
        <v>366</v>
      </c>
      <c r="Z2546" s="1" t="str">
        <f>TRIM(_xlfn.CONCAT(sales_data_sample[[#This Row],[CONTACTFIRSTNAME]],", ",sales_data_sample[[#This Row],[CONTACTLASTNAME]]))</f>
        <v>Valarie, Thompson</v>
      </c>
      <c r="AA2546" s="1" t="s">
        <v>40</v>
      </c>
    </row>
    <row r="2547" spans="1:27" x14ac:dyDescent="0.25">
      <c r="A2547" s="10">
        <v>10249</v>
      </c>
      <c r="B2547" s="9">
        <v>40</v>
      </c>
      <c r="C2547" s="9">
        <v>9595</v>
      </c>
      <c r="D2547" s="9">
        <f>PRODUCT(sales_data_sample[[#This Row],[QUANTITYORDERED]],sales_data_sample[[#This Row],[PRICEEACH]])</f>
        <v>383800</v>
      </c>
      <c r="E2547" s="9">
        <f>IF(OR(sales_data_sample[[#This Row],[STATUS]]="Shipped",sales_data_sample[[#This Row],[STATUS]]="Resolved"),sales_data_sample[[#This Row],[SALES]],0)</f>
        <v>383800</v>
      </c>
      <c r="F2547" s="10">
        <v>4</v>
      </c>
      <c r="G2547" s="12" t="s">
        <v>935</v>
      </c>
      <c r="H2547" s="1" t="s">
        <v>26</v>
      </c>
      <c r="I2547">
        <v>2</v>
      </c>
      <c r="J2547">
        <v>5</v>
      </c>
      <c r="K2547">
        <v>2004</v>
      </c>
      <c r="L2547" s="1" t="s">
        <v>905</v>
      </c>
      <c r="M2547">
        <v>90</v>
      </c>
      <c r="N2547" s="1" t="s">
        <v>1005</v>
      </c>
      <c r="O2547" s="1" t="s">
        <v>316</v>
      </c>
      <c r="P2547" s="1" t="s">
        <v>317</v>
      </c>
      <c r="Q2547" s="1" t="s">
        <v>318</v>
      </c>
      <c r="R2547" s="1" t="s">
        <v>32</v>
      </c>
      <c r="S2547" s="1" t="s">
        <v>159</v>
      </c>
      <c r="T2547" s="1" t="s">
        <v>160</v>
      </c>
      <c r="U2547" s="1" t="s">
        <v>161</v>
      </c>
      <c r="V2547" s="1" t="s">
        <v>36</v>
      </c>
      <c r="W2547" s="1" t="s">
        <v>37</v>
      </c>
      <c r="X2547" s="1" t="s">
        <v>319</v>
      </c>
      <c r="Y2547" s="1" t="s">
        <v>188</v>
      </c>
      <c r="Z2547" s="1" t="str">
        <f>TRIM(_xlfn.CONCAT(sales_data_sample[[#This Row],[CONTACTFIRSTNAME]],", ",sales_data_sample[[#This Row],[CONTACTLASTNAME]]))</f>
        <v>Kyung, Tseng</v>
      </c>
      <c r="AA2547" s="1" t="s">
        <v>59</v>
      </c>
    </row>
    <row r="2548" spans="1:27" x14ac:dyDescent="0.25">
      <c r="A2548" s="10">
        <v>10262</v>
      </c>
      <c r="B2548" s="9">
        <v>44</v>
      </c>
      <c r="C2548" s="9">
        <v>9414</v>
      </c>
      <c r="D2548" s="9">
        <f>PRODUCT(sales_data_sample[[#This Row],[QUANTITYORDERED]],sales_data_sample[[#This Row],[PRICEEACH]])</f>
        <v>414216</v>
      </c>
      <c r="E2548" s="9">
        <f>IF(OR(sales_data_sample[[#This Row],[STATUS]]="Shipped",sales_data_sample[[#This Row],[STATUS]]="Resolved"),sales_data_sample[[#This Row],[SALES]],0)</f>
        <v>0</v>
      </c>
      <c r="F2548" s="10">
        <v>13</v>
      </c>
      <c r="G2548" s="12" t="s">
        <v>850</v>
      </c>
      <c r="H2548" s="1" t="s">
        <v>461</v>
      </c>
      <c r="I2548">
        <v>2</v>
      </c>
      <c r="J2548">
        <v>6</v>
      </c>
      <c r="K2548">
        <v>2004</v>
      </c>
      <c r="L2548" s="1" t="s">
        <v>905</v>
      </c>
      <c r="M2548">
        <v>90</v>
      </c>
      <c r="N2548" s="1" t="s">
        <v>1005</v>
      </c>
      <c r="O2548" s="1" t="s">
        <v>230</v>
      </c>
      <c r="P2548" s="1" t="s">
        <v>231</v>
      </c>
      <c r="Q2548" s="1" t="s">
        <v>232</v>
      </c>
      <c r="R2548" s="1" t="s">
        <v>32</v>
      </c>
      <c r="S2548" s="1" t="s">
        <v>233</v>
      </c>
      <c r="T2548" s="1" t="s">
        <v>32</v>
      </c>
      <c r="U2548" s="1" t="s">
        <v>234</v>
      </c>
      <c r="V2548" s="1" t="s">
        <v>235</v>
      </c>
      <c r="W2548" s="1" t="s">
        <v>48</v>
      </c>
      <c r="X2548" s="1" t="s">
        <v>236</v>
      </c>
      <c r="Y2548" s="1" t="s">
        <v>237</v>
      </c>
      <c r="Z2548" s="1" t="str">
        <f>TRIM(_xlfn.CONCAT(sales_data_sample[[#This Row],[CONTACTFIRSTNAME]],", ",sales_data_sample[[#This Row],[CONTACTLASTNAME]]))</f>
        <v>Diego, Freyre</v>
      </c>
      <c r="AA2548" s="1" t="s">
        <v>59</v>
      </c>
    </row>
    <row r="2549" spans="1:27" x14ac:dyDescent="0.25">
      <c r="A2549" s="10">
        <v>10274</v>
      </c>
      <c r="B2549" s="9">
        <v>24</v>
      </c>
      <c r="C2549" s="9">
        <v>9052</v>
      </c>
      <c r="D2549" s="9">
        <f>PRODUCT(sales_data_sample[[#This Row],[QUANTITYORDERED]],sales_data_sample[[#This Row],[PRICEEACH]])</f>
        <v>217248</v>
      </c>
      <c r="E2549" s="9">
        <f>IF(OR(sales_data_sample[[#This Row],[STATUS]]="Shipped",sales_data_sample[[#This Row],[STATUS]]="Resolved"),sales_data_sample[[#This Row],[SALES]],0)</f>
        <v>217248</v>
      </c>
      <c r="F2549" s="10">
        <v>5</v>
      </c>
      <c r="G2549" s="12" t="s">
        <v>499</v>
      </c>
      <c r="H2549" s="1" t="s">
        <v>26</v>
      </c>
      <c r="I2549">
        <v>3</v>
      </c>
      <c r="J2549">
        <v>7</v>
      </c>
      <c r="K2549">
        <v>2004</v>
      </c>
      <c r="L2549" s="1" t="s">
        <v>905</v>
      </c>
      <c r="M2549">
        <v>90</v>
      </c>
      <c r="N2549" s="1" t="s">
        <v>1005</v>
      </c>
      <c r="O2549" s="1" t="s">
        <v>378</v>
      </c>
      <c r="P2549" s="1" t="s">
        <v>157</v>
      </c>
      <c r="Q2549" s="1" t="s">
        <v>379</v>
      </c>
      <c r="R2549" s="1" t="s">
        <v>32</v>
      </c>
      <c r="S2549" s="1" t="s">
        <v>380</v>
      </c>
      <c r="T2549" s="1" t="s">
        <v>160</v>
      </c>
      <c r="U2549" s="1" t="s">
        <v>381</v>
      </c>
      <c r="V2549" s="1" t="s">
        <v>36</v>
      </c>
      <c r="W2549" s="1" t="s">
        <v>37</v>
      </c>
      <c r="X2549" s="1" t="s">
        <v>365</v>
      </c>
      <c r="Y2549" s="1" t="s">
        <v>382</v>
      </c>
      <c r="Z2549" s="1" t="str">
        <f>TRIM(_xlfn.CONCAT(sales_data_sample[[#This Row],[CONTACTFIRSTNAME]],", ",sales_data_sample[[#This Row],[CONTACTLASTNAME]]))</f>
        <v>Allen, Nelson</v>
      </c>
      <c r="AA2549" s="1" t="s">
        <v>40</v>
      </c>
    </row>
    <row r="2550" spans="1:27" x14ac:dyDescent="0.25">
      <c r="A2550" s="10">
        <v>10283</v>
      </c>
      <c r="B2550" s="9">
        <v>20</v>
      </c>
      <c r="C2550" s="9">
        <v>9414</v>
      </c>
      <c r="D2550" s="9">
        <f>PRODUCT(sales_data_sample[[#This Row],[QUANTITYORDERED]],sales_data_sample[[#This Row],[PRICEEACH]])</f>
        <v>188280</v>
      </c>
      <c r="E2550" s="9">
        <f>IF(OR(sales_data_sample[[#This Row],[STATUS]]="Shipped",sales_data_sample[[#This Row],[STATUS]]="Resolved"),sales_data_sample[[#This Row],[SALES]],0)</f>
        <v>188280</v>
      </c>
      <c r="F2550" s="10">
        <v>2</v>
      </c>
      <c r="G2550" s="12" t="s">
        <v>508</v>
      </c>
      <c r="H2550" s="1" t="s">
        <v>26</v>
      </c>
      <c r="I2550">
        <v>3</v>
      </c>
      <c r="J2550">
        <v>8</v>
      </c>
      <c r="K2550">
        <v>2004</v>
      </c>
      <c r="L2550" s="1" t="s">
        <v>905</v>
      </c>
      <c r="M2550">
        <v>90</v>
      </c>
      <c r="N2550" s="1" t="s">
        <v>1005</v>
      </c>
      <c r="O2550" s="1" t="s">
        <v>509</v>
      </c>
      <c r="P2550" s="1" t="s">
        <v>510</v>
      </c>
      <c r="Q2550" s="1" t="s">
        <v>511</v>
      </c>
      <c r="R2550" s="1" t="s">
        <v>32</v>
      </c>
      <c r="S2550" s="1" t="s">
        <v>512</v>
      </c>
      <c r="T2550" s="1" t="s">
        <v>303</v>
      </c>
      <c r="U2550" s="1" t="s">
        <v>513</v>
      </c>
      <c r="V2550" s="1" t="s">
        <v>305</v>
      </c>
      <c r="W2550" s="1" t="s">
        <v>37</v>
      </c>
      <c r="X2550" s="1" t="s">
        <v>514</v>
      </c>
      <c r="Y2550" s="1" t="s">
        <v>227</v>
      </c>
      <c r="Z2550" s="1" t="str">
        <f>TRIM(_xlfn.CONCAT(sales_data_sample[[#This Row],[CONTACTFIRSTNAME]],", ",sales_data_sample[[#This Row],[CONTACTLASTNAME]]))</f>
        <v>Elizabeth, Lincoln</v>
      </c>
      <c r="AA2550" s="1" t="s">
        <v>40</v>
      </c>
    </row>
    <row r="2551" spans="1:27" x14ac:dyDescent="0.25">
      <c r="A2551" s="10">
        <v>10296</v>
      </c>
      <c r="B2551" s="9">
        <v>34</v>
      </c>
      <c r="C2551" s="9">
        <v>100</v>
      </c>
      <c r="D2551" s="9">
        <f>PRODUCT(sales_data_sample[[#This Row],[QUANTITYORDERED]],sales_data_sample[[#This Row],[PRICEEACH]])</f>
        <v>3400</v>
      </c>
      <c r="E2551" s="9">
        <f>IF(OR(sales_data_sample[[#This Row],[STATUS]]="Shipped",sales_data_sample[[#This Row],[STATUS]]="Resolved"),sales_data_sample[[#This Row],[SALES]],0)</f>
        <v>3400</v>
      </c>
      <c r="F2551" s="10">
        <v>11</v>
      </c>
      <c r="G2551" s="12" t="s">
        <v>852</v>
      </c>
      <c r="H2551" s="1" t="s">
        <v>26</v>
      </c>
      <c r="I2551">
        <v>3</v>
      </c>
      <c r="J2551">
        <v>9</v>
      </c>
      <c r="K2551">
        <v>2004</v>
      </c>
      <c r="L2551" s="1" t="s">
        <v>905</v>
      </c>
      <c r="M2551">
        <v>90</v>
      </c>
      <c r="N2551" s="1" t="s">
        <v>1005</v>
      </c>
      <c r="O2551" s="1" t="s">
        <v>853</v>
      </c>
      <c r="P2551" s="1" t="s">
        <v>854</v>
      </c>
      <c r="Q2551" s="1" t="s">
        <v>855</v>
      </c>
      <c r="R2551" s="1" t="s">
        <v>32</v>
      </c>
      <c r="S2551" s="1" t="s">
        <v>856</v>
      </c>
      <c r="T2551" s="1" t="s">
        <v>32</v>
      </c>
      <c r="U2551" s="1" t="s">
        <v>857</v>
      </c>
      <c r="V2551" s="1" t="s">
        <v>617</v>
      </c>
      <c r="W2551" s="1" t="s">
        <v>48</v>
      </c>
      <c r="X2551" s="1" t="s">
        <v>858</v>
      </c>
      <c r="Y2551" s="1" t="s">
        <v>130</v>
      </c>
      <c r="Z2551" s="1" t="str">
        <f>TRIM(_xlfn.CONCAT(sales_data_sample[[#This Row],[CONTACTFIRSTNAME]],", ",sales_data_sample[[#This Row],[CONTACTLASTNAME]]))</f>
        <v>Michael, Donnermeyer</v>
      </c>
      <c r="AA2551" s="1" t="s">
        <v>59</v>
      </c>
    </row>
    <row r="2552" spans="1:27" x14ac:dyDescent="0.25">
      <c r="A2552" s="10">
        <v>10307</v>
      </c>
      <c r="B2552" s="9">
        <v>34</v>
      </c>
      <c r="C2552" s="9">
        <v>9776</v>
      </c>
      <c r="D2552" s="9">
        <f>PRODUCT(sales_data_sample[[#This Row],[QUANTITYORDERED]],sales_data_sample[[#This Row],[PRICEEACH]])</f>
        <v>332384</v>
      </c>
      <c r="E2552" s="9">
        <f>IF(OR(sales_data_sample[[#This Row],[STATUS]]="Shipped",sales_data_sample[[#This Row],[STATUS]]="Resolved"),sales_data_sample[[#This Row],[SALES]],0)</f>
        <v>332384</v>
      </c>
      <c r="F2552" s="10">
        <v>5</v>
      </c>
      <c r="G2552" s="12" t="s">
        <v>522</v>
      </c>
      <c r="H2552" s="1" t="s">
        <v>26</v>
      </c>
      <c r="I2552">
        <v>4</v>
      </c>
      <c r="J2552">
        <v>10</v>
      </c>
      <c r="K2552">
        <v>2004</v>
      </c>
      <c r="L2552" s="1" t="s">
        <v>905</v>
      </c>
      <c r="M2552">
        <v>90</v>
      </c>
      <c r="N2552" s="1" t="s">
        <v>1005</v>
      </c>
      <c r="O2552" s="1" t="s">
        <v>283</v>
      </c>
      <c r="P2552" s="1" t="s">
        <v>284</v>
      </c>
      <c r="Q2552" s="1" t="s">
        <v>285</v>
      </c>
      <c r="R2552" s="1" t="s">
        <v>32</v>
      </c>
      <c r="S2552" s="1" t="s">
        <v>286</v>
      </c>
      <c r="T2552" s="1" t="s">
        <v>186</v>
      </c>
      <c r="U2552" s="1" t="s">
        <v>287</v>
      </c>
      <c r="V2552" s="1" t="s">
        <v>36</v>
      </c>
      <c r="W2552" s="1" t="s">
        <v>37</v>
      </c>
      <c r="X2552" s="1" t="s">
        <v>288</v>
      </c>
      <c r="Y2552" s="1" t="s">
        <v>289</v>
      </c>
      <c r="Z2552" s="1" t="str">
        <f>TRIM(_xlfn.CONCAT(sales_data_sample[[#This Row],[CONTACTFIRSTNAME]],", ",sales_data_sample[[#This Row],[CONTACTLASTNAME]]))</f>
        <v>Francisca, Cervantes</v>
      </c>
      <c r="AA2552" s="1" t="s">
        <v>59</v>
      </c>
    </row>
    <row r="2553" spans="1:27" x14ac:dyDescent="0.25">
      <c r="A2553" s="10">
        <v>10316</v>
      </c>
      <c r="B2553" s="9">
        <v>45</v>
      </c>
      <c r="C2553" s="9">
        <v>9324</v>
      </c>
      <c r="D2553" s="9">
        <f>PRODUCT(sales_data_sample[[#This Row],[QUANTITYORDERED]],sales_data_sample[[#This Row],[PRICEEACH]])</f>
        <v>419580</v>
      </c>
      <c r="E2553" s="9">
        <f>IF(OR(sales_data_sample[[#This Row],[STATUS]]="Shipped",sales_data_sample[[#This Row],[STATUS]]="Resolved"),sales_data_sample[[#This Row],[SALES]],0)</f>
        <v>419580</v>
      </c>
      <c r="F2553" s="10">
        <v>13</v>
      </c>
      <c r="G2553" s="12" t="s">
        <v>523</v>
      </c>
      <c r="H2553" s="1" t="s">
        <v>26</v>
      </c>
      <c r="I2553">
        <v>4</v>
      </c>
      <c r="J2553">
        <v>11</v>
      </c>
      <c r="K2553">
        <v>2004</v>
      </c>
      <c r="L2553" s="1" t="s">
        <v>905</v>
      </c>
      <c r="M2553">
        <v>90</v>
      </c>
      <c r="N2553" s="1" t="s">
        <v>1005</v>
      </c>
      <c r="O2553" s="1" t="s">
        <v>524</v>
      </c>
      <c r="P2553" s="1" t="s">
        <v>525</v>
      </c>
      <c r="Q2553" s="1" t="s">
        <v>526</v>
      </c>
      <c r="R2553" s="1" t="s">
        <v>32</v>
      </c>
      <c r="S2553" s="1" t="s">
        <v>527</v>
      </c>
      <c r="T2553" s="1" t="s">
        <v>528</v>
      </c>
      <c r="U2553" s="1" t="s">
        <v>529</v>
      </c>
      <c r="V2553" s="1" t="s">
        <v>225</v>
      </c>
      <c r="W2553" s="1" t="s">
        <v>48</v>
      </c>
      <c r="X2553" s="1" t="s">
        <v>530</v>
      </c>
      <c r="Y2553" s="1" t="s">
        <v>531</v>
      </c>
      <c r="Z2553" s="1" t="str">
        <f>TRIM(_xlfn.CONCAT(sales_data_sample[[#This Row],[CONTACTFIRSTNAME]],", ",sales_data_sample[[#This Row],[CONTACTLASTNAME]]))</f>
        <v>Helen, Bennett</v>
      </c>
      <c r="AA2553" s="1" t="s">
        <v>59</v>
      </c>
    </row>
    <row r="2554" spans="1:27" x14ac:dyDescent="0.25">
      <c r="A2554" s="10">
        <v>10328</v>
      </c>
      <c r="B2554" s="9">
        <v>41</v>
      </c>
      <c r="C2554" s="9">
        <v>100</v>
      </c>
      <c r="D2554" s="9">
        <f>PRODUCT(sales_data_sample[[#This Row],[QUANTITYORDERED]],sales_data_sample[[#This Row],[PRICEEACH]])</f>
        <v>4100</v>
      </c>
      <c r="E2554" s="9">
        <f>IF(OR(sales_data_sample[[#This Row],[STATUS]]="Shipped",sales_data_sample[[#This Row],[STATUS]]="Resolved"),sales_data_sample[[#This Row],[SALES]],0)</f>
        <v>4100</v>
      </c>
      <c r="F2554" s="10">
        <v>9</v>
      </c>
      <c r="G2554" s="12" t="s">
        <v>936</v>
      </c>
      <c r="H2554" s="1" t="s">
        <v>26</v>
      </c>
      <c r="I2554">
        <v>4</v>
      </c>
      <c r="J2554">
        <v>11</v>
      </c>
      <c r="K2554">
        <v>2004</v>
      </c>
      <c r="L2554" s="1" t="s">
        <v>905</v>
      </c>
      <c r="M2554">
        <v>90</v>
      </c>
      <c r="N2554" s="1" t="s">
        <v>1005</v>
      </c>
      <c r="O2554" s="1" t="s">
        <v>806</v>
      </c>
      <c r="P2554" s="1" t="s">
        <v>807</v>
      </c>
      <c r="Q2554" s="1" t="s">
        <v>808</v>
      </c>
      <c r="R2554" s="1" t="s">
        <v>32</v>
      </c>
      <c r="S2554" s="1" t="s">
        <v>809</v>
      </c>
      <c r="T2554" s="1" t="s">
        <v>32</v>
      </c>
      <c r="U2554" s="1" t="s">
        <v>810</v>
      </c>
      <c r="V2554" s="1" t="s">
        <v>343</v>
      </c>
      <c r="W2554" s="1" t="s">
        <v>48</v>
      </c>
      <c r="X2554" s="1" t="s">
        <v>811</v>
      </c>
      <c r="Y2554" s="1" t="s">
        <v>812</v>
      </c>
      <c r="Z2554" s="1" t="str">
        <f>TRIM(_xlfn.CONCAT(sales_data_sample[[#This Row],[CONTACTFIRSTNAME]],", ",sales_data_sample[[#This Row],[CONTACTLASTNAME]]))</f>
        <v>Giovanni, Rovelli</v>
      </c>
      <c r="AA2554" s="1" t="s">
        <v>59</v>
      </c>
    </row>
    <row r="2555" spans="1:27" x14ac:dyDescent="0.25">
      <c r="A2555" s="10">
        <v>10339</v>
      </c>
      <c r="B2555" s="9">
        <v>55</v>
      </c>
      <c r="C2555" s="9">
        <v>7125</v>
      </c>
      <c r="D2555" s="9">
        <f>PRODUCT(sales_data_sample[[#This Row],[QUANTITYORDERED]],sales_data_sample[[#This Row],[PRICEEACH]])</f>
        <v>391875</v>
      </c>
      <c r="E2555" s="9">
        <f>IF(OR(sales_data_sample[[#This Row],[STATUS]]="Shipped",sales_data_sample[[#This Row],[STATUS]]="Resolved"),sales_data_sample[[#This Row],[SALES]],0)</f>
        <v>391875</v>
      </c>
      <c r="F2555" s="10">
        <v>15</v>
      </c>
      <c r="G2555" s="12" t="s">
        <v>430</v>
      </c>
      <c r="H2555" s="1" t="s">
        <v>26</v>
      </c>
      <c r="I2555">
        <v>4</v>
      </c>
      <c r="J2555">
        <v>11</v>
      </c>
      <c r="K2555">
        <v>2004</v>
      </c>
      <c r="L2555" s="1" t="s">
        <v>905</v>
      </c>
      <c r="M2555">
        <v>90</v>
      </c>
      <c r="N2555" s="1" t="s">
        <v>1005</v>
      </c>
      <c r="O2555" s="1" t="s">
        <v>328</v>
      </c>
      <c r="P2555" s="1" t="s">
        <v>329</v>
      </c>
      <c r="Q2555" s="1" t="s">
        <v>330</v>
      </c>
      <c r="R2555" s="1" t="s">
        <v>32</v>
      </c>
      <c r="S2555" s="1" t="s">
        <v>331</v>
      </c>
      <c r="T2555" s="1" t="s">
        <v>332</v>
      </c>
      <c r="U2555" s="1" t="s">
        <v>333</v>
      </c>
      <c r="V2555" s="1" t="s">
        <v>264</v>
      </c>
      <c r="W2555" s="1" t="s">
        <v>264</v>
      </c>
      <c r="X2555" s="1" t="s">
        <v>334</v>
      </c>
      <c r="Y2555" s="1" t="s">
        <v>335</v>
      </c>
      <c r="Z2555" s="1" t="str">
        <f>TRIM(_xlfn.CONCAT(sales_data_sample[[#This Row],[CONTACTFIRSTNAME]],", ",sales_data_sample[[#This Row],[CONTACTLASTNAME]]))</f>
        <v>Akiko, Shimamura</v>
      </c>
      <c r="AA2555" s="1" t="s">
        <v>59</v>
      </c>
    </row>
    <row r="2556" spans="1:27" x14ac:dyDescent="0.25">
      <c r="A2556" s="10">
        <v>10352</v>
      </c>
      <c r="B2556" s="9">
        <v>23</v>
      </c>
      <c r="C2556" s="9">
        <v>100</v>
      </c>
      <c r="D2556" s="9">
        <f>PRODUCT(sales_data_sample[[#This Row],[QUANTITYORDERED]],sales_data_sample[[#This Row],[PRICEEACH]])</f>
        <v>2300</v>
      </c>
      <c r="E2556" s="9">
        <f>IF(OR(sales_data_sample[[#This Row],[STATUS]]="Shipped",sales_data_sample[[#This Row],[STATUS]]="Resolved"),sales_data_sample[[#This Row],[SALES]],0)</f>
        <v>2300</v>
      </c>
      <c r="F2556" s="10">
        <v>3</v>
      </c>
      <c r="G2556" s="12" t="s">
        <v>868</v>
      </c>
      <c r="H2556" s="1" t="s">
        <v>26</v>
      </c>
      <c r="I2556">
        <v>4</v>
      </c>
      <c r="J2556">
        <v>12</v>
      </c>
      <c r="K2556">
        <v>2004</v>
      </c>
      <c r="L2556" s="1" t="s">
        <v>905</v>
      </c>
      <c r="M2556">
        <v>90</v>
      </c>
      <c r="N2556" s="1" t="s">
        <v>1005</v>
      </c>
      <c r="O2556" s="1" t="s">
        <v>907</v>
      </c>
      <c r="P2556" s="1" t="s">
        <v>908</v>
      </c>
      <c r="Q2556" s="1" t="s">
        <v>909</v>
      </c>
      <c r="R2556" s="1" t="s">
        <v>32</v>
      </c>
      <c r="S2556" s="1" t="s">
        <v>380</v>
      </c>
      <c r="T2556" s="1" t="s">
        <v>160</v>
      </c>
      <c r="U2556" s="1" t="s">
        <v>381</v>
      </c>
      <c r="V2556" s="1" t="s">
        <v>36</v>
      </c>
      <c r="W2556" s="1" t="s">
        <v>37</v>
      </c>
      <c r="X2556" s="1" t="s">
        <v>757</v>
      </c>
      <c r="Y2556" s="1" t="s">
        <v>326</v>
      </c>
      <c r="Z2556" s="1" t="str">
        <f>TRIM(_xlfn.CONCAT(sales_data_sample[[#This Row],[CONTACTFIRSTNAME]],", ",sales_data_sample[[#This Row],[CONTACTLASTNAME]]))</f>
        <v>Leslie, Taylor</v>
      </c>
      <c r="AA2556" s="1" t="s">
        <v>40</v>
      </c>
    </row>
    <row r="2557" spans="1:27" x14ac:dyDescent="0.25">
      <c r="A2557">
        <v>10361</v>
      </c>
      <c r="B2557">
        <v>24</v>
      </c>
      <c r="C2557">
        <v>4539</v>
      </c>
      <c r="D2557">
        <f>PRODUCT(sales_data_sample[[#This Row],[QUANTITYORDERED]],sales_data_sample[[#This Row],[PRICEEACH]])</f>
        <v>108936</v>
      </c>
      <c r="E2557" s="9">
        <f>IF(OR(sales_data_sample[[#This Row],[STATUS]]="Shipped",sales_data_sample[[#This Row],[STATUS]]="Resolved"),sales_data_sample[[#This Row],[SALES]],0)</f>
        <v>108936</v>
      </c>
      <c r="F2557">
        <v>14</v>
      </c>
      <c r="G2557" s="12" t="s">
        <v>200</v>
      </c>
      <c r="H2557" s="1" t="s">
        <v>26</v>
      </c>
      <c r="I2557">
        <v>4</v>
      </c>
      <c r="J2557">
        <v>12</v>
      </c>
      <c r="K2557">
        <v>2004</v>
      </c>
      <c r="L2557" s="1" t="s">
        <v>905</v>
      </c>
      <c r="M2557">
        <v>90</v>
      </c>
      <c r="N2557" s="1" t="s">
        <v>1005</v>
      </c>
      <c r="O2557" s="1" t="s">
        <v>201</v>
      </c>
      <c r="P2557" s="1" t="s">
        <v>202</v>
      </c>
      <c r="Q2557" s="1" t="s">
        <v>203</v>
      </c>
      <c r="R2557" s="1" t="s">
        <v>204</v>
      </c>
      <c r="S2557" s="1" t="s">
        <v>205</v>
      </c>
      <c r="T2557" s="1" t="s">
        <v>206</v>
      </c>
      <c r="U2557" s="1" t="s">
        <v>207</v>
      </c>
      <c r="V2557" s="1" t="s">
        <v>120</v>
      </c>
      <c r="W2557" s="1" t="s">
        <v>121</v>
      </c>
      <c r="X2557" s="1" t="s">
        <v>208</v>
      </c>
      <c r="Y2557" s="1" t="s">
        <v>209</v>
      </c>
      <c r="Z2557" s="1" t="str">
        <f>TRIM(_xlfn.CONCAT(sales_data_sample[[#This Row],[CONTACTFIRSTNAME]],", ",sales_data_sample[[#This Row],[CONTACTLASTNAME]]))</f>
        <v>Adrian, Huxley</v>
      </c>
      <c r="AA2557" s="1" t="s">
        <v>40</v>
      </c>
    </row>
    <row r="2558" spans="1:27" x14ac:dyDescent="0.25">
      <c r="A2558" s="10">
        <v>10373</v>
      </c>
      <c r="B2558" s="9">
        <v>32</v>
      </c>
      <c r="C2558" s="9">
        <v>8441</v>
      </c>
      <c r="D2558" s="9">
        <f>PRODUCT(sales_data_sample[[#This Row],[QUANTITYORDERED]],sales_data_sample[[#This Row],[PRICEEACH]])</f>
        <v>270112</v>
      </c>
      <c r="E2558" s="9">
        <f>IF(OR(sales_data_sample[[#This Row],[STATUS]]="Shipped",sales_data_sample[[#This Row],[STATUS]]="Resolved"),sales_data_sample[[#This Row],[SALES]],0)</f>
        <v>270112</v>
      </c>
      <c r="F2558" s="10">
        <v>15</v>
      </c>
      <c r="G2558" s="12" t="s">
        <v>536</v>
      </c>
      <c r="H2558" s="1" t="s">
        <v>26</v>
      </c>
      <c r="I2558">
        <v>1</v>
      </c>
      <c r="J2558">
        <v>1</v>
      </c>
      <c r="K2558">
        <v>2005</v>
      </c>
      <c r="L2558" s="1" t="s">
        <v>905</v>
      </c>
      <c r="M2558">
        <v>90</v>
      </c>
      <c r="N2558" s="1" t="s">
        <v>1005</v>
      </c>
      <c r="O2558" s="1" t="s">
        <v>537</v>
      </c>
      <c r="P2558" s="1" t="s">
        <v>538</v>
      </c>
      <c r="Q2558" s="1" t="s">
        <v>539</v>
      </c>
      <c r="R2558" s="1" t="s">
        <v>32</v>
      </c>
      <c r="S2558" s="1" t="s">
        <v>540</v>
      </c>
      <c r="T2558" s="1" t="s">
        <v>32</v>
      </c>
      <c r="U2558" s="1" t="s">
        <v>541</v>
      </c>
      <c r="V2558" s="1" t="s">
        <v>170</v>
      </c>
      <c r="W2558" s="1" t="s">
        <v>48</v>
      </c>
      <c r="X2558" s="1" t="s">
        <v>542</v>
      </c>
      <c r="Y2558" s="1" t="s">
        <v>543</v>
      </c>
      <c r="Z2558" s="1" t="str">
        <f>TRIM(_xlfn.CONCAT(sales_data_sample[[#This Row],[CONTACTFIRSTNAME]],", ",sales_data_sample[[#This Row],[CONTACTLASTNAME]]))</f>
        <v>Pirkko, Koskitalo</v>
      </c>
      <c r="AA2558" s="1" t="s">
        <v>40</v>
      </c>
    </row>
    <row r="2559" spans="1:27" x14ac:dyDescent="0.25">
      <c r="A2559" s="10">
        <v>10386</v>
      </c>
      <c r="B2559" s="9">
        <v>29</v>
      </c>
      <c r="C2559" s="9">
        <v>8576</v>
      </c>
      <c r="D2559" s="9">
        <f>PRODUCT(sales_data_sample[[#This Row],[QUANTITYORDERED]],sales_data_sample[[#This Row],[PRICEEACH]])</f>
        <v>248704</v>
      </c>
      <c r="E2559" s="9">
        <f>IF(OR(sales_data_sample[[#This Row],[STATUS]]="Shipped",sales_data_sample[[#This Row],[STATUS]]="Resolved"),sales_data_sample[[#This Row],[SALES]],0)</f>
        <v>248704</v>
      </c>
      <c r="F2559" s="10">
        <v>13</v>
      </c>
      <c r="G2559" s="12" t="s">
        <v>869</v>
      </c>
      <c r="H2559" s="1" t="s">
        <v>563</v>
      </c>
      <c r="I2559">
        <v>1</v>
      </c>
      <c r="J2559">
        <v>3</v>
      </c>
      <c r="K2559">
        <v>2005</v>
      </c>
      <c r="L2559" s="1" t="s">
        <v>905</v>
      </c>
      <c r="M2559">
        <v>90</v>
      </c>
      <c r="N2559" s="1" t="s">
        <v>1005</v>
      </c>
      <c r="O2559" s="1" t="s">
        <v>230</v>
      </c>
      <c r="P2559" s="1" t="s">
        <v>231</v>
      </c>
      <c r="Q2559" s="1" t="s">
        <v>232</v>
      </c>
      <c r="R2559" s="1" t="s">
        <v>32</v>
      </c>
      <c r="S2559" s="1" t="s">
        <v>233</v>
      </c>
      <c r="T2559" s="1" t="s">
        <v>32</v>
      </c>
      <c r="U2559" s="1" t="s">
        <v>234</v>
      </c>
      <c r="V2559" s="1" t="s">
        <v>235</v>
      </c>
      <c r="W2559" s="1" t="s">
        <v>48</v>
      </c>
      <c r="X2559" s="1" t="s">
        <v>236</v>
      </c>
      <c r="Y2559" s="1" t="s">
        <v>237</v>
      </c>
      <c r="Z2559" s="1" t="str">
        <f>TRIM(_xlfn.CONCAT(sales_data_sample[[#This Row],[CONTACTFIRSTNAME]],", ",sales_data_sample[[#This Row],[CONTACTLASTNAME]]))</f>
        <v>Diego, Freyre</v>
      </c>
      <c r="AA2559" s="1" t="s">
        <v>40</v>
      </c>
    </row>
    <row r="2560" spans="1:27" x14ac:dyDescent="0.25">
      <c r="A2560" s="10">
        <v>10398</v>
      </c>
      <c r="B2560" s="9">
        <v>36</v>
      </c>
      <c r="C2560" s="9">
        <v>100</v>
      </c>
      <c r="D2560" s="9">
        <f>PRODUCT(sales_data_sample[[#This Row],[QUANTITYORDERED]],sales_data_sample[[#This Row],[PRICEEACH]])</f>
        <v>3600</v>
      </c>
      <c r="E2560" s="9">
        <f>IF(OR(sales_data_sample[[#This Row],[STATUS]]="Shipped",sales_data_sample[[#This Row],[STATUS]]="Resolved"),sales_data_sample[[#This Row],[SALES]],0)</f>
        <v>3600</v>
      </c>
      <c r="F2560" s="10">
        <v>7</v>
      </c>
      <c r="G2560" s="12" t="s">
        <v>870</v>
      </c>
      <c r="H2560" s="1" t="s">
        <v>26</v>
      </c>
      <c r="I2560">
        <v>1</v>
      </c>
      <c r="J2560">
        <v>3</v>
      </c>
      <c r="K2560">
        <v>2005</v>
      </c>
      <c r="L2560" s="1" t="s">
        <v>905</v>
      </c>
      <c r="M2560">
        <v>90</v>
      </c>
      <c r="N2560" s="1" t="s">
        <v>1005</v>
      </c>
      <c r="O2560" s="1" t="s">
        <v>42</v>
      </c>
      <c r="P2560" s="1" t="s">
        <v>43</v>
      </c>
      <c r="Q2560" s="1" t="s">
        <v>44</v>
      </c>
      <c r="R2560" s="1" t="s">
        <v>32</v>
      </c>
      <c r="S2560" s="1" t="s">
        <v>45</v>
      </c>
      <c r="T2560" s="1" t="s">
        <v>32</v>
      </c>
      <c r="U2560" s="1" t="s">
        <v>46</v>
      </c>
      <c r="V2560" s="1" t="s">
        <v>47</v>
      </c>
      <c r="W2560" s="1" t="s">
        <v>48</v>
      </c>
      <c r="X2560" s="1" t="s">
        <v>49</v>
      </c>
      <c r="Y2560" s="1" t="s">
        <v>50</v>
      </c>
      <c r="Z2560" s="1" t="str">
        <f>TRIM(_xlfn.CONCAT(sales_data_sample[[#This Row],[CONTACTFIRSTNAME]],", ",sales_data_sample[[#This Row],[CONTACTLASTNAME]]))</f>
        <v>Paul, Henriot</v>
      </c>
      <c r="AA2560" s="1" t="s">
        <v>59</v>
      </c>
    </row>
    <row r="2561" spans="1:27" x14ac:dyDescent="0.25">
      <c r="A2561" s="10">
        <v>10400</v>
      </c>
      <c r="B2561" s="9">
        <v>46</v>
      </c>
      <c r="C2561" s="9">
        <v>878</v>
      </c>
      <c r="D2561" s="9">
        <f>PRODUCT(sales_data_sample[[#This Row],[QUANTITYORDERED]],sales_data_sample[[#This Row],[PRICEEACH]])</f>
        <v>40388</v>
      </c>
      <c r="E2561" s="9">
        <f>IF(OR(sales_data_sample[[#This Row],[STATUS]]="Shipped",sales_data_sample[[#This Row],[STATUS]]="Resolved"),sales_data_sample[[#This Row],[SALES]],0)</f>
        <v>40388</v>
      </c>
      <c r="F2561" s="10">
        <v>5</v>
      </c>
      <c r="G2561" s="12" t="s">
        <v>546</v>
      </c>
      <c r="H2561" s="1" t="s">
        <v>26</v>
      </c>
      <c r="I2561">
        <v>2</v>
      </c>
      <c r="J2561">
        <v>4</v>
      </c>
      <c r="K2561">
        <v>2005</v>
      </c>
      <c r="L2561" s="1" t="s">
        <v>905</v>
      </c>
      <c r="M2561">
        <v>90</v>
      </c>
      <c r="N2561" s="1" t="s">
        <v>1005</v>
      </c>
      <c r="O2561" s="1" t="s">
        <v>547</v>
      </c>
      <c r="P2561" s="1" t="s">
        <v>548</v>
      </c>
      <c r="Q2561" s="1" t="s">
        <v>549</v>
      </c>
      <c r="R2561" s="1" t="s">
        <v>32</v>
      </c>
      <c r="S2561" s="1" t="s">
        <v>550</v>
      </c>
      <c r="T2561" s="1" t="s">
        <v>65</v>
      </c>
      <c r="U2561" s="1" t="s">
        <v>80</v>
      </c>
      <c r="V2561" s="1" t="s">
        <v>36</v>
      </c>
      <c r="W2561" s="1" t="s">
        <v>37</v>
      </c>
      <c r="X2561" s="1" t="s">
        <v>129</v>
      </c>
      <c r="Y2561" s="1" t="s">
        <v>551</v>
      </c>
      <c r="Z2561" s="1" t="str">
        <f>TRIM(_xlfn.CONCAT(sales_data_sample[[#This Row],[CONTACTFIRSTNAME]],", ",sales_data_sample[[#This Row],[CONTACTLASTNAME]]))</f>
        <v>Sue, Frick</v>
      </c>
      <c r="AA2561" s="1" t="s">
        <v>59</v>
      </c>
    </row>
    <row r="2562" spans="1:27" x14ac:dyDescent="0.25">
      <c r="A2562" s="10">
        <v>10415</v>
      </c>
      <c r="B2562" s="9">
        <v>32</v>
      </c>
      <c r="C2562" s="9">
        <v>9595</v>
      </c>
      <c r="D2562" s="9">
        <f>PRODUCT(sales_data_sample[[#This Row],[QUANTITYORDERED]],sales_data_sample[[#This Row],[PRICEEACH]])</f>
        <v>307040</v>
      </c>
      <c r="E2562" s="9">
        <f>IF(OR(sales_data_sample[[#This Row],[STATUS]]="Shipped",sales_data_sample[[#This Row],[STATUS]]="Resolved"),sales_data_sample[[#This Row],[SALES]],0)</f>
        <v>0</v>
      </c>
      <c r="F2562" s="10">
        <v>4</v>
      </c>
      <c r="G2562" s="12" t="s">
        <v>937</v>
      </c>
      <c r="H2562" s="1" t="s">
        <v>229</v>
      </c>
      <c r="I2562">
        <v>2</v>
      </c>
      <c r="J2562">
        <v>5</v>
      </c>
      <c r="K2562">
        <v>2005</v>
      </c>
      <c r="L2562" s="1" t="s">
        <v>905</v>
      </c>
      <c r="M2562">
        <v>90</v>
      </c>
      <c r="N2562" s="1" t="s">
        <v>1005</v>
      </c>
      <c r="O2562" s="1" t="s">
        <v>814</v>
      </c>
      <c r="P2562" s="1" t="s">
        <v>815</v>
      </c>
      <c r="Q2562" s="1" t="s">
        <v>816</v>
      </c>
      <c r="R2562" s="1" t="s">
        <v>32</v>
      </c>
      <c r="S2562" s="1" t="s">
        <v>817</v>
      </c>
      <c r="T2562" s="1" t="s">
        <v>118</v>
      </c>
      <c r="U2562" s="1" t="s">
        <v>818</v>
      </c>
      <c r="V2562" s="1" t="s">
        <v>120</v>
      </c>
      <c r="W2562" s="1" t="s">
        <v>121</v>
      </c>
      <c r="X2562" s="1" t="s">
        <v>819</v>
      </c>
      <c r="Y2562" s="1" t="s">
        <v>820</v>
      </c>
      <c r="Z2562" s="1" t="str">
        <f>TRIM(_xlfn.CONCAT(sales_data_sample[[#This Row],[CONTACTFIRSTNAME]],", ",sales_data_sample[[#This Row],[CONTACTLASTNAME]]))</f>
        <v>Sean, Connery</v>
      </c>
      <c r="AA2562" s="1" t="s">
        <v>59</v>
      </c>
    </row>
    <row r="2563" spans="1:27" x14ac:dyDescent="0.25">
      <c r="A2563" s="10">
        <v>10106</v>
      </c>
      <c r="B2563" s="9">
        <v>34</v>
      </c>
      <c r="C2563" s="9">
        <v>100</v>
      </c>
      <c r="D2563" s="9">
        <f>PRODUCT(sales_data_sample[[#This Row],[QUANTITYORDERED]],sales_data_sample[[#This Row],[PRICEEACH]])</f>
        <v>3400</v>
      </c>
      <c r="E2563" s="9">
        <f>IF(OR(sales_data_sample[[#This Row],[STATUS]]="Shipped",sales_data_sample[[#This Row],[STATUS]]="Resolved"),sales_data_sample[[#This Row],[SALES]],0)</f>
        <v>3400</v>
      </c>
      <c r="F2563" s="10">
        <v>9</v>
      </c>
      <c r="G2563" s="12" t="s">
        <v>838</v>
      </c>
      <c r="H2563" s="1" t="s">
        <v>26</v>
      </c>
      <c r="I2563">
        <v>1</v>
      </c>
      <c r="J2563">
        <v>2</v>
      </c>
      <c r="K2563">
        <v>2003</v>
      </c>
      <c r="L2563" s="1" t="s">
        <v>839</v>
      </c>
      <c r="M2563">
        <v>99</v>
      </c>
      <c r="N2563" s="1" t="s">
        <v>1006</v>
      </c>
      <c r="O2563" s="1" t="s">
        <v>806</v>
      </c>
      <c r="P2563" s="1" t="s">
        <v>807</v>
      </c>
      <c r="Q2563" s="1" t="s">
        <v>808</v>
      </c>
      <c r="R2563" s="1" t="s">
        <v>32</v>
      </c>
      <c r="S2563" s="1" t="s">
        <v>809</v>
      </c>
      <c r="T2563" s="1" t="s">
        <v>32</v>
      </c>
      <c r="U2563" s="1" t="s">
        <v>810</v>
      </c>
      <c r="V2563" s="1" t="s">
        <v>343</v>
      </c>
      <c r="W2563" s="1" t="s">
        <v>48</v>
      </c>
      <c r="X2563" s="1" t="s">
        <v>811</v>
      </c>
      <c r="Y2563" s="1" t="s">
        <v>812</v>
      </c>
      <c r="Z2563" s="1" t="str">
        <f>TRIM(_xlfn.CONCAT(sales_data_sample[[#This Row],[CONTACTFIRSTNAME]],", ",sales_data_sample[[#This Row],[CONTACTLASTNAME]]))</f>
        <v>Giovanni, Rovelli</v>
      </c>
      <c r="AA2563" s="1" t="s">
        <v>59</v>
      </c>
    </row>
    <row r="2564" spans="1:27" x14ac:dyDescent="0.25">
      <c r="A2564">
        <v>10120</v>
      </c>
      <c r="B2564">
        <v>24</v>
      </c>
      <c r="C2564">
        <v>100</v>
      </c>
      <c r="D2564">
        <f>PRODUCT(sales_data_sample[[#This Row],[QUANTITYORDERED]],sales_data_sample[[#This Row],[PRICEEACH]])</f>
        <v>2400</v>
      </c>
      <c r="E2564" s="9">
        <f>IF(OR(sales_data_sample[[#This Row],[STATUS]]="Shipped",sales_data_sample[[#This Row],[STATUS]]="Resolved"),sales_data_sample[[#This Row],[SALES]],0)</f>
        <v>2400</v>
      </c>
      <c r="F2564">
        <v>15</v>
      </c>
      <c r="G2564" s="12" t="s">
        <v>405</v>
      </c>
      <c r="H2564" s="1" t="s">
        <v>26</v>
      </c>
      <c r="I2564">
        <v>2</v>
      </c>
      <c r="J2564">
        <v>4</v>
      </c>
      <c r="K2564">
        <v>2003</v>
      </c>
      <c r="L2564" s="1" t="s">
        <v>839</v>
      </c>
      <c r="M2564">
        <v>99</v>
      </c>
      <c r="N2564" s="1" t="s">
        <v>1006</v>
      </c>
      <c r="O2564" s="1" t="s">
        <v>113</v>
      </c>
      <c r="P2564" s="1" t="s">
        <v>114</v>
      </c>
      <c r="Q2564" s="1" t="s">
        <v>115</v>
      </c>
      <c r="R2564" s="1" t="s">
        <v>116</v>
      </c>
      <c r="S2564" s="1" t="s">
        <v>117</v>
      </c>
      <c r="T2564" s="1" t="s">
        <v>118</v>
      </c>
      <c r="U2564" s="1" t="s">
        <v>119</v>
      </c>
      <c r="V2564" s="1" t="s">
        <v>120</v>
      </c>
      <c r="W2564" s="1" t="s">
        <v>121</v>
      </c>
      <c r="X2564" s="1" t="s">
        <v>122</v>
      </c>
      <c r="Y2564" s="1" t="s">
        <v>123</v>
      </c>
      <c r="Z2564" s="1" t="str">
        <f>TRIM(_xlfn.CONCAT(sales_data_sample[[#This Row],[CONTACTFIRSTNAME]],", ",sales_data_sample[[#This Row],[CONTACTLASTNAME]]))</f>
        <v>Peter, Ferguson</v>
      </c>
      <c r="AA2564" s="1" t="s">
        <v>40</v>
      </c>
    </row>
    <row r="2565" spans="1:27" x14ac:dyDescent="0.25">
      <c r="A2565" s="10">
        <v>10131</v>
      </c>
      <c r="B2565" s="9">
        <v>40</v>
      </c>
      <c r="C2565" s="9">
        <v>100</v>
      </c>
      <c r="D2565" s="9">
        <f>PRODUCT(sales_data_sample[[#This Row],[QUANTITYORDERED]],sales_data_sample[[#This Row],[PRICEEACH]])</f>
        <v>4000</v>
      </c>
      <c r="E2565" s="9">
        <f>IF(OR(sales_data_sample[[#This Row],[STATUS]]="Shipped",sales_data_sample[[#This Row],[STATUS]]="Resolved"),sales_data_sample[[#This Row],[SALES]],0)</f>
        <v>4000</v>
      </c>
      <c r="F2565" s="10">
        <v>1</v>
      </c>
      <c r="G2565" s="12" t="s">
        <v>841</v>
      </c>
      <c r="H2565" s="1" t="s">
        <v>26</v>
      </c>
      <c r="I2565">
        <v>2</v>
      </c>
      <c r="J2565">
        <v>6</v>
      </c>
      <c r="K2565">
        <v>2003</v>
      </c>
      <c r="L2565" s="1" t="s">
        <v>839</v>
      </c>
      <c r="M2565">
        <v>99</v>
      </c>
      <c r="N2565" s="1" t="s">
        <v>1006</v>
      </c>
      <c r="O2565" s="1" t="s">
        <v>842</v>
      </c>
      <c r="P2565" s="1" t="s">
        <v>843</v>
      </c>
      <c r="Q2565" s="1" t="s">
        <v>844</v>
      </c>
      <c r="R2565" s="1" t="s">
        <v>32</v>
      </c>
      <c r="S2565" s="1" t="s">
        <v>734</v>
      </c>
      <c r="T2565" s="1" t="s">
        <v>144</v>
      </c>
      <c r="U2565" s="1" t="s">
        <v>845</v>
      </c>
      <c r="V2565" s="1" t="s">
        <v>36</v>
      </c>
      <c r="W2565" s="1" t="s">
        <v>37</v>
      </c>
      <c r="X2565" s="1" t="s">
        <v>846</v>
      </c>
      <c r="Y2565" s="1" t="s">
        <v>847</v>
      </c>
      <c r="Z2565" s="1" t="str">
        <f>TRIM(_xlfn.CONCAT(sales_data_sample[[#This Row],[CONTACTFIRSTNAME]],", ",sales_data_sample[[#This Row],[CONTACTLASTNAME]]))</f>
        <v>Dan, Lewis</v>
      </c>
      <c r="AA2565" s="1" t="s">
        <v>59</v>
      </c>
    </row>
    <row r="2566" spans="1:27" x14ac:dyDescent="0.25">
      <c r="A2566" s="10">
        <v>10143</v>
      </c>
      <c r="B2566" s="9">
        <v>26</v>
      </c>
      <c r="C2566" s="9">
        <v>8277</v>
      </c>
      <c r="D2566" s="9">
        <f>PRODUCT(sales_data_sample[[#This Row],[QUANTITYORDERED]],sales_data_sample[[#This Row],[PRICEEACH]])</f>
        <v>215202</v>
      </c>
      <c r="E2566" s="9">
        <f>IF(OR(sales_data_sample[[#This Row],[STATUS]]="Shipped",sales_data_sample[[#This Row],[STATUS]]="Resolved"),sales_data_sample[[#This Row],[SALES]],0)</f>
        <v>215202</v>
      </c>
      <c r="F2566" s="10">
        <v>4</v>
      </c>
      <c r="G2566" s="12" t="s">
        <v>453</v>
      </c>
      <c r="H2566" s="1" t="s">
        <v>26</v>
      </c>
      <c r="I2566">
        <v>3</v>
      </c>
      <c r="J2566">
        <v>8</v>
      </c>
      <c r="K2566">
        <v>2003</v>
      </c>
      <c r="L2566" s="1" t="s">
        <v>839</v>
      </c>
      <c r="M2566">
        <v>99</v>
      </c>
      <c r="N2566" s="1" t="s">
        <v>1006</v>
      </c>
      <c r="O2566" s="1" t="s">
        <v>454</v>
      </c>
      <c r="P2566" s="1" t="s">
        <v>455</v>
      </c>
      <c r="Q2566" s="1" t="s">
        <v>456</v>
      </c>
      <c r="R2566" s="1" t="s">
        <v>32</v>
      </c>
      <c r="S2566" s="1" t="s">
        <v>215</v>
      </c>
      <c r="T2566" s="1" t="s">
        <v>160</v>
      </c>
      <c r="U2566" s="1" t="s">
        <v>216</v>
      </c>
      <c r="V2566" s="1" t="s">
        <v>36</v>
      </c>
      <c r="W2566" s="1" t="s">
        <v>37</v>
      </c>
      <c r="X2566" s="1" t="s">
        <v>457</v>
      </c>
      <c r="Y2566" s="1" t="s">
        <v>458</v>
      </c>
      <c r="Z2566" s="1" t="str">
        <f>TRIM(_xlfn.CONCAT(sales_data_sample[[#This Row],[CONTACTFIRSTNAME]],", ",sales_data_sample[[#This Row],[CONTACTLASTNAME]]))</f>
        <v>Wing C, Tam</v>
      </c>
      <c r="AA2566" s="1" t="s">
        <v>40</v>
      </c>
    </row>
    <row r="2567" spans="1:27" x14ac:dyDescent="0.25">
      <c r="A2567" s="10">
        <v>10155</v>
      </c>
      <c r="B2567" s="9">
        <v>20</v>
      </c>
      <c r="C2567" s="9">
        <v>100</v>
      </c>
      <c r="D2567" s="9">
        <f>PRODUCT(sales_data_sample[[#This Row],[QUANTITYORDERED]],sales_data_sample[[#This Row],[PRICEEACH]])</f>
        <v>2000</v>
      </c>
      <c r="E2567" s="9">
        <f>IF(OR(sales_data_sample[[#This Row],[STATUS]]="Shipped",sales_data_sample[[#This Row],[STATUS]]="Resolved"),sales_data_sample[[#This Row],[SALES]],0)</f>
        <v>2000</v>
      </c>
      <c r="F2567" s="10">
        <v>2</v>
      </c>
      <c r="G2567" s="12" t="s">
        <v>459</v>
      </c>
      <c r="H2567" s="1" t="s">
        <v>26</v>
      </c>
      <c r="I2567">
        <v>4</v>
      </c>
      <c r="J2567">
        <v>10</v>
      </c>
      <c r="K2567">
        <v>2003</v>
      </c>
      <c r="L2567" s="1" t="s">
        <v>839</v>
      </c>
      <c r="M2567">
        <v>99</v>
      </c>
      <c r="N2567" s="1" t="s">
        <v>1006</v>
      </c>
      <c r="O2567" s="1" t="s">
        <v>165</v>
      </c>
      <c r="P2567" s="1" t="s">
        <v>166</v>
      </c>
      <c r="Q2567" s="1" t="s">
        <v>167</v>
      </c>
      <c r="R2567" s="1" t="s">
        <v>32</v>
      </c>
      <c r="S2567" s="1" t="s">
        <v>168</v>
      </c>
      <c r="T2567" s="1" t="s">
        <v>32</v>
      </c>
      <c r="U2567" s="1" t="s">
        <v>169</v>
      </c>
      <c r="V2567" s="1" t="s">
        <v>170</v>
      </c>
      <c r="W2567" s="1" t="s">
        <v>48</v>
      </c>
      <c r="X2567" s="1" t="s">
        <v>171</v>
      </c>
      <c r="Y2567" s="1" t="s">
        <v>172</v>
      </c>
      <c r="Z2567" s="1" t="str">
        <f>TRIM(_xlfn.CONCAT(sales_data_sample[[#This Row],[CONTACTFIRSTNAME]],", ",sales_data_sample[[#This Row],[CONTACTLASTNAME]]))</f>
        <v>Matti, Karttunen</v>
      </c>
      <c r="AA2567" s="1" t="s">
        <v>40</v>
      </c>
    </row>
    <row r="2568" spans="1:27" x14ac:dyDescent="0.25">
      <c r="A2568" s="10">
        <v>10168</v>
      </c>
      <c r="B2568" s="9">
        <v>31</v>
      </c>
      <c r="C2568" s="9">
        <v>100</v>
      </c>
      <c r="D2568" s="9">
        <f>PRODUCT(sales_data_sample[[#This Row],[QUANTITYORDERED]],sales_data_sample[[#This Row],[PRICEEACH]])</f>
        <v>3100</v>
      </c>
      <c r="E2568" s="9">
        <f>IF(OR(sales_data_sample[[#This Row],[STATUS]]="Shipped",sales_data_sample[[#This Row],[STATUS]]="Resolved"),sales_data_sample[[#This Row],[SALES]],0)</f>
        <v>3100</v>
      </c>
      <c r="F2568" s="10">
        <v>16</v>
      </c>
      <c r="G2568" s="12" t="s">
        <v>75</v>
      </c>
      <c r="H2568" s="1" t="s">
        <v>26</v>
      </c>
      <c r="I2568">
        <v>4</v>
      </c>
      <c r="J2568">
        <v>10</v>
      </c>
      <c r="K2568">
        <v>2003</v>
      </c>
      <c r="L2568" s="1" t="s">
        <v>839</v>
      </c>
      <c r="M2568">
        <v>99</v>
      </c>
      <c r="N2568" s="1" t="s">
        <v>1006</v>
      </c>
      <c r="O2568" s="1" t="s">
        <v>76</v>
      </c>
      <c r="P2568" s="1" t="s">
        <v>77</v>
      </c>
      <c r="Q2568" s="1" t="s">
        <v>78</v>
      </c>
      <c r="R2568" s="1" t="s">
        <v>32</v>
      </c>
      <c r="S2568" s="1" t="s">
        <v>79</v>
      </c>
      <c r="T2568" s="1" t="s">
        <v>65</v>
      </c>
      <c r="U2568" s="1" t="s">
        <v>80</v>
      </c>
      <c r="V2568" s="1" t="s">
        <v>36</v>
      </c>
      <c r="W2568" s="1" t="s">
        <v>37</v>
      </c>
      <c r="X2568" s="1" t="s">
        <v>81</v>
      </c>
      <c r="Y2568" s="1" t="s">
        <v>82</v>
      </c>
      <c r="Z2568" s="1" t="str">
        <f>TRIM(_xlfn.CONCAT(sales_data_sample[[#This Row],[CONTACTFIRSTNAME]],", ",sales_data_sample[[#This Row],[CONTACTLASTNAME]]))</f>
        <v>Juri, Hirano</v>
      </c>
      <c r="AA2568" s="1" t="s">
        <v>59</v>
      </c>
    </row>
    <row r="2569" spans="1:27" x14ac:dyDescent="0.25">
      <c r="A2569" s="10">
        <v>10178</v>
      </c>
      <c r="B2569" s="9">
        <v>22</v>
      </c>
      <c r="C2569" s="9">
        <v>8775</v>
      </c>
      <c r="D2569" s="9">
        <f>PRODUCT(sales_data_sample[[#This Row],[QUANTITYORDERED]],sales_data_sample[[#This Row],[PRICEEACH]])</f>
        <v>193050</v>
      </c>
      <c r="E2569" s="9">
        <f>IF(OR(sales_data_sample[[#This Row],[STATUS]]="Shipped",sales_data_sample[[#This Row],[STATUS]]="Resolved"),sales_data_sample[[#This Row],[SALES]],0)</f>
        <v>193050</v>
      </c>
      <c r="F2569" s="10">
        <v>1</v>
      </c>
      <c r="G2569" s="12" t="s">
        <v>462</v>
      </c>
      <c r="H2569" s="1" t="s">
        <v>26</v>
      </c>
      <c r="I2569">
        <v>4</v>
      </c>
      <c r="J2569">
        <v>11</v>
      </c>
      <c r="K2569">
        <v>2003</v>
      </c>
      <c r="L2569" s="1" t="s">
        <v>839</v>
      </c>
      <c r="M2569">
        <v>99</v>
      </c>
      <c r="N2569" s="1" t="s">
        <v>1006</v>
      </c>
      <c r="O2569" s="1" t="s">
        <v>463</v>
      </c>
      <c r="P2569" s="1" t="s">
        <v>464</v>
      </c>
      <c r="Q2569" s="1" t="s">
        <v>465</v>
      </c>
      <c r="R2569" s="1" t="s">
        <v>32</v>
      </c>
      <c r="S2569" s="1" t="s">
        <v>466</v>
      </c>
      <c r="T2569" s="1" t="s">
        <v>32</v>
      </c>
      <c r="U2569" s="1" t="s">
        <v>467</v>
      </c>
      <c r="V2569" s="1" t="s">
        <v>47</v>
      </c>
      <c r="W2569" s="1" t="s">
        <v>48</v>
      </c>
      <c r="X2569" s="1" t="s">
        <v>468</v>
      </c>
      <c r="Y2569" s="1" t="s">
        <v>469</v>
      </c>
      <c r="Z2569" s="1" t="str">
        <f>TRIM(_xlfn.CONCAT(sales_data_sample[[#This Row],[CONTACTFIRSTNAME]],", ",sales_data_sample[[#This Row],[CONTACTLASTNAME]]))</f>
        <v>Annette, Roulet</v>
      </c>
      <c r="AA2569" s="1" t="s">
        <v>40</v>
      </c>
    </row>
    <row r="2570" spans="1:27" x14ac:dyDescent="0.25">
      <c r="A2570" s="10">
        <v>10198</v>
      </c>
      <c r="B2570" s="9">
        <v>42</v>
      </c>
      <c r="C2570" s="9">
        <v>100</v>
      </c>
      <c r="D2570" s="9">
        <f>PRODUCT(sales_data_sample[[#This Row],[QUANTITYORDERED]],sales_data_sample[[#This Row],[PRICEEACH]])</f>
        <v>4200</v>
      </c>
      <c r="E2570" s="9">
        <f>IF(OR(sales_data_sample[[#This Row],[STATUS]]="Shipped",sales_data_sample[[#This Row],[STATUS]]="Resolved"),sales_data_sample[[#This Row],[SALES]],0)</f>
        <v>4200</v>
      </c>
      <c r="F2570" s="10">
        <v>1</v>
      </c>
      <c r="G2570" s="12" t="s">
        <v>848</v>
      </c>
      <c r="H2570" s="1" t="s">
        <v>26</v>
      </c>
      <c r="I2570">
        <v>4</v>
      </c>
      <c r="J2570">
        <v>11</v>
      </c>
      <c r="K2570">
        <v>2003</v>
      </c>
      <c r="L2570" s="1" t="s">
        <v>839</v>
      </c>
      <c r="M2570">
        <v>99</v>
      </c>
      <c r="N2570" s="1" t="s">
        <v>1006</v>
      </c>
      <c r="O2570" s="1" t="s">
        <v>591</v>
      </c>
      <c r="P2570" s="1" t="s">
        <v>592</v>
      </c>
      <c r="Q2570" s="1" t="s">
        <v>593</v>
      </c>
      <c r="R2570" s="1" t="s">
        <v>32</v>
      </c>
      <c r="S2570" s="1" t="s">
        <v>594</v>
      </c>
      <c r="T2570" s="1" t="s">
        <v>32</v>
      </c>
      <c r="U2570" s="1" t="s">
        <v>595</v>
      </c>
      <c r="V2570" s="1" t="s">
        <v>596</v>
      </c>
      <c r="W2570" s="1" t="s">
        <v>264</v>
      </c>
      <c r="X2570" s="1" t="s">
        <v>597</v>
      </c>
      <c r="Y2570" s="1" t="s">
        <v>598</v>
      </c>
      <c r="Z2570" s="1" t="str">
        <f>TRIM(_xlfn.CONCAT(sales_data_sample[[#This Row],[CONTACTFIRSTNAME]],", ",sales_data_sample[[#This Row],[CONTACTLASTNAME]]))</f>
        <v>Arnold, Cruz</v>
      </c>
      <c r="AA2570" s="1" t="s">
        <v>59</v>
      </c>
    </row>
    <row r="2571" spans="1:27" x14ac:dyDescent="0.25">
      <c r="A2571" s="10">
        <v>10210</v>
      </c>
      <c r="B2571" s="9">
        <v>26</v>
      </c>
      <c r="C2571" s="9">
        <v>9972</v>
      </c>
      <c r="D2571" s="9">
        <f>PRODUCT(sales_data_sample[[#This Row],[QUANTITYORDERED]],sales_data_sample[[#This Row],[PRICEEACH]])</f>
        <v>259272</v>
      </c>
      <c r="E2571" s="9">
        <f>IF(OR(sales_data_sample[[#This Row],[STATUS]]="Shipped",sales_data_sample[[#This Row],[STATUS]]="Resolved"),sales_data_sample[[#This Row],[SALES]],0)</f>
        <v>259272</v>
      </c>
      <c r="F2571" s="10">
        <v>14</v>
      </c>
      <c r="G2571" s="12" t="s">
        <v>406</v>
      </c>
      <c r="H2571" s="1" t="s">
        <v>26</v>
      </c>
      <c r="I2571">
        <v>1</v>
      </c>
      <c r="J2571">
        <v>1</v>
      </c>
      <c r="K2571">
        <v>2004</v>
      </c>
      <c r="L2571" s="1" t="s">
        <v>839</v>
      </c>
      <c r="M2571">
        <v>99</v>
      </c>
      <c r="N2571" s="1" t="s">
        <v>1006</v>
      </c>
      <c r="O2571" s="1" t="s">
        <v>407</v>
      </c>
      <c r="P2571" s="1" t="s">
        <v>408</v>
      </c>
      <c r="Q2571" s="1" t="s">
        <v>409</v>
      </c>
      <c r="R2571" s="1" t="s">
        <v>32</v>
      </c>
      <c r="S2571" s="1" t="s">
        <v>410</v>
      </c>
      <c r="T2571" s="1" t="s">
        <v>410</v>
      </c>
      <c r="U2571" s="1" t="s">
        <v>411</v>
      </c>
      <c r="V2571" s="1" t="s">
        <v>264</v>
      </c>
      <c r="W2571" s="1" t="s">
        <v>264</v>
      </c>
      <c r="X2571" s="1" t="s">
        <v>412</v>
      </c>
      <c r="Y2571" s="1" t="s">
        <v>413</v>
      </c>
      <c r="Z2571" s="1" t="str">
        <f>TRIM(_xlfn.CONCAT(sales_data_sample[[#This Row],[CONTACTFIRSTNAME]],", ",sales_data_sample[[#This Row],[CONTACTLASTNAME]]))</f>
        <v>Mory, Kentary</v>
      </c>
      <c r="AA2571" s="1" t="s">
        <v>40</v>
      </c>
    </row>
    <row r="2572" spans="1:27" x14ac:dyDescent="0.25">
      <c r="A2572" s="10">
        <v>10222</v>
      </c>
      <c r="B2572" s="9">
        <v>37</v>
      </c>
      <c r="C2572" s="9">
        <v>8775</v>
      </c>
      <c r="D2572" s="9">
        <f>PRODUCT(sales_data_sample[[#This Row],[QUANTITYORDERED]],sales_data_sample[[#This Row],[PRICEEACH]])</f>
        <v>324675</v>
      </c>
      <c r="E2572" s="9">
        <f>IF(OR(sales_data_sample[[#This Row],[STATUS]]="Shipped",sales_data_sample[[#This Row],[STATUS]]="Resolved"),sales_data_sample[[#This Row],[SALES]],0)</f>
        <v>324675</v>
      </c>
      <c r="F2572" s="10">
        <v>1</v>
      </c>
      <c r="G2572" s="12" t="s">
        <v>491</v>
      </c>
      <c r="H2572" s="1" t="s">
        <v>26</v>
      </c>
      <c r="I2572">
        <v>1</v>
      </c>
      <c r="J2572">
        <v>2</v>
      </c>
      <c r="K2572">
        <v>2004</v>
      </c>
      <c r="L2572" s="1" t="s">
        <v>839</v>
      </c>
      <c r="M2572">
        <v>99</v>
      </c>
      <c r="N2572" s="1" t="s">
        <v>1006</v>
      </c>
      <c r="O2572" s="1" t="s">
        <v>492</v>
      </c>
      <c r="P2572" s="1" t="s">
        <v>493</v>
      </c>
      <c r="Q2572" s="1" t="s">
        <v>494</v>
      </c>
      <c r="R2572" s="1" t="s">
        <v>32</v>
      </c>
      <c r="S2572" s="1" t="s">
        <v>495</v>
      </c>
      <c r="T2572" s="1" t="s">
        <v>65</v>
      </c>
      <c r="U2572" s="1" t="s">
        <v>496</v>
      </c>
      <c r="V2572" s="1" t="s">
        <v>36</v>
      </c>
      <c r="W2572" s="1" t="s">
        <v>37</v>
      </c>
      <c r="X2572" s="1" t="s">
        <v>313</v>
      </c>
      <c r="Y2572" s="1" t="s">
        <v>366</v>
      </c>
      <c r="Z2572" s="1" t="str">
        <f>TRIM(_xlfn.CONCAT(sales_data_sample[[#This Row],[CONTACTFIRSTNAME]],", ",sales_data_sample[[#This Row],[CONTACTLASTNAME]]))</f>
        <v>Valarie, Thompson</v>
      </c>
      <c r="AA2572" s="1" t="s">
        <v>59</v>
      </c>
    </row>
    <row r="2573" spans="1:27" x14ac:dyDescent="0.25">
      <c r="A2573" s="10">
        <v>10235</v>
      </c>
      <c r="B2573" s="9">
        <v>38</v>
      </c>
      <c r="C2573" s="9">
        <v>8875</v>
      </c>
      <c r="D2573" s="9">
        <f>PRODUCT(sales_data_sample[[#This Row],[QUANTITYORDERED]],sales_data_sample[[#This Row],[PRICEEACH]])</f>
        <v>337250</v>
      </c>
      <c r="E2573" s="9">
        <f>IF(OR(sales_data_sample[[#This Row],[STATUS]]="Shipped",sales_data_sample[[#This Row],[STATUS]]="Resolved"),sales_data_sample[[#This Row],[SALES]],0)</f>
        <v>337250</v>
      </c>
      <c r="F2573" s="10">
        <v>10</v>
      </c>
      <c r="G2573" s="12" t="s">
        <v>892</v>
      </c>
      <c r="H2573" s="1" t="s">
        <v>26</v>
      </c>
      <c r="I2573">
        <v>2</v>
      </c>
      <c r="J2573">
        <v>4</v>
      </c>
      <c r="K2573">
        <v>2004</v>
      </c>
      <c r="L2573" s="1" t="s">
        <v>839</v>
      </c>
      <c r="M2573">
        <v>99</v>
      </c>
      <c r="N2573" s="1" t="s">
        <v>1006</v>
      </c>
      <c r="O2573" s="1" t="s">
        <v>509</v>
      </c>
      <c r="P2573" s="1" t="s">
        <v>510</v>
      </c>
      <c r="Q2573" s="1" t="s">
        <v>511</v>
      </c>
      <c r="R2573" s="1" t="s">
        <v>32</v>
      </c>
      <c r="S2573" s="1" t="s">
        <v>512</v>
      </c>
      <c r="T2573" s="1" t="s">
        <v>303</v>
      </c>
      <c r="U2573" s="1" t="s">
        <v>513</v>
      </c>
      <c r="V2573" s="1" t="s">
        <v>305</v>
      </c>
      <c r="W2573" s="1" t="s">
        <v>37</v>
      </c>
      <c r="X2573" s="1" t="s">
        <v>514</v>
      </c>
      <c r="Y2573" s="1" t="s">
        <v>227</v>
      </c>
      <c r="Z2573" s="1" t="str">
        <f>TRIM(_xlfn.CONCAT(sales_data_sample[[#This Row],[CONTACTFIRSTNAME]],", ",sales_data_sample[[#This Row],[CONTACTLASTNAME]]))</f>
        <v>Elizabeth, Lincoln</v>
      </c>
      <c r="AA2573" s="1" t="s">
        <v>59</v>
      </c>
    </row>
    <row r="2574" spans="1:27" x14ac:dyDescent="0.25">
      <c r="A2574" s="10">
        <v>10250</v>
      </c>
      <c r="B2574" s="9">
        <v>35</v>
      </c>
      <c r="C2574" s="9">
        <v>100</v>
      </c>
      <c r="D2574" s="9">
        <f>PRODUCT(sales_data_sample[[#This Row],[QUANTITYORDERED]],sales_data_sample[[#This Row],[PRICEEACH]])</f>
        <v>3500</v>
      </c>
      <c r="E2574" s="9">
        <f>IF(OR(sales_data_sample[[#This Row],[STATUS]]="Shipped",sales_data_sample[[#This Row],[STATUS]]="Resolved"),sales_data_sample[[#This Row],[SALES]],0)</f>
        <v>3500</v>
      </c>
      <c r="F2574" s="10">
        <v>11</v>
      </c>
      <c r="G2574" s="12" t="s">
        <v>849</v>
      </c>
      <c r="H2574" s="1" t="s">
        <v>26</v>
      </c>
      <c r="I2574">
        <v>2</v>
      </c>
      <c r="J2574">
        <v>5</v>
      </c>
      <c r="K2574">
        <v>2004</v>
      </c>
      <c r="L2574" s="1" t="s">
        <v>839</v>
      </c>
      <c r="M2574">
        <v>99</v>
      </c>
      <c r="N2574" s="1" t="s">
        <v>1006</v>
      </c>
      <c r="O2574" s="1" t="s">
        <v>547</v>
      </c>
      <c r="P2574" s="1" t="s">
        <v>548</v>
      </c>
      <c r="Q2574" s="1" t="s">
        <v>549</v>
      </c>
      <c r="R2574" s="1" t="s">
        <v>32</v>
      </c>
      <c r="S2574" s="1" t="s">
        <v>550</v>
      </c>
      <c r="T2574" s="1" t="s">
        <v>65</v>
      </c>
      <c r="U2574" s="1" t="s">
        <v>80</v>
      </c>
      <c r="V2574" s="1" t="s">
        <v>36</v>
      </c>
      <c r="W2574" s="1" t="s">
        <v>37</v>
      </c>
      <c r="X2574" s="1" t="s">
        <v>129</v>
      </c>
      <c r="Y2574" s="1" t="s">
        <v>551</v>
      </c>
      <c r="Z2574" s="1" t="str">
        <f>TRIM(_xlfn.CONCAT(sales_data_sample[[#This Row],[CONTACTFIRSTNAME]],", ",sales_data_sample[[#This Row],[CONTACTLASTNAME]]))</f>
        <v>Sue, Frick</v>
      </c>
      <c r="AA2574" s="1" t="s">
        <v>59</v>
      </c>
    </row>
    <row r="2575" spans="1:27" x14ac:dyDescent="0.25">
      <c r="A2575" s="10">
        <v>10262</v>
      </c>
      <c r="B2575" s="9">
        <v>33</v>
      </c>
      <c r="C2575" s="9">
        <v>9075</v>
      </c>
      <c r="D2575" s="9">
        <f>PRODUCT(sales_data_sample[[#This Row],[QUANTITYORDERED]],sales_data_sample[[#This Row],[PRICEEACH]])</f>
        <v>299475</v>
      </c>
      <c r="E2575" s="9">
        <f>IF(OR(sales_data_sample[[#This Row],[STATUS]]="Shipped",sales_data_sample[[#This Row],[STATUS]]="Resolved"),sales_data_sample[[#This Row],[SALES]],0)</f>
        <v>0</v>
      </c>
      <c r="F2575" s="10">
        <v>6</v>
      </c>
      <c r="G2575" s="12" t="s">
        <v>850</v>
      </c>
      <c r="H2575" s="1" t="s">
        <v>461</v>
      </c>
      <c r="I2575">
        <v>2</v>
      </c>
      <c r="J2575">
        <v>6</v>
      </c>
      <c r="K2575">
        <v>2004</v>
      </c>
      <c r="L2575" s="1" t="s">
        <v>839</v>
      </c>
      <c r="M2575">
        <v>99</v>
      </c>
      <c r="N2575" s="1" t="s">
        <v>1006</v>
      </c>
      <c r="O2575" s="1" t="s">
        <v>230</v>
      </c>
      <c r="P2575" s="1" t="s">
        <v>231</v>
      </c>
      <c r="Q2575" s="1" t="s">
        <v>232</v>
      </c>
      <c r="R2575" s="1" t="s">
        <v>32</v>
      </c>
      <c r="S2575" s="1" t="s">
        <v>233</v>
      </c>
      <c r="T2575" s="1" t="s">
        <v>32</v>
      </c>
      <c r="U2575" s="1" t="s">
        <v>234</v>
      </c>
      <c r="V2575" s="1" t="s">
        <v>235</v>
      </c>
      <c r="W2575" s="1" t="s">
        <v>48</v>
      </c>
      <c r="X2575" s="1" t="s">
        <v>236</v>
      </c>
      <c r="Y2575" s="1" t="s">
        <v>237</v>
      </c>
      <c r="Z2575" s="1" t="str">
        <f>TRIM(_xlfn.CONCAT(sales_data_sample[[#This Row],[CONTACTFIRSTNAME]],", ",sales_data_sample[[#This Row],[CONTACTLASTNAME]]))</f>
        <v>Diego, Freyre</v>
      </c>
      <c r="AA2575" s="1" t="s">
        <v>40</v>
      </c>
    </row>
    <row r="2576" spans="1:27" x14ac:dyDescent="0.25">
      <c r="A2576" s="10">
        <v>10275</v>
      </c>
      <c r="B2576" s="9">
        <v>39</v>
      </c>
      <c r="C2576" s="9">
        <v>100</v>
      </c>
      <c r="D2576" s="9">
        <f>PRODUCT(sales_data_sample[[#This Row],[QUANTITYORDERED]],sales_data_sample[[#This Row],[PRICEEACH]])</f>
        <v>3900</v>
      </c>
      <c r="E2576" s="9">
        <f>IF(OR(sales_data_sample[[#This Row],[STATUS]]="Shipped",sales_data_sample[[#This Row],[STATUS]]="Resolved"),sales_data_sample[[#This Row],[SALES]],0)</f>
        <v>3900</v>
      </c>
      <c r="F2576" s="10">
        <v>16</v>
      </c>
      <c r="G2576" s="12" t="s">
        <v>147</v>
      </c>
      <c r="H2576" s="1" t="s">
        <v>26</v>
      </c>
      <c r="I2576">
        <v>3</v>
      </c>
      <c r="J2576">
        <v>7</v>
      </c>
      <c r="K2576">
        <v>2004</v>
      </c>
      <c r="L2576" s="1" t="s">
        <v>839</v>
      </c>
      <c r="M2576">
        <v>99</v>
      </c>
      <c r="N2576" s="1" t="s">
        <v>1006</v>
      </c>
      <c r="O2576" s="1" t="s">
        <v>148</v>
      </c>
      <c r="P2576" s="1" t="s">
        <v>149</v>
      </c>
      <c r="Q2576" s="1" t="s">
        <v>150</v>
      </c>
      <c r="R2576" s="1" t="s">
        <v>32</v>
      </c>
      <c r="S2576" s="1" t="s">
        <v>151</v>
      </c>
      <c r="T2576" s="1" t="s">
        <v>32</v>
      </c>
      <c r="U2576" s="1" t="s">
        <v>152</v>
      </c>
      <c r="V2576" s="1" t="s">
        <v>47</v>
      </c>
      <c r="W2576" s="1" t="s">
        <v>48</v>
      </c>
      <c r="X2576" s="1" t="s">
        <v>153</v>
      </c>
      <c r="Y2576" s="1" t="s">
        <v>154</v>
      </c>
      <c r="Z2576" s="1" t="str">
        <f>TRIM(_xlfn.CONCAT(sales_data_sample[[#This Row],[CONTACTFIRSTNAME]],", ",sales_data_sample[[#This Row],[CONTACTLASTNAME]]))</f>
        <v>Janine, Labrune</v>
      </c>
      <c r="AA2576" s="1" t="s">
        <v>59</v>
      </c>
    </row>
    <row r="2577" spans="1:27" x14ac:dyDescent="0.25">
      <c r="A2577" s="10">
        <v>10284</v>
      </c>
      <c r="B2577" s="9">
        <v>45</v>
      </c>
      <c r="C2577" s="9">
        <v>100</v>
      </c>
      <c r="D2577" s="9">
        <f>PRODUCT(sales_data_sample[[#This Row],[QUANTITYORDERED]],sales_data_sample[[#This Row],[PRICEEACH]])</f>
        <v>4500</v>
      </c>
      <c r="E2577" s="9">
        <f>IF(OR(sales_data_sample[[#This Row],[STATUS]]="Shipped",sales_data_sample[[#This Row],[STATUS]]="Resolved"),sales_data_sample[[#This Row],[SALES]],0)</f>
        <v>4500</v>
      </c>
      <c r="F2577" s="10">
        <v>8</v>
      </c>
      <c r="G2577" s="12" t="s">
        <v>851</v>
      </c>
      <c r="H2577" s="1" t="s">
        <v>26</v>
      </c>
      <c r="I2577">
        <v>3</v>
      </c>
      <c r="J2577">
        <v>8</v>
      </c>
      <c r="K2577">
        <v>2004</v>
      </c>
      <c r="L2577" s="1" t="s">
        <v>839</v>
      </c>
      <c r="M2577">
        <v>99</v>
      </c>
      <c r="N2577" s="1" t="s">
        <v>1006</v>
      </c>
      <c r="O2577" s="1" t="s">
        <v>786</v>
      </c>
      <c r="P2577" s="1" t="s">
        <v>787</v>
      </c>
      <c r="Q2577" s="1" t="s">
        <v>788</v>
      </c>
      <c r="R2577" s="1" t="s">
        <v>32</v>
      </c>
      <c r="S2577" s="1" t="s">
        <v>789</v>
      </c>
      <c r="T2577" s="1" t="s">
        <v>32</v>
      </c>
      <c r="U2577" s="1" t="s">
        <v>790</v>
      </c>
      <c r="V2577" s="1" t="s">
        <v>97</v>
      </c>
      <c r="W2577" s="1" t="s">
        <v>48</v>
      </c>
      <c r="X2577" s="1" t="s">
        <v>791</v>
      </c>
      <c r="Y2577" s="1" t="s">
        <v>792</v>
      </c>
      <c r="Z2577" s="1" t="str">
        <f>TRIM(_xlfn.CONCAT(sales_data_sample[[#This Row],[CONTACTFIRSTNAME]],", ",sales_data_sample[[#This Row],[CONTACTLASTNAME]]))</f>
        <v>Jan, Klaeboe</v>
      </c>
      <c r="AA2577" s="1" t="s">
        <v>59</v>
      </c>
    </row>
    <row r="2578" spans="1:27" x14ac:dyDescent="0.25">
      <c r="A2578" s="10">
        <v>10296</v>
      </c>
      <c r="B2578" s="9">
        <v>24</v>
      </c>
      <c r="C2578" s="9">
        <v>100</v>
      </c>
      <c r="D2578" s="9">
        <f>PRODUCT(sales_data_sample[[#This Row],[QUANTITYORDERED]],sales_data_sample[[#This Row],[PRICEEACH]])</f>
        <v>2400</v>
      </c>
      <c r="E2578" s="9">
        <f>IF(OR(sales_data_sample[[#This Row],[STATUS]]="Shipped",sales_data_sample[[#This Row],[STATUS]]="Resolved"),sales_data_sample[[#This Row],[SALES]],0)</f>
        <v>2400</v>
      </c>
      <c r="F2578" s="10">
        <v>4</v>
      </c>
      <c r="G2578" s="12" t="s">
        <v>852</v>
      </c>
      <c r="H2578" s="1" t="s">
        <v>26</v>
      </c>
      <c r="I2578">
        <v>3</v>
      </c>
      <c r="J2578">
        <v>9</v>
      </c>
      <c r="K2578">
        <v>2004</v>
      </c>
      <c r="L2578" s="1" t="s">
        <v>839</v>
      </c>
      <c r="M2578">
        <v>99</v>
      </c>
      <c r="N2578" s="1" t="s">
        <v>1006</v>
      </c>
      <c r="O2578" s="1" t="s">
        <v>853</v>
      </c>
      <c r="P2578" s="1" t="s">
        <v>854</v>
      </c>
      <c r="Q2578" s="1" t="s">
        <v>855</v>
      </c>
      <c r="R2578" s="1" t="s">
        <v>32</v>
      </c>
      <c r="S2578" s="1" t="s">
        <v>856</v>
      </c>
      <c r="T2578" s="1" t="s">
        <v>32</v>
      </c>
      <c r="U2578" s="1" t="s">
        <v>857</v>
      </c>
      <c r="V2578" s="1" t="s">
        <v>617</v>
      </c>
      <c r="W2578" s="1" t="s">
        <v>48</v>
      </c>
      <c r="X2578" s="1" t="s">
        <v>858</v>
      </c>
      <c r="Y2578" s="1" t="s">
        <v>130</v>
      </c>
      <c r="Z2578" s="1" t="str">
        <f>TRIM(_xlfn.CONCAT(sales_data_sample[[#This Row],[CONTACTFIRSTNAME]],", ",sales_data_sample[[#This Row],[CONTACTLASTNAME]]))</f>
        <v>Michael, Donnermeyer</v>
      </c>
      <c r="AA2578" s="1" t="s">
        <v>40</v>
      </c>
    </row>
    <row r="2579" spans="1:27" x14ac:dyDescent="0.25">
      <c r="A2579" s="10">
        <v>10308</v>
      </c>
      <c r="B2579" s="9">
        <v>35</v>
      </c>
      <c r="C2579" s="9">
        <v>8875</v>
      </c>
      <c r="D2579" s="9">
        <f>PRODUCT(sales_data_sample[[#This Row],[QUANTITYORDERED]],sales_data_sample[[#This Row],[PRICEEACH]])</f>
        <v>310625</v>
      </c>
      <c r="E2579" s="9">
        <f>IF(OR(sales_data_sample[[#This Row],[STATUS]]="Shipped",sales_data_sample[[#This Row],[STATUS]]="Resolved"),sales_data_sample[[#This Row],[SALES]],0)</f>
        <v>310625</v>
      </c>
      <c r="F2579" s="10">
        <v>14</v>
      </c>
      <c r="G2579" s="12" t="s">
        <v>173</v>
      </c>
      <c r="H2579" s="1" t="s">
        <v>26</v>
      </c>
      <c r="I2579">
        <v>4</v>
      </c>
      <c r="J2579">
        <v>10</v>
      </c>
      <c r="K2579">
        <v>2004</v>
      </c>
      <c r="L2579" s="1" t="s">
        <v>839</v>
      </c>
      <c r="M2579">
        <v>99</v>
      </c>
      <c r="N2579" s="1" t="s">
        <v>1006</v>
      </c>
      <c r="O2579" s="1" t="s">
        <v>425</v>
      </c>
      <c r="P2579" s="1" t="s">
        <v>426</v>
      </c>
      <c r="Q2579" s="1" t="s">
        <v>427</v>
      </c>
      <c r="R2579" s="1" t="s">
        <v>32</v>
      </c>
      <c r="S2579" s="1" t="s">
        <v>428</v>
      </c>
      <c r="T2579" s="1" t="s">
        <v>34</v>
      </c>
      <c r="U2579" s="1" t="s">
        <v>429</v>
      </c>
      <c r="V2579" s="1" t="s">
        <v>36</v>
      </c>
      <c r="W2579" s="1" t="s">
        <v>37</v>
      </c>
      <c r="X2579" s="1" t="s">
        <v>129</v>
      </c>
      <c r="Y2579" s="1" t="s">
        <v>314</v>
      </c>
      <c r="Z2579" s="1" t="str">
        <f>TRIM(_xlfn.CONCAT(sales_data_sample[[#This Row],[CONTACTFIRSTNAME]],", ",sales_data_sample[[#This Row],[CONTACTLASTNAME]]))</f>
        <v>Steve, Frick</v>
      </c>
      <c r="AA2579" s="1" t="s">
        <v>59</v>
      </c>
    </row>
    <row r="2580" spans="1:27" x14ac:dyDescent="0.25">
      <c r="A2580" s="10">
        <v>10316</v>
      </c>
      <c r="B2580" s="9">
        <v>23</v>
      </c>
      <c r="C2580" s="9">
        <v>100</v>
      </c>
      <c r="D2580" s="9">
        <f>PRODUCT(sales_data_sample[[#This Row],[QUANTITYORDERED]],sales_data_sample[[#This Row],[PRICEEACH]])</f>
        <v>2300</v>
      </c>
      <c r="E2580" s="9">
        <f>IF(OR(sales_data_sample[[#This Row],[STATUS]]="Shipped",sales_data_sample[[#This Row],[STATUS]]="Resolved"),sales_data_sample[[#This Row],[SALES]],0)</f>
        <v>2300</v>
      </c>
      <c r="F2580" s="10">
        <v>6</v>
      </c>
      <c r="G2580" s="12" t="s">
        <v>523</v>
      </c>
      <c r="H2580" s="1" t="s">
        <v>26</v>
      </c>
      <c r="I2580">
        <v>4</v>
      </c>
      <c r="J2580">
        <v>11</v>
      </c>
      <c r="K2580">
        <v>2004</v>
      </c>
      <c r="L2580" s="1" t="s">
        <v>839</v>
      </c>
      <c r="M2580">
        <v>99</v>
      </c>
      <c r="N2580" s="1" t="s">
        <v>1006</v>
      </c>
      <c r="O2580" s="1" t="s">
        <v>524</v>
      </c>
      <c r="P2580" s="1" t="s">
        <v>525</v>
      </c>
      <c r="Q2580" s="1" t="s">
        <v>526</v>
      </c>
      <c r="R2580" s="1" t="s">
        <v>32</v>
      </c>
      <c r="S2580" s="1" t="s">
        <v>527</v>
      </c>
      <c r="T2580" s="1" t="s">
        <v>528</v>
      </c>
      <c r="U2580" s="1" t="s">
        <v>529</v>
      </c>
      <c r="V2580" s="1" t="s">
        <v>225</v>
      </c>
      <c r="W2580" s="1" t="s">
        <v>48</v>
      </c>
      <c r="X2580" s="1" t="s">
        <v>530</v>
      </c>
      <c r="Y2580" s="1" t="s">
        <v>531</v>
      </c>
      <c r="Z2580" s="1" t="str">
        <f>TRIM(_xlfn.CONCAT(sales_data_sample[[#This Row],[CONTACTFIRSTNAME]],", ",sales_data_sample[[#This Row],[CONTACTLASTNAME]]))</f>
        <v>Helen, Bennett</v>
      </c>
      <c r="AA2580" s="1" t="s">
        <v>40</v>
      </c>
    </row>
    <row r="2581" spans="1:27" x14ac:dyDescent="0.25">
      <c r="A2581" s="10">
        <v>10328</v>
      </c>
      <c r="B2581" s="9">
        <v>37</v>
      </c>
      <c r="C2581" s="9">
        <v>100</v>
      </c>
      <c r="D2581" s="9">
        <f>PRODUCT(sales_data_sample[[#This Row],[QUANTITYORDERED]],sales_data_sample[[#This Row],[PRICEEACH]])</f>
        <v>3700</v>
      </c>
      <c r="E2581" s="9">
        <f>IF(OR(sales_data_sample[[#This Row],[STATUS]]="Shipped",sales_data_sample[[#This Row],[STATUS]]="Resolved"),sales_data_sample[[#This Row],[SALES]],0)</f>
        <v>3700</v>
      </c>
      <c r="F2581" s="10">
        <v>10</v>
      </c>
      <c r="G2581" s="12" t="s">
        <v>936</v>
      </c>
      <c r="H2581" s="1" t="s">
        <v>26</v>
      </c>
      <c r="I2581">
        <v>4</v>
      </c>
      <c r="J2581">
        <v>11</v>
      </c>
      <c r="K2581">
        <v>2004</v>
      </c>
      <c r="L2581" s="1" t="s">
        <v>839</v>
      </c>
      <c r="M2581">
        <v>99</v>
      </c>
      <c r="N2581" s="1" t="s">
        <v>1006</v>
      </c>
      <c r="O2581" s="1" t="s">
        <v>806</v>
      </c>
      <c r="P2581" s="1" t="s">
        <v>807</v>
      </c>
      <c r="Q2581" s="1" t="s">
        <v>808</v>
      </c>
      <c r="R2581" s="1" t="s">
        <v>32</v>
      </c>
      <c r="S2581" s="1" t="s">
        <v>809</v>
      </c>
      <c r="T2581" s="1" t="s">
        <v>32</v>
      </c>
      <c r="U2581" s="1" t="s">
        <v>810</v>
      </c>
      <c r="V2581" s="1" t="s">
        <v>343</v>
      </c>
      <c r="W2581" s="1" t="s">
        <v>48</v>
      </c>
      <c r="X2581" s="1" t="s">
        <v>811</v>
      </c>
      <c r="Y2581" s="1" t="s">
        <v>812</v>
      </c>
      <c r="Z2581" s="1" t="str">
        <f>TRIM(_xlfn.CONCAT(sales_data_sample[[#This Row],[CONTACTFIRSTNAME]],", ",sales_data_sample[[#This Row],[CONTACTLASTNAME]]))</f>
        <v>Giovanni, Rovelli</v>
      </c>
      <c r="AA2581" s="1" t="s">
        <v>59</v>
      </c>
    </row>
    <row r="2582" spans="1:27" x14ac:dyDescent="0.25">
      <c r="A2582" s="10">
        <v>10340</v>
      </c>
      <c r="B2582" s="9">
        <v>55</v>
      </c>
      <c r="C2582" s="9">
        <v>8775</v>
      </c>
      <c r="D2582" s="9">
        <f>PRODUCT(sales_data_sample[[#This Row],[QUANTITYORDERED]],sales_data_sample[[#This Row],[PRICEEACH]])</f>
        <v>482625</v>
      </c>
      <c r="E2582" s="9">
        <f>IF(OR(sales_data_sample[[#This Row],[STATUS]]="Shipped",sales_data_sample[[#This Row],[STATUS]]="Resolved"),sales_data_sample[[#This Row],[SALES]],0)</f>
        <v>482625</v>
      </c>
      <c r="F2582" s="10">
        <v>7</v>
      </c>
      <c r="G2582" s="12" t="s">
        <v>190</v>
      </c>
      <c r="H2582" s="1" t="s">
        <v>26</v>
      </c>
      <c r="I2582">
        <v>4</v>
      </c>
      <c r="J2582">
        <v>11</v>
      </c>
      <c r="K2582">
        <v>2004</v>
      </c>
      <c r="L2582" s="1" t="s">
        <v>839</v>
      </c>
      <c r="M2582">
        <v>99</v>
      </c>
      <c r="N2582" s="1" t="s">
        <v>1006</v>
      </c>
      <c r="O2582" s="1" t="s">
        <v>478</v>
      </c>
      <c r="P2582" s="1" t="s">
        <v>479</v>
      </c>
      <c r="Q2582" s="1" t="s">
        <v>480</v>
      </c>
      <c r="R2582" s="1" t="s">
        <v>32</v>
      </c>
      <c r="S2582" s="1" t="s">
        <v>481</v>
      </c>
      <c r="T2582" s="1" t="s">
        <v>32</v>
      </c>
      <c r="U2582" s="1" t="s">
        <v>482</v>
      </c>
      <c r="V2582" s="1" t="s">
        <v>235</v>
      </c>
      <c r="W2582" s="1" t="s">
        <v>48</v>
      </c>
      <c r="X2582" s="1" t="s">
        <v>483</v>
      </c>
      <c r="Y2582" s="1" t="s">
        <v>484</v>
      </c>
      <c r="Z2582" s="1" t="str">
        <f>TRIM(_xlfn.CONCAT(sales_data_sample[[#This Row],[CONTACTFIRSTNAME]],", ",sales_data_sample[[#This Row],[CONTACTLASTNAME]]))</f>
        <v>Eduardo, Saavedra</v>
      </c>
      <c r="AA2582" s="1" t="s">
        <v>59</v>
      </c>
    </row>
    <row r="2583" spans="1:27" x14ac:dyDescent="0.25">
      <c r="A2583" s="10">
        <v>10352</v>
      </c>
      <c r="B2583" s="9">
        <v>49</v>
      </c>
      <c r="C2583" s="9">
        <v>100</v>
      </c>
      <c r="D2583" s="9">
        <f>PRODUCT(sales_data_sample[[#This Row],[QUANTITYORDERED]],sales_data_sample[[#This Row],[PRICEEACH]])</f>
        <v>4900</v>
      </c>
      <c r="E2583" s="9">
        <f>IF(OR(sales_data_sample[[#This Row],[STATUS]]="Shipped",sales_data_sample[[#This Row],[STATUS]]="Resolved"),sales_data_sample[[#This Row],[SALES]],0)</f>
        <v>4900</v>
      </c>
      <c r="F2583" s="10">
        <v>2</v>
      </c>
      <c r="G2583" s="12" t="s">
        <v>868</v>
      </c>
      <c r="H2583" s="1" t="s">
        <v>26</v>
      </c>
      <c r="I2583">
        <v>4</v>
      </c>
      <c r="J2583">
        <v>12</v>
      </c>
      <c r="K2583">
        <v>2004</v>
      </c>
      <c r="L2583" s="1" t="s">
        <v>839</v>
      </c>
      <c r="M2583">
        <v>99</v>
      </c>
      <c r="N2583" s="1" t="s">
        <v>1006</v>
      </c>
      <c r="O2583" s="1" t="s">
        <v>907</v>
      </c>
      <c r="P2583" s="1" t="s">
        <v>908</v>
      </c>
      <c r="Q2583" s="1" t="s">
        <v>909</v>
      </c>
      <c r="R2583" s="1" t="s">
        <v>32</v>
      </c>
      <c r="S2583" s="1" t="s">
        <v>380</v>
      </c>
      <c r="T2583" s="1" t="s">
        <v>160</v>
      </c>
      <c r="U2583" s="1" t="s">
        <v>381</v>
      </c>
      <c r="V2583" s="1" t="s">
        <v>36</v>
      </c>
      <c r="W2583" s="1" t="s">
        <v>37</v>
      </c>
      <c r="X2583" s="1" t="s">
        <v>757</v>
      </c>
      <c r="Y2583" s="1" t="s">
        <v>326</v>
      </c>
      <c r="Z2583" s="1" t="str">
        <f>TRIM(_xlfn.CONCAT(sales_data_sample[[#This Row],[CONTACTFIRSTNAME]],", ",sales_data_sample[[#This Row],[CONTACTLASTNAME]]))</f>
        <v>Leslie, Taylor</v>
      </c>
      <c r="AA2583" s="1" t="s">
        <v>59</v>
      </c>
    </row>
    <row r="2584" spans="1:27" x14ac:dyDescent="0.25">
      <c r="A2584">
        <v>10361</v>
      </c>
      <c r="B2584">
        <v>26</v>
      </c>
      <c r="C2584">
        <v>100</v>
      </c>
      <c r="D2584">
        <f>PRODUCT(sales_data_sample[[#This Row],[QUANTITYORDERED]],sales_data_sample[[#This Row],[PRICEEACH]])</f>
        <v>2600</v>
      </c>
      <c r="E2584" s="9">
        <f>IF(OR(sales_data_sample[[#This Row],[STATUS]]="Shipped",sales_data_sample[[#This Row],[STATUS]]="Resolved"),sales_data_sample[[#This Row],[SALES]],0)</f>
        <v>2600</v>
      </c>
      <c r="F2584">
        <v>9</v>
      </c>
      <c r="G2584" s="12" t="s">
        <v>200</v>
      </c>
      <c r="H2584" s="1" t="s">
        <v>26</v>
      </c>
      <c r="I2584">
        <v>4</v>
      </c>
      <c r="J2584">
        <v>12</v>
      </c>
      <c r="K2584">
        <v>2004</v>
      </c>
      <c r="L2584" s="1" t="s">
        <v>839</v>
      </c>
      <c r="M2584">
        <v>99</v>
      </c>
      <c r="N2584" s="1" t="s">
        <v>1006</v>
      </c>
      <c r="O2584" s="1" t="s">
        <v>201</v>
      </c>
      <c r="P2584" s="1" t="s">
        <v>202</v>
      </c>
      <c r="Q2584" s="1" t="s">
        <v>203</v>
      </c>
      <c r="R2584" s="1" t="s">
        <v>204</v>
      </c>
      <c r="S2584" s="1" t="s">
        <v>205</v>
      </c>
      <c r="T2584" s="1" t="s">
        <v>206</v>
      </c>
      <c r="U2584" s="1" t="s">
        <v>207</v>
      </c>
      <c r="V2584" s="1" t="s">
        <v>120</v>
      </c>
      <c r="W2584" s="1" t="s">
        <v>121</v>
      </c>
      <c r="X2584" s="1" t="s">
        <v>208</v>
      </c>
      <c r="Y2584" s="1" t="s">
        <v>209</v>
      </c>
      <c r="Z2584" s="1" t="str">
        <f>TRIM(_xlfn.CONCAT(sales_data_sample[[#This Row],[CONTACTFIRSTNAME]],", ",sales_data_sample[[#This Row],[CONTACTLASTNAME]]))</f>
        <v>Adrian, Huxley</v>
      </c>
      <c r="AA2584" s="1" t="s">
        <v>40</v>
      </c>
    </row>
    <row r="2585" spans="1:27" x14ac:dyDescent="0.25">
      <c r="A2585" s="10">
        <v>10375</v>
      </c>
      <c r="B2585" s="9">
        <v>33</v>
      </c>
      <c r="C2585" s="9">
        <v>100</v>
      </c>
      <c r="D2585" s="9">
        <f>PRODUCT(sales_data_sample[[#This Row],[QUANTITYORDERED]],sales_data_sample[[#This Row],[PRICEEACH]])</f>
        <v>3300</v>
      </c>
      <c r="E2585" s="9">
        <f>IF(OR(sales_data_sample[[#This Row],[STATUS]]="Shipped",sales_data_sample[[#This Row],[STATUS]]="Resolved"),sales_data_sample[[#This Row],[SALES]],0)</f>
        <v>3300</v>
      </c>
      <c r="F2585" s="10">
        <v>1</v>
      </c>
      <c r="G2585" s="12" t="s">
        <v>210</v>
      </c>
      <c r="H2585" s="1" t="s">
        <v>26</v>
      </c>
      <c r="I2585">
        <v>1</v>
      </c>
      <c r="J2585">
        <v>2</v>
      </c>
      <c r="K2585">
        <v>2005</v>
      </c>
      <c r="L2585" s="1" t="s">
        <v>839</v>
      </c>
      <c r="M2585">
        <v>99</v>
      </c>
      <c r="N2585" s="1" t="s">
        <v>1006</v>
      </c>
      <c r="O2585" s="1" t="s">
        <v>148</v>
      </c>
      <c r="P2585" s="1" t="s">
        <v>149</v>
      </c>
      <c r="Q2585" s="1" t="s">
        <v>150</v>
      </c>
      <c r="R2585" s="1" t="s">
        <v>32</v>
      </c>
      <c r="S2585" s="1" t="s">
        <v>151</v>
      </c>
      <c r="T2585" s="1" t="s">
        <v>32</v>
      </c>
      <c r="U2585" s="1" t="s">
        <v>152</v>
      </c>
      <c r="V2585" s="1" t="s">
        <v>47</v>
      </c>
      <c r="W2585" s="1" t="s">
        <v>48</v>
      </c>
      <c r="X2585" s="1" t="s">
        <v>153</v>
      </c>
      <c r="Y2585" s="1" t="s">
        <v>154</v>
      </c>
      <c r="Z2585" s="1" t="str">
        <f>TRIM(_xlfn.CONCAT(sales_data_sample[[#This Row],[CONTACTFIRSTNAME]],", ",sales_data_sample[[#This Row],[CONTACTLASTNAME]]))</f>
        <v>Janine, Labrune</v>
      </c>
      <c r="AA2585" s="1" t="s">
        <v>59</v>
      </c>
    </row>
    <row r="2586" spans="1:27" x14ac:dyDescent="0.25">
      <c r="A2586" s="10">
        <v>10386</v>
      </c>
      <c r="B2586" s="9">
        <v>37</v>
      </c>
      <c r="C2586" s="9">
        <v>8384</v>
      </c>
      <c r="D2586" s="9">
        <f>PRODUCT(sales_data_sample[[#This Row],[QUANTITYORDERED]],sales_data_sample[[#This Row],[PRICEEACH]])</f>
        <v>310208</v>
      </c>
      <c r="E2586" s="9">
        <f>IF(OR(sales_data_sample[[#This Row],[STATUS]]="Shipped",sales_data_sample[[#This Row],[STATUS]]="Resolved"),sales_data_sample[[#This Row],[SALES]],0)</f>
        <v>310208</v>
      </c>
      <c r="F2586" s="10">
        <v>14</v>
      </c>
      <c r="G2586" s="12" t="s">
        <v>869</v>
      </c>
      <c r="H2586" s="1" t="s">
        <v>563</v>
      </c>
      <c r="I2586">
        <v>1</v>
      </c>
      <c r="J2586">
        <v>3</v>
      </c>
      <c r="K2586">
        <v>2005</v>
      </c>
      <c r="L2586" s="1" t="s">
        <v>839</v>
      </c>
      <c r="M2586">
        <v>99</v>
      </c>
      <c r="N2586" s="1" t="s">
        <v>1006</v>
      </c>
      <c r="O2586" s="1" t="s">
        <v>230</v>
      </c>
      <c r="P2586" s="1" t="s">
        <v>231</v>
      </c>
      <c r="Q2586" s="1" t="s">
        <v>232</v>
      </c>
      <c r="R2586" s="1" t="s">
        <v>32</v>
      </c>
      <c r="S2586" s="1" t="s">
        <v>233</v>
      </c>
      <c r="T2586" s="1" t="s">
        <v>32</v>
      </c>
      <c r="U2586" s="1" t="s">
        <v>234</v>
      </c>
      <c r="V2586" s="1" t="s">
        <v>235</v>
      </c>
      <c r="W2586" s="1" t="s">
        <v>48</v>
      </c>
      <c r="X2586" s="1" t="s">
        <v>236</v>
      </c>
      <c r="Y2586" s="1" t="s">
        <v>237</v>
      </c>
      <c r="Z2586" s="1" t="str">
        <f>TRIM(_xlfn.CONCAT(sales_data_sample[[#This Row],[CONTACTFIRSTNAME]],", ",sales_data_sample[[#This Row],[CONTACTLASTNAME]]))</f>
        <v>Diego, Freyre</v>
      </c>
      <c r="AA2586" s="1" t="s">
        <v>59</v>
      </c>
    </row>
    <row r="2587" spans="1:27" x14ac:dyDescent="0.25">
      <c r="A2587" s="10">
        <v>10398</v>
      </c>
      <c r="B2587" s="9">
        <v>22</v>
      </c>
      <c r="C2587" s="9">
        <v>8676</v>
      </c>
      <c r="D2587" s="9">
        <f>PRODUCT(sales_data_sample[[#This Row],[QUANTITYORDERED]],sales_data_sample[[#This Row],[PRICEEACH]])</f>
        <v>190872</v>
      </c>
      <c r="E2587" s="9">
        <f>IF(OR(sales_data_sample[[#This Row],[STATUS]]="Shipped",sales_data_sample[[#This Row],[STATUS]]="Resolved"),sales_data_sample[[#This Row],[SALES]],0)</f>
        <v>190872</v>
      </c>
      <c r="F2587" s="10">
        <v>8</v>
      </c>
      <c r="G2587" s="12" t="s">
        <v>870</v>
      </c>
      <c r="H2587" s="1" t="s">
        <v>26</v>
      </c>
      <c r="I2587">
        <v>1</v>
      </c>
      <c r="J2587">
        <v>3</v>
      </c>
      <c r="K2587">
        <v>2005</v>
      </c>
      <c r="L2587" s="1" t="s">
        <v>839</v>
      </c>
      <c r="M2587">
        <v>99</v>
      </c>
      <c r="N2587" s="1" t="s">
        <v>1006</v>
      </c>
      <c r="O2587" s="1" t="s">
        <v>42</v>
      </c>
      <c r="P2587" s="1" t="s">
        <v>43</v>
      </c>
      <c r="Q2587" s="1" t="s">
        <v>44</v>
      </c>
      <c r="R2587" s="1" t="s">
        <v>32</v>
      </c>
      <c r="S2587" s="1" t="s">
        <v>45</v>
      </c>
      <c r="T2587" s="1" t="s">
        <v>32</v>
      </c>
      <c r="U2587" s="1" t="s">
        <v>46</v>
      </c>
      <c r="V2587" s="1" t="s">
        <v>47</v>
      </c>
      <c r="W2587" s="1" t="s">
        <v>48</v>
      </c>
      <c r="X2587" s="1" t="s">
        <v>49</v>
      </c>
      <c r="Y2587" s="1" t="s">
        <v>50</v>
      </c>
      <c r="Z2587" s="1" t="str">
        <f>TRIM(_xlfn.CONCAT(sales_data_sample[[#This Row],[CONTACTFIRSTNAME]],", ",sales_data_sample[[#This Row],[CONTACTLASTNAME]]))</f>
        <v>Paul, Henriot</v>
      </c>
      <c r="AA2587" s="1" t="s">
        <v>40</v>
      </c>
    </row>
    <row r="2588" spans="1:27" x14ac:dyDescent="0.25">
      <c r="A2588" s="10">
        <v>10401</v>
      </c>
      <c r="B2588" s="9">
        <v>85</v>
      </c>
      <c r="C2588" s="9">
        <v>8875</v>
      </c>
      <c r="D2588" s="9">
        <f>PRODUCT(sales_data_sample[[#This Row],[QUANTITYORDERED]],sales_data_sample[[#This Row],[PRICEEACH]])</f>
        <v>754375</v>
      </c>
      <c r="E2588" s="9">
        <f>IF(OR(sales_data_sample[[#This Row],[STATUS]]="Shipped",sales_data_sample[[#This Row],[STATUS]]="Resolved"),sales_data_sample[[#This Row],[SALES]],0)</f>
        <v>0</v>
      </c>
      <c r="F2588" s="10">
        <v>10</v>
      </c>
      <c r="G2588" s="12" t="s">
        <v>895</v>
      </c>
      <c r="H2588" s="1" t="s">
        <v>553</v>
      </c>
      <c r="I2588">
        <v>2</v>
      </c>
      <c r="J2588">
        <v>4</v>
      </c>
      <c r="K2588">
        <v>2005</v>
      </c>
      <c r="L2588" s="1" t="s">
        <v>839</v>
      </c>
      <c r="M2588">
        <v>99</v>
      </c>
      <c r="N2588" s="1" t="s">
        <v>1006</v>
      </c>
      <c r="O2588" s="1" t="s">
        <v>132</v>
      </c>
      <c r="P2588" s="1" t="s">
        <v>133</v>
      </c>
      <c r="Q2588" s="1" t="s">
        <v>134</v>
      </c>
      <c r="R2588" s="1" t="s">
        <v>32</v>
      </c>
      <c r="S2588" s="1" t="s">
        <v>135</v>
      </c>
      <c r="T2588" s="1" t="s">
        <v>136</v>
      </c>
      <c r="U2588" s="1" t="s">
        <v>137</v>
      </c>
      <c r="V2588" s="1" t="s">
        <v>36</v>
      </c>
      <c r="W2588" s="1" t="s">
        <v>37</v>
      </c>
      <c r="X2588" s="1" t="s">
        <v>74</v>
      </c>
      <c r="Y2588" s="1" t="s">
        <v>138</v>
      </c>
      <c r="Z2588" s="1" t="str">
        <f>TRIM(_xlfn.CONCAT(sales_data_sample[[#This Row],[CONTACTFIRSTNAME]],", ",sales_data_sample[[#This Row],[CONTACTLASTNAME]]))</f>
        <v>William, Brown</v>
      </c>
      <c r="AA2588" s="1" t="s">
        <v>199</v>
      </c>
    </row>
    <row r="2589" spans="1:27" x14ac:dyDescent="0.25">
      <c r="A2589" s="10">
        <v>10416</v>
      </c>
      <c r="B2589" s="9">
        <v>22</v>
      </c>
      <c r="C2589" s="9">
        <v>100</v>
      </c>
      <c r="D2589" s="9">
        <f>PRODUCT(sales_data_sample[[#This Row],[QUANTITYORDERED]],sales_data_sample[[#This Row],[PRICEEACH]])</f>
        <v>2200</v>
      </c>
      <c r="E2589" s="9">
        <f>IF(OR(sales_data_sample[[#This Row],[STATUS]]="Shipped",sales_data_sample[[#This Row],[STATUS]]="Resolved"),sales_data_sample[[#This Row],[SALES]],0)</f>
        <v>2200</v>
      </c>
      <c r="F2589" s="10">
        <v>11</v>
      </c>
      <c r="G2589" s="12" t="s">
        <v>871</v>
      </c>
      <c r="H2589" s="1" t="s">
        <v>26</v>
      </c>
      <c r="I2589">
        <v>2</v>
      </c>
      <c r="J2589">
        <v>5</v>
      </c>
      <c r="K2589">
        <v>2005</v>
      </c>
      <c r="L2589" s="1" t="s">
        <v>839</v>
      </c>
      <c r="M2589">
        <v>99</v>
      </c>
      <c r="N2589" s="1" t="s">
        <v>1006</v>
      </c>
      <c r="O2589" s="1" t="s">
        <v>632</v>
      </c>
      <c r="P2589" s="1" t="s">
        <v>633</v>
      </c>
      <c r="Q2589" s="1" t="s">
        <v>634</v>
      </c>
      <c r="R2589" s="1" t="s">
        <v>32</v>
      </c>
      <c r="S2589" s="1" t="s">
        <v>635</v>
      </c>
      <c r="T2589" s="1" t="s">
        <v>32</v>
      </c>
      <c r="U2589" s="1" t="s">
        <v>636</v>
      </c>
      <c r="V2589" s="1" t="s">
        <v>343</v>
      </c>
      <c r="W2589" s="1" t="s">
        <v>48</v>
      </c>
      <c r="X2589" s="1" t="s">
        <v>637</v>
      </c>
      <c r="Y2589" s="1" t="s">
        <v>638</v>
      </c>
      <c r="Z2589" s="1" t="str">
        <f>TRIM(_xlfn.CONCAT(sales_data_sample[[#This Row],[CONTACTFIRSTNAME]],", ",sales_data_sample[[#This Row],[CONTACTLASTNAME]]))</f>
        <v>Maurizio, Moroni</v>
      </c>
      <c r="AA2589" s="1" t="s">
        <v>40</v>
      </c>
    </row>
    <row r="2590" spans="1:27" x14ac:dyDescent="0.25">
      <c r="A2590" s="10">
        <v>10105</v>
      </c>
      <c r="B2590" s="9">
        <v>31</v>
      </c>
      <c r="C2590" s="9">
        <v>6577</v>
      </c>
      <c r="D2590" s="9">
        <f>PRODUCT(sales_data_sample[[#This Row],[QUANTITYORDERED]],sales_data_sample[[#This Row],[PRICEEACH]])</f>
        <v>203887</v>
      </c>
      <c r="E2590" s="9">
        <f>IF(OR(sales_data_sample[[#This Row],[STATUS]]="Shipped",sales_data_sample[[#This Row],[STATUS]]="Resolved"),sales_data_sample[[#This Row],[SALES]],0)</f>
        <v>203887</v>
      </c>
      <c r="F2590" s="10">
        <v>3</v>
      </c>
      <c r="G2590" s="12" t="s">
        <v>435</v>
      </c>
      <c r="H2590" s="1" t="s">
        <v>26</v>
      </c>
      <c r="I2590">
        <v>1</v>
      </c>
      <c r="J2590">
        <v>2</v>
      </c>
      <c r="K2590">
        <v>2003</v>
      </c>
      <c r="L2590" s="1" t="s">
        <v>905</v>
      </c>
      <c r="M2590">
        <v>72</v>
      </c>
      <c r="N2590" s="1" t="s">
        <v>1007</v>
      </c>
      <c r="O2590" s="1" t="s">
        <v>437</v>
      </c>
      <c r="P2590" s="1" t="s">
        <v>438</v>
      </c>
      <c r="Q2590" s="1" t="s">
        <v>439</v>
      </c>
      <c r="R2590" s="1" t="s">
        <v>32</v>
      </c>
      <c r="S2590" s="1" t="s">
        <v>440</v>
      </c>
      <c r="T2590" s="1" t="s">
        <v>32</v>
      </c>
      <c r="U2590" s="1" t="s">
        <v>441</v>
      </c>
      <c r="V2590" s="1" t="s">
        <v>442</v>
      </c>
      <c r="W2590" s="1" t="s">
        <v>48</v>
      </c>
      <c r="X2590" s="1" t="s">
        <v>443</v>
      </c>
      <c r="Y2590" s="1" t="s">
        <v>444</v>
      </c>
      <c r="Z2590" s="1" t="str">
        <f>TRIM(_xlfn.CONCAT(sales_data_sample[[#This Row],[CONTACTFIRSTNAME]],", ",sales_data_sample[[#This Row],[CONTACTLASTNAME]]))</f>
        <v>Jytte, Petersen</v>
      </c>
      <c r="AA2590" s="1" t="s">
        <v>40</v>
      </c>
    </row>
    <row r="2591" spans="1:27" x14ac:dyDescent="0.25">
      <c r="A2591" s="10">
        <v>10119</v>
      </c>
      <c r="B2591" s="9">
        <v>38</v>
      </c>
      <c r="C2591" s="9">
        <v>6577</v>
      </c>
      <c r="D2591" s="9">
        <f>PRODUCT(sales_data_sample[[#This Row],[QUANTITYORDERED]],sales_data_sample[[#This Row],[PRICEEACH]])</f>
        <v>249926</v>
      </c>
      <c r="E2591" s="9">
        <f>IF(OR(sales_data_sample[[#This Row],[STATUS]]="Shipped",sales_data_sample[[#This Row],[STATUS]]="Resolved"),sales_data_sample[[#This Row],[SALES]],0)</f>
        <v>249926</v>
      </c>
      <c r="F2591" s="10">
        <v>12</v>
      </c>
      <c r="G2591" s="12" t="s">
        <v>445</v>
      </c>
      <c r="H2591" s="1" t="s">
        <v>26</v>
      </c>
      <c r="I2591">
        <v>2</v>
      </c>
      <c r="J2591">
        <v>4</v>
      </c>
      <c r="K2591">
        <v>2003</v>
      </c>
      <c r="L2591" s="1" t="s">
        <v>905</v>
      </c>
      <c r="M2591">
        <v>72</v>
      </c>
      <c r="N2591" s="1" t="s">
        <v>1007</v>
      </c>
      <c r="O2591" s="1" t="s">
        <v>191</v>
      </c>
      <c r="P2591" s="1" t="s">
        <v>192</v>
      </c>
      <c r="Q2591" s="1" t="s">
        <v>193</v>
      </c>
      <c r="R2591" s="1" t="s">
        <v>32</v>
      </c>
      <c r="S2591" s="1" t="s">
        <v>194</v>
      </c>
      <c r="T2591" s="1" t="s">
        <v>32</v>
      </c>
      <c r="U2591" s="1" t="s">
        <v>195</v>
      </c>
      <c r="V2591" s="1" t="s">
        <v>196</v>
      </c>
      <c r="W2591" s="1" t="s">
        <v>48</v>
      </c>
      <c r="X2591" s="1" t="s">
        <v>197</v>
      </c>
      <c r="Y2591" s="1" t="s">
        <v>198</v>
      </c>
      <c r="Z2591" s="1" t="str">
        <f>TRIM(_xlfn.CONCAT(sales_data_sample[[#This Row],[CONTACTFIRSTNAME]],", ",sales_data_sample[[#This Row],[CONTACTLASTNAME]]))</f>
        <v>Georg, Pipps</v>
      </c>
      <c r="AA2591" s="1" t="s">
        <v>40</v>
      </c>
    </row>
    <row r="2592" spans="1:27" x14ac:dyDescent="0.25">
      <c r="A2592" s="10">
        <v>10129</v>
      </c>
      <c r="B2592" s="9">
        <v>45</v>
      </c>
      <c r="C2592" s="9">
        <v>8529</v>
      </c>
      <c r="D2592" s="9">
        <f>PRODUCT(sales_data_sample[[#This Row],[QUANTITYORDERED]],sales_data_sample[[#This Row],[PRICEEACH]])</f>
        <v>383805</v>
      </c>
      <c r="E2592" s="9">
        <f>IF(OR(sales_data_sample[[#This Row],[STATUS]]="Shipped",sales_data_sample[[#This Row],[STATUS]]="Resolved"),sales_data_sample[[#This Row],[SALES]],0)</f>
        <v>383805</v>
      </c>
      <c r="F2592" s="10">
        <v>3</v>
      </c>
      <c r="G2592" s="12" t="s">
        <v>446</v>
      </c>
      <c r="H2592" s="1" t="s">
        <v>26</v>
      </c>
      <c r="I2592">
        <v>2</v>
      </c>
      <c r="J2592">
        <v>6</v>
      </c>
      <c r="K2592">
        <v>2003</v>
      </c>
      <c r="L2592" s="1" t="s">
        <v>905</v>
      </c>
      <c r="M2592">
        <v>72</v>
      </c>
      <c r="N2592" s="1" t="s">
        <v>1007</v>
      </c>
      <c r="O2592" s="1" t="s">
        <v>447</v>
      </c>
      <c r="P2592" s="1" t="s">
        <v>448</v>
      </c>
      <c r="Q2592" s="1" t="s">
        <v>449</v>
      </c>
      <c r="R2592" s="1" t="s">
        <v>32</v>
      </c>
      <c r="S2592" s="1" t="s">
        <v>450</v>
      </c>
      <c r="T2592" s="1" t="s">
        <v>32</v>
      </c>
      <c r="U2592" s="1" t="s">
        <v>451</v>
      </c>
      <c r="V2592" s="1" t="s">
        <v>225</v>
      </c>
      <c r="W2592" s="1" t="s">
        <v>48</v>
      </c>
      <c r="X2592" s="1" t="s">
        <v>74</v>
      </c>
      <c r="Y2592" s="1" t="s">
        <v>452</v>
      </c>
      <c r="Z2592" s="1" t="str">
        <f>TRIM(_xlfn.CONCAT(sales_data_sample[[#This Row],[CONTACTFIRSTNAME]],", ",sales_data_sample[[#This Row],[CONTACTLASTNAME]]))</f>
        <v>Ann, Brown</v>
      </c>
      <c r="AA2592" s="1" t="s">
        <v>59</v>
      </c>
    </row>
    <row r="2593" spans="1:27" x14ac:dyDescent="0.25">
      <c r="A2593" s="10">
        <v>10143</v>
      </c>
      <c r="B2593" s="9">
        <v>31</v>
      </c>
      <c r="C2593" s="9">
        <v>8529</v>
      </c>
      <c r="D2593" s="9">
        <f>PRODUCT(sales_data_sample[[#This Row],[QUANTITYORDERED]],sales_data_sample[[#This Row],[PRICEEACH]])</f>
        <v>264399</v>
      </c>
      <c r="E2593" s="9">
        <f>IF(OR(sales_data_sample[[#This Row],[STATUS]]="Shipped",sales_data_sample[[#This Row],[STATUS]]="Resolved"),sales_data_sample[[#This Row],[SALES]],0)</f>
        <v>264399</v>
      </c>
      <c r="F2593" s="10">
        <v>16</v>
      </c>
      <c r="G2593" s="12" t="s">
        <v>453</v>
      </c>
      <c r="H2593" s="1" t="s">
        <v>26</v>
      </c>
      <c r="I2593">
        <v>3</v>
      </c>
      <c r="J2593">
        <v>8</v>
      </c>
      <c r="K2593">
        <v>2003</v>
      </c>
      <c r="L2593" s="1" t="s">
        <v>905</v>
      </c>
      <c r="M2593">
        <v>72</v>
      </c>
      <c r="N2593" s="1" t="s">
        <v>1007</v>
      </c>
      <c r="O2593" s="1" t="s">
        <v>454</v>
      </c>
      <c r="P2593" s="1" t="s">
        <v>455</v>
      </c>
      <c r="Q2593" s="1" t="s">
        <v>456</v>
      </c>
      <c r="R2593" s="1" t="s">
        <v>32</v>
      </c>
      <c r="S2593" s="1" t="s">
        <v>215</v>
      </c>
      <c r="T2593" s="1" t="s">
        <v>160</v>
      </c>
      <c r="U2593" s="1" t="s">
        <v>216</v>
      </c>
      <c r="V2593" s="1" t="s">
        <v>36</v>
      </c>
      <c r="W2593" s="1" t="s">
        <v>37</v>
      </c>
      <c r="X2593" s="1" t="s">
        <v>457</v>
      </c>
      <c r="Y2593" s="1" t="s">
        <v>458</v>
      </c>
      <c r="Z2593" s="1" t="str">
        <f>TRIM(_xlfn.CONCAT(sales_data_sample[[#This Row],[CONTACTFIRSTNAME]],", ",sales_data_sample[[#This Row],[CONTACTLASTNAME]]))</f>
        <v>Wing C, Tam</v>
      </c>
      <c r="AA2593" s="1" t="s">
        <v>40</v>
      </c>
    </row>
    <row r="2594" spans="1:27" x14ac:dyDescent="0.25">
      <c r="A2594" s="10">
        <v>10154</v>
      </c>
      <c r="B2594" s="9">
        <v>36</v>
      </c>
      <c r="C2594" s="9">
        <v>6433</v>
      </c>
      <c r="D2594" s="9">
        <f>PRODUCT(sales_data_sample[[#This Row],[QUANTITYORDERED]],sales_data_sample[[#This Row],[PRICEEACH]])</f>
        <v>231588</v>
      </c>
      <c r="E2594" s="9">
        <f>IF(OR(sales_data_sample[[#This Row],[STATUS]]="Shipped",sales_data_sample[[#This Row],[STATUS]]="Resolved"),sales_data_sample[[#This Row],[SALES]],0)</f>
        <v>231588</v>
      </c>
      <c r="F2594" s="10">
        <v>1</v>
      </c>
      <c r="G2594" s="12" t="s">
        <v>969</v>
      </c>
      <c r="H2594" s="1" t="s">
        <v>26</v>
      </c>
      <c r="I2594">
        <v>4</v>
      </c>
      <c r="J2594">
        <v>10</v>
      </c>
      <c r="K2594">
        <v>2003</v>
      </c>
      <c r="L2594" s="1" t="s">
        <v>905</v>
      </c>
      <c r="M2594">
        <v>72</v>
      </c>
      <c r="N2594" s="1" t="s">
        <v>1007</v>
      </c>
      <c r="O2594" s="1" t="s">
        <v>731</v>
      </c>
      <c r="P2594" s="1" t="s">
        <v>732</v>
      </c>
      <c r="Q2594" s="1" t="s">
        <v>733</v>
      </c>
      <c r="R2594" s="1" t="s">
        <v>32</v>
      </c>
      <c r="S2594" s="1" t="s">
        <v>734</v>
      </c>
      <c r="T2594" s="1" t="s">
        <v>65</v>
      </c>
      <c r="U2594" s="1" t="s">
        <v>735</v>
      </c>
      <c r="V2594" s="1" t="s">
        <v>36</v>
      </c>
      <c r="W2594" s="1" t="s">
        <v>37</v>
      </c>
      <c r="X2594" s="1" t="s">
        <v>67</v>
      </c>
      <c r="Y2594" s="1" t="s">
        <v>326</v>
      </c>
      <c r="Z2594" s="1" t="str">
        <f>TRIM(_xlfn.CONCAT(sales_data_sample[[#This Row],[CONTACTFIRSTNAME]],", ",sales_data_sample[[#This Row],[CONTACTLASTNAME]]))</f>
        <v>Leslie, Young</v>
      </c>
      <c r="AA2594" s="1" t="s">
        <v>40</v>
      </c>
    </row>
    <row r="2595" spans="1:27" x14ac:dyDescent="0.25">
      <c r="A2595" s="10">
        <v>10167</v>
      </c>
      <c r="B2595" s="9">
        <v>46</v>
      </c>
      <c r="C2595" s="9">
        <v>7011</v>
      </c>
      <c r="D2595" s="9">
        <f>PRODUCT(sales_data_sample[[#This Row],[QUANTITYORDERED]],sales_data_sample[[#This Row],[PRICEEACH]])</f>
        <v>322506</v>
      </c>
      <c r="E2595" s="9">
        <f>IF(OR(sales_data_sample[[#This Row],[STATUS]]="Shipped",sales_data_sample[[#This Row],[STATUS]]="Resolved"),sales_data_sample[[#This Row],[SALES]],0)</f>
        <v>0</v>
      </c>
      <c r="F2595" s="10">
        <v>10</v>
      </c>
      <c r="G2595" s="12" t="s">
        <v>460</v>
      </c>
      <c r="H2595" s="1" t="s">
        <v>461</v>
      </c>
      <c r="I2595">
        <v>4</v>
      </c>
      <c r="J2595">
        <v>10</v>
      </c>
      <c r="K2595">
        <v>2003</v>
      </c>
      <c r="L2595" s="1" t="s">
        <v>905</v>
      </c>
      <c r="M2595">
        <v>72</v>
      </c>
      <c r="N2595" s="1" t="s">
        <v>1007</v>
      </c>
      <c r="O2595" s="1" t="s">
        <v>347</v>
      </c>
      <c r="P2595" s="1" t="s">
        <v>348</v>
      </c>
      <c r="Q2595" s="1" t="s">
        <v>349</v>
      </c>
      <c r="R2595" s="1" t="s">
        <v>32</v>
      </c>
      <c r="S2595" s="1" t="s">
        <v>350</v>
      </c>
      <c r="T2595" s="1" t="s">
        <v>32</v>
      </c>
      <c r="U2595" s="1" t="s">
        <v>351</v>
      </c>
      <c r="V2595" s="1" t="s">
        <v>247</v>
      </c>
      <c r="W2595" s="1" t="s">
        <v>48</v>
      </c>
      <c r="X2595" s="1" t="s">
        <v>352</v>
      </c>
      <c r="Y2595" s="1" t="s">
        <v>272</v>
      </c>
      <c r="Z2595" s="1" t="str">
        <f>TRIM(_xlfn.CONCAT(sales_data_sample[[#This Row],[CONTACTFIRSTNAME]],", ",sales_data_sample[[#This Row],[CONTACTLASTNAME]]))</f>
        <v>Maria, Larsson</v>
      </c>
      <c r="AA2595" s="1" t="s">
        <v>59</v>
      </c>
    </row>
    <row r="2596" spans="1:27" x14ac:dyDescent="0.25">
      <c r="A2596" s="10">
        <v>10177</v>
      </c>
      <c r="B2596" s="9">
        <v>32</v>
      </c>
      <c r="C2596" s="9">
        <v>7662</v>
      </c>
      <c r="D2596" s="9">
        <f>PRODUCT(sales_data_sample[[#This Row],[QUANTITYORDERED]],sales_data_sample[[#This Row],[PRICEEACH]])</f>
        <v>245184</v>
      </c>
      <c r="E2596" s="9">
        <f>IF(OR(sales_data_sample[[#This Row],[STATUS]]="Shipped",sales_data_sample[[#This Row],[STATUS]]="Resolved"),sales_data_sample[[#This Row],[SALES]],0)</f>
        <v>245184</v>
      </c>
      <c r="F2596" s="10">
        <v>1</v>
      </c>
      <c r="G2596" s="12" t="s">
        <v>913</v>
      </c>
      <c r="H2596" s="1" t="s">
        <v>26</v>
      </c>
      <c r="I2596">
        <v>4</v>
      </c>
      <c r="J2596">
        <v>11</v>
      </c>
      <c r="K2596">
        <v>2003</v>
      </c>
      <c r="L2596" s="1" t="s">
        <v>905</v>
      </c>
      <c r="M2596">
        <v>72</v>
      </c>
      <c r="N2596" s="1" t="s">
        <v>1007</v>
      </c>
      <c r="O2596" s="1" t="s">
        <v>687</v>
      </c>
      <c r="P2596" s="1" t="s">
        <v>688</v>
      </c>
      <c r="Q2596" s="1" t="s">
        <v>689</v>
      </c>
      <c r="R2596" s="1" t="s">
        <v>32</v>
      </c>
      <c r="S2596" s="1" t="s">
        <v>233</v>
      </c>
      <c r="T2596" s="1" t="s">
        <v>32</v>
      </c>
      <c r="U2596" s="1" t="s">
        <v>254</v>
      </c>
      <c r="V2596" s="1" t="s">
        <v>235</v>
      </c>
      <c r="W2596" s="1" t="s">
        <v>48</v>
      </c>
      <c r="X2596" s="1" t="s">
        <v>690</v>
      </c>
      <c r="Y2596" s="1" t="s">
        <v>691</v>
      </c>
      <c r="Z2596" s="1" t="str">
        <f>TRIM(_xlfn.CONCAT(sales_data_sample[[#This Row],[CONTACTFIRSTNAME]],", ",sales_data_sample[[#This Row],[CONTACTLASTNAME]]))</f>
        <v>Jesus, Fernandez</v>
      </c>
      <c r="AA2596" s="1" t="s">
        <v>40</v>
      </c>
    </row>
    <row r="2597" spans="1:27" x14ac:dyDescent="0.25">
      <c r="A2597" s="10">
        <v>10185</v>
      </c>
      <c r="B2597" s="9">
        <v>39</v>
      </c>
      <c r="C2597" s="9">
        <v>5782</v>
      </c>
      <c r="D2597" s="9">
        <f>PRODUCT(sales_data_sample[[#This Row],[QUANTITYORDERED]],sales_data_sample[[#This Row],[PRICEEACH]])</f>
        <v>225498</v>
      </c>
      <c r="E2597" s="9">
        <f>IF(OR(sales_data_sample[[#This Row],[STATUS]]="Shipped",sales_data_sample[[#This Row],[STATUS]]="Resolved"),sales_data_sample[[#This Row],[SALES]],0)</f>
        <v>225498</v>
      </c>
      <c r="F2597" s="10">
        <v>1</v>
      </c>
      <c r="G2597" s="12" t="s">
        <v>470</v>
      </c>
      <c r="H2597" s="1" t="s">
        <v>26</v>
      </c>
      <c r="I2597">
        <v>4</v>
      </c>
      <c r="J2597">
        <v>11</v>
      </c>
      <c r="K2597">
        <v>2003</v>
      </c>
      <c r="L2597" s="1" t="s">
        <v>905</v>
      </c>
      <c r="M2597">
        <v>72</v>
      </c>
      <c r="N2597" s="1" t="s">
        <v>1007</v>
      </c>
      <c r="O2597" s="1" t="s">
        <v>454</v>
      </c>
      <c r="P2597" s="1" t="s">
        <v>455</v>
      </c>
      <c r="Q2597" s="1" t="s">
        <v>456</v>
      </c>
      <c r="R2597" s="1" t="s">
        <v>32</v>
      </c>
      <c r="S2597" s="1" t="s">
        <v>215</v>
      </c>
      <c r="T2597" s="1" t="s">
        <v>160</v>
      </c>
      <c r="U2597" s="1" t="s">
        <v>216</v>
      </c>
      <c r="V2597" s="1" t="s">
        <v>36</v>
      </c>
      <c r="W2597" s="1" t="s">
        <v>37</v>
      </c>
      <c r="X2597" s="1" t="s">
        <v>457</v>
      </c>
      <c r="Y2597" s="1" t="s">
        <v>458</v>
      </c>
      <c r="Z2597" s="1" t="str">
        <f>TRIM(_xlfn.CONCAT(sales_data_sample[[#This Row],[CONTACTFIRSTNAME]],", ",sales_data_sample[[#This Row],[CONTACTLASTNAME]]))</f>
        <v>Wing C, Tam</v>
      </c>
      <c r="AA2597" s="1" t="s">
        <v>40</v>
      </c>
    </row>
    <row r="2598" spans="1:27" x14ac:dyDescent="0.25">
      <c r="A2598" s="10">
        <v>10197</v>
      </c>
      <c r="B2598" s="9">
        <v>50</v>
      </c>
      <c r="C2598" s="9">
        <v>7879</v>
      </c>
      <c r="D2598" s="9">
        <f>PRODUCT(sales_data_sample[[#This Row],[QUANTITYORDERED]],sales_data_sample[[#This Row],[PRICEEACH]])</f>
        <v>393950</v>
      </c>
      <c r="E2598" s="9">
        <f>IF(OR(sales_data_sample[[#This Row],[STATUS]]="Shipped",sales_data_sample[[#This Row],[STATUS]]="Resolved"),sales_data_sample[[#This Row],[SALES]],0)</f>
        <v>393950</v>
      </c>
      <c r="F2598" s="10">
        <v>7</v>
      </c>
      <c r="G2598" s="12" t="s">
        <v>477</v>
      </c>
      <c r="H2598" s="1" t="s">
        <v>26</v>
      </c>
      <c r="I2598">
        <v>4</v>
      </c>
      <c r="J2598">
        <v>11</v>
      </c>
      <c r="K2598">
        <v>2003</v>
      </c>
      <c r="L2598" s="1" t="s">
        <v>905</v>
      </c>
      <c r="M2598">
        <v>72</v>
      </c>
      <c r="N2598" s="1" t="s">
        <v>1007</v>
      </c>
      <c r="O2598" s="1" t="s">
        <v>478</v>
      </c>
      <c r="P2598" s="1" t="s">
        <v>479</v>
      </c>
      <c r="Q2598" s="1" t="s">
        <v>480</v>
      </c>
      <c r="R2598" s="1" t="s">
        <v>32</v>
      </c>
      <c r="S2598" s="1" t="s">
        <v>481</v>
      </c>
      <c r="T2598" s="1" t="s">
        <v>32</v>
      </c>
      <c r="U2598" s="1" t="s">
        <v>482</v>
      </c>
      <c r="V2598" s="1" t="s">
        <v>235</v>
      </c>
      <c r="W2598" s="1" t="s">
        <v>48</v>
      </c>
      <c r="X2598" s="1" t="s">
        <v>483</v>
      </c>
      <c r="Y2598" s="1" t="s">
        <v>484</v>
      </c>
      <c r="Z2598" s="1" t="str">
        <f>TRIM(_xlfn.CONCAT(sales_data_sample[[#This Row],[CONTACTFIRSTNAME]],", ",sales_data_sample[[#This Row],[CONTACTLASTNAME]]))</f>
        <v>Eduardo, Saavedra</v>
      </c>
      <c r="AA2598" s="1" t="s">
        <v>59</v>
      </c>
    </row>
    <row r="2599" spans="1:27" x14ac:dyDescent="0.25">
      <c r="A2599" s="10">
        <v>10208</v>
      </c>
      <c r="B2599" s="9">
        <v>46</v>
      </c>
      <c r="C2599" s="9">
        <v>7445</v>
      </c>
      <c r="D2599" s="9">
        <f>PRODUCT(sales_data_sample[[#This Row],[QUANTITYORDERED]],sales_data_sample[[#This Row],[PRICEEACH]])</f>
        <v>342470</v>
      </c>
      <c r="E2599" s="9">
        <f>IF(OR(sales_data_sample[[#This Row],[STATUS]]="Shipped",sales_data_sample[[#This Row],[STATUS]]="Resolved"),sales_data_sample[[#This Row],[SALES]],0)</f>
        <v>342470</v>
      </c>
      <c r="F2599" s="10">
        <v>1</v>
      </c>
      <c r="G2599" s="12" t="s">
        <v>675</v>
      </c>
      <c r="H2599" s="1" t="s">
        <v>26</v>
      </c>
      <c r="I2599">
        <v>1</v>
      </c>
      <c r="J2599">
        <v>1</v>
      </c>
      <c r="K2599">
        <v>2004</v>
      </c>
      <c r="L2599" s="1" t="s">
        <v>905</v>
      </c>
      <c r="M2599">
        <v>72</v>
      </c>
      <c r="N2599" s="1" t="s">
        <v>1007</v>
      </c>
      <c r="O2599" s="1" t="s">
        <v>291</v>
      </c>
      <c r="P2599" s="1" t="s">
        <v>292</v>
      </c>
      <c r="Q2599" s="1" t="s">
        <v>293</v>
      </c>
      <c r="R2599" s="1" t="s">
        <v>32</v>
      </c>
      <c r="S2599" s="1" t="s">
        <v>294</v>
      </c>
      <c r="T2599" s="1" t="s">
        <v>32</v>
      </c>
      <c r="U2599" s="1" t="s">
        <v>295</v>
      </c>
      <c r="V2599" s="1" t="s">
        <v>47</v>
      </c>
      <c r="W2599" s="1" t="s">
        <v>48</v>
      </c>
      <c r="X2599" s="1" t="s">
        <v>296</v>
      </c>
      <c r="Y2599" s="1" t="s">
        <v>297</v>
      </c>
      <c r="Z2599" s="1" t="str">
        <f>TRIM(_xlfn.CONCAT(sales_data_sample[[#This Row],[CONTACTFIRSTNAME]],", ",sales_data_sample[[#This Row],[CONTACTLASTNAME]]))</f>
        <v>Mary, Saveley</v>
      </c>
      <c r="AA2599" s="1" t="s">
        <v>59</v>
      </c>
    </row>
    <row r="2600" spans="1:27" x14ac:dyDescent="0.25">
      <c r="A2600" s="10">
        <v>10222</v>
      </c>
      <c r="B2600" s="9">
        <v>36</v>
      </c>
      <c r="C2600" s="9">
        <v>8095</v>
      </c>
      <c r="D2600" s="9">
        <f>PRODUCT(sales_data_sample[[#This Row],[QUANTITYORDERED]],sales_data_sample[[#This Row],[PRICEEACH]])</f>
        <v>291420</v>
      </c>
      <c r="E2600" s="9">
        <f>IF(OR(sales_data_sample[[#This Row],[STATUS]]="Shipped",sales_data_sample[[#This Row],[STATUS]]="Resolved"),sales_data_sample[[#This Row],[SALES]],0)</f>
        <v>291420</v>
      </c>
      <c r="F2600" s="10">
        <v>13</v>
      </c>
      <c r="G2600" s="12" t="s">
        <v>491</v>
      </c>
      <c r="H2600" s="1" t="s">
        <v>26</v>
      </c>
      <c r="I2600">
        <v>1</v>
      </c>
      <c r="J2600">
        <v>2</v>
      </c>
      <c r="K2600">
        <v>2004</v>
      </c>
      <c r="L2600" s="1" t="s">
        <v>905</v>
      </c>
      <c r="M2600">
        <v>72</v>
      </c>
      <c r="N2600" s="1" t="s">
        <v>1007</v>
      </c>
      <c r="O2600" s="1" t="s">
        <v>492</v>
      </c>
      <c r="P2600" s="1" t="s">
        <v>493</v>
      </c>
      <c r="Q2600" s="1" t="s">
        <v>494</v>
      </c>
      <c r="R2600" s="1" t="s">
        <v>32</v>
      </c>
      <c r="S2600" s="1" t="s">
        <v>495</v>
      </c>
      <c r="T2600" s="1" t="s">
        <v>65</v>
      </c>
      <c r="U2600" s="1" t="s">
        <v>496</v>
      </c>
      <c r="V2600" s="1" t="s">
        <v>36</v>
      </c>
      <c r="W2600" s="1" t="s">
        <v>37</v>
      </c>
      <c r="X2600" s="1" t="s">
        <v>313</v>
      </c>
      <c r="Y2600" s="1" t="s">
        <v>366</v>
      </c>
      <c r="Z2600" s="1" t="str">
        <f>TRIM(_xlfn.CONCAT(sales_data_sample[[#This Row],[CONTACTFIRSTNAME]],", ",sales_data_sample[[#This Row],[CONTACTLASTNAME]]))</f>
        <v>Valarie, Thompson</v>
      </c>
      <c r="AA2600" s="1" t="s">
        <v>40</v>
      </c>
    </row>
    <row r="2601" spans="1:27" x14ac:dyDescent="0.25">
      <c r="A2601" s="10">
        <v>10233</v>
      </c>
      <c r="B2601" s="9">
        <v>29</v>
      </c>
      <c r="C2601" s="9">
        <v>824</v>
      </c>
      <c r="D2601" s="9">
        <f>PRODUCT(sales_data_sample[[#This Row],[QUANTITYORDERED]],sales_data_sample[[#This Row],[PRICEEACH]])</f>
        <v>23896</v>
      </c>
      <c r="E2601" s="9">
        <f>IF(OR(sales_data_sample[[#This Row],[STATUS]]="Shipped",sales_data_sample[[#This Row],[STATUS]]="Resolved"),sales_data_sample[[#This Row],[SALES]],0)</f>
        <v>23896</v>
      </c>
      <c r="F2601" s="10">
        <v>1</v>
      </c>
      <c r="G2601" s="12" t="s">
        <v>970</v>
      </c>
      <c r="H2601" s="1" t="s">
        <v>26</v>
      </c>
      <c r="I2601">
        <v>1</v>
      </c>
      <c r="J2601">
        <v>3</v>
      </c>
      <c r="K2601">
        <v>2004</v>
      </c>
      <c r="L2601" s="1" t="s">
        <v>905</v>
      </c>
      <c r="M2601">
        <v>72</v>
      </c>
      <c r="N2601" s="1" t="s">
        <v>1007</v>
      </c>
      <c r="O2601" s="1" t="s">
        <v>132</v>
      </c>
      <c r="P2601" s="1" t="s">
        <v>133</v>
      </c>
      <c r="Q2601" s="1" t="s">
        <v>134</v>
      </c>
      <c r="R2601" s="1" t="s">
        <v>32</v>
      </c>
      <c r="S2601" s="1" t="s">
        <v>135</v>
      </c>
      <c r="T2601" s="1" t="s">
        <v>136</v>
      </c>
      <c r="U2601" s="1" t="s">
        <v>137</v>
      </c>
      <c r="V2601" s="1" t="s">
        <v>36</v>
      </c>
      <c r="W2601" s="1" t="s">
        <v>37</v>
      </c>
      <c r="X2601" s="1" t="s">
        <v>74</v>
      </c>
      <c r="Y2601" s="1" t="s">
        <v>138</v>
      </c>
      <c r="Z2601" s="1" t="str">
        <f>TRIM(_xlfn.CONCAT(sales_data_sample[[#This Row],[CONTACTFIRSTNAME]],", ",sales_data_sample[[#This Row],[CONTACTLASTNAME]]))</f>
        <v>William, Brown</v>
      </c>
      <c r="AA2601" s="1" t="s">
        <v>40</v>
      </c>
    </row>
    <row r="2602" spans="1:27" x14ac:dyDescent="0.25">
      <c r="A2602" s="10">
        <v>10248</v>
      </c>
      <c r="B2602" s="9">
        <v>32</v>
      </c>
      <c r="C2602" s="9">
        <v>7589</v>
      </c>
      <c r="D2602" s="9">
        <f>PRODUCT(sales_data_sample[[#This Row],[QUANTITYORDERED]],sales_data_sample[[#This Row],[PRICEEACH]])</f>
        <v>242848</v>
      </c>
      <c r="E2602" s="9">
        <f>IF(OR(sales_data_sample[[#This Row],[STATUS]]="Shipped",sales_data_sample[[#This Row],[STATUS]]="Resolved"),sales_data_sample[[#This Row],[SALES]],0)</f>
        <v>0</v>
      </c>
      <c r="F2602" s="10">
        <v>4</v>
      </c>
      <c r="G2602" s="12" t="s">
        <v>497</v>
      </c>
      <c r="H2602" s="1" t="s">
        <v>461</v>
      </c>
      <c r="I2602">
        <v>2</v>
      </c>
      <c r="J2602">
        <v>5</v>
      </c>
      <c r="K2602">
        <v>2004</v>
      </c>
      <c r="L2602" s="1" t="s">
        <v>905</v>
      </c>
      <c r="M2602">
        <v>72</v>
      </c>
      <c r="N2602" s="1" t="s">
        <v>1007</v>
      </c>
      <c r="O2602" s="1" t="s">
        <v>29</v>
      </c>
      <c r="P2602" s="1" t="s">
        <v>30</v>
      </c>
      <c r="Q2602" s="1" t="s">
        <v>31</v>
      </c>
      <c r="R2602" s="1" t="s">
        <v>32</v>
      </c>
      <c r="S2602" s="1" t="s">
        <v>33</v>
      </c>
      <c r="T2602" s="1" t="s">
        <v>34</v>
      </c>
      <c r="U2602" s="1" t="s">
        <v>35</v>
      </c>
      <c r="V2602" s="1" t="s">
        <v>36</v>
      </c>
      <c r="W2602" s="1" t="s">
        <v>37</v>
      </c>
      <c r="X2602" s="1" t="s">
        <v>38</v>
      </c>
      <c r="Y2602" s="1" t="s">
        <v>39</v>
      </c>
      <c r="Z2602" s="1" t="str">
        <f>TRIM(_xlfn.CONCAT(sales_data_sample[[#This Row],[CONTACTFIRSTNAME]],", ",sales_data_sample[[#This Row],[CONTACTLASTNAME]]))</f>
        <v>Kwai, Yu</v>
      </c>
      <c r="AA2602" s="1" t="s">
        <v>40</v>
      </c>
    </row>
    <row r="2603" spans="1:27" x14ac:dyDescent="0.25">
      <c r="A2603" s="10">
        <v>10261</v>
      </c>
      <c r="B2603" s="9">
        <v>44</v>
      </c>
      <c r="C2603" s="9">
        <v>6867</v>
      </c>
      <c r="D2603" s="9">
        <f>PRODUCT(sales_data_sample[[#This Row],[QUANTITYORDERED]],sales_data_sample[[#This Row],[PRICEEACH]])</f>
        <v>302148</v>
      </c>
      <c r="E2603" s="9">
        <f>IF(OR(sales_data_sample[[#This Row],[STATUS]]="Shipped",sales_data_sample[[#This Row],[STATUS]]="Resolved"),sales_data_sample[[#This Row],[SALES]],0)</f>
        <v>302148</v>
      </c>
      <c r="F2603" s="10">
        <v>2</v>
      </c>
      <c r="G2603" s="12" t="s">
        <v>498</v>
      </c>
      <c r="H2603" s="1" t="s">
        <v>26</v>
      </c>
      <c r="I2603">
        <v>2</v>
      </c>
      <c r="J2603">
        <v>6</v>
      </c>
      <c r="K2603">
        <v>2004</v>
      </c>
      <c r="L2603" s="1" t="s">
        <v>905</v>
      </c>
      <c r="M2603">
        <v>72</v>
      </c>
      <c r="N2603" s="1" t="s">
        <v>1007</v>
      </c>
      <c r="O2603" s="1" t="s">
        <v>394</v>
      </c>
      <c r="P2603" s="1" t="s">
        <v>395</v>
      </c>
      <c r="Q2603" s="1" t="s">
        <v>396</v>
      </c>
      <c r="R2603" s="1" t="s">
        <v>32</v>
      </c>
      <c r="S2603" s="1" t="s">
        <v>397</v>
      </c>
      <c r="T2603" s="1" t="s">
        <v>398</v>
      </c>
      <c r="U2603" s="1" t="s">
        <v>399</v>
      </c>
      <c r="V2603" s="1" t="s">
        <v>305</v>
      </c>
      <c r="W2603" s="1" t="s">
        <v>37</v>
      </c>
      <c r="X2603" s="1" t="s">
        <v>400</v>
      </c>
      <c r="Y2603" s="1" t="s">
        <v>401</v>
      </c>
      <c r="Z2603" s="1" t="str">
        <f>TRIM(_xlfn.CONCAT(sales_data_sample[[#This Row],[CONTACTFIRSTNAME]],", ",sales_data_sample[[#This Row],[CONTACTLASTNAME]]))</f>
        <v>Jean, Fresnisre</v>
      </c>
      <c r="AA2603" s="1" t="s">
        <v>59</v>
      </c>
    </row>
    <row r="2604" spans="1:27" x14ac:dyDescent="0.25">
      <c r="A2604" s="10">
        <v>10273</v>
      </c>
      <c r="B2604" s="9">
        <v>42</v>
      </c>
      <c r="C2604" s="9">
        <v>6216</v>
      </c>
      <c r="D2604" s="9">
        <f>PRODUCT(sales_data_sample[[#This Row],[QUANTITYORDERED]],sales_data_sample[[#This Row],[PRICEEACH]])</f>
        <v>261072</v>
      </c>
      <c r="E2604" s="9">
        <f>IF(OR(sales_data_sample[[#This Row],[STATUS]]="Shipped",sales_data_sample[[#This Row],[STATUS]]="Resolved"),sales_data_sample[[#This Row],[SALES]],0)</f>
        <v>261072</v>
      </c>
      <c r="F2604" s="10">
        <v>5</v>
      </c>
      <c r="G2604" s="12" t="s">
        <v>499</v>
      </c>
      <c r="H2604" s="1" t="s">
        <v>26</v>
      </c>
      <c r="I2604">
        <v>3</v>
      </c>
      <c r="J2604">
        <v>7</v>
      </c>
      <c r="K2604">
        <v>2004</v>
      </c>
      <c r="L2604" s="1" t="s">
        <v>905</v>
      </c>
      <c r="M2604">
        <v>72</v>
      </c>
      <c r="N2604" s="1" t="s">
        <v>1007</v>
      </c>
      <c r="O2604" s="1" t="s">
        <v>500</v>
      </c>
      <c r="P2604" s="1" t="s">
        <v>501</v>
      </c>
      <c r="Q2604" s="1" t="s">
        <v>502</v>
      </c>
      <c r="R2604" s="1" t="s">
        <v>32</v>
      </c>
      <c r="S2604" s="1" t="s">
        <v>503</v>
      </c>
      <c r="T2604" s="1" t="s">
        <v>32</v>
      </c>
      <c r="U2604" s="1" t="s">
        <v>504</v>
      </c>
      <c r="V2604" s="1" t="s">
        <v>505</v>
      </c>
      <c r="W2604" s="1" t="s">
        <v>48</v>
      </c>
      <c r="X2604" s="1" t="s">
        <v>506</v>
      </c>
      <c r="Y2604" s="1" t="s">
        <v>507</v>
      </c>
      <c r="Z2604" s="1" t="str">
        <f>TRIM(_xlfn.CONCAT(sales_data_sample[[#This Row],[CONTACTFIRSTNAME]],", ",sales_data_sample[[#This Row],[CONTACTLASTNAME]]))</f>
        <v>Catherine, Dewey</v>
      </c>
      <c r="AA2604" s="1" t="s">
        <v>40</v>
      </c>
    </row>
    <row r="2605" spans="1:27" x14ac:dyDescent="0.25">
      <c r="A2605" s="10">
        <v>10283</v>
      </c>
      <c r="B2605" s="9">
        <v>47</v>
      </c>
      <c r="C2605" s="9">
        <v>6577</v>
      </c>
      <c r="D2605" s="9">
        <f>PRODUCT(sales_data_sample[[#This Row],[QUANTITYORDERED]],sales_data_sample[[#This Row],[PRICEEACH]])</f>
        <v>309119</v>
      </c>
      <c r="E2605" s="9">
        <f>IF(OR(sales_data_sample[[#This Row],[STATUS]]="Shipped",sales_data_sample[[#This Row],[STATUS]]="Resolved"),sales_data_sample[[#This Row],[SALES]],0)</f>
        <v>309119</v>
      </c>
      <c r="F2605" s="10">
        <v>7</v>
      </c>
      <c r="G2605" s="12" t="s">
        <v>508</v>
      </c>
      <c r="H2605" s="1" t="s">
        <v>26</v>
      </c>
      <c r="I2605">
        <v>3</v>
      </c>
      <c r="J2605">
        <v>8</v>
      </c>
      <c r="K2605">
        <v>2004</v>
      </c>
      <c r="L2605" s="1" t="s">
        <v>905</v>
      </c>
      <c r="M2605">
        <v>72</v>
      </c>
      <c r="N2605" s="1" t="s">
        <v>1007</v>
      </c>
      <c r="O2605" s="1" t="s">
        <v>509</v>
      </c>
      <c r="P2605" s="1" t="s">
        <v>510</v>
      </c>
      <c r="Q2605" s="1" t="s">
        <v>511</v>
      </c>
      <c r="R2605" s="1" t="s">
        <v>32</v>
      </c>
      <c r="S2605" s="1" t="s">
        <v>512</v>
      </c>
      <c r="T2605" s="1" t="s">
        <v>303</v>
      </c>
      <c r="U2605" s="1" t="s">
        <v>513</v>
      </c>
      <c r="V2605" s="1" t="s">
        <v>305</v>
      </c>
      <c r="W2605" s="1" t="s">
        <v>37</v>
      </c>
      <c r="X2605" s="1" t="s">
        <v>514</v>
      </c>
      <c r="Y2605" s="1" t="s">
        <v>227</v>
      </c>
      <c r="Z2605" s="1" t="str">
        <f>TRIM(_xlfn.CONCAT(sales_data_sample[[#This Row],[CONTACTFIRSTNAME]],", ",sales_data_sample[[#This Row],[CONTACTLASTNAME]]))</f>
        <v>Elizabeth, Lincoln</v>
      </c>
      <c r="AA2605" s="1" t="s">
        <v>59</v>
      </c>
    </row>
    <row r="2606" spans="1:27" x14ac:dyDescent="0.25">
      <c r="A2606" s="10">
        <v>10295</v>
      </c>
      <c r="B2606" s="9">
        <v>44</v>
      </c>
      <c r="C2606" s="9">
        <v>5855</v>
      </c>
      <c r="D2606" s="9">
        <f>PRODUCT(sales_data_sample[[#This Row],[QUANTITYORDERED]],sales_data_sample[[#This Row],[PRICEEACH]])</f>
        <v>257620</v>
      </c>
      <c r="E2606" s="9">
        <f>IF(OR(sales_data_sample[[#This Row],[STATUS]]="Shipped",sales_data_sample[[#This Row],[STATUS]]="Resolved"),sales_data_sample[[#This Row],[SALES]],0)</f>
        <v>257620</v>
      </c>
      <c r="F2606" s="10">
        <v>2</v>
      </c>
      <c r="G2606" s="12" t="s">
        <v>515</v>
      </c>
      <c r="H2606" s="1" t="s">
        <v>26</v>
      </c>
      <c r="I2606">
        <v>3</v>
      </c>
      <c r="J2606">
        <v>9</v>
      </c>
      <c r="K2606">
        <v>2004</v>
      </c>
      <c r="L2606" s="1" t="s">
        <v>905</v>
      </c>
      <c r="M2606">
        <v>72</v>
      </c>
      <c r="N2606" s="1" t="s">
        <v>1007</v>
      </c>
      <c r="O2606" s="1" t="s">
        <v>516</v>
      </c>
      <c r="P2606" s="1" t="s">
        <v>517</v>
      </c>
      <c r="Q2606" s="1" t="s">
        <v>518</v>
      </c>
      <c r="R2606" s="1" t="s">
        <v>32</v>
      </c>
      <c r="S2606" s="1" t="s">
        <v>519</v>
      </c>
      <c r="T2606" s="1" t="s">
        <v>160</v>
      </c>
      <c r="U2606" s="1" t="s">
        <v>520</v>
      </c>
      <c r="V2606" s="1" t="s">
        <v>36</v>
      </c>
      <c r="W2606" s="1" t="s">
        <v>37</v>
      </c>
      <c r="X2606" s="1" t="s">
        <v>521</v>
      </c>
      <c r="Y2606" s="1" t="s">
        <v>82</v>
      </c>
      <c r="Z2606" s="1" t="str">
        <f>TRIM(_xlfn.CONCAT(sales_data_sample[[#This Row],[CONTACTFIRSTNAME]],", ",sales_data_sample[[#This Row],[CONTACTLASTNAME]]))</f>
        <v>Juri, Yoshido</v>
      </c>
      <c r="AA2606" s="1" t="s">
        <v>40</v>
      </c>
    </row>
    <row r="2607" spans="1:27" x14ac:dyDescent="0.25">
      <c r="A2607" s="10">
        <v>10306</v>
      </c>
      <c r="B2607" s="9">
        <v>43</v>
      </c>
      <c r="C2607" s="9">
        <v>7517</v>
      </c>
      <c r="D2607" s="9">
        <f>PRODUCT(sales_data_sample[[#This Row],[QUANTITYORDERED]],sales_data_sample[[#This Row],[PRICEEACH]])</f>
        <v>323231</v>
      </c>
      <c r="E2607" s="9">
        <f>IF(OR(sales_data_sample[[#This Row],[STATUS]]="Shipped",sales_data_sample[[#This Row],[STATUS]]="Resolved"),sales_data_sample[[#This Row],[SALES]],0)</f>
        <v>323231</v>
      </c>
      <c r="F2607" s="10">
        <v>1</v>
      </c>
      <c r="G2607" s="12" t="s">
        <v>522</v>
      </c>
      <c r="H2607" s="1" t="s">
        <v>26</v>
      </c>
      <c r="I2607">
        <v>4</v>
      </c>
      <c r="J2607">
        <v>10</v>
      </c>
      <c r="K2607">
        <v>2004</v>
      </c>
      <c r="L2607" s="1" t="s">
        <v>905</v>
      </c>
      <c r="M2607">
        <v>72</v>
      </c>
      <c r="N2607" s="1" t="s">
        <v>1007</v>
      </c>
      <c r="O2607" s="1" t="s">
        <v>695</v>
      </c>
      <c r="P2607" s="1" t="s">
        <v>696</v>
      </c>
      <c r="Q2607" s="1" t="s">
        <v>697</v>
      </c>
      <c r="R2607" s="1" t="s">
        <v>32</v>
      </c>
      <c r="S2607" s="1" t="s">
        <v>698</v>
      </c>
      <c r="T2607" s="1" t="s">
        <v>32</v>
      </c>
      <c r="U2607" s="1" t="s">
        <v>699</v>
      </c>
      <c r="V2607" s="1" t="s">
        <v>225</v>
      </c>
      <c r="W2607" s="1" t="s">
        <v>48</v>
      </c>
      <c r="X2607" s="1" t="s">
        <v>700</v>
      </c>
      <c r="Y2607" s="1" t="s">
        <v>118</v>
      </c>
      <c r="Z2607" s="1" t="str">
        <f>TRIM(_xlfn.CONCAT(sales_data_sample[[#This Row],[CONTACTFIRSTNAME]],", ",sales_data_sample[[#This Row],[CONTACTLASTNAME]]))</f>
        <v>Victoria, Ashworth</v>
      </c>
      <c r="AA2607" s="1" t="s">
        <v>59</v>
      </c>
    </row>
    <row r="2608" spans="1:27" x14ac:dyDescent="0.25">
      <c r="A2608" s="10">
        <v>10316</v>
      </c>
      <c r="B2608" s="9">
        <v>48</v>
      </c>
      <c r="C2608" s="9">
        <v>7445</v>
      </c>
      <c r="D2608" s="9">
        <f>PRODUCT(sales_data_sample[[#This Row],[QUANTITYORDERED]],sales_data_sample[[#This Row],[PRICEEACH]])</f>
        <v>357360</v>
      </c>
      <c r="E2608" s="9">
        <f>IF(OR(sales_data_sample[[#This Row],[STATUS]]="Shipped",sales_data_sample[[#This Row],[STATUS]]="Resolved"),sales_data_sample[[#This Row],[SALES]],0)</f>
        <v>357360</v>
      </c>
      <c r="F2608" s="10">
        <v>18</v>
      </c>
      <c r="G2608" s="12" t="s">
        <v>523</v>
      </c>
      <c r="H2608" s="1" t="s">
        <v>26</v>
      </c>
      <c r="I2608">
        <v>4</v>
      </c>
      <c r="J2608">
        <v>11</v>
      </c>
      <c r="K2608">
        <v>2004</v>
      </c>
      <c r="L2608" s="1" t="s">
        <v>905</v>
      </c>
      <c r="M2608">
        <v>72</v>
      </c>
      <c r="N2608" s="1" t="s">
        <v>1007</v>
      </c>
      <c r="O2608" s="1" t="s">
        <v>524</v>
      </c>
      <c r="P2608" s="1" t="s">
        <v>525</v>
      </c>
      <c r="Q2608" s="1" t="s">
        <v>526</v>
      </c>
      <c r="R2608" s="1" t="s">
        <v>32</v>
      </c>
      <c r="S2608" s="1" t="s">
        <v>527</v>
      </c>
      <c r="T2608" s="1" t="s">
        <v>528</v>
      </c>
      <c r="U2608" s="1" t="s">
        <v>529</v>
      </c>
      <c r="V2608" s="1" t="s">
        <v>225</v>
      </c>
      <c r="W2608" s="1" t="s">
        <v>48</v>
      </c>
      <c r="X2608" s="1" t="s">
        <v>530</v>
      </c>
      <c r="Y2608" s="1" t="s">
        <v>531</v>
      </c>
      <c r="Z2608" s="1" t="str">
        <f>TRIM(_xlfn.CONCAT(sales_data_sample[[#This Row],[CONTACTFIRSTNAME]],", ",sales_data_sample[[#This Row],[CONTACTLASTNAME]]))</f>
        <v>Helen, Bennett</v>
      </c>
      <c r="AA2608" s="1" t="s">
        <v>59</v>
      </c>
    </row>
    <row r="2609" spans="1:27" x14ac:dyDescent="0.25">
      <c r="A2609" s="10">
        <v>10327</v>
      </c>
      <c r="B2609" s="9">
        <v>21</v>
      </c>
      <c r="C2609" s="9">
        <v>9631</v>
      </c>
      <c r="D2609" s="9">
        <f>PRODUCT(sales_data_sample[[#This Row],[QUANTITYORDERED]],sales_data_sample[[#This Row],[PRICEEACH]])</f>
        <v>202251</v>
      </c>
      <c r="E2609" s="9">
        <f>IF(OR(sales_data_sample[[#This Row],[STATUS]]="Shipped",sales_data_sample[[#This Row],[STATUS]]="Resolved"),sales_data_sample[[#This Row],[SALES]],0)</f>
        <v>202251</v>
      </c>
      <c r="F2609" s="10">
        <v>1</v>
      </c>
      <c r="G2609" s="12" t="s">
        <v>859</v>
      </c>
      <c r="H2609" s="1" t="s">
        <v>563</v>
      </c>
      <c r="I2609">
        <v>4</v>
      </c>
      <c r="J2609">
        <v>11</v>
      </c>
      <c r="K2609">
        <v>2004</v>
      </c>
      <c r="L2609" s="1" t="s">
        <v>905</v>
      </c>
      <c r="M2609">
        <v>72</v>
      </c>
      <c r="N2609" s="1" t="s">
        <v>1007</v>
      </c>
      <c r="O2609" s="1" t="s">
        <v>437</v>
      </c>
      <c r="P2609" s="1" t="s">
        <v>438</v>
      </c>
      <c r="Q2609" s="1" t="s">
        <v>439</v>
      </c>
      <c r="R2609" s="1" t="s">
        <v>32</v>
      </c>
      <c r="S2609" s="1" t="s">
        <v>440</v>
      </c>
      <c r="T2609" s="1" t="s">
        <v>32</v>
      </c>
      <c r="U2609" s="1" t="s">
        <v>441</v>
      </c>
      <c r="V2609" s="1" t="s">
        <v>442</v>
      </c>
      <c r="W2609" s="1" t="s">
        <v>48</v>
      </c>
      <c r="X2609" s="1" t="s">
        <v>443</v>
      </c>
      <c r="Y2609" s="1" t="s">
        <v>444</v>
      </c>
      <c r="Z2609" s="1" t="str">
        <f>TRIM(_xlfn.CONCAT(sales_data_sample[[#This Row],[CONTACTFIRSTNAME]],", ",sales_data_sample[[#This Row],[CONTACTLASTNAME]]))</f>
        <v>Jytte, Petersen</v>
      </c>
      <c r="AA2609" s="1" t="s">
        <v>40</v>
      </c>
    </row>
    <row r="2610" spans="1:27" x14ac:dyDescent="0.25">
      <c r="A2610" s="10">
        <v>10339</v>
      </c>
      <c r="B2610" s="9">
        <v>50</v>
      </c>
      <c r="C2610" s="9">
        <v>7435</v>
      </c>
      <c r="D2610" s="9">
        <f>PRODUCT(sales_data_sample[[#This Row],[QUANTITYORDERED]],sales_data_sample[[#This Row],[PRICEEACH]])</f>
        <v>371750</v>
      </c>
      <c r="E2610" s="9">
        <f>IF(OR(sales_data_sample[[#This Row],[STATUS]]="Shipped",sales_data_sample[[#This Row],[STATUS]]="Resolved"),sales_data_sample[[#This Row],[SALES]],0)</f>
        <v>371750</v>
      </c>
      <c r="F2610" s="10">
        <v>9</v>
      </c>
      <c r="G2610" s="12" t="s">
        <v>430</v>
      </c>
      <c r="H2610" s="1" t="s">
        <v>26</v>
      </c>
      <c r="I2610">
        <v>4</v>
      </c>
      <c r="J2610">
        <v>11</v>
      </c>
      <c r="K2610">
        <v>2004</v>
      </c>
      <c r="L2610" s="1" t="s">
        <v>905</v>
      </c>
      <c r="M2610">
        <v>72</v>
      </c>
      <c r="N2610" s="1" t="s">
        <v>1007</v>
      </c>
      <c r="O2610" s="1" t="s">
        <v>328</v>
      </c>
      <c r="P2610" s="1" t="s">
        <v>329</v>
      </c>
      <c r="Q2610" s="1" t="s">
        <v>330</v>
      </c>
      <c r="R2610" s="1" t="s">
        <v>32</v>
      </c>
      <c r="S2610" s="1" t="s">
        <v>331</v>
      </c>
      <c r="T2610" s="1" t="s">
        <v>332</v>
      </c>
      <c r="U2610" s="1" t="s">
        <v>333</v>
      </c>
      <c r="V2610" s="1" t="s">
        <v>264</v>
      </c>
      <c r="W2610" s="1" t="s">
        <v>264</v>
      </c>
      <c r="X2610" s="1" t="s">
        <v>334</v>
      </c>
      <c r="Y2610" s="1" t="s">
        <v>335</v>
      </c>
      <c r="Z2610" s="1" t="str">
        <f>TRIM(_xlfn.CONCAT(sales_data_sample[[#This Row],[CONTACTFIRSTNAME]],", ",sales_data_sample[[#This Row],[CONTACTLASTNAME]]))</f>
        <v>Akiko, Shimamura</v>
      </c>
      <c r="AA2610" s="1" t="s">
        <v>59</v>
      </c>
    </row>
    <row r="2611" spans="1:27" x14ac:dyDescent="0.25">
      <c r="A2611" s="10">
        <v>10350</v>
      </c>
      <c r="B2611" s="9">
        <v>29</v>
      </c>
      <c r="C2611" s="9">
        <v>7535</v>
      </c>
      <c r="D2611" s="9">
        <f>PRODUCT(sales_data_sample[[#This Row],[QUANTITYORDERED]],sales_data_sample[[#This Row],[PRICEEACH]])</f>
        <v>218515</v>
      </c>
      <c r="E2611" s="9">
        <f>IF(OR(sales_data_sample[[#This Row],[STATUS]]="Shipped",sales_data_sample[[#This Row],[STATUS]]="Resolved"),sales_data_sample[[#This Row],[SALES]],0)</f>
        <v>218515</v>
      </c>
      <c r="F2611" s="10">
        <v>12</v>
      </c>
      <c r="G2611" s="12" t="s">
        <v>534</v>
      </c>
      <c r="H2611" s="1" t="s">
        <v>26</v>
      </c>
      <c r="I2611">
        <v>4</v>
      </c>
      <c r="J2611">
        <v>12</v>
      </c>
      <c r="K2611">
        <v>2004</v>
      </c>
      <c r="L2611" s="1" t="s">
        <v>905</v>
      </c>
      <c r="M2611">
        <v>72</v>
      </c>
      <c r="N2611" s="1" t="s">
        <v>1007</v>
      </c>
      <c r="O2611" s="1" t="s">
        <v>230</v>
      </c>
      <c r="P2611" s="1" t="s">
        <v>231</v>
      </c>
      <c r="Q2611" s="1" t="s">
        <v>232</v>
      </c>
      <c r="R2611" s="1" t="s">
        <v>32</v>
      </c>
      <c r="S2611" s="1" t="s">
        <v>233</v>
      </c>
      <c r="T2611" s="1" t="s">
        <v>32</v>
      </c>
      <c r="U2611" s="1" t="s">
        <v>234</v>
      </c>
      <c r="V2611" s="1" t="s">
        <v>235</v>
      </c>
      <c r="W2611" s="1" t="s">
        <v>48</v>
      </c>
      <c r="X2611" s="1" t="s">
        <v>236</v>
      </c>
      <c r="Y2611" s="1" t="s">
        <v>237</v>
      </c>
      <c r="Z2611" s="1" t="str">
        <f>TRIM(_xlfn.CONCAT(sales_data_sample[[#This Row],[CONTACTFIRSTNAME]],", ",sales_data_sample[[#This Row],[CONTACTLASTNAME]]))</f>
        <v>Diego, Freyre</v>
      </c>
      <c r="AA2611" s="1" t="s">
        <v>40</v>
      </c>
    </row>
    <row r="2612" spans="1:27" x14ac:dyDescent="0.25">
      <c r="A2612" s="10">
        <v>10373</v>
      </c>
      <c r="B2612" s="9">
        <v>41</v>
      </c>
      <c r="C2612" s="9">
        <v>7033</v>
      </c>
      <c r="D2612" s="9">
        <f>PRODUCT(sales_data_sample[[#This Row],[QUANTITYORDERED]],sales_data_sample[[#This Row],[PRICEEACH]])</f>
        <v>288353</v>
      </c>
      <c r="E2612" s="9">
        <f>IF(OR(sales_data_sample[[#This Row],[STATUS]]="Shipped",sales_data_sample[[#This Row],[STATUS]]="Resolved"),sales_data_sample[[#This Row],[SALES]],0)</f>
        <v>288353</v>
      </c>
      <c r="F2612" s="10">
        <v>16</v>
      </c>
      <c r="G2612" s="12" t="s">
        <v>536</v>
      </c>
      <c r="H2612" s="1" t="s">
        <v>26</v>
      </c>
      <c r="I2612">
        <v>1</v>
      </c>
      <c r="J2612">
        <v>1</v>
      </c>
      <c r="K2612">
        <v>2005</v>
      </c>
      <c r="L2612" s="1" t="s">
        <v>905</v>
      </c>
      <c r="M2612">
        <v>72</v>
      </c>
      <c r="N2612" s="1" t="s">
        <v>1007</v>
      </c>
      <c r="O2612" s="1" t="s">
        <v>537</v>
      </c>
      <c r="P2612" s="1" t="s">
        <v>538</v>
      </c>
      <c r="Q2612" s="1" t="s">
        <v>539</v>
      </c>
      <c r="R2612" s="1" t="s">
        <v>32</v>
      </c>
      <c r="S2612" s="1" t="s">
        <v>540</v>
      </c>
      <c r="T2612" s="1" t="s">
        <v>32</v>
      </c>
      <c r="U2612" s="1" t="s">
        <v>541</v>
      </c>
      <c r="V2612" s="1" t="s">
        <v>170</v>
      </c>
      <c r="W2612" s="1" t="s">
        <v>48</v>
      </c>
      <c r="X2612" s="1" t="s">
        <v>542</v>
      </c>
      <c r="Y2612" s="1" t="s">
        <v>543</v>
      </c>
      <c r="Z2612" s="1" t="str">
        <f>TRIM(_xlfn.CONCAT(sales_data_sample[[#This Row],[CONTACTFIRSTNAME]],", ",sales_data_sample[[#This Row],[CONTACTLASTNAME]]))</f>
        <v>Pirkko, Koskitalo</v>
      </c>
      <c r="AA2612" s="1" t="s">
        <v>40</v>
      </c>
    </row>
    <row r="2613" spans="1:27" x14ac:dyDescent="0.25">
      <c r="A2613" s="10">
        <v>10386</v>
      </c>
      <c r="B2613" s="9">
        <v>37</v>
      </c>
      <c r="C2613" s="9">
        <v>100</v>
      </c>
      <c r="D2613" s="9">
        <f>PRODUCT(sales_data_sample[[#This Row],[QUANTITYORDERED]],sales_data_sample[[#This Row],[PRICEEACH]])</f>
        <v>3700</v>
      </c>
      <c r="E2613" s="9">
        <f>IF(OR(sales_data_sample[[#This Row],[STATUS]]="Shipped",sales_data_sample[[#This Row],[STATUS]]="Resolved"),sales_data_sample[[#This Row],[SALES]],0)</f>
        <v>3700</v>
      </c>
      <c r="F2613" s="10">
        <v>10</v>
      </c>
      <c r="G2613" s="12" t="s">
        <v>869</v>
      </c>
      <c r="H2613" s="1" t="s">
        <v>563</v>
      </c>
      <c r="I2613">
        <v>1</v>
      </c>
      <c r="J2613">
        <v>3</v>
      </c>
      <c r="K2613">
        <v>2005</v>
      </c>
      <c r="L2613" s="1" t="s">
        <v>905</v>
      </c>
      <c r="M2613">
        <v>72</v>
      </c>
      <c r="N2613" s="1" t="s">
        <v>1007</v>
      </c>
      <c r="O2613" s="1" t="s">
        <v>230</v>
      </c>
      <c r="P2613" s="1" t="s">
        <v>231</v>
      </c>
      <c r="Q2613" s="1" t="s">
        <v>232</v>
      </c>
      <c r="R2613" s="1" t="s">
        <v>32</v>
      </c>
      <c r="S2613" s="1" t="s">
        <v>233</v>
      </c>
      <c r="T2613" s="1" t="s">
        <v>32</v>
      </c>
      <c r="U2613" s="1" t="s">
        <v>234</v>
      </c>
      <c r="V2613" s="1" t="s">
        <v>235</v>
      </c>
      <c r="W2613" s="1" t="s">
        <v>48</v>
      </c>
      <c r="X2613" s="1" t="s">
        <v>236</v>
      </c>
      <c r="Y2613" s="1" t="s">
        <v>237</v>
      </c>
      <c r="Z2613" s="1" t="str">
        <f>TRIM(_xlfn.CONCAT(sales_data_sample[[#This Row],[CONTACTFIRSTNAME]],", ",sales_data_sample[[#This Row],[CONTACTLASTNAME]]))</f>
        <v>Diego, Freyre</v>
      </c>
      <c r="AA2613" s="1" t="s">
        <v>59</v>
      </c>
    </row>
    <row r="2614" spans="1:27" x14ac:dyDescent="0.25">
      <c r="A2614" s="10">
        <v>10397</v>
      </c>
      <c r="B2614" s="9">
        <v>22</v>
      </c>
      <c r="C2614" s="9">
        <v>665</v>
      </c>
      <c r="D2614" s="9">
        <f>PRODUCT(sales_data_sample[[#This Row],[QUANTITYORDERED]],sales_data_sample[[#This Row],[PRICEEACH]])</f>
        <v>14630</v>
      </c>
      <c r="E2614" s="9">
        <f>IF(OR(sales_data_sample[[#This Row],[STATUS]]="Shipped",sales_data_sample[[#This Row],[STATUS]]="Resolved"),sales_data_sample[[#This Row],[SALES]],0)</f>
        <v>14630</v>
      </c>
      <c r="F2614" s="10">
        <v>4</v>
      </c>
      <c r="G2614" s="12" t="s">
        <v>1004</v>
      </c>
      <c r="H2614" s="1" t="s">
        <v>26</v>
      </c>
      <c r="I2614">
        <v>1</v>
      </c>
      <c r="J2614">
        <v>3</v>
      </c>
      <c r="K2614">
        <v>2005</v>
      </c>
      <c r="L2614" s="1" t="s">
        <v>905</v>
      </c>
      <c r="M2614">
        <v>72</v>
      </c>
      <c r="N2614" s="1" t="s">
        <v>1007</v>
      </c>
      <c r="O2614" s="1" t="s">
        <v>463</v>
      </c>
      <c r="P2614" s="1" t="s">
        <v>464</v>
      </c>
      <c r="Q2614" s="1" t="s">
        <v>465</v>
      </c>
      <c r="R2614" s="1" t="s">
        <v>32</v>
      </c>
      <c r="S2614" s="1" t="s">
        <v>466</v>
      </c>
      <c r="T2614" s="1" t="s">
        <v>32</v>
      </c>
      <c r="U2614" s="1" t="s">
        <v>467</v>
      </c>
      <c r="V2614" s="1" t="s">
        <v>47</v>
      </c>
      <c r="W2614" s="1" t="s">
        <v>48</v>
      </c>
      <c r="X2614" s="1" t="s">
        <v>468</v>
      </c>
      <c r="Y2614" s="1" t="s">
        <v>469</v>
      </c>
      <c r="Z2614" s="1" t="str">
        <f>TRIM(_xlfn.CONCAT(sales_data_sample[[#This Row],[CONTACTFIRSTNAME]],", ",sales_data_sample[[#This Row],[CONTACTLASTNAME]]))</f>
        <v>Annette, Roulet</v>
      </c>
      <c r="AA2614" s="1" t="s">
        <v>40</v>
      </c>
    </row>
    <row r="2615" spans="1:27" x14ac:dyDescent="0.25">
      <c r="A2615" s="10">
        <v>10414</v>
      </c>
      <c r="B2615" s="9">
        <v>31</v>
      </c>
      <c r="C2615" s="9">
        <v>7589</v>
      </c>
      <c r="D2615" s="9">
        <f>PRODUCT(sales_data_sample[[#This Row],[QUANTITYORDERED]],sales_data_sample[[#This Row],[PRICEEACH]])</f>
        <v>235259</v>
      </c>
      <c r="E2615" s="9">
        <f>IF(OR(sales_data_sample[[#This Row],[STATUS]]="Shipped",sales_data_sample[[#This Row],[STATUS]]="Resolved"),sales_data_sample[[#This Row],[SALES]],0)</f>
        <v>0</v>
      </c>
      <c r="F2615" s="10">
        <v>4</v>
      </c>
      <c r="G2615" s="12" t="s">
        <v>552</v>
      </c>
      <c r="H2615" s="1" t="s">
        <v>553</v>
      </c>
      <c r="I2615">
        <v>2</v>
      </c>
      <c r="J2615">
        <v>5</v>
      </c>
      <c r="K2615">
        <v>2005</v>
      </c>
      <c r="L2615" s="1" t="s">
        <v>905</v>
      </c>
      <c r="M2615">
        <v>72</v>
      </c>
      <c r="N2615" s="1" t="s">
        <v>1007</v>
      </c>
      <c r="O2615" s="1" t="s">
        <v>516</v>
      </c>
      <c r="P2615" s="1" t="s">
        <v>517</v>
      </c>
      <c r="Q2615" s="1" t="s">
        <v>518</v>
      </c>
      <c r="R2615" s="1" t="s">
        <v>32</v>
      </c>
      <c r="S2615" s="1" t="s">
        <v>519</v>
      </c>
      <c r="T2615" s="1" t="s">
        <v>160</v>
      </c>
      <c r="U2615" s="1" t="s">
        <v>520</v>
      </c>
      <c r="V2615" s="1" t="s">
        <v>36</v>
      </c>
      <c r="W2615" s="1" t="s">
        <v>37</v>
      </c>
      <c r="X2615" s="1" t="s">
        <v>521</v>
      </c>
      <c r="Y2615" s="1" t="s">
        <v>82</v>
      </c>
      <c r="Z2615" s="1" t="str">
        <f>TRIM(_xlfn.CONCAT(sales_data_sample[[#This Row],[CONTACTFIRSTNAME]],", ",sales_data_sample[[#This Row],[CONTACTLASTNAME]]))</f>
        <v>Juri, Yoshido</v>
      </c>
      <c r="AA2615" s="1" t="s">
        <v>40</v>
      </c>
    </row>
    <row r="2616" spans="1:27" x14ac:dyDescent="0.25">
      <c r="A2616" s="10">
        <v>10103</v>
      </c>
      <c r="B2616" s="9">
        <v>42</v>
      </c>
      <c r="C2616" s="9">
        <v>100</v>
      </c>
      <c r="D2616" s="9">
        <f>PRODUCT(sales_data_sample[[#This Row],[QUANTITYORDERED]],sales_data_sample[[#This Row],[PRICEEACH]])</f>
        <v>4200</v>
      </c>
      <c r="E2616" s="9">
        <f>IF(OR(sales_data_sample[[#This Row],[STATUS]]="Shipped",sales_data_sample[[#This Row],[STATUS]]="Resolved"),sales_data_sample[[#This Row],[SALES]],0)</f>
        <v>4200</v>
      </c>
      <c r="F2616" s="10">
        <v>6</v>
      </c>
      <c r="G2616" s="12" t="s">
        <v>238</v>
      </c>
      <c r="H2616" s="1" t="s">
        <v>26</v>
      </c>
      <c r="I2616">
        <v>1</v>
      </c>
      <c r="J2616">
        <v>1</v>
      </c>
      <c r="K2616">
        <v>2003</v>
      </c>
      <c r="L2616" s="1" t="s">
        <v>239</v>
      </c>
      <c r="M2616">
        <v>101</v>
      </c>
      <c r="N2616" s="1" t="s">
        <v>1008</v>
      </c>
      <c r="O2616" s="1" t="s">
        <v>174</v>
      </c>
      <c r="P2616" s="1" t="s">
        <v>175</v>
      </c>
      <c r="Q2616" s="1" t="s">
        <v>176</v>
      </c>
      <c r="R2616" s="1" t="s">
        <v>32</v>
      </c>
      <c r="S2616" s="1" t="s">
        <v>177</v>
      </c>
      <c r="T2616" s="1" t="s">
        <v>32</v>
      </c>
      <c r="U2616" s="1" t="s">
        <v>178</v>
      </c>
      <c r="V2616" s="1" t="s">
        <v>97</v>
      </c>
      <c r="W2616" s="1" t="s">
        <v>48</v>
      </c>
      <c r="X2616" s="1" t="s">
        <v>179</v>
      </c>
      <c r="Y2616" s="1" t="s">
        <v>180</v>
      </c>
      <c r="Z2616" s="1" t="str">
        <f>TRIM(_xlfn.CONCAT(sales_data_sample[[#This Row],[CONTACTFIRSTNAME]],", ",sales_data_sample[[#This Row],[CONTACTLASTNAME]]))</f>
        <v>Jonas, Bergulfsen</v>
      </c>
      <c r="AA2616" s="1" t="s">
        <v>59</v>
      </c>
    </row>
    <row r="2617" spans="1:27" x14ac:dyDescent="0.25">
      <c r="A2617" s="10">
        <v>10114</v>
      </c>
      <c r="B2617" s="9">
        <v>42</v>
      </c>
      <c r="C2617" s="9">
        <v>100</v>
      </c>
      <c r="D2617" s="9">
        <f>PRODUCT(sales_data_sample[[#This Row],[QUANTITYORDERED]],sales_data_sample[[#This Row],[PRICEEACH]])</f>
        <v>4200</v>
      </c>
      <c r="E2617" s="9">
        <f>IF(OR(sales_data_sample[[#This Row],[STATUS]]="Shipped",sales_data_sample[[#This Row],[STATUS]]="Resolved"),sales_data_sample[[#This Row],[SALES]],0)</f>
        <v>4200</v>
      </c>
      <c r="F2617" s="10">
        <v>10</v>
      </c>
      <c r="G2617" s="12" t="s">
        <v>555</v>
      </c>
      <c r="H2617" s="1" t="s">
        <v>26</v>
      </c>
      <c r="I2617">
        <v>2</v>
      </c>
      <c r="J2617">
        <v>4</v>
      </c>
      <c r="K2617">
        <v>2003</v>
      </c>
      <c r="L2617" s="1" t="s">
        <v>239</v>
      </c>
      <c r="M2617">
        <v>101</v>
      </c>
      <c r="N2617" s="1" t="s">
        <v>1008</v>
      </c>
      <c r="O2617" s="1" t="s">
        <v>556</v>
      </c>
      <c r="P2617" s="1" t="s">
        <v>557</v>
      </c>
      <c r="Q2617" s="1" t="s">
        <v>558</v>
      </c>
      <c r="R2617" s="1" t="s">
        <v>32</v>
      </c>
      <c r="S2617" s="1" t="s">
        <v>55</v>
      </c>
      <c r="T2617" s="1" t="s">
        <v>32</v>
      </c>
      <c r="U2617" s="1" t="s">
        <v>559</v>
      </c>
      <c r="V2617" s="1" t="s">
        <v>47</v>
      </c>
      <c r="W2617" s="1" t="s">
        <v>48</v>
      </c>
      <c r="X2617" s="1" t="s">
        <v>560</v>
      </c>
      <c r="Y2617" s="1" t="s">
        <v>561</v>
      </c>
      <c r="Z2617" s="1" t="str">
        <f>TRIM(_xlfn.CONCAT(sales_data_sample[[#This Row],[CONTACTFIRSTNAME]],", ",sales_data_sample[[#This Row],[CONTACTLASTNAME]]))</f>
        <v>Marie, Bertrand</v>
      </c>
      <c r="AA2617" s="1" t="s">
        <v>59</v>
      </c>
    </row>
    <row r="2618" spans="1:27" x14ac:dyDescent="0.25">
      <c r="A2618" s="10">
        <v>10126</v>
      </c>
      <c r="B2618" s="9">
        <v>45</v>
      </c>
      <c r="C2618" s="9">
        <v>100</v>
      </c>
      <c r="D2618" s="9">
        <f>PRODUCT(sales_data_sample[[#This Row],[QUANTITYORDERED]],sales_data_sample[[#This Row],[PRICEEACH]])</f>
        <v>4500</v>
      </c>
      <c r="E2618" s="9">
        <f>IF(OR(sales_data_sample[[#This Row],[STATUS]]="Shipped",sales_data_sample[[#This Row],[STATUS]]="Resolved"),sales_data_sample[[#This Row],[SALES]],0)</f>
        <v>4500</v>
      </c>
      <c r="F2618" s="10">
        <v>6</v>
      </c>
      <c r="G2618" s="12" t="s">
        <v>250</v>
      </c>
      <c r="H2618" s="1" t="s">
        <v>26</v>
      </c>
      <c r="I2618">
        <v>2</v>
      </c>
      <c r="J2618">
        <v>5</v>
      </c>
      <c r="K2618">
        <v>2003</v>
      </c>
      <c r="L2618" s="1" t="s">
        <v>239</v>
      </c>
      <c r="M2618">
        <v>101</v>
      </c>
      <c r="N2618" s="1" t="s">
        <v>1008</v>
      </c>
      <c r="O2618" s="1" t="s">
        <v>251</v>
      </c>
      <c r="P2618" s="1" t="s">
        <v>252</v>
      </c>
      <c r="Q2618" s="1" t="s">
        <v>253</v>
      </c>
      <c r="R2618" s="1" t="s">
        <v>32</v>
      </c>
      <c r="S2618" s="1" t="s">
        <v>233</v>
      </c>
      <c r="T2618" s="1" t="s">
        <v>32</v>
      </c>
      <c r="U2618" s="1" t="s">
        <v>254</v>
      </c>
      <c r="V2618" s="1" t="s">
        <v>235</v>
      </c>
      <c r="W2618" s="1" t="s">
        <v>48</v>
      </c>
      <c r="X2618" s="1" t="s">
        <v>255</v>
      </c>
      <c r="Y2618" s="1" t="s">
        <v>256</v>
      </c>
      <c r="Z2618" s="1" t="str">
        <f>TRIM(_xlfn.CONCAT(sales_data_sample[[#This Row],[CONTACTFIRSTNAME]],", ",sales_data_sample[[#This Row],[CONTACTLASTNAME]]))</f>
        <v>Mart¡n, Sommer</v>
      </c>
      <c r="AA2618" s="1" t="s">
        <v>59</v>
      </c>
    </row>
    <row r="2619" spans="1:27" x14ac:dyDescent="0.25">
      <c r="A2619" s="10">
        <v>10140</v>
      </c>
      <c r="B2619" s="9">
        <v>36</v>
      </c>
      <c r="C2619" s="9">
        <v>100</v>
      </c>
      <c r="D2619" s="9">
        <f>PRODUCT(sales_data_sample[[#This Row],[QUANTITYORDERED]],sales_data_sample[[#This Row],[PRICEEACH]])</f>
        <v>3600</v>
      </c>
      <c r="E2619" s="9">
        <f>IF(OR(sales_data_sample[[#This Row],[STATUS]]="Shipped",sales_data_sample[[#This Row],[STATUS]]="Resolved"),sales_data_sample[[#This Row],[SALES]],0)</f>
        <v>3600</v>
      </c>
      <c r="F2619" s="10">
        <v>6</v>
      </c>
      <c r="G2619" s="12" t="s">
        <v>257</v>
      </c>
      <c r="H2619" s="1" t="s">
        <v>26</v>
      </c>
      <c r="I2619">
        <v>3</v>
      </c>
      <c r="J2619">
        <v>7</v>
      </c>
      <c r="K2619">
        <v>2003</v>
      </c>
      <c r="L2619" s="1" t="s">
        <v>239</v>
      </c>
      <c r="M2619">
        <v>101</v>
      </c>
      <c r="N2619" s="1" t="s">
        <v>1008</v>
      </c>
      <c r="O2619" s="1" t="s">
        <v>76</v>
      </c>
      <c r="P2619" s="1" t="s">
        <v>77</v>
      </c>
      <c r="Q2619" s="1" t="s">
        <v>78</v>
      </c>
      <c r="R2619" s="1" t="s">
        <v>32</v>
      </c>
      <c r="S2619" s="1" t="s">
        <v>79</v>
      </c>
      <c r="T2619" s="1" t="s">
        <v>65</v>
      </c>
      <c r="U2619" s="1" t="s">
        <v>80</v>
      </c>
      <c r="V2619" s="1" t="s">
        <v>36</v>
      </c>
      <c r="W2619" s="1" t="s">
        <v>37</v>
      </c>
      <c r="X2619" s="1" t="s">
        <v>81</v>
      </c>
      <c r="Y2619" s="1" t="s">
        <v>82</v>
      </c>
      <c r="Z2619" s="1" t="str">
        <f>TRIM(_xlfn.CONCAT(sales_data_sample[[#This Row],[CONTACTFIRSTNAME]],", ",sales_data_sample[[#This Row],[CONTACTLASTNAME]]))</f>
        <v>Juri, Hirano</v>
      </c>
      <c r="AA2619" s="1" t="s">
        <v>59</v>
      </c>
    </row>
    <row r="2620" spans="1:27" x14ac:dyDescent="0.25">
      <c r="A2620" s="10">
        <v>10150</v>
      </c>
      <c r="B2620" s="9">
        <v>20</v>
      </c>
      <c r="C2620" s="9">
        <v>100</v>
      </c>
      <c r="D2620" s="9">
        <f>PRODUCT(sales_data_sample[[#This Row],[QUANTITYORDERED]],sales_data_sample[[#This Row],[PRICEEACH]])</f>
        <v>2000</v>
      </c>
      <c r="E2620" s="9">
        <f>IF(OR(sales_data_sample[[#This Row],[STATUS]]="Shipped",sales_data_sample[[#This Row],[STATUS]]="Resolved"),sales_data_sample[[#This Row],[SALES]],0)</f>
        <v>2000</v>
      </c>
      <c r="F2620" s="10">
        <v>3</v>
      </c>
      <c r="G2620" s="12" t="s">
        <v>258</v>
      </c>
      <c r="H2620" s="1" t="s">
        <v>26</v>
      </c>
      <c r="I2620">
        <v>3</v>
      </c>
      <c r="J2620">
        <v>9</v>
      </c>
      <c r="K2620">
        <v>2003</v>
      </c>
      <c r="L2620" s="1" t="s">
        <v>239</v>
      </c>
      <c r="M2620">
        <v>101</v>
      </c>
      <c r="N2620" s="1" t="s">
        <v>1008</v>
      </c>
      <c r="O2620" s="1" t="s">
        <v>259</v>
      </c>
      <c r="P2620" s="1" t="s">
        <v>260</v>
      </c>
      <c r="Q2620" s="1" t="s">
        <v>261</v>
      </c>
      <c r="R2620" s="1" t="s">
        <v>32</v>
      </c>
      <c r="S2620" s="1" t="s">
        <v>262</v>
      </c>
      <c r="T2620" s="1" t="s">
        <v>32</v>
      </c>
      <c r="U2620" s="1" t="s">
        <v>263</v>
      </c>
      <c r="V2620" s="1" t="s">
        <v>262</v>
      </c>
      <c r="W2620" s="1" t="s">
        <v>264</v>
      </c>
      <c r="X2620" s="1" t="s">
        <v>265</v>
      </c>
      <c r="Y2620" s="1" t="s">
        <v>266</v>
      </c>
      <c r="Z2620" s="1" t="str">
        <f>TRIM(_xlfn.CONCAT(sales_data_sample[[#This Row],[CONTACTFIRSTNAME]],", ",sales_data_sample[[#This Row],[CONTACTLASTNAME]]))</f>
        <v>Eric, Natividad</v>
      </c>
      <c r="AA2620" s="1" t="s">
        <v>40</v>
      </c>
    </row>
    <row r="2621" spans="1:27" x14ac:dyDescent="0.25">
      <c r="A2621" s="10">
        <v>10164</v>
      </c>
      <c r="B2621" s="9">
        <v>39</v>
      </c>
      <c r="C2621" s="9">
        <v>8193</v>
      </c>
      <c r="D2621" s="9">
        <f>PRODUCT(sales_data_sample[[#This Row],[QUANTITYORDERED]],sales_data_sample[[#This Row],[PRICEEACH]])</f>
        <v>319527</v>
      </c>
      <c r="E2621" s="9">
        <f>IF(OR(sales_data_sample[[#This Row],[STATUS]]="Shipped",sales_data_sample[[#This Row],[STATUS]]="Resolved"),sales_data_sample[[#This Row],[SALES]],0)</f>
        <v>319527</v>
      </c>
      <c r="F2621" s="10">
        <v>4</v>
      </c>
      <c r="G2621" s="12" t="s">
        <v>562</v>
      </c>
      <c r="H2621" s="1" t="s">
        <v>563</v>
      </c>
      <c r="I2621">
        <v>4</v>
      </c>
      <c r="J2621">
        <v>10</v>
      </c>
      <c r="K2621">
        <v>2003</v>
      </c>
      <c r="L2621" s="1" t="s">
        <v>239</v>
      </c>
      <c r="M2621">
        <v>101</v>
      </c>
      <c r="N2621" s="1" t="s">
        <v>1008</v>
      </c>
      <c r="O2621" s="1" t="s">
        <v>564</v>
      </c>
      <c r="P2621" s="1" t="s">
        <v>565</v>
      </c>
      <c r="Q2621" s="1" t="s">
        <v>566</v>
      </c>
      <c r="R2621" s="1" t="s">
        <v>32</v>
      </c>
      <c r="S2621" s="1" t="s">
        <v>567</v>
      </c>
      <c r="T2621" s="1" t="s">
        <v>32</v>
      </c>
      <c r="U2621" s="1" t="s">
        <v>568</v>
      </c>
      <c r="V2621" s="1" t="s">
        <v>196</v>
      </c>
      <c r="W2621" s="1" t="s">
        <v>48</v>
      </c>
      <c r="X2621" s="1" t="s">
        <v>569</v>
      </c>
      <c r="Y2621" s="1" t="s">
        <v>570</v>
      </c>
      <c r="Z2621" s="1" t="str">
        <f>TRIM(_xlfn.CONCAT(sales_data_sample[[#This Row],[CONTACTFIRSTNAME]],", ",sales_data_sample[[#This Row],[CONTACTLASTNAME]]))</f>
        <v>Roland, Mendel</v>
      </c>
      <c r="AA2621" s="1" t="s">
        <v>59</v>
      </c>
    </row>
    <row r="2622" spans="1:27" x14ac:dyDescent="0.25">
      <c r="A2622" s="10">
        <v>10175</v>
      </c>
      <c r="B2622" s="9">
        <v>42</v>
      </c>
      <c r="C2622" s="9">
        <v>8598</v>
      </c>
      <c r="D2622" s="9">
        <f>PRODUCT(sales_data_sample[[#This Row],[QUANTITYORDERED]],sales_data_sample[[#This Row],[PRICEEACH]])</f>
        <v>361116</v>
      </c>
      <c r="E2622" s="9">
        <f>IF(OR(sales_data_sample[[#This Row],[STATUS]]="Shipped",sales_data_sample[[#This Row],[STATUS]]="Resolved"),sales_data_sample[[#This Row],[SALES]],0)</f>
        <v>361116</v>
      </c>
      <c r="F2622" s="10">
        <v>11</v>
      </c>
      <c r="G2622" s="12" t="s">
        <v>273</v>
      </c>
      <c r="H2622" s="1" t="s">
        <v>26</v>
      </c>
      <c r="I2622">
        <v>4</v>
      </c>
      <c r="J2622">
        <v>11</v>
      </c>
      <c r="K2622">
        <v>2003</v>
      </c>
      <c r="L2622" s="1" t="s">
        <v>239</v>
      </c>
      <c r="M2622">
        <v>101</v>
      </c>
      <c r="N2622" s="1" t="s">
        <v>1008</v>
      </c>
      <c r="O2622" s="1" t="s">
        <v>447</v>
      </c>
      <c r="P2622" s="1" t="s">
        <v>448</v>
      </c>
      <c r="Q2622" s="1" t="s">
        <v>449</v>
      </c>
      <c r="R2622" s="1" t="s">
        <v>32</v>
      </c>
      <c r="S2622" s="1" t="s">
        <v>450</v>
      </c>
      <c r="T2622" s="1" t="s">
        <v>32</v>
      </c>
      <c r="U2622" s="1" t="s">
        <v>451</v>
      </c>
      <c r="V2622" s="1" t="s">
        <v>225</v>
      </c>
      <c r="W2622" s="1" t="s">
        <v>48</v>
      </c>
      <c r="X2622" s="1" t="s">
        <v>74</v>
      </c>
      <c r="Y2622" s="1" t="s">
        <v>452</v>
      </c>
      <c r="Z2622" s="1" t="str">
        <f>TRIM(_xlfn.CONCAT(sales_data_sample[[#This Row],[CONTACTFIRSTNAME]],", ",sales_data_sample[[#This Row],[CONTACTLASTNAME]]))</f>
        <v>Ann, Brown</v>
      </c>
      <c r="AA2622" s="1" t="s">
        <v>59</v>
      </c>
    </row>
    <row r="2623" spans="1:27" x14ac:dyDescent="0.25">
      <c r="A2623" s="10">
        <v>10183</v>
      </c>
      <c r="B2623" s="9">
        <v>23</v>
      </c>
      <c r="C2623" s="9">
        <v>8699</v>
      </c>
      <c r="D2623" s="9">
        <f>PRODUCT(sales_data_sample[[#This Row],[QUANTITYORDERED]],sales_data_sample[[#This Row],[PRICEEACH]])</f>
        <v>200077</v>
      </c>
      <c r="E2623" s="9">
        <f>IF(OR(sales_data_sample[[#This Row],[STATUS]]="Shipped",sales_data_sample[[#This Row],[STATUS]]="Resolved"),sales_data_sample[[#This Row],[SALES]],0)</f>
        <v>200077</v>
      </c>
      <c r="F2623" s="10">
        <v>3</v>
      </c>
      <c r="G2623" s="12" t="s">
        <v>282</v>
      </c>
      <c r="H2623" s="1" t="s">
        <v>26</v>
      </c>
      <c r="I2623">
        <v>4</v>
      </c>
      <c r="J2623">
        <v>11</v>
      </c>
      <c r="K2623">
        <v>2003</v>
      </c>
      <c r="L2623" s="1" t="s">
        <v>239</v>
      </c>
      <c r="M2623">
        <v>101</v>
      </c>
      <c r="N2623" s="1" t="s">
        <v>1008</v>
      </c>
      <c r="O2623" s="1" t="s">
        <v>283</v>
      </c>
      <c r="P2623" s="1" t="s">
        <v>284</v>
      </c>
      <c r="Q2623" s="1" t="s">
        <v>285</v>
      </c>
      <c r="R2623" s="1" t="s">
        <v>32</v>
      </c>
      <c r="S2623" s="1" t="s">
        <v>286</v>
      </c>
      <c r="T2623" s="1" t="s">
        <v>186</v>
      </c>
      <c r="U2623" s="1" t="s">
        <v>287</v>
      </c>
      <c r="V2623" s="1" t="s">
        <v>36</v>
      </c>
      <c r="W2623" s="1" t="s">
        <v>37</v>
      </c>
      <c r="X2623" s="1" t="s">
        <v>288</v>
      </c>
      <c r="Y2623" s="1" t="s">
        <v>289</v>
      </c>
      <c r="Z2623" s="1" t="str">
        <f>TRIM(_xlfn.CONCAT(sales_data_sample[[#This Row],[CONTACTFIRSTNAME]],", ",sales_data_sample[[#This Row],[CONTACTLASTNAME]]))</f>
        <v>Francisca, Cervantes</v>
      </c>
      <c r="AA2623" s="1" t="s">
        <v>40</v>
      </c>
    </row>
    <row r="2624" spans="1:27" x14ac:dyDescent="0.25">
      <c r="A2624" s="10">
        <v>10194</v>
      </c>
      <c r="B2624" s="9">
        <v>26</v>
      </c>
      <c r="C2624" s="9">
        <v>8901</v>
      </c>
      <c r="D2624" s="9">
        <f>PRODUCT(sales_data_sample[[#This Row],[QUANTITYORDERED]],sales_data_sample[[#This Row],[PRICEEACH]])</f>
        <v>231426</v>
      </c>
      <c r="E2624" s="9">
        <f>IF(OR(sales_data_sample[[#This Row],[STATUS]]="Shipped",sales_data_sample[[#This Row],[STATUS]]="Resolved"),sales_data_sample[[#This Row],[SALES]],0)</f>
        <v>231426</v>
      </c>
      <c r="F2624" s="10">
        <v>6</v>
      </c>
      <c r="G2624" s="12" t="s">
        <v>290</v>
      </c>
      <c r="H2624" s="1" t="s">
        <v>26</v>
      </c>
      <c r="I2624">
        <v>4</v>
      </c>
      <c r="J2624">
        <v>11</v>
      </c>
      <c r="K2624">
        <v>2003</v>
      </c>
      <c r="L2624" s="1" t="s">
        <v>239</v>
      </c>
      <c r="M2624">
        <v>101</v>
      </c>
      <c r="N2624" s="1" t="s">
        <v>1008</v>
      </c>
      <c r="O2624" s="1" t="s">
        <v>291</v>
      </c>
      <c r="P2624" s="1" t="s">
        <v>292</v>
      </c>
      <c r="Q2624" s="1" t="s">
        <v>293</v>
      </c>
      <c r="R2624" s="1" t="s">
        <v>32</v>
      </c>
      <c r="S2624" s="1" t="s">
        <v>294</v>
      </c>
      <c r="T2624" s="1" t="s">
        <v>32</v>
      </c>
      <c r="U2624" s="1" t="s">
        <v>295</v>
      </c>
      <c r="V2624" s="1" t="s">
        <v>47</v>
      </c>
      <c r="W2624" s="1" t="s">
        <v>48</v>
      </c>
      <c r="X2624" s="1" t="s">
        <v>296</v>
      </c>
      <c r="Y2624" s="1" t="s">
        <v>297</v>
      </c>
      <c r="Z2624" s="1" t="str">
        <f>TRIM(_xlfn.CONCAT(sales_data_sample[[#This Row],[CONTACTFIRSTNAME]],", ",sales_data_sample[[#This Row],[CONTACTLASTNAME]]))</f>
        <v>Mary, Saveley</v>
      </c>
      <c r="AA2624" s="1" t="s">
        <v>40</v>
      </c>
    </row>
    <row r="2625" spans="1:27" x14ac:dyDescent="0.25">
      <c r="A2625" s="10">
        <v>10206</v>
      </c>
      <c r="B2625" s="9">
        <v>33</v>
      </c>
      <c r="C2625" s="9">
        <v>100</v>
      </c>
      <c r="D2625" s="9">
        <f>PRODUCT(sales_data_sample[[#This Row],[QUANTITYORDERED]],sales_data_sample[[#This Row],[PRICEEACH]])</f>
        <v>3300</v>
      </c>
      <c r="E2625" s="9">
        <f>IF(OR(sales_data_sample[[#This Row],[STATUS]]="Shipped",sales_data_sample[[#This Row],[STATUS]]="Resolved"),sales_data_sample[[#This Row],[SALES]],0)</f>
        <v>3300</v>
      </c>
      <c r="F2625" s="10">
        <v>1</v>
      </c>
      <c r="G2625" s="12" t="s">
        <v>298</v>
      </c>
      <c r="H2625" s="1" t="s">
        <v>26</v>
      </c>
      <c r="I2625">
        <v>4</v>
      </c>
      <c r="J2625">
        <v>12</v>
      </c>
      <c r="K2625">
        <v>2003</v>
      </c>
      <c r="L2625" s="1" t="s">
        <v>239</v>
      </c>
      <c r="M2625">
        <v>101</v>
      </c>
      <c r="N2625" s="1" t="s">
        <v>1008</v>
      </c>
      <c r="O2625" s="1" t="s">
        <v>299</v>
      </c>
      <c r="P2625" s="1" t="s">
        <v>300</v>
      </c>
      <c r="Q2625" s="1" t="s">
        <v>301</v>
      </c>
      <c r="R2625" s="1" t="s">
        <v>32</v>
      </c>
      <c r="S2625" s="1" t="s">
        <v>302</v>
      </c>
      <c r="T2625" s="1" t="s">
        <v>303</v>
      </c>
      <c r="U2625" s="1" t="s">
        <v>304</v>
      </c>
      <c r="V2625" s="1" t="s">
        <v>305</v>
      </c>
      <c r="W2625" s="1" t="s">
        <v>37</v>
      </c>
      <c r="X2625" s="1" t="s">
        <v>306</v>
      </c>
      <c r="Y2625" s="1" t="s">
        <v>307</v>
      </c>
      <c r="Z2625" s="1" t="str">
        <f>TRIM(_xlfn.CONCAT(sales_data_sample[[#This Row],[CONTACTFIRSTNAME]],", ",sales_data_sample[[#This Row],[CONTACTLASTNAME]]))</f>
        <v>Yoshi, Tannamuri</v>
      </c>
      <c r="AA2625" s="1" t="s">
        <v>59</v>
      </c>
    </row>
    <row r="2626" spans="1:27" x14ac:dyDescent="0.25">
      <c r="A2626">
        <v>10217</v>
      </c>
      <c r="B2626">
        <v>31</v>
      </c>
      <c r="C2626">
        <v>88</v>
      </c>
      <c r="D2626">
        <f>PRODUCT(sales_data_sample[[#This Row],[QUANTITYORDERED]],sales_data_sample[[#This Row],[PRICEEACH]])</f>
        <v>2728</v>
      </c>
      <c r="E2626" s="9">
        <f>IF(OR(sales_data_sample[[#This Row],[STATUS]]="Shipped",sales_data_sample[[#This Row],[STATUS]]="Resolved"),sales_data_sample[[#This Row],[SALES]],0)</f>
        <v>2728</v>
      </c>
      <c r="F2626">
        <v>6</v>
      </c>
      <c r="G2626" s="12" t="s">
        <v>576</v>
      </c>
      <c r="H2626" s="1" t="s">
        <v>26</v>
      </c>
      <c r="I2626">
        <v>1</v>
      </c>
      <c r="J2626">
        <v>2</v>
      </c>
      <c r="K2626">
        <v>2004</v>
      </c>
      <c r="L2626" s="1" t="s">
        <v>239</v>
      </c>
      <c r="M2626">
        <v>101</v>
      </c>
      <c r="N2626" s="1" t="s">
        <v>1008</v>
      </c>
      <c r="O2626" s="1" t="s">
        <v>577</v>
      </c>
      <c r="P2626" s="1" t="s">
        <v>578</v>
      </c>
      <c r="Q2626" s="1" t="s">
        <v>579</v>
      </c>
      <c r="R2626" s="1" t="s">
        <v>580</v>
      </c>
      <c r="S2626" s="1" t="s">
        <v>262</v>
      </c>
      <c r="T2626" s="1" t="s">
        <v>32</v>
      </c>
      <c r="U2626" s="1" t="s">
        <v>581</v>
      </c>
      <c r="V2626" s="1" t="s">
        <v>262</v>
      </c>
      <c r="W2626" s="1" t="s">
        <v>121</v>
      </c>
      <c r="X2626" s="1" t="s">
        <v>582</v>
      </c>
      <c r="Y2626" s="1" t="s">
        <v>583</v>
      </c>
      <c r="Z2626" s="1" t="str">
        <f>TRIM(_xlfn.CONCAT(sales_data_sample[[#This Row],[CONTACTFIRSTNAME]],", ",sales_data_sample[[#This Row],[CONTACTLASTNAME]]))</f>
        <v>Wendy, Victorino</v>
      </c>
      <c r="AA2626" s="1" t="s">
        <v>40</v>
      </c>
    </row>
    <row r="2627" spans="1:27" x14ac:dyDescent="0.25">
      <c r="A2627" s="10">
        <v>10229</v>
      </c>
      <c r="B2627" s="9">
        <v>50</v>
      </c>
      <c r="C2627" s="9">
        <v>100</v>
      </c>
      <c r="D2627" s="9">
        <f>PRODUCT(sales_data_sample[[#This Row],[QUANTITYORDERED]],sales_data_sample[[#This Row],[PRICEEACH]])</f>
        <v>5000</v>
      </c>
      <c r="E2627" s="9">
        <f>IF(OR(sales_data_sample[[#This Row],[STATUS]]="Shipped",sales_data_sample[[#This Row],[STATUS]]="Resolved"),sales_data_sample[[#This Row],[SALES]],0)</f>
        <v>5000</v>
      </c>
      <c r="F2627" s="10">
        <v>11</v>
      </c>
      <c r="G2627" s="12" t="s">
        <v>584</v>
      </c>
      <c r="H2627" s="1" t="s">
        <v>26</v>
      </c>
      <c r="I2627">
        <v>1</v>
      </c>
      <c r="J2627">
        <v>3</v>
      </c>
      <c r="K2627">
        <v>2004</v>
      </c>
      <c r="L2627" s="1" t="s">
        <v>239</v>
      </c>
      <c r="M2627">
        <v>101</v>
      </c>
      <c r="N2627" s="1" t="s">
        <v>1008</v>
      </c>
      <c r="O2627" s="1" t="s">
        <v>361</v>
      </c>
      <c r="P2627" s="1" t="s">
        <v>362</v>
      </c>
      <c r="Q2627" s="1" t="s">
        <v>363</v>
      </c>
      <c r="R2627" s="1" t="s">
        <v>32</v>
      </c>
      <c r="S2627" s="1" t="s">
        <v>364</v>
      </c>
      <c r="T2627" s="1" t="s">
        <v>65</v>
      </c>
      <c r="U2627" s="1" t="s">
        <v>145</v>
      </c>
      <c r="V2627" s="1" t="s">
        <v>36</v>
      </c>
      <c r="W2627" s="1" t="s">
        <v>37</v>
      </c>
      <c r="X2627" s="1" t="s">
        <v>365</v>
      </c>
      <c r="Y2627" s="1" t="s">
        <v>366</v>
      </c>
      <c r="Z2627" s="1" t="str">
        <f>TRIM(_xlfn.CONCAT(sales_data_sample[[#This Row],[CONTACTFIRSTNAME]],", ",sales_data_sample[[#This Row],[CONTACTLASTNAME]]))</f>
        <v>Valarie, Nelson</v>
      </c>
      <c r="AA2627" s="1" t="s">
        <v>59</v>
      </c>
    </row>
    <row r="2628" spans="1:27" x14ac:dyDescent="0.25">
      <c r="A2628" s="10">
        <v>10245</v>
      </c>
      <c r="B2628" s="9">
        <v>44</v>
      </c>
      <c r="C2628" s="9">
        <v>100</v>
      </c>
      <c r="D2628" s="9">
        <f>PRODUCT(sales_data_sample[[#This Row],[QUANTITYORDERED]],sales_data_sample[[#This Row],[PRICEEACH]])</f>
        <v>4400</v>
      </c>
      <c r="E2628" s="9">
        <f>IF(OR(sales_data_sample[[#This Row],[STATUS]]="Shipped",sales_data_sample[[#This Row],[STATUS]]="Resolved"),sales_data_sample[[#This Row],[SALES]],0)</f>
        <v>4400</v>
      </c>
      <c r="F2628" s="10">
        <v>4</v>
      </c>
      <c r="G2628" s="12" t="s">
        <v>320</v>
      </c>
      <c r="H2628" s="1" t="s">
        <v>26</v>
      </c>
      <c r="I2628">
        <v>2</v>
      </c>
      <c r="J2628">
        <v>5</v>
      </c>
      <c r="K2628">
        <v>2004</v>
      </c>
      <c r="L2628" s="1" t="s">
        <v>239</v>
      </c>
      <c r="M2628">
        <v>101</v>
      </c>
      <c r="N2628" s="1" t="s">
        <v>1008</v>
      </c>
      <c r="O2628" s="1" t="s">
        <v>321</v>
      </c>
      <c r="P2628" s="1" t="s">
        <v>322</v>
      </c>
      <c r="Q2628" s="1" t="s">
        <v>323</v>
      </c>
      <c r="R2628" s="1" t="s">
        <v>32</v>
      </c>
      <c r="S2628" s="1" t="s">
        <v>324</v>
      </c>
      <c r="T2628" s="1" t="s">
        <v>144</v>
      </c>
      <c r="U2628" s="1" t="s">
        <v>325</v>
      </c>
      <c r="V2628" s="1" t="s">
        <v>36</v>
      </c>
      <c r="W2628" s="1" t="s">
        <v>37</v>
      </c>
      <c r="X2628" s="1" t="s">
        <v>104</v>
      </c>
      <c r="Y2628" s="1" t="s">
        <v>326</v>
      </c>
      <c r="Z2628" s="1" t="str">
        <f>TRIM(_xlfn.CONCAT(sales_data_sample[[#This Row],[CONTACTFIRSTNAME]],", ",sales_data_sample[[#This Row],[CONTACTLASTNAME]]))</f>
        <v>Leslie, Murphy</v>
      </c>
      <c r="AA2628" s="1" t="s">
        <v>59</v>
      </c>
    </row>
    <row r="2629" spans="1:27" x14ac:dyDescent="0.25">
      <c r="A2629" s="10">
        <v>10258</v>
      </c>
      <c r="B2629" s="9">
        <v>45</v>
      </c>
      <c r="C2629" s="9">
        <v>8092</v>
      </c>
      <c r="D2629" s="9">
        <f>PRODUCT(sales_data_sample[[#This Row],[QUANTITYORDERED]],sales_data_sample[[#This Row],[PRICEEACH]])</f>
        <v>364140</v>
      </c>
      <c r="E2629" s="9">
        <f>IF(OR(sales_data_sample[[#This Row],[STATUS]]="Shipped",sales_data_sample[[#This Row],[STATUS]]="Resolved"),sales_data_sample[[#This Row],[SALES]],0)</f>
        <v>364140</v>
      </c>
      <c r="F2629" s="10">
        <v>1</v>
      </c>
      <c r="G2629" s="12" t="s">
        <v>327</v>
      </c>
      <c r="H2629" s="1" t="s">
        <v>26</v>
      </c>
      <c r="I2629">
        <v>2</v>
      </c>
      <c r="J2629">
        <v>6</v>
      </c>
      <c r="K2629">
        <v>2004</v>
      </c>
      <c r="L2629" s="1" t="s">
        <v>239</v>
      </c>
      <c r="M2629">
        <v>101</v>
      </c>
      <c r="N2629" s="1" t="s">
        <v>1008</v>
      </c>
      <c r="O2629" s="1" t="s">
        <v>328</v>
      </c>
      <c r="P2629" s="1" t="s">
        <v>329</v>
      </c>
      <c r="Q2629" s="1" t="s">
        <v>330</v>
      </c>
      <c r="R2629" s="1" t="s">
        <v>32</v>
      </c>
      <c r="S2629" s="1" t="s">
        <v>331</v>
      </c>
      <c r="T2629" s="1" t="s">
        <v>332</v>
      </c>
      <c r="U2629" s="1" t="s">
        <v>333</v>
      </c>
      <c r="V2629" s="1" t="s">
        <v>264</v>
      </c>
      <c r="W2629" s="1" t="s">
        <v>264</v>
      </c>
      <c r="X2629" s="1" t="s">
        <v>334</v>
      </c>
      <c r="Y2629" s="1" t="s">
        <v>335</v>
      </c>
      <c r="Z2629" s="1" t="str">
        <f>TRIM(_xlfn.CONCAT(sales_data_sample[[#This Row],[CONTACTFIRSTNAME]],", ",sales_data_sample[[#This Row],[CONTACTLASTNAME]]))</f>
        <v>Akiko, Shimamura</v>
      </c>
      <c r="AA2629" s="1" t="s">
        <v>59</v>
      </c>
    </row>
    <row r="2630" spans="1:27" x14ac:dyDescent="0.25">
      <c r="A2630">
        <v>10270</v>
      </c>
      <c r="B2630">
        <v>46</v>
      </c>
      <c r="C2630">
        <v>88</v>
      </c>
      <c r="D2630">
        <f>PRODUCT(sales_data_sample[[#This Row],[QUANTITYORDERED]],sales_data_sample[[#This Row],[PRICEEACH]])</f>
        <v>4048</v>
      </c>
      <c r="E2630" s="9">
        <f>IF(OR(sales_data_sample[[#This Row],[STATUS]]="Shipped",sales_data_sample[[#This Row],[STATUS]]="Resolved"),sales_data_sample[[#This Row],[SALES]],0)</f>
        <v>4048</v>
      </c>
      <c r="F2630">
        <v>4</v>
      </c>
      <c r="G2630" s="12" t="s">
        <v>336</v>
      </c>
      <c r="H2630" s="1" t="s">
        <v>26</v>
      </c>
      <c r="I2630">
        <v>3</v>
      </c>
      <c r="J2630">
        <v>7</v>
      </c>
      <c r="K2630">
        <v>2004</v>
      </c>
      <c r="L2630" s="1" t="s">
        <v>239</v>
      </c>
      <c r="M2630">
        <v>101</v>
      </c>
      <c r="N2630" s="1" t="s">
        <v>1008</v>
      </c>
      <c r="O2630" s="1" t="s">
        <v>201</v>
      </c>
      <c r="P2630" s="1" t="s">
        <v>202</v>
      </c>
      <c r="Q2630" s="1" t="s">
        <v>203</v>
      </c>
      <c r="R2630" s="1" t="s">
        <v>204</v>
      </c>
      <c r="S2630" s="1" t="s">
        <v>205</v>
      </c>
      <c r="T2630" s="1" t="s">
        <v>206</v>
      </c>
      <c r="U2630" s="1" t="s">
        <v>207</v>
      </c>
      <c r="V2630" s="1" t="s">
        <v>120</v>
      </c>
      <c r="W2630" s="1" t="s">
        <v>121</v>
      </c>
      <c r="X2630" s="1" t="s">
        <v>208</v>
      </c>
      <c r="Y2630" s="1" t="s">
        <v>209</v>
      </c>
      <c r="Z2630" s="1" t="str">
        <f>TRIM(_xlfn.CONCAT(sales_data_sample[[#This Row],[CONTACTFIRSTNAME]],", ",sales_data_sample[[#This Row],[CONTACTLASTNAME]]))</f>
        <v>Adrian, Huxley</v>
      </c>
      <c r="AA2630" s="1" t="s">
        <v>59</v>
      </c>
    </row>
    <row r="2631" spans="1:27" x14ac:dyDescent="0.25">
      <c r="A2631" s="10">
        <v>10281</v>
      </c>
      <c r="B2631" s="9">
        <v>27</v>
      </c>
      <c r="C2631" s="9">
        <v>8598</v>
      </c>
      <c r="D2631" s="9">
        <f>PRODUCT(sales_data_sample[[#This Row],[QUANTITYORDERED]],sales_data_sample[[#This Row],[PRICEEACH]])</f>
        <v>232146</v>
      </c>
      <c r="E2631" s="9">
        <f>IF(OR(sales_data_sample[[#This Row],[STATUS]]="Shipped",sales_data_sample[[#This Row],[STATUS]]="Resolved"),sales_data_sample[[#This Row],[SALES]],0)</f>
        <v>232146</v>
      </c>
      <c r="F2631" s="10">
        <v>11</v>
      </c>
      <c r="G2631" s="12" t="s">
        <v>585</v>
      </c>
      <c r="H2631" s="1" t="s">
        <v>26</v>
      </c>
      <c r="I2631">
        <v>3</v>
      </c>
      <c r="J2631">
        <v>8</v>
      </c>
      <c r="K2631">
        <v>2004</v>
      </c>
      <c r="L2631" s="1" t="s">
        <v>239</v>
      </c>
      <c r="M2631">
        <v>101</v>
      </c>
      <c r="N2631" s="1" t="s">
        <v>1008</v>
      </c>
      <c r="O2631" s="1" t="s">
        <v>182</v>
      </c>
      <c r="P2631" s="1" t="s">
        <v>183</v>
      </c>
      <c r="Q2631" s="1" t="s">
        <v>184</v>
      </c>
      <c r="R2631" s="1" t="s">
        <v>32</v>
      </c>
      <c r="S2631" s="1" t="s">
        <v>185</v>
      </c>
      <c r="T2631" s="1" t="s">
        <v>186</v>
      </c>
      <c r="U2631" s="1" t="s">
        <v>187</v>
      </c>
      <c r="V2631" s="1" t="s">
        <v>36</v>
      </c>
      <c r="W2631" s="1" t="s">
        <v>37</v>
      </c>
      <c r="X2631" s="1" t="s">
        <v>38</v>
      </c>
      <c r="Y2631" s="1" t="s">
        <v>188</v>
      </c>
      <c r="Z2631" s="1" t="str">
        <f>TRIM(_xlfn.CONCAT(sales_data_sample[[#This Row],[CONTACTFIRSTNAME]],", ",sales_data_sample[[#This Row],[CONTACTLASTNAME]]))</f>
        <v>Kyung, Yu</v>
      </c>
      <c r="AA2631" s="1" t="s">
        <v>40</v>
      </c>
    </row>
    <row r="2632" spans="1:27" x14ac:dyDescent="0.25">
      <c r="A2632" s="10">
        <v>10291</v>
      </c>
      <c r="B2632" s="9">
        <v>28</v>
      </c>
      <c r="C2632" s="9">
        <v>100</v>
      </c>
      <c r="D2632" s="9">
        <f>PRODUCT(sales_data_sample[[#This Row],[QUANTITYORDERED]],sales_data_sample[[#This Row],[PRICEEACH]])</f>
        <v>2800</v>
      </c>
      <c r="E2632" s="9">
        <f>IF(OR(sales_data_sample[[#This Row],[STATUS]]="Shipped",sales_data_sample[[#This Row],[STATUS]]="Resolved"),sales_data_sample[[#This Row],[SALES]],0)</f>
        <v>2800</v>
      </c>
      <c r="F2632" s="10">
        <v>6</v>
      </c>
      <c r="G2632" s="12" t="s">
        <v>346</v>
      </c>
      <c r="H2632" s="1" t="s">
        <v>26</v>
      </c>
      <c r="I2632">
        <v>3</v>
      </c>
      <c r="J2632">
        <v>9</v>
      </c>
      <c r="K2632">
        <v>2004</v>
      </c>
      <c r="L2632" s="1" t="s">
        <v>239</v>
      </c>
      <c r="M2632">
        <v>101</v>
      </c>
      <c r="N2632" s="1" t="s">
        <v>1008</v>
      </c>
      <c r="O2632" s="1" t="s">
        <v>347</v>
      </c>
      <c r="P2632" s="1" t="s">
        <v>348</v>
      </c>
      <c r="Q2632" s="1" t="s">
        <v>349</v>
      </c>
      <c r="R2632" s="1" t="s">
        <v>32</v>
      </c>
      <c r="S2632" s="1" t="s">
        <v>350</v>
      </c>
      <c r="T2632" s="1" t="s">
        <v>32</v>
      </c>
      <c r="U2632" s="1" t="s">
        <v>351</v>
      </c>
      <c r="V2632" s="1" t="s">
        <v>247</v>
      </c>
      <c r="W2632" s="1" t="s">
        <v>48</v>
      </c>
      <c r="X2632" s="1" t="s">
        <v>352</v>
      </c>
      <c r="Y2632" s="1" t="s">
        <v>272</v>
      </c>
      <c r="Z2632" s="1" t="str">
        <f>TRIM(_xlfn.CONCAT(sales_data_sample[[#This Row],[CONTACTFIRSTNAME]],", ",sales_data_sample[[#This Row],[CONTACTLASTNAME]]))</f>
        <v>Maria, Larsson</v>
      </c>
      <c r="AA2632" s="1" t="s">
        <v>59</v>
      </c>
    </row>
    <row r="2633" spans="1:27" x14ac:dyDescent="0.25">
      <c r="A2633" s="10">
        <v>10304</v>
      </c>
      <c r="B2633" s="9">
        <v>40</v>
      </c>
      <c r="C2633" s="9">
        <v>100</v>
      </c>
      <c r="D2633" s="9">
        <f>PRODUCT(sales_data_sample[[#This Row],[QUANTITYORDERED]],sales_data_sample[[#This Row],[PRICEEACH]])</f>
        <v>4000</v>
      </c>
      <c r="E2633" s="9">
        <f>IF(OR(sales_data_sample[[#This Row],[STATUS]]="Shipped",sales_data_sample[[#This Row],[STATUS]]="Resolved"),sales_data_sample[[#This Row],[SALES]],0)</f>
        <v>4000</v>
      </c>
      <c r="F2633" s="10">
        <v>1</v>
      </c>
      <c r="G2633" s="12" t="s">
        <v>353</v>
      </c>
      <c r="H2633" s="1" t="s">
        <v>26</v>
      </c>
      <c r="I2633">
        <v>4</v>
      </c>
      <c r="J2633">
        <v>10</v>
      </c>
      <c r="K2633">
        <v>2004</v>
      </c>
      <c r="L2633" s="1" t="s">
        <v>239</v>
      </c>
      <c r="M2633">
        <v>101</v>
      </c>
      <c r="N2633" s="1" t="s">
        <v>1008</v>
      </c>
      <c r="O2633" s="1" t="s">
        <v>354</v>
      </c>
      <c r="P2633" s="1" t="s">
        <v>355</v>
      </c>
      <c r="Q2633" s="1" t="s">
        <v>356</v>
      </c>
      <c r="R2633" s="1" t="s">
        <v>32</v>
      </c>
      <c r="S2633" s="1" t="s">
        <v>357</v>
      </c>
      <c r="T2633" s="1" t="s">
        <v>32</v>
      </c>
      <c r="U2633" s="1" t="s">
        <v>358</v>
      </c>
      <c r="V2633" s="1" t="s">
        <v>47</v>
      </c>
      <c r="W2633" s="1" t="s">
        <v>48</v>
      </c>
      <c r="X2633" s="1" t="s">
        <v>359</v>
      </c>
      <c r="Y2633" s="1" t="s">
        <v>58</v>
      </c>
      <c r="Z2633" s="1" t="str">
        <f>TRIM(_xlfn.CONCAT(sales_data_sample[[#This Row],[CONTACTFIRSTNAME]],", ",sales_data_sample[[#This Row],[CONTACTLASTNAME]]))</f>
        <v>Daniel, Tonini</v>
      </c>
      <c r="AA2633" s="1" t="s">
        <v>59</v>
      </c>
    </row>
    <row r="2634" spans="1:27" x14ac:dyDescent="0.25">
      <c r="A2634" s="10">
        <v>10313</v>
      </c>
      <c r="B2634" s="9">
        <v>30</v>
      </c>
      <c r="C2634" s="9">
        <v>9913</v>
      </c>
      <c r="D2634" s="9">
        <f>PRODUCT(sales_data_sample[[#This Row],[QUANTITYORDERED]],sales_data_sample[[#This Row],[PRICEEACH]])</f>
        <v>297390</v>
      </c>
      <c r="E2634" s="9">
        <f>IF(OR(sales_data_sample[[#This Row],[STATUS]]="Shipped",sales_data_sample[[#This Row],[STATUS]]="Resolved"),sales_data_sample[[#This Row],[SALES]],0)</f>
        <v>297390</v>
      </c>
      <c r="F2634" s="10">
        <v>9</v>
      </c>
      <c r="G2634" s="12" t="s">
        <v>587</v>
      </c>
      <c r="H2634" s="1" t="s">
        <v>26</v>
      </c>
      <c r="I2634">
        <v>4</v>
      </c>
      <c r="J2634">
        <v>10</v>
      </c>
      <c r="K2634">
        <v>2004</v>
      </c>
      <c r="L2634" s="1" t="s">
        <v>239</v>
      </c>
      <c r="M2634">
        <v>101</v>
      </c>
      <c r="N2634" s="1" t="s">
        <v>1008</v>
      </c>
      <c r="O2634" s="1" t="s">
        <v>299</v>
      </c>
      <c r="P2634" s="1" t="s">
        <v>300</v>
      </c>
      <c r="Q2634" s="1" t="s">
        <v>301</v>
      </c>
      <c r="R2634" s="1" t="s">
        <v>32</v>
      </c>
      <c r="S2634" s="1" t="s">
        <v>302</v>
      </c>
      <c r="T2634" s="1" t="s">
        <v>303</v>
      </c>
      <c r="U2634" s="1" t="s">
        <v>304</v>
      </c>
      <c r="V2634" s="1" t="s">
        <v>305</v>
      </c>
      <c r="W2634" s="1" t="s">
        <v>37</v>
      </c>
      <c r="X2634" s="1" t="s">
        <v>306</v>
      </c>
      <c r="Y2634" s="1" t="s">
        <v>307</v>
      </c>
      <c r="Z2634" s="1" t="str">
        <f>TRIM(_xlfn.CONCAT(sales_data_sample[[#This Row],[CONTACTFIRSTNAME]],", ",sales_data_sample[[#This Row],[CONTACTLASTNAME]]))</f>
        <v>Yoshi, Tannamuri</v>
      </c>
      <c r="AA2634" s="1" t="s">
        <v>40</v>
      </c>
    </row>
    <row r="2635" spans="1:27" x14ac:dyDescent="0.25">
      <c r="A2635">
        <v>10324</v>
      </c>
      <c r="B2635">
        <v>34</v>
      </c>
      <c r="C2635">
        <v>100</v>
      </c>
      <c r="D2635">
        <f>PRODUCT(sales_data_sample[[#This Row],[QUANTITYORDERED]],sales_data_sample[[#This Row],[PRICEEACH]])</f>
        <v>3400</v>
      </c>
      <c r="E2635" s="9">
        <f>IF(OR(sales_data_sample[[#This Row],[STATUS]]="Shipped",sales_data_sample[[#This Row],[STATUS]]="Resolved"),sales_data_sample[[#This Row],[SALES]],0)</f>
        <v>3400</v>
      </c>
      <c r="F2635">
        <v>5</v>
      </c>
      <c r="G2635" s="12" t="s">
        <v>532</v>
      </c>
      <c r="H2635" s="1" t="s">
        <v>26</v>
      </c>
      <c r="I2635">
        <v>4</v>
      </c>
      <c r="J2635">
        <v>11</v>
      </c>
      <c r="K2635">
        <v>2004</v>
      </c>
      <c r="L2635" s="1" t="s">
        <v>239</v>
      </c>
      <c r="M2635">
        <v>101</v>
      </c>
      <c r="N2635" s="1" t="s">
        <v>1008</v>
      </c>
      <c r="O2635" s="1" t="s">
        <v>125</v>
      </c>
      <c r="P2635" s="1" t="s">
        <v>126</v>
      </c>
      <c r="Q2635" s="1" t="s">
        <v>127</v>
      </c>
      <c r="R2635" s="1" t="s">
        <v>128</v>
      </c>
      <c r="S2635" s="1" t="s">
        <v>33</v>
      </c>
      <c r="T2635" s="1" t="s">
        <v>34</v>
      </c>
      <c r="U2635" s="1" t="s">
        <v>35</v>
      </c>
      <c r="V2635" s="1" t="s">
        <v>36</v>
      </c>
      <c r="W2635" s="1" t="s">
        <v>37</v>
      </c>
      <c r="X2635" s="1" t="s">
        <v>129</v>
      </c>
      <c r="Y2635" s="1" t="s">
        <v>130</v>
      </c>
      <c r="Z2635" s="1" t="str">
        <f>TRIM(_xlfn.CONCAT(sales_data_sample[[#This Row],[CONTACTFIRSTNAME]],", ",sales_data_sample[[#This Row],[CONTACTLASTNAME]]))</f>
        <v>Michael, Frick</v>
      </c>
      <c r="AA2635" s="1" t="s">
        <v>59</v>
      </c>
    </row>
    <row r="2636" spans="1:27" x14ac:dyDescent="0.25">
      <c r="A2636" s="10">
        <v>10336</v>
      </c>
      <c r="B2636" s="9">
        <v>46</v>
      </c>
      <c r="C2636" s="9">
        <v>100</v>
      </c>
      <c r="D2636" s="9">
        <f>PRODUCT(sales_data_sample[[#This Row],[QUANTITYORDERED]],sales_data_sample[[#This Row],[PRICEEACH]])</f>
        <v>4600</v>
      </c>
      <c r="E2636" s="9">
        <f>IF(OR(sales_data_sample[[#This Row],[STATUS]]="Shipped",sales_data_sample[[#This Row],[STATUS]]="Resolved"),sales_data_sample[[#This Row],[SALES]],0)</f>
        <v>4600</v>
      </c>
      <c r="F2636" s="10">
        <v>2</v>
      </c>
      <c r="G2636" s="12" t="s">
        <v>708</v>
      </c>
      <c r="H2636" s="1" t="s">
        <v>26</v>
      </c>
      <c r="I2636">
        <v>4</v>
      </c>
      <c r="J2636">
        <v>11</v>
      </c>
      <c r="K2636">
        <v>2004</v>
      </c>
      <c r="L2636" s="1" t="s">
        <v>239</v>
      </c>
      <c r="M2636">
        <v>101</v>
      </c>
      <c r="N2636" s="1" t="s">
        <v>1008</v>
      </c>
      <c r="O2636" s="1" t="s">
        <v>556</v>
      </c>
      <c r="P2636" s="1" t="s">
        <v>557</v>
      </c>
      <c r="Q2636" s="1" t="s">
        <v>558</v>
      </c>
      <c r="R2636" s="1" t="s">
        <v>32</v>
      </c>
      <c r="S2636" s="1" t="s">
        <v>55</v>
      </c>
      <c r="T2636" s="1" t="s">
        <v>32</v>
      </c>
      <c r="U2636" s="1" t="s">
        <v>559</v>
      </c>
      <c r="V2636" s="1" t="s">
        <v>47</v>
      </c>
      <c r="W2636" s="1" t="s">
        <v>48</v>
      </c>
      <c r="X2636" s="1" t="s">
        <v>560</v>
      </c>
      <c r="Y2636" s="1" t="s">
        <v>561</v>
      </c>
      <c r="Z2636" s="1" t="str">
        <f>TRIM(_xlfn.CONCAT(sales_data_sample[[#This Row],[CONTACTFIRSTNAME]],", ",sales_data_sample[[#This Row],[CONTACTLASTNAME]]))</f>
        <v>Marie, Bertrand</v>
      </c>
      <c r="AA2636" s="1" t="s">
        <v>199</v>
      </c>
    </row>
    <row r="2637" spans="1:27" x14ac:dyDescent="0.25">
      <c r="A2637" s="10">
        <v>10348</v>
      </c>
      <c r="B2637" s="9">
        <v>32</v>
      </c>
      <c r="C2637" s="9">
        <v>8283</v>
      </c>
      <c r="D2637" s="9">
        <f>PRODUCT(sales_data_sample[[#This Row],[QUANTITYORDERED]],sales_data_sample[[#This Row],[PRICEEACH]])</f>
        <v>265056</v>
      </c>
      <c r="E2637" s="9">
        <f>IF(OR(sales_data_sample[[#This Row],[STATUS]]="Shipped",sales_data_sample[[#This Row],[STATUS]]="Resolved"),sales_data_sample[[#This Row],[SALES]],0)</f>
        <v>265056</v>
      </c>
      <c r="F2637" s="10">
        <v>7</v>
      </c>
      <c r="G2637" s="12" t="s">
        <v>523</v>
      </c>
      <c r="H2637" s="1" t="s">
        <v>26</v>
      </c>
      <c r="I2637">
        <v>4</v>
      </c>
      <c r="J2637">
        <v>11</v>
      </c>
      <c r="K2637">
        <v>2004</v>
      </c>
      <c r="L2637" s="1" t="s">
        <v>239</v>
      </c>
      <c r="M2637">
        <v>101</v>
      </c>
      <c r="N2637" s="1" t="s">
        <v>1008</v>
      </c>
      <c r="O2637" s="1" t="s">
        <v>251</v>
      </c>
      <c r="P2637" s="1" t="s">
        <v>252</v>
      </c>
      <c r="Q2637" s="1" t="s">
        <v>253</v>
      </c>
      <c r="R2637" s="1" t="s">
        <v>32</v>
      </c>
      <c r="S2637" s="1" t="s">
        <v>233</v>
      </c>
      <c r="T2637" s="1" t="s">
        <v>32</v>
      </c>
      <c r="U2637" s="1" t="s">
        <v>254</v>
      </c>
      <c r="V2637" s="1" t="s">
        <v>235</v>
      </c>
      <c r="W2637" s="1" t="s">
        <v>48</v>
      </c>
      <c r="X2637" s="1" t="s">
        <v>255</v>
      </c>
      <c r="Y2637" s="1" t="s">
        <v>256</v>
      </c>
      <c r="Z2637" s="1" t="str">
        <f>TRIM(_xlfn.CONCAT(sales_data_sample[[#This Row],[CONTACTFIRSTNAME]],", ",sales_data_sample[[#This Row],[CONTACTLASTNAME]]))</f>
        <v>Mart¡n, Sommer</v>
      </c>
      <c r="AA2637" s="1" t="s">
        <v>40</v>
      </c>
    </row>
    <row r="2638" spans="1:27" x14ac:dyDescent="0.25">
      <c r="A2638" s="10">
        <v>10358</v>
      </c>
      <c r="B2638" s="9">
        <v>27</v>
      </c>
      <c r="C2638" s="9">
        <v>100</v>
      </c>
      <c r="D2638" s="9">
        <f>PRODUCT(sales_data_sample[[#This Row],[QUANTITYORDERED]],sales_data_sample[[#This Row],[PRICEEACH]])</f>
        <v>2700</v>
      </c>
      <c r="E2638" s="9">
        <f>IF(OR(sales_data_sample[[#This Row],[STATUS]]="Shipped",sales_data_sample[[#This Row],[STATUS]]="Resolved"),sales_data_sample[[#This Row],[SALES]],0)</f>
        <v>2700</v>
      </c>
      <c r="F2638" s="10">
        <v>3</v>
      </c>
      <c r="G2638" s="12" t="s">
        <v>376</v>
      </c>
      <c r="H2638" s="1" t="s">
        <v>26</v>
      </c>
      <c r="I2638">
        <v>4</v>
      </c>
      <c r="J2638">
        <v>12</v>
      </c>
      <c r="K2638">
        <v>2004</v>
      </c>
      <c r="L2638" s="1" t="s">
        <v>239</v>
      </c>
      <c r="M2638">
        <v>101</v>
      </c>
      <c r="N2638" s="1" t="s">
        <v>1008</v>
      </c>
      <c r="O2638" s="1" t="s">
        <v>230</v>
      </c>
      <c r="P2638" s="1" t="s">
        <v>231</v>
      </c>
      <c r="Q2638" s="1" t="s">
        <v>232</v>
      </c>
      <c r="R2638" s="1" t="s">
        <v>32</v>
      </c>
      <c r="S2638" s="1" t="s">
        <v>233</v>
      </c>
      <c r="T2638" s="1" t="s">
        <v>32</v>
      </c>
      <c r="U2638" s="1" t="s">
        <v>234</v>
      </c>
      <c r="V2638" s="1" t="s">
        <v>235</v>
      </c>
      <c r="W2638" s="1" t="s">
        <v>48</v>
      </c>
      <c r="X2638" s="1" t="s">
        <v>236</v>
      </c>
      <c r="Y2638" s="1" t="s">
        <v>237</v>
      </c>
      <c r="Z2638" s="1" t="str">
        <f>TRIM(_xlfn.CONCAT(sales_data_sample[[#This Row],[CONTACTFIRSTNAME]],", ",sales_data_sample[[#This Row],[CONTACTLASTNAME]]))</f>
        <v>Diego, Freyre</v>
      </c>
      <c r="AA2638" s="1" t="s">
        <v>59</v>
      </c>
    </row>
    <row r="2639" spans="1:27" x14ac:dyDescent="0.25">
      <c r="A2639" s="10">
        <v>10371</v>
      </c>
      <c r="B2639" s="9">
        <v>34</v>
      </c>
      <c r="C2639" s="9">
        <v>100</v>
      </c>
      <c r="D2639" s="9">
        <f>PRODUCT(sales_data_sample[[#This Row],[QUANTITYORDERED]],sales_data_sample[[#This Row],[PRICEEACH]])</f>
        <v>3400</v>
      </c>
      <c r="E2639" s="9">
        <f>IF(OR(sales_data_sample[[#This Row],[STATUS]]="Shipped",sales_data_sample[[#This Row],[STATUS]]="Resolved"),sales_data_sample[[#This Row],[SALES]],0)</f>
        <v>3400</v>
      </c>
      <c r="F2639" s="10">
        <v>3</v>
      </c>
      <c r="G2639" s="12" t="s">
        <v>709</v>
      </c>
      <c r="H2639" s="1" t="s">
        <v>26</v>
      </c>
      <c r="I2639">
        <v>1</v>
      </c>
      <c r="J2639">
        <v>1</v>
      </c>
      <c r="K2639">
        <v>2005</v>
      </c>
      <c r="L2639" s="1" t="s">
        <v>239</v>
      </c>
      <c r="M2639">
        <v>101</v>
      </c>
      <c r="N2639" s="1" t="s">
        <v>1008</v>
      </c>
      <c r="O2639" s="1" t="s">
        <v>361</v>
      </c>
      <c r="P2639" s="1" t="s">
        <v>362</v>
      </c>
      <c r="Q2639" s="1" t="s">
        <v>363</v>
      </c>
      <c r="R2639" s="1" t="s">
        <v>32</v>
      </c>
      <c r="S2639" s="1" t="s">
        <v>364</v>
      </c>
      <c r="T2639" s="1" t="s">
        <v>65</v>
      </c>
      <c r="U2639" s="1" t="s">
        <v>145</v>
      </c>
      <c r="V2639" s="1" t="s">
        <v>36</v>
      </c>
      <c r="W2639" s="1" t="s">
        <v>37</v>
      </c>
      <c r="X2639" s="1" t="s">
        <v>365</v>
      </c>
      <c r="Y2639" s="1" t="s">
        <v>366</v>
      </c>
      <c r="Z2639" s="1" t="str">
        <f>TRIM(_xlfn.CONCAT(sales_data_sample[[#This Row],[CONTACTFIRSTNAME]],", ",sales_data_sample[[#This Row],[CONTACTLASTNAME]]))</f>
        <v>Valarie, Nelson</v>
      </c>
      <c r="AA2639" s="1" t="s">
        <v>59</v>
      </c>
    </row>
    <row r="2640" spans="1:27" x14ac:dyDescent="0.25">
      <c r="A2640" s="10">
        <v>10382</v>
      </c>
      <c r="B2640" s="9">
        <v>34</v>
      </c>
      <c r="C2640" s="9">
        <v>5484</v>
      </c>
      <c r="D2640" s="9">
        <f>PRODUCT(sales_data_sample[[#This Row],[QUANTITYORDERED]],sales_data_sample[[#This Row],[PRICEEACH]])</f>
        <v>186456</v>
      </c>
      <c r="E2640" s="9">
        <f>IF(OR(sales_data_sample[[#This Row],[STATUS]]="Shipped",sales_data_sample[[#This Row],[STATUS]]="Resolved"),sales_data_sample[[#This Row],[SALES]],0)</f>
        <v>186456</v>
      </c>
      <c r="F2640" s="10">
        <v>9</v>
      </c>
      <c r="G2640" s="12" t="s">
        <v>383</v>
      </c>
      <c r="H2640" s="1" t="s">
        <v>26</v>
      </c>
      <c r="I2640">
        <v>1</v>
      </c>
      <c r="J2640">
        <v>2</v>
      </c>
      <c r="K2640">
        <v>2005</v>
      </c>
      <c r="L2640" s="1" t="s">
        <v>239</v>
      </c>
      <c r="M2640">
        <v>101</v>
      </c>
      <c r="N2640" s="1" t="s">
        <v>1008</v>
      </c>
      <c r="O2640" s="1" t="s">
        <v>361</v>
      </c>
      <c r="P2640" s="1" t="s">
        <v>362</v>
      </c>
      <c r="Q2640" s="1" t="s">
        <v>363</v>
      </c>
      <c r="R2640" s="1" t="s">
        <v>32</v>
      </c>
      <c r="S2640" s="1" t="s">
        <v>364</v>
      </c>
      <c r="T2640" s="1" t="s">
        <v>65</v>
      </c>
      <c r="U2640" s="1" t="s">
        <v>145</v>
      </c>
      <c r="V2640" s="1" t="s">
        <v>36</v>
      </c>
      <c r="W2640" s="1" t="s">
        <v>37</v>
      </c>
      <c r="X2640" s="1" t="s">
        <v>365</v>
      </c>
      <c r="Y2640" s="1" t="s">
        <v>366</v>
      </c>
      <c r="Z2640" s="1" t="str">
        <f>TRIM(_xlfn.CONCAT(sales_data_sample[[#This Row],[CONTACTFIRSTNAME]],", ",sales_data_sample[[#This Row],[CONTACTLASTNAME]]))</f>
        <v>Valarie, Nelson</v>
      </c>
      <c r="AA2640" s="1" t="s">
        <v>40</v>
      </c>
    </row>
    <row r="2641" spans="1:27" x14ac:dyDescent="0.25">
      <c r="A2641" s="10">
        <v>10411</v>
      </c>
      <c r="B2641" s="9">
        <v>34</v>
      </c>
      <c r="C2641" s="9">
        <v>100</v>
      </c>
      <c r="D2641" s="9">
        <f>PRODUCT(sales_data_sample[[#This Row],[QUANTITYORDERED]],sales_data_sample[[#This Row],[PRICEEACH]])</f>
        <v>3400</v>
      </c>
      <c r="E2641" s="9">
        <f>IF(OR(sales_data_sample[[#This Row],[STATUS]]="Shipped",sales_data_sample[[#This Row],[STATUS]]="Resolved"),sales_data_sample[[#This Row],[SALES]],0)</f>
        <v>3400</v>
      </c>
      <c r="F2641" s="10">
        <v>4</v>
      </c>
      <c r="G2641" s="12" t="s">
        <v>393</v>
      </c>
      <c r="H2641" s="1" t="s">
        <v>26</v>
      </c>
      <c r="I2641">
        <v>2</v>
      </c>
      <c r="J2641">
        <v>5</v>
      </c>
      <c r="K2641">
        <v>2005</v>
      </c>
      <c r="L2641" s="1" t="s">
        <v>239</v>
      </c>
      <c r="M2641">
        <v>101</v>
      </c>
      <c r="N2641" s="1" t="s">
        <v>1008</v>
      </c>
      <c r="O2641" s="1" t="s">
        <v>394</v>
      </c>
      <c r="P2641" s="1" t="s">
        <v>395</v>
      </c>
      <c r="Q2641" s="1" t="s">
        <v>396</v>
      </c>
      <c r="R2641" s="1" t="s">
        <v>32</v>
      </c>
      <c r="S2641" s="1" t="s">
        <v>397</v>
      </c>
      <c r="T2641" s="1" t="s">
        <v>398</v>
      </c>
      <c r="U2641" s="1" t="s">
        <v>399</v>
      </c>
      <c r="V2641" s="1" t="s">
        <v>305</v>
      </c>
      <c r="W2641" s="1" t="s">
        <v>37</v>
      </c>
      <c r="X2641" s="1" t="s">
        <v>400</v>
      </c>
      <c r="Y2641" s="1" t="s">
        <v>401</v>
      </c>
      <c r="Z2641" s="1" t="str">
        <f>TRIM(_xlfn.CONCAT(sales_data_sample[[#This Row],[CONTACTFIRSTNAME]],", ",sales_data_sample[[#This Row],[CONTACTLASTNAME]]))</f>
        <v>Jean, Fresnisre</v>
      </c>
      <c r="AA2641" s="1" t="s">
        <v>59</v>
      </c>
    </row>
    <row r="2642" spans="1:27" x14ac:dyDescent="0.25">
      <c r="A2642" s="10">
        <v>10424</v>
      </c>
      <c r="B2642" s="9">
        <v>46</v>
      </c>
      <c r="C2642" s="9">
        <v>8092</v>
      </c>
      <c r="D2642" s="9">
        <f>PRODUCT(sales_data_sample[[#This Row],[QUANTITYORDERED]],sales_data_sample[[#This Row],[PRICEEACH]])</f>
        <v>372232</v>
      </c>
      <c r="E2642" s="9">
        <f>IF(OR(sales_data_sample[[#This Row],[STATUS]]="Shipped",sales_data_sample[[#This Row],[STATUS]]="Resolved"),sales_data_sample[[#This Row],[SALES]],0)</f>
        <v>0</v>
      </c>
      <c r="F2642" s="10">
        <v>1</v>
      </c>
      <c r="G2642" s="12" t="s">
        <v>402</v>
      </c>
      <c r="H2642" s="1" t="s">
        <v>403</v>
      </c>
      <c r="I2642">
        <v>2</v>
      </c>
      <c r="J2642">
        <v>5</v>
      </c>
      <c r="K2642">
        <v>2005</v>
      </c>
      <c r="L2642" s="1" t="s">
        <v>239</v>
      </c>
      <c r="M2642">
        <v>101</v>
      </c>
      <c r="N2642" s="1" t="s">
        <v>1008</v>
      </c>
      <c r="O2642" s="1" t="s">
        <v>230</v>
      </c>
      <c r="P2642" s="1" t="s">
        <v>231</v>
      </c>
      <c r="Q2642" s="1" t="s">
        <v>232</v>
      </c>
      <c r="R2642" s="1" t="s">
        <v>32</v>
      </c>
      <c r="S2642" s="1" t="s">
        <v>233</v>
      </c>
      <c r="T2642" s="1" t="s">
        <v>32</v>
      </c>
      <c r="U2642" s="1" t="s">
        <v>234</v>
      </c>
      <c r="V2642" s="1" t="s">
        <v>235</v>
      </c>
      <c r="W2642" s="1" t="s">
        <v>48</v>
      </c>
      <c r="X2642" s="1" t="s">
        <v>236</v>
      </c>
      <c r="Y2642" s="1" t="s">
        <v>237</v>
      </c>
      <c r="Z2642" s="1" t="str">
        <f>TRIM(_xlfn.CONCAT(sales_data_sample[[#This Row],[CONTACTFIRSTNAME]],", ",sales_data_sample[[#This Row],[CONTACTLASTNAME]]))</f>
        <v>Diego, Freyre</v>
      </c>
      <c r="AA2642" s="1" t="s">
        <v>59</v>
      </c>
    </row>
    <row r="2643" spans="1:27" x14ac:dyDescent="0.25">
      <c r="A2643" s="10">
        <v>10106</v>
      </c>
      <c r="B2643" s="9">
        <v>32</v>
      </c>
      <c r="C2643" s="9">
        <v>100</v>
      </c>
      <c r="D2643" s="9">
        <f>PRODUCT(sales_data_sample[[#This Row],[QUANTITYORDERED]],sales_data_sample[[#This Row],[PRICEEACH]])</f>
        <v>3200</v>
      </c>
      <c r="E2643" s="9">
        <f>IF(OR(sales_data_sample[[#This Row],[STATUS]]="Shipped",sales_data_sample[[#This Row],[STATUS]]="Resolved"),sales_data_sample[[#This Row],[SALES]],0)</f>
        <v>3200</v>
      </c>
      <c r="F2643" s="10">
        <v>1</v>
      </c>
      <c r="G2643" s="12" t="s">
        <v>838</v>
      </c>
      <c r="H2643" s="1" t="s">
        <v>26</v>
      </c>
      <c r="I2643">
        <v>1</v>
      </c>
      <c r="J2643">
        <v>2</v>
      </c>
      <c r="K2643">
        <v>2003</v>
      </c>
      <c r="L2643" s="1" t="s">
        <v>839</v>
      </c>
      <c r="M2643">
        <v>118</v>
      </c>
      <c r="N2643" s="1" t="s">
        <v>1009</v>
      </c>
      <c r="O2643" s="1" t="s">
        <v>806</v>
      </c>
      <c r="P2643" s="1" t="s">
        <v>807</v>
      </c>
      <c r="Q2643" s="1" t="s">
        <v>808</v>
      </c>
      <c r="R2643" s="1" t="s">
        <v>32</v>
      </c>
      <c r="S2643" s="1" t="s">
        <v>809</v>
      </c>
      <c r="T2643" s="1" t="s">
        <v>32</v>
      </c>
      <c r="U2643" s="1" t="s">
        <v>810</v>
      </c>
      <c r="V2643" s="1" t="s">
        <v>343</v>
      </c>
      <c r="W2643" s="1" t="s">
        <v>48</v>
      </c>
      <c r="X2643" s="1" t="s">
        <v>811</v>
      </c>
      <c r="Y2643" s="1" t="s">
        <v>812</v>
      </c>
      <c r="Z2643" s="1" t="str">
        <f>TRIM(_xlfn.CONCAT(sales_data_sample[[#This Row],[CONTACTFIRSTNAME]],", ",sales_data_sample[[#This Row],[CONTACTLASTNAME]]))</f>
        <v>Giovanni, Rovelli</v>
      </c>
      <c r="AA2643" s="1" t="s">
        <v>59</v>
      </c>
    </row>
    <row r="2644" spans="1:27" x14ac:dyDescent="0.25">
      <c r="A2644">
        <v>10120</v>
      </c>
      <c r="B2644">
        <v>24</v>
      </c>
      <c r="C2644">
        <v>100</v>
      </c>
      <c r="D2644">
        <f>PRODUCT(sales_data_sample[[#This Row],[QUANTITYORDERED]],sales_data_sample[[#This Row],[PRICEEACH]])</f>
        <v>2400</v>
      </c>
      <c r="E2644" s="9">
        <f>IF(OR(sales_data_sample[[#This Row],[STATUS]]="Shipped",sales_data_sample[[#This Row],[STATUS]]="Resolved"),sales_data_sample[[#This Row],[SALES]],0)</f>
        <v>2400</v>
      </c>
      <c r="F2644">
        <v>7</v>
      </c>
      <c r="G2644" s="12" t="s">
        <v>405</v>
      </c>
      <c r="H2644" s="1" t="s">
        <v>26</v>
      </c>
      <c r="I2644">
        <v>2</v>
      </c>
      <c r="J2644">
        <v>4</v>
      </c>
      <c r="K2644">
        <v>2003</v>
      </c>
      <c r="L2644" s="1" t="s">
        <v>839</v>
      </c>
      <c r="M2644">
        <v>118</v>
      </c>
      <c r="N2644" s="1" t="s">
        <v>1009</v>
      </c>
      <c r="O2644" s="1" t="s">
        <v>113</v>
      </c>
      <c r="P2644" s="1" t="s">
        <v>114</v>
      </c>
      <c r="Q2644" s="1" t="s">
        <v>115</v>
      </c>
      <c r="R2644" s="1" t="s">
        <v>116</v>
      </c>
      <c r="S2644" s="1" t="s">
        <v>117</v>
      </c>
      <c r="T2644" s="1" t="s">
        <v>118</v>
      </c>
      <c r="U2644" s="1" t="s">
        <v>119</v>
      </c>
      <c r="V2644" s="1" t="s">
        <v>120</v>
      </c>
      <c r="W2644" s="1" t="s">
        <v>121</v>
      </c>
      <c r="X2644" s="1" t="s">
        <v>122</v>
      </c>
      <c r="Y2644" s="1" t="s">
        <v>123</v>
      </c>
      <c r="Z2644" s="1" t="str">
        <f>TRIM(_xlfn.CONCAT(sales_data_sample[[#This Row],[CONTACTFIRSTNAME]],", ",sales_data_sample[[#This Row],[CONTACTLASTNAME]]))</f>
        <v>Peter, Ferguson</v>
      </c>
      <c r="AA2644" s="1" t="s">
        <v>59</v>
      </c>
    </row>
    <row r="2645" spans="1:27" x14ac:dyDescent="0.25">
      <c r="A2645" s="10">
        <v>10133</v>
      </c>
      <c r="B2645" s="9">
        <v>27</v>
      </c>
      <c r="C2645" s="9">
        <v>9967</v>
      </c>
      <c r="D2645" s="9">
        <f>PRODUCT(sales_data_sample[[#This Row],[QUANTITYORDERED]],sales_data_sample[[#This Row],[PRICEEACH]])</f>
        <v>269109</v>
      </c>
      <c r="E2645" s="9">
        <f>IF(OR(sales_data_sample[[#This Row],[STATUS]]="Shipped",sales_data_sample[[#This Row],[STATUS]]="Resolved"),sales_data_sample[[#This Row],[SALES]],0)</f>
        <v>269109</v>
      </c>
      <c r="F2645" s="10">
        <v>2</v>
      </c>
      <c r="G2645" s="12" t="s">
        <v>891</v>
      </c>
      <c r="H2645" s="1" t="s">
        <v>26</v>
      </c>
      <c r="I2645">
        <v>2</v>
      </c>
      <c r="J2645">
        <v>6</v>
      </c>
      <c r="K2645">
        <v>2003</v>
      </c>
      <c r="L2645" s="1" t="s">
        <v>839</v>
      </c>
      <c r="M2645">
        <v>118</v>
      </c>
      <c r="N2645" s="1" t="s">
        <v>1009</v>
      </c>
      <c r="O2645" s="1" t="s">
        <v>230</v>
      </c>
      <c r="P2645" s="1" t="s">
        <v>231</v>
      </c>
      <c r="Q2645" s="1" t="s">
        <v>232</v>
      </c>
      <c r="R2645" s="1" t="s">
        <v>32</v>
      </c>
      <c r="S2645" s="1" t="s">
        <v>233</v>
      </c>
      <c r="T2645" s="1" t="s">
        <v>32</v>
      </c>
      <c r="U2645" s="1" t="s">
        <v>234</v>
      </c>
      <c r="V2645" s="1" t="s">
        <v>235</v>
      </c>
      <c r="W2645" s="1" t="s">
        <v>48</v>
      </c>
      <c r="X2645" s="1" t="s">
        <v>236</v>
      </c>
      <c r="Y2645" s="1" t="s">
        <v>237</v>
      </c>
      <c r="Z2645" s="1" t="str">
        <f>TRIM(_xlfn.CONCAT(sales_data_sample[[#This Row],[CONTACTFIRSTNAME]],", ",sales_data_sample[[#This Row],[CONTACTLASTNAME]]))</f>
        <v>Diego, Freyre</v>
      </c>
      <c r="AA2645" s="1" t="s">
        <v>40</v>
      </c>
    </row>
    <row r="2646" spans="1:27" x14ac:dyDescent="0.25">
      <c r="A2646" s="10">
        <v>10145</v>
      </c>
      <c r="B2646" s="9">
        <v>20</v>
      </c>
      <c r="C2646" s="9">
        <v>100</v>
      </c>
      <c r="D2646" s="9">
        <f>PRODUCT(sales_data_sample[[#This Row],[QUANTITYORDERED]],sales_data_sample[[#This Row],[PRICEEACH]])</f>
        <v>2000</v>
      </c>
      <c r="E2646" s="9">
        <f>IF(OR(sales_data_sample[[#This Row],[STATUS]]="Shipped",sales_data_sample[[#This Row],[STATUS]]="Resolved"),sales_data_sample[[#This Row],[SALES]],0)</f>
        <v>2000</v>
      </c>
      <c r="F2646" s="10">
        <v>13</v>
      </c>
      <c r="G2646" s="12" t="s">
        <v>60</v>
      </c>
      <c r="H2646" s="1" t="s">
        <v>26</v>
      </c>
      <c r="I2646">
        <v>3</v>
      </c>
      <c r="J2646">
        <v>8</v>
      </c>
      <c r="K2646">
        <v>2003</v>
      </c>
      <c r="L2646" s="1" t="s">
        <v>839</v>
      </c>
      <c r="M2646">
        <v>118</v>
      </c>
      <c r="N2646" s="1" t="s">
        <v>1009</v>
      </c>
      <c r="O2646" s="1" t="s">
        <v>61</v>
      </c>
      <c r="P2646" s="1" t="s">
        <v>62</v>
      </c>
      <c r="Q2646" s="1" t="s">
        <v>63</v>
      </c>
      <c r="R2646" s="1" t="s">
        <v>32</v>
      </c>
      <c r="S2646" s="1" t="s">
        <v>64</v>
      </c>
      <c r="T2646" s="1" t="s">
        <v>65</v>
      </c>
      <c r="U2646" s="1" t="s">
        <v>66</v>
      </c>
      <c r="V2646" s="1" t="s">
        <v>36</v>
      </c>
      <c r="W2646" s="1" t="s">
        <v>37</v>
      </c>
      <c r="X2646" s="1" t="s">
        <v>67</v>
      </c>
      <c r="Y2646" s="1" t="s">
        <v>68</v>
      </c>
      <c r="Z2646" s="1" t="str">
        <f>TRIM(_xlfn.CONCAT(sales_data_sample[[#This Row],[CONTACTFIRSTNAME]],", ",sales_data_sample[[#This Row],[CONTACTLASTNAME]]))</f>
        <v>Julie, Young</v>
      </c>
      <c r="AA2646" s="1" t="s">
        <v>40</v>
      </c>
    </row>
    <row r="2647" spans="1:27" x14ac:dyDescent="0.25">
      <c r="A2647" s="10">
        <v>10168</v>
      </c>
      <c r="B2647" s="9">
        <v>36</v>
      </c>
      <c r="C2647" s="9">
        <v>100</v>
      </c>
      <c r="D2647" s="9">
        <f>PRODUCT(sales_data_sample[[#This Row],[QUANTITYORDERED]],sales_data_sample[[#This Row],[PRICEEACH]])</f>
        <v>3600</v>
      </c>
      <c r="E2647" s="9">
        <f>IF(OR(sales_data_sample[[#This Row],[STATUS]]="Shipped",sales_data_sample[[#This Row],[STATUS]]="Resolved"),sales_data_sample[[#This Row],[SALES]],0)</f>
        <v>3600</v>
      </c>
      <c r="F2647" s="10">
        <v>8</v>
      </c>
      <c r="G2647" s="12" t="s">
        <v>75</v>
      </c>
      <c r="H2647" s="1" t="s">
        <v>26</v>
      </c>
      <c r="I2647">
        <v>4</v>
      </c>
      <c r="J2647">
        <v>10</v>
      </c>
      <c r="K2647">
        <v>2003</v>
      </c>
      <c r="L2647" s="1" t="s">
        <v>839</v>
      </c>
      <c r="M2647">
        <v>118</v>
      </c>
      <c r="N2647" s="1" t="s">
        <v>1009</v>
      </c>
      <c r="O2647" s="1" t="s">
        <v>76</v>
      </c>
      <c r="P2647" s="1" t="s">
        <v>77</v>
      </c>
      <c r="Q2647" s="1" t="s">
        <v>78</v>
      </c>
      <c r="R2647" s="1" t="s">
        <v>32</v>
      </c>
      <c r="S2647" s="1" t="s">
        <v>79</v>
      </c>
      <c r="T2647" s="1" t="s">
        <v>65</v>
      </c>
      <c r="U2647" s="1" t="s">
        <v>80</v>
      </c>
      <c r="V2647" s="1" t="s">
        <v>36</v>
      </c>
      <c r="W2647" s="1" t="s">
        <v>37</v>
      </c>
      <c r="X2647" s="1" t="s">
        <v>81</v>
      </c>
      <c r="Y2647" s="1" t="s">
        <v>82</v>
      </c>
      <c r="Z2647" s="1" t="str">
        <f>TRIM(_xlfn.CONCAT(sales_data_sample[[#This Row],[CONTACTFIRSTNAME]],", ",sales_data_sample[[#This Row],[CONTACTLASTNAME]]))</f>
        <v>Juri, Hirano</v>
      </c>
      <c r="AA2647" s="1" t="s">
        <v>59</v>
      </c>
    </row>
    <row r="2648" spans="1:27" x14ac:dyDescent="0.25">
      <c r="A2648" s="10">
        <v>10188</v>
      </c>
      <c r="B2648" s="9">
        <v>29</v>
      </c>
      <c r="C2648" s="9">
        <v>100</v>
      </c>
      <c r="D2648" s="9">
        <f>PRODUCT(sales_data_sample[[#This Row],[QUANTITYORDERED]],sales_data_sample[[#This Row],[PRICEEACH]])</f>
        <v>2900</v>
      </c>
      <c r="E2648" s="9">
        <f>IF(OR(sales_data_sample[[#This Row],[STATUS]]="Shipped",sales_data_sample[[#This Row],[STATUS]]="Resolved"),sales_data_sample[[#This Row],[SALES]],0)</f>
        <v>2900</v>
      </c>
      <c r="F2648" s="10">
        <v>8</v>
      </c>
      <c r="G2648" s="12" t="s">
        <v>91</v>
      </c>
      <c r="H2648" s="1" t="s">
        <v>26</v>
      </c>
      <c r="I2648">
        <v>4</v>
      </c>
      <c r="J2648">
        <v>11</v>
      </c>
      <c r="K2648">
        <v>2003</v>
      </c>
      <c r="L2648" s="1" t="s">
        <v>839</v>
      </c>
      <c r="M2648">
        <v>118</v>
      </c>
      <c r="N2648" s="1" t="s">
        <v>1009</v>
      </c>
      <c r="O2648" s="1" t="s">
        <v>92</v>
      </c>
      <c r="P2648" s="1" t="s">
        <v>93</v>
      </c>
      <c r="Q2648" s="1" t="s">
        <v>94</v>
      </c>
      <c r="R2648" s="1" t="s">
        <v>32</v>
      </c>
      <c r="S2648" s="1" t="s">
        <v>95</v>
      </c>
      <c r="T2648" s="1" t="s">
        <v>32</v>
      </c>
      <c r="U2648" s="1" t="s">
        <v>96</v>
      </c>
      <c r="V2648" s="1" t="s">
        <v>97</v>
      </c>
      <c r="W2648" s="1" t="s">
        <v>48</v>
      </c>
      <c r="X2648" s="1" t="s">
        <v>98</v>
      </c>
      <c r="Y2648" s="1" t="s">
        <v>99</v>
      </c>
      <c r="Z2648" s="1" t="str">
        <f>TRIM(_xlfn.CONCAT(sales_data_sample[[#This Row],[CONTACTFIRSTNAME]],", ",sales_data_sample[[#This Row],[CONTACTLASTNAME]]))</f>
        <v>Veysel, Oeztan</v>
      </c>
      <c r="AA2648" s="1" t="s">
        <v>59</v>
      </c>
    </row>
    <row r="2649" spans="1:27" x14ac:dyDescent="0.25">
      <c r="A2649" s="10">
        <v>10210</v>
      </c>
      <c r="B2649" s="9">
        <v>25</v>
      </c>
      <c r="C2649" s="9">
        <v>100</v>
      </c>
      <c r="D2649" s="9">
        <f>PRODUCT(sales_data_sample[[#This Row],[QUANTITYORDERED]],sales_data_sample[[#This Row],[PRICEEACH]])</f>
        <v>2500</v>
      </c>
      <c r="E2649" s="9">
        <f>IF(OR(sales_data_sample[[#This Row],[STATUS]]="Shipped",sales_data_sample[[#This Row],[STATUS]]="Resolved"),sales_data_sample[[#This Row],[SALES]],0)</f>
        <v>2500</v>
      </c>
      <c r="F2649" s="10">
        <v>6</v>
      </c>
      <c r="G2649" s="12" t="s">
        <v>406</v>
      </c>
      <c r="H2649" s="1" t="s">
        <v>26</v>
      </c>
      <c r="I2649">
        <v>1</v>
      </c>
      <c r="J2649">
        <v>1</v>
      </c>
      <c r="K2649">
        <v>2004</v>
      </c>
      <c r="L2649" s="1" t="s">
        <v>839</v>
      </c>
      <c r="M2649">
        <v>118</v>
      </c>
      <c r="N2649" s="1" t="s">
        <v>1009</v>
      </c>
      <c r="O2649" s="1" t="s">
        <v>407</v>
      </c>
      <c r="P2649" s="1" t="s">
        <v>408</v>
      </c>
      <c r="Q2649" s="1" t="s">
        <v>409</v>
      </c>
      <c r="R2649" s="1" t="s">
        <v>32</v>
      </c>
      <c r="S2649" s="1" t="s">
        <v>410</v>
      </c>
      <c r="T2649" s="1" t="s">
        <v>410</v>
      </c>
      <c r="U2649" s="1" t="s">
        <v>411</v>
      </c>
      <c r="V2649" s="1" t="s">
        <v>264</v>
      </c>
      <c r="W2649" s="1" t="s">
        <v>264</v>
      </c>
      <c r="X2649" s="1" t="s">
        <v>412</v>
      </c>
      <c r="Y2649" s="1" t="s">
        <v>413</v>
      </c>
      <c r="Z2649" s="1" t="str">
        <f>TRIM(_xlfn.CONCAT(sales_data_sample[[#This Row],[CONTACTFIRSTNAME]],", ",sales_data_sample[[#This Row],[CONTACTLASTNAME]]))</f>
        <v>Mory, Kentary</v>
      </c>
      <c r="AA2649" s="1" t="s">
        <v>40</v>
      </c>
    </row>
    <row r="2650" spans="1:27" x14ac:dyDescent="0.25">
      <c r="A2650">
        <v>10223</v>
      </c>
      <c r="B2650">
        <v>29</v>
      </c>
      <c r="C2650">
        <v>100</v>
      </c>
      <c r="D2650">
        <f>PRODUCT(sales_data_sample[[#This Row],[QUANTITYORDERED]],sales_data_sample[[#This Row],[PRICEEACH]])</f>
        <v>2900</v>
      </c>
      <c r="E2650" s="9">
        <f>IF(OR(sales_data_sample[[#This Row],[STATUS]]="Shipped",sales_data_sample[[#This Row],[STATUS]]="Resolved"),sales_data_sample[[#This Row],[SALES]],0)</f>
        <v>2900</v>
      </c>
      <c r="F2650">
        <v>8</v>
      </c>
      <c r="G2650" s="12" t="s">
        <v>112</v>
      </c>
      <c r="H2650" s="1" t="s">
        <v>26</v>
      </c>
      <c r="I2650">
        <v>1</v>
      </c>
      <c r="J2650">
        <v>2</v>
      </c>
      <c r="K2650">
        <v>2004</v>
      </c>
      <c r="L2650" s="1" t="s">
        <v>839</v>
      </c>
      <c r="M2650">
        <v>118</v>
      </c>
      <c r="N2650" s="1" t="s">
        <v>1009</v>
      </c>
      <c r="O2650" s="1" t="s">
        <v>113</v>
      </c>
      <c r="P2650" s="1" t="s">
        <v>114</v>
      </c>
      <c r="Q2650" s="1" t="s">
        <v>115</v>
      </c>
      <c r="R2650" s="1" t="s">
        <v>116</v>
      </c>
      <c r="S2650" s="1" t="s">
        <v>117</v>
      </c>
      <c r="T2650" s="1" t="s">
        <v>118</v>
      </c>
      <c r="U2650" s="1" t="s">
        <v>119</v>
      </c>
      <c r="V2650" s="1" t="s">
        <v>120</v>
      </c>
      <c r="W2650" s="1" t="s">
        <v>121</v>
      </c>
      <c r="X2650" s="1" t="s">
        <v>122</v>
      </c>
      <c r="Y2650" s="1" t="s">
        <v>123</v>
      </c>
      <c r="Z2650" s="1" t="str">
        <f>TRIM(_xlfn.CONCAT(sales_data_sample[[#This Row],[CONTACTFIRSTNAME]],", ",sales_data_sample[[#This Row],[CONTACTLASTNAME]]))</f>
        <v>Peter, Ferguson</v>
      </c>
      <c r="AA2650" s="1" t="s">
        <v>59</v>
      </c>
    </row>
    <row r="2651" spans="1:27" x14ac:dyDescent="0.25">
      <c r="A2651" s="10">
        <v>10235</v>
      </c>
      <c r="B2651" s="9">
        <v>25</v>
      </c>
      <c r="C2651" s="9">
        <v>9611</v>
      </c>
      <c r="D2651" s="9">
        <f>PRODUCT(sales_data_sample[[#This Row],[QUANTITYORDERED]],sales_data_sample[[#This Row],[PRICEEACH]])</f>
        <v>240275</v>
      </c>
      <c r="E2651" s="9">
        <f>IF(OR(sales_data_sample[[#This Row],[STATUS]]="Shipped",sales_data_sample[[#This Row],[STATUS]]="Resolved"),sales_data_sample[[#This Row],[SALES]],0)</f>
        <v>240275</v>
      </c>
      <c r="F2651" s="10">
        <v>2</v>
      </c>
      <c r="G2651" s="12" t="s">
        <v>892</v>
      </c>
      <c r="H2651" s="1" t="s">
        <v>26</v>
      </c>
      <c r="I2651">
        <v>2</v>
      </c>
      <c r="J2651">
        <v>4</v>
      </c>
      <c r="K2651">
        <v>2004</v>
      </c>
      <c r="L2651" s="1" t="s">
        <v>839</v>
      </c>
      <c r="M2651">
        <v>118</v>
      </c>
      <c r="N2651" s="1" t="s">
        <v>1009</v>
      </c>
      <c r="O2651" s="1" t="s">
        <v>509</v>
      </c>
      <c r="P2651" s="1" t="s">
        <v>510</v>
      </c>
      <c r="Q2651" s="1" t="s">
        <v>511</v>
      </c>
      <c r="R2651" s="1" t="s">
        <v>32</v>
      </c>
      <c r="S2651" s="1" t="s">
        <v>512</v>
      </c>
      <c r="T2651" s="1" t="s">
        <v>303</v>
      </c>
      <c r="U2651" s="1" t="s">
        <v>513</v>
      </c>
      <c r="V2651" s="1" t="s">
        <v>305</v>
      </c>
      <c r="W2651" s="1" t="s">
        <v>37</v>
      </c>
      <c r="X2651" s="1" t="s">
        <v>514</v>
      </c>
      <c r="Y2651" s="1" t="s">
        <v>227</v>
      </c>
      <c r="Z2651" s="1" t="str">
        <f>TRIM(_xlfn.CONCAT(sales_data_sample[[#This Row],[CONTACTFIRSTNAME]],", ",sales_data_sample[[#This Row],[CONTACTLASTNAME]]))</f>
        <v>Elizabeth, Lincoln</v>
      </c>
      <c r="AA2651" s="1" t="s">
        <v>40</v>
      </c>
    </row>
    <row r="2652" spans="1:27" x14ac:dyDescent="0.25">
      <c r="A2652" s="10">
        <v>10250</v>
      </c>
      <c r="B2652" s="9">
        <v>44</v>
      </c>
      <c r="C2652" s="9">
        <v>100</v>
      </c>
      <c r="D2652" s="9">
        <f>PRODUCT(sales_data_sample[[#This Row],[QUANTITYORDERED]],sales_data_sample[[#This Row],[PRICEEACH]])</f>
        <v>4400</v>
      </c>
      <c r="E2652" s="9">
        <f>IF(OR(sales_data_sample[[#This Row],[STATUS]]="Shipped",sales_data_sample[[#This Row],[STATUS]]="Resolved"),sales_data_sample[[#This Row],[SALES]],0)</f>
        <v>4400</v>
      </c>
      <c r="F2652" s="10">
        <v>3</v>
      </c>
      <c r="G2652" s="12" t="s">
        <v>849</v>
      </c>
      <c r="H2652" s="1" t="s">
        <v>26</v>
      </c>
      <c r="I2652">
        <v>2</v>
      </c>
      <c r="J2652">
        <v>5</v>
      </c>
      <c r="K2652">
        <v>2004</v>
      </c>
      <c r="L2652" s="1" t="s">
        <v>839</v>
      </c>
      <c r="M2652">
        <v>118</v>
      </c>
      <c r="N2652" s="1" t="s">
        <v>1009</v>
      </c>
      <c r="O2652" s="1" t="s">
        <v>547</v>
      </c>
      <c r="P2652" s="1" t="s">
        <v>548</v>
      </c>
      <c r="Q2652" s="1" t="s">
        <v>549</v>
      </c>
      <c r="R2652" s="1" t="s">
        <v>32</v>
      </c>
      <c r="S2652" s="1" t="s">
        <v>550</v>
      </c>
      <c r="T2652" s="1" t="s">
        <v>65</v>
      </c>
      <c r="U2652" s="1" t="s">
        <v>80</v>
      </c>
      <c r="V2652" s="1" t="s">
        <v>36</v>
      </c>
      <c r="W2652" s="1" t="s">
        <v>37</v>
      </c>
      <c r="X2652" s="1" t="s">
        <v>129</v>
      </c>
      <c r="Y2652" s="1" t="s">
        <v>551</v>
      </c>
      <c r="Z2652" s="1" t="str">
        <f>TRIM(_xlfn.CONCAT(sales_data_sample[[#This Row],[CONTACTFIRSTNAME]],", ",sales_data_sample[[#This Row],[CONTACTLASTNAME]]))</f>
        <v>Sue, Frick</v>
      </c>
      <c r="AA2652" s="1" t="s">
        <v>59</v>
      </c>
    </row>
    <row r="2653" spans="1:27" x14ac:dyDescent="0.25">
      <c r="A2653" s="10">
        <v>10263</v>
      </c>
      <c r="B2653" s="9">
        <v>47</v>
      </c>
      <c r="C2653" s="9">
        <v>100</v>
      </c>
      <c r="D2653" s="9">
        <f>PRODUCT(sales_data_sample[[#This Row],[QUANTITYORDERED]],sales_data_sample[[#This Row],[PRICEEACH]])</f>
        <v>4700</v>
      </c>
      <c r="E2653" s="9">
        <f>IF(OR(sales_data_sample[[#This Row],[STATUS]]="Shipped",sales_data_sample[[#This Row],[STATUS]]="Resolved"),sales_data_sample[[#This Row],[SALES]],0)</f>
        <v>4700</v>
      </c>
      <c r="F2653" s="10">
        <v>9</v>
      </c>
      <c r="G2653" s="12" t="s">
        <v>139</v>
      </c>
      <c r="H2653" s="1" t="s">
        <v>26</v>
      </c>
      <c r="I2653">
        <v>2</v>
      </c>
      <c r="J2653">
        <v>6</v>
      </c>
      <c r="K2653">
        <v>2004</v>
      </c>
      <c r="L2653" s="1" t="s">
        <v>839</v>
      </c>
      <c r="M2653">
        <v>118</v>
      </c>
      <c r="N2653" s="1" t="s">
        <v>1009</v>
      </c>
      <c r="O2653" s="1" t="s">
        <v>140</v>
      </c>
      <c r="P2653" s="1" t="s">
        <v>141</v>
      </c>
      <c r="Q2653" s="1" t="s">
        <v>142</v>
      </c>
      <c r="R2653" s="1" t="s">
        <v>32</v>
      </c>
      <c r="S2653" s="1" t="s">
        <v>143</v>
      </c>
      <c r="T2653" s="1" t="s">
        <v>144</v>
      </c>
      <c r="U2653" s="1" t="s">
        <v>145</v>
      </c>
      <c r="V2653" s="1" t="s">
        <v>36</v>
      </c>
      <c r="W2653" s="1" t="s">
        <v>37</v>
      </c>
      <c r="X2653" s="1" t="s">
        <v>146</v>
      </c>
      <c r="Y2653" s="1" t="s">
        <v>68</v>
      </c>
      <c r="Z2653" s="1" t="str">
        <f>TRIM(_xlfn.CONCAT(sales_data_sample[[#This Row],[CONTACTFIRSTNAME]],", ",sales_data_sample[[#This Row],[CONTACTLASTNAME]]))</f>
        <v>Julie, King</v>
      </c>
      <c r="AA2653" s="1" t="s">
        <v>59</v>
      </c>
    </row>
    <row r="2654" spans="1:27" x14ac:dyDescent="0.25">
      <c r="A2654" s="10">
        <v>10275</v>
      </c>
      <c r="B2654" s="9">
        <v>48</v>
      </c>
      <c r="C2654" s="9">
        <v>100</v>
      </c>
      <c r="D2654" s="9">
        <f>PRODUCT(sales_data_sample[[#This Row],[QUANTITYORDERED]],sales_data_sample[[#This Row],[PRICEEACH]])</f>
        <v>4800</v>
      </c>
      <c r="E2654" s="9">
        <f>IF(OR(sales_data_sample[[#This Row],[STATUS]]="Shipped",sales_data_sample[[#This Row],[STATUS]]="Resolved"),sales_data_sample[[#This Row],[SALES]],0)</f>
        <v>4800</v>
      </c>
      <c r="F2654" s="10">
        <v>8</v>
      </c>
      <c r="G2654" s="12" t="s">
        <v>147</v>
      </c>
      <c r="H2654" s="1" t="s">
        <v>26</v>
      </c>
      <c r="I2654">
        <v>3</v>
      </c>
      <c r="J2654">
        <v>7</v>
      </c>
      <c r="K2654">
        <v>2004</v>
      </c>
      <c r="L2654" s="1" t="s">
        <v>839</v>
      </c>
      <c r="M2654">
        <v>118</v>
      </c>
      <c r="N2654" s="1" t="s">
        <v>1009</v>
      </c>
      <c r="O2654" s="1" t="s">
        <v>148</v>
      </c>
      <c r="P2654" s="1" t="s">
        <v>149</v>
      </c>
      <c r="Q2654" s="1" t="s">
        <v>150</v>
      </c>
      <c r="R2654" s="1" t="s">
        <v>32</v>
      </c>
      <c r="S2654" s="1" t="s">
        <v>151</v>
      </c>
      <c r="T2654" s="1" t="s">
        <v>32</v>
      </c>
      <c r="U2654" s="1" t="s">
        <v>152</v>
      </c>
      <c r="V2654" s="1" t="s">
        <v>47</v>
      </c>
      <c r="W2654" s="1" t="s">
        <v>48</v>
      </c>
      <c r="X2654" s="1" t="s">
        <v>153</v>
      </c>
      <c r="Y2654" s="1" t="s">
        <v>154</v>
      </c>
      <c r="Z2654" s="1" t="str">
        <f>TRIM(_xlfn.CONCAT(sales_data_sample[[#This Row],[CONTACTFIRSTNAME]],", ",sales_data_sample[[#This Row],[CONTACTLASTNAME]]))</f>
        <v>Janine, Labrune</v>
      </c>
      <c r="AA2654" s="1" t="s">
        <v>59</v>
      </c>
    </row>
    <row r="2655" spans="1:27" x14ac:dyDescent="0.25">
      <c r="A2655" s="10">
        <v>10285</v>
      </c>
      <c r="B2655" s="9">
        <v>45</v>
      </c>
      <c r="C2655" s="9">
        <v>100</v>
      </c>
      <c r="D2655" s="9">
        <f>PRODUCT(sales_data_sample[[#This Row],[QUANTITYORDERED]],sales_data_sample[[#This Row],[PRICEEACH]])</f>
        <v>4500</v>
      </c>
      <c r="E2655" s="9">
        <f>IF(OR(sales_data_sample[[#This Row],[STATUS]]="Shipped",sales_data_sample[[#This Row],[STATUS]]="Resolved"),sales_data_sample[[#This Row],[SALES]],0)</f>
        <v>4500</v>
      </c>
      <c r="F2655" s="10">
        <v>13</v>
      </c>
      <c r="G2655" s="12" t="s">
        <v>155</v>
      </c>
      <c r="H2655" s="1" t="s">
        <v>26</v>
      </c>
      <c r="I2655">
        <v>3</v>
      </c>
      <c r="J2655">
        <v>8</v>
      </c>
      <c r="K2655">
        <v>2004</v>
      </c>
      <c r="L2655" s="1" t="s">
        <v>839</v>
      </c>
      <c r="M2655">
        <v>118</v>
      </c>
      <c r="N2655" s="1" t="s">
        <v>1009</v>
      </c>
      <c r="O2655" s="1" t="s">
        <v>156</v>
      </c>
      <c r="P2655" s="1" t="s">
        <v>157</v>
      </c>
      <c r="Q2655" s="1" t="s">
        <v>158</v>
      </c>
      <c r="R2655" s="1" t="s">
        <v>32</v>
      </c>
      <c r="S2655" s="1" t="s">
        <v>159</v>
      </c>
      <c r="T2655" s="1" t="s">
        <v>160</v>
      </c>
      <c r="U2655" s="1" t="s">
        <v>161</v>
      </c>
      <c r="V2655" s="1" t="s">
        <v>36</v>
      </c>
      <c r="W2655" s="1" t="s">
        <v>37</v>
      </c>
      <c r="X2655" s="1" t="s">
        <v>162</v>
      </c>
      <c r="Y2655" s="1" t="s">
        <v>163</v>
      </c>
      <c r="Z2655" s="1" t="str">
        <f>TRIM(_xlfn.CONCAT(sales_data_sample[[#This Row],[CONTACTFIRSTNAME]],", ",sales_data_sample[[#This Row],[CONTACTLASTNAME]]))</f>
        <v>Marta, Hernandez</v>
      </c>
      <c r="AA2655" s="1" t="s">
        <v>59</v>
      </c>
    </row>
    <row r="2656" spans="1:27" x14ac:dyDescent="0.25">
      <c r="A2656">
        <v>10297</v>
      </c>
      <c r="B2656">
        <v>35</v>
      </c>
      <c r="C2656">
        <v>100</v>
      </c>
      <c r="D2656">
        <f>PRODUCT(sales_data_sample[[#This Row],[QUANTITYORDERED]],sales_data_sample[[#This Row],[PRICEEACH]])</f>
        <v>3500</v>
      </c>
      <c r="E2656" s="9">
        <f>IF(OR(sales_data_sample[[#This Row],[STATUS]]="Shipped",sales_data_sample[[#This Row],[STATUS]]="Resolved"),sales_data_sample[[#This Row],[SALES]],0)</f>
        <v>3500</v>
      </c>
      <c r="F2656">
        <v>3</v>
      </c>
      <c r="G2656" s="12" t="s">
        <v>893</v>
      </c>
      <c r="H2656" s="1" t="s">
        <v>26</v>
      </c>
      <c r="I2656">
        <v>3</v>
      </c>
      <c r="J2656">
        <v>9</v>
      </c>
      <c r="K2656">
        <v>2004</v>
      </c>
      <c r="L2656" s="1" t="s">
        <v>839</v>
      </c>
      <c r="M2656">
        <v>118</v>
      </c>
      <c r="N2656" s="1" t="s">
        <v>1009</v>
      </c>
      <c r="O2656" s="1" t="s">
        <v>677</v>
      </c>
      <c r="P2656" s="1" t="s">
        <v>678</v>
      </c>
      <c r="Q2656" s="1" t="s">
        <v>679</v>
      </c>
      <c r="R2656" s="1" t="s">
        <v>680</v>
      </c>
      <c r="S2656" s="1" t="s">
        <v>681</v>
      </c>
      <c r="T2656" s="1" t="s">
        <v>32</v>
      </c>
      <c r="U2656" s="1" t="s">
        <v>682</v>
      </c>
      <c r="V2656" s="1" t="s">
        <v>683</v>
      </c>
      <c r="W2656" s="1" t="s">
        <v>48</v>
      </c>
      <c r="X2656" s="1" t="s">
        <v>684</v>
      </c>
      <c r="Y2656" s="1" t="s">
        <v>685</v>
      </c>
      <c r="Z2656" s="1" t="str">
        <f>TRIM(_xlfn.CONCAT(sales_data_sample[[#This Row],[CONTACTFIRSTNAME]],", ",sales_data_sample[[#This Row],[CONTACTLASTNAME]]))</f>
        <v>Dean, Cassidy</v>
      </c>
      <c r="AA2656" s="1" t="s">
        <v>59</v>
      </c>
    </row>
    <row r="2657" spans="1:27" x14ac:dyDescent="0.25">
      <c r="A2657" s="10">
        <v>10308</v>
      </c>
      <c r="B2657" s="9">
        <v>31</v>
      </c>
      <c r="C2657" s="9">
        <v>100</v>
      </c>
      <c r="D2657" s="9">
        <f>PRODUCT(sales_data_sample[[#This Row],[QUANTITYORDERED]],sales_data_sample[[#This Row],[PRICEEACH]])</f>
        <v>3100</v>
      </c>
      <c r="E2657" s="9">
        <f>IF(OR(sales_data_sample[[#This Row],[STATUS]]="Shipped",sales_data_sample[[#This Row],[STATUS]]="Resolved"),sales_data_sample[[#This Row],[SALES]],0)</f>
        <v>3100</v>
      </c>
      <c r="F2657" s="10">
        <v>6</v>
      </c>
      <c r="G2657" s="12" t="s">
        <v>173</v>
      </c>
      <c r="H2657" s="1" t="s">
        <v>26</v>
      </c>
      <c r="I2657">
        <v>4</v>
      </c>
      <c r="J2657">
        <v>10</v>
      </c>
      <c r="K2657">
        <v>2004</v>
      </c>
      <c r="L2657" s="1" t="s">
        <v>839</v>
      </c>
      <c r="M2657">
        <v>118</v>
      </c>
      <c r="N2657" s="1" t="s">
        <v>1009</v>
      </c>
      <c r="O2657" s="1" t="s">
        <v>425</v>
      </c>
      <c r="P2657" s="1" t="s">
        <v>426</v>
      </c>
      <c r="Q2657" s="1" t="s">
        <v>427</v>
      </c>
      <c r="R2657" s="1" t="s">
        <v>32</v>
      </c>
      <c r="S2657" s="1" t="s">
        <v>428</v>
      </c>
      <c r="T2657" s="1" t="s">
        <v>34</v>
      </c>
      <c r="U2657" s="1" t="s">
        <v>429</v>
      </c>
      <c r="V2657" s="1" t="s">
        <v>36</v>
      </c>
      <c r="W2657" s="1" t="s">
        <v>37</v>
      </c>
      <c r="X2657" s="1" t="s">
        <v>129</v>
      </c>
      <c r="Y2657" s="1" t="s">
        <v>314</v>
      </c>
      <c r="Z2657" s="1" t="str">
        <f>TRIM(_xlfn.CONCAT(sales_data_sample[[#This Row],[CONTACTFIRSTNAME]],", ",sales_data_sample[[#This Row],[CONTACTLASTNAME]]))</f>
        <v>Steve, Frick</v>
      </c>
      <c r="AA2657" s="1" t="s">
        <v>59</v>
      </c>
    </row>
    <row r="2658" spans="1:27" x14ac:dyDescent="0.25">
      <c r="A2658" s="10">
        <v>10318</v>
      </c>
      <c r="B2658" s="9">
        <v>50</v>
      </c>
      <c r="C2658" s="9">
        <v>100</v>
      </c>
      <c r="D2658" s="9">
        <f>PRODUCT(sales_data_sample[[#This Row],[QUANTITYORDERED]],sales_data_sample[[#This Row],[PRICEEACH]])</f>
        <v>5000</v>
      </c>
      <c r="E2658" s="9">
        <f>IF(OR(sales_data_sample[[#This Row],[STATUS]]="Shipped",sales_data_sample[[#This Row],[STATUS]]="Resolved"),sales_data_sample[[#This Row],[SALES]],0)</f>
        <v>5000</v>
      </c>
      <c r="F2658" s="10">
        <v>8</v>
      </c>
      <c r="G2658" s="12" t="s">
        <v>181</v>
      </c>
      <c r="H2658" s="1" t="s">
        <v>26</v>
      </c>
      <c r="I2658">
        <v>4</v>
      </c>
      <c r="J2658">
        <v>11</v>
      </c>
      <c r="K2658">
        <v>2004</v>
      </c>
      <c r="L2658" s="1" t="s">
        <v>839</v>
      </c>
      <c r="M2658">
        <v>118</v>
      </c>
      <c r="N2658" s="1" t="s">
        <v>1009</v>
      </c>
      <c r="O2658" s="1" t="s">
        <v>182</v>
      </c>
      <c r="P2658" s="1" t="s">
        <v>183</v>
      </c>
      <c r="Q2658" s="1" t="s">
        <v>184</v>
      </c>
      <c r="R2658" s="1" t="s">
        <v>32</v>
      </c>
      <c r="S2658" s="1" t="s">
        <v>185</v>
      </c>
      <c r="T2658" s="1" t="s">
        <v>186</v>
      </c>
      <c r="U2658" s="1" t="s">
        <v>187</v>
      </c>
      <c r="V2658" s="1" t="s">
        <v>36</v>
      </c>
      <c r="W2658" s="1" t="s">
        <v>37</v>
      </c>
      <c r="X2658" s="1" t="s">
        <v>38</v>
      </c>
      <c r="Y2658" s="1" t="s">
        <v>188</v>
      </c>
      <c r="Z2658" s="1" t="str">
        <f>TRIM(_xlfn.CONCAT(sales_data_sample[[#This Row],[CONTACTFIRSTNAME]],", ",sales_data_sample[[#This Row],[CONTACTLASTNAME]]))</f>
        <v>Kyung, Yu</v>
      </c>
      <c r="AA2658" s="1" t="s">
        <v>199</v>
      </c>
    </row>
    <row r="2659" spans="1:27" x14ac:dyDescent="0.25">
      <c r="A2659" s="10">
        <v>10328</v>
      </c>
      <c r="B2659" s="9">
        <v>33</v>
      </c>
      <c r="C2659" s="9">
        <v>100</v>
      </c>
      <c r="D2659" s="9">
        <f>PRODUCT(sales_data_sample[[#This Row],[QUANTITYORDERED]],sales_data_sample[[#This Row],[PRICEEACH]])</f>
        <v>3300</v>
      </c>
      <c r="E2659" s="9">
        <f>IF(OR(sales_data_sample[[#This Row],[STATUS]]="Shipped",sales_data_sample[[#This Row],[STATUS]]="Resolved"),sales_data_sample[[#This Row],[SALES]],0)</f>
        <v>3300</v>
      </c>
      <c r="F2659" s="10">
        <v>11</v>
      </c>
      <c r="G2659" s="12" t="s">
        <v>936</v>
      </c>
      <c r="H2659" s="1" t="s">
        <v>26</v>
      </c>
      <c r="I2659">
        <v>4</v>
      </c>
      <c r="J2659">
        <v>11</v>
      </c>
      <c r="K2659">
        <v>2004</v>
      </c>
      <c r="L2659" s="1" t="s">
        <v>839</v>
      </c>
      <c r="M2659">
        <v>118</v>
      </c>
      <c r="N2659" s="1" t="s">
        <v>1009</v>
      </c>
      <c r="O2659" s="1" t="s">
        <v>806</v>
      </c>
      <c r="P2659" s="1" t="s">
        <v>807</v>
      </c>
      <c r="Q2659" s="1" t="s">
        <v>808</v>
      </c>
      <c r="R2659" s="1" t="s">
        <v>32</v>
      </c>
      <c r="S2659" s="1" t="s">
        <v>809</v>
      </c>
      <c r="T2659" s="1" t="s">
        <v>32</v>
      </c>
      <c r="U2659" s="1" t="s">
        <v>810</v>
      </c>
      <c r="V2659" s="1" t="s">
        <v>343</v>
      </c>
      <c r="W2659" s="1" t="s">
        <v>48</v>
      </c>
      <c r="X2659" s="1" t="s">
        <v>811</v>
      </c>
      <c r="Y2659" s="1" t="s">
        <v>812</v>
      </c>
      <c r="Z2659" s="1" t="str">
        <f>TRIM(_xlfn.CONCAT(sales_data_sample[[#This Row],[CONTACTFIRSTNAME]],", ",sales_data_sample[[#This Row],[CONTACTLASTNAME]]))</f>
        <v>Giovanni, Rovelli</v>
      </c>
      <c r="AA2659" s="1" t="s">
        <v>59</v>
      </c>
    </row>
    <row r="2660" spans="1:27" x14ac:dyDescent="0.25">
      <c r="A2660" s="10">
        <v>10340</v>
      </c>
      <c r="B2660" s="9">
        <v>29</v>
      </c>
      <c r="C2660" s="9">
        <v>100</v>
      </c>
      <c r="D2660" s="9">
        <f>PRODUCT(sales_data_sample[[#This Row],[QUANTITYORDERED]],sales_data_sample[[#This Row],[PRICEEACH]])</f>
        <v>2900</v>
      </c>
      <c r="E2660" s="9">
        <f>IF(OR(sales_data_sample[[#This Row],[STATUS]]="Shipped",sales_data_sample[[#This Row],[STATUS]]="Resolved"),sales_data_sample[[#This Row],[SALES]],0)</f>
        <v>2900</v>
      </c>
      <c r="F2660" s="10">
        <v>6</v>
      </c>
      <c r="G2660" s="12" t="s">
        <v>190</v>
      </c>
      <c r="H2660" s="1" t="s">
        <v>26</v>
      </c>
      <c r="I2660">
        <v>4</v>
      </c>
      <c r="J2660">
        <v>11</v>
      </c>
      <c r="K2660">
        <v>2004</v>
      </c>
      <c r="L2660" s="1" t="s">
        <v>839</v>
      </c>
      <c r="M2660">
        <v>118</v>
      </c>
      <c r="N2660" s="1" t="s">
        <v>1009</v>
      </c>
      <c r="O2660" s="1" t="s">
        <v>478</v>
      </c>
      <c r="P2660" s="1" t="s">
        <v>479</v>
      </c>
      <c r="Q2660" s="1" t="s">
        <v>480</v>
      </c>
      <c r="R2660" s="1" t="s">
        <v>32</v>
      </c>
      <c r="S2660" s="1" t="s">
        <v>481</v>
      </c>
      <c r="T2660" s="1" t="s">
        <v>32</v>
      </c>
      <c r="U2660" s="1" t="s">
        <v>482</v>
      </c>
      <c r="V2660" s="1" t="s">
        <v>235</v>
      </c>
      <c r="W2660" s="1" t="s">
        <v>48</v>
      </c>
      <c r="X2660" s="1" t="s">
        <v>483</v>
      </c>
      <c r="Y2660" s="1" t="s">
        <v>484</v>
      </c>
      <c r="Z2660" s="1" t="str">
        <f>TRIM(_xlfn.CONCAT(sales_data_sample[[#This Row],[CONTACTFIRSTNAME]],", ",sales_data_sample[[#This Row],[CONTACTLASTNAME]]))</f>
        <v>Eduardo, Saavedra</v>
      </c>
      <c r="AA2660" s="1" t="s">
        <v>59</v>
      </c>
    </row>
    <row r="2661" spans="1:27" x14ac:dyDescent="0.25">
      <c r="A2661" s="10">
        <v>10353</v>
      </c>
      <c r="B2661" s="9">
        <v>48</v>
      </c>
      <c r="C2661" s="9">
        <v>688</v>
      </c>
      <c r="D2661" s="9">
        <f>PRODUCT(sales_data_sample[[#This Row],[QUANTITYORDERED]],sales_data_sample[[#This Row],[PRICEEACH]])</f>
        <v>33024</v>
      </c>
      <c r="E2661" s="9">
        <f>IF(OR(sales_data_sample[[#This Row],[STATUS]]="Shipped",sales_data_sample[[#This Row],[STATUS]]="Resolved"),sales_data_sample[[#This Row],[SALES]],0)</f>
        <v>33024</v>
      </c>
      <c r="F2661" s="10">
        <v>4</v>
      </c>
      <c r="G2661" s="12" t="s">
        <v>894</v>
      </c>
      <c r="H2661" s="1" t="s">
        <v>26</v>
      </c>
      <c r="I2661">
        <v>4</v>
      </c>
      <c r="J2661">
        <v>12</v>
      </c>
      <c r="K2661">
        <v>2004</v>
      </c>
      <c r="L2661" s="1" t="s">
        <v>839</v>
      </c>
      <c r="M2661">
        <v>118</v>
      </c>
      <c r="N2661" s="1" t="s">
        <v>1009</v>
      </c>
      <c r="O2661" s="1" t="s">
        <v>842</v>
      </c>
      <c r="P2661" s="1" t="s">
        <v>843</v>
      </c>
      <c r="Q2661" s="1" t="s">
        <v>844</v>
      </c>
      <c r="R2661" s="1" t="s">
        <v>32</v>
      </c>
      <c r="S2661" s="1" t="s">
        <v>734</v>
      </c>
      <c r="T2661" s="1" t="s">
        <v>144</v>
      </c>
      <c r="U2661" s="1" t="s">
        <v>845</v>
      </c>
      <c r="V2661" s="1" t="s">
        <v>36</v>
      </c>
      <c r="W2661" s="1" t="s">
        <v>37</v>
      </c>
      <c r="X2661" s="1" t="s">
        <v>846</v>
      </c>
      <c r="Y2661" s="1" t="s">
        <v>847</v>
      </c>
      <c r="Z2661" s="1" t="str">
        <f>TRIM(_xlfn.CONCAT(sales_data_sample[[#This Row],[CONTACTFIRSTNAME]],", ",sales_data_sample[[#This Row],[CONTACTLASTNAME]]))</f>
        <v>Dan, Lewis</v>
      </c>
      <c r="AA2661" s="1" t="s">
        <v>59</v>
      </c>
    </row>
    <row r="2662" spans="1:27" x14ac:dyDescent="0.25">
      <c r="A2662">
        <v>10361</v>
      </c>
      <c r="B2662">
        <v>44</v>
      </c>
      <c r="C2662">
        <v>7242</v>
      </c>
      <c r="D2662">
        <f>PRODUCT(sales_data_sample[[#This Row],[QUANTITYORDERED]],sales_data_sample[[#This Row],[PRICEEACH]])</f>
        <v>318648</v>
      </c>
      <c r="E2662" s="9">
        <f>IF(OR(sales_data_sample[[#This Row],[STATUS]]="Shipped",sales_data_sample[[#This Row],[STATUS]]="Resolved"),sales_data_sample[[#This Row],[SALES]],0)</f>
        <v>318648</v>
      </c>
      <c r="F2662">
        <v>5</v>
      </c>
      <c r="G2662" s="12" t="s">
        <v>200</v>
      </c>
      <c r="H2662" s="1" t="s">
        <v>26</v>
      </c>
      <c r="I2662">
        <v>4</v>
      </c>
      <c r="J2662">
        <v>12</v>
      </c>
      <c r="K2662">
        <v>2004</v>
      </c>
      <c r="L2662" s="1" t="s">
        <v>839</v>
      </c>
      <c r="M2662">
        <v>118</v>
      </c>
      <c r="N2662" s="1" t="s">
        <v>1009</v>
      </c>
      <c r="O2662" s="1" t="s">
        <v>201</v>
      </c>
      <c r="P2662" s="1" t="s">
        <v>202</v>
      </c>
      <c r="Q2662" s="1" t="s">
        <v>203</v>
      </c>
      <c r="R2662" s="1" t="s">
        <v>204</v>
      </c>
      <c r="S2662" s="1" t="s">
        <v>205</v>
      </c>
      <c r="T2662" s="1" t="s">
        <v>206</v>
      </c>
      <c r="U2662" s="1" t="s">
        <v>207</v>
      </c>
      <c r="V2662" s="1" t="s">
        <v>120</v>
      </c>
      <c r="W2662" s="1" t="s">
        <v>121</v>
      </c>
      <c r="X2662" s="1" t="s">
        <v>208</v>
      </c>
      <c r="Y2662" s="1" t="s">
        <v>209</v>
      </c>
      <c r="Z2662" s="1" t="str">
        <f>TRIM(_xlfn.CONCAT(sales_data_sample[[#This Row],[CONTACTFIRSTNAME]],", ",sales_data_sample[[#This Row],[CONTACTLASTNAME]]))</f>
        <v>Adrian, Huxley</v>
      </c>
      <c r="AA2662" s="1" t="s">
        <v>59</v>
      </c>
    </row>
    <row r="2663" spans="1:27" x14ac:dyDescent="0.25">
      <c r="A2663" s="10">
        <v>10375</v>
      </c>
      <c r="B2663" s="9">
        <v>25</v>
      </c>
      <c r="C2663" s="9">
        <v>6673</v>
      </c>
      <c r="D2663" s="9">
        <f>PRODUCT(sales_data_sample[[#This Row],[QUANTITYORDERED]],sales_data_sample[[#This Row],[PRICEEACH]])</f>
        <v>166825</v>
      </c>
      <c r="E2663" s="9">
        <f>IF(OR(sales_data_sample[[#This Row],[STATUS]]="Shipped",sales_data_sample[[#This Row],[STATUS]]="Resolved"),sales_data_sample[[#This Row],[SALES]],0)</f>
        <v>166825</v>
      </c>
      <c r="F2663" s="10">
        <v>10</v>
      </c>
      <c r="G2663" s="12" t="s">
        <v>210</v>
      </c>
      <c r="H2663" s="1" t="s">
        <v>26</v>
      </c>
      <c r="I2663">
        <v>1</v>
      </c>
      <c r="J2663">
        <v>2</v>
      </c>
      <c r="K2663">
        <v>2005</v>
      </c>
      <c r="L2663" s="1" t="s">
        <v>839</v>
      </c>
      <c r="M2663">
        <v>118</v>
      </c>
      <c r="N2663" s="1" t="s">
        <v>1009</v>
      </c>
      <c r="O2663" s="1" t="s">
        <v>148</v>
      </c>
      <c r="P2663" s="1" t="s">
        <v>149</v>
      </c>
      <c r="Q2663" s="1" t="s">
        <v>150</v>
      </c>
      <c r="R2663" s="1" t="s">
        <v>32</v>
      </c>
      <c r="S2663" s="1" t="s">
        <v>151</v>
      </c>
      <c r="T2663" s="1" t="s">
        <v>32</v>
      </c>
      <c r="U2663" s="1" t="s">
        <v>152</v>
      </c>
      <c r="V2663" s="1" t="s">
        <v>47</v>
      </c>
      <c r="W2663" s="1" t="s">
        <v>48</v>
      </c>
      <c r="X2663" s="1" t="s">
        <v>153</v>
      </c>
      <c r="Y2663" s="1" t="s">
        <v>154</v>
      </c>
      <c r="Z2663" s="1" t="str">
        <f>TRIM(_xlfn.CONCAT(sales_data_sample[[#This Row],[CONTACTFIRSTNAME]],", ",sales_data_sample[[#This Row],[CONTACTLASTNAME]]))</f>
        <v>Janine, Labrune</v>
      </c>
      <c r="AA2663" s="1" t="s">
        <v>40</v>
      </c>
    </row>
    <row r="2664" spans="1:27" x14ac:dyDescent="0.25">
      <c r="A2664" s="10">
        <v>10388</v>
      </c>
      <c r="B2664" s="9">
        <v>50</v>
      </c>
      <c r="C2664" s="9">
        <v>100</v>
      </c>
      <c r="D2664" s="9">
        <f>PRODUCT(sales_data_sample[[#This Row],[QUANTITYORDERED]],sales_data_sample[[#This Row],[PRICEEACH]])</f>
        <v>5000</v>
      </c>
      <c r="E2664" s="9">
        <f>IF(OR(sales_data_sample[[#This Row],[STATUS]]="Shipped",sales_data_sample[[#This Row],[STATUS]]="Resolved"),sales_data_sample[[#This Row],[SALES]],0)</f>
        <v>5000</v>
      </c>
      <c r="F2664" s="10">
        <v>3</v>
      </c>
      <c r="G2664" s="12" t="s">
        <v>211</v>
      </c>
      <c r="H2664" s="1" t="s">
        <v>26</v>
      </c>
      <c r="I2664">
        <v>1</v>
      </c>
      <c r="J2664">
        <v>3</v>
      </c>
      <c r="K2664">
        <v>2005</v>
      </c>
      <c r="L2664" s="1" t="s">
        <v>839</v>
      </c>
      <c r="M2664">
        <v>118</v>
      </c>
      <c r="N2664" s="1" t="s">
        <v>1009</v>
      </c>
      <c r="O2664" s="1" t="s">
        <v>212</v>
      </c>
      <c r="P2664" s="1" t="s">
        <v>213</v>
      </c>
      <c r="Q2664" s="1" t="s">
        <v>214</v>
      </c>
      <c r="R2664" s="1" t="s">
        <v>32</v>
      </c>
      <c r="S2664" s="1" t="s">
        <v>215</v>
      </c>
      <c r="T2664" s="1" t="s">
        <v>160</v>
      </c>
      <c r="U2664" s="1" t="s">
        <v>216</v>
      </c>
      <c r="V2664" s="1" t="s">
        <v>36</v>
      </c>
      <c r="W2664" s="1" t="s">
        <v>37</v>
      </c>
      <c r="X2664" s="1" t="s">
        <v>217</v>
      </c>
      <c r="Y2664" s="1" t="s">
        <v>218</v>
      </c>
      <c r="Z2664" s="1" t="str">
        <f>TRIM(_xlfn.CONCAT(sales_data_sample[[#This Row],[CONTACTFIRSTNAME]],", ",sales_data_sample[[#This Row],[CONTACTLASTNAME]]))</f>
        <v>Violeta, Benitez</v>
      </c>
      <c r="AA2664" s="1" t="s">
        <v>199</v>
      </c>
    </row>
    <row r="2665" spans="1:27" x14ac:dyDescent="0.25">
      <c r="A2665" s="10">
        <v>10398</v>
      </c>
      <c r="B2665" s="9">
        <v>23</v>
      </c>
      <c r="C2665" s="9">
        <v>100</v>
      </c>
      <c r="D2665" s="9">
        <f>PRODUCT(sales_data_sample[[#This Row],[QUANTITYORDERED]],sales_data_sample[[#This Row],[PRICEEACH]])</f>
        <v>2300</v>
      </c>
      <c r="E2665" s="9">
        <f>IF(OR(sales_data_sample[[#This Row],[STATUS]]="Shipped",sales_data_sample[[#This Row],[STATUS]]="Resolved"),sales_data_sample[[#This Row],[SALES]],0)</f>
        <v>2300</v>
      </c>
      <c r="F2665" s="10">
        <v>9</v>
      </c>
      <c r="G2665" s="12" t="s">
        <v>870</v>
      </c>
      <c r="H2665" s="1" t="s">
        <v>26</v>
      </c>
      <c r="I2665">
        <v>1</v>
      </c>
      <c r="J2665">
        <v>3</v>
      </c>
      <c r="K2665">
        <v>2005</v>
      </c>
      <c r="L2665" s="1" t="s">
        <v>839</v>
      </c>
      <c r="M2665">
        <v>118</v>
      </c>
      <c r="N2665" s="1" t="s">
        <v>1009</v>
      </c>
      <c r="O2665" s="1" t="s">
        <v>42</v>
      </c>
      <c r="P2665" s="1" t="s">
        <v>43</v>
      </c>
      <c r="Q2665" s="1" t="s">
        <v>44</v>
      </c>
      <c r="R2665" s="1" t="s">
        <v>32</v>
      </c>
      <c r="S2665" s="1" t="s">
        <v>45</v>
      </c>
      <c r="T2665" s="1" t="s">
        <v>32</v>
      </c>
      <c r="U2665" s="1" t="s">
        <v>46</v>
      </c>
      <c r="V2665" s="1" t="s">
        <v>47</v>
      </c>
      <c r="W2665" s="1" t="s">
        <v>48</v>
      </c>
      <c r="X2665" s="1" t="s">
        <v>49</v>
      </c>
      <c r="Y2665" s="1" t="s">
        <v>50</v>
      </c>
      <c r="Z2665" s="1" t="str">
        <f>TRIM(_xlfn.CONCAT(sales_data_sample[[#This Row],[CONTACTFIRSTNAME]],", ",sales_data_sample[[#This Row],[CONTACTLASTNAME]]))</f>
        <v>Paul, Henriot</v>
      </c>
      <c r="AA2665" s="1" t="s">
        <v>40</v>
      </c>
    </row>
    <row r="2666" spans="1:27" x14ac:dyDescent="0.25">
      <c r="A2666" s="10">
        <v>10401</v>
      </c>
      <c r="B2666" s="9">
        <v>21</v>
      </c>
      <c r="C2666" s="9">
        <v>9611</v>
      </c>
      <c r="D2666" s="9">
        <f>PRODUCT(sales_data_sample[[#This Row],[QUANTITYORDERED]],sales_data_sample[[#This Row],[PRICEEACH]])</f>
        <v>201831</v>
      </c>
      <c r="E2666" s="9">
        <f>IF(OR(sales_data_sample[[#This Row],[STATUS]]="Shipped",sales_data_sample[[#This Row],[STATUS]]="Resolved"),sales_data_sample[[#This Row],[SALES]],0)</f>
        <v>0</v>
      </c>
      <c r="F2666" s="10">
        <v>2</v>
      </c>
      <c r="G2666" s="12" t="s">
        <v>895</v>
      </c>
      <c r="H2666" s="1" t="s">
        <v>553</v>
      </c>
      <c r="I2666">
        <v>2</v>
      </c>
      <c r="J2666">
        <v>4</v>
      </c>
      <c r="K2666">
        <v>2005</v>
      </c>
      <c r="L2666" s="1" t="s">
        <v>839</v>
      </c>
      <c r="M2666">
        <v>118</v>
      </c>
      <c r="N2666" s="1" t="s">
        <v>1009</v>
      </c>
      <c r="O2666" s="1" t="s">
        <v>132</v>
      </c>
      <c r="P2666" s="1" t="s">
        <v>133</v>
      </c>
      <c r="Q2666" s="1" t="s">
        <v>134</v>
      </c>
      <c r="R2666" s="1" t="s">
        <v>32</v>
      </c>
      <c r="S2666" s="1" t="s">
        <v>135</v>
      </c>
      <c r="T2666" s="1" t="s">
        <v>136</v>
      </c>
      <c r="U2666" s="1" t="s">
        <v>137</v>
      </c>
      <c r="V2666" s="1" t="s">
        <v>36</v>
      </c>
      <c r="W2666" s="1" t="s">
        <v>37</v>
      </c>
      <c r="X2666" s="1" t="s">
        <v>74</v>
      </c>
      <c r="Y2666" s="1" t="s">
        <v>138</v>
      </c>
      <c r="Z2666" s="1" t="str">
        <f>TRIM(_xlfn.CONCAT(sales_data_sample[[#This Row],[CONTACTFIRSTNAME]],", ",sales_data_sample[[#This Row],[CONTACTLASTNAME]]))</f>
        <v>William, Brown</v>
      </c>
      <c r="AA2666" s="1" t="s">
        <v>40</v>
      </c>
    </row>
    <row r="2667" spans="1:27" x14ac:dyDescent="0.25">
      <c r="A2667" s="10">
        <v>10416</v>
      </c>
      <c r="B2667" s="9">
        <v>41</v>
      </c>
      <c r="C2667" s="9">
        <v>100</v>
      </c>
      <c r="D2667" s="9">
        <f>PRODUCT(sales_data_sample[[#This Row],[QUANTITYORDERED]],sales_data_sample[[#This Row],[PRICEEACH]])</f>
        <v>4100</v>
      </c>
      <c r="E2667" s="9">
        <f>IF(OR(sales_data_sample[[#This Row],[STATUS]]="Shipped",sales_data_sample[[#This Row],[STATUS]]="Resolved"),sales_data_sample[[#This Row],[SALES]],0)</f>
        <v>4100</v>
      </c>
      <c r="F2667" s="10">
        <v>3</v>
      </c>
      <c r="G2667" s="12" t="s">
        <v>871</v>
      </c>
      <c r="H2667" s="1" t="s">
        <v>26</v>
      </c>
      <c r="I2667">
        <v>2</v>
      </c>
      <c r="J2667">
        <v>5</v>
      </c>
      <c r="K2667">
        <v>2005</v>
      </c>
      <c r="L2667" s="1" t="s">
        <v>839</v>
      </c>
      <c r="M2667">
        <v>118</v>
      </c>
      <c r="N2667" s="1" t="s">
        <v>1009</v>
      </c>
      <c r="O2667" s="1" t="s">
        <v>632</v>
      </c>
      <c r="P2667" s="1" t="s">
        <v>633</v>
      </c>
      <c r="Q2667" s="1" t="s">
        <v>634</v>
      </c>
      <c r="R2667" s="1" t="s">
        <v>32</v>
      </c>
      <c r="S2667" s="1" t="s">
        <v>635</v>
      </c>
      <c r="T2667" s="1" t="s">
        <v>32</v>
      </c>
      <c r="U2667" s="1" t="s">
        <v>636</v>
      </c>
      <c r="V2667" s="1" t="s">
        <v>343</v>
      </c>
      <c r="W2667" s="1" t="s">
        <v>48</v>
      </c>
      <c r="X2667" s="1" t="s">
        <v>637</v>
      </c>
      <c r="Y2667" s="1" t="s">
        <v>638</v>
      </c>
      <c r="Z2667" s="1" t="str">
        <f>TRIM(_xlfn.CONCAT(sales_data_sample[[#This Row],[CONTACTFIRSTNAME]],", ",sales_data_sample[[#This Row],[CONTACTLASTNAME]]))</f>
        <v>Maurizio, Moroni</v>
      </c>
      <c r="AA2667" s="1" t="s">
        <v>59</v>
      </c>
    </row>
    <row r="2668" spans="1:27" x14ac:dyDescent="0.25">
      <c r="A2668" s="10">
        <v>10106</v>
      </c>
      <c r="B2668" s="9">
        <v>44</v>
      </c>
      <c r="C2668" s="9">
        <v>744</v>
      </c>
      <c r="D2668" s="9">
        <f>PRODUCT(sales_data_sample[[#This Row],[QUANTITYORDERED]],sales_data_sample[[#This Row],[PRICEEACH]])</f>
        <v>32736</v>
      </c>
      <c r="E2668" s="9">
        <f>IF(OR(sales_data_sample[[#This Row],[STATUS]]="Shipped",sales_data_sample[[#This Row],[STATUS]]="Resolved"),sales_data_sample[[#This Row],[SALES]],0)</f>
        <v>32736</v>
      </c>
      <c r="F2668" s="10">
        <v>8</v>
      </c>
      <c r="G2668" s="12" t="s">
        <v>838</v>
      </c>
      <c r="H2668" s="1" t="s">
        <v>26</v>
      </c>
      <c r="I2668">
        <v>1</v>
      </c>
      <c r="J2668">
        <v>2</v>
      </c>
      <c r="K2668">
        <v>2003</v>
      </c>
      <c r="L2668" s="1" t="s">
        <v>839</v>
      </c>
      <c r="M2668">
        <v>80</v>
      </c>
      <c r="N2668" s="1" t="s">
        <v>1010</v>
      </c>
      <c r="O2668" s="1" t="s">
        <v>806</v>
      </c>
      <c r="P2668" s="1" t="s">
        <v>807</v>
      </c>
      <c r="Q2668" s="1" t="s">
        <v>808</v>
      </c>
      <c r="R2668" s="1" t="s">
        <v>32</v>
      </c>
      <c r="S2668" s="1" t="s">
        <v>809</v>
      </c>
      <c r="T2668" s="1" t="s">
        <v>32</v>
      </c>
      <c r="U2668" s="1" t="s">
        <v>810</v>
      </c>
      <c r="V2668" s="1" t="s">
        <v>343</v>
      </c>
      <c r="W2668" s="1" t="s">
        <v>48</v>
      </c>
      <c r="X2668" s="1" t="s">
        <v>811</v>
      </c>
      <c r="Y2668" s="1" t="s">
        <v>812</v>
      </c>
      <c r="Z2668" s="1" t="str">
        <f>TRIM(_xlfn.CONCAT(sales_data_sample[[#This Row],[CONTACTFIRSTNAME]],", ",sales_data_sample[[#This Row],[CONTACTLASTNAME]]))</f>
        <v>Giovanni, Rovelli</v>
      </c>
      <c r="AA2668" s="1" t="s">
        <v>59</v>
      </c>
    </row>
    <row r="2669" spans="1:27" x14ac:dyDescent="0.25">
      <c r="A2669">
        <v>10120</v>
      </c>
      <c r="B2669">
        <v>43</v>
      </c>
      <c r="C2669">
        <v>76</v>
      </c>
      <c r="D2669">
        <f>PRODUCT(sales_data_sample[[#This Row],[QUANTITYORDERED]],sales_data_sample[[#This Row],[PRICEEACH]])</f>
        <v>3268</v>
      </c>
      <c r="E2669" s="9">
        <f>IF(OR(sales_data_sample[[#This Row],[STATUS]]="Shipped",sales_data_sample[[#This Row],[STATUS]]="Resolved"),sales_data_sample[[#This Row],[SALES]],0)</f>
        <v>3268</v>
      </c>
      <c r="F2669">
        <v>14</v>
      </c>
      <c r="G2669" s="12" t="s">
        <v>405</v>
      </c>
      <c r="H2669" s="1" t="s">
        <v>26</v>
      </c>
      <c r="I2669">
        <v>2</v>
      </c>
      <c r="J2669">
        <v>4</v>
      </c>
      <c r="K2669">
        <v>2003</v>
      </c>
      <c r="L2669" s="1" t="s">
        <v>839</v>
      </c>
      <c r="M2669">
        <v>80</v>
      </c>
      <c r="N2669" s="1" t="s">
        <v>1010</v>
      </c>
      <c r="O2669" s="1" t="s">
        <v>113</v>
      </c>
      <c r="P2669" s="1" t="s">
        <v>114</v>
      </c>
      <c r="Q2669" s="1" t="s">
        <v>115</v>
      </c>
      <c r="R2669" s="1" t="s">
        <v>116</v>
      </c>
      <c r="S2669" s="1" t="s">
        <v>117</v>
      </c>
      <c r="T2669" s="1" t="s">
        <v>118</v>
      </c>
      <c r="U2669" s="1" t="s">
        <v>119</v>
      </c>
      <c r="V2669" s="1" t="s">
        <v>120</v>
      </c>
      <c r="W2669" s="1" t="s">
        <v>121</v>
      </c>
      <c r="X2669" s="1" t="s">
        <v>122</v>
      </c>
      <c r="Y2669" s="1" t="s">
        <v>123</v>
      </c>
      <c r="Z2669" s="1" t="str">
        <f>TRIM(_xlfn.CONCAT(sales_data_sample[[#This Row],[CONTACTFIRSTNAME]],", ",sales_data_sample[[#This Row],[CONTACTLASTNAME]]))</f>
        <v>Peter, Ferguson</v>
      </c>
      <c r="AA2669" s="1" t="s">
        <v>59</v>
      </c>
    </row>
    <row r="2670" spans="1:27" x14ac:dyDescent="0.25">
      <c r="A2670" s="10">
        <v>10143</v>
      </c>
      <c r="B2670" s="9">
        <v>28</v>
      </c>
      <c r="C2670" s="9">
        <v>96</v>
      </c>
      <c r="D2670" s="9">
        <f>PRODUCT(sales_data_sample[[#This Row],[QUANTITYORDERED]],sales_data_sample[[#This Row],[PRICEEACH]])</f>
        <v>2688</v>
      </c>
      <c r="E2670" s="9">
        <f>IF(OR(sales_data_sample[[#This Row],[STATUS]]="Shipped",sales_data_sample[[#This Row],[STATUS]]="Resolved"),sales_data_sample[[#This Row],[SALES]],0)</f>
        <v>2688</v>
      </c>
      <c r="F2670" s="10">
        <v>3</v>
      </c>
      <c r="G2670" s="12" t="s">
        <v>453</v>
      </c>
      <c r="H2670" s="1" t="s">
        <v>26</v>
      </c>
      <c r="I2670">
        <v>3</v>
      </c>
      <c r="J2670">
        <v>8</v>
      </c>
      <c r="K2670">
        <v>2003</v>
      </c>
      <c r="L2670" s="1" t="s">
        <v>839</v>
      </c>
      <c r="M2670">
        <v>80</v>
      </c>
      <c r="N2670" s="1" t="s">
        <v>1010</v>
      </c>
      <c r="O2670" s="1" t="s">
        <v>454</v>
      </c>
      <c r="P2670" s="1" t="s">
        <v>455</v>
      </c>
      <c r="Q2670" s="1" t="s">
        <v>456</v>
      </c>
      <c r="R2670" s="1" t="s">
        <v>32</v>
      </c>
      <c r="S2670" s="1" t="s">
        <v>215</v>
      </c>
      <c r="T2670" s="1" t="s">
        <v>160</v>
      </c>
      <c r="U2670" s="1" t="s">
        <v>216</v>
      </c>
      <c r="V2670" s="1" t="s">
        <v>36</v>
      </c>
      <c r="W2670" s="1" t="s">
        <v>37</v>
      </c>
      <c r="X2670" s="1" t="s">
        <v>457</v>
      </c>
      <c r="Y2670" s="1" t="s">
        <v>458</v>
      </c>
      <c r="Z2670" s="1" t="str">
        <f>TRIM(_xlfn.CONCAT(sales_data_sample[[#This Row],[CONTACTFIRSTNAME]],", ",sales_data_sample[[#This Row],[CONTACTLASTNAME]]))</f>
        <v>Wing C, Tam</v>
      </c>
      <c r="AA2670" s="1" t="s">
        <v>40</v>
      </c>
    </row>
    <row r="2671" spans="1:27" x14ac:dyDescent="0.25">
      <c r="A2671" s="10">
        <v>10155</v>
      </c>
      <c r="B2671" s="9">
        <v>43</v>
      </c>
      <c r="C2671" s="9">
        <v>864</v>
      </c>
      <c r="D2671" s="9">
        <f>PRODUCT(sales_data_sample[[#This Row],[QUANTITYORDERED]],sales_data_sample[[#This Row],[PRICEEACH]])</f>
        <v>37152</v>
      </c>
      <c r="E2671" s="9">
        <f>IF(OR(sales_data_sample[[#This Row],[STATUS]]="Shipped",sales_data_sample[[#This Row],[STATUS]]="Resolved"),sales_data_sample[[#This Row],[SALES]],0)</f>
        <v>37152</v>
      </c>
      <c r="F2671" s="10">
        <v>1</v>
      </c>
      <c r="G2671" s="12" t="s">
        <v>459</v>
      </c>
      <c r="H2671" s="1" t="s">
        <v>26</v>
      </c>
      <c r="I2671">
        <v>4</v>
      </c>
      <c r="J2671">
        <v>10</v>
      </c>
      <c r="K2671">
        <v>2003</v>
      </c>
      <c r="L2671" s="1" t="s">
        <v>839</v>
      </c>
      <c r="M2671">
        <v>80</v>
      </c>
      <c r="N2671" s="1" t="s">
        <v>1010</v>
      </c>
      <c r="O2671" s="1" t="s">
        <v>165</v>
      </c>
      <c r="P2671" s="1" t="s">
        <v>166</v>
      </c>
      <c r="Q2671" s="1" t="s">
        <v>167</v>
      </c>
      <c r="R2671" s="1" t="s">
        <v>32</v>
      </c>
      <c r="S2671" s="1" t="s">
        <v>168</v>
      </c>
      <c r="T2671" s="1" t="s">
        <v>32</v>
      </c>
      <c r="U2671" s="1" t="s">
        <v>169</v>
      </c>
      <c r="V2671" s="1" t="s">
        <v>170</v>
      </c>
      <c r="W2671" s="1" t="s">
        <v>48</v>
      </c>
      <c r="X2671" s="1" t="s">
        <v>171</v>
      </c>
      <c r="Y2671" s="1" t="s">
        <v>172</v>
      </c>
      <c r="Z2671" s="1" t="str">
        <f>TRIM(_xlfn.CONCAT(sales_data_sample[[#This Row],[CONTACTFIRSTNAME]],", ",sales_data_sample[[#This Row],[CONTACTLASTNAME]]))</f>
        <v>Matti, Karttunen</v>
      </c>
      <c r="AA2671" s="1" t="s">
        <v>59</v>
      </c>
    </row>
    <row r="2672" spans="1:27" x14ac:dyDescent="0.25">
      <c r="A2672" s="10">
        <v>10168</v>
      </c>
      <c r="B2672" s="9">
        <v>48</v>
      </c>
      <c r="C2672" s="9">
        <v>96</v>
      </c>
      <c r="D2672" s="9">
        <f>PRODUCT(sales_data_sample[[#This Row],[QUANTITYORDERED]],sales_data_sample[[#This Row],[PRICEEACH]])</f>
        <v>4608</v>
      </c>
      <c r="E2672" s="9">
        <f>IF(OR(sales_data_sample[[#This Row],[STATUS]]="Shipped",sales_data_sample[[#This Row],[STATUS]]="Resolved"),sales_data_sample[[#This Row],[SALES]],0)</f>
        <v>4608</v>
      </c>
      <c r="F2672" s="10">
        <v>15</v>
      </c>
      <c r="G2672" s="12" t="s">
        <v>75</v>
      </c>
      <c r="H2672" s="1" t="s">
        <v>26</v>
      </c>
      <c r="I2672">
        <v>4</v>
      </c>
      <c r="J2672">
        <v>10</v>
      </c>
      <c r="K2672">
        <v>2003</v>
      </c>
      <c r="L2672" s="1" t="s">
        <v>839</v>
      </c>
      <c r="M2672">
        <v>80</v>
      </c>
      <c r="N2672" s="1" t="s">
        <v>1010</v>
      </c>
      <c r="O2672" s="1" t="s">
        <v>76</v>
      </c>
      <c r="P2672" s="1" t="s">
        <v>77</v>
      </c>
      <c r="Q2672" s="1" t="s">
        <v>78</v>
      </c>
      <c r="R2672" s="1" t="s">
        <v>32</v>
      </c>
      <c r="S2672" s="1" t="s">
        <v>79</v>
      </c>
      <c r="T2672" s="1" t="s">
        <v>65</v>
      </c>
      <c r="U2672" s="1" t="s">
        <v>80</v>
      </c>
      <c r="V2672" s="1" t="s">
        <v>36</v>
      </c>
      <c r="W2672" s="1" t="s">
        <v>37</v>
      </c>
      <c r="X2672" s="1" t="s">
        <v>81</v>
      </c>
      <c r="Y2672" s="1" t="s">
        <v>82</v>
      </c>
      <c r="Z2672" s="1" t="str">
        <f>TRIM(_xlfn.CONCAT(sales_data_sample[[#This Row],[CONTACTFIRSTNAME]],", ",sales_data_sample[[#This Row],[CONTACTLASTNAME]]))</f>
        <v>Juri, Hirano</v>
      </c>
      <c r="AA2672" s="1" t="s">
        <v>59</v>
      </c>
    </row>
    <row r="2673" spans="1:27" x14ac:dyDescent="0.25">
      <c r="A2673" s="10">
        <v>10199</v>
      </c>
      <c r="B2673" s="9">
        <v>38</v>
      </c>
      <c r="C2673" s="9">
        <v>824</v>
      </c>
      <c r="D2673" s="9">
        <f>PRODUCT(sales_data_sample[[#This Row],[QUANTITYORDERED]],sales_data_sample[[#This Row],[PRICEEACH]])</f>
        <v>31312</v>
      </c>
      <c r="E2673" s="9">
        <f>IF(OR(sales_data_sample[[#This Row],[STATUS]]="Shipped",sales_data_sample[[#This Row],[STATUS]]="Resolved"),sales_data_sample[[#This Row],[SALES]],0)</f>
        <v>31312</v>
      </c>
      <c r="F2673" s="10">
        <v>3</v>
      </c>
      <c r="G2673" s="12" t="s">
        <v>100</v>
      </c>
      <c r="H2673" s="1" t="s">
        <v>26</v>
      </c>
      <c r="I2673">
        <v>4</v>
      </c>
      <c r="J2673">
        <v>12</v>
      </c>
      <c r="K2673">
        <v>2003</v>
      </c>
      <c r="L2673" s="1" t="s">
        <v>839</v>
      </c>
      <c r="M2673">
        <v>80</v>
      </c>
      <c r="N2673" s="1" t="s">
        <v>1010</v>
      </c>
      <c r="O2673" s="1" t="s">
        <v>309</v>
      </c>
      <c r="P2673" s="1" t="s">
        <v>310</v>
      </c>
      <c r="Q2673" s="1" t="s">
        <v>311</v>
      </c>
      <c r="R2673" s="1" t="s">
        <v>32</v>
      </c>
      <c r="S2673" s="1" t="s">
        <v>312</v>
      </c>
      <c r="T2673" s="1" t="s">
        <v>65</v>
      </c>
      <c r="U2673" s="1" t="s">
        <v>137</v>
      </c>
      <c r="V2673" s="1" t="s">
        <v>36</v>
      </c>
      <c r="W2673" s="1" t="s">
        <v>37</v>
      </c>
      <c r="X2673" s="1" t="s">
        <v>313</v>
      </c>
      <c r="Y2673" s="1" t="s">
        <v>314</v>
      </c>
      <c r="Z2673" s="1" t="str">
        <f>TRIM(_xlfn.CONCAT(sales_data_sample[[#This Row],[CONTACTFIRSTNAME]],", ",sales_data_sample[[#This Row],[CONTACTLASTNAME]]))</f>
        <v>Steve, Thompson</v>
      </c>
      <c r="AA2673" s="1" t="s">
        <v>59</v>
      </c>
    </row>
    <row r="2674" spans="1:27" x14ac:dyDescent="0.25">
      <c r="A2674" s="10">
        <v>10210</v>
      </c>
      <c r="B2674" s="9">
        <v>31</v>
      </c>
      <c r="C2674" s="9">
        <v>864</v>
      </c>
      <c r="D2674" s="9">
        <f>PRODUCT(sales_data_sample[[#This Row],[QUANTITYORDERED]],sales_data_sample[[#This Row],[PRICEEACH]])</f>
        <v>26784</v>
      </c>
      <c r="E2674" s="9">
        <f>IF(OR(sales_data_sample[[#This Row],[STATUS]]="Shipped",sales_data_sample[[#This Row],[STATUS]]="Resolved"),sales_data_sample[[#This Row],[SALES]],0)</f>
        <v>26784</v>
      </c>
      <c r="F2674" s="10">
        <v>13</v>
      </c>
      <c r="G2674" s="12" t="s">
        <v>406</v>
      </c>
      <c r="H2674" s="1" t="s">
        <v>26</v>
      </c>
      <c r="I2674">
        <v>1</v>
      </c>
      <c r="J2674">
        <v>1</v>
      </c>
      <c r="K2674">
        <v>2004</v>
      </c>
      <c r="L2674" s="1" t="s">
        <v>839</v>
      </c>
      <c r="M2674">
        <v>80</v>
      </c>
      <c r="N2674" s="1" t="s">
        <v>1010</v>
      </c>
      <c r="O2674" s="1" t="s">
        <v>407</v>
      </c>
      <c r="P2674" s="1" t="s">
        <v>408</v>
      </c>
      <c r="Q2674" s="1" t="s">
        <v>409</v>
      </c>
      <c r="R2674" s="1" t="s">
        <v>32</v>
      </c>
      <c r="S2674" s="1" t="s">
        <v>410</v>
      </c>
      <c r="T2674" s="1" t="s">
        <v>410</v>
      </c>
      <c r="U2674" s="1" t="s">
        <v>411</v>
      </c>
      <c r="V2674" s="1" t="s">
        <v>264</v>
      </c>
      <c r="W2674" s="1" t="s">
        <v>264</v>
      </c>
      <c r="X2674" s="1" t="s">
        <v>412</v>
      </c>
      <c r="Y2674" s="1" t="s">
        <v>413</v>
      </c>
      <c r="Z2674" s="1" t="str">
        <f>TRIM(_xlfn.CONCAT(sales_data_sample[[#This Row],[CONTACTFIRSTNAME]],", ",sales_data_sample[[#This Row],[CONTACTLASTNAME]]))</f>
        <v>Mory, Kentary</v>
      </c>
      <c r="AA2674" s="1" t="s">
        <v>40</v>
      </c>
    </row>
    <row r="2675" spans="1:27" x14ac:dyDescent="0.25">
      <c r="A2675">
        <v>10223</v>
      </c>
      <c r="B2675">
        <v>26</v>
      </c>
      <c r="C2675">
        <v>672</v>
      </c>
      <c r="D2675">
        <f>PRODUCT(sales_data_sample[[#This Row],[QUANTITYORDERED]],sales_data_sample[[#This Row],[PRICEEACH]])</f>
        <v>17472</v>
      </c>
      <c r="E2675" s="9">
        <f>IF(OR(sales_data_sample[[#This Row],[STATUS]]="Shipped",sales_data_sample[[#This Row],[STATUS]]="Resolved"),sales_data_sample[[#This Row],[SALES]],0)</f>
        <v>17472</v>
      </c>
      <c r="F2675">
        <v>15</v>
      </c>
      <c r="G2675" s="12" t="s">
        <v>112</v>
      </c>
      <c r="H2675" s="1" t="s">
        <v>26</v>
      </c>
      <c r="I2675">
        <v>1</v>
      </c>
      <c r="J2675">
        <v>2</v>
      </c>
      <c r="K2675">
        <v>2004</v>
      </c>
      <c r="L2675" s="1" t="s">
        <v>839</v>
      </c>
      <c r="M2675">
        <v>80</v>
      </c>
      <c r="N2675" s="1" t="s">
        <v>1010</v>
      </c>
      <c r="O2675" s="1" t="s">
        <v>113</v>
      </c>
      <c r="P2675" s="1" t="s">
        <v>114</v>
      </c>
      <c r="Q2675" s="1" t="s">
        <v>115</v>
      </c>
      <c r="R2675" s="1" t="s">
        <v>116</v>
      </c>
      <c r="S2675" s="1" t="s">
        <v>117</v>
      </c>
      <c r="T2675" s="1" t="s">
        <v>118</v>
      </c>
      <c r="U2675" s="1" t="s">
        <v>119</v>
      </c>
      <c r="V2675" s="1" t="s">
        <v>120</v>
      </c>
      <c r="W2675" s="1" t="s">
        <v>121</v>
      </c>
      <c r="X2675" s="1" t="s">
        <v>122</v>
      </c>
      <c r="Y2675" s="1" t="s">
        <v>123</v>
      </c>
      <c r="Z2675" s="1" t="str">
        <f>TRIM(_xlfn.CONCAT(sales_data_sample[[#This Row],[CONTACTFIRSTNAME]],", ",sales_data_sample[[#This Row],[CONTACTLASTNAME]]))</f>
        <v>Peter, Ferguson</v>
      </c>
      <c r="AA2675" s="1" t="s">
        <v>40</v>
      </c>
    </row>
    <row r="2676" spans="1:27" x14ac:dyDescent="0.25">
      <c r="A2676" s="10">
        <v>10235</v>
      </c>
      <c r="B2676" s="9">
        <v>32</v>
      </c>
      <c r="C2676" s="9">
        <v>92</v>
      </c>
      <c r="D2676" s="9">
        <f>PRODUCT(sales_data_sample[[#This Row],[QUANTITYORDERED]],sales_data_sample[[#This Row],[PRICEEACH]])</f>
        <v>2944</v>
      </c>
      <c r="E2676" s="9">
        <f>IF(OR(sales_data_sample[[#This Row],[STATUS]]="Shipped",sales_data_sample[[#This Row],[STATUS]]="Resolved"),sales_data_sample[[#This Row],[SALES]],0)</f>
        <v>2944</v>
      </c>
      <c r="F2676" s="10">
        <v>9</v>
      </c>
      <c r="G2676" s="12" t="s">
        <v>892</v>
      </c>
      <c r="H2676" s="1" t="s">
        <v>26</v>
      </c>
      <c r="I2676">
        <v>2</v>
      </c>
      <c r="J2676">
        <v>4</v>
      </c>
      <c r="K2676">
        <v>2004</v>
      </c>
      <c r="L2676" s="1" t="s">
        <v>839</v>
      </c>
      <c r="M2676">
        <v>80</v>
      </c>
      <c r="N2676" s="1" t="s">
        <v>1010</v>
      </c>
      <c r="O2676" s="1" t="s">
        <v>509</v>
      </c>
      <c r="P2676" s="1" t="s">
        <v>510</v>
      </c>
      <c r="Q2676" s="1" t="s">
        <v>511</v>
      </c>
      <c r="R2676" s="1" t="s">
        <v>32</v>
      </c>
      <c r="S2676" s="1" t="s">
        <v>512</v>
      </c>
      <c r="T2676" s="1" t="s">
        <v>303</v>
      </c>
      <c r="U2676" s="1" t="s">
        <v>513</v>
      </c>
      <c r="V2676" s="1" t="s">
        <v>305</v>
      </c>
      <c r="W2676" s="1" t="s">
        <v>37</v>
      </c>
      <c r="X2676" s="1" t="s">
        <v>514</v>
      </c>
      <c r="Y2676" s="1" t="s">
        <v>227</v>
      </c>
      <c r="Z2676" s="1" t="str">
        <f>TRIM(_xlfn.CONCAT(sales_data_sample[[#This Row],[CONTACTFIRSTNAME]],", ",sales_data_sample[[#This Row],[CONTACTLASTNAME]]))</f>
        <v>Elizabeth, Lincoln</v>
      </c>
      <c r="AA2676" s="1" t="s">
        <v>40</v>
      </c>
    </row>
    <row r="2677" spans="1:27" x14ac:dyDescent="0.25">
      <c r="A2677" s="10">
        <v>10250</v>
      </c>
      <c r="B2677" s="9">
        <v>44</v>
      </c>
      <c r="C2677" s="9">
        <v>672</v>
      </c>
      <c r="D2677" s="9">
        <f>PRODUCT(sales_data_sample[[#This Row],[QUANTITYORDERED]],sales_data_sample[[#This Row],[PRICEEACH]])</f>
        <v>29568</v>
      </c>
      <c r="E2677" s="9">
        <f>IF(OR(sales_data_sample[[#This Row],[STATUS]]="Shipped",sales_data_sample[[#This Row],[STATUS]]="Resolved"),sales_data_sample[[#This Row],[SALES]],0)</f>
        <v>29568</v>
      </c>
      <c r="F2677" s="10">
        <v>10</v>
      </c>
      <c r="G2677" s="12" t="s">
        <v>849</v>
      </c>
      <c r="H2677" s="1" t="s">
        <v>26</v>
      </c>
      <c r="I2677">
        <v>2</v>
      </c>
      <c r="J2677">
        <v>5</v>
      </c>
      <c r="K2677">
        <v>2004</v>
      </c>
      <c r="L2677" s="1" t="s">
        <v>839</v>
      </c>
      <c r="M2677">
        <v>80</v>
      </c>
      <c r="N2677" s="1" t="s">
        <v>1010</v>
      </c>
      <c r="O2677" s="1" t="s">
        <v>547</v>
      </c>
      <c r="P2677" s="1" t="s">
        <v>548</v>
      </c>
      <c r="Q2677" s="1" t="s">
        <v>549</v>
      </c>
      <c r="R2677" s="1" t="s">
        <v>32</v>
      </c>
      <c r="S2677" s="1" t="s">
        <v>550</v>
      </c>
      <c r="T2677" s="1" t="s">
        <v>65</v>
      </c>
      <c r="U2677" s="1" t="s">
        <v>80</v>
      </c>
      <c r="V2677" s="1" t="s">
        <v>36</v>
      </c>
      <c r="W2677" s="1" t="s">
        <v>37</v>
      </c>
      <c r="X2677" s="1" t="s">
        <v>129</v>
      </c>
      <c r="Y2677" s="1" t="s">
        <v>551</v>
      </c>
      <c r="Z2677" s="1" t="str">
        <f>TRIM(_xlfn.CONCAT(sales_data_sample[[#This Row],[CONTACTFIRSTNAME]],", ",sales_data_sample[[#This Row],[CONTACTLASTNAME]]))</f>
        <v>Sue, Frick</v>
      </c>
      <c r="AA2677" s="1" t="s">
        <v>40</v>
      </c>
    </row>
    <row r="2678" spans="1:27" x14ac:dyDescent="0.25">
      <c r="A2678" s="10">
        <v>10262</v>
      </c>
      <c r="B2678" s="9">
        <v>27</v>
      </c>
      <c r="C2678" s="9">
        <v>76</v>
      </c>
      <c r="D2678" s="9">
        <f>PRODUCT(sales_data_sample[[#This Row],[QUANTITYORDERED]],sales_data_sample[[#This Row],[PRICEEACH]])</f>
        <v>2052</v>
      </c>
      <c r="E2678" s="9">
        <f>IF(OR(sales_data_sample[[#This Row],[STATUS]]="Shipped",sales_data_sample[[#This Row],[STATUS]]="Resolved"),sales_data_sample[[#This Row],[SALES]],0)</f>
        <v>0</v>
      </c>
      <c r="F2678" s="10">
        <v>5</v>
      </c>
      <c r="G2678" s="12" t="s">
        <v>850</v>
      </c>
      <c r="H2678" s="1" t="s">
        <v>461</v>
      </c>
      <c r="I2678">
        <v>2</v>
      </c>
      <c r="J2678">
        <v>6</v>
      </c>
      <c r="K2678">
        <v>2004</v>
      </c>
      <c r="L2678" s="1" t="s">
        <v>839</v>
      </c>
      <c r="M2678">
        <v>80</v>
      </c>
      <c r="N2678" s="1" t="s">
        <v>1010</v>
      </c>
      <c r="O2678" s="1" t="s">
        <v>230</v>
      </c>
      <c r="P2678" s="1" t="s">
        <v>231</v>
      </c>
      <c r="Q2678" s="1" t="s">
        <v>232</v>
      </c>
      <c r="R2678" s="1" t="s">
        <v>32</v>
      </c>
      <c r="S2678" s="1" t="s">
        <v>233</v>
      </c>
      <c r="T2678" s="1" t="s">
        <v>32</v>
      </c>
      <c r="U2678" s="1" t="s">
        <v>234</v>
      </c>
      <c r="V2678" s="1" t="s">
        <v>235</v>
      </c>
      <c r="W2678" s="1" t="s">
        <v>48</v>
      </c>
      <c r="X2678" s="1" t="s">
        <v>236</v>
      </c>
      <c r="Y2678" s="1" t="s">
        <v>237</v>
      </c>
      <c r="Z2678" s="1" t="str">
        <f>TRIM(_xlfn.CONCAT(sales_data_sample[[#This Row],[CONTACTFIRSTNAME]],", ",sales_data_sample[[#This Row],[CONTACTLASTNAME]]))</f>
        <v>Diego, Freyre</v>
      </c>
      <c r="AA2678" s="1" t="s">
        <v>40</v>
      </c>
    </row>
    <row r="2679" spans="1:27" x14ac:dyDescent="0.25">
      <c r="A2679" s="10">
        <v>10275</v>
      </c>
      <c r="B2679" s="9">
        <v>43</v>
      </c>
      <c r="C2679" s="9">
        <v>736</v>
      </c>
      <c r="D2679" s="9">
        <f>PRODUCT(sales_data_sample[[#This Row],[QUANTITYORDERED]],sales_data_sample[[#This Row],[PRICEEACH]])</f>
        <v>31648</v>
      </c>
      <c r="E2679" s="9">
        <f>IF(OR(sales_data_sample[[#This Row],[STATUS]]="Shipped",sales_data_sample[[#This Row],[STATUS]]="Resolved"),sales_data_sample[[#This Row],[SALES]],0)</f>
        <v>31648</v>
      </c>
      <c r="F2679" s="10">
        <v>15</v>
      </c>
      <c r="G2679" s="12" t="s">
        <v>147</v>
      </c>
      <c r="H2679" s="1" t="s">
        <v>26</v>
      </c>
      <c r="I2679">
        <v>3</v>
      </c>
      <c r="J2679">
        <v>7</v>
      </c>
      <c r="K2679">
        <v>2004</v>
      </c>
      <c r="L2679" s="1" t="s">
        <v>839</v>
      </c>
      <c r="M2679">
        <v>80</v>
      </c>
      <c r="N2679" s="1" t="s">
        <v>1010</v>
      </c>
      <c r="O2679" s="1" t="s">
        <v>148</v>
      </c>
      <c r="P2679" s="1" t="s">
        <v>149</v>
      </c>
      <c r="Q2679" s="1" t="s">
        <v>150</v>
      </c>
      <c r="R2679" s="1" t="s">
        <v>32</v>
      </c>
      <c r="S2679" s="1" t="s">
        <v>151</v>
      </c>
      <c r="T2679" s="1" t="s">
        <v>32</v>
      </c>
      <c r="U2679" s="1" t="s">
        <v>152</v>
      </c>
      <c r="V2679" s="1" t="s">
        <v>47</v>
      </c>
      <c r="W2679" s="1" t="s">
        <v>48</v>
      </c>
      <c r="X2679" s="1" t="s">
        <v>153</v>
      </c>
      <c r="Y2679" s="1" t="s">
        <v>154</v>
      </c>
      <c r="Z2679" s="1" t="str">
        <f>TRIM(_xlfn.CONCAT(sales_data_sample[[#This Row],[CONTACTFIRSTNAME]],", ",sales_data_sample[[#This Row],[CONTACTLASTNAME]]))</f>
        <v>Janine, Labrune</v>
      </c>
      <c r="AA2679" s="1" t="s">
        <v>59</v>
      </c>
    </row>
    <row r="2680" spans="1:27" x14ac:dyDescent="0.25">
      <c r="A2680" s="10">
        <v>10284</v>
      </c>
      <c r="B2680" s="9">
        <v>25</v>
      </c>
      <c r="C2680" s="9">
        <v>696</v>
      </c>
      <c r="D2680" s="9">
        <f>PRODUCT(sales_data_sample[[#This Row],[QUANTITYORDERED]],sales_data_sample[[#This Row],[PRICEEACH]])</f>
        <v>17400</v>
      </c>
      <c r="E2680" s="9">
        <f>IF(OR(sales_data_sample[[#This Row],[STATUS]]="Shipped",sales_data_sample[[#This Row],[STATUS]]="Resolved"),sales_data_sample[[#This Row],[SALES]],0)</f>
        <v>17400</v>
      </c>
      <c r="F2680" s="10">
        <v>7</v>
      </c>
      <c r="G2680" s="12" t="s">
        <v>851</v>
      </c>
      <c r="H2680" s="1" t="s">
        <v>26</v>
      </c>
      <c r="I2680">
        <v>3</v>
      </c>
      <c r="J2680">
        <v>8</v>
      </c>
      <c r="K2680">
        <v>2004</v>
      </c>
      <c r="L2680" s="1" t="s">
        <v>839</v>
      </c>
      <c r="M2680">
        <v>80</v>
      </c>
      <c r="N2680" s="1" t="s">
        <v>1010</v>
      </c>
      <c r="O2680" s="1" t="s">
        <v>786</v>
      </c>
      <c r="P2680" s="1" t="s">
        <v>787</v>
      </c>
      <c r="Q2680" s="1" t="s">
        <v>788</v>
      </c>
      <c r="R2680" s="1" t="s">
        <v>32</v>
      </c>
      <c r="S2680" s="1" t="s">
        <v>789</v>
      </c>
      <c r="T2680" s="1" t="s">
        <v>32</v>
      </c>
      <c r="U2680" s="1" t="s">
        <v>790</v>
      </c>
      <c r="V2680" s="1" t="s">
        <v>97</v>
      </c>
      <c r="W2680" s="1" t="s">
        <v>48</v>
      </c>
      <c r="X2680" s="1" t="s">
        <v>791</v>
      </c>
      <c r="Y2680" s="1" t="s">
        <v>792</v>
      </c>
      <c r="Z2680" s="1" t="str">
        <f>TRIM(_xlfn.CONCAT(sales_data_sample[[#This Row],[CONTACTFIRSTNAME]],", ",sales_data_sample[[#This Row],[CONTACTLASTNAME]]))</f>
        <v>Jan, Klaeboe</v>
      </c>
      <c r="AA2680" s="1" t="s">
        <v>40</v>
      </c>
    </row>
    <row r="2681" spans="1:27" x14ac:dyDescent="0.25">
      <c r="A2681" s="10">
        <v>10296</v>
      </c>
      <c r="B2681" s="9">
        <v>22</v>
      </c>
      <c r="C2681" s="9">
        <v>808</v>
      </c>
      <c r="D2681" s="9">
        <f>PRODUCT(sales_data_sample[[#This Row],[QUANTITYORDERED]],sales_data_sample[[#This Row],[PRICEEACH]])</f>
        <v>17776</v>
      </c>
      <c r="E2681" s="9">
        <f>IF(OR(sales_data_sample[[#This Row],[STATUS]]="Shipped",sales_data_sample[[#This Row],[STATUS]]="Resolved"),sales_data_sample[[#This Row],[SALES]],0)</f>
        <v>17776</v>
      </c>
      <c r="F2681" s="10">
        <v>3</v>
      </c>
      <c r="G2681" s="12" t="s">
        <v>852</v>
      </c>
      <c r="H2681" s="1" t="s">
        <v>26</v>
      </c>
      <c r="I2681">
        <v>3</v>
      </c>
      <c r="J2681">
        <v>9</v>
      </c>
      <c r="K2681">
        <v>2004</v>
      </c>
      <c r="L2681" s="1" t="s">
        <v>839</v>
      </c>
      <c r="M2681">
        <v>80</v>
      </c>
      <c r="N2681" s="1" t="s">
        <v>1010</v>
      </c>
      <c r="O2681" s="1" t="s">
        <v>853</v>
      </c>
      <c r="P2681" s="1" t="s">
        <v>854</v>
      </c>
      <c r="Q2681" s="1" t="s">
        <v>855</v>
      </c>
      <c r="R2681" s="1" t="s">
        <v>32</v>
      </c>
      <c r="S2681" s="1" t="s">
        <v>856</v>
      </c>
      <c r="T2681" s="1" t="s">
        <v>32</v>
      </c>
      <c r="U2681" s="1" t="s">
        <v>857</v>
      </c>
      <c r="V2681" s="1" t="s">
        <v>617</v>
      </c>
      <c r="W2681" s="1" t="s">
        <v>48</v>
      </c>
      <c r="X2681" s="1" t="s">
        <v>858</v>
      </c>
      <c r="Y2681" s="1" t="s">
        <v>130</v>
      </c>
      <c r="Z2681" s="1" t="str">
        <f>TRIM(_xlfn.CONCAT(sales_data_sample[[#This Row],[CONTACTFIRSTNAME]],", ",sales_data_sample[[#This Row],[CONTACTLASTNAME]]))</f>
        <v>Michael, Donnermeyer</v>
      </c>
      <c r="AA2681" s="1" t="s">
        <v>40</v>
      </c>
    </row>
    <row r="2682" spans="1:27" x14ac:dyDescent="0.25">
      <c r="A2682" s="10">
        <v>10308</v>
      </c>
      <c r="B2682" s="9">
        <v>21</v>
      </c>
      <c r="C2682" s="9">
        <v>872</v>
      </c>
      <c r="D2682" s="9">
        <f>PRODUCT(sales_data_sample[[#This Row],[QUANTITYORDERED]],sales_data_sample[[#This Row],[PRICEEACH]])</f>
        <v>18312</v>
      </c>
      <c r="E2682" s="9">
        <f>IF(OR(sales_data_sample[[#This Row],[STATUS]]="Shipped",sales_data_sample[[#This Row],[STATUS]]="Resolved"),sales_data_sample[[#This Row],[SALES]],0)</f>
        <v>18312</v>
      </c>
      <c r="F2682" s="10">
        <v>13</v>
      </c>
      <c r="G2682" s="12" t="s">
        <v>173</v>
      </c>
      <c r="H2682" s="1" t="s">
        <v>26</v>
      </c>
      <c r="I2682">
        <v>4</v>
      </c>
      <c r="J2682">
        <v>10</v>
      </c>
      <c r="K2682">
        <v>2004</v>
      </c>
      <c r="L2682" s="1" t="s">
        <v>839</v>
      </c>
      <c r="M2682">
        <v>80</v>
      </c>
      <c r="N2682" s="1" t="s">
        <v>1010</v>
      </c>
      <c r="O2682" s="1" t="s">
        <v>425</v>
      </c>
      <c r="P2682" s="1" t="s">
        <v>426</v>
      </c>
      <c r="Q2682" s="1" t="s">
        <v>427</v>
      </c>
      <c r="R2682" s="1" t="s">
        <v>32</v>
      </c>
      <c r="S2682" s="1" t="s">
        <v>428</v>
      </c>
      <c r="T2682" s="1" t="s">
        <v>34</v>
      </c>
      <c r="U2682" s="1" t="s">
        <v>429</v>
      </c>
      <c r="V2682" s="1" t="s">
        <v>36</v>
      </c>
      <c r="W2682" s="1" t="s">
        <v>37</v>
      </c>
      <c r="X2682" s="1" t="s">
        <v>129</v>
      </c>
      <c r="Y2682" s="1" t="s">
        <v>314</v>
      </c>
      <c r="Z2682" s="1" t="str">
        <f>TRIM(_xlfn.CONCAT(sales_data_sample[[#This Row],[CONTACTFIRSTNAME]],", ",sales_data_sample[[#This Row],[CONTACTLASTNAME]]))</f>
        <v>Steve, Frick</v>
      </c>
      <c r="AA2682" s="1" t="s">
        <v>40</v>
      </c>
    </row>
    <row r="2683" spans="1:27" x14ac:dyDescent="0.25">
      <c r="A2683" s="10">
        <v>10316</v>
      </c>
      <c r="B2683" s="9">
        <v>48</v>
      </c>
      <c r="C2683" s="9">
        <v>752</v>
      </c>
      <c r="D2683" s="9">
        <f>PRODUCT(sales_data_sample[[#This Row],[QUANTITYORDERED]],sales_data_sample[[#This Row],[PRICEEACH]])</f>
        <v>36096</v>
      </c>
      <c r="E2683" s="9">
        <f>IF(OR(sales_data_sample[[#This Row],[STATUS]]="Shipped",sales_data_sample[[#This Row],[STATUS]]="Resolved"),sales_data_sample[[#This Row],[SALES]],0)</f>
        <v>36096</v>
      </c>
      <c r="F2683" s="10">
        <v>5</v>
      </c>
      <c r="G2683" s="12" t="s">
        <v>523</v>
      </c>
      <c r="H2683" s="1" t="s">
        <v>26</v>
      </c>
      <c r="I2683">
        <v>4</v>
      </c>
      <c r="J2683">
        <v>11</v>
      </c>
      <c r="K2683">
        <v>2004</v>
      </c>
      <c r="L2683" s="1" t="s">
        <v>839</v>
      </c>
      <c r="M2683">
        <v>80</v>
      </c>
      <c r="N2683" s="1" t="s">
        <v>1010</v>
      </c>
      <c r="O2683" s="1" t="s">
        <v>524</v>
      </c>
      <c r="P2683" s="1" t="s">
        <v>525</v>
      </c>
      <c r="Q2683" s="1" t="s">
        <v>526</v>
      </c>
      <c r="R2683" s="1" t="s">
        <v>32</v>
      </c>
      <c r="S2683" s="1" t="s">
        <v>527</v>
      </c>
      <c r="T2683" s="1" t="s">
        <v>528</v>
      </c>
      <c r="U2683" s="1" t="s">
        <v>529</v>
      </c>
      <c r="V2683" s="1" t="s">
        <v>225</v>
      </c>
      <c r="W2683" s="1" t="s">
        <v>48</v>
      </c>
      <c r="X2683" s="1" t="s">
        <v>530</v>
      </c>
      <c r="Y2683" s="1" t="s">
        <v>531</v>
      </c>
      <c r="Z2683" s="1" t="str">
        <f>TRIM(_xlfn.CONCAT(sales_data_sample[[#This Row],[CONTACTFIRSTNAME]],", ",sales_data_sample[[#This Row],[CONTACTLASTNAME]]))</f>
        <v>Helen, Bennett</v>
      </c>
      <c r="AA2683" s="1" t="s">
        <v>59</v>
      </c>
    </row>
    <row r="2684" spans="1:27" x14ac:dyDescent="0.25">
      <c r="A2684" s="10">
        <v>10328</v>
      </c>
      <c r="B2684" s="9">
        <v>33</v>
      </c>
      <c r="C2684" s="9">
        <v>64</v>
      </c>
      <c r="D2684" s="9">
        <f>PRODUCT(sales_data_sample[[#This Row],[QUANTITYORDERED]],sales_data_sample[[#This Row],[PRICEEACH]])</f>
        <v>2112</v>
      </c>
      <c r="E2684" s="9">
        <f>IF(OR(sales_data_sample[[#This Row],[STATUS]]="Shipped",sales_data_sample[[#This Row],[STATUS]]="Resolved"),sales_data_sample[[#This Row],[SALES]],0)</f>
        <v>2112</v>
      </c>
      <c r="F2684" s="10">
        <v>13</v>
      </c>
      <c r="G2684" s="12" t="s">
        <v>936</v>
      </c>
      <c r="H2684" s="1" t="s">
        <v>26</v>
      </c>
      <c r="I2684">
        <v>4</v>
      </c>
      <c r="J2684">
        <v>11</v>
      </c>
      <c r="K2684">
        <v>2004</v>
      </c>
      <c r="L2684" s="1" t="s">
        <v>839</v>
      </c>
      <c r="M2684">
        <v>80</v>
      </c>
      <c r="N2684" s="1" t="s">
        <v>1010</v>
      </c>
      <c r="O2684" s="1" t="s">
        <v>806</v>
      </c>
      <c r="P2684" s="1" t="s">
        <v>807</v>
      </c>
      <c r="Q2684" s="1" t="s">
        <v>808</v>
      </c>
      <c r="R2684" s="1" t="s">
        <v>32</v>
      </c>
      <c r="S2684" s="1" t="s">
        <v>809</v>
      </c>
      <c r="T2684" s="1" t="s">
        <v>32</v>
      </c>
      <c r="U2684" s="1" t="s">
        <v>810</v>
      </c>
      <c r="V2684" s="1" t="s">
        <v>343</v>
      </c>
      <c r="W2684" s="1" t="s">
        <v>48</v>
      </c>
      <c r="X2684" s="1" t="s">
        <v>811</v>
      </c>
      <c r="Y2684" s="1" t="s">
        <v>812</v>
      </c>
      <c r="Z2684" s="1" t="str">
        <f>TRIM(_xlfn.CONCAT(sales_data_sample[[#This Row],[CONTACTFIRSTNAME]],", ",sales_data_sample[[#This Row],[CONTACTLASTNAME]]))</f>
        <v>Giovanni, Rovelli</v>
      </c>
      <c r="AA2684" s="1" t="s">
        <v>40</v>
      </c>
    </row>
    <row r="2685" spans="1:27" x14ac:dyDescent="0.25">
      <c r="A2685" s="10">
        <v>10341</v>
      </c>
      <c r="B2685" s="9">
        <v>34</v>
      </c>
      <c r="C2685" s="9">
        <v>100</v>
      </c>
      <c r="D2685" s="9">
        <f>PRODUCT(sales_data_sample[[#This Row],[QUANTITYORDERED]],sales_data_sample[[#This Row],[PRICEEACH]])</f>
        <v>3400</v>
      </c>
      <c r="E2685" s="9">
        <f>IF(OR(sales_data_sample[[#This Row],[STATUS]]="Shipped",sales_data_sample[[#This Row],[STATUS]]="Resolved"),sales_data_sample[[#This Row],[SALES]],0)</f>
        <v>3400</v>
      </c>
      <c r="F2685" s="10">
        <v>5</v>
      </c>
      <c r="G2685" s="12" t="s">
        <v>190</v>
      </c>
      <c r="H2685" s="1" t="s">
        <v>26</v>
      </c>
      <c r="I2685">
        <v>4</v>
      </c>
      <c r="J2685">
        <v>11</v>
      </c>
      <c r="K2685">
        <v>2004</v>
      </c>
      <c r="L2685" s="1" t="s">
        <v>839</v>
      </c>
      <c r="M2685">
        <v>80</v>
      </c>
      <c r="N2685" s="1" t="s">
        <v>1010</v>
      </c>
      <c r="O2685" s="1" t="s">
        <v>191</v>
      </c>
      <c r="P2685" s="1" t="s">
        <v>192</v>
      </c>
      <c r="Q2685" s="1" t="s">
        <v>193</v>
      </c>
      <c r="R2685" s="1" t="s">
        <v>32</v>
      </c>
      <c r="S2685" s="1" t="s">
        <v>194</v>
      </c>
      <c r="T2685" s="1" t="s">
        <v>32</v>
      </c>
      <c r="U2685" s="1" t="s">
        <v>195</v>
      </c>
      <c r="V2685" s="1" t="s">
        <v>196</v>
      </c>
      <c r="W2685" s="1" t="s">
        <v>48</v>
      </c>
      <c r="X2685" s="1" t="s">
        <v>197</v>
      </c>
      <c r="Y2685" s="1" t="s">
        <v>198</v>
      </c>
      <c r="Z2685" s="1" t="str">
        <f>TRIM(_xlfn.CONCAT(sales_data_sample[[#This Row],[CONTACTFIRSTNAME]],", ",sales_data_sample[[#This Row],[CONTACTLASTNAME]]))</f>
        <v>Georg, Pipps</v>
      </c>
      <c r="AA2685" s="1" t="s">
        <v>59</v>
      </c>
    </row>
    <row r="2686" spans="1:27" x14ac:dyDescent="0.25">
      <c r="A2686" s="10">
        <v>10353</v>
      </c>
      <c r="B2686" s="9">
        <v>43</v>
      </c>
      <c r="C2686" s="9">
        <v>8195</v>
      </c>
      <c r="D2686" s="9">
        <f>PRODUCT(sales_data_sample[[#This Row],[QUANTITYORDERED]],sales_data_sample[[#This Row],[PRICEEACH]])</f>
        <v>352385</v>
      </c>
      <c r="E2686" s="9">
        <f>IF(OR(sales_data_sample[[#This Row],[STATUS]]="Shipped",sales_data_sample[[#This Row],[STATUS]]="Resolved"),sales_data_sample[[#This Row],[SALES]],0)</f>
        <v>352385</v>
      </c>
      <c r="F2686" s="10">
        <v>6</v>
      </c>
      <c r="G2686" s="12" t="s">
        <v>894</v>
      </c>
      <c r="H2686" s="1" t="s">
        <v>26</v>
      </c>
      <c r="I2686">
        <v>4</v>
      </c>
      <c r="J2686">
        <v>12</v>
      </c>
      <c r="K2686">
        <v>2004</v>
      </c>
      <c r="L2686" s="1" t="s">
        <v>839</v>
      </c>
      <c r="M2686">
        <v>80</v>
      </c>
      <c r="N2686" s="1" t="s">
        <v>1010</v>
      </c>
      <c r="O2686" s="1" t="s">
        <v>842</v>
      </c>
      <c r="P2686" s="1" t="s">
        <v>843</v>
      </c>
      <c r="Q2686" s="1" t="s">
        <v>844</v>
      </c>
      <c r="R2686" s="1" t="s">
        <v>32</v>
      </c>
      <c r="S2686" s="1" t="s">
        <v>734</v>
      </c>
      <c r="T2686" s="1" t="s">
        <v>144</v>
      </c>
      <c r="U2686" s="1" t="s">
        <v>845</v>
      </c>
      <c r="V2686" s="1" t="s">
        <v>36</v>
      </c>
      <c r="W2686" s="1" t="s">
        <v>37</v>
      </c>
      <c r="X2686" s="1" t="s">
        <v>846</v>
      </c>
      <c r="Y2686" s="1" t="s">
        <v>847</v>
      </c>
      <c r="Z2686" s="1" t="str">
        <f>TRIM(_xlfn.CONCAT(sales_data_sample[[#This Row],[CONTACTFIRSTNAME]],", ",sales_data_sample[[#This Row],[CONTACTLASTNAME]]))</f>
        <v>Dan, Lewis</v>
      </c>
      <c r="AA2686" s="1" t="s">
        <v>59</v>
      </c>
    </row>
    <row r="2687" spans="1:27" x14ac:dyDescent="0.25">
      <c r="A2687">
        <v>10361</v>
      </c>
      <c r="B2687">
        <v>44</v>
      </c>
      <c r="C2687">
        <v>100</v>
      </c>
      <c r="D2687">
        <f>PRODUCT(sales_data_sample[[#This Row],[QUANTITYORDERED]],sales_data_sample[[#This Row],[PRICEEACH]])</f>
        <v>4400</v>
      </c>
      <c r="E2687" s="9">
        <f>IF(OR(sales_data_sample[[#This Row],[STATUS]]="Shipped",sales_data_sample[[#This Row],[STATUS]]="Resolved"),sales_data_sample[[#This Row],[SALES]],0)</f>
        <v>4400</v>
      </c>
      <c r="F2687">
        <v>10</v>
      </c>
      <c r="G2687" s="12" t="s">
        <v>200</v>
      </c>
      <c r="H2687" s="1" t="s">
        <v>26</v>
      </c>
      <c r="I2687">
        <v>4</v>
      </c>
      <c r="J2687">
        <v>12</v>
      </c>
      <c r="K2687">
        <v>2004</v>
      </c>
      <c r="L2687" s="1" t="s">
        <v>839</v>
      </c>
      <c r="M2687">
        <v>80</v>
      </c>
      <c r="N2687" s="1" t="s">
        <v>1010</v>
      </c>
      <c r="O2687" s="1" t="s">
        <v>201</v>
      </c>
      <c r="P2687" s="1" t="s">
        <v>202</v>
      </c>
      <c r="Q2687" s="1" t="s">
        <v>203</v>
      </c>
      <c r="R2687" s="1" t="s">
        <v>204</v>
      </c>
      <c r="S2687" s="1" t="s">
        <v>205</v>
      </c>
      <c r="T2687" s="1" t="s">
        <v>206</v>
      </c>
      <c r="U2687" s="1" t="s">
        <v>207</v>
      </c>
      <c r="V2687" s="1" t="s">
        <v>120</v>
      </c>
      <c r="W2687" s="1" t="s">
        <v>121</v>
      </c>
      <c r="X2687" s="1" t="s">
        <v>208</v>
      </c>
      <c r="Y2687" s="1" t="s">
        <v>209</v>
      </c>
      <c r="Z2687" s="1" t="str">
        <f>TRIM(_xlfn.CONCAT(sales_data_sample[[#This Row],[CONTACTFIRSTNAME]],", ",sales_data_sample[[#This Row],[CONTACTLASTNAME]]))</f>
        <v>Adrian, Huxley</v>
      </c>
      <c r="AA2687" s="1" t="s">
        <v>59</v>
      </c>
    </row>
    <row r="2688" spans="1:27" x14ac:dyDescent="0.25">
      <c r="A2688" s="10">
        <v>10375</v>
      </c>
      <c r="B2688" s="9">
        <v>44</v>
      </c>
      <c r="C2688" s="9">
        <v>100</v>
      </c>
      <c r="D2688" s="9">
        <f>PRODUCT(sales_data_sample[[#This Row],[QUANTITYORDERED]],sales_data_sample[[#This Row],[PRICEEACH]])</f>
        <v>4400</v>
      </c>
      <c r="E2688" s="9">
        <f>IF(OR(sales_data_sample[[#This Row],[STATUS]]="Shipped",sales_data_sample[[#This Row],[STATUS]]="Resolved"),sales_data_sample[[#This Row],[SALES]],0)</f>
        <v>4400</v>
      </c>
      <c r="F2688" s="10">
        <v>11</v>
      </c>
      <c r="G2688" s="12" t="s">
        <v>210</v>
      </c>
      <c r="H2688" s="1" t="s">
        <v>26</v>
      </c>
      <c r="I2688">
        <v>1</v>
      </c>
      <c r="J2688">
        <v>2</v>
      </c>
      <c r="K2688">
        <v>2005</v>
      </c>
      <c r="L2688" s="1" t="s">
        <v>839</v>
      </c>
      <c r="M2688">
        <v>80</v>
      </c>
      <c r="N2688" s="1" t="s">
        <v>1010</v>
      </c>
      <c r="O2688" s="1" t="s">
        <v>148</v>
      </c>
      <c r="P2688" s="1" t="s">
        <v>149</v>
      </c>
      <c r="Q2688" s="1" t="s">
        <v>150</v>
      </c>
      <c r="R2688" s="1" t="s">
        <v>32</v>
      </c>
      <c r="S2688" s="1" t="s">
        <v>151</v>
      </c>
      <c r="T2688" s="1" t="s">
        <v>32</v>
      </c>
      <c r="U2688" s="1" t="s">
        <v>152</v>
      </c>
      <c r="V2688" s="1" t="s">
        <v>47</v>
      </c>
      <c r="W2688" s="1" t="s">
        <v>48</v>
      </c>
      <c r="X2688" s="1" t="s">
        <v>153</v>
      </c>
      <c r="Y2688" s="1" t="s">
        <v>154</v>
      </c>
      <c r="Z2688" s="1" t="str">
        <f>TRIM(_xlfn.CONCAT(sales_data_sample[[#This Row],[CONTACTFIRSTNAME]],", ",sales_data_sample[[#This Row],[CONTACTLASTNAME]]))</f>
        <v>Janine, Labrune</v>
      </c>
      <c r="AA2688" s="1" t="s">
        <v>59</v>
      </c>
    </row>
    <row r="2689" spans="1:27" x14ac:dyDescent="0.25">
      <c r="A2689" s="10">
        <v>10386</v>
      </c>
      <c r="B2689" s="9">
        <v>32</v>
      </c>
      <c r="C2689" s="9">
        <v>9434</v>
      </c>
      <c r="D2689" s="9">
        <f>PRODUCT(sales_data_sample[[#This Row],[QUANTITYORDERED]],sales_data_sample[[#This Row],[PRICEEACH]])</f>
        <v>301888</v>
      </c>
      <c r="E2689" s="9">
        <f>IF(OR(sales_data_sample[[#This Row],[STATUS]]="Shipped",sales_data_sample[[#This Row],[STATUS]]="Resolved"),sales_data_sample[[#This Row],[SALES]],0)</f>
        <v>301888</v>
      </c>
      <c r="F2689" s="10">
        <v>17</v>
      </c>
      <c r="G2689" s="12" t="s">
        <v>869</v>
      </c>
      <c r="H2689" s="1" t="s">
        <v>563</v>
      </c>
      <c r="I2689">
        <v>1</v>
      </c>
      <c r="J2689">
        <v>3</v>
      </c>
      <c r="K2689">
        <v>2005</v>
      </c>
      <c r="L2689" s="1" t="s">
        <v>839</v>
      </c>
      <c r="M2689">
        <v>80</v>
      </c>
      <c r="N2689" s="1" t="s">
        <v>1010</v>
      </c>
      <c r="O2689" s="1" t="s">
        <v>230</v>
      </c>
      <c r="P2689" s="1" t="s">
        <v>231</v>
      </c>
      <c r="Q2689" s="1" t="s">
        <v>232</v>
      </c>
      <c r="R2689" s="1" t="s">
        <v>32</v>
      </c>
      <c r="S2689" s="1" t="s">
        <v>233</v>
      </c>
      <c r="T2689" s="1" t="s">
        <v>32</v>
      </c>
      <c r="U2689" s="1" t="s">
        <v>234</v>
      </c>
      <c r="V2689" s="1" t="s">
        <v>235</v>
      </c>
      <c r="W2689" s="1" t="s">
        <v>48</v>
      </c>
      <c r="X2689" s="1" t="s">
        <v>236</v>
      </c>
      <c r="Y2689" s="1" t="s">
        <v>237</v>
      </c>
      <c r="Z2689" s="1" t="str">
        <f>TRIM(_xlfn.CONCAT(sales_data_sample[[#This Row],[CONTACTFIRSTNAME]],", ",sales_data_sample[[#This Row],[CONTACTLASTNAME]]))</f>
        <v>Diego, Freyre</v>
      </c>
      <c r="AA2689" s="1" t="s">
        <v>59</v>
      </c>
    </row>
    <row r="2690" spans="1:27" x14ac:dyDescent="0.25">
      <c r="A2690" s="10">
        <v>10398</v>
      </c>
      <c r="B2690" s="9">
        <v>29</v>
      </c>
      <c r="C2690" s="9">
        <v>656</v>
      </c>
      <c r="D2690" s="9">
        <f>PRODUCT(sales_data_sample[[#This Row],[QUANTITYORDERED]],sales_data_sample[[#This Row],[PRICEEACH]])</f>
        <v>19024</v>
      </c>
      <c r="E2690" s="9">
        <f>IF(OR(sales_data_sample[[#This Row],[STATUS]]="Shipped",sales_data_sample[[#This Row],[STATUS]]="Resolved"),sales_data_sample[[#This Row],[SALES]],0)</f>
        <v>19024</v>
      </c>
      <c r="F2690" s="10">
        <v>10</v>
      </c>
      <c r="G2690" s="12" t="s">
        <v>870</v>
      </c>
      <c r="H2690" s="1" t="s">
        <v>26</v>
      </c>
      <c r="I2690">
        <v>1</v>
      </c>
      <c r="J2690">
        <v>3</v>
      </c>
      <c r="K2690">
        <v>2005</v>
      </c>
      <c r="L2690" s="1" t="s">
        <v>839</v>
      </c>
      <c r="M2690">
        <v>80</v>
      </c>
      <c r="N2690" s="1" t="s">
        <v>1010</v>
      </c>
      <c r="O2690" s="1" t="s">
        <v>42</v>
      </c>
      <c r="P2690" s="1" t="s">
        <v>43</v>
      </c>
      <c r="Q2690" s="1" t="s">
        <v>44</v>
      </c>
      <c r="R2690" s="1" t="s">
        <v>32</v>
      </c>
      <c r="S2690" s="1" t="s">
        <v>45</v>
      </c>
      <c r="T2690" s="1" t="s">
        <v>32</v>
      </c>
      <c r="U2690" s="1" t="s">
        <v>46</v>
      </c>
      <c r="V2690" s="1" t="s">
        <v>47</v>
      </c>
      <c r="W2690" s="1" t="s">
        <v>48</v>
      </c>
      <c r="X2690" s="1" t="s">
        <v>49</v>
      </c>
      <c r="Y2690" s="1" t="s">
        <v>50</v>
      </c>
      <c r="Z2690" s="1" t="str">
        <f>TRIM(_xlfn.CONCAT(sales_data_sample[[#This Row],[CONTACTFIRSTNAME]],", ",sales_data_sample[[#This Row],[CONTACTLASTNAME]]))</f>
        <v>Paul, Henriot</v>
      </c>
      <c r="AA2690" s="1" t="s">
        <v>40</v>
      </c>
    </row>
    <row r="2691" spans="1:27" x14ac:dyDescent="0.25">
      <c r="A2691" s="10">
        <v>10401</v>
      </c>
      <c r="B2691" s="9">
        <v>77</v>
      </c>
      <c r="C2691" s="9">
        <v>92</v>
      </c>
      <c r="D2691" s="9">
        <f>PRODUCT(sales_data_sample[[#This Row],[QUANTITYORDERED]],sales_data_sample[[#This Row],[PRICEEACH]])</f>
        <v>7084</v>
      </c>
      <c r="E2691" s="9">
        <f>IF(OR(sales_data_sample[[#This Row],[STATUS]]="Shipped",sales_data_sample[[#This Row],[STATUS]]="Resolved"),sales_data_sample[[#This Row],[SALES]],0)</f>
        <v>0</v>
      </c>
      <c r="F2691" s="10">
        <v>9</v>
      </c>
      <c r="G2691" s="12" t="s">
        <v>895</v>
      </c>
      <c r="H2691" s="1" t="s">
        <v>553</v>
      </c>
      <c r="I2691">
        <v>2</v>
      </c>
      <c r="J2691">
        <v>4</v>
      </c>
      <c r="K2691">
        <v>2005</v>
      </c>
      <c r="L2691" s="1" t="s">
        <v>839</v>
      </c>
      <c r="M2691">
        <v>80</v>
      </c>
      <c r="N2691" s="1" t="s">
        <v>1010</v>
      </c>
      <c r="O2691" s="1" t="s">
        <v>132</v>
      </c>
      <c r="P2691" s="1" t="s">
        <v>133</v>
      </c>
      <c r="Q2691" s="1" t="s">
        <v>134</v>
      </c>
      <c r="R2691" s="1" t="s">
        <v>32</v>
      </c>
      <c r="S2691" s="1" t="s">
        <v>135</v>
      </c>
      <c r="T2691" s="1" t="s">
        <v>136</v>
      </c>
      <c r="U2691" s="1" t="s">
        <v>137</v>
      </c>
      <c r="V2691" s="1" t="s">
        <v>36</v>
      </c>
      <c r="W2691" s="1" t="s">
        <v>37</v>
      </c>
      <c r="X2691" s="1" t="s">
        <v>74</v>
      </c>
      <c r="Y2691" s="1" t="s">
        <v>138</v>
      </c>
      <c r="Z2691" s="1" t="str">
        <f>TRIM(_xlfn.CONCAT(sales_data_sample[[#This Row],[CONTACTFIRSTNAME]],", ",sales_data_sample[[#This Row],[CONTACTLASTNAME]]))</f>
        <v>William, Brown</v>
      </c>
      <c r="AA2691" s="1" t="s">
        <v>199</v>
      </c>
    </row>
    <row r="2692" spans="1:27" x14ac:dyDescent="0.25">
      <c r="A2692" s="10">
        <v>10416</v>
      </c>
      <c r="B2692" s="9">
        <v>39</v>
      </c>
      <c r="C2692" s="9">
        <v>672</v>
      </c>
      <c r="D2692" s="9">
        <f>PRODUCT(sales_data_sample[[#This Row],[QUANTITYORDERED]],sales_data_sample[[#This Row],[PRICEEACH]])</f>
        <v>26208</v>
      </c>
      <c r="E2692" s="9">
        <f>IF(OR(sales_data_sample[[#This Row],[STATUS]]="Shipped",sales_data_sample[[#This Row],[STATUS]]="Resolved"),sales_data_sample[[#This Row],[SALES]],0)</f>
        <v>26208</v>
      </c>
      <c r="F2692" s="10">
        <v>10</v>
      </c>
      <c r="G2692" s="12" t="s">
        <v>871</v>
      </c>
      <c r="H2692" s="1" t="s">
        <v>26</v>
      </c>
      <c r="I2692">
        <v>2</v>
      </c>
      <c r="J2692">
        <v>5</v>
      </c>
      <c r="K2692">
        <v>2005</v>
      </c>
      <c r="L2692" s="1" t="s">
        <v>839</v>
      </c>
      <c r="M2692">
        <v>80</v>
      </c>
      <c r="N2692" s="1" t="s">
        <v>1010</v>
      </c>
      <c r="O2692" s="1" t="s">
        <v>632</v>
      </c>
      <c r="P2692" s="1" t="s">
        <v>633</v>
      </c>
      <c r="Q2692" s="1" t="s">
        <v>634</v>
      </c>
      <c r="R2692" s="1" t="s">
        <v>32</v>
      </c>
      <c r="S2692" s="1" t="s">
        <v>635</v>
      </c>
      <c r="T2692" s="1" t="s">
        <v>32</v>
      </c>
      <c r="U2692" s="1" t="s">
        <v>636</v>
      </c>
      <c r="V2692" s="1" t="s">
        <v>343</v>
      </c>
      <c r="W2692" s="1" t="s">
        <v>48</v>
      </c>
      <c r="X2692" s="1" t="s">
        <v>637</v>
      </c>
      <c r="Y2692" s="1" t="s">
        <v>638</v>
      </c>
      <c r="Z2692" s="1" t="str">
        <f>TRIM(_xlfn.CONCAT(sales_data_sample[[#This Row],[CONTACTFIRSTNAME]],", ",sales_data_sample[[#This Row],[CONTACTLASTNAME]]))</f>
        <v>Maurizio, Moroni</v>
      </c>
      <c r="AA2692" s="1" t="s">
        <v>40</v>
      </c>
    </row>
    <row r="2693" spans="1:27" x14ac:dyDescent="0.25">
      <c r="A2693" s="10">
        <v>10105</v>
      </c>
      <c r="B2693" s="9">
        <v>39</v>
      </c>
      <c r="C2693" s="9">
        <v>8114</v>
      </c>
      <c r="D2693" s="9">
        <f>PRODUCT(sales_data_sample[[#This Row],[QUANTITYORDERED]],sales_data_sample[[#This Row],[PRICEEACH]])</f>
        <v>316446</v>
      </c>
      <c r="E2693" s="9">
        <f>IF(OR(sales_data_sample[[#This Row],[STATUS]]="Shipped",sales_data_sample[[#This Row],[STATUS]]="Resolved"),sales_data_sample[[#This Row],[SALES]],0)</f>
        <v>316446</v>
      </c>
      <c r="F2693" s="10">
        <v>6</v>
      </c>
      <c r="G2693" s="12" t="s">
        <v>435</v>
      </c>
      <c r="H2693" s="1" t="s">
        <v>26</v>
      </c>
      <c r="I2693">
        <v>1</v>
      </c>
      <c r="J2693">
        <v>2</v>
      </c>
      <c r="K2693">
        <v>2003</v>
      </c>
      <c r="L2693" s="1" t="s">
        <v>905</v>
      </c>
      <c r="M2693">
        <v>100</v>
      </c>
      <c r="N2693" s="1" t="s">
        <v>1011</v>
      </c>
      <c r="O2693" s="1" t="s">
        <v>437</v>
      </c>
      <c r="P2693" s="1" t="s">
        <v>438</v>
      </c>
      <c r="Q2693" s="1" t="s">
        <v>439</v>
      </c>
      <c r="R2693" s="1" t="s">
        <v>32</v>
      </c>
      <c r="S2693" s="1" t="s">
        <v>440</v>
      </c>
      <c r="T2693" s="1" t="s">
        <v>32</v>
      </c>
      <c r="U2693" s="1" t="s">
        <v>441</v>
      </c>
      <c r="V2693" s="1" t="s">
        <v>442</v>
      </c>
      <c r="W2693" s="1" t="s">
        <v>48</v>
      </c>
      <c r="X2693" s="1" t="s">
        <v>443</v>
      </c>
      <c r="Y2693" s="1" t="s">
        <v>444</v>
      </c>
      <c r="Z2693" s="1" t="str">
        <f>TRIM(_xlfn.CONCAT(sales_data_sample[[#This Row],[CONTACTFIRSTNAME]],", ",sales_data_sample[[#This Row],[CONTACTLASTNAME]]))</f>
        <v>Jytte, Petersen</v>
      </c>
      <c r="AA2693" s="1" t="s">
        <v>59</v>
      </c>
    </row>
    <row r="2694" spans="1:27" x14ac:dyDescent="0.25">
      <c r="A2694" s="10">
        <v>10118</v>
      </c>
      <c r="B2694" s="9">
        <v>36</v>
      </c>
      <c r="C2694" s="9">
        <v>100</v>
      </c>
      <c r="D2694" s="9">
        <f>PRODUCT(sales_data_sample[[#This Row],[QUANTITYORDERED]],sales_data_sample[[#This Row],[PRICEEACH]])</f>
        <v>3600</v>
      </c>
      <c r="E2694" s="9">
        <f>IF(OR(sales_data_sample[[#This Row],[STATUS]]="Shipped",sales_data_sample[[#This Row],[STATUS]]="Resolved"),sales_data_sample[[#This Row],[SALES]],0)</f>
        <v>3600</v>
      </c>
      <c r="F2694" s="10">
        <v>1</v>
      </c>
      <c r="G2694" s="12" t="s">
        <v>1012</v>
      </c>
      <c r="H2694" s="1" t="s">
        <v>26</v>
      </c>
      <c r="I2694">
        <v>2</v>
      </c>
      <c r="J2694">
        <v>4</v>
      </c>
      <c r="K2694">
        <v>2003</v>
      </c>
      <c r="L2694" s="1" t="s">
        <v>905</v>
      </c>
      <c r="M2694">
        <v>100</v>
      </c>
      <c r="N2694" s="1" t="s">
        <v>1011</v>
      </c>
      <c r="O2694" s="1" t="s">
        <v>478</v>
      </c>
      <c r="P2694" s="1" t="s">
        <v>479</v>
      </c>
      <c r="Q2694" s="1" t="s">
        <v>480</v>
      </c>
      <c r="R2694" s="1" t="s">
        <v>32</v>
      </c>
      <c r="S2694" s="1" t="s">
        <v>481</v>
      </c>
      <c r="T2694" s="1" t="s">
        <v>32</v>
      </c>
      <c r="U2694" s="1" t="s">
        <v>482</v>
      </c>
      <c r="V2694" s="1" t="s">
        <v>235</v>
      </c>
      <c r="W2694" s="1" t="s">
        <v>48</v>
      </c>
      <c r="X2694" s="1" t="s">
        <v>483</v>
      </c>
      <c r="Y2694" s="1" t="s">
        <v>484</v>
      </c>
      <c r="Z2694" s="1" t="str">
        <f>TRIM(_xlfn.CONCAT(sales_data_sample[[#This Row],[CONTACTFIRSTNAME]],", ",sales_data_sample[[#This Row],[CONTACTLASTNAME]]))</f>
        <v>Eduardo, Saavedra</v>
      </c>
      <c r="AA2694" s="1" t="s">
        <v>59</v>
      </c>
    </row>
    <row r="2695" spans="1:27" x14ac:dyDescent="0.25">
      <c r="A2695" s="10">
        <v>10129</v>
      </c>
      <c r="B2695" s="9">
        <v>42</v>
      </c>
      <c r="C2695" s="9">
        <v>9115</v>
      </c>
      <c r="D2695" s="9">
        <f>PRODUCT(sales_data_sample[[#This Row],[QUANTITYORDERED]],sales_data_sample[[#This Row],[PRICEEACH]])</f>
        <v>382830</v>
      </c>
      <c r="E2695" s="9">
        <f>IF(OR(sales_data_sample[[#This Row],[STATUS]]="Shipped",sales_data_sample[[#This Row],[STATUS]]="Resolved"),sales_data_sample[[#This Row],[SALES]],0)</f>
        <v>382830</v>
      </c>
      <c r="F2695" s="10">
        <v>6</v>
      </c>
      <c r="G2695" s="12" t="s">
        <v>446</v>
      </c>
      <c r="H2695" s="1" t="s">
        <v>26</v>
      </c>
      <c r="I2695">
        <v>2</v>
      </c>
      <c r="J2695">
        <v>6</v>
      </c>
      <c r="K2695">
        <v>2003</v>
      </c>
      <c r="L2695" s="1" t="s">
        <v>905</v>
      </c>
      <c r="M2695">
        <v>100</v>
      </c>
      <c r="N2695" s="1" t="s">
        <v>1011</v>
      </c>
      <c r="O2695" s="1" t="s">
        <v>447</v>
      </c>
      <c r="P2695" s="1" t="s">
        <v>448</v>
      </c>
      <c r="Q2695" s="1" t="s">
        <v>449</v>
      </c>
      <c r="R2695" s="1" t="s">
        <v>32</v>
      </c>
      <c r="S2695" s="1" t="s">
        <v>450</v>
      </c>
      <c r="T2695" s="1" t="s">
        <v>32</v>
      </c>
      <c r="U2695" s="1" t="s">
        <v>451</v>
      </c>
      <c r="V2695" s="1" t="s">
        <v>225</v>
      </c>
      <c r="W2695" s="1" t="s">
        <v>48</v>
      </c>
      <c r="X2695" s="1" t="s">
        <v>74</v>
      </c>
      <c r="Y2695" s="1" t="s">
        <v>452</v>
      </c>
      <c r="Z2695" s="1" t="str">
        <f>TRIM(_xlfn.CONCAT(sales_data_sample[[#This Row],[CONTACTFIRSTNAME]],", ",sales_data_sample[[#This Row],[CONTACTLASTNAME]]))</f>
        <v>Ann, Brown</v>
      </c>
      <c r="AA2695" s="1" t="s">
        <v>59</v>
      </c>
    </row>
    <row r="2696" spans="1:27" x14ac:dyDescent="0.25">
      <c r="A2696" s="10">
        <v>10142</v>
      </c>
      <c r="B2696" s="9">
        <v>21</v>
      </c>
      <c r="C2696" s="9">
        <v>100</v>
      </c>
      <c r="D2696" s="9">
        <f>PRODUCT(sales_data_sample[[#This Row],[QUANTITYORDERED]],sales_data_sample[[#This Row],[PRICEEACH]])</f>
        <v>2100</v>
      </c>
      <c r="E2696" s="9">
        <f>IF(OR(sales_data_sample[[#This Row],[STATUS]]="Shipped",sales_data_sample[[#This Row],[STATUS]]="Resolved"),sales_data_sample[[#This Row],[SALES]],0)</f>
        <v>2100</v>
      </c>
      <c r="F2696" s="10">
        <v>3</v>
      </c>
      <c r="G2696" s="12" t="s">
        <v>672</v>
      </c>
      <c r="H2696" s="1" t="s">
        <v>26</v>
      </c>
      <c r="I2696">
        <v>3</v>
      </c>
      <c r="J2696">
        <v>8</v>
      </c>
      <c r="K2696">
        <v>2003</v>
      </c>
      <c r="L2696" s="1" t="s">
        <v>905</v>
      </c>
      <c r="M2696">
        <v>100</v>
      </c>
      <c r="N2696" s="1" t="s">
        <v>1011</v>
      </c>
      <c r="O2696" s="1" t="s">
        <v>361</v>
      </c>
      <c r="P2696" s="1" t="s">
        <v>362</v>
      </c>
      <c r="Q2696" s="1" t="s">
        <v>363</v>
      </c>
      <c r="R2696" s="1" t="s">
        <v>32</v>
      </c>
      <c r="S2696" s="1" t="s">
        <v>364</v>
      </c>
      <c r="T2696" s="1" t="s">
        <v>65</v>
      </c>
      <c r="U2696" s="1" t="s">
        <v>145</v>
      </c>
      <c r="V2696" s="1" t="s">
        <v>36</v>
      </c>
      <c r="W2696" s="1" t="s">
        <v>37</v>
      </c>
      <c r="X2696" s="1" t="s">
        <v>365</v>
      </c>
      <c r="Y2696" s="1" t="s">
        <v>366</v>
      </c>
      <c r="Z2696" s="1" t="str">
        <f>TRIM(_xlfn.CONCAT(sales_data_sample[[#This Row],[CONTACTFIRSTNAME]],", ",sales_data_sample[[#This Row],[CONTACTLASTNAME]]))</f>
        <v>Valarie, Nelson</v>
      </c>
      <c r="AA2696" s="1" t="s">
        <v>40</v>
      </c>
    </row>
    <row r="2697" spans="1:27" x14ac:dyDescent="0.25">
      <c r="A2697" s="10">
        <v>10153</v>
      </c>
      <c r="B2697" s="9">
        <v>50</v>
      </c>
      <c r="C2697" s="9">
        <v>8815</v>
      </c>
      <c r="D2697" s="9">
        <f>PRODUCT(sales_data_sample[[#This Row],[QUANTITYORDERED]],sales_data_sample[[#This Row],[PRICEEACH]])</f>
        <v>440750</v>
      </c>
      <c r="E2697" s="9">
        <f>IF(OR(sales_data_sample[[#This Row],[STATUS]]="Shipped",sales_data_sample[[#This Row],[STATUS]]="Resolved"),sales_data_sample[[#This Row],[SALES]],0)</f>
        <v>440750</v>
      </c>
      <c r="F2697" s="10">
        <v>2</v>
      </c>
      <c r="G2697" s="12" t="s">
        <v>673</v>
      </c>
      <c r="H2697" s="1" t="s">
        <v>26</v>
      </c>
      <c r="I2697">
        <v>3</v>
      </c>
      <c r="J2697">
        <v>9</v>
      </c>
      <c r="K2697">
        <v>2003</v>
      </c>
      <c r="L2697" s="1" t="s">
        <v>905</v>
      </c>
      <c r="M2697">
        <v>100</v>
      </c>
      <c r="N2697" s="1" t="s">
        <v>1011</v>
      </c>
      <c r="O2697" s="1" t="s">
        <v>230</v>
      </c>
      <c r="P2697" s="1" t="s">
        <v>231</v>
      </c>
      <c r="Q2697" s="1" t="s">
        <v>232</v>
      </c>
      <c r="R2697" s="1" t="s">
        <v>32</v>
      </c>
      <c r="S2697" s="1" t="s">
        <v>233</v>
      </c>
      <c r="T2697" s="1" t="s">
        <v>32</v>
      </c>
      <c r="U2697" s="1" t="s">
        <v>234</v>
      </c>
      <c r="V2697" s="1" t="s">
        <v>235</v>
      </c>
      <c r="W2697" s="1" t="s">
        <v>48</v>
      </c>
      <c r="X2697" s="1" t="s">
        <v>236</v>
      </c>
      <c r="Y2697" s="1" t="s">
        <v>237</v>
      </c>
      <c r="Z2697" s="1" t="str">
        <f>TRIM(_xlfn.CONCAT(sales_data_sample[[#This Row],[CONTACTFIRSTNAME]],", ",sales_data_sample[[#This Row],[CONTACTLASTNAME]]))</f>
        <v>Diego, Freyre</v>
      </c>
      <c r="AA2697" s="1" t="s">
        <v>59</v>
      </c>
    </row>
    <row r="2698" spans="1:27" x14ac:dyDescent="0.25">
      <c r="A2698" s="10">
        <v>10167</v>
      </c>
      <c r="B2698" s="9">
        <v>24</v>
      </c>
      <c r="C2698" s="9">
        <v>100</v>
      </c>
      <c r="D2698" s="9">
        <f>PRODUCT(sales_data_sample[[#This Row],[QUANTITYORDERED]],sales_data_sample[[#This Row],[PRICEEACH]])</f>
        <v>2400</v>
      </c>
      <c r="E2698" s="9">
        <f>IF(OR(sales_data_sample[[#This Row],[STATUS]]="Shipped",sales_data_sample[[#This Row],[STATUS]]="Resolved"),sales_data_sample[[#This Row],[SALES]],0)</f>
        <v>0</v>
      </c>
      <c r="F2698" s="10">
        <v>13</v>
      </c>
      <c r="G2698" s="12" t="s">
        <v>460</v>
      </c>
      <c r="H2698" s="1" t="s">
        <v>461</v>
      </c>
      <c r="I2698">
        <v>4</v>
      </c>
      <c r="J2698">
        <v>10</v>
      </c>
      <c r="K2698">
        <v>2003</v>
      </c>
      <c r="L2698" s="1" t="s">
        <v>905</v>
      </c>
      <c r="M2698">
        <v>100</v>
      </c>
      <c r="N2698" s="1" t="s">
        <v>1011</v>
      </c>
      <c r="O2698" s="1" t="s">
        <v>347</v>
      </c>
      <c r="P2698" s="1" t="s">
        <v>348</v>
      </c>
      <c r="Q2698" s="1" t="s">
        <v>349</v>
      </c>
      <c r="R2698" s="1" t="s">
        <v>32</v>
      </c>
      <c r="S2698" s="1" t="s">
        <v>350</v>
      </c>
      <c r="T2698" s="1" t="s">
        <v>32</v>
      </c>
      <c r="U2698" s="1" t="s">
        <v>351</v>
      </c>
      <c r="V2698" s="1" t="s">
        <v>247</v>
      </c>
      <c r="W2698" s="1" t="s">
        <v>48</v>
      </c>
      <c r="X2698" s="1" t="s">
        <v>352</v>
      </c>
      <c r="Y2698" s="1" t="s">
        <v>272</v>
      </c>
      <c r="Z2698" s="1" t="str">
        <f>TRIM(_xlfn.CONCAT(sales_data_sample[[#This Row],[CONTACTFIRSTNAME]],", ",sales_data_sample[[#This Row],[CONTACTLASTNAME]]))</f>
        <v>Maria, Larsson</v>
      </c>
      <c r="AA2698" s="1" t="s">
        <v>40</v>
      </c>
    </row>
    <row r="2699" spans="1:27" x14ac:dyDescent="0.25">
      <c r="A2699" s="10">
        <v>10177</v>
      </c>
      <c r="B2699" s="9">
        <v>44</v>
      </c>
      <c r="C2699" s="9">
        <v>9216</v>
      </c>
      <c r="D2699" s="9">
        <f>PRODUCT(sales_data_sample[[#This Row],[QUANTITYORDERED]],sales_data_sample[[#This Row],[PRICEEACH]])</f>
        <v>405504</v>
      </c>
      <c r="E2699" s="9">
        <f>IF(OR(sales_data_sample[[#This Row],[STATUS]]="Shipped",sales_data_sample[[#This Row],[STATUS]]="Resolved"),sales_data_sample[[#This Row],[SALES]],0)</f>
        <v>405504</v>
      </c>
      <c r="F2699" s="10">
        <v>4</v>
      </c>
      <c r="G2699" s="12" t="s">
        <v>913</v>
      </c>
      <c r="H2699" s="1" t="s">
        <v>26</v>
      </c>
      <c r="I2699">
        <v>4</v>
      </c>
      <c r="J2699">
        <v>11</v>
      </c>
      <c r="K2699">
        <v>2003</v>
      </c>
      <c r="L2699" s="1" t="s">
        <v>905</v>
      </c>
      <c r="M2699">
        <v>100</v>
      </c>
      <c r="N2699" s="1" t="s">
        <v>1011</v>
      </c>
      <c r="O2699" s="1" t="s">
        <v>687</v>
      </c>
      <c r="P2699" s="1" t="s">
        <v>688</v>
      </c>
      <c r="Q2699" s="1" t="s">
        <v>689</v>
      </c>
      <c r="R2699" s="1" t="s">
        <v>32</v>
      </c>
      <c r="S2699" s="1" t="s">
        <v>233</v>
      </c>
      <c r="T2699" s="1" t="s">
        <v>32</v>
      </c>
      <c r="U2699" s="1" t="s">
        <v>254</v>
      </c>
      <c r="V2699" s="1" t="s">
        <v>235</v>
      </c>
      <c r="W2699" s="1" t="s">
        <v>48</v>
      </c>
      <c r="X2699" s="1" t="s">
        <v>690</v>
      </c>
      <c r="Y2699" s="1" t="s">
        <v>691</v>
      </c>
      <c r="Z2699" s="1" t="str">
        <f>TRIM(_xlfn.CONCAT(sales_data_sample[[#This Row],[CONTACTFIRSTNAME]],", ",sales_data_sample[[#This Row],[CONTACTLASTNAME]]))</f>
        <v>Jesus, Fernandez</v>
      </c>
      <c r="AA2699" s="1" t="s">
        <v>59</v>
      </c>
    </row>
    <row r="2700" spans="1:27" x14ac:dyDescent="0.25">
      <c r="A2700" s="10">
        <v>10185</v>
      </c>
      <c r="B2700" s="9">
        <v>37</v>
      </c>
      <c r="C2700" s="9">
        <v>100</v>
      </c>
      <c r="D2700" s="9">
        <f>PRODUCT(sales_data_sample[[#This Row],[QUANTITYORDERED]],sales_data_sample[[#This Row],[PRICEEACH]])</f>
        <v>3700</v>
      </c>
      <c r="E2700" s="9">
        <f>IF(OR(sales_data_sample[[#This Row],[STATUS]]="Shipped",sales_data_sample[[#This Row],[STATUS]]="Resolved"),sales_data_sample[[#This Row],[SALES]],0)</f>
        <v>3700</v>
      </c>
      <c r="F2700" s="10">
        <v>4</v>
      </c>
      <c r="G2700" s="12" t="s">
        <v>470</v>
      </c>
      <c r="H2700" s="1" t="s">
        <v>26</v>
      </c>
      <c r="I2700">
        <v>4</v>
      </c>
      <c r="J2700">
        <v>11</v>
      </c>
      <c r="K2700">
        <v>2003</v>
      </c>
      <c r="L2700" s="1" t="s">
        <v>905</v>
      </c>
      <c r="M2700">
        <v>100</v>
      </c>
      <c r="N2700" s="1" t="s">
        <v>1011</v>
      </c>
      <c r="O2700" s="1" t="s">
        <v>454</v>
      </c>
      <c r="P2700" s="1" t="s">
        <v>455</v>
      </c>
      <c r="Q2700" s="1" t="s">
        <v>456</v>
      </c>
      <c r="R2700" s="1" t="s">
        <v>32</v>
      </c>
      <c r="S2700" s="1" t="s">
        <v>215</v>
      </c>
      <c r="T2700" s="1" t="s">
        <v>160</v>
      </c>
      <c r="U2700" s="1" t="s">
        <v>216</v>
      </c>
      <c r="V2700" s="1" t="s">
        <v>36</v>
      </c>
      <c r="W2700" s="1" t="s">
        <v>37</v>
      </c>
      <c r="X2700" s="1" t="s">
        <v>457</v>
      </c>
      <c r="Y2700" s="1" t="s">
        <v>458</v>
      </c>
      <c r="Z2700" s="1" t="str">
        <f>TRIM(_xlfn.CONCAT(sales_data_sample[[#This Row],[CONTACTFIRSTNAME]],", ",sales_data_sample[[#This Row],[CONTACTLASTNAME]]))</f>
        <v>Wing C, Tam</v>
      </c>
      <c r="AA2700" s="1" t="s">
        <v>59</v>
      </c>
    </row>
    <row r="2701" spans="1:27" x14ac:dyDescent="0.25">
      <c r="A2701" s="10">
        <v>10197</v>
      </c>
      <c r="B2701" s="9">
        <v>27</v>
      </c>
      <c r="C2701" s="9">
        <v>9216</v>
      </c>
      <c r="D2701" s="9">
        <f>PRODUCT(sales_data_sample[[#This Row],[QUANTITYORDERED]],sales_data_sample[[#This Row],[PRICEEACH]])</f>
        <v>248832</v>
      </c>
      <c r="E2701" s="9">
        <f>IF(OR(sales_data_sample[[#This Row],[STATUS]]="Shipped",sales_data_sample[[#This Row],[STATUS]]="Resolved"),sales_data_sample[[#This Row],[SALES]],0)</f>
        <v>248832</v>
      </c>
      <c r="F2701" s="10">
        <v>10</v>
      </c>
      <c r="G2701" s="12" t="s">
        <v>477</v>
      </c>
      <c r="H2701" s="1" t="s">
        <v>26</v>
      </c>
      <c r="I2701">
        <v>4</v>
      </c>
      <c r="J2701">
        <v>11</v>
      </c>
      <c r="K2701">
        <v>2003</v>
      </c>
      <c r="L2701" s="1" t="s">
        <v>905</v>
      </c>
      <c r="M2701">
        <v>100</v>
      </c>
      <c r="N2701" s="1" t="s">
        <v>1011</v>
      </c>
      <c r="O2701" s="1" t="s">
        <v>478</v>
      </c>
      <c r="P2701" s="1" t="s">
        <v>479</v>
      </c>
      <c r="Q2701" s="1" t="s">
        <v>480</v>
      </c>
      <c r="R2701" s="1" t="s">
        <v>32</v>
      </c>
      <c r="S2701" s="1" t="s">
        <v>481</v>
      </c>
      <c r="T2701" s="1" t="s">
        <v>32</v>
      </c>
      <c r="U2701" s="1" t="s">
        <v>482</v>
      </c>
      <c r="V2701" s="1" t="s">
        <v>235</v>
      </c>
      <c r="W2701" s="1" t="s">
        <v>48</v>
      </c>
      <c r="X2701" s="1" t="s">
        <v>483</v>
      </c>
      <c r="Y2701" s="1" t="s">
        <v>484</v>
      </c>
      <c r="Z2701" s="1" t="str">
        <f>TRIM(_xlfn.CONCAT(sales_data_sample[[#This Row],[CONTACTFIRSTNAME]],", ",sales_data_sample[[#This Row],[CONTACTLASTNAME]]))</f>
        <v>Eduardo, Saavedra</v>
      </c>
      <c r="AA2701" s="1" t="s">
        <v>40</v>
      </c>
    </row>
    <row r="2702" spans="1:27" x14ac:dyDescent="0.25">
      <c r="A2702" s="10">
        <v>10208</v>
      </c>
      <c r="B2702" s="9">
        <v>37</v>
      </c>
      <c r="C2702" s="9">
        <v>100</v>
      </c>
      <c r="D2702" s="9">
        <f>PRODUCT(sales_data_sample[[#This Row],[QUANTITYORDERED]],sales_data_sample[[#This Row],[PRICEEACH]])</f>
        <v>3700</v>
      </c>
      <c r="E2702" s="9">
        <f>IF(OR(sales_data_sample[[#This Row],[STATUS]]="Shipped",sales_data_sample[[#This Row],[STATUS]]="Resolved"),sales_data_sample[[#This Row],[SALES]],0)</f>
        <v>3700</v>
      </c>
      <c r="F2702" s="10">
        <v>4</v>
      </c>
      <c r="G2702" s="12" t="s">
        <v>675</v>
      </c>
      <c r="H2702" s="1" t="s">
        <v>26</v>
      </c>
      <c r="I2702">
        <v>1</v>
      </c>
      <c r="J2702">
        <v>1</v>
      </c>
      <c r="K2702">
        <v>2004</v>
      </c>
      <c r="L2702" s="1" t="s">
        <v>905</v>
      </c>
      <c r="M2702">
        <v>100</v>
      </c>
      <c r="N2702" s="1" t="s">
        <v>1011</v>
      </c>
      <c r="O2702" s="1" t="s">
        <v>291</v>
      </c>
      <c r="P2702" s="1" t="s">
        <v>292</v>
      </c>
      <c r="Q2702" s="1" t="s">
        <v>293</v>
      </c>
      <c r="R2702" s="1" t="s">
        <v>32</v>
      </c>
      <c r="S2702" s="1" t="s">
        <v>294</v>
      </c>
      <c r="T2702" s="1" t="s">
        <v>32</v>
      </c>
      <c r="U2702" s="1" t="s">
        <v>295</v>
      </c>
      <c r="V2702" s="1" t="s">
        <v>47</v>
      </c>
      <c r="W2702" s="1" t="s">
        <v>48</v>
      </c>
      <c r="X2702" s="1" t="s">
        <v>296</v>
      </c>
      <c r="Y2702" s="1" t="s">
        <v>297</v>
      </c>
      <c r="Z2702" s="1" t="str">
        <f>TRIM(_xlfn.CONCAT(sales_data_sample[[#This Row],[CONTACTFIRSTNAME]],", ",sales_data_sample[[#This Row],[CONTACTLASTNAME]]))</f>
        <v>Mary, Saveley</v>
      </c>
      <c r="AA2702" s="1" t="s">
        <v>59</v>
      </c>
    </row>
    <row r="2703" spans="1:27" x14ac:dyDescent="0.25">
      <c r="A2703" s="10">
        <v>10222</v>
      </c>
      <c r="B2703" s="9">
        <v>38</v>
      </c>
      <c r="C2703" s="9">
        <v>100</v>
      </c>
      <c r="D2703" s="9">
        <f>PRODUCT(sales_data_sample[[#This Row],[QUANTITYORDERED]],sales_data_sample[[#This Row],[PRICEEACH]])</f>
        <v>3800</v>
      </c>
      <c r="E2703" s="9">
        <f>IF(OR(sales_data_sample[[#This Row],[STATUS]]="Shipped",sales_data_sample[[#This Row],[STATUS]]="Resolved"),sales_data_sample[[#This Row],[SALES]],0)</f>
        <v>3800</v>
      </c>
      <c r="F2703" s="10">
        <v>16</v>
      </c>
      <c r="G2703" s="12" t="s">
        <v>491</v>
      </c>
      <c r="H2703" s="1" t="s">
        <v>26</v>
      </c>
      <c r="I2703">
        <v>1</v>
      </c>
      <c r="J2703">
        <v>2</v>
      </c>
      <c r="K2703">
        <v>2004</v>
      </c>
      <c r="L2703" s="1" t="s">
        <v>905</v>
      </c>
      <c r="M2703">
        <v>100</v>
      </c>
      <c r="N2703" s="1" t="s">
        <v>1011</v>
      </c>
      <c r="O2703" s="1" t="s">
        <v>492</v>
      </c>
      <c r="P2703" s="1" t="s">
        <v>493</v>
      </c>
      <c r="Q2703" s="1" t="s">
        <v>494</v>
      </c>
      <c r="R2703" s="1" t="s">
        <v>32</v>
      </c>
      <c r="S2703" s="1" t="s">
        <v>495</v>
      </c>
      <c r="T2703" s="1" t="s">
        <v>65</v>
      </c>
      <c r="U2703" s="1" t="s">
        <v>496</v>
      </c>
      <c r="V2703" s="1" t="s">
        <v>36</v>
      </c>
      <c r="W2703" s="1" t="s">
        <v>37</v>
      </c>
      <c r="X2703" s="1" t="s">
        <v>313</v>
      </c>
      <c r="Y2703" s="1" t="s">
        <v>366</v>
      </c>
      <c r="Z2703" s="1" t="str">
        <f>TRIM(_xlfn.CONCAT(sales_data_sample[[#This Row],[CONTACTFIRSTNAME]],", ",sales_data_sample[[#This Row],[CONTACTLASTNAME]]))</f>
        <v>Valarie, Thompson</v>
      </c>
      <c r="AA2703" s="1" t="s">
        <v>59</v>
      </c>
    </row>
    <row r="2704" spans="1:27" x14ac:dyDescent="0.25">
      <c r="A2704" s="10">
        <v>10232</v>
      </c>
      <c r="B2704" s="9">
        <v>48</v>
      </c>
      <c r="C2704" s="9">
        <v>9616</v>
      </c>
      <c r="D2704" s="9">
        <f>PRODUCT(sales_data_sample[[#This Row],[QUANTITYORDERED]],sales_data_sample[[#This Row],[PRICEEACH]])</f>
        <v>461568</v>
      </c>
      <c r="E2704" s="9">
        <f>IF(OR(sales_data_sample[[#This Row],[STATUS]]="Shipped",sales_data_sample[[#This Row],[STATUS]]="Resolved"),sales_data_sample[[#This Row],[SALES]],0)</f>
        <v>461568</v>
      </c>
      <c r="F2704" s="10">
        <v>1</v>
      </c>
      <c r="G2704" s="12" t="s">
        <v>915</v>
      </c>
      <c r="H2704" s="1" t="s">
        <v>26</v>
      </c>
      <c r="I2704">
        <v>1</v>
      </c>
      <c r="J2704">
        <v>3</v>
      </c>
      <c r="K2704">
        <v>2004</v>
      </c>
      <c r="L2704" s="1" t="s">
        <v>905</v>
      </c>
      <c r="M2704">
        <v>100</v>
      </c>
      <c r="N2704" s="1" t="s">
        <v>1011</v>
      </c>
      <c r="O2704" s="1" t="s">
        <v>524</v>
      </c>
      <c r="P2704" s="1" t="s">
        <v>525</v>
      </c>
      <c r="Q2704" s="1" t="s">
        <v>526</v>
      </c>
      <c r="R2704" s="1" t="s">
        <v>32</v>
      </c>
      <c r="S2704" s="1" t="s">
        <v>527</v>
      </c>
      <c r="T2704" s="1" t="s">
        <v>528</v>
      </c>
      <c r="U2704" s="1" t="s">
        <v>529</v>
      </c>
      <c r="V2704" s="1" t="s">
        <v>225</v>
      </c>
      <c r="W2704" s="1" t="s">
        <v>48</v>
      </c>
      <c r="X2704" s="1" t="s">
        <v>530</v>
      </c>
      <c r="Y2704" s="1" t="s">
        <v>531</v>
      </c>
      <c r="Z2704" s="1" t="str">
        <f>TRIM(_xlfn.CONCAT(sales_data_sample[[#This Row],[CONTACTFIRSTNAME]],", ",sales_data_sample[[#This Row],[CONTACTLASTNAME]]))</f>
        <v>Helen, Bennett</v>
      </c>
      <c r="AA2704" s="1" t="s">
        <v>59</v>
      </c>
    </row>
    <row r="2705" spans="1:27" x14ac:dyDescent="0.25">
      <c r="A2705" s="10">
        <v>10248</v>
      </c>
      <c r="B2705" s="9">
        <v>30</v>
      </c>
      <c r="C2705" s="9">
        <v>100</v>
      </c>
      <c r="D2705" s="9">
        <f>PRODUCT(sales_data_sample[[#This Row],[QUANTITYORDERED]],sales_data_sample[[#This Row],[PRICEEACH]])</f>
        <v>3000</v>
      </c>
      <c r="E2705" s="9">
        <f>IF(OR(sales_data_sample[[#This Row],[STATUS]]="Shipped",sales_data_sample[[#This Row],[STATUS]]="Resolved"),sales_data_sample[[#This Row],[SALES]],0)</f>
        <v>0</v>
      </c>
      <c r="F2705" s="10">
        <v>7</v>
      </c>
      <c r="G2705" s="12" t="s">
        <v>497</v>
      </c>
      <c r="H2705" s="1" t="s">
        <v>461</v>
      </c>
      <c r="I2705">
        <v>2</v>
      </c>
      <c r="J2705">
        <v>5</v>
      </c>
      <c r="K2705">
        <v>2004</v>
      </c>
      <c r="L2705" s="1" t="s">
        <v>905</v>
      </c>
      <c r="M2705">
        <v>100</v>
      </c>
      <c r="N2705" s="1" t="s">
        <v>1011</v>
      </c>
      <c r="O2705" s="1" t="s">
        <v>29</v>
      </c>
      <c r="P2705" s="1" t="s">
        <v>30</v>
      </c>
      <c r="Q2705" s="1" t="s">
        <v>31</v>
      </c>
      <c r="R2705" s="1" t="s">
        <v>32</v>
      </c>
      <c r="S2705" s="1" t="s">
        <v>33</v>
      </c>
      <c r="T2705" s="1" t="s">
        <v>34</v>
      </c>
      <c r="U2705" s="1" t="s">
        <v>35</v>
      </c>
      <c r="V2705" s="1" t="s">
        <v>36</v>
      </c>
      <c r="W2705" s="1" t="s">
        <v>37</v>
      </c>
      <c r="X2705" s="1" t="s">
        <v>38</v>
      </c>
      <c r="Y2705" s="1" t="s">
        <v>39</v>
      </c>
      <c r="Z2705" s="1" t="str">
        <f>TRIM(_xlfn.CONCAT(sales_data_sample[[#This Row],[CONTACTFIRSTNAME]],", ",sales_data_sample[[#This Row],[CONTACTLASTNAME]]))</f>
        <v>Kwai, Yu</v>
      </c>
      <c r="AA2705" s="1" t="s">
        <v>59</v>
      </c>
    </row>
    <row r="2706" spans="1:27" x14ac:dyDescent="0.25">
      <c r="A2706" s="10">
        <v>10261</v>
      </c>
      <c r="B2706" s="9">
        <v>25</v>
      </c>
      <c r="C2706" s="9">
        <v>8815</v>
      </c>
      <c r="D2706" s="9">
        <f>PRODUCT(sales_data_sample[[#This Row],[QUANTITYORDERED]],sales_data_sample[[#This Row],[PRICEEACH]])</f>
        <v>220375</v>
      </c>
      <c r="E2706" s="9">
        <f>IF(OR(sales_data_sample[[#This Row],[STATUS]]="Shipped",sales_data_sample[[#This Row],[STATUS]]="Resolved"),sales_data_sample[[#This Row],[SALES]],0)</f>
        <v>220375</v>
      </c>
      <c r="F2706" s="10">
        <v>5</v>
      </c>
      <c r="G2706" s="12" t="s">
        <v>498</v>
      </c>
      <c r="H2706" s="1" t="s">
        <v>26</v>
      </c>
      <c r="I2706">
        <v>2</v>
      </c>
      <c r="J2706">
        <v>6</v>
      </c>
      <c r="K2706">
        <v>2004</v>
      </c>
      <c r="L2706" s="1" t="s">
        <v>905</v>
      </c>
      <c r="M2706">
        <v>100</v>
      </c>
      <c r="N2706" s="1" t="s">
        <v>1011</v>
      </c>
      <c r="O2706" s="1" t="s">
        <v>394</v>
      </c>
      <c r="P2706" s="1" t="s">
        <v>395</v>
      </c>
      <c r="Q2706" s="1" t="s">
        <v>396</v>
      </c>
      <c r="R2706" s="1" t="s">
        <v>32</v>
      </c>
      <c r="S2706" s="1" t="s">
        <v>397</v>
      </c>
      <c r="T2706" s="1" t="s">
        <v>398</v>
      </c>
      <c r="U2706" s="1" t="s">
        <v>399</v>
      </c>
      <c r="V2706" s="1" t="s">
        <v>305</v>
      </c>
      <c r="W2706" s="1" t="s">
        <v>37</v>
      </c>
      <c r="X2706" s="1" t="s">
        <v>400</v>
      </c>
      <c r="Y2706" s="1" t="s">
        <v>401</v>
      </c>
      <c r="Z2706" s="1" t="str">
        <f>TRIM(_xlfn.CONCAT(sales_data_sample[[#This Row],[CONTACTFIRSTNAME]],", ",sales_data_sample[[#This Row],[CONTACTLASTNAME]]))</f>
        <v>Jean, Fresnisre</v>
      </c>
      <c r="AA2706" s="1" t="s">
        <v>40</v>
      </c>
    </row>
    <row r="2707" spans="1:27" x14ac:dyDescent="0.25">
      <c r="A2707" s="10">
        <v>10273</v>
      </c>
      <c r="B2707" s="9">
        <v>40</v>
      </c>
      <c r="C2707" s="9">
        <v>8615</v>
      </c>
      <c r="D2707" s="9">
        <f>PRODUCT(sales_data_sample[[#This Row],[QUANTITYORDERED]],sales_data_sample[[#This Row],[PRICEEACH]])</f>
        <v>344600</v>
      </c>
      <c r="E2707" s="9">
        <f>IF(OR(sales_data_sample[[#This Row],[STATUS]]="Shipped",sales_data_sample[[#This Row],[STATUS]]="Resolved"),sales_data_sample[[#This Row],[SALES]],0)</f>
        <v>344600</v>
      </c>
      <c r="F2707" s="10">
        <v>8</v>
      </c>
      <c r="G2707" s="12" t="s">
        <v>499</v>
      </c>
      <c r="H2707" s="1" t="s">
        <v>26</v>
      </c>
      <c r="I2707">
        <v>3</v>
      </c>
      <c r="J2707">
        <v>7</v>
      </c>
      <c r="K2707">
        <v>2004</v>
      </c>
      <c r="L2707" s="1" t="s">
        <v>905</v>
      </c>
      <c r="M2707">
        <v>100</v>
      </c>
      <c r="N2707" s="1" t="s">
        <v>1011</v>
      </c>
      <c r="O2707" s="1" t="s">
        <v>500</v>
      </c>
      <c r="P2707" s="1" t="s">
        <v>501</v>
      </c>
      <c r="Q2707" s="1" t="s">
        <v>502</v>
      </c>
      <c r="R2707" s="1" t="s">
        <v>32</v>
      </c>
      <c r="S2707" s="1" t="s">
        <v>503</v>
      </c>
      <c r="T2707" s="1" t="s">
        <v>32</v>
      </c>
      <c r="U2707" s="1" t="s">
        <v>504</v>
      </c>
      <c r="V2707" s="1" t="s">
        <v>505</v>
      </c>
      <c r="W2707" s="1" t="s">
        <v>48</v>
      </c>
      <c r="X2707" s="1" t="s">
        <v>506</v>
      </c>
      <c r="Y2707" s="1" t="s">
        <v>507</v>
      </c>
      <c r="Z2707" s="1" t="str">
        <f>TRIM(_xlfn.CONCAT(sales_data_sample[[#This Row],[CONTACTFIRSTNAME]],", ",sales_data_sample[[#This Row],[CONTACTLASTNAME]]))</f>
        <v>Catherine, Dewey</v>
      </c>
      <c r="AA2707" s="1" t="s">
        <v>59</v>
      </c>
    </row>
    <row r="2708" spans="1:27" x14ac:dyDescent="0.25">
      <c r="A2708" s="10">
        <v>10283</v>
      </c>
      <c r="B2708" s="9">
        <v>22</v>
      </c>
      <c r="C2708" s="9">
        <v>8815</v>
      </c>
      <c r="D2708" s="9">
        <f>PRODUCT(sales_data_sample[[#This Row],[QUANTITYORDERED]],sales_data_sample[[#This Row],[PRICEEACH]])</f>
        <v>193930</v>
      </c>
      <c r="E2708" s="9">
        <f>IF(OR(sales_data_sample[[#This Row],[STATUS]]="Shipped",sales_data_sample[[#This Row],[STATUS]]="Resolved"),sales_data_sample[[#This Row],[SALES]],0)</f>
        <v>193930</v>
      </c>
      <c r="F2708" s="10">
        <v>10</v>
      </c>
      <c r="G2708" s="12" t="s">
        <v>508</v>
      </c>
      <c r="H2708" s="1" t="s">
        <v>26</v>
      </c>
      <c r="I2708">
        <v>3</v>
      </c>
      <c r="J2708">
        <v>8</v>
      </c>
      <c r="K2708">
        <v>2004</v>
      </c>
      <c r="L2708" s="1" t="s">
        <v>905</v>
      </c>
      <c r="M2708">
        <v>100</v>
      </c>
      <c r="N2708" s="1" t="s">
        <v>1011</v>
      </c>
      <c r="O2708" s="1" t="s">
        <v>509</v>
      </c>
      <c r="P2708" s="1" t="s">
        <v>510</v>
      </c>
      <c r="Q2708" s="1" t="s">
        <v>511</v>
      </c>
      <c r="R2708" s="1" t="s">
        <v>32</v>
      </c>
      <c r="S2708" s="1" t="s">
        <v>512</v>
      </c>
      <c r="T2708" s="1" t="s">
        <v>303</v>
      </c>
      <c r="U2708" s="1" t="s">
        <v>513</v>
      </c>
      <c r="V2708" s="1" t="s">
        <v>305</v>
      </c>
      <c r="W2708" s="1" t="s">
        <v>37</v>
      </c>
      <c r="X2708" s="1" t="s">
        <v>514</v>
      </c>
      <c r="Y2708" s="1" t="s">
        <v>227</v>
      </c>
      <c r="Z2708" s="1" t="str">
        <f>TRIM(_xlfn.CONCAT(sales_data_sample[[#This Row],[CONTACTFIRSTNAME]],", ",sales_data_sample[[#This Row],[CONTACTLASTNAME]]))</f>
        <v>Elizabeth, Lincoln</v>
      </c>
      <c r="AA2708" s="1" t="s">
        <v>40</v>
      </c>
    </row>
    <row r="2709" spans="1:27" x14ac:dyDescent="0.25">
      <c r="A2709" s="10">
        <v>10295</v>
      </c>
      <c r="B2709" s="9">
        <v>34</v>
      </c>
      <c r="C2709" s="9">
        <v>100</v>
      </c>
      <c r="D2709" s="9">
        <f>PRODUCT(sales_data_sample[[#This Row],[QUANTITYORDERED]],sales_data_sample[[#This Row],[PRICEEACH]])</f>
        <v>3400</v>
      </c>
      <c r="E2709" s="9">
        <f>IF(OR(sales_data_sample[[#This Row],[STATUS]]="Shipped",sales_data_sample[[#This Row],[STATUS]]="Resolved"),sales_data_sample[[#This Row],[SALES]],0)</f>
        <v>3400</v>
      </c>
      <c r="F2709" s="10">
        <v>5</v>
      </c>
      <c r="G2709" s="12" t="s">
        <v>515</v>
      </c>
      <c r="H2709" s="1" t="s">
        <v>26</v>
      </c>
      <c r="I2709">
        <v>3</v>
      </c>
      <c r="J2709">
        <v>9</v>
      </c>
      <c r="K2709">
        <v>2004</v>
      </c>
      <c r="L2709" s="1" t="s">
        <v>905</v>
      </c>
      <c r="M2709">
        <v>100</v>
      </c>
      <c r="N2709" s="1" t="s">
        <v>1011</v>
      </c>
      <c r="O2709" s="1" t="s">
        <v>516</v>
      </c>
      <c r="P2709" s="1" t="s">
        <v>517</v>
      </c>
      <c r="Q2709" s="1" t="s">
        <v>518</v>
      </c>
      <c r="R2709" s="1" t="s">
        <v>32</v>
      </c>
      <c r="S2709" s="1" t="s">
        <v>519</v>
      </c>
      <c r="T2709" s="1" t="s">
        <v>160</v>
      </c>
      <c r="U2709" s="1" t="s">
        <v>520</v>
      </c>
      <c r="V2709" s="1" t="s">
        <v>36</v>
      </c>
      <c r="W2709" s="1" t="s">
        <v>37</v>
      </c>
      <c r="X2709" s="1" t="s">
        <v>521</v>
      </c>
      <c r="Y2709" s="1" t="s">
        <v>82</v>
      </c>
      <c r="Z2709" s="1" t="str">
        <f>TRIM(_xlfn.CONCAT(sales_data_sample[[#This Row],[CONTACTFIRSTNAME]],", ",sales_data_sample[[#This Row],[CONTACTLASTNAME]]))</f>
        <v>Juri, Yoshido</v>
      </c>
      <c r="AA2709" s="1" t="s">
        <v>59</v>
      </c>
    </row>
    <row r="2710" spans="1:27" x14ac:dyDescent="0.25">
      <c r="A2710" s="10">
        <v>10306</v>
      </c>
      <c r="B2710" s="9">
        <v>32</v>
      </c>
      <c r="C2710" s="9">
        <v>9015</v>
      </c>
      <c r="D2710" s="9">
        <f>PRODUCT(sales_data_sample[[#This Row],[QUANTITYORDERED]],sales_data_sample[[#This Row],[PRICEEACH]])</f>
        <v>288480</v>
      </c>
      <c r="E2710" s="9">
        <f>IF(OR(sales_data_sample[[#This Row],[STATUS]]="Shipped",sales_data_sample[[#This Row],[STATUS]]="Resolved"),sales_data_sample[[#This Row],[SALES]],0)</f>
        <v>288480</v>
      </c>
      <c r="F2710" s="10">
        <v>4</v>
      </c>
      <c r="G2710" s="12" t="s">
        <v>522</v>
      </c>
      <c r="H2710" s="1" t="s">
        <v>26</v>
      </c>
      <c r="I2710">
        <v>4</v>
      </c>
      <c r="J2710">
        <v>10</v>
      </c>
      <c r="K2710">
        <v>2004</v>
      </c>
      <c r="L2710" s="1" t="s">
        <v>905</v>
      </c>
      <c r="M2710">
        <v>100</v>
      </c>
      <c r="N2710" s="1" t="s">
        <v>1011</v>
      </c>
      <c r="O2710" s="1" t="s">
        <v>695</v>
      </c>
      <c r="P2710" s="1" t="s">
        <v>696</v>
      </c>
      <c r="Q2710" s="1" t="s">
        <v>697</v>
      </c>
      <c r="R2710" s="1" t="s">
        <v>32</v>
      </c>
      <c r="S2710" s="1" t="s">
        <v>698</v>
      </c>
      <c r="T2710" s="1" t="s">
        <v>32</v>
      </c>
      <c r="U2710" s="1" t="s">
        <v>699</v>
      </c>
      <c r="V2710" s="1" t="s">
        <v>225</v>
      </c>
      <c r="W2710" s="1" t="s">
        <v>48</v>
      </c>
      <c r="X2710" s="1" t="s">
        <v>700</v>
      </c>
      <c r="Y2710" s="1" t="s">
        <v>118</v>
      </c>
      <c r="Z2710" s="1" t="str">
        <f>TRIM(_xlfn.CONCAT(sales_data_sample[[#This Row],[CONTACTFIRSTNAME]],", ",sales_data_sample[[#This Row],[CONTACTLASTNAME]]))</f>
        <v>Victoria, Ashworth</v>
      </c>
      <c r="AA2710" s="1" t="s">
        <v>40</v>
      </c>
    </row>
    <row r="2711" spans="1:27" x14ac:dyDescent="0.25">
      <c r="A2711" s="10">
        <v>10315</v>
      </c>
      <c r="B2711" s="9">
        <v>31</v>
      </c>
      <c r="C2711" s="9">
        <v>8615</v>
      </c>
      <c r="D2711" s="9">
        <f>PRODUCT(sales_data_sample[[#This Row],[QUANTITYORDERED]],sales_data_sample[[#This Row],[PRICEEACH]])</f>
        <v>267065</v>
      </c>
      <c r="E2711" s="9">
        <f>IF(OR(sales_data_sample[[#This Row],[STATUS]]="Shipped",sales_data_sample[[#This Row],[STATUS]]="Resolved"),sales_data_sample[[#This Row],[SALES]],0)</f>
        <v>267065</v>
      </c>
      <c r="F2711" s="10">
        <v>3</v>
      </c>
      <c r="G2711" s="12" t="s">
        <v>943</v>
      </c>
      <c r="H2711" s="1" t="s">
        <v>26</v>
      </c>
      <c r="I2711">
        <v>4</v>
      </c>
      <c r="J2711">
        <v>10</v>
      </c>
      <c r="K2711">
        <v>2004</v>
      </c>
      <c r="L2711" s="1" t="s">
        <v>905</v>
      </c>
      <c r="M2711">
        <v>100</v>
      </c>
      <c r="N2711" s="1" t="s">
        <v>1011</v>
      </c>
      <c r="O2711" s="1" t="s">
        <v>148</v>
      </c>
      <c r="P2711" s="1" t="s">
        <v>149</v>
      </c>
      <c r="Q2711" s="1" t="s">
        <v>150</v>
      </c>
      <c r="R2711" s="1" t="s">
        <v>32</v>
      </c>
      <c r="S2711" s="1" t="s">
        <v>151</v>
      </c>
      <c r="T2711" s="1" t="s">
        <v>32</v>
      </c>
      <c r="U2711" s="1" t="s">
        <v>152</v>
      </c>
      <c r="V2711" s="1" t="s">
        <v>47</v>
      </c>
      <c r="W2711" s="1" t="s">
        <v>48</v>
      </c>
      <c r="X2711" s="1" t="s">
        <v>153</v>
      </c>
      <c r="Y2711" s="1" t="s">
        <v>154</v>
      </c>
      <c r="Z2711" s="1" t="str">
        <f>TRIM(_xlfn.CONCAT(sales_data_sample[[#This Row],[CONTACTFIRSTNAME]],", ",sales_data_sample[[#This Row],[CONTACTLASTNAME]]))</f>
        <v>Janine, Labrune</v>
      </c>
      <c r="AA2711" s="1" t="s">
        <v>40</v>
      </c>
    </row>
    <row r="2712" spans="1:27" x14ac:dyDescent="0.25">
      <c r="A2712" s="10">
        <v>10327</v>
      </c>
      <c r="B2712" s="9">
        <v>43</v>
      </c>
      <c r="C2712" s="9">
        <v>80</v>
      </c>
      <c r="D2712" s="9">
        <f>PRODUCT(sales_data_sample[[#This Row],[QUANTITYORDERED]],sales_data_sample[[#This Row],[PRICEEACH]])</f>
        <v>3440</v>
      </c>
      <c r="E2712" s="9">
        <f>IF(OR(sales_data_sample[[#This Row],[STATUS]]="Shipped",sales_data_sample[[#This Row],[STATUS]]="Resolved"),sales_data_sample[[#This Row],[SALES]],0)</f>
        <v>3440</v>
      </c>
      <c r="F2712" s="10">
        <v>2</v>
      </c>
      <c r="G2712" s="12" t="s">
        <v>859</v>
      </c>
      <c r="H2712" s="1" t="s">
        <v>563</v>
      </c>
      <c r="I2712">
        <v>4</v>
      </c>
      <c r="J2712">
        <v>11</v>
      </c>
      <c r="K2712">
        <v>2004</v>
      </c>
      <c r="L2712" s="1" t="s">
        <v>905</v>
      </c>
      <c r="M2712">
        <v>100</v>
      </c>
      <c r="N2712" s="1" t="s">
        <v>1011</v>
      </c>
      <c r="O2712" s="1" t="s">
        <v>437</v>
      </c>
      <c r="P2712" s="1" t="s">
        <v>438</v>
      </c>
      <c r="Q2712" s="1" t="s">
        <v>439</v>
      </c>
      <c r="R2712" s="1" t="s">
        <v>32</v>
      </c>
      <c r="S2712" s="1" t="s">
        <v>440</v>
      </c>
      <c r="T2712" s="1" t="s">
        <v>32</v>
      </c>
      <c r="U2712" s="1" t="s">
        <v>441</v>
      </c>
      <c r="V2712" s="1" t="s">
        <v>442</v>
      </c>
      <c r="W2712" s="1" t="s">
        <v>48</v>
      </c>
      <c r="X2712" s="1" t="s">
        <v>443</v>
      </c>
      <c r="Y2712" s="1" t="s">
        <v>444</v>
      </c>
      <c r="Z2712" s="1" t="str">
        <f>TRIM(_xlfn.CONCAT(sales_data_sample[[#This Row],[CONTACTFIRSTNAME]],", ",sales_data_sample[[#This Row],[CONTACTLASTNAME]]))</f>
        <v>Jytte, Petersen</v>
      </c>
      <c r="AA2712" s="1" t="s">
        <v>59</v>
      </c>
    </row>
    <row r="2713" spans="1:27" x14ac:dyDescent="0.25">
      <c r="A2713">
        <v>10337</v>
      </c>
      <c r="B2713">
        <v>31</v>
      </c>
      <c r="C2713">
        <v>8938</v>
      </c>
      <c r="D2713">
        <f>PRODUCT(sales_data_sample[[#This Row],[QUANTITYORDERED]],sales_data_sample[[#This Row],[PRICEEACH]])</f>
        <v>277078</v>
      </c>
      <c r="E2713" s="9">
        <f>IF(OR(sales_data_sample[[#This Row],[STATUS]]="Shipped",sales_data_sample[[#This Row],[STATUS]]="Resolved"),sales_data_sample[[#This Row],[SALES]],0)</f>
        <v>277078</v>
      </c>
      <c r="F2713">
        <v>1</v>
      </c>
      <c r="G2713" s="12" t="s">
        <v>533</v>
      </c>
      <c r="H2713" s="1" t="s">
        <v>26</v>
      </c>
      <c r="I2713">
        <v>4</v>
      </c>
      <c r="J2713">
        <v>11</v>
      </c>
      <c r="K2713">
        <v>2004</v>
      </c>
      <c r="L2713" s="1" t="s">
        <v>905</v>
      </c>
      <c r="M2713">
        <v>100</v>
      </c>
      <c r="N2713" s="1" t="s">
        <v>1011</v>
      </c>
      <c r="O2713" s="1" t="s">
        <v>268</v>
      </c>
      <c r="P2713" s="1" t="s">
        <v>269</v>
      </c>
      <c r="Q2713" s="1" t="s">
        <v>270</v>
      </c>
      <c r="R2713" s="1" t="s">
        <v>271</v>
      </c>
      <c r="S2713" s="1" t="s">
        <v>33</v>
      </c>
      <c r="T2713" s="1" t="s">
        <v>34</v>
      </c>
      <c r="U2713" s="1" t="s">
        <v>35</v>
      </c>
      <c r="V2713" s="1" t="s">
        <v>36</v>
      </c>
      <c r="W2713" s="1" t="s">
        <v>37</v>
      </c>
      <c r="X2713" s="1" t="s">
        <v>162</v>
      </c>
      <c r="Y2713" s="1" t="s">
        <v>272</v>
      </c>
      <c r="Z2713" s="1" t="str">
        <f>TRIM(_xlfn.CONCAT(sales_data_sample[[#This Row],[CONTACTFIRSTNAME]],", ",sales_data_sample[[#This Row],[CONTACTLASTNAME]]))</f>
        <v>Maria, Hernandez</v>
      </c>
      <c r="AA2713" s="1" t="s">
        <v>40</v>
      </c>
    </row>
    <row r="2714" spans="1:27" x14ac:dyDescent="0.25">
      <c r="A2714" s="10">
        <v>10350</v>
      </c>
      <c r="B2714" s="9">
        <v>31</v>
      </c>
      <c r="C2714" s="9">
        <v>7734</v>
      </c>
      <c r="D2714" s="9">
        <f>PRODUCT(sales_data_sample[[#This Row],[QUANTITYORDERED]],sales_data_sample[[#This Row],[PRICEEACH]])</f>
        <v>239754</v>
      </c>
      <c r="E2714" s="9">
        <f>IF(OR(sales_data_sample[[#This Row],[STATUS]]="Shipped",sales_data_sample[[#This Row],[STATUS]]="Resolved"),sales_data_sample[[#This Row],[SALES]],0)</f>
        <v>239754</v>
      </c>
      <c r="F2714" s="10">
        <v>13</v>
      </c>
      <c r="G2714" s="12" t="s">
        <v>534</v>
      </c>
      <c r="H2714" s="1" t="s">
        <v>26</v>
      </c>
      <c r="I2714">
        <v>4</v>
      </c>
      <c r="J2714">
        <v>12</v>
      </c>
      <c r="K2714">
        <v>2004</v>
      </c>
      <c r="L2714" s="1" t="s">
        <v>905</v>
      </c>
      <c r="M2714">
        <v>100</v>
      </c>
      <c r="N2714" s="1" t="s">
        <v>1011</v>
      </c>
      <c r="O2714" s="1" t="s">
        <v>230</v>
      </c>
      <c r="P2714" s="1" t="s">
        <v>231</v>
      </c>
      <c r="Q2714" s="1" t="s">
        <v>232</v>
      </c>
      <c r="R2714" s="1" t="s">
        <v>32</v>
      </c>
      <c r="S2714" s="1" t="s">
        <v>233</v>
      </c>
      <c r="T2714" s="1" t="s">
        <v>32</v>
      </c>
      <c r="U2714" s="1" t="s">
        <v>234</v>
      </c>
      <c r="V2714" s="1" t="s">
        <v>235</v>
      </c>
      <c r="W2714" s="1" t="s">
        <v>48</v>
      </c>
      <c r="X2714" s="1" t="s">
        <v>236</v>
      </c>
      <c r="Y2714" s="1" t="s">
        <v>237</v>
      </c>
      <c r="Z2714" s="1" t="str">
        <f>TRIM(_xlfn.CONCAT(sales_data_sample[[#This Row],[CONTACTFIRSTNAME]],", ",sales_data_sample[[#This Row],[CONTACTLASTNAME]]))</f>
        <v>Diego, Freyre</v>
      </c>
      <c r="AA2714" s="1" t="s">
        <v>40</v>
      </c>
    </row>
    <row r="2715" spans="1:27" x14ac:dyDescent="0.25">
      <c r="A2715" s="10">
        <v>10373</v>
      </c>
      <c r="B2715" s="9">
        <v>34</v>
      </c>
      <c r="C2715" s="9">
        <v>9634</v>
      </c>
      <c r="D2715" s="9">
        <f>PRODUCT(sales_data_sample[[#This Row],[QUANTITYORDERED]],sales_data_sample[[#This Row],[PRICEEACH]])</f>
        <v>327556</v>
      </c>
      <c r="E2715" s="9">
        <f>IF(OR(sales_data_sample[[#This Row],[STATUS]]="Shipped",sales_data_sample[[#This Row],[STATUS]]="Resolved"),sales_data_sample[[#This Row],[SALES]],0)</f>
        <v>327556</v>
      </c>
      <c r="F2715" s="10">
        <v>2</v>
      </c>
      <c r="G2715" s="12" t="s">
        <v>536</v>
      </c>
      <c r="H2715" s="1" t="s">
        <v>26</v>
      </c>
      <c r="I2715">
        <v>1</v>
      </c>
      <c r="J2715">
        <v>1</v>
      </c>
      <c r="K2715">
        <v>2005</v>
      </c>
      <c r="L2715" s="1" t="s">
        <v>905</v>
      </c>
      <c r="M2715">
        <v>100</v>
      </c>
      <c r="N2715" s="1" t="s">
        <v>1011</v>
      </c>
      <c r="O2715" s="1" t="s">
        <v>537</v>
      </c>
      <c r="P2715" s="1" t="s">
        <v>538</v>
      </c>
      <c r="Q2715" s="1" t="s">
        <v>539</v>
      </c>
      <c r="R2715" s="1" t="s">
        <v>32</v>
      </c>
      <c r="S2715" s="1" t="s">
        <v>540</v>
      </c>
      <c r="T2715" s="1" t="s">
        <v>32</v>
      </c>
      <c r="U2715" s="1" t="s">
        <v>541</v>
      </c>
      <c r="V2715" s="1" t="s">
        <v>170</v>
      </c>
      <c r="W2715" s="1" t="s">
        <v>48</v>
      </c>
      <c r="X2715" s="1" t="s">
        <v>542</v>
      </c>
      <c r="Y2715" s="1" t="s">
        <v>543</v>
      </c>
      <c r="Z2715" s="1" t="str">
        <f>TRIM(_xlfn.CONCAT(sales_data_sample[[#This Row],[CONTACTFIRSTNAME]],", ",sales_data_sample[[#This Row],[CONTACTLASTNAME]]))</f>
        <v>Pirkko, Koskitalo</v>
      </c>
      <c r="AA2715" s="1" t="s">
        <v>59</v>
      </c>
    </row>
    <row r="2716" spans="1:27" x14ac:dyDescent="0.25">
      <c r="A2716" s="10">
        <v>10386</v>
      </c>
      <c r="B2716" s="9">
        <v>45</v>
      </c>
      <c r="C2716" s="9">
        <v>9208</v>
      </c>
      <c r="D2716" s="9">
        <f>PRODUCT(sales_data_sample[[#This Row],[QUANTITYORDERED]],sales_data_sample[[#This Row],[PRICEEACH]])</f>
        <v>414360</v>
      </c>
      <c r="E2716" s="9">
        <f>IF(OR(sales_data_sample[[#This Row],[STATUS]]="Shipped",sales_data_sample[[#This Row],[STATUS]]="Resolved"),sales_data_sample[[#This Row],[SALES]],0)</f>
        <v>414360</v>
      </c>
      <c r="F2716" s="10">
        <v>2</v>
      </c>
      <c r="G2716" s="12" t="s">
        <v>869</v>
      </c>
      <c r="H2716" s="1" t="s">
        <v>563</v>
      </c>
      <c r="I2716">
        <v>1</v>
      </c>
      <c r="J2716">
        <v>3</v>
      </c>
      <c r="K2716">
        <v>2005</v>
      </c>
      <c r="L2716" s="1" t="s">
        <v>905</v>
      </c>
      <c r="M2716">
        <v>100</v>
      </c>
      <c r="N2716" s="1" t="s">
        <v>1011</v>
      </c>
      <c r="O2716" s="1" t="s">
        <v>230</v>
      </c>
      <c r="P2716" s="1" t="s">
        <v>231</v>
      </c>
      <c r="Q2716" s="1" t="s">
        <v>232</v>
      </c>
      <c r="R2716" s="1" t="s">
        <v>32</v>
      </c>
      <c r="S2716" s="1" t="s">
        <v>233</v>
      </c>
      <c r="T2716" s="1" t="s">
        <v>32</v>
      </c>
      <c r="U2716" s="1" t="s">
        <v>234</v>
      </c>
      <c r="V2716" s="1" t="s">
        <v>235</v>
      </c>
      <c r="W2716" s="1" t="s">
        <v>48</v>
      </c>
      <c r="X2716" s="1" t="s">
        <v>236</v>
      </c>
      <c r="Y2716" s="1" t="s">
        <v>237</v>
      </c>
      <c r="Z2716" s="1" t="str">
        <f>TRIM(_xlfn.CONCAT(sales_data_sample[[#This Row],[CONTACTFIRSTNAME]],", ",sales_data_sample[[#This Row],[CONTACTLASTNAME]]))</f>
        <v>Diego, Freyre</v>
      </c>
      <c r="AA2716" s="1" t="s">
        <v>59</v>
      </c>
    </row>
    <row r="2717" spans="1:27" x14ac:dyDescent="0.25">
      <c r="A2717" s="10">
        <v>10397</v>
      </c>
      <c r="B2717" s="9">
        <v>48</v>
      </c>
      <c r="C2717" s="9">
        <v>100</v>
      </c>
      <c r="D2717" s="9">
        <f>PRODUCT(sales_data_sample[[#This Row],[QUANTITYORDERED]],sales_data_sample[[#This Row],[PRICEEACH]])</f>
        <v>4800</v>
      </c>
      <c r="E2717" s="9">
        <f>IF(OR(sales_data_sample[[#This Row],[STATUS]]="Shipped",sales_data_sample[[#This Row],[STATUS]]="Resolved"),sales_data_sample[[#This Row],[SALES]],0)</f>
        <v>4800</v>
      </c>
      <c r="F2717" s="10">
        <v>3</v>
      </c>
      <c r="G2717" s="12" t="s">
        <v>1004</v>
      </c>
      <c r="H2717" s="1" t="s">
        <v>26</v>
      </c>
      <c r="I2717">
        <v>1</v>
      </c>
      <c r="J2717">
        <v>3</v>
      </c>
      <c r="K2717">
        <v>2005</v>
      </c>
      <c r="L2717" s="1" t="s">
        <v>905</v>
      </c>
      <c r="M2717">
        <v>100</v>
      </c>
      <c r="N2717" s="1" t="s">
        <v>1011</v>
      </c>
      <c r="O2717" s="1" t="s">
        <v>463</v>
      </c>
      <c r="P2717" s="1" t="s">
        <v>464</v>
      </c>
      <c r="Q2717" s="1" t="s">
        <v>465</v>
      </c>
      <c r="R2717" s="1" t="s">
        <v>32</v>
      </c>
      <c r="S2717" s="1" t="s">
        <v>466</v>
      </c>
      <c r="T2717" s="1" t="s">
        <v>32</v>
      </c>
      <c r="U2717" s="1" t="s">
        <v>467</v>
      </c>
      <c r="V2717" s="1" t="s">
        <v>47</v>
      </c>
      <c r="W2717" s="1" t="s">
        <v>48</v>
      </c>
      <c r="X2717" s="1" t="s">
        <v>468</v>
      </c>
      <c r="Y2717" s="1" t="s">
        <v>469</v>
      </c>
      <c r="Z2717" s="1" t="str">
        <f>TRIM(_xlfn.CONCAT(sales_data_sample[[#This Row],[CONTACTFIRSTNAME]],", ",sales_data_sample[[#This Row],[CONTACTLASTNAME]]))</f>
        <v>Annette, Roulet</v>
      </c>
      <c r="AA2717" s="1" t="s">
        <v>59</v>
      </c>
    </row>
    <row r="2718" spans="1:27" x14ac:dyDescent="0.25">
      <c r="A2718" s="10">
        <v>10414</v>
      </c>
      <c r="B2718" s="9">
        <v>28</v>
      </c>
      <c r="C2718" s="9">
        <v>100</v>
      </c>
      <c r="D2718" s="9">
        <f>PRODUCT(sales_data_sample[[#This Row],[QUANTITYORDERED]],sales_data_sample[[#This Row],[PRICEEACH]])</f>
        <v>2800</v>
      </c>
      <c r="E2718" s="9">
        <f>IF(OR(sales_data_sample[[#This Row],[STATUS]]="Shipped",sales_data_sample[[#This Row],[STATUS]]="Resolved"),sales_data_sample[[#This Row],[SALES]],0)</f>
        <v>0</v>
      </c>
      <c r="F2718" s="10">
        <v>7</v>
      </c>
      <c r="G2718" s="12" t="s">
        <v>552</v>
      </c>
      <c r="H2718" s="1" t="s">
        <v>553</v>
      </c>
      <c r="I2718">
        <v>2</v>
      </c>
      <c r="J2718">
        <v>5</v>
      </c>
      <c r="K2718">
        <v>2005</v>
      </c>
      <c r="L2718" s="1" t="s">
        <v>905</v>
      </c>
      <c r="M2718">
        <v>100</v>
      </c>
      <c r="N2718" s="1" t="s">
        <v>1011</v>
      </c>
      <c r="O2718" s="1" t="s">
        <v>516</v>
      </c>
      <c r="P2718" s="1" t="s">
        <v>517</v>
      </c>
      <c r="Q2718" s="1" t="s">
        <v>518</v>
      </c>
      <c r="R2718" s="1" t="s">
        <v>32</v>
      </c>
      <c r="S2718" s="1" t="s">
        <v>519</v>
      </c>
      <c r="T2718" s="1" t="s">
        <v>160</v>
      </c>
      <c r="U2718" s="1" t="s">
        <v>520</v>
      </c>
      <c r="V2718" s="1" t="s">
        <v>36</v>
      </c>
      <c r="W2718" s="1" t="s">
        <v>37</v>
      </c>
      <c r="X2718" s="1" t="s">
        <v>521</v>
      </c>
      <c r="Y2718" s="1" t="s">
        <v>82</v>
      </c>
      <c r="Z2718" s="1" t="str">
        <f>TRIM(_xlfn.CONCAT(sales_data_sample[[#This Row],[CONTACTFIRSTNAME]],", ",sales_data_sample[[#This Row],[CONTACTLASTNAME]]))</f>
        <v>Juri, Yoshido</v>
      </c>
      <c r="AA2718" s="1" t="s">
        <v>59</v>
      </c>
    </row>
    <row r="2719" spans="1:27" x14ac:dyDescent="0.25">
      <c r="A2719" s="10">
        <v>10105</v>
      </c>
      <c r="B2719" s="9">
        <v>22</v>
      </c>
      <c r="C2719" s="9">
        <v>100</v>
      </c>
      <c r="D2719" s="9">
        <f>PRODUCT(sales_data_sample[[#This Row],[QUANTITYORDERED]],sales_data_sample[[#This Row],[PRICEEACH]])</f>
        <v>2200</v>
      </c>
      <c r="E2719" s="9">
        <f>IF(OR(sales_data_sample[[#This Row],[STATUS]]="Shipped",sales_data_sample[[#This Row],[STATUS]]="Resolved"),sales_data_sample[[#This Row],[SALES]],0)</f>
        <v>2200</v>
      </c>
      <c r="F2719" s="10">
        <v>7</v>
      </c>
      <c r="G2719" s="12" t="s">
        <v>435</v>
      </c>
      <c r="H2719" s="1" t="s">
        <v>26</v>
      </c>
      <c r="I2719">
        <v>1</v>
      </c>
      <c r="J2719">
        <v>2</v>
      </c>
      <c r="K2719">
        <v>2003</v>
      </c>
      <c r="L2719" s="1" t="s">
        <v>905</v>
      </c>
      <c r="M2719">
        <v>99</v>
      </c>
      <c r="N2719" s="1" t="s">
        <v>1013</v>
      </c>
      <c r="O2719" s="1" t="s">
        <v>437</v>
      </c>
      <c r="P2719" s="1" t="s">
        <v>438</v>
      </c>
      <c r="Q2719" s="1" t="s">
        <v>439</v>
      </c>
      <c r="R2719" s="1" t="s">
        <v>32</v>
      </c>
      <c r="S2719" s="1" t="s">
        <v>440</v>
      </c>
      <c r="T2719" s="1" t="s">
        <v>32</v>
      </c>
      <c r="U2719" s="1" t="s">
        <v>441</v>
      </c>
      <c r="V2719" s="1" t="s">
        <v>442</v>
      </c>
      <c r="W2719" s="1" t="s">
        <v>48</v>
      </c>
      <c r="X2719" s="1" t="s">
        <v>443</v>
      </c>
      <c r="Y2719" s="1" t="s">
        <v>444</v>
      </c>
      <c r="Z2719" s="1" t="str">
        <f>TRIM(_xlfn.CONCAT(sales_data_sample[[#This Row],[CONTACTFIRSTNAME]],", ",sales_data_sample[[#This Row],[CONTACTLASTNAME]]))</f>
        <v>Jytte, Petersen</v>
      </c>
      <c r="AA2719" s="1" t="s">
        <v>40</v>
      </c>
    </row>
    <row r="2720" spans="1:27" x14ac:dyDescent="0.25">
      <c r="A2720" s="10">
        <v>10117</v>
      </c>
      <c r="B2720" s="9">
        <v>45</v>
      </c>
      <c r="C2720" s="9">
        <v>8342</v>
      </c>
      <c r="D2720" s="9">
        <f>PRODUCT(sales_data_sample[[#This Row],[QUANTITYORDERED]],sales_data_sample[[#This Row],[PRICEEACH]])</f>
        <v>375390</v>
      </c>
      <c r="E2720" s="9">
        <f>IF(OR(sales_data_sample[[#This Row],[STATUS]]="Shipped",sales_data_sample[[#This Row],[STATUS]]="Resolved"),sales_data_sample[[#This Row],[SALES]],0)</f>
        <v>375390</v>
      </c>
      <c r="F2720" s="10">
        <v>1</v>
      </c>
      <c r="G2720" s="12" t="s">
        <v>665</v>
      </c>
      <c r="H2720" s="1" t="s">
        <v>26</v>
      </c>
      <c r="I2720">
        <v>2</v>
      </c>
      <c r="J2720">
        <v>4</v>
      </c>
      <c r="K2720">
        <v>2003</v>
      </c>
      <c r="L2720" s="1" t="s">
        <v>905</v>
      </c>
      <c r="M2720">
        <v>99</v>
      </c>
      <c r="N2720" s="1" t="s">
        <v>1013</v>
      </c>
      <c r="O2720" s="1" t="s">
        <v>259</v>
      </c>
      <c r="P2720" s="1" t="s">
        <v>260</v>
      </c>
      <c r="Q2720" s="1" t="s">
        <v>261</v>
      </c>
      <c r="R2720" s="1" t="s">
        <v>32</v>
      </c>
      <c r="S2720" s="1" t="s">
        <v>262</v>
      </c>
      <c r="T2720" s="1" t="s">
        <v>32</v>
      </c>
      <c r="U2720" s="1" t="s">
        <v>263</v>
      </c>
      <c r="V2720" s="1" t="s">
        <v>262</v>
      </c>
      <c r="W2720" s="1" t="s">
        <v>264</v>
      </c>
      <c r="X2720" s="1" t="s">
        <v>265</v>
      </c>
      <c r="Y2720" s="1" t="s">
        <v>266</v>
      </c>
      <c r="Z2720" s="1" t="str">
        <f>TRIM(_xlfn.CONCAT(sales_data_sample[[#This Row],[CONTACTFIRSTNAME]],", ",sales_data_sample[[#This Row],[CONTACTLASTNAME]]))</f>
        <v>Eric, Natividad</v>
      </c>
      <c r="AA2720" s="1" t="s">
        <v>59</v>
      </c>
    </row>
    <row r="2721" spans="1:27" x14ac:dyDescent="0.25">
      <c r="A2721" s="10">
        <v>10129</v>
      </c>
      <c r="B2721" s="9">
        <v>30</v>
      </c>
      <c r="C2721" s="9">
        <v>8541</v>
      </c>
      <c r="D2721" s="9">
        <f>PRODUCT(sales_data_sample[[#This Row],[QUANTITYORDERED]],sales_data_sample[[#This Row],[PRICEEACH]])</f>
        <v>256230</v>
      </c>
      <c r="E2721" s="9">
        <f>IF(OR(sales_data_sample[[#This Row],[STATUS]]="Shipped",sales_data_sample[[#This Row],[STATUS]]="Resolved"),sales_data_sample[[#This Row],[SALES]],0)</f>
        <v>256230</v>
      </c>
      <c r="F2721" s="10">
        <v>7</v>
      </c>
      <c r="G2721" s="12" t="s">
        <v>446</v>
      </c>
      <c r="H2721" s="1" t="s">
        <v>26</v>
      </c>
      <c r="I2721">
        <v>2</v>
      </c>
      <c r="J2721">
        <v>6</v>
      </c>
      <c r="K2721">
        <v>2003</v>
      </c>
      <c r="L2721" s="1" t="s">
        <v>905</v>
      </c>
      <c r="M2721">
        <v>99</v>
      </c>
      <c r="N2721" s="1" t="s">
        <v>1013</v>
      </c>
      <c r="O2721" s="1" t="s">
        <v>447</v>
      </c>
      <c r="P2721" s="1" t="s">
        <v>448</v>
      </c>
      <c r="Q2721" s="1" t="s">
        <v>449</v>
      </c>
      <c r="R2721" s="1" t="s">
        <v>32</v>
      </c>
      <c r="S2721" s="1" t="s">
        <v>450</v>
      </c>
      <c r="T2721" s="1" t="s">
        <v>32</v>
      </c>
      <c r="U2721" s="1" t="s">
        <v>451</v>
      </c>
      <c r="V2721" s="1" t="s">
        <v>225</v>
      </c>
      <c r="W2721" s="1" t="s">
        <v>48</v>
      </c>
      <c r="X2721" s="1" t="s">
        <v>74</v>
      </c>
      <c r="Y2721" s="1" t="s">
        <v>452</v>
      </c>
      <c r="Z2721" s="1" t="str">
        <f>TRIM(_xlfn.CONCAT(sales_data_sample[[#This Row],[CONTACTFIRSTNAME]],", ",sales_data_sample[[#This Row],[CONTACTLASTNAME]]))</f>
        <v>Ann, Brown</v>
      </c>
      <c r="AA2721" s="1" t="s">
        <v>40</v>
      </c>
    </row>
    <row r="2722" spans="1:27" x14ac:dyDescent="0.25">
      <c r="A2722" s="10">
        <v>10142</v>
      </c>
      <c r="B2722" s="9">
        <v>38</v>
      </c>
      <c r="C2722" s="9">
        <v>8541</v>
      </c>
      <c r="D2722" s="9">
        <f>PRODUCT(sales_data_sample[[#This Row],[QUANTITYORDERED]],sales_data_sample[[#This Row],[PRICEEACH]])</f>
        <v>324558</v>
      </c>
      <c r="E2722" s="9">
        <f>IF(OR(sales_data_sample[[#This Row],[STATUS]]="Shipped",sales_data_sample[[#This Row],[STATUS]]="Resolved"),sales_data_sample[[#This Row],[SALES]],0)</f>
        <v>324558</v>
      </c>
      <c r="F2722" s="10">
        <v>4</v>
      </c>
      <c r="G2722" s="12" t="s">
        <v>672</v>
      </c>
      <c r="H2722" s="1" t="s">
        <v>26</v>
      </c>
      <c r="I2722">
        <v>3</v>
      </c>
      <c r="J2722">
        <v>8</v>
      </c>
      <c r="K2722">
        <v>2003</v>
      </c>
      <c r="L2722" s="1" t="s">
        <v>905</v>
      </c>
      <c r="M2722">
        <v>99</v>
      </c>
      <c r="N2722" s="1" t="s">
        <v>1013</v>
      </c>
      <c r="O2722" s="1" t="s">
        <v>361</v>
      </c>
      <c r="P2722" s="1" t="s">
        <v>362</v>
      </c>
      <c r="Q2722" s="1" t="s">
        <v>363</v>
      </c>
      <c r="R2722" s="1" t="s">
        <v>32</v>
      </c>
      <c r="S2722" s="1" t="s">
        <v>364</v>
      </c>
      <c r="T2722" s="1" t="s">
        <v>65</v>
      </c>
      <c r="U2722" s="1" t="s">
        <v>145</v>
      </c>
      <c r="V2722" s="1" t="s">
        <v>36</v>
      </c>
      <c r="W2722" s="1" t="s">
        <v>37</v>
      </c>
      <c r="X2722" s="1" t="s">
        <v>365</v>
      </c>
      <c r="Y2722" s="1" t="s">
        <v>366</v>
      </c>
      <c r="Z2722" s="1" t="str">
        <f>TRIM(_xlfn.CONCAT(sales_data_sample[[#This Row],[CONTACTFIRSTNAME]],", ",sales_data_sample[[#This Row],[CONTACTLASTNAME]]))</f>
        <v>Valarie, Nelson</v>
      </c>
      <c r="AA2722" s="1" t="s">
        <v>59</v>
      </c>
    </row>
    <row r="2723" spans="1:27" x14ac:dyDescent="0.25">
      <c r="A2723" s="10">
        <v>10153</v>
      </c>
      <c r="B2723" s="9">
        <v>20</v>
      </c>
      <c r="C2723" s="9">
        <v>100</v>
      </c>
      <c r="D2723" s="9">
        <f>PRODUCT(sales_data_sample[[#This Row],[QUANTITYORDERED]],sales_data_sample[[#This Row],[PRICEEACH]])</f>
        <v>2000</v>
      </c>
      <c r="E2723" s="9">
        <f>IF(OR(sales_data_sample[[#This Row],[STATUS]]="Shipped",sales_data_sample[[#This Row],[STATUS]]="Resolved"),sales_data_sample[[#This Row],[SALES]],0)</f>
        <v>2000</v>
      </c>
      <c r="F2723" s="10">
        <v>3</v>
      </c>
      <c r="G2723" s="12" t="s">
        <v>673</v>
      </c>
      <c r="H2723" s="1" t="s">
        <v>26</v>
      </c>
      <c r="I2723">
        <v>3</v>
      </c>
      <c r="J2723">
        <v>9</v>
      </c>
      <c r="K2723">
        <v>2003</v>
      </c>
      <c r="L2723" s="1" t="s">
        <v>905</v>
      </c>
      <c r="M2723">
        <v>99</v>
      </c>
      <c r="N2723" s="1" t="s">
        <v>1013</v>
      </c>
      <c r="O2723" s="1" t="s">
        <v>230</v>
      </c>
      <c r="P2723" s="1" t="s">
        <v>231</v>
      </c>
      <c r="Q2723" s="1" t="s">
        <v>232</v>
      </c>
      <c r="R2723" s="1" t="s">
        <v>32</v>
      </c>
      <c r="S2723" s="1" t="s">
        <v>233</v>
      </c>
      <c r="T2723" s="1" t="s">
        <v>32</v>
      </c>
      <c r="U2723" s="1" t="s">
        <v>234</v>
      </c>
      <c r="V2723" s="1" t="s">
        <v>235</v>
      </c>
      <c r="W2723" s="1" t="s">
        <v>48</v>
      </c>
      <c r="X2723" s="1" t="s">
        <v>236</v>
      </c>
      <c r="Y2723" s="1" t="s">
        <v>237</v>
      </c>
      <c r="Z2723" s="1" t="str">
        <f>TRIM(_xlfn.CONCAT(sales_data_sample[[#This Row],[CONTACTFIRSTNAME]],", ",sales_data_sample[[#This Row],[CONTACTLASTNAME]]))</f>
        <v>Diego, Freyre</v>
      </c>
      <c r="AA2723" s="1" t="s">
        <v>40</v>
      </c>
    </row>
    <row r="2724" spans="1:27" x14ac:dyDescent="0.25">
      <c r="A2724" s="10">
        <v>10167</v>
      </c>
      <c r="B2724" s="9">
        <v>28</v>
      </c>
      <c r="C2724" s="9">
        <v>100</v>
      </c>
      <c r="D2724" s="9">
        <f>PRODUCT(sales_data_sample[[#This Row],[QUANTITYORDERED]],sales_data_sample[[#This Row],[PRICEEACH]])</f>
        <v>2800</v>
      </c>
      <c r="E2724" s="9">
        <f>IF(OR(sales_data_sample[[#This Row],[STATUS]]="Shipped",sales_data_sample[[#This Row],[STATUS]]="Resolved"),sales_data_sample[[#This Row],[SALES]],0)</f>
        <v>0</v>
      </c>
      <c r="F2724" s="10">
        <v>14</v>
      </c>
      <c r="G2724" s="12" t="s">
        <v>460</v>
      </c>
      <c r="H2724" s="1" t="s">
        <v>461</v>
      </c>
      <c r="I2724">
        <v>4</v>
      </c>
      <c r="J2724">
        <v>10</v>
      </c>
      <c r="K2724">
        <v>2003</v>
      </c>
      <c r="L2724" s="1" t="s">
        <v>905</v>
      </c>
      <c r="M2724">
        <v>99</v>
      </c>
      <c r="N2724" s="1" t="s">
        <v>1013</v>
      </c>
      <c r="O2724" s="1" t="s">
        <v>347</v>
      </c>
      <c r="P2724" s="1" t="s">
        <v>348</v>
      </c>
      <c r="Q2724" s="1" t="s">
        <v>349</v>
      </c>
      <c r="R2724" s="1" t="s">
        <v>32</v>
      </c>
      <c r="S2724" s="1" t="s">
        <v>350</v>
      </c>
      <c r="T2724" s="1" t="s">
        <v>32</v>
      </c>
      <c r="U2724" s="1" t="s">
        <v>351</v>
      </c>
      <c r="V2724" s="1" t="s">
        <v>247</v>
      </c>
      <c r="W2724" s="1" t="s">
        <v>48</v>
      </c>
      <c r="X2724" s="1" t="s">
        <v>352</v>
      </c>
      <c r="Y2724" s="1" t="s">
        <v>272</v>
      </c>
      <c r="Z2724" s="1" t="str">
        <f>TRIM(_xlfn.CONCAT(sales_data_sample[[#This Row],[CONTACTFIRSTNAME]],", ",sales_data_sample[[#This Row],[CONTACTLASTNAME]]))</f>
        <v>Maria, Larsson</v>
      </c>
      <c r="AA2724" s="1" t="s">
        <v>59</v>
      </c>
    </row>
    <row r="2725" spans="1:27" x14ac:dyDescent="0.25">
      <c r="A2725" s="10">
        <v>10177</v>
      </c>
      <c r="B2725" s="9">
        <v>24</v>
      </c>
      <c r="C2725" s="9">
        <v>100</v>
      </c>
      <c r="D2725" s="9">
        <f>PRODUCT(sales_data_sample[[#This Row],[QUANTITYORDERED]],sales_data_sample[[#This Row],[PRICEEACH]])</f>
        <v>2400</v>
      </c>
      <c r="E2725" s="9">
        <f>IF(OR(sales_data_sample[[#This Row],[STATUS]]="Shipped",sales_data_sample[[#This Row],[STATUS]]="Resolved"),sales_data_sample[[#This Row],[SALES]],0)</f>
        <v>2400</v>
      </c>
      <c r="F2725" s="10">
        <v>5</v>
      </c>
      <c r="G2725" s="12" t="s">
        <v>913</v>
      </c>
      <c r="H2725" s="1" t="s">
        <v>26</v>
      </c>
      <c r="I2725">
        <v>4</v>
      </c>
      <c r="J2725">
        <v>11</v>
      </c>
      <c r="K2725">
        <v>2003</v>
      </c>
      <c r="L2725" s="1" t="s">
        <v>905</v>
      </c>
      <c r="M2725">
        <v>99</v>
      </c>
      <c r="N2725" s="1" t="s">
        <v>1013</v>
      </c>
      <c r="O2725" s="1" t="s">
        <v>687</v>
      </c>
      <c r="P2725" s="1" t="s">
        <v>688</v>
      </c>
      <c r="Q2725" s="1" t="s">
        <v>689</v>
      </c>
      <c r="R2725" s="1" t="s">
        <v>32</v>
      </c>
      <c r="S2725" s="1" t="s">
        <v>233</v>
      </c>
      <c r="T2725" s="1" t="s">
        <v>32</v>
      </c>
      <c r="U2725" s="1" t="s">
        <v>254</v>
      </c>
      <c r="V2725" s="1" t="s">
        <v>235</v>
      </c>
      <c r="W2725" s="1" t="s">
        <v>48</v>
      </c>
      <c r="X2725" s="1" t="s">
        <v>690</v>
      </c>
      <c r="Y2725" s="1" t="s">
        <v>691</v>
      </c>
      <c r="Z2725" s="1" t="str">
        <f>TRIM(_xlfn.CONCAT(sales_data_sample[[#This Row],[CONTACTFIRSTNAME]],", ",sales_data_sample[[#This Row],[CONTACTLASTNAME]]))</f>
        <v>Jesus, Fernandez</v>
      </c>
      <c r="AA2725" s="1" t="s">
        <v>40</v>
      </c>
    </row>
    <row r="2726" spans="1:27" x14ac:dyDescent="0.25">
      <c r="A2726" s="10">
        <v>10185</v>
      </c>
      <c r="B2726" s="9">
        <v>22</v>
      </c>
      <c r="C2726" s="9">
        <v>7945</v>
      </c>
      <c r="D2726" s="9">
        <f>PRODUCT(sales_data_sample[[#This Row],[QUANTITYORDERED]],sales_data_sample[[#This Row],[PRICEEACH]])</f>
        <v>174790</v>
      </c>
      <c r="E2726" s="9">
        <f>IF(OR(sales_data_sample[[#This Row],[STATUS]]="Shipped",sales_data_sample[[#This Row],[STATUS]]="Resolved"),sales_data_sample[[#This Row],[SALES]],0)</f>
        <v>174790</v>
      </c>
      <c r="F2726" s="10">
        <v>5</v>
      </c>
      <c r="G2726" s="12" t="s">
        <v>470</v>
      </c>
      <c r="H2726" s="1" t="s">
        <v>26</v>
      </c>
      <c r="I2726">
        <v>4</v>
      </c>
      <c r="J2726">
        <v>11</v>
      </c>
      <c r="K2726">
        <v>2003</v>
      </c>
      <c r="L2726" s="1" t="s">
        <v>905</v>
      </c>
      <c r="M2726">
        <v>99</v>
      </c>
      <c r="N2726" s="1" t="s">
        <v>1013</v>
      </c>
      <c r="O2726" s="1" t="s">
        <v>454</v>
      </c>
      <c r="P2726" s="1" t="s">
        <v>455</v>
      </c>
      <c r="Q2726" s="1" t="s">
        <v>456</v>
      </c>
      <c r="R2726" s="1" t="s">
        <v>32</v>
      </c>
      <c r="S2726" s="1" t="s">
        <v>215</v>
      </c>
      <c r="T2726" s="1" t="s">
        <v>160</v>
      </c>
      <c r="U2726" s="1" t="s">
        <v>216</v>
      </c>
      <c r="V2726" s="1" t="s">
        <v>36</v>
      </c>
      <c r="W2726" s="1" t="s">
        <v>37</v>
      </c>
      <c r="X2726" s="1" t="s">
        <v>457</v>
      </c>
      <c r="Y2726" s="1" t="s">
        <v>458</v>
      </c>
      <c r="Z2726" s="1" t="str">
        <f>TRIM(_xlfn.CONCAT(sales_data_sample[[#This Row],[CONTACTFIRSTNAME]],", ",sales_data_sample[[#This Row],[CONTACTLASTNAME]]))</f>
        <v>Wing C, Tam</v>
      </c>
      <c r="AA2726" s="1" t="s">
        <v>40</v>
      </c>
    </row>
    <row r="2727" spans="1:27" x14ac:dyDescent="0.25">
      <c r="A2727" s="10">
        <v>10197</v>
      </c>
      <c r="B2727" s="9">
        <v>35</v>
      </c>
      <c r="C2727" s="9">
        <v>9335</v>
      </c>
      <c r="D2727" s="9">
        <f>PRODUCT(sales_data_sample[[#This Row],[QUANTITYORDERED]],sales_data_sample[[#This Row],[PRICEEACH]])</f>
        <v>326725</v>
      </c>
      <c r="E2727" s="9">
        <f>IF(OR(sales_data_sample[[#This Row],[STATUS]]="Shipped",sales_data_sample[[#This Row],[STATUS]]="Resolved"),sales_data_sample[[#This Row],[SALES]],0)</f>
        <v>326725</v>
      </c>
      <c r="F2727" s="10">
        <v>11</v>
      </c>
      <c r="G2727" s="12" t="s">
        <v>477</v>
      </c>
      <c r="H2727" s="1" t="s">
        <v>26</v>
      </c>
      <c r="I2727">
        <v>4</v>
      </c>
      <c r="J2727">
        <v>11</v>
      </c>
      <c r="K2727">
        <v>2003</v>
      </c>
      <c r="L2727" s="1" t="s">
        <v>905</v>
      </c>
      <c r="M2727">
        <v>99</v>
      </c>
      <c r="N2727" s="1" t="s">
        <v>1013</v>
      </c>
      <c r="O2727" s="1" t="s">
        <v>478</v>
      </c>
      <c r="P2727" s="1" t="s">
        <v>479</v>
      </c>
      <c r="Q2727" s="1" t="s">
        <v>480</v>
      </c>
      <c r="R2727" s="1" t="s">
        <v>32</v>
      </c>
      <c r="S2727" s="1" t="s">
        <v>481</v>
      </c>
      <c r="T2727" s="1" t="s">
        <v>32</v>
      </c>
      <c r="U2727" s="1" t="s">
        <v>482</v>
      </c>
      <c r="V2727" s="1" t="s">
        <v>235</v>
      </c>
      <c r="W2727" s="1" t="s">
        <v>48</v>
      </c>
      <c r="X2727" s="1" t="s">
        <v>483</v>
      </c>
      <c r="Y2727" s="1" t="s">
        <v>484</v>
      </c>
      <c r="Z2727" s="1" t="str">
        <f>TRIM(_xlfn.CONCAT(sales_data_sample[[#This Row],[CONTACTFIRSTNAME]],", ",sales_data_sample[[#This Row],[CONTACTLASTNAME]]))</f>
        <v>Eduardo, Saavedra</v>
      </c>
      <c r="AA2727" s="1" t="s">
        <v>59</v>
      </c>
    </row>
    <row r="2728" spans="1:27" x14ac:dyDescent="0.25">
      <c r="A2728" s="10">
        <v>10208</v>
      </c>
      <c r="B2728" s="9">
        <v>33</v>
      </c>
      <c r="C2728" s="9">
        <v>8541</v>
      </c>
      <c r="D2728" s="9">
        <f>PRODUCT(sales_data_sample[[#This Row],[QUANTITYORDERED]],sales_data_sample[[#This Row],[PRICEEACH]])</f>
        <v>281853</v>
      </c>
      <c r="E2728" s="9">
        <f>IF(OR(sales_data_sample[[#This Row],[STATUS]]="Shipped",sales_data_sample[[#This Row],[STATUS]]="Resolved"),sales_data_sample[[#This Row],[SALES]],0)</f>
        <v>281853</v>
      </c>
      <c r="F2728" s="10">
        <v>5</v>
      </c>
      <c r="G2728" s="12" t="s">
        <v>675</v>
      </c>
      <c r="H2728" s="1" t="s">
        <v>26</v>
      </c>
      <c r="I2728">
        <v>1</v>
      </c>
      <c r="J2728">
        <v>1</v>
      </c>
      <c r="K2728">
        <v>2004</v>
      </c>
      <c r="L2728" s="1" t="s">
        <v>905</v>
      </c>
      <c r="M2728">
        <v>99</v>
      </c>
      <c r="N2728" s="1" t="s">
        <v>1013</v>
      </c>
      <c r="O2728" s="1" t="s">
        <v>291</v>
      </c>
      <c r="P2728" s="1" t="s">
        <v>292</v>
      </c>
      <c r="Q2728" s="1" t="s">
        <v>293</v>
      </c>
      <c r="R2728" s="1" t="s">
        <v>32</v>
      </c>
      <c r="S2728" s="1" t="s">
        <v>294</v>
      </c>
      <c r="T2728" s="1" t="s">
        <v>32</v>
      </c>
      <c r="U2728" s="1" t="s">
        <v>295</v>
      </c>
      <c r="V2728" s="1" t="s">
        <v>47</v>
      </c>
      <c r="W2728" s="1" t="s">
        <v>48</v>
      </c>
      <c r="X2728" s="1" t="s">
        <v>296</v>
      </c>
      <c r="Y2728" s="1" t="s">
        <v>297</v>
      </c>
      <c r="Z2728" s="1" t="str">
        <f>TRIM(_xlfn.CONCAT(sales_data_sample[[#This Row],[CONTACTFIRSTNAME]],", ",sales_data_sample[[#This Row],[CONTACTLASTNAME]]))</f>
        <v>Mary, Saveley</v>
      </c>
      <c r="AA2728" s="1" t="s">
        <v>40</v>
      </c>
    </row>
    <row r="2729" spans="1:27" x14ac:dyDescent="0.25">
      <c r="A2729" s="10">
        <v>10222</v>
      </c>
      <c r="B2729" s="9">
        <v>31</v>
      </c>
      <c r="C2729" s="9">
        <v>9534</v>
      </c>
      <c r="D2729" s="9">
        <f>PRODUCT(sales_data_sample[[#This Row],[QUANTITYORDERED]],sales_data_sample[[#This Row],[PRICEEACH]])</f>
        <v>295554</v>
      </c>
      <c r="E2729" s="9">
        <f>IF(OR(sales_data_sample[[#This Row],[STATUS]]="Shipped",sales_data_sample[[#This Row],[STATUS]]="Resolved"),sales_data_sample[[#This Row],[SALES]],0)</f>
        <v>295554</v>
      </c>
      <c r="F2729" s="10">
        <v>17</v>
      </c>
      <c r="G2729" s="12" t="s">
        <v>491</v>
      </c>
      <c r="H2729" s="1" t="s">
        <v>26</v>
      </c>
      <c r="I2729">
        <v>1</v>
      </c>
      <c r="J2729">
        <v>2</v>
      </c>
      <c r="K2729">
        <v>2004</v>
      </c>
      <c r="L2729" s="1" t="s">
        <v>905</v>
      </c>
      <c r="M2729">
        <v>99</v>
      </c>
      <c r="N2729" s="1" t="s">
        <v>1013</v>
      </c>
      <c r="O2729" s="1" t="s">
        <v>492</v>
      </c>
      <c r="P2729" s="1" t="s">
        <v>493</v>
      </c>
      <c r="Q2729" s="1" t="s">
        <v>494</v>
      </c>
      <c r="R2729" s="1" t="s">
        <v>32</v>
      </c>
      <c r="S2729" s="1" t="s">
        <v>495</v>
      </c>
      <c r="T2729" s="1" t="s">
        <v>65</v>
      </c>
      <c r="U2729" s="1" t="s">
        <v>496</v>
      </c>
      <c r="V2729" s="1" t="s">
        <v>36</v>
      </c>
      <c r="W2729" s="1" t="s">
        <v>37</v>
      </c>
      <c r="X2729" s="1" t="s">
        <v>313</v>
      </c>
      <c r="Y2729" s="1" t="s">
        <v>366</v>
      </c>
      <c r="Z2729" s="1" t="str">
        <f>TRIM(_xlfn.CONCAT(sales_data_sample[[#This Row],[CONTACTFIRSTNAME]],", ",sales_data_sample[[#This Row],[CONTACTLASTNAME]]))</f>
        <v>Valarie, Thompson</v>
      </c>
      <c r="AA2729" s="1" t="s">
        <v>40</v>
      </c>
    </row>
    <row r="2730" spans="1:27" x14ac:dyDescent="0.25">
      <c r="A2730" s="10">
        <v>10232</v>
      </c>
      <c r="B2730" s="9">
        <v>35</v>
      </c>
      <c r="C2730" s="9">
        <v>8243</v>
      </c>
      <c r="D2730" s="9">
        <f>PRODUCT(sales_data_sample[[#This Row],[QUANTITYORDERED]],sales_data_sample[[#This Row],[PRICEEACH]])</f>
        <v>288505</v>
      </c>
      <c r="E2730" s="9">
        <f>IF(OR(sales_data_sample[[#This Row],[STATUS]]="Shipped",sales_data_sample[[#This Row],[STATUS]]="Resolved"),sales_data_sample[[#This Row],[SALES]],0)</f>
        <v>288505</v>
      </c>
      <c r="F2730" s="10">
        <v>2</v>
      </c>
      <c r="G2730" s="12" t="s">
        <v>915</v>
      </c>
      <c r="H2730" s="1" t="s">
        <v>26</v>
      </c>
      <c r="I2730">
        <v>1</v>
      </c>
      <c r="J2730">
        <v>3</v>
      </c>
      <c r="K2730">
        <v>2004</v>
      </c>
      <c r="L2730" s="1" t="s">
        <v>905</v>
      </c>
      <c r="M2730">
        <v>99</v>
      </c>
      <c r="N2730" s="1" t="s">
        <v>1013</v>
      </c>
      <c r="O2730" s="1" t="s">
        <v>524</v>
      </c>
      <c r="P2730" s="1" t="s">
        <v>525</v>
      </c>
      <c r="Q2730" s="1" t="s">
        <v>526</v>
      </c>
      <c r="R2730" s="1" t="s">
        <v>32</v>
      </c>
      <c r="S2730" s="1" t="s">
        <v>527</v>
      </c>
      <c r="T2730" s="1" t="s">
        <v>528</v>
      </c>
      <c r="U2730" s="1" t="s">
        <v>529</v>
      </c>
      <c r="V2730" s="1" t="s">
        <v>225</v>
      </c>
      <c r="W2730" s="1" t="s">
        <v>48</v>
      </c>
      <c r="X2730" s="1" t="s">
        <v>530</v>
      </c>
      <c r="Y2730" s="1" t="s">
        <v>531</v>
      </c>
      <c r="Z2730" s="1" t="str">
        <f>TRIM(_xlfn.CONCAT(sales_data_sample[[#This Row],[CONTACTFIRSTNAME]],", ",sales_data_sample[[#This Row],[CONTACTLASTNAME]]))</f>
        <v>Helen, Bennett</v>
      </c>
      <c r="AA2730" s="1" t="s">
        <v>40</v>
      </c>
    </row>
    <row r="2731" spans="1:27" x14ac:dyDescent="0.25">
      <c r="A2731" s="10">
        <v>10248</v>
      </c>
      <c r="B2731" s="9">
        <v>35</v>
      </c>
      <c r="C2731" s="9">
        <v>9037</v>
      </c>
      <c r="D2731" s="9">
        <f>PRODUCT(sales_data_sample[[#This Row],[QUANTITYORDERED]],sales_data_sample[[#This Row],[PRICEEACH]])</f>
        <v>316295</v>
      </c>
      <c r="E2731" s="9">
        <f>IF(OR(sales_data_sample[[#This Row],[STATUS]]="Shipped",sales_data_sample[[#This Row],[STATUS]]="Resolved"),sales_data_sample[[#This Row],[SALES]],0)</f>
        <v>0</v>
      </c>
      <c r="F2731" s="10">
        <v>8</v>
      </c>
      <c r="G2731" s="12" t="s">
        <v>497</v>
      </c>
      <c r="H2731" s="1" t="s">
        <v>461</v>
      </c>
      <c r="I2731">
        <v>2</v>
      </c>
      <c r="J2731">
        <v>5</v>
      </c>
      <c r="K2731">
        <v>2004</v>
      </c>
      <c r="L2731" s="1" t="s">
        <v>905</v>
      </c>
      <c r="M2731">
        <v>99</v>
      </c>
      <c r="N2731" s="1" t="s">
        <v>1013</v>
      </c>
      <c r="O2731" s="1" t="s">
        <v>29</v>
      </c>
      <c r="P2731" s="1" t="s">
        <v>30</v>
      </c>
      <c r="Q2731" s="1" t="s">
        <v>31</v>
      </c>
      <c r="R2731" s="1" t="s">
        <v>32</v>
      </c>
      <c r="S2731" s="1" t="s">
        <v>33</v>
      </c>
      <c r="T2731" s="1" t="s">
        <v>34</v>
      </c>
      <c r="U2731" s="1" t="s">
        <v>35</v>
      </c>
      <c r="V2731" s="1" t="s">
        <v>36</v>
      </c>
      <c r="W2731" s="1" t="s">
        <v>37</v>
      </c>
      <c r="X2731" s="1" t="s">
        <v>38</v>
      </c>
      <c r="Y2731" s="1" t="s">
        <v>39</v>
      </c>
      <c r="Z2731" s="1" t="str">
        <f>TRIM(_xlfn.CONCAT(sales_data_sample[[#This Row],[CONTACTFIRSTNAME]],", ",sales_data_sample[[#This Row],[CONTACTLASTNAME]]))</f>
        <v>Kwai, Yu</v>
      </c>
      <c r="AA2731" s="1" t="s">
        <v>59</v>
      </c>
    </row>
    <row r="2732" spans="1:27" x14ac:dyDescent="0.25">
      <c r="A2732" s="10">
        <v>10261</v>
      </c>
      <c r="B2732" s="9">
        <v>50</v>
      </c>
      <c r="C2732" s="9">
        <v>8143</v>
      </c>
      <c r="D2732" s="9">
        <f>PRODUCT(sales_data_sample[[#This Row],[QUANTITYORDERED]],sales_data_sample[[#This Row],[PRICEEACH]])</f>
        <v>407150</v>
      </c>
      <c r="E2732" s="9">
        <f>IF(OR(sales_data_sample[[#This Row],[STATUS]]="Shipped",sales_data_sample[[#This Row],[STATUS]]="Resolved"),sales_data_sample[[#This Row],[SALES]],0)</f>
        <v>407150</v>
      </c>
      <c r="F2732" s="10">
        <v>6</v>
      </c>
      <c r="G2732" s="12" t="s">
        <v>498</v>
      </c>
      <c r="H2732" s="1" t="s">
        <v>26</v>
      </c>
      <c r="I2732">
        <v>2</v>
      </c>
      <c r="J2732">
        <v>6</v>
      </c>
      <c r="K2732">
        <v>2004</v>
      </c>
      <c r="L2732" s="1" t="s">
        <v>905</v>
      </c>
      <c r="M2732">
        <v>99</v>
      </c>
      <c r="N2732" s="1" t="s">
        <v>1013</v>
      </c>
      <c r="O2732" s="1" t="s">
        <v>394</v>
      </c>
      <c r="P2732" s="1" t="s">
        <v>395</v>
      </c>
      <c r="Q2732" s="1" t="s">
        <v>396</v>
      </c>
      <c r="R2732" s="1" t="s">
        <v>32</v>
      </c>
      <c r="S2732" s="1" t="s">
        <v>397</v>
      </c>
      <c r="T2732" s="1" t="s">
        <v>398</v>
      </c>
      <c r="U2732" s="1" t="s">
        <v>399</v>
      </c>
      <c r="V2732" s="1" t="s">
        <v>305</v>
      </c>
      <c r="W2732" s="1" t="s">
        <v>37</v>
      </c>
      <c r="X2732" s="1" t="s">
        <v>400</v>
      </c>
      <c r="Y2732" s="1" t="s">
        <v>401</v>
      </c>
      <c r="Z2732" s="1" t="str">
        <f>TRIM(_xlfn.CONCAT(sales_data_sample[[#This Row],[CONTACTFIRSTNAME]],", ",sales_data_sample[[#This Row],[CONTACTLASTNAME]]))</f>
        <v>Jean, Fresnisre</v>
      </c>
      <c r="AA2732" s="1" t="s">
        <v>59</v>
      </c>
    </row>
    <row r="2733" spans="1:27" x14ac:dyDescent="0.25">
      <c r="A2733" s="10">
        <v>10273</v>
      </c>
      <c r="B2733" s="9">
        <v>26</v>
      </c>
      <c r="C2733" s="9">
        <v>100</v>
      </c>
      <c r="D2733" s="9">
        <f>PRODUCT(sales_data_sample[[#This Row],[QUANTITYORDERED]],sales_data_sample[[#This Row],[PRICEEACH]])</f>
        <v>2600</v>
      </c>
      <c r="E2733" s="9">
        <f>IF(OR(sales_data_sample[[#This Row],[STATUS]]="Shipped",sales_data_sample[[#This Row],[STATUS]]="Resolved"),sales_data_sample[[#This Row],[SALES]],0)</f>
        <v>2600</v>
      </c>
      <c r="F2733" s="10">
        <v>9</v>
      </c>
      <c r="G2733" s="12" t="s">
        <v>499</v>
      </c>
      <c r="H2733" s="1" t="s">
        <v>26</v>
      </c>
      <c r="I2733">
        <v>3</v>
      </c>
      <c r="J2733">
        <v>7</v>
      </c>
      <c r="K2733">
        <v>2004</v>
      </c>
      <c r="L2733" s="1" t="s">
        <v>905</v>
      </c>
      <c r="M2733">
        <v>99</v>
      </c>
      <c r="N2733" s="1" t="s">
        <v>1013</v>
      </c>
      <c r="O2733" s="1" t="s">
        <v>500</v>
      </c>
      <c r="P2733" s="1" t="s">
        <v>501</v>
      </c>
      <c r="Q2733" s="1" t="s">
        <v>502</v>
      </c>
      <c r="R2733" s="1" t="s">
        <v>32</v>
      </c>
      <c r="S2733" s="1" t="s">
        <v>503</v>
      </c>
      <c r="T2733" s="1" t="s">
        <v>32</v>
      </c>
      <c r="U2733" s="1" t="s">
        <v>504</v>
      </c>
      <c r="V2733" s="1" t="s">
        <v>505</v>
      </c>
      <c r="W2733" s="1" t="s">
        <v>48</v>
      </c>
      <c r="X2733" s="1" t="s">
        <v>506</v>
      </c>
      <c r="Y2733" s="1" t="s">
        <v>507</v>
      </c>
      <c r="Z2733" s="1" t="str">
        <f>TRIM(_xlfn.CONCAT(sales_data_sample[[#This Row],[CONTACTFIRSTNAME]],", ",sales_data_sample[[#This Row],[CONTACTLASTNAME]]))</f>
        <v>Catherine, Dewey</v>
      </c>
      <c r="AA2733" s="1" t="s">
        <v>40</v>
      </c>
    </row>
    <row r="2734" spans="1:27" x14ac:dyDescent="0.25">
      <c r="A2734" s="10">
        <v>10283</v>
      </c>
      <c r="B2734" s="9">
        <v>38</v>
      </c>
      <c r="C2734" s="9">
        <v>8938</v>
      </c>
      <c r="D2734" s="9">
        <f>PRODUCT(sales_data_sample[[#This Row],[QUANTITYORDERED]],sales_data_sample[[#This Row],[PRICEEACH]])</f>
        <v>339644</v>
      </c>
      <c r="E2734" s="9">
        <f>IF(OR(sales_data_sample[[#This Row],[STATUS]]="Shipped",sales_data_sample[[#This Row],[STATUS]]="Resolved"),sales_data_sample[[#This Row],[SALES]],0)</f>
        <v>339644</v>
      </c>
      <c r="F2734" s="10">
        <v>11</v>
      </c>
      <c r="G2734" s="12" t="s">
        <v>508</v>
      </c>
      <c r="H2734" s="1" t="s">
        <v>26</v>
      </c>
      <c r="I2734">
        <v>3</v>
      </c>
      <c r="J2734">
        <v>8</v>
      </c>
      <c r="K2734">
        <v>2004</v>
      </c>
      <c r="L2734" s="1" t="s">
        <v>905</v>
      </c>
      <c r="M2734">
        <v>99</v>
      </c>
      <c r="N2734" s="1" t="s">
        <v>1013</v>
      </c>
      <c r="O2734" s="1" t="s">
        <v>509</v>
      </c>
      <c r="P2734" s="1" t="s">
        <v>510</v>
      </c>
      <c r="Q2734" s="1" t="s">
        <v>511</v>
      </c>
      <c r="R2734" s="1" t="s">
        <v>32</v>
      </c>
      <c r="S2734" s="1" t="s">
        <v>512</v>
      </c>
      <c r="T2734" s="1" t="s">
        <v>303</v>
      </c>
      <c r="U2734" s="1" t="s">
        <v>513</v>
      </c>
      <c r="V2734" s="1" t="s">
        <v>305</v>
      </c>
      <c r="W2734" s="1" t="s">
        <v>37</v>
      </c>
      <c r="X2734" s="1" t="s">
        <v>514</v>
      </c>
      <c r="Y2734" s="1" t="s">
        <v>227</v>
      </c>
      <c r="Z2734" s="1" t="str">
        <f>TRIM(_xlfn.CONCAT(sales_data_sample[[#This Row],[CONTACTFIRSTNAME]],", ",sales_data_sample[[#This Row],[CONTACTLASTNAME]]))</f>
        <v>Elizabeth, Lincoln</v>
      </c>
      <c r="AA2734" s="1" t="s">
        <v>59</v>
      </c>
    </row>
    <row r="2735" spans="1:27" x14ac:dyDescent="0.25">
      <c r="A2735" s="10">
        <v>10294</v>
      </c>
      <c r="B2735" s="9">
        <v>45</v>
      </c>
      <c r="C2735" s="9">
        <v>100</v>
      </c>
      <c r="D2735" s="9">
        <f>PRODUCT(sales_data_sample[[#This Row],[QUANTITYORDERED]],sales_data_sample[[#This Row],[PRICEEACH]])</f>
        <v>4500</v>
      </c>
      <c r="E2735" s="9">
        <f>IF(OR(sales_data_sample[[#This Row],[STATUS]]="Shipped",sales_data_sample[[#This Row],[STATUS]]="Resolved"),sales_data_sample[[#This Row],[SALES]],0)</f>
        <v>4500</v>
      </c>
      <c r="F2735" s="10">
        <v>1</v>
      </c>
      <c r="G2735" s="12" t="s">
        <v>515</v>
      </c>
      <c r="H2735" s="1" t="s">
        <v>26</v>
      </c>
      <c r="I2735">
        <v>3</v>
      </c>
      <c r="J2735">
        <v>9</v>
      </c>
      <c r="K2735">
        <v>2004</v>
      </c>
      <c r="L2735" s="1" t="s">
        <v>905</v>
      </c>
      <c r="M2735">
        <v>99</v>
      </c>
      <c r="N2735" s="1" t="s">
        <v>1013</v>
      </c>
      <c r="O2735" s="1" t="s">
        <v>640</v>
      </c>
      <c r="P2735" s="1" t="s">
        <v>641</v>
      </c>
      <c r="Q2735" s="1" t="s">
        <v>642</v>
      </c>
      <c r="R2735" s="1" t="s">
        <v>32</v>
      </c>
      <c r="S2735" s="1" t="s">
        <v>380</v>
      </c>
      <c r="T2735" s="1" t="s">
        <v>160</v>
      </c>
      <c r="U2735" s="1" t="s">
        <v>381</v>
      </c>
      <c r="V2735" s="1" t="s">
        <v>36</v>
      </c>
      <c r="W2735" s="1" t="s">
        <v>37</v>
      </c>
      <c r="X2735" s="1" t="s">
        <v>643</v>
      </c>
      <c r="Y2735" s="1" t="s">
        <v>644</v>
      </c>
      <c r="Z2735" s="1" t="str">
        <f>TRIM(_xlfn.CONCAT(sales_data_sample[[#This Row],[CONTACTFIRSTNAME]],", ",sales_data_sample[[#This Row],[CONTACTLASTNAME]]))</f>
        <v>Miguel, Barajas</v>
      </c>
      <c r="AA2735" s="1" t="s">
        <v>59</v>
      </c>
    </row>
    <row r="2736" spans="1:27" x14ac:dyDescent="0.25">
      <c r="A2736" s="10">
        <v>10306</v>
      </c>
      <c r="B2736" s="9">
        <v>30</v>
      </c>
      <c r="C2736" s="9">
        <v>100</v>
      </c>
      <c r="D2736" s="9">
        <f>PRODUCT(sales_data_sample[[#This Row],[QUANTITYORDERED]],sales_data_sample[[#This Row],[PRICEEACH]])</f>
        <v>3000</v>
      </c>
      <c r="E2736" s="9">
        <f>IF(OR(sales_data_sample[[#This Row],[STATUS]]="Shipped",sales_data_sample[[#This Row],[STATUS]]="Resolved"),sales_data_sample[[#This Row],[SALES]],0)</f>
        <v>3000</v>
      </c>
      <c r="F2736" s="10">
        <v>5</v>
      </c>
      <c r="G2736" s="12" t="s">
        <v>522</v>
      </c>
      <c r="H2736" s="1" t="s">
        <v>26</v>
      </c>
      <c r="I2736">
        <v>4</v>
      </c>
      <c r="J2736">
        <v>10</v>
      </c>
      <c r="K2736">
        <v>2004</v>
      </c>
      <c r="L2736" s="1" t="s">
        <v>905</v>
      </c>
      <c r="M2736">
        <v>99</v>
      </c>
      <c r="N2736" s="1" t="s">
        <v>1013</v>
      </c>
      <c r="O2736" s="1" t="s">
        <v>695</v>
      </c>
      <c r="P2736" s="1" t="s">
        <v>696</v>
      </c>
      <c r="Q2736" s="1" t="s">
        <v>697</v>
      </c>
      <c r="R2736" s="1" t="s">
        <v>32</v>
      </c>
      <c r="S2736" s="1" t="s">
        <v>698</v>
      </c>
      <c r="T2736" s="1" t="s">
        <v>32</v>
      </c>
      <c r="U2736" s="1" t="s">
        <v>699</v>
      </c>
      <c r="V2736" s="1" t="s">
        <v>225</v>
      </c>
      <c r="W2736" s="1" t="s">
        <v>48</v>
      </c>
      <c r="X2736" s="1" t="s">
        <v>700</v>
      </c>
      <c r="Y2736" s="1" t="s">
        <v>118</v>
      </c>
      <c r="Z2736" s="1" t="str">
        <f>TRIM(_xlfn.CONCAT(sales_data_sample[[#This Row],[CONTACTFIRSTNAME]],", ",sales_data_sample[[#This Row],[CONTACTLASTNAME]]))</f>
        <v>Victoria, Ashworth</v>
      </c>
      <c r="AA2736" s="1" t="s">
        <v>59</v>
      </c>
    </row>
    <row r="2737" spans="1:27" x14ac:dyDescent="0.25">
      <c r="A2737" s="10">
        <v>10315</v>
      </c>
      <c r="B2737" s="9">
        <v>37</v>
      </c>
      <c r="C2737" s="9">
        <v>9137</v>
      </c>
      <c r="D2737" s="9">
        <f>PRODUCT(sales_data_sample[[#This Row],[QUANTITYORDERED]],sales_data_sample[[#This Row],[PRICEEACH]])</f>
        <v>338069</v>
      </c>
      <c r="E2737" s="9">
        <f>IF(OR(sales_data_sample[[#This Row],[STATUS]]="Shipped",sales_data_sample[[#This Row],[STATUS]]="Resolved"),sales_data_sample[[#This Row],[SALES]],0)</f>
        <v>338069</v>
      </c>
      <c r="F2737" s="10">
        <v>4</v>
      </c>
      <c r="G2737" s="12" t="s">
        <v>943</v>
      </c>
      <c r="H2737" s="1" t="s">
        <v>26</v>
      </c>
      <c r="I2737">
        <v>4</v>
      </c>
      <c r="J2737">
        <v>10</v>
      </c>
      <c r="K2737">
        <v>2004</v>
      </c>
      <c r="L2737" s="1" t="s">
        <v>905</v>
      </c>
      <c r="M2737">
        <v>99</v>
      </c>
      <c r="N2737" s="1" t="s">
        <v>1013</v>
      </c>
      <c r="O2737" s="1" t="s">
        <v>148</v>
      </c>
      <c r="P2737" s="1" t="s">
        <v>149</v>
      </c>
      <c r="Q2737" s="1" t="s">
        <v>150</v>
      </c>
      <c r="R2737" s="1" t="s">
        <v>32</v>
      </c>
      <c r="S2737" s="1" t="s">
        <v>151</v>
      </c>
      <c r="T2737" s="1" t="s">
        <v>32</v>
      </c>
      <c r="U2737" s="1" t="s">
        <v>152</v>
      </c>
      <c r="V2737" s="1" t="s">
        <v>47</v>
      </c>
      <c r="W2737" s="1" t="s">
        <v>48</v>
      </c>
      <c r="X2737" s="1" t="s">
        <v>153</v>
      </c>
      <c r="Y2737" s="1" t="s">
        <v>154</v>
      </c>
      <c r="Z2737" s="1" t="str">
        <f>TRIM(_xlfn.CONCAT(sales_data_sample[[#This Row],[CONTACTFIRSTNAME]],", ",sales_data_sample[[#This Row],[CONTACTLASTNAME]]))</f>
        <v>Janine, Labrune</v>
      </c>
      <c r="AA2737" s="1" t="s">
        <v>59</v>
      </c>
    </row>
    <row r="2738" spans="1:27" x14ac:dyDescent="0.25">
      <c r="A2738" s="10">
        <v>10327</v>
      </c>
      <c r="B2738" s="9">
        <v>37</v>
      </c>
      <c r="C2738" s="9">
        <v>8661</v>
      </c>
      <c r="D2738" s="9">
        <f>PRODUCT(sales_data_sample[[#This Row],[QUANTITYORDERED]],sales_data_sample[[#This Row],[PRICEEACH]])</f>
        <v>320457</v>
      </c>
      <c r="E2738" s="9">
        <f>IF(OR(sales_data_sample[[#This Row],[STATUS]]="Shipped",sales_data_sample[[#This Row],[STATUS]]="Resolved"),sales_data_sample[[#This Row],[SALES]],0)</f>
        <v>320457</v>
      </c>
      <c r="F2738" s="10">
        <v>3</v>
      </c>
      <c r="G2738" s="12" t="s">
        <v>859</v>
      </c>
      <c r="H2738" s="1" t="s">
        <v>563</v>
      </c>
      <c r="I2738">
        <v>4</v>
      </c>
      <c r="J2738">
        <v>11</v>
      </c>
      <c r="K2738">
        <v>2004</v>
      </c>
      <c r="L2738" s="1" t="s">
        <v>905</v>
      </c>
      <c r="M2738">
        <v>99</v>
      </c>
      <c r="N2738" s="1" t="s">
        <v>1013</v>
      </c>
      <c r="O2738" s="1" t="s">
        <v>437</v>
      </c>
      <c r="P2738" s="1" t="s">
        <v>438</v>
      </c>
      <c r="Q2738" s="1" t="s">
        <v>439</v>
      </c>
      <c r="R2738" s="1" t="s">
        <v>32</v>
      </c>
      <c r="S2738" s="1" t="s">
        <v>440</v>
      </c>
      <c r="T2738" s="1" t="s">
        <v>32</v>
      </c>
      <c r="U2738" s="1" t="s">
        <v>441</v>
      </c>
      <c r="V2738" s="1" t="s">
        <v>442</v>
      </c>
      <c r="W2738" s="1" t="s">
        <v>48</v>
      </c>
      <c r="X2738" s="1" t="s">
        <v>443</v>
      </c>
      <c r="Y2738" s="1" t="s">
        <v>444</v>
      </c>
      <c r="Z2738" s="1" t="str">
        <f>TRIM(_xlfn.CONCAT(sales_data_sample[[#This Row],[CONTACTFIRSTNAME]],", ",sales_data_sample[[#This Row],[CONTACTLASTNAME]]))</f>
        <v>Jytte, Petersen</v>
      </c>
      <c r="AA2738" s="1" t="s">
        <v>59</v>
      </c>
    </row>
    <row r="2739" spans="1:27" x14ac:dyDescent="0.25">
      <c r="A2739">
        <v>10337</v>
      </c>
      <c r="B2739">
        <v>36</v>
      </c>
      <c r="C2739">
        <v>7189</v>
      </c>
      <c r="D2739">
        <f>PRODUCT(sales_data_sample[[#This Row],[QUANTITYORDERED]],sales_data_sample[[#This Row],[PRICEEACH]])</f>
        <v>258804</v>
      </c>
      <c r="E2739" s="9">
        <f>IF(OR(sales_data_sample[[#This Row],[STATUS]]="Shipped",sales_data_sample[[#This Row],[STATUS]]="Resolved"),sales_data_sample[[#This Row],[SALES]],0)</f>
        <v>258804</v>
      </c>
      <c r="F2739">
        <v>7</v>
      </c>
      <c r="G2739" s="12" t="s">
        <v>533</v>
      </c>
      <c r="H2739" s="1" t="s">
        <v>26</v>
      </c>
      <c r="I2739">
        <v>4</v>
      </c>
      <c r="J2739">
        <v>11</v>
      </c>
      <c r="K2739">
        <v>2004</v>
      </c>
      <c r="L2739" s="1" t="s">
        <v>905</v>
      </c>
      <c r="M2739">
        <v>99</v>
      </c>
      <c r="N2739" s="1" t="s">
        <v>1013</v>
      </c>
      <c r="O2739" s="1" t="s">
        <v>268</v>
      </c>
      <c r="P2739" s="1" t="s">
        <v>269</v>
      </c>
      <c r="Q2739" s="1" t="s">
        <v>270</v>
      </c>
      <c r="R2739" s="1" t="s">
        <v>271</v>
      </c>
      <c r="S2739" s="1" t="s">
        <v>33</v>
      </c>
      <c r="T2739" s="1" t="s">
        <v>34</v>
      </c>
      <c r="U2739" s="1" t="s">
        <v>35</v>
      </c>
      <c r="V2739" s="1" t="s">
        <v>36</v>
      </c>
      <c r="W2739" s="1" t="s">
        <v>37</v>
      </c>
      <c r="X2739" s="1" t="s">
        <v>162</v>
      </c>
      <c r="Y2739" s="1" t="s">
        <v>272</v>
      </c>
      <c r="Z2739" s="1" t="str">
        <f>TRIM(_xlfn.CONCAT(sales_data_sample[[#This Row],[CONTACTFIRSTNAME]],", ",sales_data_sample[[#This Row],[CONTACTLASTNAME]]))</f>
        <v>Maria, Hernandez</v>
      </c>
      <c r="AA2739" s="1" t="s">
        <v>40</v>
      </c>
    </row>
    <row r="2740" spans="1:27" x14ac:dyDescent="0.25">
      <c r="A2740" s="10">
        <v>10350</v>
      </c>
      <c r="B2740" s="9">
        <v>25</v>
      </c>
      <c r="C2740" s="9">
        <v>100</v>
      </c>
      <c r="D2740" s="9">
        <f>PRODUCT(sales_data_sample[[#This Row],[QUANTITYORDERED]],sales_data_sample[[#This Row],[PRICEEACH]])</f>
        <v>2500</v>
      </c>
      <c r="E2740" s="9">
        <f>IF(OR(sales_data_sample[[#This Row],[STATUS]]="Shipped",sales_data_sample[[#This Row],[STATUS]]="Resolved"),sales_data_sample[[#This Row],[SALES]],0)</f>
        <v>2500</v>
      </c>
      <c r="F2740" s="10">
        <v>16</v>
      </c>
      <c r="G2740" s="12" t="s">
        <v>534</v>
      </c>
      <c r="H2740" s="1" t="s">
        <v>26</v>
      </c>
      <c r="I2740">
        <v>4</v>
      </c>
      <c r="J2740">
        <v>12</v>
      </c>
      <c r="K2740">
        <v>2004</v>
      </c>
      <c r="L2740" s="1" t="s">
        <v>905</v>
      </c>
      <c r="M2740">
        <v>99</v>
      </c>
      <c r="N2740" s="1" t="s">
        <v>1013</v>
      </c>
      <c r="O2740" s="1" t="s">
        <v>230</v>
      </c>
      <c r="P2740" s="1" t="s">
        <v>231</v>
      </c>
      <c r="Q2740" s="1" t="s">
        <v>232</v>
      </c>
      <c r="R2740" s="1" t="s">
        <v>32</v>
      </c>
      <c r="S2740" s="1" t="s">
        <v>233</v>
      </c>
      <c r="T2740" s="1" t="s">
        <v>32</v>
      </c>
      <c r="U2740" s="1" t="s">
        <v>234</v>
      </c>
      <c r="V2740" s="1" t="s">
        <v>235</v>
      </c>
      <c r="W2740" s="1" t="s">
        <v>48</v>
      </c>
      <c r="X2740" s="1" t="s">
        <v>236</v>
      </c>
      <c r="Y2740" s="1" t="s">
        <v>237</v>
      </c>
      <c r="Z2740" s="1" t="str">
        <f>TRIM(_xlfn.CONCAT(sales_data_sample[[#This Row],[CONTACTFIRSTNAME]],", ",sales_data_sample[[#This Row],[CONTACTLASTNAME]]))</f>
        <v>Diego, Freyre</v>
      </c>
      <c r="AA2740" s="1" t="s">
        <v>40</v>
      </c>
    </row>
    <row r="2741" spans="1:27" x14ac:dyDescent="0.25">
      <c r="A2741" s="10">
        <v>10373</v>
      </c>
      <c r="B2741" s="9">
        <v>37</v>
      </c>
      <c r="C2741" s="9">
        <v>100</v>
      </c>
      <c r="D2741" s="9">
        <f>PRODUCT(sales_data_sample[[#This Row],[QUANTITYORDERED]],sales_data_sample[[#This Row],[PRICEEACH]])</f>
        <v>3700</v>
      </c>
      <c r="E2741" s="9">
        <f>IF(OR(sales_data_sample[[#This Row],[STATUS]]="Shipped",sales_data_sample[[#This Row],[STATUS]]="Resolved"),sales_data_sample[[#This Row],[SALES]],0)</f>
        <v>3700</v>
      </c>
      <c r="F2741" s="10">
        <v>8</v>
      </c>
      <c r="G2741" s="12" t="s">
        <v>536</v>
      </c>
      <c r="H2741" s="1" t="s">
        <v>26</v>
      </c>
      <c r="I2741">
        <v>1</v>
      </c>
      <c r="J2741">
        <v>1</v>
      </c>
      <c r="K2741">
        <v>2005</v>
      </c>
      <c r="L2741" s="1" t="s">
        <v>905</v>
      </c>
      <c r="M2741">
        <v>99</v>
      </c>
      <c r="N2741" s="1" t="s">
        <v>1013</v>
      </c>
      <c r="O2741" s="1" t="s">
        <v>537</v>
      </c>
      <c r="P2741" s="1" t="s">
        <v>538</v>
      </c>
      <c r="Q2741" s="1" t="s">
        <v>539</v>
      </c>
      <c r="R2741" s="1" t="s">
        <v>32</v>
      </c>
      <c r="S2741" s="1" t="s">
        <v>540</v>
      </c>
      <c r="T2741" s="1" t="s">
        <v>32</v>
      </c>
      <c r="U2741" s="1" t="s">
        <v>541</v>
      </c>
      <c r="V2741" s="1" t="s">
        <v>170</v>
      </c>
      <c r="W2741" s="1" t="s">
        <v>48</v>
      </c>
      <c r="X2741" s="1" t="s">
        <v>542</v>
      </c>
      <c r="Y2741" s="1" t="s">
        <v>543</v>
      </c>
      <c r="Z2741" s="1" t="str">
        <f>TRIM(_xlfn.CONCAT(sales_data_sample[[#This Row],[CONTACTFIRSTNAME]],", ",sales_data_sample[[#This Row],[CONTACTLASTNAME]]))</f>
        <v>Pirkko, Koskitalo</v>
      </c>
      <c r="AA2741" s="1" t="s">
        <v>59</v>
      </c>
    </row>
    <row r="2742" spans="1:27" x14ac:dyDescent="0.25">
      <c r="A2742" s="10">
        <v>10386</v>
      </c>
      <c r="B2742" s="9">
        <v>30</v>
      </c>
      <c r="C2742" s="9">
        <v>9548</v>
      </c>
      <c r="D2742" s="9">
        <f>PRODUCT(sales_data_sample[[#This Row],[QUANTITYORDERED]],sales_data_sample[[#This Row],[PRICEEACH]])</f>
        <v>286440</v>
      </c>
      <c r="E2742" s="9">
        <f>IF(OR(sales_data_sample[[#This Row],[STATUS]]="Shipped",sales_data_sample[[#This Row],[STATUS]]="Resolved"),sales_data_sample[[#This Row],[SALES]],0)</f>
        <v>286440</v>
      </c>
      <c r="F2742" s="10">
        <v>3</v>
      </c>
      <c r="G2742" s="12" t="s">
        <v>869</v>
      </c>
      <c r="H2742" s="1" t="s">
        <v>563</v>
      </c>
      <c r="I2742">
        <v>1</v>
      </c>
      <c r="J2742">
        <v>3</v>
      </c>
      <c r="K2742">
        <v>2005</v>
      </c>
      <c r="L2742" s="1" t="s">
        <v>905</v>
      </c>
      <c r="M2742">
        <v>99</v>
      </c>
      <c r="N2742" s="1" t="s">
        <v>1013</v>
      </c>
      <c r="O2742" s="1" t="s">
        <v>230</v>
      </c>
      <c r="P2742" s="1" t="s">
        <v>231</v>
      </c>
      <c r="Q2742" s="1" t="s">
        <v>232</v>
      </c>
      <c r="R2742" s="1" t="s">
        <v>32</v>
      </c>
      <c r="S2742" s="1" t="s">
        <v>233</v>
      </c>
      <c r="T2742" s="1" t="s">
        <v>32</v>
      </c>
      <c r="U2742" s="1" t="s">
        <v>234</v>
      </c>
      <c r="V2742" s="1" t="s">
        <v>235</v>
      </c>
      <c r="W2742" s="1" t="s">
        <v>48</v>
      </c>
      <c r="X2742" s="1" t="s">
        <v>236</v>
      </c>
      <c r="Y2742" s="1" t="s">
        <v>237</v>
      </c>
      <c r="Z2742" s="1" t="str">
        <f>TRIM(_xlfn.CONCAT(sales_data_sample[[#This Row],[CONTACTFIRSTNAME]],", ",sales_data_sample[[#This Row],[CONTACTLASTNAME]]))</f>
        <v>Diego, Freyre</v>
      </c>
      <c r="AA2742" s="1" t="s">
        <v>40</v>
      </c>
    </row>
    <row r="2743" spans="1:27" x14ac:dyDescent="0.25">
      <c r="A2743" s="10">
        <v>10397</v>
      </c>
      <c r="B2743" s="9">
        <v>36</v>
      </c>
      <c r="C2743" s="9">
        <v>100</v>
      </c>
      <c r="D2743" s="9">
        <f>PRODUCT(sales_data_sample[[#This Row],[QUANTITYORDERED]],sales_data_sample[[#This Row],[PRICEEACH]])</f>
        <v>3600</v>
      </c>
      <c r="E2743" s="9">
        <f>IF(OR(sales_data_sample[[#This Row],[STATUS]]="Shipped",sales_data_sample[[#This Row],[STATUS]]="Resolved"),sales_data_sample[[#This Row],[SALES]],0)</f>
        <v>3600</v>
      </c>
      <c r="F2743" s="10">
        <v>2</v>
      </c>
      <c r="G2743" s="12" t="s">
        <v>1004</v>
      </c>
      <c r="H2743" s="1" t="s">
        <v>26</v>
      </c>
      <c r="I2743">
        <v>1</v>
      </c>
      <c r="J2743">
        <v>3</v>
      </c>
      <c r="K2743">
        <v>2005</v>
      </c>
      <c r="L2743" s="1" t="s">
        <v>905</v>
      </c>
      <c r="M2743">
        <v>99</v>
      </c>
      <c r="N2743" s="1" t="s">
        <v>1013</v>
      </c>
      <c r="O2743" s="1" t="s">
        <v>463</v>
      </c>
      <c r="P2743" s="1" t="s">
        <v>464</v>
      </c>
      <c r="Q2743" s="1" t="s">
        <v>465</v>
      </c>
      <c r="R2743" s="1" t="s">
        <v>32</v>
      </c>
      <c r="S2743" s="1" t="s">
        <v>466</v>
      </c>
      <c r="T2743" s="1" t="s">
        <v>32</v>
      </c>
      <c r="U2743" s="1" t="s">
        <v>467</v>
      </c>
      <c r="V2743" s="1" t="s">
        <v>47</v>
      </c>
      <c r="W2743" s="1" t="s">
        <v>48</v>
      </c>
      <c r="X2743" s="1" t="s">
        <v>468</v>
      </c>
      <c r="Y2743" s="1" t="s">
        <v>469</v>
      </c>
      <c r="Z2743" s="1" t="str">
        <f>TRIM(_xlfn.CONCAT(sales_data_sample[[#This Row],[CONTACTFIRSTNAME]],", ",sales_data_sample[[#This Row],[CONTACTLASTNAME]]))</f>
        <v>Annette, Roulet</v>
      </c>
      <c r="AA2743" s="1" t="s">
        <v>59</v>
      </c>
    </row>
    <row r="2744" spans="1:27" x14ac:dyDescent="0.25">
      <c r="A2744" s="10">
        <v>10414</v>
      </c>
      <c r="B2744" s="9">
        <v>27</v>
      </c>
      <c r="C2744" s="9">
        <v>9037</v>
      </c>
      <c r="D2744" s="9">
        <f>PRODUCT(sales_data_sample[[#This Row],[QUANTITYORDERED]],sales_data_sample[[#This Row],[PRICEEACH]])</f>
        <v>243999</v>
      </c>
      <c r="E2744" s="9">
        <f>IF(OR(sales_data_sample[[#This Row],[STATUS]]="Shipped",sales_data_sample[[#This Row],[STATUS]]="Resolved"),sales_data_sample[[#This Row],[SALES]],0)</f>
        <v>0</v>
      </c>
      <c r="F2744" s="10">
        <v>8</v>
      </c>
      <c r="G2744" s="12" t="s">
        <v>552</v>
      </c>
      <c r="H2744" s="1" t="s">
        <v>553</v>
      </c>
      <c r="I2744">
        <v>2</v>
      </c>
      <c r="J2744">
        <v>5</v>
      </c>
      <c r="K2744">
        <v>2005</v>
      </c>
      <c r="L2744" s="1" t="s">
        <v>905</v>
      </c>
      <c r="M2744">
        <v>99</v>
      </c>
      <c r="N2744" s="1" t="s">
        <v>1013</v>
      </c>
      <c r="O2744" s="1" t="s">
        <v>516</v>
      </c>
      <c r="P2744" s="1" t="s">
        <v>517</v>
      </c>
      <c r="Q2744" s="1" t="s">
        <v>518</v>
      </c>
      <c r="R2744" s="1" t="s">
        <v>32</v>
      </c>
      <c r="S2744" s="1" t="s">
        <v>519</v>
      </c>
      <c r="T2744" s="1" t="s">
        <v>160</v>
      </c>
      <c r="U2744" s="1" t="s">
        <v>520</v>
      </c>
      <c r="V2744" s="1" t="s">
        <v>36</v>
      </c>
      <c r="W2744" s="1" t="s">
        <v>37</v>
      </c>
      <c r="X2744" s="1" t="s">
        <v>521</v>
      </c>
      <c r="Y2744" s="1" t="s">
        <v>82</v>
      </c>
      <c r="Z2744" s="1" t="str">
        <f>TRIM(_xlfn.CONCAT(sales_data_sample[[#This Row],[CONTACTFIRSTNAME]],", ",sales_data_sample[[#This Row],[CONTACTLASTNAME]]))</f>
        <v>Juri, Yoshido</v>
      </c>
      <c r="AA2744" s="1" t="s">
        <v>40</v>
      </c>
    </row>
    <row r="2745" spans="1:27" x14ac:dyDescent="0.25">
      <c r="A2745" s="10">
        <v>10106</v>
      </c>
      <c r="B2745" s="9">
        <v>48</v>
      </c>
      <c r="C2745" s="9">
        <v>6144</v>
      </c>
      <c r="D2745" s="9">
        <f>PRODUCT(sales_data_sample[[#This Row],[QUANTITYORDERED]],sales_data_sample[[#This Row],[PRICEEACH]])</f>
        <v>294912</v>
      </c>
      <c r="E2745" s="9">
        <f>IF(OR(sales_data_sample[[#This Row],[STATUS]]="Shipped",sales_data_sample[[#This Row],[STATUS]]="Resolved"),sales_data_sample[[#This Row],[SALES]],0)</f>
        <v>294912</v>
      </c>
      <c r="F2745" s="10">
        <v>10</v>
      </c>
      <c r="G2745" s="12" t="s">
        <v>838</v>
      </c>
      <c r="H2745" s="1" t="s">
        <v>26</v>
      </c>
      <c r="I2745">
        <v>1</v>
      </c>
      <c r="J2745">
        <v>2</v>
      </c>
      <c r="K2745">
        <v>2003</v>
      </c>
      <c r="L2745" s="1" t="s">
        <v>839</v>
      </c>
      <c r="M2745">
        <v>74</v>
      </c>
      <c r="N2745" s="1" t="s">
        <v>1014</v>
      </c>
      <c r="O2745" s="1" t="s">
        <v>806</v>
      </c>
      <c r="P2745" s="1" t="s">
        <v>807</v>
      </c>
      <c r="Q2745" s="1" t="s">
        <v>808</v>
      </c>
      <c r="R2745" s="1" t="s">
        <v>32</v>
      </c>
      <c r="S2745" s="1" t="s">
        <v>809</v>
      </c>
      <c r="T2745" s="1" t="s">
        <v>32</v>
      </c>
      <c r="U2745" s="1" t="s">
        <v>810</v>
      </c>
      <c r="V2745" s="1" t="s">
        <v>343</v>
      </c>
      <c r="W2745" s="1" t="s">
        <v>48</v>
      </c>
      <c r="X2745" s="1" t="s">
        <v>811</v>
      </c>
      <c r="Y2745" s="1" t="s">
        <v>812</v>
      </c>
      <c r="Z2745" s="1" t="str">
        <f>TRIM(_xlfn.CONCAT(sales_data_sample[[#This Row],[CONTACTFIRSTNAME]],", ",sales_data_sample[[#This Row],[CONTACTLASTNAME]]))</f>
        <v>Giovanni, Rovelli</v>
      </c>
      <c r="AA2745" s="1" t="s">
        <v>40</v>
      </c>
    </row>
    <row r="2746" spans="1:27" x14ac:dyDescent="0.25">
      <c r="A2746" s="10">
        <v>10119</v>
      </c>
      <c r="B2746" s="9">
        <v>26</v>
      </c>
      <c r="C2746" s="9">
        <v>5922</v>
      </c>
      <c r="D2746" s="9">
        <f>PRODUCT(sales_data_sample[[#This Row],[QUANTITYORDERED]],sales_data_sample[[#This Row],[PRICEEACH]])</f>
        <v>153972</v>
      </c>
      <c r="E2746" s="9">
        <f>IF(OR(sales_data_sample[[#This Row],[STATUS]]="Shipped",sales_data_sample[[#This Row],[STATUS]]="Resolved"),sales_data_sample[[#This Row],[SALES]],0)</f>
        <v>153972</v>
      </c>
      <c r="F2746" s="10">
        <v>1</v>
      </c>
      <c r="G2746" s="12" t="s">
        <v>445</v>
      </c>
      <c r="H2746" s="1" t="s">
        <v>26</v>
      </c>
      <c r="I2746">
        <v>2</v>
      </c>
      <c r="J2746">
        <v>4</v>
      </c>
      <c r="K2746">
        <v>2003</v>
      </c>
      <c r="L2746" s="1" t="s">
        <v>839</v>
      </c>
      <c r="M2746">
        <v>74</v>
      </c>
      <c r="N2746" s="1" t="s">
        <v>1014</v>
      </c>
      <c r="O2746" s="1" t="s">
        <v>191</v>
      </c>
      <c r="P2746" s="1" t="s">
        <v>192</v>
      </c>
      <c r="Q2746" s="1" t="s">
        <v>193</v>
      </c>
      <c r="R2746" s="1" t="s">
        <v>32</v>
      </c>
      <c r="S2746" s="1" t="s">
        <v>194</v>
      </c>
      <c r="T2746" s="1" t="s">
        <v>32</v>
      </c>
      <c r="U2746" s="1" t="s">
        <v>195</v>
      </c>
      <c r="V2746" s="1" t="s">
        <v>196</v>
      </c>
      <c r="W2746" s="1" t="s">
        <v>48</v>
      </c>
      <c r="X2746" s="1" t="s">
        <v>197</v>
      </c>
      <c r="Y2746" s="1" t="s">
        <v>198</v>
      </c>
      <c r="Z2746" s="1" t="str">
        <f>TRIM(_xlfn.CONCAT(sales_data_sample[[#This Row],[CONTACTFIRSTNAME]],", ",sales_data_sample[[#This Row],[CONTACTLASTNAME]]))</f>
        <v>Georg, Pipps</v>
      </c>
      <c r="AA2746" s="1" t="s">
        <v>40</v>
      </c>
    </row>
    <row r="2747" spans="1:27" x14ac:dyDescent="0.25">
      <c r="A2747" s="10">
        <v>10131</v>
      </c>
      <c r="B2747" s="9">
        <v>26</v>
      </c>
      <c r="C2747" s="9">
        <v>8513</v>
      </c>
      <c r="D2747" s="9">
        <f>PRODUCT(sales_data_sample[[#This Row],[QUANTITYORDERED]],sales_data_sample[[#This Row],[PRICEEACH]])</f>
        <v>221338</v>
      </c>
      <c r="E2747" s="9">
        <f>IF(OR(sales_data_sample[[#This Row],[STATUS]]="Shipped",sales_data_sample[[#This Row],[STATUS]]="Resolved"),sales_data_sample[[#This Row],[SALES]],0)</f>
        <v>221338</v>
      </c>
      <c r="F2747" s="10">
        <v>2</v>
      </c>
      <c r="G2747" s="12" t="s">
        <v>841</v>
      </c>
      <c r="H2747" s="1" t="s">
        <v>26</v>
      </c>
      <c r="I2747">
        <v>2</v>
      </c>
      <c r="J2747">
        <v>6</v>
      </c>
      <c r="K2747">
        <v>2003</v>
      </c>
      <c r="L2747" s="1" t="s">
        <v>839</v>
      </c>
      <c r="M2747">
        <v>74</v>
      </c>
      <c r="N2747" s="1" t="s">
        <v>1014</v>
      </c>
      <c r="O2747" s="1" t="s">
        <v>842</v>
      </c>
      <c r="P2747" s="1" t="s">
        <v>843</v>
      </c>
      <c r="Q2747" s="1" t="s">
        <v>844</v>
      </c>
      <c r="R2747" s="1" t="s">
        <v>32</v>
      </c>
      <c r="S2747" s="1" t="s">
        <v>734</v>
      </c>
      <c r="T2747" s="1" t="s">
        <v>144</v>
      </c>
      <c r="U2747" s="1" t="s">
        <v>845</v>
      </c>
      <c r="V2747" s="1" t="s">
        <v>36</v>
      </c>
      <c r="W2747" s="1" t="s">
        <v>37</v>
      </c>
      <c r="X2747" s="1" t="s">
        <v>846</v>
      </c>
      <c r="Y2747" s="1" t="s">
        <v>847</v>
      </c>
      <c r="Z2747" s="1" t="str">
        <f>TRIM(_xlfn.CONCAT(sales_data_sample[[#This Row],[CONTACTFIRSTNAME]],", ",sales_data_sample[[#This Row],[CONTACTLASTNAME]]))</f>
        <v>Dan, Lewis</v>
      </c>
      <c r="AA2747" s="1" t="s">
        <v>40</v>
      </c>
    </row>
    <row r="2748" spans="1:27" x14ac:dyDescent="0.25">
      <c r="A2748" s="10">
        <v>10143</v>
      </c>
      <c r="B2748" s="9">
        <v>34</v>
      </c>
      <c r="C2748" s="9">
        <v>8587</v>
      </c>
      <c r="D2748" s="9">
        <f>PRODUCT(sales_data_sample[[#This Row],[QUANTITYORDERED]],sales_data_sample[[#This Row],[PRICEEACH]])</f>
        <v>291958</v>
      </c>
      <c r="E2748" s="9">
        <f>IF(OR(sales_data_sample[[#This Row],[STATUS]]="Shipped",sales_data_sample[[#This Row],[STATUS]]="Resolved"),sales_data_sample[[#This Row],[SALES]],0)</f>
        <v>291958</v>
      </c>
      <c r="F2748" s="10">
        <v>5</v>
      </c>
      <c r="G2748" s="12" t="s">
        <v>453</v>
      </c>
      <c r="H2748" s="1" t="s">
        <v>26</v>
      </c>
      <c r="I2748">
        <v>3</v>
      </c>
      <c r="J2748">
        <v>8</v>
      </c>
      <c r="K2748">
        <v>2003</v>
      </c>
      <c r="L2748" s="1" t="s">
        <v>839</v>
      </c>
      <c r="M2748">
        <v>74</v>
      </c>
      <c r="N2748" s="1" t="s">
        <v>1014</v>
      </c>
      <c r="O2748" s="1" t="s">
        <v>454</v>
      </c>
      <c r="P2748" s="1" t="s">
        <v>455</v>
      </c>
      <c r="Q2748" s="1" t="s">
        <v>456</v>
      </c>
      <c r="R2748" s="1" t="s">
        <v>32</v>
      </c>
      <c r="S2748" s="1" t="s">
        <v>215</v>
      </c>
      <c r="T2748" s="1" t="s">
        <v>160</v>
      </c>
      <c r="U2748" s="1" t="s">
        <v>216</v>
      </c>
      <c r="V2748" s="1" t="s">
        <v>36</v>
      </c>
      <c r="W2748" s="1" t="s">
        <v>37</v>
      </c>
      <c r="X2748" s="1" t="s">
        <v>457</v>
      </c>
      <c r="Y2748" s="1" t="s">
        <v>458</v>
      </c>
      <c r="Z2748" s="1" t="str">
        <f>TRIM(_xlfn.CONCAT(sales_data_sample[[#This Row],[CONTACTFIRSTNAME]],", ",sales_data_sample[[#This Row],[CONTACTLASTNAME]]))</f>
        <v>Wing C, Tam</v>
      </c>
      <c r="AA2748" s="1" t="s">
        <v>40</v>
      </c>
    </row>
    <row r="2749" spans="1:27" x14ac:dyDescent="0.25">
      <c r="A2749" s="10">
        <v>10155</v>
      </c>
      <c r="B2749" s="9">
        <v>44</v>
      </c>
      <c r="C2749" s="9">
        <v>8587</v>
      </c>
      <c r="D2749" s="9">
        <f>PRODUCT(sales_data_sample[[#This Row],[QUANTITYORDERED]],sales_data_sample[[#This Row],[PRICEEACH]])</f>
        <v>377828</v>
      </c>
      <c r="E2749" s="9">
        <f>IF(OR(sales_data_sample[[#This Row],[STATUS]]="Shipped",sales_data_sample[[#This Row],[STATUS]]="Resolved"),sales_data_sample[[#This Row],[SALES]],0)</f>
        <v>377828</v>
      </c>
      <c r="F2749" s="10">
        <v>3</v>
      </c>
      <c r="G2749" s="12" t="s">
        <v>459</v>
      </c>
      <c r="H2749" s="1" t="s">
        <v>26</v>
      </c>
      <c r="I2749">
        <v>4</v>
      </c>
      <c r="J2749">
        <v>10</v>
      </c>
      <c r="K2749">
        <v>2003</v>
      </c>
      <c r="L2749" s="1" t="s">
        <v>839</v>
      </c>
      <c r="M2749">
        <v>74</v>
      </c>
      <c r="N2749" s="1" t="s">
        <v>1014</v>
      </c>
      <c r="O2749" s="1" t="s">
        <v>165</v>
      </c>
      <c r="P2749" s="1" t="s">
        <v>166</v>
      </c>
      <c r="Q2749" s="1" t="s">
        <v>167</v>
      </c>
      <c r="R2749" s="1" t="s">
        <v>32</v>
      </c>
      <c r="S2749" s="1" t="s">
        <v>168</v>
      </c>
      <c r="T2749" s="1" t="s">
        <v>32</v>
      </c>
      <c r="U2749" s="1" t="s">
        <v>169</v>
      </c>
      <c r="V2749" s="1" t="s">
        <v>170</v>
      </c>
      <c r="W2749" s="1" t="s">
        <v>48</v>
      </c>
      <c r="X2749" s="1" t="s">
        <v>171</v>
      </c>
      <c r="Y2749" s="1" t="s">
        <v>172</v>
      </c>
      <c r="Z2749" s="1" t="str">
        <f>TRIM(_xlfn.CONCAT(sales_data_sample[[#This Row],[CONTACTFIRSTNAME]],", ",sales_data_sample[[#This Row],[CONTACTLASTNAME]]))</f>
        <v>Matti, Karttunen</v>
      </c>
      <c r="AA2749" s="1" t="s">
        <v>59</v>
      </c>
    </row>
    <row r="2750" spans="1:27" x14ac:dyDescent="0.25">
      <c r="A2750" s="10">
        <v>10168</v>
      </c>
      <c r="B2750" s="9">
        <v>39</v>
      </c>
      <c r="C2750" s="9">
        <v>8291</v>
      </c>
      <c r="D2750" s="9">
        <f>PRODUCT(sales_data_sample[[#This Row],[QUANTITYORDERED]],sales_data_sample[[#This Row],[PRICEEACH]])</f>
        <v>323349</v>
      </c>
      <c r="E2750" s="9">
        <f>IF(OR(sales_data_sample[[#This Row],[STATUS]]="Shipped",sales_data_sample[[#This Row],[STATUS]]="Resolved"),sales_data_sample[[#This Row],[SALES]],0)</f>
        <v>323349</v>
      </c>
      <c r="F2750" s="10">
        <v>17</v>
      </c>
      <c r="G2750" s="12" t="s">
        <v>75</v>
      </c>
      <c r="H2750" s="1" t="s">
        <v>26</v>
      </c>
      <c r="I2750">
        <v>4</v>
      </c>
      <c r="J2750">
        <v>10</v>
      </c>
      <c r="K2750">
        <v>2003</v>
      </c>
      <c r="L2750" s="1" t="s">
        <v>839</v>
      </c>
      <c r="M2750">
        <v>74</v>
      </c>
      <c r="N2750" s="1" t="s">
        <v>1014</v>
      </c>
      <c r="O2750" s="1" t="s">
        <v>76</v>
      </c>
      <c r="P2750" s="1" t="s">
        <v>77</v>
      </c>
      <c r="Q2750" s="1" t="s">
        <v>78</v>
      </c>
      <c r="R2750" s="1" t="s">
        <v>32</v>
      </c>
      <c r="S2750" s="1" t="s">
        <v>79</v>
      </c>
      <c r="T2750" s="1" t="s">
        <v>65</v>
      </c>
      <c r="U2750" s="1" t="s">
        <v>80</v>
      </c>
      <c r="V2750" s="1" t="s">
        <v>36</v>
      </c>
      <c r="W2750" s="1" t="s">
        <v>37</v>
      </c>
      <c r="X2750" s="1" t="s">
        <v>81</v>
      </c>
      <c r="Y2750" s="1" t="s">
        <v>82</v>
      </c>
      <c r="Z2750" s="1" t="str">
        <f>TRIM(_xlfn.CONCAT(sales_data_sample[[#This Row],[CONTACTFIRSTNAME]],", ",sales_data_sample[[#This Row],[CONTACTLASTNAME]]))</f>
        <v>Juri, Hirano</v>
      </c>
      <c r="AA2750" s="1" t="s">
        <v>59</v>
      </c>
    </row>
    <row r="2751" spans="1:27" x14ac:dyDescent="0.25">
      <c r="A2751" s="10">
        <v>10178</v>
      </c>
      <c r="B2751" s="9">
        <v>45</v>
      </c>
      <c r="C2751" s="9">
        <v>7625</v>
      </c>
      <c r="D2751" s="9">
        <f>PRODUCT(sales_data_sample[[#This Row],[QUANTITYORDERED]],sales_data_sample[[#This Row],[PRICEEACH]])</f>
        <v>343125</v>
      </c>
      <c r="E2751" s="9">
        <f>IF(OR(sales_data_sample[[#This Row],[STATUS]]="Shipped",sales_data_sample[[#This Row],[STATUS]]="Resolved"),sales_data_sample[[#This Row],[SALES]],0)</f>
        <v>343125</v>
      </c>
      <c r="F2751" s="10">
        <v>2</v>
      </c>
      <c r="G2751" s="12" t="s">
        <v>462</v>
      </c>
      <c r="H2751" s="1" t="s">
        <v>26</v>
      </c>
      <c r="I2751">
        <v>4</v>
      </c>
      <c r="J2751">
        <v>11</v>
      </c>
      <c r="K2751">
        <v>2003</v>
      </c>
      <c r="L2751" s="1" t="s">
        <v>839</v>
      </c>
      <c r="M2751">
        <v>74</v>
      </c>
      <c r="N2751" s="1" t="s">
        <v>1014</v>
      </c>
      <c r="O2751" s="1" t="s">
        <v>463</v>
      </c>
      <c r="P2751" s="1" t="s">
        <v>464</v>
      </c>
      <c r="Q2751" s="1" t="s">
        <v>465</v>
      </c>
      <c r="R2751" s="1" t="s">
        <v>32</v>
      </c>
      <c r="S2751" s="1" t="s">
        <v>466</v>
      </c>
      <c r="T2751" s="1" t="s">
        <v>32</v>
      </c>
      <c r="U2751" s="1" t="s">
        <v>467</v>
      </c>
      <c r="V2751" s="1" t="s">
        <v>47</v>
      </c>
      <c r="W2751" s="1" t="s">
        <v>48</v>
      </c>
      <c r="X2751" s="1" t="s">
        <v>468</v>
      </c>
      <c r="Y2751" s="1" t="s">
        <v>469</v>
      </c>
      <c r="Z2751" s="1" t="str">
        <f>TRIM(_xlfn.CONCAT(sales_data_sample[[#This Row],[CONTACTFIRSTNAME]],", ",sales_data_sample[[#This Row],[CONTACTLASTNAME]]))</f>
        <v>Annette, Roulet</v>
      </c>
      <c r="AA2751" s="1" t="s">
        <v>59</v>
      </c>
    </row>
    <row r="2752" spans="1:27" x14ac:dyDescent="0.25">
      <c r="A2752" s="10">
        <v>10198</v>
      </c>
      <c r="B2752" s="9">
        <v>40</v>
      </c>
      <c r="C2752" s="9">
        <v>6367</v>
      </c>
      <c r="D2752" s="9">
        <f>PRODUCT(sales_data_sample[[#This Row],[QUANTITYORDERED]],sales_data_sample[[#This Row],[PRICEEACH]])</f>
        <v>254680</v>
      </c>
      <c r="E2752" s="9">
        <f>IF(OR(sales_data_sample[[#This Row],[STATUS]]="Shipped",sales_data_sample[[#This Row],[STATUS]]="Resolved"),sales_data_sample[[#This Row],[SALES]],0)</f>
        <v>254680</v>
      </c>
      <c r="F2752" s="10">
        <v>2</v>
      </c>
      <c r="G2752" s="12" t="s">
        <v>848</v>
      </c>
      <c r="H2752" s="1" t="s">
        <v>26</v>
      </c>
      <c r="I2752">
        <v>4</v>
      </c>
      <c r="J2752">
        <v>11</v>
      </c>
      <c r="K2752">
        <v>2003</v>
      </c>
      <c r="L2752" s="1" t="s">
        <v>839</v>
      </c>
      <c r="M2752">
        <v>74</v>
      </c>
      <c r="N2752" s="1" t="s">
        <v>1014</v>
      </c>
      <c r="O2752" s="1" t="s">
        <v>591</v>
      </c>
      <c r="P2752" s="1" t="s">
        <v>592</v>
      </c>
      <c r="Q2752" s="1" t="s">
        <v>593</v>
      </c>
      <c r="R2752" s="1" t="s">
        <v>32</v>
      </c>
      <c r="S2752" s="1" t="s">
        <v>594</v>
      </c>
      <c r="T2752" s="1" t="s">
        <v>32</v>
      </c>
      <c r="U2752" s="1" t="s">
        <v>595</v>
      </c>
      <c r="V2752" s="1" t="s">
        <v>596</v>
      </c>
      <c r="W2752" s="1" t="s">
        <v>264</v>
      </c>
      <c r="X2752" s="1" t="s">
        <v>597</v>
      </c>
      <c r="Y2752" s="1" t="s">
        <v>598</v>
      </c>
      <c r="Z2752" s="1" t="str">
        <f>TRIM(_xlfn.CONCAT(sales_data_sample[[#This Row],[CONTACTFIRSTNAME]],", ",sales_data_sample[[#This Row],[CONTACTLASTNAME]]))</f>
        <v>Arnold, Cruz</v>
      </c>
      <c r="AA2752" s="1" t="s">
        <v>40</v>
      </c>
    </row>
    <row r="2753" spans="1:27" x14ac:dyDescent="0.25">
      <c r="A2753" s="10">
        <v>10210</v>
      </c>
      <c r="B2753" s="9">
        <v>42</v>
      </c>
      <c r="C2753" s="9">
        <v>7033</v>
      </c>
      <c r="D2753" s="9">
        <f>PRODUCT(sales_data_sample[[#This Row],[QUANTITYORDERED]],sales_data_sample[[#This Row],[PRICEEACH]])</f>
        <v>295386</v>
      </c>
      <c r="E2753" s="9">
        <f>IF(OR(sales_data_sample[[#This Row],[STATUS]]="Shipped",sales_data_sample[[#This Row],[STATUS]]="Resolved"),sales_data_sample[[#This Row],[SALES]],0)</f>
        <v>295386</v>
      </c>
      <c r="F2753" s="10">
        <v>15</v>
      </c>
      <c r="G2753" s="12" t="s">
        <v>406</v>
      </c>
      <c r="H2753" s="1" t="s">
        <v>26</v>
      </c>
      <c r="I2753">
        <v>1</v>
      </c>
      <c r="J2753">
        <v>1</v>
      </c>
      <c r="K2753">
        <v>2004</v>
      </c>
      <c r="L2753" s="1" t="s">
        <v>839</v>
      </c>
      <c r="M2753">
        <v>74</v>
      </c>
      <c r="N2753" s="1" t="s">
        <v>1014</v>
      </c>
      <c r="O2753" s="1" t="s">
        <v>407</v>
      </c>
      <c r="P2753" s="1" t="s">
        <v>408</v>
      </c>
      <c r="Q2753" s="1" t="s">
        <v>409</v>
      </c>
      <c r="R2753" s="1" t="s">
        <v>32</v>
      </c>
      <c r="S2753" s="1" t="s">
        <v>410</v>
      </c>
      <c r="T2753" s="1" t="s">
        <v>410</v>
      </c>
      <c r="U2753" s="1" t="s">
        <v>411</v>
      </c>
      <c r="V2753" s="1" t="s">
        <v>264</v>
      </c>
      <c r="W2753" s="1" t="s">
        <v>264</v>
      </c>
      <c r="X2753" s="1" t="s">
        <v>412</v>
      </c>
      <c r="Y2753" s="1" t="s">
        <v>413</v>
      </c>
      <c r="Z2753" s="1" t="str">
        <f>TRIM(_xlfn.CONCAT(sales_data_sample[[#This Row],[CONTACTFIRSTNAME]],", ",sales_data_sample[[#This Row],[CONTACTLASTNAME]]))</f>
        <v>Mory, Kentary</v>
      </c>
      <c r="AA2753" s="1" t="s">
        <v>40</v>
      </c>
    </row>
    <row r="2754" spans="1:27" x14ac:dyDescent="0.25">
      <c r="A2754" s="10">
        <v>10222</v>
      </c>
      <c r="B2754" s="9">
        <v>43</v>
      </c>
      <c r="C2754" s="9">
        <v>7403</v>
      </c>
      <c r="D2754" s="9">
        <f>PRODUCT(sales_data_sample[[#This Row],[QUANTITYORDERED]],sales_data_sample[[#This Row],[PRICEEACH]])</f>
        <v>318329</v>
      </c>
      <c r="E2754" s="9">
        <f>IF(OR(sales_data_sample[[#This Row],[STATUS]]="Shipped",sales_data_sample[[#This Row],[STATUS]]="Resolved"),sales_data_sample[[#This Row],[SALES]],0)</f>
        <v>318329</v>
      </c>
      <c r="F2754" s="10">
        <v>2</v>
      </c>
      <c r="G2754" s="12" t="s">
        <v>491</v>
      </c>
      <c r="H2754" s="1" t="s">
        <v>26</v>
      </c>
      <c r="I2754">
        <v>1</v>
      </c>
      <c r="J2754">
        <v>2</v>
      </c>
      <c r="K2754">
        <v>2004</v>
      </c>
      <c r="L2754" s="1" t="s">
        <v>839</v>
      </c>
      <c r="M2754">
        <v>74</v>
      </c>
      <c r="N2754" s="1" t="s">
        <v>1014</v>
      </c>
      <c r="O2754" s="1" t="s">
        <v>492</v>
      </c>
      <c r="P2754" s="1" t="s">
        <v>493</v>
      </c>
      <c r="Q2754" s="1" t="s">
        <v>494</v>
      </c>
      <c r="R2754" s="1" t="s">
        <v>32</v>
      </c>
      <c r="S2754" s="1" t="s">
        <v>495</v>
      </c>
      <c r="T2754" s="1" t="s">
        <v>65</v>
      </c>
      <c r="U2754" s="1" t="s">
        <v>496</v>
      </c>
      <c r="V2754" s="1" t="s">
        <v>36</v>
      </c>
      <c r="W2754" s="1" t="s">
        <v>37</v>
      </c>
      <c r="X2754" s="1" t="s">
        <v>313</v>
      </c>
      <c r="Y2754" s="1" t="s">
        <v>366</v>
      </c>
      <c r="Z2754" s="1" t="str">
        <f>TRIM(_xlfn.CONCAT(sales_data_sample[[#This Row],[CONTACTFIRSTNAME]],", ",sales_data_sample[[#This Row],[CONTACTLASTNAME]]))</f>
        <v>Valarie, Thompson</v>
      </c>
      <c r="AA2754" s="1" t="s">
        <v>59</v>
      </c>
    </row>
    <row r="2755" spans="1:27" x14ac:dyDescent="0.25">
      <c r="A2755" s="10">
        <v>10235</v>
      </c>
      <c r="B2755" s="9">
        <v>34</v>
      </c>
      <c r="C2755" s="9">
        <v>7255</v>
      </c>
      <c r="D2755" s="9">
        <f>PRODUCT(sales_data_sample[[#This Row],[QUANTITYORDERED]],sales_data_sample[[#This Row],[PRICEEACH]])</f>
        <v>246670</v>
      </c>
      <c r="E2755" s="9">
        <f>IF(OR(sales_data_sample[[#This Row],[STATUS]]="Shipped",sales_data_sample[[#This Row],[STATUS]]="Resolved"),sales_data_sample[[#This Row],[SALES]],0)</f>
        <v>246670</v>
      </c>
      <c r="F2755" s="10">
        <v>11</v>
      </c>
      <c r="G2755" s="12" t="s">
        <v>892</v>
      </c>
      <c r="H2755" s="1" t="s">
        <v>26</v>
      </c>
      <c r="I2755">
        <v>2</v>
      </c>
      <c r="J2755">
        <v>4</v>
      </c>
      <c r="K2755">
        <v>2004</v>
      </c>
      <c r="L2755" s="1" t="s">
        <v>839</v>
      </c>
      <c r="M2755">
        <v>74</v>
      </c>
      <c r="N2755" s="1" t="s">
        <v>1014</v>
      </c>
      <c r="O2755" s="1" t="s">
        <v>509</v>
      </c>
      <c r="P2755" s="1" t="s">
        <v>510</v>
      </c>
      <c r="Q2755" s="1" t="s">
        <v>511</v>
      </c>
      <c r="R2755" s="1" t="s">
        <v>32</v>
      </c>
      <c r="S2755" s="1" t="s">
        <v>512</v>
      </c>
      <c r="T2755" s="1" t="s">
        <v>303</v>
      </c>
      <c r="U2755" s="1" t="s">
        <v>513</v>
      </c>
      <c r="V2755" s="1" t="s">
        <v>305</v>
      </c>
      <c r="W2755" s="1" t="s">
        <v>37</v>
      </c>
      <c r="X2755" s="1" t="s">
        <v>514</v>
      </c>
      <c r="Y2755" s="1" t="s">
        <v>227</v>
      </c>
      <c r="Z2755" s="1" t="str">
        <f>TRIM(_xlfn.CONCAT(sales_data_sample[[#This Row],[CONTACTFIRSTNAME]],", ",sales_data_sample[[#This Row],[CONTACTLASTNAME]]))</f>
        <v>Elizabeth, Lincoln</v>
      </c>
      <c r="AA2755" s="1" t="s">
        <v>40</v>
      </c>
    </row>
    <row r="2756" spans="1:27" x14ac:dyDescent="0.25">
      <c r="A2756" s="10">
        <v>10250</v>
      </c>
      <c r="B2756" s="9">
        <v>38</v>
      </c>
      <c r="C2756" s="9">
        <v>6219</v>
      </c>
      <c r="D2756" s="9">
        <f>PRODUCT(sales_data_sample[[#This Row],[QUANTITYORDERED]],sales_data_sample[[#This Row],[PRICEEACH]])</f>
        <v>236322</v>
      </c>
      <c r="E2756" s="9">
        <f>IF(OR(sales_data_sample[[#This Row],[STATUS]]="Shipped",sales_data_sample[[#This Row],[STATUS]]="Resolved"),sales_data_sample[[#This Row],[SALES]],0)</f>
        <v>236322</v>
      </c>
      <c r="F2756" s="10">
        <v>12</v>
      </c>
      <c r="G2756" s="12" t="s">
        <v>849</v>
      </c>
      <c r="H2756" s="1" t="s">
        <v>26</v>
      </c>
      <c r="I2756">
        <v>2</v>
      </c>
      <c r="J2756">
        <v>5</v>
      </c>
      <c r="K2756">
        <v>2004</v>
      </c>
      <c r="L2756" s="1" t="s">
        <v>839</v>
      </c>
      <c r="M2756">
        <v>74</v>
      </c>
      <c r="N2756" s="1" t="s">
        <v>1014</v>
      </c>
      <c r="O2756" s="1" t="s">
        <v>547</v>
      </c>
      <c r="P2756" s="1" t="s">
        <v>548</v>
      </c>
      <c r="Q2756" s="1" t="s">
        <v>549</v>
      </c>
      <c r="R2756" s="1" t="s">
        <v>32</v>
      </c>
      <c r="S2756" s="1" t="s">
        <v>550</v>
      </c>
      <c r="T2756" s="1" t="s">
        <v>65</v>
      </c>
      <c r="U2756" s="1" t="s">
        <v>80</v>
      </c>
      <c r="V2756" s="1" t="s">
        <v>36</v>
      </c>
      <c r="W2756" s="1" t="s">
        <v>37</v>
      </c>
      <c r="X2756" s="1" t="s">
        <v>129</v>
      </c>
      <c r="Y2756" s="1" t="s">
        <v>551</v>
      </c>
      <c r="Z2756" s="1" t="str">
        <f>TRIM(_xlfn.CONCAT(sales_data_sample[[#This Row],[CONTACTFIRSTNAME]],", ",sales_data_sample[[#This Row],[CONTACTLASTNAME]]))</f>
        <v>Sue, Frick</v>
      </c>
      <c r="AA2756" s="1" t="s">
        <v>40</v>
      </c>
    </row>
    <row r="2757" spans="1:27" x14ac:dyDescent="0.25">
      <c r="A2757" s="10">
        <v>10262</v>
      </c>
      <c r="B2757" s="9">
        <v>35</v>
      </c>
      <c r="C2757" s="9">
        <v>7107</v>
      </c>
      <c r="D2757" s="9">
        <f>PRODUCT(sales_data_sample[[#This Row],[QUANTITYORDERED]],sales_data_sample[[#This Row],[PRICEEACH]])</f>
        <v>248745</v>
      </c>
      <c r="E2757" s="9">
        <f>IF(OR(sales_data_sample[[#This Row],[STATUS]]="Shipped",sales_data_sample[[#This Row],[STATUS]]="Resolved"),sales_data_sample[[#This Row],[SALES]],0)</f>
        <v>0</v>
      </c>
      <c r="F2757" s="10">
        <v>7</v>
      </c>
      <c r="G2757" s="12" t="s">
        <v>850</v>
      </c>
      <c r="H2757" s="1" t="s">
        <v>461</v>
      </c>
      <c r="I2757">
        <v>2</v>
      </c>
      <c r="J2757">
        <v>6</v>
      </c>
      <c r="K2757">
        <v>2004</v>
      </c>
      <c r="L2757" s="1" t="s">
        <v>839</v>
      </c>
      <c r="M2757">
        <v>74</v>
      </c>
      <c r="N2757" s="1" t="s">
        <v>1014</v>
      </c>
      <c r="O2757" s="1" t="s">
        <v>230</v>
      </c>
      <c r="P2757" s="1" t="s">
        <v>231</v>
      </c>
      <c r="Q2757" s="1" t="s">
        <v>232</v>
      </c>
      <c r="R2757" s="1" t="s">
        <v>32</v>
      </c>
      <c r="S2757" s="1" t="s">
        <v>233</v>
      </c>
      <c r="T2757" s="1" t="s">
        <v>32</v>
      </c>
      <c r="U2757" s="1" t="s">
        <v>234</v>
      </c>
      <c r="V2757" s="1" t="s">
        <v>235</v>
      </c>
      <c r="W2757" s="1" t="s">
        <v>48</v>
      </c>
      <c r="X2757" s="1" t="s">
        <v>236</v>
      </c>
      <c r="Y2757" s="1" t="s">
        <v>237</v>
      </c>
      <c r="Z2757" s="1" t="str">
        <f>TRIM(_xlfn.CONCAT(sales_data_sample[[#This Row],[CONTACTFIRSTNAME]],", ",sales_data_sample[[#This Row],[CONTACTLASTNAME]]))</f>
        <v>Diego, Freyre</v>
      </c>
      <c r="AA2757" s="1" t="s">
        <v>40</v>
      </c>
    </row>
    <row r="2758" spans="1:27" x14ac:dyDescent="0.25">
      <c r="A2758" s="10">
        <v>10275</v>
      </c>
      <c r="B2758" s="9">
        <v>31</v>
      </c>
      <c r="C2758" s="9">
        <v>7255</v>
      </c>
      <c r="D2758" s="9">
        <f>PRODUCT(sales_data_sample[[#This Row],[QUANTITYORDERED]],sales_data_sample[[#This Row],[PRICEEACH]])</f>
        <v>224905</v>
      </c>
      <c r="E2758" s="9">
        <f>IF(OR(sales_data_sample[[#This Row],[STATUS]]="Shipped",sales_data_sample[[#This Row],[STATUS]]="Resolved"),sales_data_sample[[#This Row],[SALES]],0)</f>
        <v>224905</v>
      </c>
      <c r="F2758" s="10">
        <v>17</v>
      </c>
      <c r="G2758" s="12" t="s">
        <v>147</v>
      </c>
      <c r="H2758" s="1" t="s">
        <v>26</v>
      </c>
      <c r="I2758">
        <v>3</v>
      </c>
      <c r="J2758">
        <v>7</v>
      </c>
      <c r="K2758">
        <v>2004</v>
      </c>
      <c r="L2758" s="1" t="s">
        <v>839</v>
      </c>
      <c r="M2758">
        <v>74</v>
      </c>
      <c r="N2758" s="1" t="s">
        <v>1014</v>
      </c>
      <c r="O2758" s="1" t="s">
        <v>148</v>
      </c>
      <c r="P2758" s="1" t="s">
        <v>149</v>
      </c>
      <c r="Q2758" s="1" t="s">
        <v>150</v>
      </c>
      <c r="R2758" s="1" t="s">
        <v>32</v>
      </c>
      <c r="S2758" s="1" t="s">
        <v>151</v>
      </c>
      <c r="T2758" s="1" t="s">
        <v>32</v>
      </c>
      <c r="U2758" s="1" t="s">
        <v>152</v>
      </c>
      <c r="V2758" s="1" t="s">
        <v>47</v>
      </c>
      <c r="W2758" s="1" t="s">
        <v>48</v>
      </c>
      <c r="X2758" s="1" t="s">
        <v>153</v>
      </c>
      <c r="Y2758" s="1" t="s">
        <v>154</v>
      </c>
      <c r="Z2758" s="1" t="str">
        <f>TRIM(_xlfn.CONCAT(sales_data_sample[[#This Row],[CONTACTFIRSTNAME]],", ",sales_data_sample[[#This Row],[CONTACTLASTNAME]]))</f>
        <v>Janine, Labrune</v>
      </c>
      <c r="AA2758" s="1" t="s">
        <v>40</v>
      </c>
    </row>
    <row r="2759" spans="1:27" x14ac:dyDescent="0.25">
      <c r="A2759" s="10">
        <v>10284</v>
      </c>
      <c r="B2759" s="9">
        <v>32</v>
      </c>
      <c r="C2759" s="9">
        <v>6441</v>
      </c>
      <c r="D2759" s="9">
        <f>PRODUCT(sales_data_sample[[#This Row],[QUANTITYORDERED]],sales_data_sample[[#This Row],[PRICEEACH]])</f>
        <v>206112</v>
      </c>
      <c r="E2759" s="9">
        <f>IF(OR(sales_data_sample[[#This Row],[STATUS]]="Shipped",sales_data_sample[[#This Row],[STATUS]]="Resolved"),sales_data_sample[[#This Row],[SALES]],0)</f>
        <v>206112</v>
      </c>
      <c r="F2759" s="10">
        <v>9</v>
      </c>
      <c r="G2759" s="12" t="s">
        <v>851</v>
      </c>
      <c r="H2759" s="1" t="s">
        <v>26</v>
      </c>
      <c r="I2759">
        <v>3</v>
      </c>
      <c r="J2759">
        <v>8</v>
      </c>
      <c r="K2759">
        <v>2004</v>
      </c>
      <c r="L2759" s="1" t="s">
        <v>839</v>
      </c>
      <c r="M2759">
        <v>74</v>
      </c>
      <c r="N2759" s="1" t="s">
        <v>1014</v>
      </c>
      <c r="O2759" s="1" t="s">
        <v>786</v>
      </c>
      <c r="P2759" s="1" t="s">
        <v>787</v>
      </c>
      <c r="Q2759" s="1" t="s">
        <v>788</v>
      </c>
      <c r="R2759" s="1" t="s">
        <v>32</v>
      </c>
      <c r="S2759" s="1" t="s">
        <v>789</v>
      </c>
      <c r="T2759" s="1" t="s">
        <v>32</v>
      </c>
      <c r="U2759" s="1" t="s">
        <v>790</v>
      </c>
      <c r="V2759" s="1" t="s">
        <v>97</v>
      </c>
      <c r="W2759" s="1" t="s">
        <v>48</v>
      </c>
      <c r="X2759" s="1" t="s">
        <v>791</v>
      </c>
      <c r="Y2759" s="1" t="s">
        <v>792</v>
      </c>
      <c r="Z2759" s="1" t="str">
        <f>TRIM(_xlfn.CONCAT(sales_data_sample[[#This Row],[CONTACTFIRSTNAME]],", ",sales_data_sample[[#This Row],[CONTACTLASTNAME]]))</f>
        <v>Jan, Klaeboe</v>
      </c>
      <c r="AA2759" s="1" t="s">
        <v>40</v>
      </c>
    </row>
    <row r="2760" spans="1:27" x14ac:dyDescent="0.25">
      <c r="A2760" s="10">
        <v>10296</v>
      </c>
      <c r="B2760" s="9">
        <v>47</v>
      </c>
      <c r="C2760" s="9">
        <v>8662</v>
      </c>
      <c r="D2760" s="9">
        <f>PRODUCT(sales_data_sample[[#This Row],[QUANTITYORDERED]],sales_data_sample[[#This Row],[PRICEEACH]])</f>
        <v>407114</v>
      </c>
      <c r="E2760" s="9">
        <f>IF(OR(sales_data_sample[[#This Row],[STATUS]]="Shipped",sales_data_sample[[#This Row],[STATUS]]="Resolved"),sales_data_sample[[#This Row],[SALES]],0)</f>
        <v>407114</v>
      </c>
      <c r="F2760" s="10">
        <v>5</v>
      </c>
      <c r="G2760" s="12" t="s">
        <v>852</v>
      </c>
      <c r="H2760" s="1" t="s">
        <v>26</v>
      </c>
      <c r="I2760">
        <v>3</v>
      </c>
      <c r="J2760">
        <v>9</v>
      </c>
      <c r="K2760">
        <v>2004</v>
      </c>
      <c r="L2760" s="1" t="s">
        <v>839</v>
      </c>
      <c r="M2760">
        <v>74</v>
      </c>
      <c r="N2760" s="1" t="s">
        <v>1014</v>
      </c>
      <c r="O2760" s="1" t="s">
        <v>853</v>
      </c>
      <c r="P2760" s="1" t="s">
        <v>854</v>
      </c>
      <c r="Q2760" s="1" t="s">
        <v>855</v>
      </c>
      <c r="R2760" s="1" t="s">
        <v>32</v>
      </c>
      <c r="S2760" s="1" t="s">
        <v>856</v>
      </c>
      <c r="T2760" s="1" t="s">
        <v>32</v>
      </c>
      <c r="U2760" s="1" t="s">
        <v>857</v>
      </c>
      <c r="V2760" s="1" t="s">
        <v>617</v>
      </c>
      <c r="W2760" s="1" t="s">
        <v>48</v>
      </c>
      <c r="X2760" s="1" t="s">
        <v>858</v>
      </c>
      <c r="Y2760" s="1" t="s">
        <v>130</v>
      </c>
      <c r="Z2760" s="1" t="str">
        <f>TRIM(_xlfn.CONCAT(sales_data_sample[[#This Row],[CONTACTFIRSTNAME]],", ",sales_data_sample[[#This Row],[CONTACTLASTNAME]]))</f>
        <v>Michael, Donnermeyer</v>
      </c>
      <c r="AA2760" s="1" t="s">
        <v>59</v>
      </c>
    </row>
    <row r="2761" spans="1:27" x14ac:dyDescent="0.25">
      <c r="A2761" s="10">
        <v>10308</v>
      </c>
      <c r="B2761" s="9">
        <v>39</v>
      </c>
      <c r="C2761" s="9">
        <v>6811</v>
      </c>
      <c r="D2761" s="9">
        <f>PRODUCT(sales_data_sample[[#This Row],[QUANTITYORDERED]],sales_data_sample[[#This Row],[PRICEEACH]])</f>
        <v>265629</v>
      </c>
      <c r="E2761" s="9">
        <f>IF(OR(sales_data_sample[[#This Row],[STATUS]]="Shipped",sales_data_sample[[#This Row],[STATUS]]="Resolved"),sales_data_sample[[#This Row],[SALES]],0)</f>
        <v>265629</v>
      </c>
      <c r="F2761" s="10">
        <v>15</v>
      </c>
      <c r="G2761" s="12" t="s">
        <v>173</v>
      </c>
      <c r="H2761" s="1" t="s">
        <v>26</v>
      </c>
      <c r="I2761">
        <v>4</v>
      </c>
      <c r="J2761">
        <v>10</v>
      </c>
      <c r="K2761">
        <v>2004</v>
      </c>
      <c r="L2761" s="1" t="s">
        <v>839</v>
      </c>
      <c r="M2761">
        <v>74</v>
      </c>
      <c r="N2761" s="1" t="s">
        <v>1014</v>
      </c>
      <c r="O2761" s="1" t="s">
        <v>425</v>
      </c>
      <c r="P2761" s="1" t="s">
        <v>426</v>
      </c>
      <c r="Q2761" s="1" t="s">
        <v>427</v>
      </c>
      <c r="R2761" s="1" t="s">
        <v>32</v>
      </c>
      <c r="S2761" s="1" t="s">
        <v>428</v>
      </c>
      <c r="T2761" s="1" t="s">
        <v>34</v>
      </c>
      <c r="U2761" s="1" t="s">
        <v>429</v>
      </c>
      <c r="V2761" s="1" t="s">
        <v>36</v>
      </c>
      <c r="W2761" s="1" t="s">
        <v>37</v>
      </c>
      <c r="X2761" s="1" t="s">
        <v>129</v>
      </c>
      <c r="Y2761" s="1" t="s">
        <v>314</v>
      </c>
      <c r="Z2761" s="1" t="str">
        <f>TRIM(_xlfn.CONCAT(sales_data_sample[[#This Row],[CONTACTFIRSTNAME]],", ",sales_data_sample[[#This Row],[CONTACTLASTNAME]]))</f>
        <v>Steve, Frick</v>
      </c>
      <c r="AA2761" s="1" t="s">
        <v>40</v>
      </c>
    </row>
    <row r="2762" spans="1:27" x14ac:dyDescent="0.25">
      <c r="A2762" s="10">
        <v>10316</v>
      </c>
      <c r="B2762" s="9">
        <v>44</v>
      </c>
      <c r="C2762" s="9">
        <v>6219</v>
      </c>
      <c r="D2762" s="9">
        <f>PRODUCT(sales_data_sample[[#This Row],[QUANTITYORDERED]],sales_data_sample[[#This Row],[PRICEEACH]])</f>
        <v>273636</v>
      </c>
      <c r="E2762" s="9">
        <f>IF(OR(sales_data_sample[[#This Row],[STATUS]]="Shipped",sales_data_sample[[#This Row],[STATUS]]="Resolved"),sales_data_sample[[#This Row],[SALES]],0)</f>
        <v>273636</v>
      </c>
      <c r="F2762" s="10">
        <v>7</v>
      </c>
      <c r="G2762" s="12" t="s">
        <v>523</v>
      </c>
      <c r="H2762" s="1" t="s">
        <v>26</v>
      </c>
      <c r="I2762">
        <v>4</v>
      </c>
      <c r="J2762">
        <v>11</v>
      </c>
      <c r="K2762">
        <v>2004</v>
      </c>
      <c r="L2762" s="1" t="s">
        <v>839</v>
      </c>
      <c r="M2762">
        <v>74</v>
      </c>
      <c r="N2762" s="1" t="s">
        <v>1014</v>
      </c>
      <c r="O2762" s="1" t="s">
        <v>524</v>
      </c>
      <c r="P2762" s="1" t="s">
        <v>525</v>
      </c>
      <c r="Q2762" s="1" t="s">
        <v>526</v>
      </c>
      <c r="R2762" s="1" t="s">
        <v>32</v>
      </c>
      <c r="S2762" s="1" t="s">
        <v>527</v>
      </c>
      <c r="T2762" s="1" t="s">
        <v>528</v>
      </c>
      <c r="U2762" s="1" t="s">
        <v>529</v>
      </c>
      <c r="V2762" s="1" t="s">
        <v>225</v>
      </c>
      <c r="W2762" s="1" t="s">
        <v>48</v>
      </c>
      <c r="X2762" s="1" t="s">
        <v>530</v>
      </c>
      <c r="Y2762" s="1" t="s">
        <v>531</v>
      </c>
      <c r="Z2762" s="1" t="str">
        <f>TRIM(_xlfn.CONCAT(sales_data_sample[[#This Row],[CONTACTFIRSTNAME]],", ",sales_data_sample[[#This Row],[CONTACTLASTNAME]]))</f>
        <v>Helen, Bennett</v>
      </c>
      <c r="AA2762" s="1" t="s">
        <v>40</v>
      </c>
    </row>
    <row r="2763" spans="1:27" x14ac:dyDescent="0.25">
      <c r="A2763" s="10">
        <v>10328</v>
      </c>
      <c r="B2763" s="9">
        <v>39</v>
      </c>
      <c r="C2763" s="9">
        <v>8587</v>
      </c>
      <c r="D2763" s="9">
        <f>PRODUCT(sales_data_sample[[#This Row],[QUANTITYORDERED]],sales_data_sample[[#This Row],[PRICEEACH]])</f>
        <v>334893</v>
      </c>
      <c r="E2763" s="9">
        <f>IF(OR(sales_data_sample[[#This Row],[STATUS]]="Shipped",sales_data_sample[[#This Row],[STATUS]]="Resolved"),sales_data_sample[[#This Row],[SALES]],0)</f>
        <v>334893</v>
      </c>
      <c r="F2763" s="10">
        <v>12</v>
      </c>
      <c r="G2763" s="12" t="s">
        <v>936</v>
      </c>
      <c r="H2763" s="1" t="s">
        <v>26</v>
      </c>
      <c r="I2763">
        <v>4</v>
      </c>
      <c r="J2763">
        <v>11</v>
      </c>
      <c r="K2763">
        <v>2004</v>
      </c>
      <c r="L2763" s="1" t="s">
        <v>839</v>
      </c>
      <c r="M2763">
        <v>74</v>
      </c>
      <c r="N2763" s="1" t="s">
        <v>1014</v>
      </c>
      <c r="O2763" s="1" t="s">
        <v>806</v>
      </c>
      <c r="P2763" s="1" t="s">
        <v>807</v>
      </c>
      <c r="Q2763" s="1" t="s">
        <v>808</v>
      </c>
      <c r="R2763" s="1" t="s">
        <v>32</v>
      </c>
      <c r="S2763" s="1" t="s">
        <v>809</v>
      </c>
      <c r="T2763" s="1" t="s">
        <v>32</v>
      </c>
      <c r="U2763" s="1" t="s">
        <v>810</v>
      </c>
      <c r="V2763" s="1" t="s">
        <v>343</v>
      </c>
      <c r="W2763" s="1" t="s">
        <v>48</v>
      </c>
      <c r="X2763" s="1" t="s">
        <v>811</v>
      </c>
      <c r="Y2763" s="1" t="s">
        <v>812</v>
      </c>
      <c r="Z2763" s="1" t="str">
        <f>TRIM(_xlfn.CONCAT(sales_data_sample[[#This Row],[CONTACTFIRSTNAME]],", ",sales_data_sample[[#This Row],[CONTACTLASTNAME]]))</f>
        <v>Giovanni, Rovelli</v>
      </c>
      <c r="AA2763" s="1" t="s">
        <v>59</v>
      </c>
    </row>
    <row r="2764" spans="1:27" x14ac:dyDescent="0.25">
      <c r="A2764" s="10">
        <v>10339</v>
      </c>
      <c r="B2764" s="9">
        <v>50</v>
      </c>
      <c r="C2764" s="9">
        <v>5786</v>
      </c>
      <c r="D2764" s="9">
        <f>PRODUCT(sales_data_sample[[#This Row],[QUANTITYORDERED]],sales_data_sample[[#This Row],[PRICEEACH]])</f>
        <v>289300</v>
      </c>
      <c r="E2764" s="9">
        <f>IF(OR(sales_data_sample[[#This Row],[STATUS]]="Shipped",sales_data_sample[[#This Row],[STATUS]]="Resolved"),sales_data_sample[[#This Row],[SALES]],0)</f>
        <v>289300</v>
      </c>
      <c r="F2764" s="10">
        <v>8</v>
      </c>
      <c r="G2764" s="12" t="s">
        <v>430</v>
      </c>
      <c r="H2764" s="1" t="s">
        <v>26</v>
      </c>
      <c r="I2764">
        <v>4</v>
      </c>
      <c r="J2764">
        <v>11</v>
      </c>
      <c r="K2764">
        <v>2004</v>
      </c>
      <c r="L2764" s="1" t="s">
        <v>839</v>
      </c>
      <c r="M2764">
        <v>74</v>
      </c>
      <c r="N2764" s="1" t="s">
        <v>1014</v>
      </c>
      <c r="O2764" s="1" t="s">
        <v>328</v>
      </c>
      <c r="P2764" s="1" t="s">
        <v>329</v>
      </c>
      <c r="Q2764" s="1" t="s">
        <v>330</v>
      </c>
      <c r="R2764" s="1" t="s">
        <v>32</v>
      </c>
      <c r="S2764" s="1" t="s">
        <v>331</v>
      </c>
      <c r="T2764" s="1" t="s">
        <v>332</v>
      </c>
      <c r="U2764" s="1" t="s">
        <v>333</v>
      </c>
      <c r="V2764" s="1" t="s">
        <v>264</v>
      </c>
      <c r="W2764" s="1" t="s">
        <v>264</v>
      </c>
      <c r="X2764" s="1" t="s">
        <v>334</v>
      </c>
      <c r="Y2764" s="1" t="s">
        <v>335</v>
      </c>
      <c r="Z2764" s="1" t="str">
        <f>TRIM(_xlfn.CONCAT(sales_data_sample[[#This Row],[CONTACTFIRSTNAME]],", ",sales_data_sample[[#This Row],[CONTACTLASTNAME]]))</f>
        <v>Akiko, Shimamura</v>
      </c>
      <c r="AA2764" s="1" t="s">
        <v>40</v>
      </c>
    </row>
    <row r="2765" spans="1:27" x14ac:dyDescent="0.25">
      <c r="A2765" s="10">
        <v>10352</v>
      </c>
      <c r="B2765" s="9">
        <v>22</v>
      </c>
      <c r="C2765" s="9">
        <v>7551</v>
      </c>
      <c r="D2765" s="9">
        <f>PRODUCT(sales_data_sample[[#This Row],[QUANTITYORDERED]],sales_data_sample[[#This Row],[PRICEEACH]])</f>
        <v>166122</v>
      </c>
      <c r="E2765" s="9">
        <f>IF(OR(sales_data_sample[[#This Row],[STATUS]]="Shipped",sales_data_sample[[#This Row],[STATUS]]="Resolved"),sales_data_sample[[#This Row],[SALES]],0)</f>
        <v>166122</v>
      </c>
      <c r="F2765" s="10">
        <v>1</v>
      </c>
      <c r="G2765" s="12" t="s">
        <v>868</v>
      </c>
      <c r="H2765" s="1" t="s">
        <v>26</v>
      </c>
      <c r="I2765">
        <v>4</v>
      </c>
      <c r="J2765">
        <v>12</v>
      </c>
      <c r="K2765">
        <v>2004</v>
      </c>
      <c r="L2765" s="1" t="s">
        <v>839</v>
      </c>
      <c r="M2765">
        <v>74</v>
      </c>
      <c r="N2765" s="1" t="s">
        <v>1014</v>
      </c>
      <c r="O2765" s="1" t="s">
        <v>907</v>
      </c>
      <c r="P2765" s="1" t="s">
        <v>908</v>
      </c>
      <c r="Q2765" s="1" t="s">
        <v>909</v>
      </c>
      <c r="R2765" s="1" t="s">
        <v>32</v>
      </c>
      <c r="S2765" s="1" t="s">
        <v>380</v>
      </c>
      <c r="T2765" s="1" t="s">
        <v>160</v>
      </c>
      <c r="U2765" s="1" t="s">
        <v>381</v>
      </c>
      <c r="V2765" s="1" t="s">
        <v>36</v>
      </c>
      <c r="W2765" s="1" t="s">
        <v>37</v>
      </c>
      <c r="X2765" s="1" t="s">
        <v>757</v>
      </c>
      <c r="Y2765" s="1" t="s">
        <v>326</v>
      </c>
      <c r="Z2765" s="1" t="str">
        <f>TRIM(_xlfn.CONCAT(sales_data_sample[[#This Row],[CONTACTFIRSTNAME]],", ",sales_data_sample[[#This Row],[CONTACTLASTNAME]]))</f>
        <v>Leslie, Taylor</v>
      </c>
      <c r="AA2765" s="1" t="s">
        <v>40</v>
      </c>
    </row>
    <row r="2766" spans="1:27" x14ac:dyDescent="0.25">
      <c r="A2766">
        <v>10361</v>
      </c>
      <c r="B2766">
        <v>35</v>
      </c>
      <c r="C2766">
        <v>100</v>
      </c>
      <c r="D2766">
        <f>PRODUCT(sales_data_sample[[#This Row],[QUANTITYORDERED]],sales_data_sample[[#This Row],[PRICEEACH]])</f>
        <v>3500</v>
      </c>
      <c r="E2766" s="9">
        <f>IF(OR(sales_data_sample[[#This Row],[STATUS]]="Shipped",sales_data_sample[[#This Row],[STATUS]]="Resolved"),sales_data_sample[[#This Row],[SALES]],0)</f>
        <v>3500</v>
      </c>
      <c r="F2766">
        <v>11</v>
      </c>
      <c r="G2766" s="12" t="s">
        <v>200</v>
      </c>
      <c r="H2766" s="1" t="s">
        <v>26</v>
      </c>
      <c r="I2766">
        <v>4</v>
      </c>
      <c r="J2766">
        <v>12</v>
      </c>
      <c r="K2766">
        <v>2004</v>
      </c>
      <c r="L2766" s="1" t="s">
        <v>839</v>
      </c>
      <c r="M2766">
        <v>74</v>
      </c>
      <c r="N2766" s="1" t="s">
        <v>1014</v>
      </c>
      <c r="O2766" s="1" t="s">
        <v>201</v>
      </c>
      <c r="P2766" s="1" t="s">
        <v>202</v>
      </c>
      <c r="Q2766" s="1" t="s">
        <v>203</v>
      </c>
      <c r="R2766" s="1" t="s">
        <v>204</v>
      </c>
      <c r="S2766" s="1" t="s">
        <v>205</v>
      </c>
      <c r="T2766" s="1" t="s">
        <v>206</v>
      </c>
      <c r="U2766" s="1" t="s">
        <v>207</v>
      </c>
      <c r="V2766" s="1" t="s">
        <v>120</v>
      </c>
      <c r="W2766" s="1" t="s">
        <v>121</v>
      </c>
      <c r="X2766" s="1" t="s">
        <v>208</v>
      </c>
      <c r="Y2766" s="1" t="s">
        <v>209</v>
      </c>
      <c r="Z2766" s="1" t="str">
        <f>TRIM(_xlfn.CONCAT(sales_data_sample[[#This Row],[CONTACTFIRSTNAME]],", ",sales_data_sample[[#This Row],[CONTACTLASTNAME]]))</f>
        <v>Adrian, Huxley</v>
      </c>
      <c r="AA2766" s="1" t="s">
        <v>59</v>
      </c>
    </row>
    <row r="2767" spans="1:27" x14ac:dyDescent="0.25">
      <c r="A2767" s="10">
        <v>10373</v>
      </c>
      <c r="B2767" s="9">
        <v>45</v>
      </c>
      <c r="C2767" s="9">
        <v>5562</v>
      </c>
      <c r="D2767" s="9">
        <f>PRODUCT(sales_data_sample[[#This Row],[QUANTITYORDERED]],sales_data_sample[[#This Row],[PRICEEACH]])</f>
        <v>250290</v>
      </c>
      <c r="E2767" s="9">
        <f>IF(OR(sales_data_sample[[#This Row],[STATUS]]="Shipped",sales_data_sample[[#This Row],[STATUS]]="Resolved"),sales_data_sample[[#This Row],[SALES]],0)</f>
        <v>250290</v>
      </c>
      <c r="F2767" s="10">
        <v>17</v>
      </c>
      <c r="G2767" s="12" t="s">
        <v>536</v>
      </c>
      <c r="H2767" s="1" t="s">
        <v>26</v>
      </c>
      <c r="I2767">
        <v>1</v>
      </c>
      <c r="J2767">
        <v>1</v>
      </c>
      <c r="K2767">
        <v>2005</v>
      </c>
      <c r="L2767" s="1" t="s">
        <v>839</v>
      </c>
      <c r="M2767">
        <v>74</v>
      </c>
      <c r="N2767" s="1" t="s">
        <v>1014</v>
      </c>
      <c r="O2767" s="1" t="s">
        <v>537</v>
      </c>
      <c r="P2767" s="1" t="s">
        <v>538</v>
      </c>
      <c r="Q2767" s="1" t="s">
        <v>539</v>
      </c>
      <c r="R2767" s="1" t="s">
        <v>32</v>
      </c>
      <c r="S2767" s="1" t="s">
        <v>540</v>
      </c>
      <c r="T2767" s="1" t="s">
        <v>32</v>
      </c>
      <c r="U2767" s="1" t="s">
        <v>541</v>
      </c>
      <c r="V2767" s="1" t="s">
        <v>170</v>
      </c>
      <c r="W2767" s="1" t="s">
        <v>48</v>
      </c>
      <c r="X2767" s="1" t="s">
        <v>542</v>
      </c>
      <c r="Y2767" s="1" t="s">
        <v>543</v>
      </c>
      <c r="Z2767" s="1" t="str">
        <f>TRIM(_xlfn.CONCAT(sales_data_sample[[#This Row],[CONTACTFIRSTNAME]],", ",sales_data_sample[[#This Row],[CONTACTLASTNAME]]))</f>
        <v>Pirkko, Koskitalo</v>
      </c>
      <c r="AA2767" s="1" t="s">
        <v>40</v>
      </c>
    </row>
    <row r="2768" spans="1:27" x14ac:dyDescent="0.25">
      <c r="A2768" s="10">
        <v>10386</v>
      </c>
      <c r="B2768" s="9">
        <v>44</v>
      </c>
      <c r="C2768" s="9">
        <v>864</v>
      </c>
      <c r="D2768" s="9">
        <f>PRODUCT(sales_data_sample[[#This Row],[QUANTITYORDERED]],sales_data_sample[[#This Row],[PRICEEACH]])</f>
        <v>38016</v>
      </c>
      <c r="E2768" s="9">
        <f>IF(OR(sales_data_sample[[#This Row],[STATUS]]="Shipped",sales_data_sample[[#This Row],[STATUS]]="Resolved"),sales_data_sample[[#This Row],[SALES]],0)</f>
        <v>38016</v>
      </c>
      <c r="F2768" s="10">
        <v>15</v>
      </c>
      <c r="G2768" s="12" t="s">
        <v>869</v>
      </c>
      <c r="H2768" s="1" t="s">
        <v>563</v>
      </c>
      <c r="I2768">
        <v>1</v>
      </c>
      <c r="J2768">
        <v>3</v>
      </c>
      <c r="K2768">
        <v>2005</v>
      </c>
      <c r="L2768" s="1" t="s">
        <v>839</v>
      </c>
      <c r="M2768">
        <v>74</v>
      </c>
      <c r="N2768" s="1" t="s">
        <v>1014</v>
      </c>
      <c r="O2768" s="1" t="s">
        <v>230</v>
      </c>
      <c r="P2768" s="1" t="s">
        <v>231</v>
      </c>
      <c r="Q2768" s="1" t="s">
        <v>232</v>
      </c>
      <c r="R2768" s="1" t="s">
        <v>32</v>
      </c>
      <c r="S2768" s="1" t="s">
        <v>233</v>
      </c>
      <c r="T2768" s="1" t="s">
        <v>32</v>
      </c>
      <c r="U2768" s="1" t="s">
        <v>234</v>
      </c>
      <c r="V2768" s="1" t="s">
        <v>235</v>
      </c>
      <c r="W2768" s="1" t="s">
        <v>48</v>
      </c>
      <c r="X2768" s="1" t="s">
        <v>236</v>
      </c>
      <c r="Y2768" s="1" t="s">
        <v>237</v>
      </c>
      <c r="Z2768" s="1" t="str">
        <f>TRIM(_xlfn.CONCAT(sales_data_sample[[#This Row],[CONTACTFIRSTNAME]],", ",sales_data_sample[[#This Row],[CONTACTLASTNAME]]))</f>
        <v>Diego, Freyre</v>
      </c>
      <c r="AA2768" s="1" t="s">
        <v>59</v>
      </c>
    </row>
    <row r="2769" spans="1:27" x14ac:dyDescent="0.25">
      <c r="A2769" s="10">
        <v>10398</v>
      </c>
      <c r="B2769" s="9">
        <v>36</v>
      </c>
      <c r="C2769" s="9">
        <v>8736</v>
      </c>
      <c r="D2769" s="9">
        <f>PRODUCT(sales_data_sample[[#This Row],[QUANTITYORDERED]],sales_data_sample[[#This Row],[PRICEEACH]])</f>
        <v>314496</v>
      </c>
      <c r="E2769" s="9">
        <f>IF(OR(sales_data_sample[[#This Row],[STATUS]]="Shipped",sales_data_sample[[#This Row],[STATUS]]="Resolved"),sales_data_sample[[#This Row],[SALES]],0)</f>
        <v>314496</v>
      </c>
      <c r="F2769" s="10">
        <v>12</v>
      </c>
      <c r="G2769" s="12" t="s">
        <v>870</v>
      </c>
      <c r="H2769" s="1" t="s">
        <v>26</v>
      </c>
      <c r="I2769">
        <v>1</v>
      </c>
      <c r="J2769">
        <v>3</v>
      </c>
      <c r="K2769">
        <v>2005</v>
      </c>
      <c r="L2769" s="1" t="s">
        <v>839</v>
      </c>
      <c r="M2769">
        <v>74</v>
      </c>
      <c r="N2769" s="1" t="s">
        <v>1014</v>
      </c>
      <c r="O2769" s="1" t="s">
        <v>42</v>
      </c>
      <c r="P2769" s="1" t="s">
        <v>43</v>
      </c>
      <c r="Q2769" s="1" t="s">
        <v>44</v>
      </c>
      <c r="R2769" s="1" t="s">
        <v>32</v>
      </c>
      <c r="S2769" s="1" t="s">
        <v>45</v>
      </c>
      <c r="T2769" s="1" t="s">
        <v>32</v>
      </c>
      <c r="U2769" s="1" t="s">
        <v>46</v>
      </c>
      <c r="V2769" s="1" t="s">
        <v>47</v>
      </c>
      <c r="W2769" s="1" t="s">
        <v>48</v>
      </c>
      <c r="X2769" s="1" t="s">
        <v>49</v>
      </c>
      <c r="Y2769" s="1" t="s">
        <v>50</v>
      </c>
      <c r="Z2769" s="1" t="str">
        <f>TRIM(_xlfn.CONCAT(sales_data_sample[[#This Row],[CONTACTFIRSTNAME]],", ",sales_data_sample[[#This Row],[CONTACTLASTNAME]]))</f>
        <v>Paul, Henriot</v>
      </c>
      <c r="AA2769" s="1" t="s">
        <v>59</v>
      </c>
    </row>
    <row r="2770" spans="1:27" x14ac:dyDescent="0.25">
      <c r="A2770" s="10">
        <v>10401</v>
      </c>
      <c r="B2770" s="9">
        <v>28</v>
      </c>
      <c r="C2770" s="9">
        <v>7255</v>
      </c>
      <c r="D2770" s="9">
        <f>PRODUCT(sales_data_sample[[#This Row],[QUANTITYORDERED]],sales_data_sample[[#This Row],[PRICEEACH]])</f>
        <v>203140</v>
      </c>
      <c r="E2770" s="9">
        <f>IF(OR(sales_data_sample[[#This Row],[STATUS]]="Shipped",sales_data_sample[[#This Row],[STATUS]]="Resolved"),sales_data_sample[[#This Row],[SALES]],0)</f>
        <v>0</v>
      </c>
      <c r="F2770" s="10">
        <v>11</v>
      </c>
      <c r="G2770" s="12" t="s">
        <v>895</v>
      </c>
      <c r="H2770" s="1" t="s">
        <v>553</v>
      </c>
      <c r="I2770">
        <v>2</v>
      </c>
      <c r="J2770">
        <v>4</v>
      </c>
      <c r="K2770">
        <v>2005</v>
      </c>
      <c r="L2770" s="1" t="s">
        <v>839</v>
      </c>
      <c r="M2770">
        <v>74</v>
      </c>
      <c r="N2770" s="1" t="s">
        <v>1014</v>
      </c>
      <c r="O2770" s="1" t="s">
        <v>132</v>
      </c>
      <c r="P2770" s="1" t="s">
        <v>133</v>
      </c>
      <c r="Q2770" s="1" t="s">
        <v>134</v>
      </c>
      <c r="R2770" s="1" t="s">
        <v>32</v>
      </c>
      <c r="S2770" s="1" t="s">
        <v>135</v>
      </c>
      <c r="T2770" s="1" t="s">
        <v>136</v>
      </c>
      <c r="U2770" s="1" t="s">
        <v>137</v>
      </c>
      <c r="V2770" s="1" t="s">
        <v>36</v>
      </c>
      <c r="W2770" s="1" t="s">
        <v>37</v>
      </c>
      <c r="X2770" s="1" t="s">
        <v>74</v>
      </c>
      <c r="Y2770" s="1" t="s">
        <v>138</v>
      </c>
      <c r="Z2770" s="1" t="str">
        <f>TRIM(_xlfn.CONCAT(sales_data_sample[[#This Row],[CONTACTFIRSTNAME]],", ",sales_data_sample[[#This Row],[CONTACTLASTNAME]]))</f>
        <v>William, Brown</v>
      </c>
      <c r="AA2770" s="1" t="s">
        <v>40</v>
      </c>
    </row>
    <row r="2771" spans="1:27" x14ac:dyDescent="0.25">
      <c r="A2771" s="10">
        <v>10416</v>
      </c>
      <c r="B2771" s="9">
        <v>43</v>
      </c>
      <c r="C2771" s="9">
        <v>6219</v>
      </c>
      <c r="D2771" s="9">
        <f>PRODUCT(sales_data_sample[[#This Row],[QUANTITYORDERED]],sales_data_sample[[#This Row],[PRICEEACH]])</f>
        <v>267417</v>
      </c>
      <c r="E2771" s="9">
        <f>IF(OR(sales_data_sample[[#This Row],[STATUS]]="Shipped",sales_data_sample[[#This Row],[STATUS]]="Resolved"),sales_data_sample[[#This Row],[SALES]],0)</f>
        <v>267417</v>
      </c>
      <c r="F2771" s="10">
        <v>12</v>
      </c>
      <c r="G2771" s="12" t="s">
        <v>871</v>
      </c>
      <c r="H2771" s="1" t="s">
        <v>26</v>
      </c>
      <c r="I2771">
        <v>2</v>
      </c>
      <c r="J2771">
        <v>5</v>
      </c>
      <c r="K2771">
        <v>2005</v>
      </c>
      <c r="L2771" s="1" t="s">
        <v>839</v>
      </c>
      <c r="M2771">
        <v>74</v>
      </c>
      <c r="N2771" s="1" t="s">
        <v>1014</v>
      </c>
      <c r="O2771" s="1" t="s">
        <v>632</v>
      </c>
      <c r="P2771" s="1" t="s">
        <v>633</v>
      </c>
      <c r="Q2771" s="1" t="s">
        <v>634</v>
      </c>
      <c r="R2771" s="1" t="s">
        <v>32</v>
      </c>
      <c r="S2771" s="1" t="s">
        <v>635</v>
      </c>
      <c r="T2771" s="1" t="s">
        <v>32</v>
      </c>
      <c r="U2771" s="1" t="s">
        <v>636</v>
      </c>
      <c r="V2771" s="1" t="s">
        <v>343</v>
      </c>
      <c r="W2771" s="1" t="s">
        <v>48</v>
      </c>
      <c r="X2771" s="1" t="s">
        <v>637</v>
      </c>
      <c r="Y2771" s="1" t="s">
        <v>638</v>
      </c>
      <c r="Z2771" s="1" t="str">
        <f>TRIM(_xlfn.CONCAT(sales_data_sample[[#This Row],[CONTACTFIRSTNAME]],", ",sales_data_sample[[#This Row],[CONTACTLASTNAME]]))</f>
        <v>Maurizio, Moroni</v>
      </c>
      <c r="AA2771" s="1" t="s">
        <v>40</v>
      </c>
    </row>
    <row r="2772" spans="1:27" x14ac:dyDescent="0.25">
      <c r="A2772" s="10">
        <v>10106</v>
      </c>
      <c r="B2772" s="9">
        <v>48</v>
      </c>
      <c r="C2772" s="9">
        <v>5264</v>
      </c>
      <c r="D2772" s="9">
        <f>PRODUCT(sales_data_sample[[#This Row],[QUANTITYORDERED]],sales_data_sample[[#This Row],[PRICEEACH]])</f>
        <v>252672</v>
      </c>
      <c r="E2772" s="9">
        <f>IF(OR(sales_data_sample[[#This Row],[STATUS]]="Shipped",sales_data_sample[[#This Row],[STATUS]]="Resolved"),sales_data_sample[[#This Row],[SALES]],0)</f>
        <v>252672</v>
      </c>
      <c r="F2772" s="10">
        <v>15</v>
      </c>
      <c r="G2772" s="12" t="s">
        <v>838</v>
      </c>
      <c r="H2772" s="1" t="s">
        <v>26</v>
      </c>
      <c r="I2772">
        <v>1</v>
      </c>
      <c r="J2772">
        <v>2</v>
      </c>
      <c r="K2772">
        <v>2003</v>
      </c>
      <c r="L2772" s="1" t="s">
        <v>839</v>
      </c>
      <c r="M2772">
        <v>49</v>
      </c>
      <c r="N2772" s="1" t="s">
        <v>1015</v>
      </c>
      <c r="O2772" s="1" t="s">
        <v>806</v>
      </c>
      <c r="P2772" s="1" t="s">
        <v>807</v>
      </c>
      <c r="Q2772" s="1" t="s">
        <v>808</v>
      </c>
      <c r="R2772" s="1" t="s">
        <v>32</v>
      </c>
      <c r="S2772" s="1" t="s">
        <v>809</v>
      </c>
      <c r="T2772" s="1" t="s">
        <v>32</v>
      </c>
      <c r="U2772" s="1" t="s">
        <v>810</v>
      </c>
      <c r="V2772" s="1" t="s">
        <v>343</v>
      </c>
      <c r="W2772" s="1" t="s">
        <v>48</v>
      </c>
      <c r="X2772" s="1" t="s">
        <v>811</v>
      </c>
      <c r="Y2772" s="1" t="s">
        <v>812</v>
      </c>
      <c r="Z2772" s="1" t="str">
        <f>TRIM(_xlfn.CONCAT(sales_data_sample[[#This Row],[CONTACTFIRSTNAME]],", ",sales_data_sample[[#This Row],[CONTACTLASTNAME]]))</f>
        <v>Giovanni, Rovelli</v>
      </c>
      <c r="AA2772" s="1" t="s">
        <v>40</v>
      </c>
    </row>
    <row r="2773" spans="1:27" x14ac:dyDescent="0.25">
      <c r="A2773" s="10">
        <v>10119</v>
      </c>
      <c r="B2773" s="9">
        <v>28</v>
      </c>
      <c r="C2773" s="9">
        <v>4817</v>
      </c>
      <c r="D2773" s="9">
        <f>PRODUCT(sales_data_sample[[#This Row],[QUANTITYORDERED]],sales_data_sample[[#This Row],[PRICEEACH]])</f>
        <v>134876</v>
      </c>
      <c r="E2773" s="9">
        <f>IF(OR(sales_data_sample[[#This Row],[STATUS]]="Shipped",sales_data_sample[[#This Row],[STATUS]]="Resolved"),sales_data_sample[[#This Row],[SALES]],0)</f>
        <v>134876</v>
      </c>
      <c r="F2773" s="10">
        <v>6</v>
      </c>
      <c r="G2773" s="12" t="s">
        <v>445</v>
      </c>
      <c r="H2773" s="1" t="s">
        <v>26</v>
      </c>
      <c r="I2773">
        <v>2</v>
      </c>
      <c r="J2773">
        <v>4</v>
      </c>
      <c r="K2773">
        <v>2003</v>
      </c>
      <c r="L2773" s="1" t="s">
        <v>839</v>
      </c>
      <c r="M2773">
        <v>49</v>
      </c>
      <c r="N2773" s="1" t="s">
        <v>1015</v>
      </c>
      <c r="O2773" s="1" t="s">
        <v>191</v>
      </c>
      <c r="P2773" s="1" t="s">
        <v>192</v>
      </c>
      <c r="Q2773" s="1" t="s">
        <v>193</v>
      </c>
      <c r="R2773" s="1" t="s">
        <v>32</v>
      </c>
      <c r="S2773" s="1" t="s">
        <v>194</v>
      </c>
      <c r="T2773" s="1" t="s">
        <v>32</v>
      </c>
      <c r="U2773" s="1" t="s">
        <v>195</v>
      </c>
      <c r="V2773" s="1" t="s">
        <v>196</v>
      </c>
      <c r="W2773" s="1" t="s">
        <v>48</v>
      </c>
      <c r="X2773" s="1" t="s">
        <v>197</v>
      </c>
      <c r="Y2773" s="1" t="s">
        <v>198</v>
      </c>
      <c r="Z2773" s="1" t="str">
        <f>TRIM(_xlfn.CONCAT(sales_data_sample[[#This Row],[CONTACTFIRSTNAME]],", ",sales_data_sample[[#This Row],[CONTACTLASTNAME]]))</f>
        <v>Georg, Pipps</v>
      </c>
      <c r="AA2773" s="1" t="s">
        <v>40</v>
      </c>
    </row>
    <row r="2774" spans="1:27" x14ac:dyDescent="0.25">
      <c r="A2774" s="10">
        <v>10131</v>
      </c>
      <c r="B2774" s="9">
        <v>21</v>
      </c>
      <c r="C2774" s="9">
        <v>4171</v>
      </c>
      <c r="D2774" s="9">
        <f>PRODUCT(sales_data_sample[[#This Row],[QUANTITYORDERED]],sales_data_sample[[#This Row],[PRICEEACH]])</f>
        <v>87591</v>
      </c>
      <c r="E2774" s="9">
        <f>IF(OR(sales_data_sample[[#This Row],[STATUS]]="Shipped",sales_data_sample[[#This Row],[STATUS]]="Resolved"),sales_data_sample[[#This Row],[SALES]],0)</f>
        <v>87591</v>
      </c>
      <c r="F2774" s="10">
        <v>7</v>
      </c>
      <c r="G2774" s="12" t="s">
        <v>841</v>
      </c>
      <c r="H2774" s="1" t="s">
        <v>26</v>
      </c>
      <c r="I2774">
        <v>2</v>
      </c>
      <c r="J2774">
        <v>6</v>
      </c>
      <c r="K2774">
        <v>2003</v>
      </c>
      <c r="L2774" s="1" t="s">
        <v>839</v>
      </c>
      <c r="M2774">
        <v>49</v>
      </c>
      <c r="N2774" s="1" t="s">
        <v>1015</v>
      </c>
      <c r="O2774" s="1" t="s">
        <v>842</v>
      </c>
      <c r="P2774" s="1" t="s">
        <v>843</v>
      </c>
      <c r="Q2774" s="1" t="s">
        <v>844</v>
      </c>
      <c r="R2774" s="1" t="s">
        <v>32</v>
      </c>
      <c r="S2774" s="1" t="s">
        <v>734</v>
      </c>
      <c r="T2774" s="1" t="s">
        <v>144</v>
      </c>
      <c r="U2774" s="1" t="s">
        <v>845</v>
      </c>
      <c r="V2774" s="1" t="s">
        <v>36</v>
      </c>
      <c r="W2774" s="1" t="s">
        <v>37</v>
      </c>
      <c r="X2774" s="1" t="s">
        <v>846</v>
      </c>
      <c r="Y2774" s="1" t="s">
        <v>847</v>
      </c>
      <c r="Z2774" s="1" t="str">
        <f>TRIM(_xlfn.CONCAT(sales_data_sample[[#This Row],[CONTACTFIRSTNAME]],", ",sales_data_sample[[#This Row],[CONTACTLASTNAME]]))</f>
        <v>Dan, Lewis</v>
      </c>
      <c r="AA2774" s="1" t="s">
        <v>40</v>
      </c>
    </row>
    <row r="2775" spans="1:27" x14ac:dyDescent="0.25">
      <c r="A2775" s="10">
        <v>10143</v>
      </c>
      <c r="B2775" s="9">
        <v>37</v>
      </c>
      <c r="C2775" s="9">
        <v>5065</v>
      </c>
      <c r="D2775" s="9">
        <f>PRODUCT(sales_data_sample[[#This Row],[QUANTITYORDERED]],sales_data_sample[[#This Row],[PRICEEACH]])</f>
        <v>187405</v>
      </c>
      <c r="E2775" s="9">
        <f>IF(OR(sales_data_sample[[#This Row],[STATUS]]="Shipped",sales_data_sample[[#This Row],[STATUS]]="Resolved"),sales_data_sample[[#This Row],[SALES]],0)</f>
        <v>187405</v>
      </c>
      <c r="F2775" s="10">
        <v>10</v>
      </c>
      <c r="G2775" s="12" t="s">
        <v>453</v>
      </c>
      <c r="H2775" s="1" t="s">
        <v>26</v>
      </c>
      <c r="I2775">
        <v>3</v>
      </c>
      <c r="J2775">
        <v>8</v>
      </c>
      <c r="K2775">
        <v>2003</v>
      </c>
      <c r="L2775" s="1" t="s">
        <v>839</v>
      </c>
      <c r="M2775">
        <v>49</v>
      </c>
      <c r="N2775" s="1" t="s">
        <v>1015</v>
      </c>
      <c r="O2775" s="1" t="s">
        <v>454</v>
      </c>
      <c r="P2775" s="1" t="s">
        <v>455</v>
      </c>
      <c r="Q2775" s="1" t="s">
        <v>456</v>
      </c>
      <c r="R2775" s="1" t="s">
        <v>32</v>
      </c>
      <c r="S2775" s="1" t="s">
        <v>215</v>
      </c>
      <c r="T2775" s="1" t="s">
        <v>160</v>
      </c>
      <c r="U2775" s="1" t="s">
        <v>216</v>
      </c>
      <c r="V2775" s="1" t="s">
        <v>36</v>
      </c>
      <c r="W2775" s="1" t="s">
        <v>37</v>
      </c>
      <c r="X2775" s="1" t="s">
        <v>457</v>
      </c>
      <c r="Y2775" s="1" t="s">
        <v>458</v>
      </c>
      <c r="Z2775" s="1" t="str">
        <f>TRIM(_xlfn.CONCAT(sales_data_sample[[#This Row],[CONTACTFIRSTNAME]],", ",sales_data_sample[[#This Row],[CONTACTLASTNAME]]))</f>
        <v>Wing C, Tam</v>
      </c>
      <c r="AA2775" s="1" t="s">
        <v>40</v>
      </c>
    </row>
    <row r="2776" spans="1:27" x14ac:dyDescent="0.25">
      <c r="A2776" s="10">
        <v>10155</v>
      </c>
      <c r="B2776" s="9">
        <v>34</v>
      </c>
      <c r="C2776" s="9">
        <v>4916</v>
      </c>
      <c r="D2776" s="9">
        <f>PRODUCT(sales_data_sample[[#This Row],[QUANTITYORDERED]],sales_data_sample[[#This Row],[PRICEEACH]])</f>
        <v>167144</v>
      </c>
      <c r="E2776" s="9">
        <f>IF(OR(sales_data_sample[[#This Row],[STATUS]]="Shipped",sales_data_sample[[#This Row],[STATUS]]="Resolved"),sales_data_sample[[#This Row],[SALES]],0)</f>
        <v>167144</v>
      </c>
      <c r="F2776" s="10">
        <v>8</v>
      </c>
      <c r="G2776" s="12" t="s">
        <v>459</v>
      </c>
      <c r="H2776" s="1" t="s">
        <v>26</v>
      </c>
      <c r="I2776">
        <v>4</v>
      </c>
      <c r="J2776">
        <v>10</v>
      </c>
      <c r="K2776">
        <v>2003</v>
      </c>
      <c r="L2776" s="1" t="s">
        <v>839</v>
      </c>
      <c r="M2776">
        <v>49</v>
      </c>
      <c r="N2776" s="1" t="s">
        <v>1015</v>
      </c>
      <c r="O2776" s="1" t="s">
        <v>165</v>
      </c>
      <c r="P2776" s="1" t="s">
        <v>166</v>
      </c>
      <c r="Q2776" s="1" t="s">
        <v>167</v>
      </c>
      <c r="R2776" s="1" t="s">
        <v>32</v>
      </c>
      <c r="S2776" s="1" t="s">
        <v>168</v>
      </c>
      <c r="T2776" s="1" t="s">
        <v>32</v>
      </c>
      <c r="U2776" s="1" t="s">
        <v>169</v>
      </c>
      <c r="V2776" s="1" t="s">
        <v>170</v>
      </c>
      <c r="W2776" s="1" t="s">
        <v>48</v>
      </c>
      <c r="X2776" s="1" t="s">
        <v>171</v>
      </c>
      <c r="Y2776" s="1" t="s">
        <v>172</v>
      </c>
      <c r="Z2776" s="1" t="str">
        <f>TRIM(_xlfn.CONCAT(sales_data_sample[[#This Row],[CONTACTFIRSTNAME]],", ",sales_data_sample[[#This Row],[CONTACTLASTNAME]]))</f>
        <v>Matti, Karttunen</v>
      </c>
      <c r="AA2776" s="1" t="s">
        <v>40</v>
      </c>
    </row>
    <row r="2777" spans="1:27" x14ac:dyDescent="0.25">
      <c r="A2777" s="10">
        <v>10167</v>
      </c>
      <c r="B2777" s="9">
        <v>40</v>
      </c>
      <c r="C2777" s="9">
        <v>4171</v>
      </c>
      <c r="D2777" s="9">
        <f>PRODUCT(sales_data_sample[[#This Row],[QUANTITYORDERED]],sales_data_sample[[#This Row],[PRICEEACH]])</f>
        <v>166840</v>
      </c>
      <c r="E2777" s="9">
        <f>IF(OR(sales_data_sample[[#This Row],[STATUS]]="Shipped",sales_data_sample[[#This Row],[STATUS]]="Resolved"),sales_data_sample[[#This Row],[SALES]],0)</f>
        <v>0</v>
      </c>
      <c r="F2777" s="10">
        <v>4</v>
      </c>
      <c r="G2777" s="12" t="s">
        <v>460</v>
      </c>
      <c r="H2777" s="1" t="s">
        <v>461</v>
      </c>
      <c r="I2777">
        <v>4</v>
      </c>
      <c r="J2777">
        <v>10</v>
      </c>
      <c r="K2777">
        <v>2003</v>
      </c>
      <c r="L2777" s="1" t="s">
        <v>839</v>
      </c>
      <c r="M2777">
        <v>49</v>
      </c>
      <c r="N2777" s="1" t="s">
        <v>1015</v>
      </c>
      <c r="O2777" s="1" t="s">
        <v>347</v>
      </c>
      <c r="P2777" s="1" t="s">
        <v>348</v>
      </c>
      <c r="Q2777" s="1" t="s">
        <v>349</v>
      </c>
      <c r="R2777" s="1" t="s">
        <v>32</v>
      </c>
      <c r="S2777" s="1" t="s">
        <v>350</v>
      </c>
      <c r="T2777" s="1" t="s">
        <v>32</v>
      </c>
      <c r="U2777" s="1" t="s">
        <v>351</v>
      </c>
      <c r="V2777" s="1" t="s">
        <v>247</v>
      </c>
      <c r="W2777" s="1" t="s">
        <v>48</v>
      </c>
      <c r="X2777" s="1" t="s">
        <v>352</v>
      </c>
      <c r="Y2777" s="1" t="s">
        <v>272</v>
      </c>
      <c r="Z2777" s="1" t="str">
        <f>TRIM(_xlfn.CONCAT(sales_data_sample[[#This Row],[CONTACTFIRSTNAME]],", ",sales_data_sample[[#This Row],[CONTACTLASTNAME]]))</f>
        <v>Maria, Larsson</v>
      </c>
      <c r="AA2777" s="1" t="s">
        <v>40</v>
      </c>
    </row>
    <row r="2778" spans="1:27" x14ac:dyDescent="0.25">
      <c r="A2778" s="10">
        <v>10178</v>
      </c>
      <c r="B2778" s="9">
        <v>45</v>
      </c>
      <c r="C2778" s="9">
        <v>5115</v>
      </c>
      <c r="D2778" s="9">
        <f>PRODUCT(sales_data_sample[[#This Row],[QUANTITYORDERED]],sales_data_sample[[#This Row],[PRICEEACH]])</f>
        <v>230175</v>
      </c>
      <c r="E2778" s="9">
        <f>IF(OR(sales_data_sample[[#This Row],[STATUS]]="Shipped",sales_data_sample[[#This Row],[STATUS]]="Resolved"),sales_data_sample[[#This Row],[SALES]],0)</f>
        <v>230175</v>
      </c>
      <c r="F2778" s="10">
        <v>7</v>
      </c>
      <c r="G2778" s="12" t="s">
        <v>462</v>
      </c>
      <c r="H2778" s="1" t="s">
        <v>26</v>
      </c>
      <c r="I2778">
        <v>4</v>
      </c>
      <c r="J2778">
        <v>11</v>
      </c>
      <c r="K2778">
        <v>2003</v>
      </c>
      <c r="L2778" s="1" t="s">
        <v>839</v>
      </c>
      <c r="M2778">
        <v>49</v>
      </c>
      <c r="N2778" s="1" t="s">
        <v>1015</v>
      </c>
      <c r="O2778" s="1" t="s">
        <v>463</v>
      </c>
      <c r="P2778" s="1" t="s">
        <v>464</v>
      </c>
      <c r="Q2778" s="1" t="s">
        <v>465</v>
      </c>
      <c r="R2778" s="1" t="s">
        <v>32</v>
      </c>
      <c r="S2778" s="1" t="s">
        <v>466</v>
      </c>
      <c r="T2778" s="1" t="s">
        <v>32</v>
      </c>
      <c r="U2778" s="1" t="s">
        <v>467</v>
      </c>
      <c r="V2778" s="1" t="s">
        <v>47</v>
      </c>
      <c r="W2778" s="1" t="s">
        <v>48</v>
      </c>
      <c r="X2778" s="1" t="s">
        <v>468</v>
      </c>
      <c r="Y2778" s="1" t="s">
        <v>469</v>
      </c>
      <c r="Z2778" s="1" t="str">
        <f>TRIM(_xlfn.CONCAT(sales_data_sample[[#This Row],[CONTACTFIRSTNAME]],", ",sales_data_sample[[#This Row],[CONTACTLASTNAME]]))</f>
        <v>Annette, Roulet</v>
      </c>
      <c r="AA2778" s="1" t="s">
        <v>40</v>
      </c>
    </row>
    <row r="2779" spans="1:27" x14ac:dyDescent="0.25">
      <c r="A2779" s="10">
        <v>10186</v>
      </c>
      <c r="B2779" s="9">
        <v>28</v>
      </c>
      <c r="C2779" s="9">
        <v>5214</v>
      </c>
      <c r="D2779" s="9">
        <f>PRODUCT(sales_data_sample[[#This Row],[QUANTITYORDERED]],sales_data_sample[[#This Row],[PRICEEACH]])</f>
        <v>145992</v>
      </c>
      <c r="E2779" s="9">
        <f>IF(OR(sales_data_sample[[#This Row],[STATUS]]="Shipped",sales_data_sample[[#This Row],[STATUS]]="Resolved"),sales_data_sample[[#This Row],[SALES]],0)</f>
        <v>145992</v>
      </c>
      <c r="F2779" s="10">
        <v>4</v>
      </c>
      <c r="G2779" s="12" t="s">
        <v>470</v>
      </c>
      <c r="H2779" s="1" t="s">
        <v>26</v>
      </c>
      <c r="I2779">
        <v>4</v>
      </c>
      <c r="J2779">
        <v>11</v>
      </c>
      <c r="K2779">
        <v>2003</v>
      </c>
      <c r="L2779" s="1" t="s">
        <v>839</v>
      </c>
      <c r="M2779">
        <v>49</v>
      </c>
      <c r="N2779" s="1" t="s">
        <v>1015</v>
      </c>
      <c r="O2779" s="1" t="s">
        <v>471</v>
      </c>
      <c r="P2779" s="1" t="s">
        <v>472</v>
      </c>
      <c r="Q2779" s="1" t="s">
        <v>473</v>
      </c>
      <c r="R2779" s="1" t="s">
        <v>32</v>
      </c>
      <c r="S2779" s="1" t="s">
        <v>450</v>
      </c>
      <c r="T2779" s="1" t="s">
        <v>32</v>
      </c>
      <c r="U2779" s="1" t="s">
        <v>474</v>
      </c>
      <c r="V2779" s="1" t="s">
        <v>225</v>
      </c>
      <c r="W2779" s="1" t="s">
        <v>48</v>
      </c>
      <c r="X2779" s="1" t="s">
        <v>475</v>
      </c>
      <c r="Y2779" s="1" t="s">
        <v>476</v>
      </c>
      <c r="Z2779" s="1" t="str">
        <f>TRIM(_xlfn.CONCAT(sales_data_sample[[#This Row],[CONTACTFIRSTNAME]],", ",sales_data_sample[[#This Row],[CONTACTLASTNAME]]))</f>
        <v>Thomas, Hardy</v>
      </c>
      <c r="AA2779" s="1" t="s">
        <v>40</v>
      </c>
    </row>
    <row r="2780" spans="1:27" x14ac:dyDescent="0.25">
      <c r="A2780" s="10">
        <v>10197</v>
      </c>
      <c r="B2780" s="9">
        <v>29</v>
      </c>
      <c r="C2780" s="9">
        <v>4171</v>
      </c>
      <c r="D2780" s="9">
        <f>PRODUCT(sales_data_sample[[#This Row],[QUANTITYORDERED]],sales_data_sample[[#This Row],[PRICEEACH]])</f>
        <v>120959</v>
      </c>
      <c r="E2780" s="9">
        <f>IF(OR(sales_data_sample[[#This Row],[STATUS]]="Shipped",sales_data_sample[[#This Row],[STATUS]]="Resolved"),sales_data_sample[[#This Row],[SALES]],0)</f>
        <v>120959</v>
      </c>
      <c r="F2780" s="10">
        <v>1</v>
      </c>
      <c r="G2780" s="12" t="s">
        <v>477</v>
      </c>
      <c r="H2780" s="1" t="s">
        <v>26</v>
      </c>
      <c r="I2780">
        <v>4</v>
      </c>
      <c r="J2780">
        <v>11</v>
      </c>
      <c r="K2780">
        <v>2003</v>
      </c>
      <c r="L2780" s="1" t="s">
        <v>839</v>
      </c>
      <c r="M2780">
        <v>49</v>
      </c>
      <c r="N2780" s="1" t="s">
        <v>1015</v>
      </c>
      <c r="O2780" s="1" t="s">
        <v>478</v>
      </c>
      <c r="P2780" s="1" t="s">
        <v>479</v>
      </c>
      <c r="Q2780" s="1" t="s">
        <v>480</v>
      </c>
      <c r="R2780" s="1" t="s">
        <v>32</v>
      </c>
      <c r="S2780" s="1" t="s">
        <v>481</v>
      </c>
      <c r="T2780" s="1" t="s">
        <v>32</v>
      </c>
      <c r="U2780" s="1" t="s">
        <v>482</v>
      </c>
      <c r="V2780" s="1" t="s">
        <v>235</v>
      </c>
      <c r="W2780" s="1" t="s">
        <v>48</v>
      </c>
      <c r="X2780" s="1" t="s">
        <v>483</v>
      </c>
      <c r="Y2780" s="1" t="s">
        <v>484</v>
      </c>
      <c r="Z2780" s="1" t="str">
        <f>TRIM(_xlfn.CONCAT(sales_data_sample[[#This Row],[CONTACTFIRSTNAME]],", ",sales_data_sample[[#This Row],[CONTACTLASTNAME]]))</f>
        <v>Eduardo, Saavedra</v>
      </c>
      <c r="AA2780" s="1" t="s">
        <v>40</v>
      </c>
    </row>
    <row r="2781" spans="1:27" x14ac:dyDescent="0.25">
      <c r="A2781" s="10">
        <v>10209</v>
      </c>
      <c r="B2781" s="9">
        <v>48</v>
      </c>
      <c r="C2781" s="9">
        <v>4469</v>
      </c>
      <c r="D2781" s="9">
        <f>PRODUCT(sales_data_sample[[#This Row],[QUANTITYORDERED]],sales_data_sample[[#This Row],[PRICEEACH]])</f>
        <v>214512</v>
      </c>
      <c r="E2781" s="9">
        <f>IF(OR(sales_data_sample[[#This Row],[STATUS]]="Shipped",sales_data_sample[[#This Row],[STATUS]]="Resolved"),sales_data_sample[[#This Row],[SALES]],0)</f>
        <v>214512</v>
      </c>
      <c r="F2781" s="10">
        <v>3</v>
      </c>
      <c r="G2781" s="12" t="s">
        <v>485</v>
      </c>
      <c r="H2781" s="1" t="s">
        <v>26</v>
      </c>
      <c r="I2781">
        <v>1</v>
      </c>
      <c r="J2781">
        <v>1</v>
      </c>
      <c r="K2781">
        <v>2004</v>
      </c>
      <c r="L2781" s="1" t="s">
        <v>839</v>
      </c>
      <c r="M2781">
        <v>49</v>
      </c>
      <c r="N2781" s="1" t="s">
        <v>1015</v>
      </c>
      <c r="O2781" s="1" t="s">
        <v>486</v>
      </c>
      <c r="P2781" s="1" t="s">
        <v>487</v>
      </c>
      <c r="Q2781" s="1" t="s">
        <v>488</v>
      </c>
      <c r="R2781" s="1" t="s">
        <v>32</v>
      </c>
      <c r="S2781" s="1" t="s">
        <v>489</v>
      </c>
      <c r="T2781" s="1" t="s">
        <v>65</v>
      </c>
      <c r="U2781" s="1" t="s">
        <v>32</v>
      </c>
      <c r="V2781" s="1" t="s">
        <v>36</v>
      </c>
      <c r="W2781" s="1" t="s">
        <v>37</v>
      </c>
      <c r="X2781" s="1" t="s">
        <v>490</v>
      </c>
      <c r="Y2781" s="1" t="s">
        <v>130</v>
      </c>
      <c r="Z2781" s="1" t="str">
        <f>TRIM(_xlfn.CONCAT(sales_data_sample[[#This Row],[CONTACTFIRSTNAME]],", ",sales_data_sample[[#This Row],[CONTACTLASTNAME]]))</f>
        <v>Michael, Chandler</v>
      </c>
      <c r="AA2781" s="1" t="s">
        <v>40</v>
      </c>
    </row>
    <row r="2782" spans="1:27" x14ac:dyDescent="0.25">
      <c r="A2782" s="10">
        <v>10222</v>
      </c>
      <c r="B2782" s="9">
        <v>31</v>
      </c>
      <c r="C2782" s="9">
        <v>4569</v>
      </c>
      <c r="D2782" s="9">
        <f>PRODUCT(sales_data_sample[[#This Row],[QUANTITYORDERED]],sales_data_sample[[#This Row],[PRICEEACH]])</f>
        <v>141639</v>
      </c>
      <c r="E2782" s="9">
        <f>IF(OR(sales_data_sample[[#This Row],[STATUS]]="Shipped",sales_data_sample[[#This Row],[STATUS]]="Resolved"),sales_data_sample[[#This Row],[SALES]],0)</f>
        <v>141639</v>
      </c>
      <c r="F2782" s="10">
        <v>7</v>
      </c>
      <c r="G2782" s="12" t="s">
        <v>491</v>
      </c>
      <c r="H2782" s="1" t="s">
        <v>26</v>
      </c>
      <c r="I2782">
        <v>1</v>
      </c>
      <c r="J2782">
        <v>2</v>
      </c>
      <c r="K2782">
        <v>2004</v>
      </c>
      <c r="L2782" s="1" t="s">
        <v>839</v>
      </c>
      <c r="M2782">
        <v>49</v>
      </c>
      <c r="N2782" s="1" t="s">
        <v>1015</v>
      </c>
      <c r="O2782" s="1" t="s">
        <v>492</v>
      </c>
      <c r="P2782" s="1" t="s">
        <v>493</v>
      </c>
      <c r="Q2782" s="1" t="s">
        <v>494</v>
      </c>
      <c r="R2782" s="1" t="s">
        <v>32</v>
      </c>
      <c r="S2782" s="1" t="s">
        <v>495</v>
      </c>
      <c r="T2782" s="1" t="s">
        <v>65</v>
      </c>
      <c r="U2782" s="1" t="s">
        <v>496</v>
      </c>
      <c r="V2782" s="1" t="s">
        <v>36</v>
      </c>
      <c r="W2782" s="1" t="s">
        <v>37</v>
      </c>
      <c r="X2782" s="1" t="s">
        <v>313</v>
      </c>
      <c r="Y2782" s="1" t="s">
        <v>366</v>
      </c>
      <c r="Z2782" s="1" t="str">
        <f>TRIM(_xlfn.CONCAT(sales_data_sample[[#This Row],[CONTACTFIRSTNAME]],", ",sales_data_sample[[#This Row],[CONTACTLASTNAME]]))</f>
        <v>Valarie, Thompson</v>
      </c>
      <c r="AA2782" s="1" t="s">
        <v>40</v>
      </c>
    </row>
    <row r="2783" spans="1:27" x14ac:dyDescent="0.25">
      <c r="A2783" s="10">
        <v>10249</v>
      </c>
      <c r="B2783" s="9">
        <v>32</v>
      </c>
      <c r="C2783" s="9">
        <v>5761</v>
      </c>
      <c r="D2783" s="9">
        <f>PRODUCT(sales_data_sample[[#This Row],[QUANTITYORDERED]],sales_data_sample[[#This Row],[PRICEEACH]])</f>
        <v>184352</v>
      </c>
      <c r="E2783" s="9">
        <f>IF(OR(sales_data_sample[[#This Row],[STATUS]]="Shipped",sales_data_sample[[#This Row],[STATUS]]="Resolved"),sales_data_sample[[#This Row],[SALES]],0)</f>
        <v>184352</v>
      </c>
      <c r="F2783" s="10">
        <v>3</v>
      </c>
      <c r="G2783" s="12" t="s">
        <v>935</v>
      </c>
      <c r="H2783" s="1" t="s">
        <v>26</v>
      </c>
      <c r="I2783">
        <v>2</v>
      </c>
      <c r="J2783">
        <v>5</v>
      </c>
      <c r="K2783">
        <v>2004</v>
      </c>
      <c r="L2783" s="1" t="s">
        <v>839</v>
      </c>
      <c r="M2783">
        <v>49</v>
      </c>
      <c r="N2783" s="1" t="s">
        <v>1015</v>
      </c>
      <c r="O2783" s="1" t="s">
        <v>316</v>
      </c>
      <c r="P2783" s="1" t="s">
        <v>317</v>
      </c>
      <c r="Q2783" s="1" t="s">
        <v>318</v>
      </c>
      <c r="R2783" s="1" t="s">
        <v>32</v>
      </c>
      <c r="S2783" s="1" t="s">
        <v>159</v>
      </c>
      <c r="T2783" s="1" t="s">
        <v>160</v>
      </c>
      <c r="U2783" s="1" t="s">
        <v>161</v>
      </c>
      <c r="V2783" s="1" t="s">
        <v>36</v>
      </c>
      <c r="W2783" s="1" t="s">
        <v>37</v>
      </c>
      <c r="X2783" s="1" t="s">
        <v>319</v>
      </c>
      <c r="Y2783" s="1" t="s">
        <v>188</v>
      </c>
      <c r="Z2783" s="1" t="str">
        <f>TRIM(_xlfn.CONCAT(sales_data_sample[[#This Row],[CONTACTFIRSTNAME]],", ",sales_data_sample[[#This Row],[CONTACTLASTNAME]]))</f>
        <v>Kyung, Tseng</v>
      </c>
      <c r="AA2783" s="1" t="s">
        <v>40</v>
      </c>
    </row>
    <row r="2784" spans="1:27" x14ac:dyDescent="0.25">
      <c r="A2784" s="10">
        <v>10262</v>
      </c>
      <c r="B2784" s="9">
        <v>21</v>
      </c>
      <c r="C2784" s="9">
        <v>5711</v>
      </c>
      <c r="D2784" s="9">
        <f>PRODUCT(sales_data_sample[[#This Row],[QUANTITYORDERED]],sales_data_sample[[#This Row],[PRICEEACH]])</f>
        <v>119931</v>
      </c>
      <c r="E2784" s="9">
        <f>IF(OR(sales_data_sample[[#This Row],[STATUS]]="Shipped",sales_data_sample[[#This Row],[STATUS]]="Resolved"),sales_data_sample[[#This Row],[SALES]],0)</f>
        <v>0</v>
      </c>
      <c r="F2784" s="10">
        <v>12</v>
      </c>
      <c r="G2784" s="12" t="s">
        <v>850</v>
      </c>
      <c r="H2784" s="1" t="s">
        <v>461</v>
      </c>
      <c r="I2784">
        <v>2</v>
      </c>
      <c r="J2784">
        <v>6</v>
      </c>
      <c r="K2784">
        <v>2004</v>
      </c>
      <c r="L2784" s="1" t="s">
        <v>839</v>
      </c>
      <c r="M2784">
        <v>49</v>
      </c>
      <c r="N2784" s="1" t="s">
        <v>1015</v>
      </c>
      <c r="O2784" s="1" t="s">
        <v>230</v>
      </c>
      <c r="P2784" s="1" t="s">
        <v>231</v>
      </c>
      <c r="Q2784" s="1" t="s">
        <v>232</v>
      </c>
      <c r="R2784" s="1" t="s">
        <v>32</v>
      </c>
      <c r="S2784" s="1" t="s">
        <v>233</v>
      </c>
      <c r="T2784" s="1" t="s">
        <v>32</v>
      </c>
      <c r="U2784" s="1" t="s">
        <v>234</v>
      </c>
      <c r="V2784" s="1" t="s">
        <v>235</v>
      </c>
      <c r="W2784" s="1" t="s">
        <v>48</v>
      </c>
      <c r="X2784" s="1" t="s">
        <v>236</v>
      </c>
      <c r="Y2784" s="1" t="s">
        <v>237</v>
      </c>
      <c r="Z2784" s="1" t="str">
        <f>TRIM(_xlfn.CONCAT(sales_data_sample[[#This Row],[CONTACTFIRSTNAME]],", ",sales_data_sample[[#This Row],[CONTACTLASTNAME]]))</f>
        <v>Diego, Freyre</v>
      </c>
      <c r="AA2784" s="1" t="s">
        <v>40</v>
      </c>
    </row>
    <row r="2785" spans="1:27" x14ac:dyDescent="0.25">
      <c r="A2785" s="10">
        <v>10274</v>
      </c>
      <c r="B2785" s="9">
        <v>32</v>
      </c>
      <c r="C2785" s="9">
        <v>586</v>
      </c>
      <c r="D2785" s="9">
        <f>PRODUCT(sales_data_sample[[#This Row],[QUANTITYORDERED]],sales_data_sample[[#This Row],[PRICEEACH]])</f>
        <v>18752</v>
      </c>
      <c r="E2785" s="9">
        <f>IF(OR(sales_data_sample[[#This Row],[STATUS]]="Shipped",sales_data_sample[[#This Row],[STATUS]]="Resolved"),sales_data_sample[[#This Row],[SALES]],0)</f>
        <v>18752</v>
      </c>
      <c r="F2785" s="10">
        <v>4</v>
      </c>
      <c r="G2785" s="12" t="s">
        <v>499</v>
      </c>
      <c r="H2785" s="1" t="s">
        <v>26</v>
      </c>
      <c r="I2785">
        <v>3</v>
      </c>
      <c r="J2785">
        <v>7</v>
      </c>
      <c r="K2785">
        <v>2004</v>
      </c>
      <c r="L2785" s="1" t="s">
        <v>839</v>
      </c>
      <c r="M2785">
        <v>49</v>
      </c>
      <c r="N2785" s="1" t="s">
        <v>1015</v>
      </c>
      <c r="O2785" s="1" t="s">
        <v>378</v>
      </c>
      <c r="P2785" s="1" t="s">
        <v>157</v>
      </c>
      <c r="Q2785" s="1" t="s">
        <v>379</v>
      </c>
      <c r="R2785" s="1" t="s">
        <v>32</v>
      </c>
      <c r="S2785" s="1" t="s">
        <v>380</v>
      </c>
      <c r="T2785" s="1" t="s">
        <v>160</v>
      </c>
      <c r="U2785" s="1" t="s">
        <v>381</v>
      </c>
      <c r="V2785" s="1" t="s">
        <v>36</v>
      </c>
      <c r="W2785" s="1" t="s">
        <v>37</v>
      </c>
      <c r="X2785" s="1" t="s">
        <v>365</v>
      </c>
      <c r="Y2785" s="1" t="s">
        <v>382</v>
      </c>
      <c r="Z2785" s="1" t="str">
        <f>TRIM(_xlfn.CONCAT(sales_data_sample[[#This Row],[CONTACTFIRSTNAME]],", ",sales_data_sample[[#This Row],[CONTACTLASTNAME]]))</f>
        <v>Allen, Nelson</v>
      </c>
      <c r="AA2785" s="1" t="s">
        <v>40</v>
      </c>
    </row>
    <row r="2786" spans="1:27" x14ac:dyDescent="0.25">
      <c r="A2786" s="10">
        <v>10283</v>
      </c>
      <c r="B2786" s="9">
        <v>43</v>
      </c>
      <c r="C2786" s="9">
        <v>5761</v>
      </c>
      <c r="D2786" s="9">
        <f>PRODUCT(sales_data_sample[[#This Row],[QUANTITYORDERED]],sales_data_sample[[#This Row],[PRICEEACH]])</f>
        <v>247723</v>
      </c>
      <c r="E2786" s="9">
        <f>IF(OR(sales_data_sample[[#This Row],[STATUS]]="Shipped",sales_data_sample[[#This Row],[STATUS]]="Resolved"),sales_data_sample[[#This Row],[SALES]],0)</f>
        <v>247723</v>
      </c>
      <c r="F2786" s="10">
        <v>1</v>
      </c>
      <c r="G2786" s="12" t="s">
        <v>508</v>
      </c>
      <c r="H2786" s="1" t="s">
        <v>26</v>
      </c>
      <c r="I2786">
        <v>3</v>
      </c>
      <c r="J2786">
        <v>8</v>
      </c>
      <c r="K2786">
        <v>2004</v>
      </c>
      <c r="L2786" s="1" t="s">
        <v>839</v>
      </c>
      <c r="M2786">
        <v>49</v>
      </c>
      <c r="N2786" s="1" t="s">
        <v>1015</v>
      </c>
      <c r="O2786" s="1" t="s">
        <v>509</v>
      </c>
      <c r="P2786" s="1" t="s">
        <v>510</v>
      </c>
      <c r="Q2786" s="1" t="s">
        <v>511</v>
      </c>
      <c r="R2786" s="1" t="s">
        <v>32</v>
      </c>
      <c r="S2786" s="1" t="s">
        <v>512</v>
      </c>
      <c r="T2786" s="1" t="s">
        <v>303</v>
      </c>
      <c r="U2786" s="1" t="s">
        <v>513</v>
      </c>
      <c r="V2786" s="1" t="s">
        <v>305</v>
      </c>
      <c r="W2786" s="1" t="s">
        <v>37</v>
      </c>
      <c r="X2786" s="1" t="s">
        <v>514</v>
      </c>
      <c r="Y2786" s="1" t="s">
        <v>227</v>
      </c>
      <c r="Z2786" s="1" t="str">
        <f>TRIM(_xlfn.CONCAT(sales_data_sample[[#This Row],[CONTACTFIRSTNAME]],", ",sales_data_sample[[#This Row],[CONTACTLASTNAME]]))</f>
        <v>Elizabeth, Lincoln</v>
      </c>
      <c r="AA2786" s="1" t="s">
        <v>40</v>
      </c>
    </row>
    <row r="2787" spans="1:27" x14ac:dyDescent="0.25">
      <c r="A2787" s="10">
        <v>10296</v>
      </c>
      <c r="B2787" s="9">
        <v>21</v>
      </c>
      <c r="C2787" s="9">
        <v>4519</v>
      </c>
      <c r="D2787" s="9">
        <f>PRODUCT(sales_data_sample[[#This Row],[QUANTITYORDERED]],sales_data_sample[[#This Row],[PRICEEACH]])</f>
        <v>94899</v>
      </c>
      <c r="E2787" s="9">
        <f>IF(OR(sales_data_sample[[#This Row],[STATUS]]="Shipped",sales_data_sample[[#This Row],[STATUS]]="Resolved"),sales_data_sample[[#This Row],[SALES]],0)</f>
        <v>94899</v>
      </c>
      <c r="F2787" s="10">
        <v>10</v>
      </c>
      <c r="G2787" s="12" t="s">
        <v>852</v>
      </c>
      <c r="H2787" s="1" t="s">
        <v>26</v>
      </c>
      <c r="I2787">
        <v>3</v>
      </c>
      <c r="J2787">
        <v>9</v>
      </c>
      <c r="K2787">
        <v>2004</v>
      </c>
      <c r="L2787" s="1" t="s">
        <v>839</v>
      </c>
      <c r="M2787">
        <v>49</v>
      </c>
      <c r="N2787" s="1" t="s">
        <v>1015</v>
      </c>
      <c r="O2787" s="1" t="s">
        <v>853</v>
      </c>
      <c r="P2787" s="1" t="s">
        <v>854</v>
      </c>
      <c r="Q2787" s="1" t="s">
        <v>855</v>
      </c>
      <c r="R2787" s="1" t="s">
        <v>32</v>
      </c>
      <c r="S2787" s="1" t="s">
        <v>856</v>
      </c>
      <c r="T2787" s="1" t="s">
        <v>32</v>
      </c>
      <c r="U2787" s="1" t="s">
        <v>857</v>
      </c>
      <c r="V2787" s="1" t="s">
        <v>617</v>
      </c>
      <c r="W2787" s="1" t="s">
        <v>48</v>
      </c>
      <c r="X2787" s="1" t="s">
        <v>858</v>
      </c>
      <c r="Y2787" s="1" t="s">
        <v>130</v>
      </c>
      <c r="Z2787" s="1" t="str">
        <f>TRIM(_xlfn.CONCAT(sales_data_sample[[#This Row],[CONTACTFIRSTNAME]],", ",sales_data_sample[[#This Row],[CONTACTLASTNAME]]))</f>
        <v>Michael, Donnermeyer</v>
      </c>
      <c r="AA2787" s="1" t="s">
        <v>40</v>
      </c>
    </row>
    <row r="2788" spans="1:27" x14ac:dyDescent="0.25">
      <c r="A2788" s="10">
        <v>10307</v>
      </c>
      <c r="B2788" s="9">
        <v>34</v>
      </c>
      <c r="C2788" s="9">
        <v>5363</v>
      </c>
      <c r="D2788" s="9">
        <f>PRODUCT(sales_data_sample[[#This Row],[QUANTITYORDERED]],sales_data_sample[[#This Row],[PRICEEACH]])</f>
        <v>182342</v>
      </c>
      <c r="E2788" s="9">
        <f>IF(OR(sales_data_sample[[#This Row],[STATUS]]="Shipped",sales_data_sample[[#This Row],[STATUS]]="Resolved"),sales_data_sample[[#This Row],[SALES]],0)</f>
        <v>182342</v>
      </c>
      <c r="F2788" s="10">
        <v>4</v>
      </c>
      <c r="G2788" s="12" t="s">
        <v>522</v>
      </c>
      <c r="H2788" s="1" t="s">
        <v>26</v>
      </c>
      <c r="I2788">
        <v>4</v>
      </c>
      <c r="J2788">
        <v>10</v>
      </c>
      <c r="K2788">
        <v>2004</v>
      </c>
      <c r="L2788" s="1" t="s">
        <v>839</v>
      </c>
      <c r="M2788">
        <v>49</v>
      </c>
      <c r="N2788" s="1" t="s">
        <v>1015</v>
      </c>
      <c r="O2788" s="1" t="s">
        <v>283</v>
      </c>
      <c r="P2788" s="1" t="s">
        <v>284</v>
      </c>
      <c r="Q2788" s="1" t="s">
        <v>285</v>
      </c>
      <c r="R2788" s="1" t="s">
        <v>32</v>
      </c>
      <c r="S2788" s="1" t="s">
        <v>286</v>
      </c>
      <c r="T2788" s="1" t="s">
        <v>186</v>
      </c>
      <c r="U2788" s="1" t="s">
        <v>287</v>
      </c>
      <c r="V2788" s="1" t="s">
        <v>36</v>
      </c>
      <c r="W2788" s="1" t="s">
        <v>37</v>
      </c>
      <c r="X2788" s="1" t="s">
        <v>288</v>
      </c>
      <c r="Y2788" s="1" t="s">
        <v>289</v>
      </c>
      <c r="Z2788" s="1" t="str">
        <f>TRIM(_xlfn.CONCAT(sales_data_sample[[#This Row],[CONTACTFIRSTNAME]],", ",sales_data_sample[[#This Row],[CONTACTLASTNAME]]))</f>
        <v>Francisca, Cervantes</v>
      </c>
      <c r="AA2788" s="1" t="s">
        <v>40</v>
      </c>
    </row>
    <row r="2789" spans="1:27" x14ac:dyDescent="0.25">
      <c r="A2789" s="10">
        <v>10316</v>
      </c>
      <c r="B2789" s="9">
        <v>34</v>
      </c>
      <c r="C2789" s="9">
        <v>437</v>
      </c>
      <c r="D2789" s="9">
        <f>PRODUCT(sales_data_sample[[#This Row],[QUANTITYORDERED]],sales_data_sample[[#This Row],[PRICEEACH]])</f>
        <v>14858</v>
      </c>
      <c r="E2789" s="9">
        <f>IF(OR(sales_data_sample[[#This Row],[STATUS]]="Shipped",sales_data_sample[[#This Row],[STATUS]]="Resolved"),sales_data_sample[[#This Row],[SALES]],0)</f>
        <v>14858</v>
      </c>
      <c r="F2789" s="10">
        <v>12</v>
      </c>
      <c r="G2789" s="12" t="s">
        <v>523</v>
      </c>
      <c r="H2789" s="1" t="s">
        <v>26</v>
      </c>
      <c r="I2789">
        <v>4</v>
      </c>
      <c r="J2789">
        <v>11</v>
      </c>
      <c r="K2789">
        <v>2004</v>
      </c>
      <c r="L2789" s="1" t="s">
        <v>839</v>
      </c>
      <c r="M2789">
        <v>49</v>
      </c>
      <c r="N2789" s="1" t="s">
        <v>1015</v>
      </c>
      <c r="O2789" s="1" t="s">
        <v>524</v>
      </c>
      <c r="P2789" s="1" t="s">
        <v>525</v>
      </c>
      <c r="Q2789" s="1" t="s">
        <v>526</v>
      </c>
      <c r="R2789" s="1" t="s">
        <v>32</v>
      </c>
      <c r="S2789" s="1" t="s">
        <v>527</v>
      </c>
      <c r="T2789" s="1" t="s">
        <v>528</v>
      </c>
      <c r="U2789" s="1" t="s">
        <v>529</v>
      </c>
      <c r="V2789" s="1" t="s">
        <v>225</v>
      </c>
      <c r="W2789" s="1" t="s">
        <v>48</v>
      </c>
      <c r="X2789" s="1" t="s">
        <v>530</v>
      </c>
      <c r="Y2789" s="1" t="s">
        <v>531</v>
      </c>
      <c r="Z2789" s="1" t="str">
        <f>TRIM(_xlfn.CONCAT(sales_data_sample[[#This Row],[CONTACTFIRSTNAME]],", ",sales_data_sample[[#This Row],[CONTACTLASTNAME]]))</f>
        <v>Helen, Bennett</v>
      </c>
      <c r="AA2789" s="1" t="s">
        <v>40</v>
      </c>
    </row>
    <row r="2790" spans="1:27" x14ac:dyDescent="0.25">
      <c r="A2790" s="10">
        <v>10329</v>
      </c>
      <c r="B2790" s="9">
        <v>44</v>
      </c>
      <c r="C2790" s="9">
        <v>8613</v>
      </c>
      <c r="D2790" s="9">
        <f>PRODUCT(sales_data_sample[[#This Row],[QUANTITYORDERED]],sales_data_sample[[#This Row],[PRICEEACH]])</f>
        <v>378972</v>
      </c>
      <c r="E2790" s="9">
        <f>IF(OR(sales_data_sample[[#This Row],[STATUS]]="Shipped",sales_data_sample[[#This Row],[STATUS]]="Resolved"),sales_data_sample[[#This Row],[SALES]],0)</f>
        <v>378972</v>
      </c>
      <c r="F2790" s="10">
        <v>8</v>
      </c>
      <c r="G2790" s="12" t="s">
        <v>189</v>
      </c>
      <c r="H2790" s="1" t="s">
        <v>26</v>
      </c>
      <c r="I2790">
        <v>4</v>
      </c>
      <c r="J2790">
        <v>11</v>
      </c>
      <c r="K2790">
        <v>2004</v>
      </c>
      <c r="L2790" s="1" t="s">
        <v>839</v>
      </c>
      <c r="M2790">
        <v>49</v>
      </c>
      <c r="N2790" s="1" t="s">
        <v>1015</v>
      </c>
      <c r="O2790" s="1" t="s">
        <v>29</v>
      </c>
      <c r="P2790" s="1" t="s">
        <v>30</v>
      </c>
      <c r="Q2790" s="1" t="s">
        <v>31</v>
      </c>
      <c r="R2790" s="1" t="s">
        <v>32</v>
      </c>
      <c r="S2790" s="1" t="s">
        <v>33</v>
      </c>
      <c r="T2790" s="1" t="s">
        <v>34</v>
      </c>
      <c r="U2790" s="1" t="s">
        <v>35</v>
      </c>
      <c r="V2790" s="1" t="s">
        <v>36</v>
      </c>
      <c r="W2790" s="1" t="s">
        <v>37</v>
      </c>
      <c r="X2790" s="1" t="s">
        <v>38</v>
      </c>
      <c r="Y2790" s="1" t="s">
        <v>39</v>
      </c>
      <c r="Z2790" s="1" t="str">
        <f>TRIM(_xlfn.CONCAT(sales_data_sample[[#This Row],[CONTACTFIRSTNAME]],", ",sales_data_sample[[#This Row],[CONTACTLASTNAME]]))</f>
        <v>Kwai, Yu</v>
      </c>
      <c r="AA2790" s="1" t="s">
        <v>59</v>
      </c>
    </row>
    <row r="2791" spans="1:27" x14ac:dyDescent="0.25">
      <c r="A2791" s="10">
        <v>10339</v>
      </c>
      <c r="B2791" s="9">
        <v>27</v>
      </c>
      <c r="C2791" s="9">
        <v>7631</v>
      </c>
      <c r="D2791" s="9">
        <f>PRODUCT(sales_data_sample[[#This Row],[QUANTITYORDERED]],sales_data_sample[[#This Row],[PRICEEACH]])</f>
        <v>206037</v>
      </c>
      <c r="E2791" s="9">
        <f>IF(OR(sales_data_sample[[#This Row],[STATUS]]="Shipped",sales_data_sample[[#This Row],[STATUS]]="Resolved"),sales_data_sample[[#This Row],[SALES]],0)</f>
        <v>206037</v>
      </c>
      <c r="F2791" s="10">
        <v>6</v>
      </c>
      <c r="G2791" s="12" t="s">
        <v>430</v>
      </c>
      <c r="H2791" s="1" t="s">
        <v>26</v>
      </c>
      <c r="I2791">
        <v>4</v>
      </c>
      <c r="J2791">
        <v>11</v>
      </c>
      <c r="K2791">
        <v>2004</v>
      </c>
      <c r="L2791" s="1" t="s">
        <v>839</v>
      </c>
      <c r="M2791">
        <v>49</v>
      </c>
      <c r="N2791" s="1" t="s">
        <v>1015</v>
      </c>
      <c r="O2791" s="1" t="s">
        <v>328</v>
      </c>
      <c r="P2791" s="1" t="s">
        <v>329</v>
      </c>
      <c r="Q2791" s="1" t="s">
        <v>330</v>
      </c>
      <c r="R2791" s="1" t="s">
        <v>32</v>
      </c>
      <c r="S2791" s="1" t="s">
        <v>331</v>
      </c>
      <c r="T2791" s="1" t="s">
        <v>332</v>
      </c>
      <c r="U2791" s="1" t="s">
        <v>333</v>
      </c>
      <c r="V2791" s="1" t="s">
        <v>264</v>
      </c>
      <c r="W2791" s="1" t="s">
        <v>264</v>
      </c>
      <c r="X2791" s="1" t="s">
        <v>334</v>
      </c>
      <c r="Y2791" s="1" t="s">
        <v>335</v>
      </c>
      <c r="Z2791" s="1" t="str">
        <f>TRIM(_xlfn.CONCAT(sales_data_sample[[#This Row],[CONTACTFIRSTNAME]],", ",sales_data_sample[[#This Row],[CONTACTLASTNAME]]))</f>
        <v>Akiko, Shimamura</v>
      </c>
      <c r="AA2791" s="1" t="s">
        <v>40</v>
      </c>
    </row>
    <row r="2792" spans="1:27" x14ac:dyDescent="0.25">
      <c r="A2792" s="10">
        <v>10352</v>
      </c>
      <c r="B2792" s="9">
        <v>49</v>
      </c>
      <c r="C2792" s="9">
        <v>5264</v>
      </c>
      <c r="D2792" s="9">
        <f>PRODUCT(sales_data_sample[[#This Row],[QUANTITYORDERED]],sales_data_sample[[#This Row],[PRICEEACH]])</f>
        <v>257936</v>
      </c>
      <c r="E2792" s="9">
        <f>IF(OR(sales_data_sample[[#This Row],[STATUS]]="Shipped",sales_data_sample[[#This Row],[STATUS]]="Resolved"),sales_data_sample[[#This Row],[SALES]],0)</f>
        <v>257936</v>
      </c>
      <c r="F2792" s="10">
        <v>4</v>
      </c>
      <c r="G2792" s="12" t="s">
        <v>868</v>
      </c>
      <c r="H2792" s="1" t="s">
        <v>26</v>
      </c>
      <c r="I2792">
        <v>4</v>
      </c>
      <c r="J2792">
        <v>12</v>
      </c>
      <c r="K2792">
        <v>2004</v>
      </c>
      <c r="L2792" s="1" t="s">
        <v>839</v>
      </c>
      <c r="M2792">
        <v>49</v>
      </c>
      <c r="N2792" s="1" t="s">
        <v>1015</v>
      </c>
      <c r="O2792" s="1" t="s">
        <v>907</v>
      </c>
      <c r="P2792" s="1" t="s">
        <v>908</v>
      </c>
      <c r="Q2792" s="1" t="s">
        <v>909</v>
      </c>
      <c r="R2792" s="1" t="s">
        <v>32</v>
      </c>
      <c r="S2792" s="1" t="s">
        <v>380</v>
      </c>
      <c r="T2792" s="1" t="s">
        <v>160</v>
      </c>
      <c r="U2792" s="1" t="s">
        <v>381</v>
      </c>
      <c r="V2792" s="1" t="s">
        <v>36</v>
      </c>
      <c r="W2792" s="1" t="s">
        <v>37</v>
      </c>
      <c r="X2792" s="1" t="s">
        <v>757</v>
      </c>
      <c r="Y2792" s="1" t="s">
        <v>326</v>
      </c>
      <c r="Z2792" s="1" t="str">
        <f>TRIM(_xlfn.CONCAT(sales_data_sample[[#This Row],[CONTACTFIRSTNAME]],", ",sales_data_sample[[#This Row],[CONTACTLASTNAME]]))</f>
        <v>Leslie, Taylor</v>
      </c>
      <c r="AA2792" s="1" t="s">
        <v>40</v>
      </c>
    </row>
    <row r="2793" spans="1:27" x14ac:dyDescent="0.25">
      <c r="A2793">
        <v>10361</v>
      </c>
      <c r="B2793">
        <v>23</v>
      </c>
      <c r="C2793">
        <v>952</v>
      </c>
      <c r="D2793">
        <f>PRODUCT(sales_data_sample[[#This Row],[QUANTITYORDERED]],sales_data_sample[[#This Row],[PRICEEACH]])</f>
        <v>21896</v>
      </c>
      <c r="E2793" s="9">
        <f>IF(OR(sales_data_sample[[#This Row],[STATUS]]="Shipped",sales_data_sample[[#This Row],[STATUS]]="Resolved"),sales_data_sample[[#This Row],[SALES]],0)</f>
        <v>21896</v>
      </c>
      <c r="F2793">
        <v>12</v>
      </c>
      <c r="G2793" s="12" t="s">
        <v>200</v>
      </c>
      <c r="H2793" s="1" t="s">
        <v>26</v>
      </c>
      <c r="I2793">
        <v>4</v>
      </c>
      <c r="J2793">
        <v>12</v>
      </c>
      <c r="K2793">
        <v>2004</v>
      </c>
      <c r="L2793" s="1" t="s">
        <v>839</v>
      </c>
      <c r="M2793">
        <v>49</v>
      </c>
      <c r="N2793" s="1" t="s">
        <v>1015</v>
      </c>
      <c r="O2793" s="1" t="s">
        <v>201</v>
      </c>
      <c r="P2793" s="1" t="s">
        <v>202</v>
      </c>
      <c r="Q2793" s="1" t="s">
        <v>203</v>
      </c>
      <c r="R2793" s="1" t="s">
        <v>204</v>
      </c>
      <c r="S2793" s="1" t="s">
        <v>205</v>
      </c>
      <c r="T2793" s="1" t="s">
        <v>206</v>
      </c>
      <c r="U2793" s="1" t="s">
        <v>207</v>
      </c>
      <c r="V2793" s="1" t="s">
        <v>120</v>
      </c>
      <c r="W2793" s="1" t="s">
        <v>121</v>
      </c>
      <c r="X2793" s="1" t="s">
        <v>208</v>
      </c>
      <c r="Y2793" s="1" t="s">
        <v>209</v>
      </c>
      <c r="Z2793" s="1" t="str">
        <f>TRIM(_xlfn.CONCAT(sales_data_sample[[#This Row],[CONTACTFIRSTNAME]],", ",sales_data_sample[[#This Row],[CONTACTLASTNAME]]))</f>
        <v>Adrian, Huxley</v>
      </c>
      <c r="AA2793" s="1" t="s">
        <v>40</v>
      </c>
    </row>
    <row r="2794" spans="1:27" x14ac:dyDescent="0.25">
      <c r="A2794" s="10">
        <v>10373</v>
      </c>
      <c r="B2794" s="9">
        <v>25</v>
      </c>
      <c r="C2794" s="9">
        <v>6497</v>
      </c>
      <c r="D2794" s="9">
        <f>PRODUCT(sales_data_sample[[#This Row],[QUANTITYORDERED]],sales_data_sample[[#This Row],[PRICEEACH]])</f>
        <v>162425</v>
      </c>
      <c r="E2794" s="9">
        <f>IF(OR(sales_data_sample[[#This Row],[STATUS]]="Shipped",sales_data_sample[[#This Row],[STATUS]]="Resolved"),sales_data_sample[[#This Row],[SALES]],0)</f>
        <v>162425</v>
      </c>
      <c r="F2794" s="10">
        <v>9</v>
      </c>
      <c r="G2794" s="12" t="s">
        <v>536</v>
      </c>
      <c r="H2794" s="1" t="s">
        <v>26</v>
      </c>
      <c r="I2794">
        <v>1</v>
      </c>
      <c r="J2794">
        <v>1</v>
      </c>
      <c r="K2794">
        <v>2005</v>
      </c>
      <c r="L2794" s="1" t="s">
        <v>839</v>
      </c>
      <c r="M2794">
        <v>49</v>
      </c>
      <c r="N2794" s="1" t="s">
        <v>1015</v>
      </c>
      <c r="O2794" s="1" t="s">
        <v>537</v>
      </c>
      <c r="P2794" s="1" t="s">
        <v>538</v>
      </c>
      <c r="Q2794" s="1" t="s">
        <v>539</v>
      </c>
      <c r="R2794" s="1" t="s">
        <v>32</v>
      </c>
      <c r="S2794" s="1" t="s">
        <v>540</v>
      </c>
      <c r="T2794" s="1" t="s">
        <v>32</v>
      </c>
      <c r="U2794" s="1" t="s">
        <v>541</v>
      </c>
      <c r="V2794" s="1" t="s">
        <v>170</v>
      </c>
      <c r="W2794" s="1" t="s">
        <v>48</v>
      </c>
      <c r="X2794" s="1" t="s">
        <v>542</v>
      </c>
      <c r="Y2794" s="1" t="s">
        <v>543</v>
      </c>
      <c r="Z2794" s="1" t="str">
        <f>TRIM(_xlfn.CONCAT(sales_data_sample[[#This Row],[CONTACTFIRSTNAME]],", ",sales_data_sample[[#This Row],[CONTACTLASTNAME]]))</f>
        <v>Pirkko, Koskitalo</v>
      </c>
      <c r="AA2794" s="1" t="s">
        <v>40</v>
      </c>
    </row>
    <row r="2795" spans="1:27" x14ac:dyDescent="0.25">
      <c r="A2795" s="10">
        <v>10386</v>
      </c>
      <c r="B2795" s="9">
        <v>50</v>
      </c>
      <c r="C2795" s="9">
        <v>8715</v>
      </c>
      <c r="D2795" s="9">
        <f>PRODUCT(sales_data_sample[[#This Row],[QUANTITYORDERED]],sales_data_sample[[#This Row],[PRICEEACH]])</f>
        <v>435750</v>
      </c>
      <c r="E2795" s="9">
        <f>IF(OR(sales_data_sample[[#This Row],[STATUS]]="Shipped",sales_data_sample[[#This Row],[STATUS]]="Resolved"),sales_data_sample[[#This Row],[SALES]],0)</f>
        <v>435750</v>
      </c>
      <c r="F2795" s="10">
        <v>16</v>
      </c>
      <c r="G2795" s="12" t="s">
        <v>869</v>
      </c>
      <c r="H2795" s="1" t="s">
        <v>563</v>
      </c>
      <c r="I2795">
        <v>1</v>
      </c>
      <c r="J2795">
        <v>3</v>
      </c>
      <c r="K2795">
        <v>2005</v>
      </c>
      <c r="L2795" s="1" t="s">
        <v>839</v>
      </c>
      <c r="M2795">
        <v>49</v>
      </c>
      <c r="N2795" s="1" t="s">
        <v>1015</v>
      </c>
      <c r="O2795" s="1" t="s">
        <v>230</v>
      </c>
      <c r="P2795" s="1" t="s">
        <v>231</v>
      </c>
      <c r="Q2795" s="1" t="s">
        <v>232</v>
      </c>
      <c r="R2795" s="1" t="s">
        <v>32</v>
      </c>
      <c r="S2795" s="1" t="s">
        <v>233</v>
      </c>
      <c r="T2795" s="1" t="s">
        <v>32</v>
      </c>
      <c r="U2795" s="1" t="s">
        <v>234</v>
      </c>
      <c r="V2795" s="1" t="s">
        <v>235</v>
      </c>
      <c r="W2795" s="1" t="s">
        <v>48</v>
      </c>
      <c r="X2795" s="1" t="s">
        <v>236</v>
      </c>
      <c r="Y2795" s="1" t="s">
        <v>237</v>
      </c>
      <c r="Z2795" s="1" t="str">
        <f>TRIM(_xlfn.CONCAT(sales_data_sample[[#This Row],[CONTACTFIRSTNAME]],", ",sales_data_sample[[#This Row],[CONTACTLASTNAME]]))</f>
        <v>Diego, Freyre</v>
      </c>
      <c r="AA2795" s="1" t="s">
        <v>59</v>
      </c>
    </row>
    <row r="2796" spans="1:27" x14ac:dyDescent="0.25">
      <c r="A2796" s="10">
        <v>10398</v>
      </c>
      <c r="B2796" s="9">
        <v>34</v>
      </c>
      <c r="C2796" s="9">
        <v>4022</v>
      </c>
      <c r="D2796" s="9">
        <f>PRODUCT(sales_data_sample[[#This Row],[QUANTITYORDERED]],sales_data_sample[[#This Row],[PRICEEACH]])</f>
        <v>136748</v>
      </c>
      <c r="E2796" s="9">
        <f>IF(OR(sales_data_sample[[#This Row],[STATUS]]="Shipped",sales_data_sample[[#This Row],[STATUS]]="Resolved"),sales_data_sample[[#This Row],[SALES]],0)</f>
        <v>136748</v>
      </c>
      <c r="F2796" s="10">
        <v>1</v>
      </c>
      <c r="G2796" s="12" t="s">
        <v>870</v>
      </c>
      <c r="H2796" s="1" t="s">
        <v>26</v>
      </c>
      <c r="I2796">
        <v>1</v>
      </c>
      <c r="J2796">
        <v>3</v>
      </c>
      <c r="K2796">
        <v>2005</v>
      </c>
      <c r="L2796" s="1" t="s">
        <v>839</v>
      </c>
      <c r="M2796">
        <v>49</v>
      </c>
      <c r="N2796" s="1" t="s">
        <v>1015</v>
      </c>
      <c r="O2796" s="1" t="s">
        <v>42</v>
      </c>
      <c r="P2796" s="1" t="s">
        <v>43</v>
      </c>
      <c r="Q2796" s="1" t="s">
        <v>44</v>
      </c>
      <c r="R2796" s="1" t="s">
        <v>32</v>
      </c>
      <c r="S2796" s="1" t="s">
        <v>45</v>
      </c>
      <c r="T2796" s="1" t="s">
        <v>32</v>
      </c>
      <c r="U2796" s="1" t="s">
        <v>46</v>
      </c>
      <c r="V2796" s="1" t="s">
        <v>47</v>
      </c>
      <c r="W2796" s="1" t="s">
        <v>48</v>
      </c>
      <c r="X2796" s="1" t="s">
        <v>49</v>
      </c>
      <c r="Y2796" s="1" t="s">
        <v>50</v>
      </c>
      <c r="Z2796" s="1" t="str">
        <f>TRIM(_xlfn.CONCAT(sales_data_sample[[#This Row],[CONTACTFIRSTNAME]],", ",sales_data_sample[[#This Row],[CONTACTLASTNAME]]))</f>
        <v>Paul, Henriot</v>
      </c>
      <c r="AA2796" s="1" t="s">
        <v>40</v>
      </c>
    </row>
    <row r="2797" spans="1:27" x14ac:dyDescent="0.25">
      <c r="A2797" s="10">
        <v>10400</v>
      </c>
      <c r="B2797" s="9">
        <v>20</v>
      </c>
      <c r="C2797" s="9">
        <v>5612</v>
      </c>
      <c r="D2797" s="9">
        <f>PRODUCT(sales_data_sample[[#This Row],[QUANTITYORDERED]],sales_data_sample[[#This Row],[PRICEEACH]])</f>
        <v>112240</v>
      </c>
      <c r="E2797" s="9">
        <f>IF(OR(sales_data_sample[[#This Row],[STATUS]]="Shipped",sales_data_sample[[#This Row],[STATUS]]="Resolved"),sales_data_sample[[#This Row],[SALES]],0)</f>
        <v>112240</v>
      </c>
      <c r="F2797" s="10">
        <v>4</v>
      </c>
      <c r="G2797" s="12" t="s">
        <v>546</v>
      </c>
      <c r="H2797" s="1" t="s">
        <v>26</v>
      </c>
      <c r="I2797">
        <v>2</v>
      </c>
      <c r="J2797">
        <v>4</v>
      </c>
      <c r="K2797">
        <v>2005</v>
      </c>
      <c r="L2797" s="1" t="s">
        <v>839</v>
      </c>
      <c r="M2797">
        <v>49</v>
      </c>
      <c r="N2797" s="1" t="s">
        <v>1015</v>
      </c>
      <c r="O2797" s="1" t="s">
        <v>547</v>
      </c>
      <c r="P2797" s="1" t="s">
        <v>548</v>
      </c>
      <c r="Q2797" s="1" t="s">
        <v>549</v>
      </c>
      <c r="R2797" s="1" t="s">
        <v>32</v>
      </c>
      <c r="S2797" s="1" t="s">
        <v>550</v>
      </c>
      <c r="T2797" s="1" t="s">
        <v>65</v>
      </c>
      <c r="U2797" s="1" t="s">
        <v>80</v>
      </c>
      <c r="V2797" s="1" t="s">
        <v>36</v>
      </c>
      <c r="W2797" s="1" t="s">
        <v>37</v>
      </c>
      <c r="X2797" s="1" t="s">
        <v>129</v>
      </c>
      <c r="Y2797" s="1" t="s">
        <v>551</v>
      </c>
      <c r="Z2797" s="1" t="str">
        <f>TRIM(_xlfn.CONCAT(sales_data_sample[[#This Row],[CONTACTFIRSTNAME]],", ",sales_data_sample[[#This Row],[CONTACTLASTNAME]]))</f>
        <v>Sue, Frick</v>
      </c>
      <c r="AA2797" s="1" t="s">
        <v>40</v>
      </c>
    </row>
    <row r="2798" spans="1:27" x14ac:dyDescent="0.25">
      <c r="A2798" s="10">
        <v>10415</v>
      </c>
      <c r="B2798" s="9">
        <v>42</v>
      </c>
      <c r="C2798" s="9">
        <v>5761</v>
      </c>
      <c r="D2798" s="9">
        <f>PRODUCT(sales_data_sample[[#This Row],[QUANTITYORDERED]],sales_data_sample[[#This Row],[PRICEEACH]])</f>
        <v>241962</v>
      </c>
      <c r="E2798" s="9">
        <f>IF(OR(sales_data_sample[[#This Row],[STATUS]]="Shipped",sales_data_sample[[#This Row],[STATUS]]="Resolved"),sales_data_sample[[#This Row],[SALES]],0)</f>
        <v>0</v>
      </c>
      <c r="F2798" s="10">
        <v>3</v>
      </c>
      <c r="G2798" s="12" t="s">
        <v>937</v>
      </c>
      <c r="H2798" s="1" t="s">
        <v>229</v>
      </c>
      <c r="I2798">
        <v>2</v>
      </c>
      <c r="J2798">
        <v>5</v>
      </c>
      <c r="K2798">
        <v>2005</v>
      </c>
      <c r="L2798" s="1" t="s">
        <v>839</v>
      </c>
      <c r="M2798">
        <v>49</v>
      </c>
      <c r="N2798" s="1" t="s">
        <v>1015</v>
      </c>
      <c r="O2798" s="1" t="s">
        <v>814</v>
      </c>
      <c r="P2798" s="1" t="s">
        <v>815</v>
      </c>
      <c r="Q2798" s="1" t="s">
        <v>816</v>
      </c>
      <c r="R2798" s="1" t="s">
        <v>32</v>
      </c>
      <c r="S2798" s="1" t="s">
        <v>817</v>
      </c>
      <c r="T2798" s="1" t="s">
        <v>118</v>
      </c>
      <c r="U2798" s="1" t="s">
        <v>818</v>
      </c>
      <c r="V2798" s="1" t="s">
        <v>120</v>
      </c>
      <c r="W2798" s="1" t="s">
        <v>121</v>
      </c>
      <c r="X2798" s="1" t="s">
        <v>819</v>
      </c>
      <c r="Y2798" s="1" t="s">
        <v>820</v>
      </c>
      <c r="Z2798" s="1" t="str">
        <f>TRIM(_xlfn.CONCAT(sales_data_sample[[#This Row],[CONTACTFIRSTNAME]],", ",sales_data_sample[[#This Row],[CONTACTLASTNAME]]))</f>
        <v>Sean, Connery</v>
      </c>
      <c r="AA2798" s="1" t="s">
        <v>40</v>
      </c>
    </row>
    <row r="2799" spans="1:27" x14ac:dyDescent="0.25">
      <c r="A2799" s="10">
        <v>10105</v>
      </c>
      <c r="B2799" s="9">
        <v>25</v>
      </c>
      <c r="C2799" s="9">
        <v>5678</v>
      </c>
      <c r="D2799" s="9">
        <f>PRODUCT(sales_data_sample[[#This Row],[QUANTITYORDERED]],sales_data_sample[[#This Row],[PRICEEACH]])</f>
        <v>141950</v>
      </c>
      <c r="E2799" s="9">
        <f>IF(OR(sales_data_sample[[#This Row],[STATUS]]="Shipped",sales_data_sample[[#This Row],[STATUS]]="Resolved"),sales_data_sample[[#This Row],[SALES]],0)</f>
        <v>141950</v>
      </c>
      <c r="F2799" s="10">
        <v>8</v>
      </c>
      <c r="G2799" s="12" t="s">
        <v>435</v>
      </c>
      <c r="H2799" s="1" t="s">
        <v>26</v>
      </c>
      <c r="I2799">
        <v>1</v>
      </c>
      <c r="J2799">
        <v>2</v>
      </c>
      <c r="K2799">
        <v>2003</v>
      </c>
      <c r="L2799" s="1" t="s">
        <v>905</v>
      </c>
      <c r="M2799">
        <v>54</v>
      </c>
      <c r="N2799" s="1" t="s">
        <v>1016</v>
      </c>
      <c r="O2799" s="1" t="s">
        <v>437</v>
      </c>
      <c r="P2799" s="1" t="s">
        <v>438</v>
      </c>
      <c r="Q2799" s="1" t="s">
        <v>439</v>
      </c>
      <c r="R2799" s="1" t="s">
        <v>32</v>
      </c>
      <c r="S2799" s="1" t="s">
        <v>440</v>
      </c>
      <c r="T2799" s="1" t="s">
        <v>32</v>
      </c>
      <c r="U2799" s="1" t="s">
        <v>441</v>
      </c>
      <c r="V2799" s="1" t="s">
        <v>442</v>
      </c>
      <c r="W2799" s="1" t="s">
        <v>48</v>
      </c>
      <c r="X2799" s="1" t="s">
        <v>443</v>
      </c>
      <c r="Y2799" s="1" t="s">
        <v>444</v>
      </c>
      <c r="Z2799" s="1" t="str">
        <f>TRIM(_xlfn.CONCAT(sales_data_sample[[#This Row],[CONTACTFIRSTNAME]],", ",sales_data_sample[[#This Row],[CONTACTLASTNAME]]))</f>
        <v>Jytte, Petersen</v>
      </c>
      <c r="AA2799" s="1" t="s">
        <v>40</v>
      </c>
    </row>
    <row r="2800" spans="1:27" x14ac:dyDescent="0.25">
      <c r="A2800" s="10">
        <v>10117</v>
      </c>
      <c r="B2800" s="9">
        <v>50</v>
      </c>
      <c r="C2800" s="9">
        <v>4368</v>
      </c>
      <c r="D2800" s="9">
        <f>PRODUCT(sales_data_sample[[#This Row],[QUANTITYORDERED]],sales_data_sample[[#This Row],[PRICEEACH]])</f>
        <v>218400</v>
      </c>
      <c r="E2800" s="9">
        <f>IF(OR(sales_data_sample[[#This Row],[STATUS]]="Shipped",sales_data_sample[[#This Row],[STATUS]]="Resolved"),sales_data_sample[[#This Row],[SALES]],0)</f>
        <v>218400</v>
      </c>
      <c r="F2800" s="10">
        <v>2</v>
      </c>
      <c r="G2800" s="12" t="s">
        <v>665</v>
      </c>
      <c r="H2800" s="1" t="s">
        <v>26</v>
      </c>
      <c r="I2800">
        <v>2</v>
      </c>
      <c r="J2800">
        <v>4</v>
      </c>
      <c r="K2800">
        <v>2003</v>
      </c>
      <c r="L2800" s="1" t="s">
        <v>905</v>
      </c>
      <c r="M2800">
        <v>54</v>
      </c>
      <c r="N2800" s="1" t="s">
        <v>1016</v>
      </c>
      <c r="O2800" s="1" t="s">
        <v>259</v>
      </c>
      <c r="P2800" s="1" t="s">
        <v>260</v>
      </c>
      <c r="Q2800" s="1" t="s">
        <v>261</v>
      </c>
      <c r="R2800" s="1" t="s">
        <v>32</v>
      </c>
      <c r="S2800" s="1" t="s">
        <v>262</v>
      </c>
      <c r="T2800" s="1" t="s">
        <v>32</v>
      </c>
      <c r="U2800" s="1" t="s">
        <v>263</v>
      </c>
      <c r="V2800" s="1" t="s">
        <v>262</v>
      </c>
      <c r="W2800" s="1" t="s">
        <v>264</v>
      </c>
      <c r="X2800" s="1" t="s">
        <v>265</v>
      </c>
      <c r="Y2800" s="1" t="s">
        <v>266</v>
      </c>
      <c r="Z2800" s="1" t="str">
        <f>TRIM(_xlfn.CONCAT(sales_data_sample[[#This Row],[CONTACTFIRSTNAME]],", ",sales_data_sample[[#This Row],[CONTACTLASTNAME]]))</f>
        <v>Eric, Natividad</v>
      </c>
      <c r="AA2800" s="1" t="s">
        <v>40</v>
      </c>
    </row>
    <row r="2801" spans="1:27" x14ac:dyDescent="0.25">
      <c r="A2801" s="10">
        <v>10129</v>
      </c>
      <c r="B2801" s="9">
        <v>32</v>
      </c>
      <c r="C2801" s="9">
        <v>6497</v>
      </c>
      <c r="D2801" s="9">
        <f>PRODUCT(sales_data_sample[[#This Row],[QUANTITYORDERED]],sales_data_sample[[#This Row],[PRICEEACH]])</f>
        <v>207904</v>
      </c>
      <c r="E2801" s="9">
        <f>IF(OR(sales_data_sample[[#This Row],[STATUS]]="Shipped",sales_data_sample[[#This Row],[STATUS]]="Resolved"),sales_data_sample[[#This Row],[SALES]],0)</f>
        <v>207904</v>
      </c>
      <c r="F2801" s="10">
        <v>8</v>
      </c>
      <c r="G2801" s="12" t="s">
        <v>446</v>
      </c>
      <c r="H2801" s="1" t="s">
        <v>26</v>
      </c>
      <c r="I2801">
        <v>2</v>
      </c>
      <c r="J2801">
        <v>6</v>
      </c>
      <c r="K2801">
        <v>2003</v>
      </c>
      <c r="L2801" s="1" t="s">
        <v>905</v>
      </c>
      <c r="M2801">
        <v>54</v>
      </c>
      <c r="N2801" s="1" t="s">
        <v>1016</v>
      </c>
      <c r="O2801" s="1" t="s">
        <v>447</v>
      </c>
      <c r="P2801" s="1" t="s">
        <v>448</v>
      </c>
      <c r="Q2801" s="1" t="s">
        <v>449</v>
      </c>
      <c r="R2801" s="1" t="s">
        <v>32</v>
      </c>
      <c r="S2801" s="1" t="s">
        <v>450</v>
      </c>
      <c r="T2801" s="1" t="s">
        <v>32</v>
      </c>
      <c r="U2801" s="1" t="s">
        <v>451</v>
      </c>
      <c r="V2801" s="1" t="s">
        <v>225</v>
      </c>
      <c r="W2801" s="1" t="s">
        <v>48</v>
      </c>
      <c r="X2801" s="1" t="s">
        <v>74</v>
      </c>
      <c r="Y2801" s="1" t="s">
        <v>452</v>
      </c>
      <c r="Z2801" s="1" t="str">
        <f>TRIM(_xlfn.CONCAT(sales_data_sample[[#This Row],[CONTACTFIRSTNAME]],", ",sales_data_sample[[#This Row],[CONTACTLASTNAME]]))</f>
        <v>Ann, Brown</v>
      </c>
      <c r="AA2801" s="1" t="s">
        <v>40</v>
      </c>
    </row>
    <row r="2802" spans="1:27" x14ac:dyDescent="0.25">
      <c r="A2802" s="10">
        <v>10142</v>
      </c>
      <c r="B2802" s="9">
        <v>39</v>
      </c>
      <c r="C2802" s="9">
        <v>4423</v>
      </c>
      <c r="D2802" s="9">
        <f>PRODUCT(sales_data_sample[[#This Row],[QUANTITYORDERED]],sales_data_sample[[#This Row],[PRICEEACH]])</f>
        <v>172497</v>
      </c>
      <c r="E2802" s="9">
        <f>IF(OR(sales_data_sample[[#This Row],[STATUS]]="Shipped",sales_data_sample[[#This Row],[STATUS]]="Resolved"),sales_data_sample[[#This Row],[SALES]],0)</f>
        <v>172497</v>
      </c>
      <c r="F2802" s="10">
        <v>5</v>
      </c>
      <c r="G2802" s="12" t="s">
        <v>672</v>
      </c>
      <c r="H2802" s="1" t="s">
        <v>26</v>
      </c>
      <c r="I2802">
        <v>3</v>
      </c>
      <c r="J2802">
        <v>8</v>
      </c>
      <c r="K2802">
        <v>2003</v>
      </c>
      <c r="L2802" s="1" t="s">
        <v>905</v>
      </c>
      <c r="M2802">
        <v>54</v>
      </c>
      <c r="N2802" s="1" t="s">
        <v>1016</v>
      </c>
      <c r="O2802" s="1" t="s">
        <v>361</v>
      </c>
      <c r="P2802" s="1" t="s">
        <v>362</v>
      </c>
      <c r="Q2802" s="1" t="s">
        <v>363</v>
      </c>
      <c r="R2802" s="1" t="s">
        <v>32</v>
      </c>
      <c r="S2802" s="1" t="s">
        <v>364</v>
      </c>
      <c r="T2802" s="1" t="s">
        <v>65</v>
      </c>
      <c r="U2802" s="1" t="s">
        <v>145</v>
      </c>
      <c r="V2802" s="1" t="s">
        <v>36</v>
      </c>
      <c r="W2802" s="1" t="s">
        <v>37</v>
      </c>
      <c r="X2802" s="1" t="s">
        <v>365</v>
      </c>
      <c r="Y2802" s="1" t="s">
        <v>366</v>
      </c>
      <c r="Z2802" s="1" t="str">
        <f>TRIM(_xlfn.CONCAT(sales_data_sample[[#This Row],[CONTACTFIRSTNAME]],", ",sales_data_sample[[#This Row],[CONTACTLASTNAME]]))</f>
        <v>Valarie, Nelson</v>
      </c>
      <c r="AA2802" s="1" t="s">
        <v>40</v>
      </c>
    </row>
    <row r="2803" spans="1:27" x14ac:dyDescent="0.25">
      <c r="A2803" s="10">
        <v>10153</v>
      </c>
      <c r="B2803" s="9">
        <v>50</v>
      </c>
      <c r="C2803" s="9">
        <v>6006</v>
      </c>
      <c r="D2803" s="9">
        <f>PRODUCT(sales_data_sample[[#This Row],[QUANTITYORDERED]],sales_data_sample[[#This Row],[PRICEEACH]])</f>
        <v>300300</v>
      </c>
      <c r="E2803" s="9">
        <f>IF(OR(sales_data_sample[[#This Row],[STATUS]]="Shipped",sales_data_sample[[#This Row],[STATUS]]="Resolved"),sales_data_sample[[#This Row],[SALES]],0)</f>
        <v>300300</v>
      </c>
      <c r="F2803" s="10">
        <v>4</v>
      </c>
      <c r="G2803" s="12" t="s">
        <v>673</v>
      </c>
      <c r="H2803" s="1" t="s">
        <v>26</v>
      </c>
      <c r="I2803">
        <v>3</v>
      </c>
      <c r="J2803">
        <v>9</v>
      </c>
      <c r="K2803">
        <v>2003</v>
      </c>
      <c r="L2803" s="1" t="s">
        <v>905</v>
      </c>
      <c r="M2803">
        <v>54</v>
      </c>
      <c r="N2803" s="1" t="s">
        <v>1016</v>
      </c>
      <c r="O2803" s="1" t="s">
        <v>230</v>
      </c>
      <c r="P2803" s="1" t="s">
        <v>231</v>
      </c>
      <c r="Q2803" s="1" t="s">
        <v>232</v>
      </c>
      <c r="R2803" s="1" t="s">
        <v>32</v>
      </c>
      <c r="S2803" s="1" t="s">
        <v>233</v>
      </c>
      <c r="T2803" s="1" t="s">
        <v>32</v>
      </c>
      <c r="U2803" s="1" t="s">
        <v>234</v>
      </c>
      <c r="V2803" s="1" t="s">
        <v>235</v>
      </c>
      <c r="W2803" s="1" t="s">
        <v>48</v>
      </c>
      <c r="X2803" s="1" t="s">
        <v>236</v>
      </c>
      <c r="Y2803" s="1" t="s">
        <v>237</v>
      </c>
      <c r="Z2803" s="1" t="str">
        <f>TRIM(_xlfn.CONCAT(sales_data_sample[[#This Row],[CONTACTFIRSTNAME]],", ",sales_data_sample[[#This Row],[CONTACTLASTNAME]]))</f>
        <v>Diego, Freyre</v>
      </c>
      <c r="AA2803" s="1" t="s">
        <v>59</v>
      </c>
    </row>
    <row r="2804" spans="1:27" x14ac:dyDescent="0.25">
      <c r="A2804" s="10">
        <v>10167</v>
      </c>
      <c r="B2804" s="9">
        <v>38</v>
      </c>
      <c r="C2804" s="9">
        <v>4859</v>
      </c>
      <c r="D2804" s="9">
        <f>PRODUCT(sales_data_sample[[#This Row],[QUANTITYORDERED]],sales_data_sample[[#This Row],[PRICEEACH]])</f>
        <v>184642</v>
      </c>
      <c r="E2804" s="9">
        <f>IF(OR(sales_data_sample[[#This Row],[STATUS]]="Shipped",sales_data_sample[[#This Row],[STATUS]]="Resolved"),sales_data_sample[[#This Row],[SALES]],0)</f>
        <v>0</v>
      </c>
      <c r="F2804" s="10">
        <v>15</v>
      </c>
      <c r="G2804" s="12" t="s">
        <v>460</v>
      </c>
      <c r="H2804" s="1" t="s">
        <v>461</v>
      </c>
      <c r="I2804">
        <v>4</v>
      </c>
      <c r="J2804">
        <v>10</v>
      </c>
      <c r="K2804">
        <v>2003</v>
      </c>
      <c r="L2804" s="1" t="s">
        <v>905</v>
      </c>
      <c r="M2804">
        <v>54</v>
      </c>
      <c r="N2804" s="1" t="s">
        <v>1016</v>
      </c>
      <c r="O2804" s="1" t="s">
        <v>347</v>
      </c>
      <c r="P2804" s="1" t="s">
        <v>348</v>
      </c>
      <c r="Q2804" s="1" t="s">
        <v>349</v>
      </c>
      <c r="R2804" s="1" t="s">
        <v>32</v>
      </c>
      <c r="S2804" s="1" t="s">
        <v>350</v>
      </c>
      <c r="T2804" s="1" t="s">
        <v>32</v>
      </c>
      <c r="U2804" s="1" t="s">
        <v>351</v>
      </c>
      <c r="V2804" s="1" t="s">
        <v>247</v>
      </c>
      <c r="W2804" s="1" t="s">
        <v>48</v>
      </c>
      <c r="X2804" s="1" t="s">
        <v>352</v>
      </c>
      <c r="Y2804" s="1" t="s">
        <v>272</v>
      </c>
      <c r="Z2804" s="1" t="str">
        <f>TRIM(_xlfn.CONCAT(sales_data_sample[[#This Row],[CONTACTFIRSTNAME]],", ",sales_data_sample[[#This Row],[CONTACTLASTNAME]]))</f>
        <v>Maria, Larsson</v>
      </c>
      <c r="AA2804" s="1" t="s">
        <v>40</v>
      </c>
    </row>
    <row r="2805" spans="1:27" x14ac:dyDescent="0.25">
      <c r="A2805" s="10">
        <v>10177</v>
      </c>
      <c r="B2805" s="9">
        <v>40</v>
      </c>
      <c r="C2805" s="9">
        <v>5023</v>
      </c>
      <c r="D2805" s="9">
        <f>PRODUCT(sales_data_sample[[#This Row],[QUANTITYORDERED]],sales_data_sample[[#This Row],[PRICEEACH]])</f>
        <v>200920</v>
      </c>
      <c r="E2805" s="9">
        <f>IF(OR(sales_data_sample[[#This Row],[STATUS]]="Shipped",sales_data_sample[[#This Row],[STATUS]]="Resolved"),sales_data_sample[[#This Row],[SALES]],0)</f>
        <v>200920</v>
      </c>
      <c r="F2805" s="10">
        <v>6</v>
      </c>
      <c r="G2805" s="12" t="s">
        <v>913</v>
      </c>
      <c r="H2805" s="1" t="s">
        <v>26</v>
      </c>
      <c r="I2805">
        <v>4</v>
      </c>
      <c r="J2805">
        <v>11</v>
      </c>
      <c r="K2805">
        <v>2003</v>
      </c>
      <c r="L2805" s="1" t="s">
        <v>905</v>
      </c>
      <c r="M2805">
        <v>54</v>
      </c>
      <c r="N2805" s="1" t="s">
        <v>1016</v>
      </c>
      <c r="O2805" s="1" t="s">
        <v>687</v>
      </c>
      <c r="P2805" s="1" t="s">
        <v>688</v>
      </c>
      <c r="Q2805" s="1" t="s">
        <v>689</v>
      </c>
      <c r="R2805" s="1" t="s">
        <v>32</v>
      </c>
      <c r="S2805" s="1" t="s">
        <v>233</v>
      </c>
      <c r="T2805" s="1" t="s">
        <v>32</v>
      </c>
      <c r="U2805" s="1" t="s">
        <v>254</v>
      </c>
      <c r="V2805" s="1" t="s">
        <v>235</v>
      </c>
      <c r="W2805" s="1" t="s">
        <v>48</v>
      </c>
      <c r="X2805" s="1" t="s">
        <v>690</v>
      </c>
      <c r="Y2805" s="1" t="s">
        <v>691</v>
      </c>
      <c r="Z2805" s="1" t="str">
        <f>TRIM(_xlfn.CONCAT(sales_data_sample[[#This Row],[CONTACTFIRSTNAME]],", ",sales_data_sample[[#This Row],[CONTACTLASTNAME]]))</f>
        <v>Jesus, Fernandez</v>
      </c>
      <c r="AA2805" s="1" t="s">
        <v>40</v>
      </c>
    </row>
    <row r="2806" spans="1:27" x14ac:dyDescent="0.25">
      <c r="A2806" s="10">
        <v>10185</v>
      </c>
      <c r="B2806" s="9">
        <v>28</v>
      </c>
      <c r="C2806" s="9">
        <v>6443</v>
      </c>
      <c r="D2806" s="9">
        <f>PRODUCT(sales_data_sample[[#This Row],[QUANTITYORDERED]],sales_data_sample[[#This Row],[PRICEEACH]])</f>
        <v>180404</v>
      </c>
      <c r="E2806" s="9">
        <f>IF(OR(sales_data_sample[[#This Row],[STATUS]]="Shipped",sales_data_sample[[#This Row],[STATUS]]="Resolved"),sales_data_sample[[#This Row],[SALES]],0)</f>
        <v>180404</v>
      </c>
      <c r="F2806" s="10">
        <v>6</v>
      </c>
      <c r="G2806" s="12" t="s">
        <v>470</v>
      </c>
      <c r="H2806" s="1" t="s">
        <v>26</v>
      </c>
      <c r="I2806">
        <v>4</v>
      </c>
      <c r="J2806">
        <v>11</v>
      </c>
      <c r="K2806">
        <v>2003</v>
      </c>
      <c r="L2806" s="1" t="s">
        <v>905</v>
      </c>
      <c r="M2806">
        <v>54</v>
      </c>
      <c r="N2806" s="1" t="s">
        <v>1016</v>
      </c>
      <c r="O2806" s="1" t="s">
        <v>454</v>
      </c>
      <c r="P2806" s="1" t="s">
        <v>455</v>
      </c>
      <c r="Q2806" s="1" t="s">
        <v>456</v>
      </c>
      <c r="R2806" s="1" t="s">
        <v>32</v>
      </c>
      <c r="S2806" s="1" t="s">
        <v>215</v>
      </c>
      <c r="T2806" s="1" t="s">
        <v>160</v>
      </c>
      <c r="U2806" s="1" t="s">
        <v>216</v>
      </c>
      <c r="V2806" s="1" t="s">
        <v>36</v>
      </c>
      <c r="W2806" s="1" t="s">
        <v>37</v>
      </c>
      <c r="X2806" s="1" t="s">
        <v>457</v>
      </c>
      <c r="Y2806" s="1" t="s">
        <v>458</v>
      </c>
      <c r="Z2806" s="1" t="str">
        <f>TRIM(_xlfn.CONCAT(sales_data_sample[[#This Row],[CONTACTFIRSTNAME]],", ",sales_data_sample[[#This Row],[CONTACTLASTNAME]]))</f>
        <v>Wing C, Tam</v>
      </c>
      <c r="AA2806" s="1" t="s">
        <v>40</v>
      </c>
    </row>
    <row r="2807" spans="1:27" x14ac:dyDescent="0.25">
      <c r="A2807" s="10">
        <v>10197</v>
      </c>
      <c r="B2807" s="9">
        <v>42</v>
      </c>
      <c r="C2807" s="9">
        <v>5023</v>
      </c>
      <c r="D2807" s="9">
        <f>PRODUCT(sales_data_sample[[#This Row],[QUANTITYORDERED]],sales_data_sample[[#This Row],[PRICEEACH]])</f>
        <v>210966</v>
      </c>
      <c r="E2807" s="9">
        <f>IF(OR(sales_data_sample[[#This Row],[STATUS]]="Shipped",sales_data_sample[[#This Row],[STATUS]]="Resolved"),sales_data_sample[[#This Row],[SALES]],0)</f>
        <v>210966</v>
      </c>
      <c r="F2807" s="10">
        <v>12</v>
      </c>
      <c r="G2807" s="12" t="s">
        <v>477</v>
      </c>
      <c r="H2807" s="1" t="s">
        <v>26</v>
      </c>
      <c r="I2807">
        <v>4</v>
      </c>
      <c r="J2807">
        <v>11</v>
      </c>
      <c r="K2807">
        <v>2003</v>
      </c>
      <c r="L2807" s="1" t="s">
        <v>905</v>
      </c>
      <c r="M2807">
        <v>54</v>
      </c>
      <c r="N2807" s="1" t="s">
        <v>1016</v>
      </c>
      <c r="O2807" s="1" t="s">
        <v>478</v>
      </c>
      <c r="P2807" s="1" t="s">
        <v>479</v>
      </c>
      <c r="Q2807" s="1" t="s">
        <v>480</v>
      </c>
      <c r="R2807" s="1" t="s">
        <v>32</v>
      </c>
      <c r="S2807" s="1" t="s">
        <v>481</v>
      </c>
      <c r="T2807" s="1" t="s">
        <v>32</v>
      </c>
      <c r="U2807" s="1" t="s">
        <v>482</v>
      </c>
      <c r="V2807" s="1" t="s">
        <v>235</v>
      </c>
      <c r="W2807" s="1" t="s">
        <v>48</v>
      </c>
      <c r="X2807" s="1" t="s">
        <v>483</v>
      </c>
      <c r="Y2807" s="1" t="s">
        <v>484</v>
      </c>
      <c r="Z2807" s="1" t="str">
        <f>TRIM(_xlfn.CONCAT(sales_data_sample[[#This Row],[CONTACTFIRSTNAME]],", ",sales_data_sample[[#This Row],[CONTACTLASTNAME]]))</f>
        <v>Eduardo, Saavedra</v>
      </c>
      <c r="AA2807" s="1" t="s">
        <v>40</v>
      </c>
    </row>
    <row r="2808" spans="1:27" x14ac:dyDescent="0.25">
      <c r="A2808" s="10">
        <v>10208</v>
      </c>
      <c r="B2808" s="9">
        <v>42</v>
      </c>
      <c r="C2808" s="9">
        <v>6388</v>
      </c>
      <c r="D2808" s="9">
        <f>PRODUCT(sales_data_sample[[#This Row],[QUANTITYORDERED]],sales_data_sample[[#This Row],[PRICEEACH]])</f>
        <v>268296</v>
      </c>
      <c r="E2808" s="9">
        <f>IF(OR(sales_data_sample[[#This Row],[STATUS]]="Shipped",sales_data_sample[[#This Row],[STATUS]]="Resolved"),sales_data_sample[[#This Row],[SALES]],0)</f>
        <v>268296</v>
      </c>
      <c r="F2808" s="10">
        <v>6</v>
      </c>
      <c r="G2808" s="12" t="s">
        <v>675</v>
      </c>
      <c r="H2808" s="1" t="s">
        <v>26</v>
      </c>
      <c r="I2808">
        <v>1</v>
      </c>
      <c r="J2808">
        <v>1</v>
      </c>
      <c r="K2808">
        <v>2004</v>
      </c>
      <c r="L2808" s="1" t="s">
        <v>905</v>
      </c>
      <c r="M2808">
        <v>54</v>
      </c>
      <c r="N2808" s="1" t="s">
        <v>1016</v>
      </c>
      <c r="O2808" s="1" t="s">
        <v>291</v>
      </c>
      <c r="P2808" s="1" t="s">
        <v>292</v>
      </c>
      <c r="Q2808" s="1" t="s">
        <v>293</v>
      </c>
      <c r="R2808" s="1" t="s">
        <v>32</v>
      </c>
      <c r="S2808" s="1" t="s">
        <v>294</v>
      </c>
      <c r="T2808" s="1" t="s">
        <v>32</v>
      </c>
      <c r="U2808" s="1" t="s">
        <v>295</v>
      </c>
      <c r="V2808" s="1" t="s">
        <v>47</v>
      </c>
      <c r="W2808" s="1" t="s">
        <v>48</v>
      </c>
      <c r="X2808" s="1" t="s">
        <v>296</v>
      </c>
      <c r="Y2808" s="1" t="s">
        <v>297</v>
      </c>
      <c r="Z2808" s="1" t="str">
        <f>TRIM(_xlfn.CONCAT(sales_data_sample[[#This Row],[CONTACTFIRSTNAME]],", ",sales_data_sample[[#This Row],[CONTACTLASTNAME]]))</f>
        <v>Mary, Saveley</v>
      </c>
      <c r="AA2808" s="1" t="s">
        <v>40</v>
      </c>
    </row>
    <row r="2809" spans="1:27" x14ac:dyDescent="0.25">
      <c r="A2809" s="10">
        <v>10222</v>
      </c>
      <c r="B2809" s="9">
        <v>36</v>
      </c>
      <c r="C2809" s="9">
        <v>6334</v>
      </c>
      <c r="D2809" s="9">
        <f>PRODUCT(sales_data_sample[[#This Row],[QUANTITYORDERED]],sales_data_sample[[#This Row],[PRICEEACH]])</f>
        <v>228024</v>
      </c>
      <c r="E2809" s="9">
        <f>IF(OR(sales_data_sample[[#This Row],[STATUS]]="Shipped",sales_data_sample[[#This Row],[STATUS]]="Resolved"),sales_data_sample[[#This Row],[SALES]],0)</f>
        <v>228024</v>
      </c>
      <c r="F2809" s="10">
        <v>18</v>
      </c>
      <c r="G2809" s="12" t="s">
        <v>491</v>
      </c>
      <c r="H2809" s="1" t="s">
        <v>26</v>
      </c>
      <c r="I2809">
        <v>1</v>
      </c>
      <c r="J2809">
        <v>2</v>
      </c>
      <c r="K2809">
        <v>2004</v>
      </c>
      <c r="L2809" s="1" t="s">
        <v>905</v>
      </c>
      <c r="M2809">
        <v>54</v>
      </c>
      <c r="N2809" s="1" t="s">
        <v>1016</v>
      </c>
      <c r="O2809" s="1" t="s">
        <v>492</v>
      </c>
      <c r="P2809" s="1" t="s">
        <v>493</v>
      </c>
      <c r="Q2809" s="1" t="s">
        <v>494</v>
      </c>
      <c r="R2809" s="1" t="s">
        <v>32</v>
      </c>
      <c r="S2809" s="1" t="s">
        <v>495</v>
      </c>
      <c r="T2809" s="1" t="s">
        <v>65</v>
      </c>
      <c r="U2809" s="1" t="s">
        <v>496</v>
      </c>
      <c r="V2809" s="1" t="s">
        <v>36</v>
      </c>
      <c r="W2809" s="1" t="s">
        <v>37</v>
      </c>
      <c r="X2809" s="1" t="s">
        <v>313</v>
      </c>
      <c r="Y2809" s="1" t="s">
        <v>366</v>
      </c>
      <c r="Z2809" s="1" t="str">
        <f>TRIM(_xlfn.CONCAT(sales_data_sample[[#This Row],[CONTACTFIRSTNAME]],", ",sales_data_sample[[#This Row],[CONTACTLASTNAME]]))</f>
        <v>Valarie, Thompson</v>
      </c>
      <c r="AA2809" s="1" t="s">
        <v>40</v>
      </c>
    </row>
    <row r="2810" spans="1:27" x14ac:dyDescent="0.25">
      <c r="A2810" s="10">
        <v>10232</v>
      </c>
      <c r="B2810" s="9">
        <v>24</v>
      </c>
      <c r="C2810" s="9">
        <v>4969</v>
      </c>
      <c r="D2810" s="9">
        <f>PRODUCT(sales_data_sample[[#This Row],[QUANTITYORDERED]],sales_data_sample[[#This Row],[PRICEEACH]])</f>
        <v>119256</v>
      </c>
      <c r="E2810" s="9">
        <f>IF(OR(sales_data_sample[[#This Row],[STATUS]]="Shipped",sales_data_sample[[#This Row],[STATUS]]="Resolved"),sales_data_sample[[#This Row],[SALES]],0)</f>
        <v>119256</v>
      </c>
      <c r="F2810" s="10">
        <v>3</v>
      </c>
      <c r="G2810" s="12" t="s">
        <v>915</v>
      </c>
      <c r="H2810" s="1" t="s">
        <v>26</v>
      </c>
      <c r="I2810">
        <v>1</v>
      </c>
      <c r="J2810">
        <v>3</v>
      </c>
      <c r="K2810">
        <v>2004</v>
      </c>
      <c r="L2810" s="1" t="s">
        <v>905</v>
      </c>
      <c r="M2810">
        <v>54</v>
      </c>
      <c r="N2810" s="1" t="s">
        <v>1016</v>
      </c>
      <c r="O2810" s="1" t="s">
        <v>524</v>
      </c>
      <c r="P2810" s="1" t="s">
        <v>525</v>
      </c>
      <c r="Q2810" s="1" t="s">
        <v>526</v>
      </c>
      <c r="R2810" s="1" t="s">
        <v>32</v>
      </c>
      <c r="S2810" s="1" t="s">
        <v>527</v>
      </c>
      <c r="T2810" s="1" t="s">
        <v>528</v>
      </c>
      <c r="U2810" s="1" t="s">
        <v>529</v>
      </c>
      <c r="V2810" s="1" t="s">
        <v>225</v>
      </c>
      <c r="W2810" s="1" t="s">
        <v>48</v>
      </c>
      <c r="X2810" s="1" t="s">
        <v>530</v>
      </c>
      <c r="Y2810" s="1" t="s">
        <v>531</v>
      </c>
      <c r="Z2810" s="1" t="str">
        <f>TRIM(_xlfn.CONCAT(sales_data_sample[[#This Row],[CONTACTFIRSTNAME]],", ",sales_data_sample[[#This Row],[CONTACTLASTNAME]]))</f>
        <v>Helen, Bennett</v>
      </c>
      <c r="AA2810" s="1" t="s">
        <v>40</v>
      </c>
    </row>
    <row r="2811" spans="1:27" x14ac:dyDescent="0.25">
      <c r="A2811" s="10">
        <v>10248</v>
      </c>
      <c r="B2811" s="9">
        <v>23</v>
      </c>
      <c r="C2811" s="9">
        <v>6552</v>
      </c>
      <c r="D2811" s="9">
        <f>PRODUCT(sales_data_sample[[#This Row],[QUANTITYORDERED]],sales_data_sample[[#This Row],[PRICEEACH]])</f>
        <v>150696</v>
      </c>
      <c r="E2811" s="9">
        <f>IF(OR(sales_data_sample[[#This Row],[STATUS]]="Shipped",sales_data_sample[[#This Row],[STATUS]]="Resolved"),sales_data_sample[[#This Row],[SALES]],0)</f>
        <v>0</v>
      </c>
      <c r="F2811" s="10">
        <v>9</v>
      </c>
      <c r="G2811" s="12" t="s">
        <v>497</v>
      </c>
      <c r="H2811" s="1" t="s">
        <v>461</v>
      </c>
      <c r="I2811">
        <v>2</v>
      </c>
      <c r="J2811">
        <v>5</v>
      </c>
      <c r="K2811">
        <v>2004</v>
      </c>
      <c r="L2811" s="1" t="s">
        <v>905</v>
      </c>
      <c r="M2811">
        <v>54</v>
      </c>
      <c r="N2811" s="1" t="s">
        <v>1016</v>
      </c>
      <c r="O2811" s="1" t="s">
        <v>29</v>
      </c>
      <c r="P2811" s="1" t="s">
        <v>30</v>
      </c>
      <c r="Q2811" s="1" t="s">
        <v>31</v>
      </c>
      <c r="R2811" s="1" t="s">
        <v>32</v>
      </c>
      <c r="S2811" s="1" t="s">
        <v>33</v>
      </c>
      <c r="T2811" s="1" t="s">
        <v>34</v>
      </c>
      <c r="U2811" s="1" t="s">
        <v>35</v>
      </c>
      <c r="V2811" s="1" t="s">
        <v>36</v>
      </c>
      <c r="W2811" s="1" t="s">
        <v>37</v>
      </c>
      <c r="X2811" s="1" t="s">
        <v>38</v>
      </c>
      <c r="Y2811" s="1" t="s">
        <v>39</v>
      </c>
      <c r="Z2811" s="1" t="str">
        <f>TRIM(_xlfn.CONCAT(sales_data_sample[[#This Row],[CONTACTFIRSTNAME]],", ",sales_data_sample[[#This Row],[CONTACTLASTNAME]]))</f>
        <v>Kwai, Yu</v>
      </c>
      <c r="AA2811" s="1" t="s">
        <v>40</v>
      </c>
    </row>
    <row r="2812" spans="1:27" x14ac:dyDescent="0.25">
      <c r="A2812" s="10">
        <v>10261</v>
      </c>
      <c r="B2812" s="9">
        <v>29</v>
      </c>
      <c r="C2812" s="9">
        <v>5078</v>
      </c>
      <c r="D2812" s="9">
        <f>PRODUCT(sales_data_sample[[#This Row],[QUANTITYORDERED]],sales_data_sample[[#This Row],[PRICEEACH]])</f>
        <v>147262</v>
      </c>
      <c r="E2812" s="9">
        <f>IF(OR(sales_data_sample[[#This Row],[STATUS]]="Shipped",sales_data_sample[[#This Row],[STATUS]]="Resolved"),sales_data_sample[[#This Row],[SALES]],0)</f>
        <v>147262</v>
      </c>
      <c r="F2812" s="10">
        <v>7</v>
      </c>
      <c r="G2812" s="12" t="s">
        <v>498</v>
      </c>
      <c r="H2812" s="1" t="s">
        <v>26</v>
      </c>
      <c r="I2812">
        <v>2</v>
      </c>
      <c r="J2812">
        <v>6</v>
      </c>
      <c r="K2812">
        <v>2004</v>
      </c>
      <c r="L2812" s="1" t="s">
        <v>905</v>
      </c>
      <c r="M2812">
        <v>54</v>
      </c>
      <c r="N2812" s="1" t="s">
        <v>1016</v>
      </c>
      <c r="O2812" s="1" t="s">
        <v>394</v>
      </c>
      <c r="P2812" s="1" t="s">
        <v>395</v>
      </c>
      <c r="Q2812" s="1" t="s">
        <v>396</v>
      </c>
      <c r="R2812" s="1" t="s">
        <v>32</v>
      </c>
      <c r="S2812" s="1" t="s">
        <v>397</v>
      </c>
      <c r="T2812" s="1" t="s">
        <v>398</v>
      </c>
      <c r="U2812" s="1" t="s">
        <v>399</v>
      </c>
      <c r="V2812" s="1" t="s">
        <v>305</v>
      </c>
      <c r="W2812" s="1" t="s">
        <v>37</v>
      </c>
      <c r="X2812" s="1" t="s">
        <v>400</v>
      </c>
      <c r="Y2812" s="1" t="s">
        <v>401</v>
      </c>
      <c r="Z2812" s="1" t="str">
        <f>TRIM(_xlfn.CONCAT(sales_data_sample[[#This Row],[CONTACTFIRSTNAME]],", ",sales_data_sample[[#This Row],[CONTACTLASTNAME]]))</f>
        <v>Jean, Fresnisre</v>
      </c>
      <c r="AA2812" s="1" t="s">
        <v>40</v>
      </c>
    </row>
    <row r="2813" spans="1:27" x14ac:dyDescent="0.25">
      <c r="A2813" s="10">
        <v>10273</v>
      </c>
      <c r="B2813" s="9">
        <v>37</v>
      </c>
      <c r="C2813" s="9">
        <v>4586</v>
      </c>
      <c r="D2813" s="9">
        <f>PRODUCT(sales_data_sample[[#This Row],[QUANTITYORDERED]],sales_data_sample[[#This Row],[PRICEEACH]])</f>
        <v>169682</v>
      </c>
      <c r="E2813" s="9">
        <f>IF(OR(sales_data_sample[[#This Row],[STATUS]]="Shipped",sales_data_sample[[#This Row],[STATUS]]="Resolved"),sales_data_sample[[#This Row],[SALES]],0)</f>
        <v>169682</v>
      </c>
      <c r="F2813" s="10">
        <v>10</v>
      </c>
      <c r="G2813" s="12" t="s">
        <v>499</v>
      </c>
      <c r="H2813" s="1" t="s">
        <v>26</v>
      </c>
      <c r="I2813">
        <v>3</v>
      </c>
      <c r="J2813">
        <v>7</v>
      </c>
      <c r="K2813">
        <v>2004</v>
      </c>
      <c r="L2813" s="1" t="s">
        <v>905</v>
      </c>
      <c r="M2813">
        <v>54</v>
      </c>
      <c r="N2813" s="1" t="s">
        <v>1016</v>
      </c>
      <c r="O2813" s="1" t="s">
        <v>500</v>
      </c>
      <c r="P2813" s="1" t="s">
        <v>501</v>
      </c>
      <c r="Q2813" s="1" t="s">
        <v>502</v>
      </c>
      <c r="R2813" s="1" t="s">
        <v>32</v>
      </c>
      <c r="S2813" s="1" t="s">
        <v>503</v>
      </c>
      <c r="T2813" s="1" t="s">
        <v>32</v>
      </c>
      <c r="U2813" s="1" t="s">
        <v>504</v>
      </c>
      <c r="V2813" s="1" t="s">
        <v>505</v>
      </c>
      <c r="W2813" s="1" t="s">
        <v>48</v>
      </c>
      <c r="X2813" s="1" t="s">
        <v>506</v>
      </c>
      <c r="Y2813" s="1" t="s">
        <v>507</v>
      </c>
      <c r="Z2813" s="1" t="str">
        <f>TRIM(_xlfn.CONCAT(sales_data_sample[[#This Row],[CONTACTFIRSTNAME]],", ",sales_data_sample[[#This Row],[CONTACTLASTNAME]]))</f>
        <v>Catherine, Dewey</v>
      </c>
      <c r="AA2813" s="1" t="s">
        <v>40</v>
      </c>
    </row>
    <row r="2814" spans="1:27" x14ac:dyDescent="0.25">
      <c r="A2814" s="10">
        <v>10283</v>
      </c>
      <c r="B2814" s="9">
        <v>33</v>
      </c>
      <c r="C2814" s="9">
        <v>5132</v>
      </c>
      <c r="D2814" s="9">
        <f>PRODUCT(sales_data_sample[[#This Row],[QUANTITYORDERED]],sales_data_sample[[#This Row],[PRICEEACH]])</f>
        <v>169356</v>
      </c>
      <c r="E2814" s="9">
        <f>IF(OR(sales_data_sample[[#This Row],[STATUS]]="Shipped",sales_data_sample[[#This Row],[STATUS]]="Resolved"),sales_data_sample[[#This Row],[SALES]],0)</f>
        <v>169356</v>
      </c>
      <c r="F2814" s="10">
        <v>12</v>
      </c>
      <c r="G2814" s="12" t="s">
        <v>508</v>
      </c>
      <c r="H2814" s="1" t="s">
        <v>26</v>
      </c>
      <c r="I2814">
        <v>3</v>
      </c>
      <c r="J2814">
        <v>8</v>
      </c>
      <c r="K2814">
        <v>2004</v>
      </c>
      <c r="L2814" s="1" t="s">
        <v>905</v>
      </c>
      <c r="M2814">
        <v>54</v>
      </c>
      <c r="N2814" s="1" t="s">
        <v>1016</v>
      </c>
      <c r="O2814" s="1" t="s">
        <v>509</v>
      </c>
      <c r="P2814" s="1" t="s">
        <v>510</v>
      </c>
      <c r="Q2814" s="1" t="s">
        <v>511</v>
      </c>
      <c r="R2814" s="1" t="s">
        <v>32</v>
      </c>
      <c r="S2814" s="1" t="s">
        <v>512</v>
      </c>
      <c r="T2814" s="1" t="s">
        <v>303</v>
      </c>
      <c r="U2814" s="1" t="s">
        <v>513</v>
      </c>
      <c r="V2814" s="1" t="s">
        <v>305</v>
      </c>
      <c r="W2814" s="1" t="s">
        <v>37</v>
      </c>
      <c r="X2814" s="1" t="s">
        <v>514</v>
      </c>
      <c r="Y2814" s="1" t="s">
        <v>227</v>
      </c>
      <c r="Z2814" s="1" t="str">
        <f>TRIM(_xlfn.CONCAT(sales_data_sample[[#This Row],[CONTACTFIRSTNAME]],", ",sales_data_sample[[#This Row],[CONTACTLASTNAME]]))</f>
        <v>Elizabeth, Lincoln</v>
      </c>
      <c r="AA2814" s="1" t="s">
        <v>40</v>
      </c>
    </row>
    <row r="2815" spans="1:27" x14ac:dyDescent="0.25">
      <c r="A2815" s="10">
        <v>10293</v>
      </c>
      <c r="B2815" s="9">
        <v>32</v>
      </c>
      <c r="C2815" s="9">
        <v>6006</v>
      </c>
      <c r="D2815" s="9">
        <f>PRODUCT(sales_data_sample[[#This Row],[QUANTITYORDERED]],sales_data_sample[[#This Row],[PRICEEACH]])</f>
        <v>192192</v>
      </c>
      <c r="E2815" s="9">
        <f>IF(OR(sales_data_sample[[#This Row],[STATUS]]="Shipped",sales_data_sample[[#This Row],[STATUS]]="Resolved"),sales_data_sample[[#This Row],[SALES]],0)</f>
        <v>192192</v>
      </c>
      <c r="F2815" s="10">
        <v>1</v>
      </c>
      <c r="G2815" s="12" t="s">
        <v>694</v>
      </c>
      <c r="H2815" s="1" t="s">
        <v>26</v>
      </c>
      <c r="I2815">
        <v>3</v>
      </c>
      <c r="J2815">
        <v>9</v>
      </c>
      <c r="K2815">
        <v>2004</v>
      </c>
      <c r="L2815" s="1" t="s">
        <v>905</v>
      </c>
      <c r="M2815">
        <v>54</v>
      </c>
      <c r="N2815" s="1" t="s">
        <v>1016</v>
      </c>
      <c r="O2815" s="1" t="s">
        <v>338</v>
      </c>
      <c r="P2815" s="1" t="s">
        <v>339</v>
      </c>
      <c r="Q2815" s="1" t="s">
        <v>340</v>
      </c>
      <c r="R2815" s="1" t="s">
        <v>32</v>
      </c>
      <c r="S2815" s="1" t="s">
        <v>341</v>
      </c>
      <c r="T2815" s="1" t="s">
        <v>32</v>
      </c>
      <c r="U2815" s="1" t="s">
        <v>342</v>
      </c>
      <c r="V2815" s="1" t="s">
        <v>343</v>
      </c>
      <c r="W2815" s="1" t="s">
        <v>48</v>
      </c>
      <c r="X2815" s="1" t="s">
        <v>344</v>
      </c>
      <c r="Y2815" s="1" t="s">
        <v>345</v>
      </c>
      <c r="Z2815" s="1" t="str">
        <f>TRIM(_xlfn.CONCAT(sales_data_sample[[#This Row],[CONTACTFIRSTNAME]],", ",sales_data_sample[[#This Row],[CONTACTLASTNAME]]))</f>
        <v>Paolo, Accorti</v>
      </c>
      <c r="AA2815" s="1" t="s">
        <v>40</v>
      </c>
    </row>
    <row r="2816" spans="1:27" x14ac:dyDescent="0.25">
      <c r="A2816" s="10">
        <v>10306</v>
      </c>
      <c r="B2816" s="9">
        <v>35</v>
      </c>
      <c r="C2816" s="9">
        <v>5951</v>
      </c>
      <c r="D2816" s="9">
        <f>PRODUCT(sales_data_sample[[#This Row],[QUANTITYORDERED]],sales_data_sample[[#This Row],[PRICEEACH]])</f>
        <v>208285</v>
      </c>
      <c r="E2816" s="9">
        <f>IF(OR(sales_data_sample[[#This Row],[STATUS]]="Shipped",sales_data_sample[[#This Row],[STATUS]]="Resolved"),sales_data_sample[[#This Row],[SALES]],0)</f>
        <v>208285</v>
      </c>
      <c r="F2816" s="10">
        <v>6</v>
      </c>
      <c r="G2816" s="12" t="s">
        <v>522</v>
      </c>
      <c r="H2816" s="1" t="s">
        <v>26</v>
      </c>
      <c r="I2816">
        <v>4</v>
      </c>
      <c r="J2816">
        <v>10</v>
      </c>
      <c r="K2816">
        <v>2004</v>
      </c>
      <c r="L2816" s="1" t="s">
        <v>905</v>
      </c>
      <c r="M2816">
        <v>54</v>
      </c>
      <c r="N2816" s="1" t="s">
        <v>1016</v>
      </c>
      <c r="O2816" s="1" t="s">
        <v>695</v>
      </c>
      <c r="P2816" s="1" t="s">
        <v>696</v>
      </c>
      <c r="Q2816" s="1" t="s">
        <v>697</v>
      </c>
      <c r="R2816" s="1" t="s">
        <v>32</v>
      </c>
      <c r="S2816" s="1" t="s">
        <v>698</v>
      </c>
      <c r="T2816" s="1" t="s">
        <v>32</v>
      </c>
      <c r="U2816" s="1" t="s">
        <v>699</v>
      </c>
      <c r="V2816" s="1" t="s">
        <v>225</v>
      </c>
      <c r="W2816" s="1" t="s">
        <v>48</v>
      </c>
      <c r="X2816" s="1" t="s">
        <v>700</v>
      </c>
      <c r="Y2816" s="1" t="s">
        <v>118</v>
      </c>
      <c r="Z2816" s="1" t="str">
        <f>TRIM(_xlfn.CONCAT(sales_data_sample[[#This Row],[CONTACTFIRSTNAME]],", ",sales_data_sample[[#This Row],[CONTACTLASTNAME]]))</f>
        <v>Victoria, Ashworth</v>
      </c>
      <c r="AA2816" s="1" t="s">
        <v>40</v>
      </c>
    </row>
    <row r="2817" spans="1:27" x14ac:dyDescent="0.25">
      <c r="A2817" s="10">
        <v>10315</v>
      </c>
      <c r="B2817" s="9">
        <v>40</v>
      </c>
      <c r="C2817" s="9">
        <v>5569</v>
      </c>
      <c r="D2817" s="9">
        <f>PRODUCT(sales_data_sample[[#This Row],[QUANTITYORDERED]],sales_data_sample[[#This Row],[PRICEEACH]])</f>
        <v>222760</v>
      </c>
      <c r="E2817" s="9">
        <f>IF(OR(sales_data_sample[[#This Row],[STATUS]]="Shipped",sales_data_sample[[#This Row],[STATUS]]="Resolved"),sales_data_sample[[#This Row],[SALES]],0)</f>
        <v>222760</v>
      </c>
      <c r="F2817" s="10">
        <v>5</v>
      </c>
      <c r="G2817" s="12" t="s">
        <v>943</v>
      </c>
      <c r="H2817" s="1" t="s">
        <v>26</v>
      </c>
      <c r="I2817">
        <v>4</v>
      </c>
      <c r="J2817">
        <v>10</v>
      </c>
      <c r="K2817">
        <v>2004</v>
      </c>
      <c r="L2817" s="1" t="s">
        <v>905</v>
      </c>
      <c r="M2817">
        <v>54</v>
      </c>
      <c r="N2817" s="1" t="s">
        <v>1016</v>
      </c>
      <c r="O2817" s="1" t="s">
        <v>148</v>
      </c>
      <c r="P2817" s="1" t="s">
        <v>149</v>
      </c>
      <c r="Q2817" s="1" t="s">
        <v>150</v>
      </c>
      <c r="R2817" s="1" t="s">
        <v>32</v>
      </c>
      <c r="S2817" s="1" t="s">
        <v>151</v>
      </c>
      <c r="T2817" s="1" t="s">
        <v>32</v>
      </c>
      <c r="U2817" s="1" t="s">
        <v>152</v>
      </c>
      <c r="V2817" s="1" t="s">
        <v>47</v>
      </c>
      <c r="W2817" s="1" t="s">
        <v>48</v>
      </c>
      <c r="X2817" s="1" t="s">
        <v>153</v>
      </c>
      <c r="Y2817" s="1" t="s">
        <v>154</v>
      </c>
      <c r="Z2817" s="1" t="str">
        <f>TRIM(_xlfn.CONCAT(sales_data_sample[[#This Row],[CONTACTFIRSTNAME]],", ",sales_data_sample[[#This Row],[CONTACTLASTNAME]]))</f>
        <v>Janine, Labrune</v>
      </c>
      <c r="AA2817" s="1" t="s">
        <v>40</v>
      </c>
    </row>
    <row r="2818" spans="1:27" x14ac:dyDescent="0.25">
      <c r="A2818" s="10">
        <v>10327</v>
      </c>
      <c r="B2818" s="9">
        <v>37</v>
      </c>
      <c r="C2818" s="9">
        <v>8674</v>
      </c>
      <c r="D2818" s="9">
        <f>PRODUCT(sales_data_sample[[#This Row],[QUANTITYORDERED]],sales_data_sample[[#This Row],[PRICEEACH]])</f>
        <v>320938</v>
      </c>
      <c r="E2818" s="9">
        <f>IF(OR(sales_data_sample[[#This Row],[STATUS]]="Shipped",sales_data_sample[[#This Row],[STATUS]]="Resolved"),sales_data_sample[[#This Row],[SALES]],0)</f>
        <v>320938</v>
      </c>
      <c r="F2818" s="10">
        <v>4</v>
      </c>
      <c r="G2818" s="12" t="s">
        <v>859</v>
      </c>
      <c r="H2818" s="1" t="s">
        <v>563</v>
      </c>
      <c r="I2818">
        <v>4</v>
      </c>
      <c r="J2818">
        <v>11</v>
      </c>
      <c r="K2818">
        <v>2004</v>
      </c>
      <c r="L2818" s="1" t="s">
        <v>905</v>
      </c>
      <c r="M2818">
        <v>54</v>
      </c>
      <c r="N2818" s="1" t="s">
        <v>1016</v>
      </c>
      <c r="O2818" s="1" t="s">
        <v>437</v>
      </c>
      <c r="P2818" s="1" t="s">
        <v>438</v>
      </c>
      <c r="Q2818" s="1" t="s">
        <v>439</v>
      </c>
      <c r="R2818" s="1" t="s">
        <v>32</v>
      </c>
      <c r="S2818" s="1" t="s">
        <v>440</v>
      </c>
      <c r="T2818" s="1" t="s">
        <v>32</v>
      </c>
      <c r="U2818" s="1" t="s">
        <v>441</v>
      </c>
      <c r="V2818" s="1" t="s">
        <v>442</v>
      </c>
      <c r="W2818" s="1" t="s">
        <v>48</v>
      </c>
      <c r="X2818" s="1" t="s">
        <v>443</v>
      </c>
      <c r="Y2818" s="1" t="s">
        <v>444</v>
      </c>
      <c r="Z2818" s="1" t="str">
        <f>TRIM(_xlfn.CONCAT(sales_data_sample[[#This Row],[CONTACTFIRSTNAME]],", ",sales_data_sample[[#This Row],[CONTACTLASTNAME]]))</f>
        <v>Jytte, Petersen</v>
      </c>
      <c r="AA2818" s="1" t="s">
        <v>59</v>
      </c>
    </row>
    <row r="2819" spans="1:27" x14ac:dyDescent="0.25">
      <c r="A2819">
        <v>10337</v>
      </c>
      <c r="B2819">
        <v>42</v>
      </c>
      <c r="C2819">
        <v>9716</v>
      </c>
      <c r="D2819">
        <f>PRODUCT(sales_data_sample[[#This Row],[QUANTITYORDERED]],sales_data_sample[[#This Row],[PRICEEACH]])</f>
        <v>408072</v>
      </c>
      <c r="E2819" s="9">
        <f>IF(OR(sales_data_sample[[#This Row],[STATUS]]="Shipped",sales_data_sample[[#This Row],[STATUS]]="Resolved"),sales_data_sample[[#This Row],[SALES]],0)</f>
        <v>408072</v>
      </c>
      <c r="F2819">
        <v>5</v>
      </c>
      <c r="G2819" s="12" t="s">
        <v>533</v>
      </c>
      <c r="H2819" s="1" t="s">
        <v>26</v>
      </c>
      <c r="I2819">
        <v>4</v>
      </c>
      <c r="J2819">
        <v>11</v>
      </c>
      <c r="K2819">
        <v>2004</v>
      </c>
      <c r="L2819" s="1" t="s">
        <v>905</v>
      </c>
      <c r="M2819">
        <v>54</v>
      </c>
      <c r="N2819" s="1" t="s">
        <v>1016</v>
      </c>
      <c r="O2819" s="1" t="s">
        <v>268</v>
      </c>
      <c r="P2819" s="1" t="s">
        <v>269</v>
      </c>
      <c r="Q2819" s="1" t="s">
        <v>270</v>
      </c>
      <c r="R2819" s="1" t="s">
        <v>271</v>
      </c>
      <c r="S2819" s="1" t="s">
        <v>33</v>
      </c>
      <c r="T2819" s="1" t="s">
        <v>34</v>
      </c>
      <c r="U2819" s="1" t="s">
        <v>35</v>
      </c>
      <c r="V2819" s="1" t="s">
        <v>36</v>
      </c>
      <c r="W2819" s="1" t="s">
        <v>37</v>
      </c>
      <c r="X2819" s="1" t="s">
        <v>162</v>
      </c>
      <c r="Y2819" s="1" t="s">
        <v>272</v>
      </c>
      <c r="Z2819" s="1" t="str">
        <f>TRIM(_xlfn.CONCAT(sales_data_sample[[#This Row],[CONTACTFIRSTNAME]],", ",sales_data_sample[[#This Row],[CONTACTLASTNAME]]))</f>
        <v>Maria, Hernandez</v>
      </c>
      <c r="AA2819" s="1" t="s">
        <v>59</v>
      </c>
    </row>
    <row r="2820" spans="1:27" x14ac:dyDescent="0.25">
      <c r="A2820" s="10">
        <v>10350</v>
      </c>
      <c r="B2820" s="9">
        <v>20</v>
      </c>
      <c r="C2820" s="9">
        <v>100</v>
      </c>
      <c r="D2820" s="9">
        <f>PRODUCT(sales_data_sample[[#This Row],[QUANTITYORDERED]],sales_data_sample[[#This Row],[PRICEEACH]])</f>
        <v>2000</v>
      </c>
      <c r="E2820" s="9">
        <f>IF(OR(sales_data_sample[[#This Row],[STATUS]]="Shipped",sales_data_sample[[#This Row],[STATUS]]="Resolved"),sales_data_sample[[#This Row],[SALES]],0)</f>
        <v>2000</v>
      </c>
      <c r="F2820" s="10">
        <v>15</v>
      </c>
      <c r="G2820" s="12" t="s">
        <v>534</v>
      </c>
      <c r="H2820" s="1" t="s">
        <v>26</v>
      </c>
      <c r="I2820">
        <v>4</v>
      </c>
      <c r="J2820">
        <v>12</v>
      </c>
      <c r="K2820">
        <v>2004</v>
      </c>
      <c r="L2820" s="1" t="s">
        <v>905</v>
      </c>
      <c r="M2820">
        <v>54</v>
      </c>
      <c r="N2820" s="1" t="s">
        <v>1016</v>
      </c>
      <c r="O2820" s="1" t="s">
        <v>230</v>
      </c>
      <c r="P2820" s="1" t="s">
        <v>231</v>
      </c>
      <c r="Q2820" s="1" t="s">
        <v>232</v>
      </c>
      <c r="R2820" s="1" t="s">
        <v>32</v>
      </c>
      <c r="S2820" s="1" t="s">
        <v>233</v>
      </c>
      <c r="T2820" s="1" t="s">
        <v>32</v>
      </c>
      <c r="U2820" s="1" t="s">
        <v>234</v>
      </c>
      <c r="V2820" s="1" t="s">
        <v>235</v>
      </c>
      <c r="W2820" s="1" t="s">
        <v>48</v>
      </c>
      <c r="X2820" s="1" t="s">
        <v>236</v>
      </c>
      <c r="Y2820" s="1" t="s">
        <v>237</v>
      </c>
      <c r="Z2820" s="1" t="str">
        <f>TRIM(_xlfn.CONCAT(sales_data_sample[[#This Row],[CONTACTFIRSTNAME]],", ",sales_data_sample[[#This Row],[CONTACTLASTNAME]]))</f>
        <v>Diego, Freyre</v>
      </c>
      <c r="AA2820" s="1" t="s">
        <v>40</v>
      </c>
    </row>
    <row r="2821" spans="1:27" x14ac:dyDescent="0.25">
      <c r="A2821" s="10">
        <v>10373</v>
      </c>
      <c r="B2821" s="9">
        <v>29</v>
      </c>
      <c r="C2821" s="9">
        <v>100</v>
      </c>
      <c r="D2821" s="9">
        <f>PRODUCT(sales_data_sample[[#This Row],[QUANTITYORDERED]],sales_data_sample[[#This Row],[PRICEEACH]])</f>
        <v>2900</v>
      </c>
      <c r="E2821" s="9">
        <f>IF(OR(sales_data_sample[[#This Row],[STATUS]]="Shipped",sales_data_sample[[#This Row],[STATUS]]="Resolved"),sales_data_sample[[#This Row],[SALES]],0)</f>
        <v>2900</v>
      </c>
      <c r="F2821" s="10">
        <v>1</v>
      </c>
      <c r="G2821" s="12" t="s">
        <v>536</v>
      </c>
      <c r="H2821" s="1" t="s">
        <v>26</v>
      </c>
      <c r="I2821">
        <v>1</v>
      </c>
      <c r="J2821">
        <v>1</v>
      </c>
      <c r="K2821">
        <v>2005</v>
      </c>
      <c r="L2821" s="1" t="s">
        <v>905</v>
      </c>
      <c r="M2821">
        <v>54</v>
      </c>
      <c r="N2821" s="1" t="s">
        <v>1016</v>
      </c>
      <c r="O2821" s="1" t="s">
        <v>537</v>
      </c>
      <c r="P2821" s="1" t="s">
        <v>538</v>
      </c>
      <c r="Q2821" s="1" t="s">
        <v>539</v>
      </c>
      <c r="R2821" s="1" t="s">
        <v>32</v>
      </c>
      <c r="S2821" s="1" t="s">
        <v>540</v>
      </c>
      <c r="T2821" s="1" t="s">
        <v>32</v>
      </c>
      <c r="U2821" s="1" t="s">
        <v>541</v>
      </c>
      <c r="V2821" s="1" t="s">
        <v>170</v>
      </c>
      <c r="W2821" s="1" t="s">
        <v>48</v>
      </c>
      <c r="X2821" s="1" t="s">
        <v>542</v>
      </c>
      <c r="Y2821" s="1" t="s">
        <v>543</v>
      </c>
      <c r="Z2821" s="1" t="str">
        <f>TRIM(_xlfn.CONCAT(sales_data_sample[[#This Row],[CONTACTFIRSTNAME]],", ",sales_data_sample[[#This Row],[CONTACTLASTNAME]]))</f>
        <v>Pirkko, Koskitalo</v>
      </c>
      <c r="AA2821" s="1" t="s">
        <v>59</v>
      </c>
    </row>
    <row r="2822" spans="1:27" x14ac:dyDescent="0.25">
      <c r="A2822" s="10">
        <v>10386</v>
      </c>
      <c r="B2822" s="9">
        <v>43</v>
      </c>
      <c r="C2822" s="9">
        <v>100</v>
      </c>
      <c r="D2822" s="9">
        <f>PRODUCT(sales_data_sample[[#This Row],[QUANTITYORDERED]],sales_data_sample[[#This Row],[PRICEEACH]])</f>
        <v>4300</v>
      </c>
      <c r="E2822" s="9">
        <f>IF(OR(sales_data_sample[[#This Row],[STATUS]]="Shipped",sales_data_sample[[#This Row],[STATUS]]="Resolved"),sales_data_sample[[#This Row],[SALES]],0)</f>
        <v>4300</v>
      </c>
      <c r="F2822" s="10">
        <v>4</v>
      </c>
      <c r="G2822" s="12" t="s">
        <v>869</v>
      </c>
      <c r="H2822" s="1" t="s">
        <v>563</v>
      </c>
      <c r="I2822">
        <v>1</v>
      </c>
      <c r="J2822">
        <v>3</v>
      </c>
      <c r="K2822">
        <v>2005</v>
      </c>
      <c r="L2822" s="1" t="s">
        <v>905</v>
      </c>
      <c r="M2822">
        <v>54</v>
      </c>
      <c r="N2822" s="1" t="s">
        <v>1016</v>
      </c>
      <c r="O2822" s="1" t="s">
        <v>230</v>
      </c>
      <c r="P2822" s="1" t="s">
        <v>231</v>
      </c>
      <c r="Q2822" s="1" t="s">
        <v>232</v>
      </c>
      <c r="R2822" s="1" t="s">
        <v>32</v>
      </c>
      <c r="S2822" s="1" t="s">
        <v>233</v>
      </c>
      <c r="T2822" s="1" t="s">
        <v>32</v>
      </c>
      <c r="U2822" s="1" t="s">
        <v>234</v>
      </c>
      <c r="V2822" s="1" t="s">
        <v>235</v>
      </c>
      <c r="W2822" s="1" t="s">
        <v>48</v>
      </c>
      <c r="X2822" s="1" t="s">
        <v>236</v>
      </c>
      <c r="Y2822" s="1" t="s">
        <v>237</v>
      </c>
      <c r="Z2822" s="1" t="str">
        <f>TRIM(_xlfn.CONCAT(sales_data_sample[[#This Row],[CONTACTFIRSTNAME]],", ",sales_data_sample[[#This Row],[CONTACTLASTNAME]]))</f>
        <v>Diego, Freyre</v>
      </c>
      <c r="AA2822" s="1" t="s">
        <v>59</v>
      </c>
    </row>
    <row r="2823" spans="1:27" x14ac:dyDescent="0.25">
      <c r="A2823" s="10">
        <v>10397</v>
      </c>
      <c r="B2823" s="9">
        <v>34</v>
      </c>
      <c r="C2823" s="9">
        <v>6224</v>
      </c>
      <c r="D2823" s="9">
        <f>PRODUCT(sales_data_sample[[#This Row],[QUANTITYORDERED]],sales_data_sample[[#This Row],[PRICEEACH]])</f>
        <v>211616</v>
      </c>
      <c r="E2823" s="9">
        <f>IF(OR(sales_data_sample[[#This Row],[STATUS]]="Shipped",sales_data_sample[[#This Row],[STATUS]]="Resolved"),sales_data_sample[[#This Row],[SALES]],0)</f>
        <v>211616</v>
      </c>
      <c r="F2823" s="10">
        <v>1</v>
      </c>
      <c r="G2823" s="12" t="s">
        <v>1004</v>
      </c>
      <c r="H2823" s="1" t="s">
        <v>26</v>
      </c>
      <c r="I2823">
        <v>1</v>
      </c>
      <c r="J2823">
        <v>3</v>
      </c>
      <c r="K2823">
        <v>2005</v>
      </c>
      <c r="L2823" s="1" t="s">
        <v>905</v>
      </c>
      <c r="M2823">
        <v>54</v>
      </c>
      <c r="N2823" s="1" t="s">
        <v>1016</v>
      </c>
      <c r="O2823" s="1" t="s">
        <v>463</v>
      </c>
      <c r="P2823" s="1" t="s">
        <v>464</v>
      </c>
      <c r="Q2823" s="1" t="s">
        <v>465</v>
      </c>
      <c r="R2823" s="1" t="s">
        <v>32</v>
      </c>
      <c r="S2823" s="1" t="s">
        <v>466</v>
      </c>
      <c r="T2823" s="1" t="s">
        <v>32</v>
      </c>
      <c r="U2823" s="1" t="s">
        <v>467</v>
      </c>
      <c r="V2823" s="1" t="s">
        <v>47</v>
      </c>
      <c r="W2823" s="1" t="s">
        <v>48</v>
      </c>
      <c r="X2823" s="1" t="s">
        <v>468</v>
      </c>
      <c r="Y2823" s="1" t="s">
        <v>469</v>
      </c>
      <c r="Z2823" s="1" t="str">
        <f>TRIM(_xlfn.CONCAT(sales_data_sample[[#This Row],[CONTACTFIRSTNAME]],", ",sales_data_sample[[#This Row],[CONTACTLASTNAME]]))</f>
        <v>Annette, Roulet</v>
      </c>
      <c r="AA2823" s="1" t="s">
        <v>40</v>
      </c>
    </row>
    <row r="2824" spans="1:27" x14ac:dyDescent="0.25">
      <c r="A2824" s="10">
        <v>10414</v>
      </c>
      <c r="B2824" s="9">
        <v>47</v>
      </c>
      <c r="C2824" s="9">
        <v>6552</v>
      </c>
      <c r="D2824" s="9">
        <f>PRODUCT(sales_data_sample[[#This Row],[QUANTITYORDERED]],sales_data_sample[[#This Row],[PRICEEACH]])</f>
        <v>307944</v>
      </c>
      <c r="E2824" s="9">
        <f>IF(OR(sales_data_sample[[#This Row],[STATUS]]="Shipped",sales_data_sample[[#This Row],[STATUS]]="Resolved"),sales_data_sample[[#This Row],[SALES]],0)</f>
        <v>0</v>
      </c>
      <c r="F2824" s="10">
        <v>9</v>
      </c>
      <c r="G2824" s="12" t="s">
        <v>552</v>
      </c>
      <c r="H2824" s="1" t="s">
        <v>553</v>
      </c>
      <c r="I2824">
        <v>2</v>
      </c>
      <c r="J2824">
        <v>5</v>
      </c>
      <c r="K2824">
        <v>2005</v>
      </c>
      <c r="L2824" s="1" t="s">
        <v>905</v>
      </c>
      <c r="M2824">
        <v>54</v>
      </c>
      <c r="N2824" s="1" t="s">
        <v>1016</v>
      </c>
      <c r="O2824" s="1" t="s">
        <v>516</v>
      </c>
      <c r="P2824" s="1" t="s">
        <v>517</v>
      </c>
      <c r="Q2824" s="1" t="s">
        <v>518</v>
      </c>
      <c r="R2824" s="1" t="s">
        <v>32</v>
      </c>
      <c r="S2824" s="1" t="s">
        <v>519</v>
      </c>
      <c r="T2824" s="1" t="s">
        <v>160</v>
      </c>
      <c r="U2824" s="1" t="s">
        <v>520</v>
      </c>
      <c r="V2824" s="1" t="s">
        <v>36</v>
      </c>
      <c r="W2824" s="1" t="s">
        <v>37</v>
      </c>
      <c r="X2824" s="1" t="s">
        <v>521</v>
      </c>
      <c r="Y2824" s="1" t="s">
        <v>82</v>
      </c>
      <c r="Z2824" s="1" t="str">
        <f>TRIM(_xlfn.CONCAT(sales_data_sample[[#This Row],[CONTACTFIRSTNAME]],", ",sales_data_sample[[#This Row],[CONTACTLASTNAME]]))</f>
        <v>Juri, Yoshido</v>
      </c>
      <c r="AA2824" s="1" t="s">
        <v>59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7DF4C-5FDC-4C6C-B970-E14D1C53F5E9}">
  <dimension ref="B2:AB8"/>
  <sheetViews>
    <sheetView workbookViewId="0">
      <selection activeCell="B8" sqref="B8"/>
    </sheetView>
  </sheetViews>
  <sheetFormatPr defaultRowHeight="15" x14ac:dyDescent="0.25"/>
  <cols>
    <col min="17" max="19" width="15" bestFit="1" customWidth="1"/>
    <col min="20" max="20" width="6.42578125" bestFit="1" customWidth="1"/>
    <col min="21" max="22" width="13.42578125" bestFit="1" customWidth="1"/>
  </cols>
  <sheetData>
    <row r="2" spans="2:28" x14ac:dyDescent="0.25">
      <c r="B2" s="2" t="s">
        <v>1017</v>
      </c>
      <c r="C2" s="2"/>
      <c r="D2">
        <f>SUM(D4:AB4)</f>
        <v>4083</v>
      </c>
    </row>
    <row r="3" spans="2:28" x14ac:dyDescent="0.25">
      <c r="B3" s="2" t="s">
        <v>0</v>
      </c>
      <c r="C3" s="3" t="s">
        <v>1</v>
      </c>
      <c r="D3" s="3" t="s">
        <v>2</v>
      </c>
      <c r="E3" s="3" t="s">
        <v>4</v>
      </c>
      <c r="F3" s="3" t="s">
        <v>1029</v>
      </c>
      <c r="G3" s="3" t="s">
        <v>3</v>
      </c>
      <c r="H3" s="13" t="s">
        <v>5</v>
      </c>
      <c r="I3" s="3" t="s">
        <v>6</v>
      </c>
      <c r="J3" s="3" t="s">
        <v>7</v>
      </c>
      <c r="K3" s="3" t="s">
        <v>8</v>
      </c>
      <c r="L3" s="3" t="s">
        <v>9</v>
      </c>
      <c r="M3" s="3" t="s">
        <v>10</v>
      </c>
      <c r="N3" s="3" t="s">
        <v>11</v>
      </c>
      <c r="O3" s="3" t="s">
        <v>12</v>
      </c>
      <c r="P3" s="3" t="s">
        <v>13</v>
      </c>
      <c r="Q3" s="3" t="s">
        <v>14</v>
      </c>
      <c r="R3" s="3" t="s">
        <v>15</v>
      </c>
      <c r="S3" s="3" t="s">
        <v>16</v>
      </c>
      <c r="T3" s="3" t="s">
        <v>17</v>
      </c>
      <c r="U3" s="3" t="s">
        <v>18</v>
      </c>
      <c r="V3" s="3" t="s">
        <v>19</v>
      </c>
      <c r="W3" s="3" t="s">
        <v>20</v>
      </c>
      <c r="X3" s="3" t="s">
        <v>21</v>
      </c>
      <c r="Y3" s="3" t="s">
        <v>22</v>
      </c>
      <c r="Z3" s="3" t="s">
        <v>23</v>
      </c>
      <c r="AA3" s="3" t="s">
        <v>1022</v>
      </c>
      <c r="AB3" s="4" t="s">
        <v>24</v>
      </c>
    </row>
    <row r="4" spans="2:28" x14ac:dyDescent="0.25">
      <c r="B4">
        <f>COUNTBLANK(sales_data_sample[ORDERNUMBER])</f>
        <v>0</v>
      </c>
      <c r="C4">
        <f>COUNTBLANK(sales_data_sample[QUANTITYORDERED])</f>
        <v>0</v>
      </c>
      <c r="D4">
        <f>COUNTBLANK(sales_data_sample[PRICEEACH])</f>
        <v>0</v>
      </c>
      <c r="E4">
        <f>COUNTBLANK(sales_data_sample[SALES])</f>
        <v>0</v>
      </c>
      <c r="F4">
        <f>COUNTBLANK(sales_data_sample[NETSALES])</f>
        <v>0</v>
      </c>
      <c r="G4">
        <f>COUNTBLANK(sales_data_sample[ORDERLINENUMBER])</f>
        <v>0</v>
      </c>
      <c r="H4">
        <f>COUNTBLANK(sales_data_sample[ORDERDATE])</f>
        <v>0</v>
      </c>
      <c r="I4">
        <f>COUNTBLANK(sales_data_sample[STATUS])</f>
        <v>0</v>
      </c>
      <c r="J4">
        <f>COUNTBLANK(sales_data_sample[QTR_ID])</f>
        <v>0</v>
      </c>
      <c r="K4">
        <f>COUNTBLANK(sales_data_sample[MONTH_ID])</f>
        <v>0</v>
      </c>
      <c r="L4">
        <f>COUNTBLANK(sales_data_sample[YEAR_ID])</f>
        <v>0</v>
      </c>
      <c r="M4">
        <f>COUNTBLANK(sales_data_sample[PRODUCTLINE])</f>
        <v>0</v>
      </c>
      <c r="N4">
        <f>COUNTBLANK(sales_data_sample[MSRP])</f>
        <v>0</v>
      </c>
      <c r="O4">
        <f>COUNTBLANK(sales_data_sample[PRODUCTCODE])</f>
        <v>0</v>
      </c>
      <c r="P4">
        <f>COUNTBLANK(sales_data_sample[CUSTOMERNAME])</f>
        <v>0</v>
      </c>
      <c r="Q4">
        <f>COUNTBLANK(sales_data_sample[PHONE])</f>
        <v>0</v>
      </c>
      <c r="R4">
        <f>COUNTBLANK(sales_data_sample[ADDRESSLINE1])</f>
        <v>0</v>
      </c>
      <c r="S4">
        <f>COUNTBLANK(sales_data_sample[ADDRESSLINE2])</f>
        <v>2521</v>
      </c>
      <c r="T4">
        <f>COUNTBLANK(sales_data_sample[CITY])</f>
        <v>0</v>
      </c>
      <c r="U4">
        <f>COUNTBLANK(sales_data_sample[STATE])</f>
        <v>1486</v>
      </c>
      <c r="V4">
        <f>COUNTBLANK(sales_data_sample[POSTALCODE])</f>
        <v>76</v>
      </c>
      <c r="W4">
        <f>COUNTBLANK(sales_data_sample[COUNTRY])</f>
        <v>0</v>
      </c>
      <c r="X4">
        <f>COUNTBLANK(sales_data_sample[TERRITORY])</f>
        <v>0</v>
      </c>
      <c r="Y4">
        <f>COUNTBLANK(sales_data_sample[CONTACTLASTNAME])</f>
        <v>0</v>
      </c>
      <c r="Z4">
        <f>COUNTBLANK(sales_data_sample[CONTACTFIRSTNAME])</f>
        <v>0</v>
      </c>
      <c r="AA4">
        <f>COUNTBLANK(sales_data_sample[CONTACTFULLNAME])</f>
        <v>0</v>
      </c>
      <c r="AB4">
        <f>COUNTBLANK(sales_data_sample[DEALSIZE])</f>
        <v>0</v>
      </c>
    </row>
    <row r="6" spans="2:28" x14ac:dyDescent="0.25">
      <c r="B6" s="2" t="s">
        <v>1018</v>
      </c>
      <c r="C6" s="2"/>
      <c r="D6">
        <f>SUM(B8:AB8)</f>
        <v>0</v>
      </c>
    </row>
    <row r="7" spans="2:28" x14ac:dyDescent="0.25">
      <c r="B7" s="2" t="s">
        <v>0</v>
      </c>
      <c r="C7" s="3" t="s">
        <v>1</v>
      </c>
      <c r="D7" s="3" t="s">
        <v>2</v>
      </c>
      <c r="E7" s="3" t="s">
        <v>4</v>
      </c>
      <c r="F7" s="3" t="s">
        <v>1029</v>
      </c>
      <c r="G7" s="3" t="s">
        <v>3</v>
      </c>
      <c r="H7" s="13" t="s">
        <v>5</v>
      </c>
      <c r="I7" s="3" t="s">
        <v>6</v>
      </c>
      <c r="J7" s="3" t="s">
        <v>7</v>
      </c>
      <c r="K7" s="3" t="s">
        <v>8</v>
      </c>
      <c r="L7" s="3" t="s">
        <v>9</v>
      </c>
      <c r="M7" s="3" t="s">
        <v>10</v>
      </c>
      <c r="N7" s="3" t="s">
        <v>11</v>
      </c>
      <c r="O7" s="3" t="s">
        <v>12</v>
      </c>
      <c r="P7" s="3" t="s">
        <v>13</v>
      </c>
      <c r="Q7" s="3" t="s">
        <v>14</v>
      </c>
      <c r="R7" s="3" t="s">
        <v>15</v>
      </c>
      <c r="S7" s="3" t="s">
        <v>16</v>
      </c>
      <c r="T7" s="3" t="s">
        <v>17</v>
      </c>
      <c r="U7" s="3" t="s">
        <v>18</v>
      </c>
      <c r="V7" s="3" t="s">
        <v>19</v>
      </c>
      <c r="W7" s="3" t="s">
        <v>20</v>
      </c>
      <c r="X7" s="3" t="s">
        <v>21</v>
      </c>
      <c r="Y7" s="3" t="s">
        <v>22</v>
      </c>
      <c r="Z7" s="3" t="s">
        <v>23</v>
      </c>
      <c r="AA7" s="3" t="s">
        <v>1022</v>
      </c>
      <c r="AB7" s="4" t="s">
        <v>24</v>
      </c>
    </row>
    <row r="8" spans="2:28" x14ac:dyDescent="0.25">
      <c r="B8" cm="1">
        <f t="array" ref="B8">SUMPRODUCT(--ISERROR(sales_data_sample[ORDERNUMBER]))</f>
        <v>0</v>
      </c>
      <c r="C8" cm="1">
        <f t="array" ref="C8">SUMPRODUCT(--ISERROR(sales_data_sample[QUANTITYORDERED]))</f>
        <v>0</v>
      </c>
      <c r="D8" cm="1">
        <f t="array" ref="D8">SUMPRODUCT(--ISERROR(sales_data_sample[PRICEEACH]))</f>
        <v>0</v>
      </c>
      <c r="E8" cm="1">
        <f t="array" ref="E8">SUMPRODUCT(--ISERROR(sales_data_sample[SALES]))</f>
        <v>0</v>
      </c>
      <c r="F8" cm="1">
        <f t="array" ref="F8">SUMPRODUCT(--ISERROR(sales_data_sample[NETSALES]))</f>
        <v>0</v>
      </c>
      <c r="G8" cm="1">
        <f t="array" ref="G8">SUMPRODUCT(--ISERROR(sales_data_sample[ORDERLINENUMBER]))</f>
        <v>0</v>
      </c>
      <c r="H8" cm="1">
        <f t="array" ref="H8">SUMPRODUCT(--ISERROR(sales_data_sample[ORDERDATE]))</f>
        <v>0</v>
      </c>
      <c r="I8" cm="1">
        <f t="array" ref="I8">SUMPRODUCT(--ISERROR(sales_data_sample[STATUS]))</f>
        <v>0</v>
      </c>
      <c r="J8" cm="1">
        <f t="array" ref="J8">SUMPRODUCT(--ISERROR(sales_data_sample[QTR_ID]))</f>
        <v>0</v>
      </c>
      <c r="K8" cm="1">
        <f t="array" ref="K8">SUMPRODUCT(--ISERROR(sales_data_sample[MONTH_ID]))</f>
        <v>0</v>
      </c>
      <c r="L8" cm="1">
        <f t="array" ref="L8">SUMPRODUCT(--ISERROR(sales_data_sample[YEAR_ID]))</f>
        <v>0</v>
      </c>
      <c r="M8" cm="1">
        <f t="array" ref="M8">SUMPRODUCT(--ISERROR(sales_data_sample[PRODUCTLINE]))</f>
        <v>0</v>
      </c>
      <c r="N8" cm="1">
        <f t="array" ref="N8">SUMPRODUCT(--ISERROR(sales_data_sample[MSRP]))</f>
        <v>0</v>
      </c>
      <c r="O8" cm="1">
        <f t="array" ref="O8">SUMPRODUCT(--ISERROR(sales_data_sample[PRODUCTCODE]))</f>
        <v>0</v>
      </c>
      <c r="P8" cm="1">
        <f t="array" ref="P8">SUMPRODUCT(--ISERROR(sales_data_sample[CUSTOMERNAME]))</f>
        <v>0</v>
      </c>
      <c r="Q8" cm="1">
        <f t="array" ref="Q8">SUMPRODUCT(--ISERROR(sales_data_sample[PHONE]))</f>
        <v>0</v>
      </c>
      <c r="R8" cm="1">
        <f t="array" ref="R8">SUMPRODUCT(--ISERROR(sales_data_sample[ADDRESSLINE1]))</f>
        <v>0</v>
      </c>
      <c r="S8" cm="1">
        <f t="array" ref="S8">SUMPRODUCT(--ISERROR(sales_data_sample[ADDRESSLINE2]))</f>
        <v>0</v>
      </c>
      <c r="T8" cm="1">
        <f t="array" ref="T8">SUMPRODUCT(--ISERROR(sales_data_sample[CITY]))</f>
        <v>0</v>
      </c>
      <c r="U8" cm="1">
        <f t="array" ref="U8">SUMPRODUCT(--ISERROR(sales_data_sample[STATE]))</f>
        <v>0</v>
      </c>
      <c r="V8" cm="1">
        <f t="array" ref="V8">SUMPRODUCT(--ISERROR(sales_data_sample[POSTALCODE]))</f>
        <v>0</v>
      </c>
      <c r="W8" cm="1">
        <f t="array" ref="W8">SUMPRODUCT(--ISERROR(sales_data_sample[COUNTRY]))</f>
        <v>0</v>
      </c>
      <c r="X8" cm="1">
        <f t="array" ref="X8">SUMPRODUCT(--ISERROR(sales_data_sample[TERRITORY]))</f>
        <v>0</v>
      </c>
      <c r="Y8" cm="1">
        <f t="array" ref="Y8">SUMPRODUCT(--ISERROR(sales_data_sample[CONTACTLASTNAME]))</f>
        <v>0</v>
      </c>
      <c r="Z8" cm="1">
        <f t="array" ref="Z8">SUMPRODUCT(--ISERROR(sales_data_sample[CONTACTFIRSTNAME]))</f>
        <v>0</v>
      </c>
      <c r="AA8" cm="1">
        <f t="array" ref="AA8">SUMPRODUCT(--ISERROR(sales_data_sample[CONTACTFULLNAME]))</f>
        <v>0</v>
      </c>
      <c r="AB8" cm="1">
        <f t="array" ref="AB8">SUMPRODUCT(--ISERROR(sales_data_sample[DEALSIZE]))</f>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7E40F-15DC-432A-923F-78AD66A8E4D8}">
  <dimension ref="B1:S49"/>
  <sheetViews>
    <sheetView zoomScale="77" zoomScaleNormal="77" workbookViewId="0">
      <selection activeCell="C6" sqref="C6"/>
    </sheetView>
  </sheetViews>
  <sheetFormatPr defaultRowHeight="15" x14ac:dyDescent="0.25"/>
  <cols>
    <col min="2" max="2" width="13.42578125" bestFit="1" customWidth="1"/>
    <col min="3" max="3" width="17.28515625" bestFit="1" customWidth="1"/>
    <col min="4" max="4" width="13.42578125" customWidth="1"/>
    <col min="5" max="5" width="14.42578125" bestFit="1" customWidth="1"/>
    <col min="6" max="6" width="13.7109375" bestFit="1" customWidth="1"/>
    <col min="7" max="8" width="17" bestFit="1" customWidth="1"/>
    <col min="9" max="9" width="20" bestFit="1" customWidth="1"/>
    <col min="10" max="10" width="13.28515625" bestFit="1" customWidth="1"/>
    <col min="12" max="12" width="24.140625" bestFit="1" customWidth="1"/>
    <col min="13" max="13" width="13.28515625" bestFit="1" customWidth="1"/>
    <col min="14" max="14" width="14.42578125" bestFit="1" customWidth="1"/>
    <col min="16" max="16" width="13.7109375" bestFit="1" customWidth="1"/>
    <col min="17" max="18" width="17" bestFit="1" customWidth="1"/>
    <col min="19" max="19" width="20.28515625" bestFit="1" customWidth="1"/>
    <col min="20" max="20" width="17.28515625" bestFit="1" customWidth="1"/>
  </cols>
  <sheetData>
    <row r="1" spans="2:19" x14ac:dyDescent="0.25">
      <c r="B1" s="7" t="s">
        <v>6</v>
      </c>
      <c r="C1" t="s">
        <v>1032</v>
      </c>
    </row>
    <row r="2" spans="2:19" x14ac:dyDescent="0.25">
      <c r="B2" t="s">
        <v>1028</v>
      </c>
      <c r="F2" t="s">
        <v>1023</v>
      </c>
      <c r="I2" t="s">
        <v>1024</v>
      </c>
      <c r="L2" t="s">
        <v>1025</v>
      </c>
      <c r="P2" t="s">
        <v>1026</v>
      </c>
      <c r="S2" t="s">
        <v>1027</v>
      </c>
    </row>
    <row r="3" spans="2:19" x14ac:dyDescent="0.25">
      <c r="B3" t="s">
        <v>1019</v>
      </c>
      <c r="C3" t="s">
        <v>1030</v>
      </c>
      <c r="F3" s="7" t="s">
        <v>1020</v>
      </c>
      <c r="G3" t="s">
        <v>1030</v>
      </c>
      <c r="I3" s="7" t="s">
        <v>1036</v>
      </c>
      <c r="J3" t="s">
        <v>1037</v>
      </c>
      <c r="L3" s="7" t="s">
        <v>1038</v>
      </c>
      <c r="M3" t="s">
        <v>1037</v>
      </c>
      <c r="P3" s="7" t="s">
        <v>1020</v>
      </c>
      <c r="Q3" t="s">
        <v>1030</v>
      </c>
      <c r="S3" t="s">
        <v>1031</v>
      </c>
    </row>
    <row r="4" spans="2:19" x14ac:dyDescent="0.25">
      <c r="B4" s="10">
        <v>331470912</v>
      </c>
      <c r="C4" s="10">
        <v>308814380</v>
      </c>
      <c r="D4" s="10"/>
      <c r="F4" s="5">
        <v>2003</v>
      </c>
      <c r="G4" s="10">
        <v>112565046</v>
      </c>
      <c r="I4" s="5" t="s">
        <v>239</v>
      </c>
      <c r="J4" s="15">
        <v>78878176</v>
      </c>
      <c r="L4" s="5" t="s">
        <v>230</v>
      </c>
      <c r="M4" s="15">
        <v>28759043</v>
      </c>
      <c r="P4" s="5" t="s">
        <v>120</v>
      </c>
      <c r="Q4" s="15">
        <v>16103148</v>
      </c>
      <c r="S4" s="9">
        <v>109392.27063407723</v>
      </c>
    </row>
    <row r="5" spans="2:19" x14ac:dyDescent="0.25">
      <c r="F5" s="8">
        <v>1</v>
      </c>
      <c r="G5" s="10">
        <v>2884220</v>
      </c>
      <c r="I5" s="5" t="s">
        <v>799</v>
      </c>
      <c r="J5" s="15">
        <v>76441116</v>
      </c>
      <c r="L5" s="5" t="s">
        <v>361</v>
      </c>
      <c r="M5" s="15">
        <v>18956639</v>
      </c>
      <c r="P5" s="5" t="s">
        <v>196</v>
      </c>
      <c r="Q5" s="15">
        <v>7262341</v>
      </c>
    </row>
    <row r="6" spans="2:19" x14ac:dyDescent="0.25">
      <c r="B6" s="15">
        <f>GETPIVOTDATA("Sum of SALES",$B$3)</f>
        <v>331470912</v>
      </c>
      <c r="C6" s="15">
        <f>GETPIVOTDATA("Sum of NETSALES",$B$3)</f>
        <v>308814380</v>
      </c>
      <c r="F6" s="8">
        <v>2</v>
      </c>
      <c r="G6" s="10">
        <v>5664467</v>
      </c>
      <c r="I6" s="5" t="s">
        <v>839</v>
      </c>
      <c r="J6" s="15">
        <v>42291600</v>
      </c>
      <c r="L6" s="5" t="s">
        <v>695</v>
      </c>
      <c r="M6" s="15">
        <v>7791641</v>
      </c>
      <c r="P6" s="5" t="s">
        <v>505</v>
      </c>
      <c r="Q6" s="15">
        <v>3460624</v>
      </c>
      <c r="S6" s="15">
        <f>GETPIVOTDATA("NETSALES",$S$3)</f>
        <v>109392.27063407723</v>
      </c>
    </row>
    <row r="7" spans="2:19" x14ac:dyDescent="0.25">
      <c r="F7" s="8">
        <v>3</v>
      </c>
      <c r="G7" s="10">
        <v>5702942</v>
      </c>
      <c r="I7" s="5" t="s">
        <v>27</v>
      </c>
      <c r="J7" s="15">
        <v>38933356</v>
      </c>
      <c r="L7" s="5" t="s">
        <v>806</v>
      </c>
      <c r="M7" s="15">
        <v>6707998</v>
      </c>
      <c r="P7" s="5" t="s">
        <v>305</v>
      </c>
      <c r="Q7" s="15">
        <v>9076790</v>
      </c>
    </row>
    <row r="8" spans="2:19" x14ac:dyDescent="0.25">
      <c r="F8" s="8">
        <v>4</v>
      </c>
      <c r="G8" s="10">
        <v>7297685</v>
      </c>
      <c r="I8" s="5" t="s">
        <v>905</v>
      </c>
      <c r="J8" s="15">
        <v>36865498</v>
      </c>
      <c r="L8" s="5" t="s">
        <v>42</v>
      </c>
      <c r="M8" s="15">
        <v>5925157</v>
      </c>
      <c r="P8" s="5" t="s">
        <v>442</v>
      </c>
      <c r="Q8" s="15">
        <v>6168078</v>
      </c>
    </row>
    <row r="9" spans="2:19" x14ac:dyDescent="0.25">
      <c r="F9" s="8">
        <v>5</v>
      </c>
      <c r="G9" s="10">
        <v>7164658</v>
      </c>
      <c r="I9" s="5" t="s">
        <v>711</v>
      </c>
      <c r="J9" s="15">
        <v>23632744</v>
      </c>
      <c r="L9" s="5" t="s">
        <v>191</v>
      </c>
      <c r="M9" s="15">
        <v>5552121</v>
      </c>
      <c r="P9" s="5" t="s">
        <v>170</v>
      </c>
      <c r="Q9" s="15">
        <v>11062943</v>
      </c>
    </row>
    <row r="10" spans="2:19" x14ac:dyDescent="0.25">
      <c r="F10" s="8">
        <v>6</v>
      </c>
      <c r="G10" s="10">
        <v>6746608</v>
      </c>
      <c r="I10" s="5" t="s">
        <v>918</v>
      </c>
      <c r="J10" s="15">
        <v>11771890</v>
      </c>
      <c r="L10" s="5" t="s">
        <v>113</v>
      </c>
      <c r="M10" s="15">
        <v>5173315</v>
      </c>
      <c r="P10" s="5" t="s">
        <v>47</v>
      </c>
      <c r="Q10" s="15">
        <v>37062209</v>
      </c>
    </row>
    <row r="11" spans="2:19" x14ac:dyDescent="0.25">
      <c r="F11" s="8">
        <v>7</v>
      </c>
      <c r="G11" s="10">
        <v>4772387</v>
      </c>
      <c r="I11" s="5" t="s">
        <v>1021</v>
      </c>
      <c r="J11" s="10">
        <v>308814380</v>
      </c>
      <c r="L11" s="5" t="s">
        <v>291</v>
      </c>
      <c r="M11" s="15">
        <v>5165326</v>
      </c>
      <c r="P11" s="5" t="s">
        <v>617</v>
      </c>
      <c r="Q11" s="15">
        <v>6254894</v>
      </c>
    </row>
    <row r="12" spans="2:19" x14ac:dyDescent="0.25">
      <c r="F12" s="8">
        <v>8</v>
      </c>
      <c r="G12" s="10">
        <v>7753733</v>
      </c>
      <c r="L12" s="5" t="s">
        <v>667</v>
      </c>
      <c r="M12" s="15">
        <v>5131576</v>
      </c>
      <c r="P12" s="5" t="s">
        <v>683</v>
      </c>
      <c r="Q12" s="15">
        <v>1093228</v>
      </c>
    </row>
    <row r="13" spans="2:19" x14ac:dyDescent="0.25">
      <c r="F13" s="8">
        <v>9</v>
      </c>
      <c r="G13" s="10">
        <v>8085582</v>
      </c>
      <c r="I13" s="15">
        <f>GETPIVOTDATA("NETSALES",$I$3)</f>
        <v>308814380</v>
      </c>
      <c r="L13" s="5" t="s">
        <v>148</v>
      </c>
      <c r="M13" s="15">
        <v>5027015</v>
      </c>
      <c r="P13" s="5" t="s">
        <v>343</v>
      </c>
      <c r="Q13" s="15">
        <v>11626629</v>
      </c>
    </row>
    <row r="14" spans="2:19" x14ac:dyDescent="0.25">
      <c r="F14" s="8">
        <v>10</v>
      </c>
      <c r="G14" s="10">
        <v>14662810</v>
      </c>
      <c r="L14" s="5" t="s">
        <v>1021</v>
      </c>
      <c r="M14" s="15">
        <v>94189831</v>
      </c>
      <c r="P14" s="5" t="s">
        <v>264</v>
      </c>
      <c r="Q14" s="15">
        <v>7190407</v>
      </c>
    </row>
    <row r="15" spans="2:19" x14ac:dyDescent="0.25">
      <c r="B15" t="s">
        <v>1033</v>
      </c>
      <c r="F15" s="8">
        <v>11</v>
      </c>
      <c r="G15" s="10">
        <v>33906213</v>
      </c>
      <c r="P15" s="5" t="s">
        <v>97</v>
      </c>
      <c r="Q15" s="15">
        <v>7015473</v>
      </c>
    </row>
    <row r="16" spans="2:19" x14ac:dyDescent="0.25">
      <c r="B16" s="7" t="s">
        <v>6</v>
      </c>
      <c r="C16" t="s">
        <v>461</v>
      </c>
      <c r="F16" s="8">
        <v>12</v>
      </c>
      <c r="G16" s="10">
        <v>7923741</v>
      </c>
      <c r="P16" s="5" t="s">
        <v>596</v>
      </c>
      <c r="Q16" s="15">
        <v>3782017</v>
      </c>
    </row>
    <row r="17" spans="2:17" x14ac:dyDescent="0.25">
      <c r="F17" s="5">
        <v>2004</v>
      </c>
      <c r="G17" s="15">
        <v>152180680</v>
      </c>
      <c r="P17" s="5" t="s">
        <v>262</v>
      </c>
      <c r="Q17" s="15">
        <v>7913243</v>
      </c>
    </row>
    <row r="18" spans="2:17" x14ac:dyDescent="0.25">
      <c r="B18" t="s">
        <v>1019</v>
      </c>
      <c r="F18" s="8">
        <v>1</v>
      </c>
      <c r="G18" s="15">
        <v>11956735</v>
      </c>
      <c r="P18" s="5" t="s">
        <v>235</v>
      </c>
      <c r="Q18" s="15">
        <v>39149977</v>
      </c>
    </row>
    <row r="19" spans="2:17" x14ac:dyDescent="0.25">
      <c r="B19" s="1">
        <v>7991317</v>
      </c>
      <c r="F19" s="8">
        <v>2</v>
      </c>
      <c r="G19" s="15">
        <v>10885216</v>
      </c>
      <c r="P19" s="5" t="s">
        <v>247</v>
      </c>
      <c r="Q19" s="15">
        <v>3530536</v>
      </c>
    </row>
    <row r="20" spans="2:17" x14ac:dyDescent="0.25">
      <c r="F20" s="8">
        <v>3</v>
      </c>
      <c r="G20" s="15">
        <v>5115133</v>
      </c>
      <c r="P20" s="5" t="s">
        <v>627</v>
      </c>
      <c r="Q20" s="15">
        <v>3434091</v>
      </c>
    </row>
    <row r="21" spans="2:17" x14ac:dyDescent="0.25">
      <c r="B21" s="15">
        <f>GETPIVOTDATA("SALES",$B$18)</f>
        <v>7991317</v>
      </c>
      <c r="F21" s="8">
        <v>4</v>
      </c>
      <c r="G21" s="15">
        <v>7755065</v>
      </c>
      <c r="P21" s="5" t="s">
        <v>225</v>
      </c>
      <c r="Q21" s="15">
        <v>20077235</v>
      </c>
    </row>
    <row r="22" spans="2:17" x14ac:dyDescent="0.25">
      <c r="F22" s="8">
        <v>5</v>
      </c>
      <c r="G22" s="15">
        <v>6099104</v>
      </c>
      <c r="L22" t="str" cm="1">
        <f t="array" ref="L22:M31">L4:M13</f>
        <v>Euro Shopping Channel</v>
      </c>
      <c r="M22">
        <v>28759043</v>
      </c>
      <c r="P22" s="5" t="s">
        <v>36</v>
      </c>
      <c r="Q22" s="15">
        <v>107550517</v>
      </c>
    </row>
    <row r="23" spans="2:17" x14ac:dyDescent="0.25">
      <c r="F23" s="8">
        <v>6</v>
      </c>
      <c r="G23" s="15">
        <v>7795283</v>
      </c>
      <c r="L23" t="str">
        <v>Mini Gifts Distributors Ltd.</v>
      </c>
      <c r="M23">
        <v>18956639</v>
      </c>
      <c r="P23" s="5" t="s">
        <v>1021</v>
      </c>
      <c r="Q23" s="1">
        <v>308814380</v>
      </c>
    </row>
    <row r="24" spans="2:17" x14ac:dyDescent="0.25">
      <c r="F24" s="8">
        <v>7</v>
      </c>
      <c r="G24" s="15">
        <v>12020421</v>
      </c>
      <c r="L24" t="str">
        <v>AV Stores, Co.</v>
      </c>
      <c r="M24">
        <v>7791641</v>
      </c>
    </row>
    <row r="25" spans="2:17" x14ac:dyDescent="0.25">
      <c r="F25" s="8">
        <v>8</v>
      </c>
      <c r="G25" s="15">
        <v>14905226</v>
      </c>
      <c r="L25" t="str">
        <v>Rovelli Gifts</v>
      </c>
      <c r="M25">
        <v>6707998</v>
      </c>
    </row>
    <row r="26" spans="2:17" x14ac:dyDescent="0.25">
      <c r="F26" s="8">
        <v>9</v>
      </c>
      <c r="G26" s="15">
        <v>9670140</v>
      </c>
      <c r="L26" t="str">
        <v>Reims Collectables</v>
      </c>
      <c r="M26">
        <v>5925157</v>
      </c>
    </row>
    <row r="27" spans="2:17" x14ac:dyDescent="0.25">
      <c r="B27" t="s">
        <v>1035</v>
      </c>
      <c r="F27" s="8">
        <v>10</v>
      </c>
      <c r="G27" s="15">
        <v>17492302</v>
      </c>
      <c r="L27" t="str">
        <v>Salzburg Collectables</v>
      </c>
      <c r="M27">
        <v>5552121</v>
      </c>
    </row>
    <row r="28" spans="2:17" x14ac:dyDescent="0.25">
      <c r="B28" s="7" t="s">
        <v>6</v>
      </c>
      <c r="C28" t="s">
        <v>1034</v>
      </c>
      <c r="F28" s="8">
        <v>11</v>
      </c>
      <c r="G28" s="15">
        <v>36235091</v>
      </c>
      <c r="L28" t="str">
        <v>Australian Collectors, Co.</v>
      </c>
      <c r="M28">
        <v>5173315</v>
      </c>
    </row>
    <row r="29" spans="2:17" x14ac:dyDescent="0.25">
      <c r="F29" s="8">
        <v>12</v>
      </c>
      <c r="G29" s="15">
        <v>12250964</v>
      </c>
      <c r="L29" t="str">
        <v>Saveley &amp; Henriot, Co.</v>
      </c>
      <c r="M29">
        <v>5165326</v>
      </c>
      <c r="P29" s="5" t="str" cm="1">
        <f t="array" ref="P29:Q47">P4:Q22</f>
        <v>Australia</v>
      </c>
      <c r="Q29" s="15">
        <v>16103148</v>
      </c>
    </row>
    <row r="30" spans="2:17" x14ac:dyDescent="0.25">
      <c r="B30" t="s">
        <v>1019</v>
      </c>
      <c r="F30" s="5">
        <v>2005</v>
      </c>
      <c r="G30" s="15">
        <v>44068654</v>
      </c>
      <c r="L30" t="str">
        <v>Muscle Machine Inc</v>
      </c>
      <c r="M30">
        <v>5131576</v>
      </c>
      <c r="P30" s="5" t="str">
        <v>Austria</v>
      </c>
      <c r="Q30" s="15">
        <v>7262341</v>
      </c>
    </row>
    <row r="31" spans="2:17" x14ac:dyDescent="0.25">
      <c r="B31" s="1">
        <v>14665215</v>
      </c>
      <c r="F31" s="8">
        <v>1</v>
      </c>
      <c r="G31" s="15">
        <v>12058534</v>
      </c>
      <c r="L31" t="str">
        <v>La Rochelle Gifts</v>
      </c>
      <c r="M31">
        <v>5027015</v>
      </c>
      <c r="P31" s="5" t="str">
        <v>Belgium</v>
      </c>
      <c r="Q31" s="15">
        <v>3460624</v>
      </c>
    </row>
    <row r="32" spans="2:17" x14ac:dyDescent="0.25">
      <c r="F32" s="8">
        <v>2</v>
      </c>
      <c r="G32" s="15">
        <v>9468069</v>
      </c>
      <c r="P32" s="5" t="str">
        <v>Canada</v>
      </c>
      <c r="Q32" s="15">
        <v>9076790</v>
      </c>
    </row>
    <row r="33" spans="2:17" x14ac:dyDescent="0.25">
      <c r="B33" s="15">
        <f>GETPIVOTDATA("SALES",$B$30)</f>
        <v>14665215</v>
      </c>
      <c r="F33" s="8">
        <v>3</v>
      </c>
      <c r="G33" s="15">
        <v>13880484</v>
      </c>
      <c r="P33" s="5" t="str">
        <v>Denmark</v>
      </c>
      <c r="Q33" s="15">
        <v>6168078</v>
      </c>
    </row>
    <row r="34" spans="2:17" x14ac:dyDescent="0.25">
      <c r="F34" s="8">
        <v>4</v>
      </c>
      <c r="G34" s="15">
        <v>3806284</v>
      </c>
      <c r="P34" s="5" t="str">
        <v>Finland</v>
      </c>
      <c r="Q34" s="15">
        <v>11062943</v>
      </c>
    </row>
    <row r="35" spans="2:17" x14ac:dyDescent="0.25">
      <c r="F35" s="8">
        <v>5</v>
      </c>
      <c r="G35" s="15">
        <v>4855283</v>
      </c>
      <c r="P35" s="5" t="str">
        <v>France</v>
      </c>
      <c r="Q35" s="15">
        <v>37062209</v>
      </c>
    </row>
    <row r="36" spans="2:17" x14ac:dyDescent="0.25">
      <c r="F36" s="5" t="s">
        <v>1021</v>
      </c>
      <c r="G36" s="15">
        <v>308814380</v>
      </c>
      <c r="P36" s="5" t="str">
        <v>Germany</v>
      </c>
      <c r="Q36" s="15">
        <v>6254894</v>
      </c>
    </row>
    <row r="37" spans="2:17" x14ac:dyDescent="0.25">
      <c r="P37" s="5" t="str">
        <v>Ireland</v>
      </c>
      <c r="Q37" s="15">
        <v>1093228</v>
      </c>
    </row>
    <row r="38" spans="2:17" x14ac:dyDescent="0.25">
      <c r="F38" s="15"/>
      <c r="P38" s="5" t="str">
        <v>Italy</v>
      </c>
      <c r="Q38" s="15">
        <v>11626629</v>
      </c>
    </row>
    <row r="39" spans="2:17" x14ac:dyDescent="0.25">
      <c r="P39" s="5" t="str">
        <v>Japan</v>
      </c>
      <c r="Q39" s="15">
        <v>7190407</v>
      </c>
    </row>
    <row r="40" spans="2:17" x14ac:dyDescent="0.25">
      <c r="P40" s="5" t="str">
        <v>Norway</v>
      </c>
      <c r="Q40" s="15">
        <v>7015473</v>
      </c>
    </row>
    <row r="41" spans="2:17" x14ac:dyDescent="0.25">
      <c r="P41" s="5" t="str">
        <v>Philippines</v>
      </c>
      <c r="Q41" s="15">
        <v>3782017</v>
      </c>
    </row>
    <row r="42" spans="2:17" x14ac:dyDescent="0.25">
      <c r="P42" s="5" t="str">
        <v>Singapore</v>
      </c>
      <c r="Q42" s="15">
        <v>7913243</v>
      </c>
    </row>
    <row r="43" spans="2:17" x14ac:dyDescent="0.25">
      <c r="P43" s="5" t="str">
        <v>Spain</v>
      </c>
      <c r="Q43" s="15">
        <v>39149977</v>
      </c>
    </row>
    <row r="44" spans="2:17" x14ac:dyDescent="0.25">
      <c r="P44" s="5" t="str">
        <v>Sweden</v>
      </c>
      <c r="Q44" s="15">
        <v>3530536</v>
      </c>
    </row>
    <row r="45" spans="2:17" x14ac:dyDescent="0.25">
      <c r="P45" s="5" t="str">
        <v>Switzerland</v>
      </c>
      <c r="Q45" s="15">
        <v>3434091</v>
      </c>
    </row>
    <row r="46" spans="2:17" x14ac:dyDescent="0.25">
      <c r="P46" s="5" t="str">
        <v>UK</v>
      </c>
      <c r="Q46" s="15">
        <v>20077235</v>
      </c>
    </row>
    <row r="47" spans="2:17" x14ac:dyDescent="0.25">
      <c r="P47" s="5" t="str">
        <v>USA</v>
      </c>
      <c r="Q47" s="15">
        <v>107550517</v>
      </c>
    </row>
    <row r="48" spans="2:17" x14ac:dyDescent="0.25">
      <c r="P48" s="5"/>
      <c r="Q48" s="15"/>
    </row>
    <row r="49" spans="16:17" x14ac:dyDescent="0.25">
      <c r="P49" s="5"/>
      <c r="Q49"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099C7-2962-46E9-89CB-5F827248BB16}">
  <dimension ref="Y9:AB35"/>
  <sheetViews>
    <sheetView tabSelected="1" zoomScale="89" zoomScaleNormal="89" workbookViewId="0">
      <selection activeCell="AA25" sqref="AA25"/>
    </sheetView>
  </sheetViews>
  <sheetFormatPr defaultRowHeight="15" x14ac:dyDescent="0.25"/>
  <cols>
    <col min="1" max="26" width="9.140625" style="6"/>
    <col min="27" max="27" width="9" style="6" customWidth="1"/>
    <col min="28" max="16384" width="9.140625" style="6"/>
  </cols>
  <sheetData>
    <row r="9" spans="25:27" x14ac:dyDescent="0.25">
      <c r="Y9" s="16"/>
    </row>
    <row r="10" spans="25:27" x14ac:dyDescent="0.25">
      <c r="Y10" s="16"/>
    </row>
    <row r="11" spans="25:27" x14ac:dyDescent="0.25">
      <c r="Y11" s="16"/>
    </row>
    <row r="12" spans="25:27" x14ac:dyDescent="0.25">
      <c r="Y12" s="16"/>
      <c r="Z12" s="17"/>
      <c r="AA12" s="16"/>
    </row>
    <row r="13" spans="25:27" x14ac:dyDescent="0.25">
      <c r="Y13" s="16"/>
      <c r="Z13" s="17"/>
      <c r="AA13" s="16"/>
    </row>
    <row r="14" spans="25:27" x14ac:dyDescent="0.25">
      <c r="Y14" s="16"/>
      <c r="Z14" s="17"/>
      <c r="AA14" s="16"/>
    </row>
    <row r="15" spans="25:27" x14ac:dyDescent="0.25">
      <c r="Y15" s="16"/>
      <c r="Z15" s="17"/>
      <c r="AA15" s="16"/>
    </row>
    <row r="16" spans="25:27" x14ac:dyDescent="0.25">
      <c r="Y16" s="16"/>
      <c r="Z16" s="17"/>
      <c r="AA16" s="16"/>
    </row>
    <row r="17" spans="25:28" x14ac:dyDescent="0.25">
      <c r="Y17" s="16"/>
      <c r="Z17" s="17"/>
      <c r="AA17" s="16"/>
    </row>
    <row r="18" spans="25:28" x14ac:dyDescent="0.25">
      <c r="Y18" s="16"/>
      <c r="Z18" s="17"/>
      <c r="AA18" s="16"/>
    </row>
    <row r="19" spans="25:28" x14ac:dyDescent="0.25">
      <c r="Z19" s="17"/>
      <c r="AA19" s="16"/>
    </row>
    <row r="20" spans="25:28" x14ac:dyDescent="0.25">
      <c r="Z20" s="17"/>
      <c r="AA20" s="16"/>
    </row>
    <row r="21" spans="25:28" x14ac:dyDescent="0.25">
      <c r="Z21" s="17"/>
      <c r="AA21" s="16"/>
    </row>
    <row r="22" spans="25:28" x14ac:dyDescent="0.25">
      <c r="Z22" s="16"/>
    </row>
    <row r="23" spans="25:28" x14ac:dyDescent="0.25">
      <c r="Z23" s="16"/>
    </row>
    <row r="27" spans="25:28" x14ac:dyDescent="0.25">
      <c r="AA27" s="14"/>
      <c r="AB27" s="14"/>
    </row>
    <row r="28" spans="25:28" x14ac:dyDescent="0.25">
      <c r="AA28" s="14"/>
      <c r="AB28" s="14"/>
    </row>
    <row r="29" spans="25:28" x14ac:dyDescent="0.25">
      <c r="AA29" s="14"/>
      <c r="AB29" s="14"/>
    </row>
    <row r="30" spans="25:28" x14ac:dyDescent="0.25">
      <c r="AA30" s="14"/>
      <c r="AB30" s="14"/>
    </row>
    <row r="31" spans="25:28" x14ac:dyDescent="0.25">
      <c r="AA31" s="14"/>
      <c r="AB31" s="14"/>
    </row>
    <row r="32" spans="25:28" x14ac:dyDescent="0.25">
      <c r="AA32" s="14"/>
      <c r="AB32" s="14"/>
    </row>
    <row r="33" spans="27:28" x14ac:dyDescent="0.25">
      <c r="AA33" s="14"/>
      <c r="AB33" s="14"/>
    </row>
    <row r="34" spans="27:28" x14ac:dyDescent="0.25">
      <c r="AA34" s="14"/>
      <c r="AB34" s="14"/>
    </row>
    <row r="35" spans="27:28" x14ac:dyDescent="0.25">
      <c r="AA35" s="14"/>
      <c r="AB35" s="14"/>
    </row>
  </sheetData>
  <conditionalFormatting sqref="Y9:Y18">
    <cfRule type="dataBar" priority="3">
      <dataBar>
        <cfvo type="min"/>
        <cfvo type="max"/>
        <color rgb="FF638EC6"/>
      </dataBar>
      <extLst>
        <ext xmlns:x14="http://schemas.microsoft.com/office/spreadsheetml/2009/9/main" uri="{B025F937-C7B1-47D3-B67F-A62EFF666E3E}">
          <x14:id>{ED849220-67BC-4C8F-92F0-A2042F9B9A2B}</x14:id>
        </ext>
      </extLst>
    </cfRule>
  </conditionalFormatting>
  <conditionalFormatting sqref="Z22:Z23">
    <cfRule type="dataBar" priority="4">
      <dataBar>
        <cfvo type="min"/>
        <cfvo type="max"/>
        <color rgb="FF638EC6"/>
      </dataBar>
      <extLst>
        <ext xmlns:x14="http://schemas.microsoft.com/office/spreadsheetml/2009/9/main" uri="{B025F937-C7B1-47D3-B67F-A62EFF666E3E}">
          <x14:id>{D6DE7121-C2FF-47C6-8AD6-259DEAB1A9A8}</x14:id>
        </ext>
      </extLst>
    </cfRule>
  </conditionalFormatting>
  <conditionalFormatting sqref="AA12:AA21">
    <cfRule type="dataBar" priority="1">
      <dataBar>
        <cfvo type="min"/>
        <cfvo type="max"/>
        <color rgb="FF638EC6"/>
      </dataBar>
      <extLst>
        <ext xmlns:x14="http://schemas.microsoft.com/office/spreadsheetml/2009/9/main" uri="{B025F937-C7B1-47D3-B67F-A62EFF666E3E}">
          <x14:id>{F1A5AB7F-8124-48B1-9635-56113C11B4B8}</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ED849220-67BC-4C8F-92F0-A2042F9B9A2B}">
            <x14:dataBar minLength="0" maxLength="100" gradient="0">
              <x14:cfvo type="autoMin"/>
              <x14:cfvo type="autoMax"/>
              <x14:negativeFillColor rgb="FFFF0000"/>
              <x14:axisColor rgb="FF000000"/>
            </x14:dataBar>
          </x14:cfRule>
          <xm:sqref>Y9:Y18</xm:sqref>
        </x14:conditionalFormatting>
        <x14:conditionalFormatting xmlns:xm="http://schemas.microsoft.com/office/excel/2006/main">
          <x14:cfRule type="dataBar" id="{D6DE7121-C2FF-47C6-8AD6-259DEAB1A9A8}">
            <x14:dataBar minLength="0" maxLength="100" gradient="0">
              <x14:cfvo type="autoMin"/>
              <x14:cfvo type="autoMax"/>
              <x14:negativeFillColor rgb="FFFF0000"/>
              <x14:axisColor rgb="FF000000"/>
            </x14:dataBar>
          </x14:cfRule>
          <xm:sqref>Z22:Z23</xm:sqref>
        </x14:conditionalFormatting>
        <x14:conditionalFormatting xmlns:xm="http://schemas.microsoft.com/office/excel/2006/main">
          <x14:cfRule type="dataBar" id="{F1A5AB7F-8124-48B1-9635-56113C11B4B8}">
            <x14:dataBar minLength="0" maxLength="100" gradient="0">
              <x14:cfvo type="autoMin"/>
              <x14:cfvo type="autoMax"/>
              <x14:negativeFillColor rgb="FFFF0000"/>
              <x14:axisColor rgb="FF000000"/>
            </x14:dataBar>
          </x14:cfRule>
          <xm:sqref>AA12:AA21</xm:sqref>
        </x14:conditionalFormatting>
      </x14:conditionalFormattings>
    </ex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9039C3C-18B4-4272-97E0-D563BADB079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sales_data_sample</vt:lpstr>
      <vt:lpstr>Limpieza</vt:lpstr>
      <vt:lpstr>Tablas Dinámicas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dc:creator>
  <cp:lastModifiedBy>Jose</cp:lastModifiedBy>
  <dcterms:created xsi:type="dcterms:W3CDTF">2025-12-20T18:46:29Z</dcterms:created>
  <dcterms:modified xsi:type="dcterms:W3CDTF">2025-12-29T14:29:16Z</dcterms:modified>
</cp:coreProperties>
</file>